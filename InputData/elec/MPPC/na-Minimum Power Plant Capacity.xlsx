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tabRatio="692" firstSheet="5" activeTab="7"/>
  </bookViews>
  <sheets>
    <sheet name="About" sheetId="17" r:id="rId1"/>
    <sheet name="Project List" sheetId="11" r:id="rId2"/>
    <sheet name="Solar Thermal" sheetId="16" r:id="rId3"/>
    <sheet name="Geothermal" sheetId="19" r:id="rId4"/>
    <sheet name="OffshoreProject" sheetId="14" r:id="rId5"/>
    <sheet name="Nuclear" sheetId="20" r:id="rId6"/>
    <sheet name="Calculation" sheetId="15" r:id="rId7"/>
    <sheet name="MPPC" sheetId="1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1" hidden="1">'Project List'!$A$1:$F$14514</definedName>
    <definedName name="_xlnm._FilterDatabase" localSheetId="2" hidden="1">'Solar Thermal'!$A$1:$K$22</definedName>
    <definedName name="_xlnm._FilterDatabase" localSheetId="5" hidden="1">Nuclear!$A$1:$T$92</definedName>
    <definedName name="billion_kw_to_MW" localSheetId="3">#REF!</definedName>
    <definedName name="billion_kw_to_MW" localSheetId="2">#REF!</definedName>
    <definedName name="billion_kw_to_MW">[1]About!$B$29</definedName>
    <definedName name="gigwatt_to_megawatt" localSheetId="3">#REF!</definedName>
    <definedName name="gigwatt_to_megawatt" localSheetId="2">#REF!</definedName>
    <definedName name="gigwatt_to_megawatt">[1]About!$B$30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Percent_rural" localSheetId="3">#REF!</definedName>
    <definedName name="Percent_rural" localSheetId="2">#REF!</definedName>
    <definedName name="Percent_rural">[1]About!$A$27</definedName>
    <definedName name="Percent_Urban" localSheetId="3">#REF!</definedName>
    <definedName name="Percent_Urban" localSheetId="2">#REF!</definedName>
    <definedName name="Percent_Urban">[1]About!$A$26</definedName>
    <definedName name="billion_kw_to_MW" localSheetId="5">#REF!</definedName>
    <definedName name="gigwatt_to_megawatt" localSheetId="5">#REF!</definedName>
    <definedName name="Percent_rural" localSheetId="5">#REF!</definedName>
    <definedName name="Percent_Urban" localSheetId="5">#REF!</definedName>
    <definedName name="cpi_2016_to_2012">[3]About!$A$109</definedName>
    <definedName name="cpi_2019_to_2012">[3]About!$A$115</definedName>
    <definedName name="cpi_2020_to_2012">[3]About!$A$117</definedName>
    <definedName name="lifetime_hydro">[4]Lifetime!$C$5</definedName>
    <definedName name="lifetime_natural_gas_nonpeaker">[4]Lifetime!$C$3</definedName>
    <definedName name="lifetime_nuclear">[4]Lifetime!$C$4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<sst xmlns="http://schemas.openxmlformats.org/spreadsheetml/2006/main" count="26480" uniqueCount="890">
  <si>
    <t>MPPC Minimum Power Plant Capacity</t>
  </si>
  <si>
    <t>Source:</t>
  </si>
  <si>
    <t>Thermal, Hydro, Nuclear, Onshore Wind, Solar, Biomass, MSW</t>
  </si>
  <si>
    <t>China Electricity Council</t>
  </si>
  <si>
    <r>
      <rPr>
        <sz val="10"/>
        <rFont val="宋体"/>
        <charset val="134"/>
      </rPr>
      <t>中国电力工业统计资料汇编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（</t>
    </r>
    <r>
      <rPr>
        <sz val="10"/>
        <rFont val="Arial"/>
        <charset val="134"/>
      </rPr>
      <t>Compilation of China Power Sector Statistics)</t>
    </r>
  </si>
  <si>
    <t>2012-2021</t>
  </si>
  <si>
    <t>Chapter 6 (Power Generation Construction in Detailed List)</t>
  </si>
  <si>
    <t>Solar Thermal</t>
  </si>
  <si>
    <t>China Solar Thermal Allaince (CNSTE)</t>
  </si>
  <si>
    <r>
      <rPr>
        <sz val="11"/>
        <color theme="1"/>
        <rFont val="等线"/>
        <charset val="134"/>
      </rPr>
      <t>中国太阳能热发电行业蓝皮书</t>
    </r>
  </si>
  <si>
    <t>Blue Book of Concentrating Solar Power Industry (Chinese)</t>
  </si>
  <si>
    <t>2021-2022</t>
  </si>
  <si>
    <t>http://www.cnste.org/uploads/soft/230131/1_0841264311.pdf</t>
  </si>
  <si>
    <t>http://mediacdn.mengliaoba.cn/download/2021%E4%B8%AD%E5%9B%BD%E5%A4%AA%E9%98%B3%E8%83%BD%E7%83%AD%E5%8F%91%E7%94%B5%E8%A1%8C%E4%B8%9A%E8%93%9D%E7%9A%AE%E4%B9%A6.pdf</t>
  </si>
  <si>
    <t>Offshore Wind</t>
  </si>
  <si>
    <t>Global Energy Monitor</t>
  </si>
  <si>
    <t>Tracker for Global Wind Proejcts</t>
  </si>
  <si>
    <t>https://globalenergymonitor.org/projects/global-wind-power-tracker/</t>
  </si>
  <si>
    <t>Notes</t>
  </si>
  <si>
    <t xml:space="preserve">We compiled a list of projects that become operational each year from 2012-2021, and used 1 or 5 percentile installed capacity </t>
  </si>
  <si>
    <t>from the project list as the value for MPPC (after rounding to the closest integer). The project list has been desensitized, with only</t>
  </si>
  <si>
    <t>capacity, generation type and year of operation included.</t>
  </si>
  <si>
    <t>For solar thermal and geothermal, since the number of (planned) project is very small. The minimal value were used.</t>
  </si>
  <si>
    <t xml:space="preserve"> For geothermal, the existing projects are very old and were built in 1970-80s, these values were disregarded, and we focuses on the planned target for addition.</t>
  </si>
  <si>
    <t>Order</t>
  </si>
  <si>
    <t>Project.ID</t>
  </si>
  <si>
    <t>Year</t>
  </si>
  <si>
    <t>Gen.Type1</t>
  </si>
  <si>
    <t>Unit</t>
  </si>
  <si>
    <t>Capacity</t>
  </si>
  <si>
    <t>火电-燃气-常规燃气</t>
  </si>
  <si>
    <t>太阳能</t>
  </si>
  <si>
    <t/>
  </si>
  <si>
    <t>火电-其他火电-余温、余压、余气发电</t>
  </si>
  <si>
    <t>风电</t>
  </si>
  <si>
    <t>火电-其他火电-垃圾焚烧发电</t>
  </si>
  <si>
    <t>火电-燃气-沼气发电</t>
  </si>
  <si>
    <t>火电-燃煤-常规燃煤</t>
  </si>
  <si>
    <t>火电-其他火电-秸杆、蔗渣、林木质发电</t>
  </si>
  <si>
    <t>火电-燃煤-煤矸石发电</t>
  </si>
  <si>
    <t>水电-常规水电</t>
  </si>
  <si>
    <t>其他-其他</t>
  </si>
  <si>
    <t>水电-抽水蓄能</t>
  </si>
  <si>
    <t>火电-燃气-煤层气发电</t>
  </si>
  <si>
    <t>核电</t>
  </si>
  <si>
    <t>火电-燃油</t>
  </si>
  <si>
    <t>项目名称</t>
  </si>
  <si>
    <t>项目状态</t>
  </si>
  <si>
    <t>建成时间</t>
  </si>
  <si>
    <t>省份</t>
  </si>
  <si>
    <t>地区</t>
  </si>
  <si>
    <t>装机容量（MW）</t>
  </si>
  <si>
    <t>年设计发电量（亿千瓦时）</t>
  </si>
  <si>
    <t>塔/线/槽式</t>
  </si>
  <si>
    <t>建成时间（预计）</t>
  </si>
  <si>
    <t>建设状态</t>
  </si>
  <si>
    <t>开工时间</t>
  </si>
  <si>
    <t>中广核太阳能德令哈有限公司导热油槽式5万千瓦光热发电项目</t>
  </si>
  <si>
    <t>投运</t>
  </si>
  <si>
    <t>青海省</t>
  </si>
  <si>
    <t>青海省德令哈市西出口光伏（热）产业园区</t>
  </si>
  <si>
    <t>槽式</t>
  </si>
  <si>
    <t>2018年6月30日并网</t>
  </si>
  <si>
    <t>建成投运</t>
  </si>
  <si>
    <t>首航高科能源技术股份有限公司（原北京首航艾启威节能技术股份有限公司）敦煌熔盐塔式10万千瓦光热发电示范项目</t>
  </si>
  <si>
    <t>甘肃省</t>
  </si>
  <si>
    <t>甘肃省敦煌市七 里镇西光电产业园</t>
  </si>
  <si>
    <t>塔式</t>
  </si>
  <si>
    <t>2019 年 6 月</t>
  </si>
  <si>
    <t>青海中控太阳能发电有限公司德令哈熔盐塔式5万千万光热发电项目</t>
  </si>
  <si>
    <t>青海省德令哈 市西出口光伏（热）产业园区</t>
  </si>
  <si>
    <t>2018 年 12 月 30 日并网发电，2019 年 4 月 17 日实现了满
负荷运行</t>
  </si>
  <si>
    <t>中国电建西北勘测设计研究院有限公司共和熔盐塔式5万千瓦光热发电项目（中电建青海共和 50MW 塔式项目）</t>
  </si>
  <si>
    <t>青海省海南州共和县生态太阳能发电园区</t>
  </si>
  <si>
    <t>2020 年 11 月 6 日实现满负荷运行 2021 年 4 月通过国家光热
发电项目示范性验收</t>
  </si>
  <si>
    <t>中国电力工程顾问集团西北电力设计院有限公司哈密熔盐塔式5万千瓦光热发电项目（中能建哈密 50MW 塔式项目）</t>
  </si>
  <si>
    <t>新疆维吾尔自治区</t>
  </si>
  <si>
    <t>新疆哈密市伊吾县</t>
  </si>
  <si>
    <t>2019 年 12 月 29 日实现首次并网。2021 年 6 月 18 日凌
晨 01 时 26 分并网发电，9 月 6 日实现全容量发电。</t>
  </si>
  <si>
    <t>2017 年 10 月 19 日</t>
  </si>
  <si>
    <t>兰州大成科技股份有限公司敦煌熔盐线性菲涅尔式5万千瓦光热发电示范项目（兰州大成敦煌 50MW 线菲项目）</t>
  </si>
  <si>
    <t>甘肃省敦煌市七里镇光电产业园区</t>
  </si>
  <si>
    <t>线性
菲涅耳式</t>
  </si>
  <si>
    <t>2019 年 12 月 31 日实现并网发电。2020年 6 月 18 日太阳能集热场系统整体并网发电投运 [17</t>
  </si>
  <si>
    <t>内蒙古中核龙腾新能源有限公司乌拉特中旗导热油槽式10万千瓦光热发电项目（中船新能乌拉特中旗 100MW 槽式项目）</t>
  </si>
  <si>
    <t>内蒙古自治区</t>
  </si>
  <si>
    <t>内蒙古巴彦淖尔市乌拉特中旗</t>
  </si>
  <si>
    <t>2020 年 1 月 8 日首次
实现并网发电，2020 年 12 月 16 日实现满负荷发电，2021 年 10 月 20 日通过国家示范性验收。</t>
  </si>
  <si>
    <t>2018 年 6 月</t>
  </si>
  <si>
    <t>鲁能格尔木多能互补 50MW 塔式项目</t>
  </si>
  <si>
    <t>青海省海西州多能互补基地</t>
  </si>
  <si>
    <t xml:space="preserve"> 2019年 9 月 19 日成功一次并网， 2020 年 8 月 27 日完成了 120 小时可靠性运行， 2021 年 5 月 14 日，光热电站完成涉网联合试验。</t>
  </si>
  <si>
    <t>玉门鑫能光热第一电力有限公司熔盐塔式5万千瓦光热发电项目</t>
  </si>
  <si>
    <t>玉门市</t>
  </si>
  <si>
    <t>2017年8月31 日，常规动力岛正式开工建设</t>
  </si>
  <si>
    <t>深圳市金钒能源科技有限公司阿克塞5万千瓦熔盐槽式光热发电项目</t>
  </si>
  <si>
    <t>在建</t>
  </si>
  <si>
    <t>主体工程2017年6月份开工建设</t>
  </si>
  <si>
    <t>国电投黄河上游水电开发有限责任公司德令哈水工质塔式13.5万千瓦光热发电项目（现由中控太阳能接续开发）</t>
  </si>
  <si>
    <t>2021年3月25日项目正式开建。</t>
  </si>
  <si>
    <t>中国三峡新能源有限公司金塔熔盐塔式10万千瓦光热发电项目（现由中控太阳能接续开发）</t>
  </si>
  <si>
    <t>计划于2023年底实现全容量并网发电</t>
  </si>
  <si>
    <t>达华工程管理（集团）有限公司尚义水工质塔式5万千瓦光热发电项目</t>
  </si>
  <si>
    <t>北京国华电力有限责任公司玉门熔盐塔式10万千瓦光热发电项目（现由首航高科接续开发）</t>
  </si>
  <si>
    <t>退出首批</t>
  </si>
  <si>
    <t>常州龙腾太阳能热电设备有限公司玉门东镇导热油槽式5万千瓦光热发电项目</t>
  </si>
  <si>
    <t>2018年6月19日奠基</t>
  </si>
  <si>
    <t>中海阳能源集团股份有限公司玉门东镇导热油槽式5万千瓦光热发电项目</t>
  </si>
  <si>
    <t>2017年8月12日，前期场平工程正式启动，项目正式进入全面建设阶段。</t>
  </si>
  <si>
    <t>中节能甘肃武威太阳能发电有限公司古浪导热油槽式10万千瓦光热发电项目</t>
  </si>
  <si>
    <t>中阳张家口察北能源有限公司熔盐槽式6.4万千瓦光热发电项目</t>
  </si>
  <si>
    <t>2017年4月17日（2014年7月举行开工仪式。）</t>
  </si>
  <si>
    <t>北方联合电力有限责任公司乌拉特旗导热油菲涅尔式5万千瓦光热发电项目</t>
  </si>
  <si>
    <t>中信张北新能源开发有限公司水工质类菲涅尔式5万千瓦光热发电项目</t>
  </si>
  <si>
    <t>张北华强兆阳能源有限公司张家口水工质类菲涅尔式5万千瓦太阳能热发电项目</t>
  </si>
  <si>
    <r>
      <rPr>
        <sz val="11"/>
        <color rgb="FF000000"/>
        <rFont val="Arial"/>
        <charset val="134"/>
      </rPr>
      <t xml:space="preserve"> </t>
    </r>
    <r>
      <rPr>
        <sz val="11"/>
        <color rgb="FF000000"/>
        <rFont val="宋体"/>
        <charset val="134"/>
      </rPr>
      <t>表</t>
    </r>
    <r>
      <rPr>
        <sz val="11"/>
        <color rgb="FF000000"/>
        <rFont val="Arial"/>
        <charset val="134"/>
      </rPr>
      <t xml:space="preserve"> 3  </t>
    </r>
    <r>
      <rPr>
        <sz val="11"/>
        <color rgb="FF000000"/>
        <rFont val="宋体"/>
        <charset val="134"/>
      </rPr>
      <t>我国地热能开发目标</t>
    </r>
  </si>
  <si>
    <r>
      <rPr>
        <sz val="11"/>
        <rFont val="Arial"/>
        <charset val="134"/>
      </rPr>
      <t xml:space="preserve"> (</t>
    </r>
    <r>
      <rPr>
        <sz val="11"/>
        <rFont val="Microsoft YaHei"/>
        <charset val="134"/>
      </rPr>
      <t>三</t>
    </r>
    <r>
      <rPr>
        <sz val="11"/>
        <rFont val="Arial"/>
        <charset val="134"/>
      </rPr>
      <t>)</t>
    </r>
    <r>
      <rPr>
        <sz val="11"/>
        <rFont val="Microsoft YaHei"/>
        <charset val="134"/>
      </rPr>
      <t>发展目标</t>
    </r>
    <r>
      <rPr>
        <sz val="11"/>
        <rFont val="Arial"/>
        <charset val="134"/>
      </rPr>
      <t xml:space="preserve">
</t>
    </r>
    <r>
      <rPr>
        <sz val="11"/>
        <rFont val="FangSong"/>
        <charset val="134"/>
      </rPr>
      <t>在</t>
    </r>
    <r>
      <rPr>
        <sz val="11"/>
        <rFont val="等线"/>
        <charset val="134"/>
      </rPr>
      <t>“</t>
    </r>
    <r>
      <rPr>
        <sz val="11"/>
        <rFont val="FangSong"/>
        <charset val="134"/>
      </rPr>
      <t>十三五</t>
    </r>
    <r>
      <rPr>
        <sz val="11"/>
        <rFont val="等线"/>
        <charset val="134"/>
      </rPr>
      <t>”</t>
    </r>
    <r>
      <rPr>
        <sz val="11"/>
        <rFont val="FangSong"/>
        <charset val="134"/>
      </rPr>
      <t>时期，新增地热能供暖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>)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11</t>
    </r>
    <r>
      <rPr>
        <sz val="11"/>
        <rFont val="FangSong"/>
        <charset val="134"/>
      </rPr>
      <t>亿平方米，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其中：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新增浅层地热能供暖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</t>
    </r>
    <r>
      <rPr>
        <sz val="11"/>
        <rFont val="Arial"/>
        <charset val="134"/>
      </rPr>
      <t xml:space="preserve"> 7 </t>
    </r>
    <r>
      <rPr>
        <sz val="11"/>
        <rFont val="FangSong"/>
        <charset val="134"/>
      </rPr>
      <t>亿平方米；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新增水热型地热供暖面积</t>
    </r>
    <r>
      <rPr>
        <sz val="11"/>
        <rFont val="Arial"/>
        <charset val="134"/>
      </rPr>
      <t xml:space="preserve"> 4 </t>
    </r>
    <r>
      <rPr>
        <sz val="11"/>
        <rFont val="FangSong"/>
        <charset val="134"/>
      </rPr>
      <t>亿平方米。新增地热发电装机容量</t>
    </r>
    <r>
      <rPr>
        <sz val="11"/>
        <rFont val="Arial"/>
        <charset val="134"/>
      </rPr>
      <t xml:space="preserve"> 500MW</t>
    </r>
    <r>
      <rPr>
        <sz val="11"/>
        <rFont val="FangSong"/>
        <charset val="134"/>
      </rPr>
      <t>。到</t>
    </r>
    <r>
      <rPr>
        <sz val="11"/>
        <rFont val="Arial"/>
        <charset val="134"/>
      </rPr>
      <t xml:space="preserve"> 2020 </t>
    </r>
    <r>
      <rPr>
        <sz val="11"/>
        <rFont val="FangSong"/>
        <charset val="134"/>
      </rPr>
      <t>年，</t>
    </r>
    <r>
      <rPr>
        <sz val="11"/>
        <rFont val="Arial"/>
        <charset val="134"/>
      </rPr>
      <t xml:space="preserve"> </t>
    </r>
    <r>
      <rPr>
        <sz val="11"/>
        <rFont val="FangSong"/>
        <charset val="134"/>
      </rPr>
      <t>地热供暖</t>
    </r>
    <r>
      <rPr>
        <sz val="11"/>
        <rFont val="Arial"/>
        <charset val="134"/>
      </rPr>
      <t>(</t>
    </r>
    <r>
      <rPr>
        <sz val="11"/>
        <rFont val="FangSong"/>
        <charset val="134"/>
      </rPr>
      <t>制冷</t>
    </r>
    <r>
      <rPr>
        <sz val="11"/>
        <rFont val="Arial"/>
        <charset val="134"/>
      </rPr>
      <t xml:space="preserve">) </t>
    </r>
    <r>
      <rPr>
        <sz val="11"/>
        <rFont val="FangSong"/>
        <charset val="134"/>
      </rPr>
      <t>面积累计达到</t>
    </r>
    <r>
      <rPr>
        <sz val="11"/>
        <rFont val="Arial"/>
        <charset val="134"/>
      </rPr>
      <t xml:space="preserve"> 16 </t>
    </r>
    <r>
      <rPr>
        <sz val="11"/>
        <rFont val="FangSong"/>
        <charset val="134"/>
      </rPr>
      <t>亿平方米，地热发电装机容量约</t>
    </r>
    <r>
      <rPr>
        <sz val="11"/>
        <rFont val="Arial"/>
        <charset val="134"/>
      </rPr>
      <t xml:space="preserve"> 530MW</t>
    </r>
    <r>
      <rPr>
        <sz val="11"/>
        <rFont val="FangSong"/>
        <charset val="134"/>
      </rPr>
      <t>。</t>
    </r>
    <r>
      <rPr>
        <sz val="11"/>
        <rFont val="Arial"/>
        <charset val="134"/>
      </rPr>
      <t xml:space="preserve">2020 </t>
    </r>
    <r>
      <rPr>
        <sz val="11"/>
        <rFont val="FangSong"/>
        <charset val="134"/>
      </rPr>
      <t>年地热能年利用量</t>
    </r>
    <r>
      <rPr>
        <sz val="11"/>
        <rFont val="Arial"/>
        <charset val="134"/>
      </rPr>
      <t xml:space="preserve"> 7000  </t>
    </r>
    <r>
      <rPr>
        <sz val="11"/>
        <rFont val="FangSong"/>
        <charset val="134"/>
      </rPr>
      <t>万吨标准煤，地热能供暖年利用量</t>
    </r>
    <r>
      <rPr>
        <sz val="11"/>
        <rFont val="Arial"/>
        <charset val="134"/>
      </rPr>
      <t xml:space="preserve">4000 </t>
    </r>
    <r>
      <rPr>
        <sz val="11"/>
        <rFont val="FangSong"/>
        <charset val="134"/>
      </rPr>
      <t>万吨标准煤。京津冀地区地热能年利用量达到约</t>
    </r>
    <r>
      <rPr>
        <sz val="11"/>
        <rFont val="Arial"/>
        <charset val="134"/>
      </rPr>
      <t xml:space="preserve"> 2000</t>
    </r>
    <r>
      <rPr>
        <sz val="11"/>
        <rFont val="FangSong"/>
        <charset val="134"/>
      </rPr>
      <t>万吨标准煤。</t>
    </r>
    <r>
      <rPr>
        <sz val="11"/>
        <rFont val="Arial"/>
        <charset val="134"/>
      </rPr>
      <t xml:space="preserve">
</t>
    </r>
    <r>
      <rPr>
        <sz val="11"/>
        <rFont val="Arial"/>
        <charset val="134"/>
      </rPr>
      <t xml:space="preserve">
                    </t>
    </r>
  </si>
  <si>
    <r>
      <rPr>
        <sz val="10"/>
        <rFont val="Times New Roman"/>
        <charset val="134"/>
      </rPr>
      <t>“</t>
    </r>
    <r>
      <rPr>
        <sz val="10"/>
        <rFont val="SimSun"/>
        <charset val="134"/>
      </rPr>
      <t>十三五</t>
    </r>
    <r>
      <rPr>
        <sz val="10"/>
        <rFont val="Times New Roman"/>
        <charset val="134"/>
      </rPr>
      <t>”</t>
    </r>
    <r>
      <rPr>
        <sz val="10"/>
        <rFont val="SimSun"/>
        <charset val="134"/>
      </rPr>
      <t>新增</t>
    </r>
  </si>
  <si>
    <r>
      <rPr>
        <sz val="10"/>
        <rFont val="Times New Roman"/>
        <charset val="134"/>
      </rPr>
      <t xml:space="preserve">2020 </t>
    </r>
    <r>
      <rPr>
        <sz val="10"/>
        <rFont val="SimSun"/>
        <charset val="134"/>
      </rPr>
      <t>年累计</t>
    </r>
  </si>
  <si>
    <r>
      <rPr>
        <sz val="10"/>
        <rFont val="SimSun"/>
        <charset val="134"/>
      </rPr>
      <t xml:space="preserve">浅层地热能
</t>
    </r>
    <r>
      <rPr>
        <sz val="10"/>
        <rFont val="SimSun"/>
        <charset val="134"/>
      </rPr>
      <t>供暖</t>
    </r>
    <r>
      <rPr>
        <sz val="10"/>
        <rFont val="Times New Roman"/>
        <charset val="134"/>
      </rPr>
      <t>/</t>
    </r>
    <r>
      <rPr>
        <sz val="10"/>
        <rFont val="SimSun"/>
        <charset val="134"/>
      </rPr>
      <t xml:space="preserve">制冷
</t>
    </r>
    <r>
      <rPr>
        <sz val="10"/>
        <rFont val="SimSun"/>
        <charset val="134"/>
      </rPr>
      <t xml:space="preserve">面积
</t>
    </r>
    <r>
      <rPr>
        <sz val="10"/>
        <rFont val="SimSun"/>
        <charset val="134"/>
      </rPr>
      <t>(</t>
    </r>
    <r>
      <rPr>
        <sz val="10"/>
        <rFont val="Times New Roman"/>
        <charset val="134"/>
      </rPr>
      <t>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 xml:space="preserve">2 </t>
    </r>
    <r>
      <rPr>
        <sz val="10"/>
        <rFont val="SimSun"/>
        <charset val="134"/>
      </rPr>
      <t>)</t>
    </r>
  </si>
  <si>
    <r>
      <rPr>
        <sz val="10"/>
        <rFont val="SimSun"/>
        <charset val="134"/>
      </rPr>
      <t xml:space="preserve">水热型地热
</t>
    </r>
    <r>
      <rPr>
        <sz val="10"/>
        <rFont val="SimSun"/>
        <charset val="134"/>
      </rPr>
      <t xml:space="preserve">能供暖面积
</t>
    </r>
    <r>
      <rPr>
        <sz val="10"/>
        <rFont val="Times New Roman"/>
        <charset val="134"/>
      </rPr>
      <t>(10</t>
    </r>
    <r>
      <rPr>
        <sz val="7"/>
        <rFont val="Times New Roman"/>
        <charset val="134"/>
      </rPr>
      <t>4</t>
    </r>
    <r>
      <rPr>
        <sz val="10"/>
        <rFont val="Times New Roman"/>
        <charset val="134"/>
      </rPr>
      <t>m</t>
    </r>
    <r>
      <rPr>
        <sz val="7"/>
        <rFont val="Times New Roman"/>
        <charset val="134"/>
      </rPr>
      <t>2</t>
    </r>
    <r>
      <rPr>
        <sz val="10"/>
        <rFont val="Times New Roman"/>
        <charset val="134"/>
      </rPr>
      <t>)</t>
    </r>
  </si>
  <si>
    <r>
      <rPr>
        <sz val="10"/>
        <rFont val="SimSun"/>
        <charset val="134"/>
      </rPr>
      <t xml:space="preserve">发电装
</t>
    </r>
    <r>
      <rPr>
        <sz val="10"/>
        <rFont val="SimSun"/>
        <charset val="134"/>
      </rPr>
      <t xml:space="preserve">机容量
</t>
    </r>
    <r>
      <rPr>
        <sz val="10"/>
        <rFont val="Times New Roman"/>
        <charset val="134"/>
      </rPr>
      <t>(MW)</t>
    </r>
  </si>
  <si>
    <t>北京市</t>
  </si>
  <si>
    <t>天津市</t>
  </si>
  <si>
    <t>河北省</t>
  </si>
  <si>
    <t>山西省</t>
  </si>
  <si>
    <t>山东省</t>
  </si>
  <si>
    <t>河南省</t>
  </si>
  <si>
    <t>陕西省</t>
  </si>
  <si>
    <t>宁夏回族自治区</t>
  </si>
  <si>
    <t>四川省</t>
  </si>
  <si>
    <t>重庆市</t>
  </si>
  <si>
    <t>湖北省</t>
  </si>
  <si>
    <t>湖南省</t>
  </si>
  <si>
    <t>江西省</t>
  </si>
  <si>
    <t>安徽省</t>
  </si>
  <si>
    <t>江苏省</t>
  </si>
  <si>
    <t>上海市</t>
  </si>
  <si>
    <t>浙江省</t>
  </si>
  <si>
    <t>辽宁省</t>
  </si>
  <si>
    <t>吉林省</t>
  </si>
  <si>
    <t>黑龙江省</t>
  </si>
  <si>
    <t>广东省</t>
  </si>
  <si>
    <t>福建省</t>
  </si>
  <si>
    <t>海南省</t>
  </si>
  <si>
    <t>云南省</t>
  </si>
  <si>
    <t>贵州省</t>
  </si>
  <si>
    <t>广西壮族自治区</t>
  </si>
  <si>
    <t>西藏自治区</t>
  </si>
  <si>
    <t>全国</t>
  </si>
  <si>
    <t>Country</t>
  </si>
  <si>
    <t>Project Name</t>
  </si>
  <si>
    <t>Project Name in Local Language / Script</t>
  </si>
  <si>
    <t>Capacity (MW)</t>
  </si>
  <si>
    <t>Installation Type</t>
  </si>
  <si>
    <t>Status</t>
  </si>
  <si>
    <t>Start year</t>
  </si>
  <si>
    <t>State/Province</t>
  </si>
  <si>
    <t>China</t>
  </si>
  <si>
    <t>Fujian Ningde Xiapu Offshore wind farm</t>
  </si>
  <si>
    <t>福建宁德霞浦海上风电D区</t>
  </si>
  <si>
    <t>offshore hard mount</t>
  </si>
  <si>
    <t>announced</t>
  </si>
  <si>
    <t>Fujian</t>
  </si>
  <si>
    <t>Hainan Wanning Offshore Floating wind farm</t>
  </si>
  <si>
    <t>海南万宁漂浮式海上风电项目一期</t>
  </si>
  <si>
    <t>offshore floating</t>
  </si>
  <si>
    <t>construction</t>
  </si>
  <si>
    <t>Hainan</t>
  </si>
  <si>
    <t>海南万宁漂浮式海上风电项目二期</t>
  </si>
  <si>
    <t>Fujian Pingtan Changjiang'Ao Offshore wind farm</t>
  </si>
  <si>
    <t>福建平潭长江澳185MW 海上风电场</t>
  </si>
  <si>
    <t>Fujian Zhangpu Liu'ao offshore wind farm</t>
  </si>
  <si>
    <t>三峡福建漳浦六鳌海上风电场二期项目</t>
  </si>
  <si>
    <t>Fujian Zhangpu Liu'Ao Offshore wind farm</t>
  </si>
  <si>
    <t>福建漳浦六鳌海上风电场D区</t>
  </si>
  <si>
    <t>福建漳浦六鳌海上风电场E区</t>
  </si>
  <si>
    <t>Guangdong Huizhou Gangkou 2 Offshore wind farm</t>
  </si>
  <si>
    <t>广东惠州港口二 PA 海上风电场</t>
  </si>
  <si>
    <t>Guangdong</t>
  </si>
  <si>
    <t>广东惠州港口二 PB 海上风电场</t>
  </si>
  <si>
    <t>Guangdong Nan'ao Lemen 2 Offshore wind farm</t>
  </si>
  <si>
    <t>广东汕头勒门（二）海上风电场</t>
  </si>
  <si>
    <t>Guangdong Shantou Nan'Ao Yangdong Offshore wind farm</t>
  </si>
  <si>
    <t>广东汕头市南澳洋东海上风电项目</t>
  </si>
  <si>
    <t>Guangdong Shantou Zhongpeng Offshore Area 2 wind farm</t>
  </si>
  <si>
    <t>广东汕头中澎二海上风电场</t>
  </si>
  <si>
    <t>Guangdong Yangjiang Fanshi Offshore wind farm</t>
  </si>
  <si>
    <t>广东阳江帆石一海上风电场</t>
  </si>
  <si>
    <t>广东阳江帆石二海上风电场</t>
  </si>
  <si>
    <t>Guangdong Yangjiang Qingzhou I Offshore wind farm</t>
  </si>
  <si>
    <t>广东阳江青洲一海上风电场项目</t>
  </si>
  <si>
    <t>Guangdong Yangjiang Qingzhou Ii Offshore wind farm</t>
  </si>
  <si>
    <t>广东阳江青洲二海上风电场项目</t>
  </si>
  <si>
    <t>Guangdong Yangjiang Qingzhou Iv Offshore wind farm</t>
  </si>
  <si>
    <t>广东阳江青洲四海上风电场项目</t>
  </si>
  <si>
    <t>Guangdong Yangjiang Qingzhou V Offshore wind farm</t>
  </si>
  <si>
    <t>广东阳江青洲五海上风电场项目</t>
  </si>
  <si>
    <t>Guangdong Yangjiang Qingzhou Vi Offshore wind farm</t>
  </si>
  <si>
    <t>广东阳江青洲六海上风电场项目</t>
  </si>
  <si>
    <t>Guangdong Yangjiang Qingzhou Vii Offshore wind farm</t>
  </si>
  <si>
    <t>广东阳江青洲七海上风电场项目</t>
  </si>
  <si>
    <t>Hainan CZ2 Demonstration Offshore wind farm</t>
  </si>
  <si>
    <t>海南CZ2海上示范风电场</t>
  </si>
  <si>
    <t>Hainan CZ9 Demonstration Offshore wind farm</t>
  </si>
  <si>
    <t>海南CZ9海上示范风电场</t>
  </si>
  <si>
    <t>Liaoning Zhuanghe (Taopingwan) wind farm</t>
  </si>
  <si>
    <t>大连市庄河海上风电场址V项目</t>
  </si>
  <si>
    <t>Liaoning</t>
  </si>
  <si>
    <t>Shandong Bandaobei 6 Offshore wind farm</t>
  </si>
  <si>
    <t>山东牟平半岛北6#海上风电场一期</t>
  </si>
  <si>
    <t>Shandong</t>
  </si>
  <si>
    <t>Shandong Bandaobei BW Offshore wind farm</t>
  </si>
  <si>
    <t>华能山东半岛北BW场址海上风电项目</t>
  </si>
  <si>
    <t>Shandong Bandaonan (Guohua) Offshore wind farm</t>
  </si>
  <si>
    <t>国华半岛南地区600mw海上风电项目</t>
  </si>
  <si>
    <t>国华半岛南地区600MW海上风电项</t>
  </si>
  <si>
    <t>Shandong Bandaonan U Offshore wind farm</t>
  </si>
  <si>
    <t>山东半岛南海上风电基地U场</t>
  </si>
  <si>
    <t>Shandong Bandaonan U2 Offshore wind farm</t>
  </si>
  <si>
    <t>山东半岛南海上风电U2场址项目（一期）</t>
  </si>
  <si>
    <t>Zhejiang Cangnan 2 wind farm</t>
  </si>
  <si>
    <t>浙江苍南2号海上风电场</t>
  </si>
  <si>
    <t>Zhejiang</t>
  </si>
  <si>
    <t>Zhejiang Daishan 1 Offshore wind farm</t>
  </si>
  <si>
    <t>浙江岱山1#海上风电场</t>
  </si>
  <si>
    <t>Zhejiang Rui'An 1 Offshore wind farm</t>
  </si>
  <si>
    <t>浙江瑞安1号海上风电场</t>
  </si>
  <si>
    <t>Zhejiang Taizhou 1 Offshore wind farm</t>
  </si>
  <si>
    <t>浙江台州1#海上风电场</t>
  </si>
  <si>
    <t>Zhejiang Xiangshan 1 Offshore wind farm</t>
  </si>
  <si>
    <t>浙江象山1#海上风电场二期</t>
  </si>
  <si>
    <t>Zhejiang Yuhuan No.2 offshore wind farm</t>
  </si>
  <si>
    <t>华能玉环2号海上风电项目</t>
  </si>
  <si>
    <t>Guangxi Fangchenggang Pilot Offshore wind farm</t>
  </si>
  <si>
    <t>广西防城港海上风电示范项目A场址工程项目</t>
  </si>
  <si>
    <t>offshore mount unknown</t>
  </si>
  <si>
    <t>Guangxi</t>
  </si>
  <si>
    <t>Liaoning Dalian Zhuanghe 5 Offshore wind farm</t>
  </si>
  <si>
    <t>三峡能源大连市庄河V(250MW)海上风电场项目</t>
  </si>
  <si>
    <t>Shandong Muping (Three Gorges) Offshore wind farm</t>
  </si>
  <si>
    <t>三峡山东牟平BDB6#一期（300MW）海上风电项目</t>
  </si>
  <si>
    <t>Shandong Weihai Bandaonan offshore wind farm</t>
  </si>
  <si>
    <t>国华半岛南U2场址600MW海上风电项目</t>
  </si>
  <si>
    <t>Zhejiang Yuhuan (Huaneng) wind farm</t>
  </si>
  <si>
    <t>Fujian Changle 'Outer Ocean' Area A Offshore wind farm</t>
  </si>
  <si>
    <t>福建长乐外海海上风电场A区</t>
  </si>
  <si>
    <t>operating</t>
  </si>
  <si>
    <t>Fujian Changle 'Outer Ocean' Area C Offshore wind farm</t>
  </si>
  <si>
    <t>福建长乐外海海上风电场C区</t>
  </si>
  <si>
    <t>Fujian Fuqing Haitan Straits Offshore wind farm</t>
  </si>
  <si>
    <t>福清海坛海峡海上风电场</t>
  </si>
  <si>
    <t>Fujian Fuqing Xinghuawan Experimental Offshore wind farm</t>
  </si>
  <si>
    <t>福清兴化湾海上风电试验场一期</t>
  </si>
  <si>
    <t>Fujian Fuqing Xinghuawan Offshore wind farm</t>
  </si>
  <si>
    <t>福清兴化湾海上风电试验场二期</t>
  </si>
  <si>
    <t>Fujian Pingtan Dalian Offshore wind farm</t>
  </si>
  <si>
    <t>福建平潭大练海上风电场</t>
  </si>
  <si>
    <t>Fujian Pingtan Straits Road/Railroad Bridge Illumination Project Offshore Distributed wind farm</t>
  </si>
  <si>
    <t>福建平潭海峡公铁两用大桥照明工程分散式风电场</t>
  </si>
  <si>
    <t>Fujian Pingtan Waihai Offshore wind farm</t>
  </si>
  <si>
    <t>福建平潭外海海上风电场</t>
  </si>
  <si>
    <t>Fujian Putian Nanridao Offshore wind farm</t>
  </si>
  <si>
    <t>莆田南日岛海上风电场一期项目A区</t>
  </si>
  <si>
    <t>莆田南日岛海上风电场一期项目B 区</t>
  </si>
  <si>
    <t>Fujian Putian Pinghaiwan Offshore wind farm</t>
  </si>
  <si>
    <t>福建莆田平海湾海上风电场一期</t>
  </si>
  <si>
    <t>福建莆田平海湾海上风电场二期</t>
  </si>
  <si>
    <t>福建莆田平海湾海上风电场三期C区</t>
  </si>
  <si>
    <t>福建莆田平海湾海上风电场F区</t>
  </si>
  <si>
    <t>Fujian Shicheng Offshore wind farm</t>
  </si>
  <si>
    <t>福建莆田石城海上风电场</t>
  </si>
  <si>
    <t>Guangdong Huizhou Gangkou 1 Offshore wind farm</t>
  </si>
  <si>
    <t>广东惠州港口—海上风电场</t>
  </si>
  <si>
    <t>Guangdong Jieyang Huilai 2 Offshore wind farm</t>
  </si>
  <si>
    <t>广东揭阳惠来二海上风电场项目</t>
  </si>
  <si>
    <t>Guangdong Jieyang Shenquan 1 Offshore wind farm</t>
  </si>
  <si>
    <t>广东揭阳神泉一海上风电场</t>
  </si>
  <si>
    <t>Guangdong Jieyang Shenquan 2 Offshore wind farm</t>
  </si>
  <si>
    <t>广东揭阳神泉二海上风电场</t>
  </si>
  <si>
    <t>Guangdong Nan'ao Lemen 1 Offshore wind farm</t>
  </si>
  <si>
    <t>广东南澳勒门Ⅰ海上风电场</t>
  </si>
  <si>
    <t>Guangdong Shanwei Houhu Offshore wind farm</t>
  </si>
  <si>
    <t>广东汕尾后湖海上风电场</t>
  </si>
  <si>
    <t>Guangdong Shanwei Jiazi 1 Offshore wind farm</t>
  </si>
  <si>
    <t>广东汕尾甲子一海上风电场</t>
  </si>
  <si>
    <t>Guangdong Shanwei Jiazi 2 Offshore wind farm</t>
  </si>
  <si>
    <t>广东汕尾甲子二海上风电场</t>
  </si>
  <si>
    <t>Guangdong Yangjiang Nanpengdao (China Energy Conservation) Offshore wind farm</t>
  </si>
  <si>
    <t>广东阳江南鹏岛海上风电项目 (中节能)</t>
  </si>
  <si>
    <t>Guangdong Yangjiang Nanpengdao (China Guangdong Nuclear) Offshore wind farm</t>
  </si>
  <si>
    <t>广东阳江南鹏岛海上风电项目 (中广核)</t>
  </si>
  <si>
    <t>Guangdong Yangjiang Offshore Wind Farm R&amp;D Demonstration Project</t>
  </si>
  <si>
    <t>广东阳江沙扒海上风电科研示范项目</t>
  </si>
  <si>
    <t>Guangdong Yangjiang Qingzhou Iii Offshore wind farm</t>
  </si>
  <si>
    <t>广东阳江青洲三海上风电场项目</t>
  </si>
  <si>
    <t>Guangdong Yangjiang Shaba (Guangdong Energy) Offshore wind farm</t>
  </si>
  <si>
    <t>广东阳江沙扒海上风电场</t>
  </si>
  <si>
    <t>Guangdong Yangjiang Shaba (Three Gorges) Offshore wind farm</t>
  </si>
  <si>
    <t>广东阳江阳西沙扒一期海上风电场</t>
  </si>
  <si>
    <t>广东阳江阳西沙扒二期 400MW海上风电场</t>
  </si>
  <si>
    <t>广东阳江阳西沙扒三期 400MW海上风电场</t>
  </si>
  <si>
    <t>广东阳江阳西沙扒四期海上风电场</t>
  </si>
  <si>
    <t>广东阳江阳西沙扒五期 300MW 海上风电场项目</t>
  </si>
  <si>
    <t>Guangdong Zhanjiang Wailuo Offshore wind farm</t>
  </si>
  <si>
    <t>广东湛江外罗海上风电场</t>
  </si>
  <si>
    <t>广东湛江外罗海上风电场二期</t>
  </si>
  <si>
    <t>Guangdong Zhanjiang Xinliao Offshore wind farm</t>
  </si>
  <si>
    <t>广东湛江新寮海上风电场</t>
  </si>
  <si>
    <t>Guangdong Zhanjiang Xuwen Offshore wind farm</t>
  </si>
  <si>
    <t>广东湛江徐闻海上风电场</t>
  </si>
  <si>
    <t>Guangdong Zhuhai Guishan Offshore Wind Demonstration Project</t>
  </si>
  <si>
    <t>广东珠海桂山海上风电场示范项目一期</t>
  </si>
  <si>
    <t>Guangdong Zhuhai Guishan Offshore Wind Demonstration Project Phase Ii</t>
  </si>
  <si>
    <t>广东珠海桂山海上风电场示范项目二期</t>
  </si>
  <si>
    <t>Guangdong Zhuhai Jinwan Offshore wind farm</t>
  </si>
  <si>
    <t>广东珠海金湾海上风电场项目</t>
  </si>
  <si>
    <t>Hebei Tangshan Leting Putidao Offshore wind farm</t>
  </si>
  <si>
    <t>河北唐山乐亭菩提岛海上风电场</t>
  </si>
  <si>
    <t>Hebei</t>
  </si>
  <si>
    <t>Jiangsu Binhai (Datang) Offshore wind farm</t>
  </si>
  <si>
    <t>江苏滨海300MW海上风电项目</t>
  </si>
  <si>
    <t>Jiangsu</t>
  </si>
  <si>
    <t>Jiangsu Binhai North Area H1 Offshore wind farm</t>
  </si>
  <si>
    <t>江苏滨海北区H1#海上风电场</t>
  </si>
  <si>
    <t>Jiangsu Binhai North Area H2 Offshore wind farm</t>
  </si>
  <si>
    <t>国家电投江苏滨海北H2#400MW海上风电项目</t>
  </si>
  <si>
    <t>Jiangsu Binhai South Area H3 Offshore wind farm</t>
  </si>
  <si>
    <t>江苏滨海南区H3#300MW 海上风电场</t>
  </si>
  <si>
    <t>Jiangsu Dafeng (Huaneng) Offshore wind farm</t>
  </si>
  <si>
    <t>江苏大丰H13海上风电项目</t>
  </si>
  <si>
    <t>华能江苏大丰扩建 100MW 海上风电项目</t>
  </si>
  <si>
    <t>Jiangsu Dafeng H10 Offshore wind farm</t>
  </si>
  <si>
    <t>江苏大丰H10海上风电场</t>
  </si>
  <si>
    <t>Jiangsu Dafeng H11 Offshore wind farm</t>
  </si>
  <si>
    <t>江苏大丰H11海上风电场</t>
  </si>
  <si>
    <t>Jiangsu Dafeng H12 Offshore wind farm</t>
  </si>
  <si>
    <t>江苏大丰H12海上风电项目</t>
  </si>
  <si>
    <t>Jiangsu Dafeng H3 Offshore wind farm</t>
  </si>
  <si>
    <t>江苏大丰H3#海上风电场</t>
  </si>
  <si>
    <t>Jiangsu Dafeng H4 Offshore wind farm</t>
  </si>
  <si>
    <t>龙源江苏大丰H4#300MW海上风电项目</t>
  </si>
  <si>
    <t>Jiangsu Dafeng H5 Offshore wind farm</t>
  </si>
  <si>
    <t>​盐城国能大丰H5#200MW海上风电场</t>
  </si>
  <si>
    <t>Jiangsu Dafeng H6 Offshore wind farm</t>
  </si>
  <si>
    <t>龙源江苏大丰 H6#300MW 海上风电项目</t>
  </si>
  <si>
    <t>Jiangsu Dafeng H7 Offshore wind farm</t>
  </si>
  <si>
    <t>龙源江苏大丰 H7 海上风电项目</t>
  </si>
  <si>
    <t>Jiangsu Dafeng H8-2 Offshore wind farm</t>
  </si>
  <si>
    <t>江苏大丰H8-2号海上风电场</t>
  </si>
  <si>
    <t>Jiangsu Dongtai (Jiangsu Guangheng) Offshore wind farm</t>
  </si>
  <si>
    <t>江苏东台200兆瓦海上风电项目 (江苏广恒)</t>
  </si>
  <si>
    <t>Jiangsu Dongtai H2 Offshore wind farm</t>
  </si>
  <si>
    <t>东台四期（H2）300MW海上风电场</t>
  </si>
  <si>
    <t>Jiangsu Dongtai Zhugensha H1 Offshore wind farm</t>
  </si>
  <si>
    <t>江苏竹根沙H1#海上风电场</t>
  </si>
  <si>
    <t>Jiangsu Dongtai Zhugensha H2 Offshore wind farm</t>
  </si>
  <si>
    <t>江苏竹根沙（H2#）300MW 海上风电场项目</t>
  </si>
  <si>
    <t>Jiangsu Guanyun Offshore wind farm</t>
  </si>
  <si>
    <t>灌云300MW海上风电场</t>
  </si>
  <si>
    <t>Jiangsu Jiangjiasha H1 Offshore wind farm</t>
  </si>
  <si>
    <t>蒋家沙(H1) 海上风电项目</t>
  </si>
  <si>
    <t>Jiangsu Jiangjiasha H2 wind farm</t>
  </si>
  <si>
    <t>江苏蒋家沙（H2#）300MW海上风电场项目</t>
  </si>
  <si>
    <t>Jiangsu Qidong offshore wind farm</t>
  </si>
  <si>
    <t>江苏启东H1#海上风电场项目</t>
  </si>
  <si>
    <t>江苏启东 H2#海上风电场项目</t>
  </si>
  <si>
    <t>江苏启东H3#海上风电场项目</t>
  </si>
  <si>
    <t>Jiangsu Rudong (China Guangdong Nuclear) Offshore wind farm</t>
  </si>
  <si>
    <t>中广核如东海上风电项目</t>
  </si>
  <si>
    <t>Jiangsu Rudong (Longyuan) Intertidal Zone Demonstration wind farm</t>
  </si>
  <si>
    <t>龙源南通如东潮间带示范风电场150MW发电工程</t>
  </si>
  <si>
    <t>龙源南通如东潮间带示范风电场50MW扩建发电工程</t>
  </si>
  <si>
    <t>Jiangsu Rudong (Sinohydro) Intertidal Zone Demonstration wind farm</t>
  </si>
  <si>
    <t>中国水电南通如东潮间带示范风电场50MW扩建发电工程</t>
  </si>
  <si>
    <t>Jiangsu Rudong Baxianjiao Offshore wind farm</t>
  </si>
  <si>
    <t>华能如东八仙角300MW海上风电场工程</t>
  </si>
  <si>
    <t>Jiangsu Rudong C4 Offshore wind farm</t>
  </si>
  <si>
    <t>龙源黄海如东海上风力发电南通C4#200MW发电工程</t>
  </si>
  <si>
    <t>Jiangsu Rudong H10 Offshore wind farm</t>
  </si>
  <si>
    <t>三峡新能源江苏如东H10(400MW)海上风电项目</t>
  </si>
  <si>
    <t>Jiangsu Rudong H13 Offshore wind farm</t>
  </si>
  <si>
    <t>如东 H13 海上风电项目</t>
  </si>
  <si>
    <t>Jiangsu Rudong H14 Offshore wind farm</t>
  </si>
  <si>
    <t>江苏如东 H14#海上风电场项目</t>
  </si>
  <si>
    <t>Jiangsu Rudong H15 Offshore wind farm</t>
  </si>
  <si>
    <t>江苏如东 H15#海上风电场</t>
  </si>
  <si>
    <t>Jiangsu Rudong H2 Offshore wind farm</t>
  </si>
  <si>
    <t>江苏如东H2#海上风电场工程</t>
  </si>
  <si>
    <t>Jiangsu Rudong H3 Offshore wind farm</t>
  </si>
  <si>
    <t>江苏如东H3海上风电场工程</t>
  </si>
  <si>
    <t>Jiangsu Rudong H4 Offshore wind farm</t>
  </si>
  <si>
    <t>江苏如东H4#海上风电场</t>
  </si>
  <si>
    <t>Jiangsu Rudong H5 Offshore wind farm</t>
  </si>
  <si>
    <t>江苏如东H5#海上风电场</t>
  </si>
  <si>
    <t>Jiangsu Rudong H6 Offshore wind farm</t>
  </si>
  <si>
    <t>三峡新能源江苏如东 H6（400MW）海上风电项目</t>
  </si>
  <si>
    <t>Jiangsu Rudong H7 Offshore wind farm</t>
  </si>
  <si>
    <t>江苏如东H7#海上风电场</t>
  </si>
  <si>
    <t>Jiangsu Rudong H8 Offshore wind farm</t>
  </si>
  <si>
    <t>中广核江苏如东H8#（300MW）海上风电项目</t>
  </si>
  <si>
    <t>Jiangsu Rudong Intertidal Zone Experimental wind farm</t>
  </si>
  <si>
    <t>通如东潮间带风电场30MW发电工程</t>
  </si>
  <si>
    <t>Jiangsu Sheyang Souithern Area H2 Offshore wind farm</t>
  </si>
  <si>
    <t>龙源射阳H2#30万千瓦海上风电场</t>
  </si>
  <si>
    <t>Jiangsu Sheyang Southern Area H1 Offshore wind farm</t>
  </si>
  <si>
    <t>射阳海上南区H1#30 万千瓦风电场</t>
  </si>
  <si>
    <t>Jiangsu Sheyang Southern Area H2-1 Offshore wind farm</t>
  </si>
  <si>
    <t>龙源江苏射阳海上南区H2-1#100MW 风电场</t>
  </si>
  <si>
    <t>Jiangsu Xiangshui Near-Ocean Ofshore wind farm</t>
  </si>
  <si>
    <t>中国长江三峡集团公司江苏响水近海风电场</t>
  </si>
  <si>
    <t>Liaoning Dalian Zhuanghe 2 Offshore wind farm</t>
  </si>
  <si>
    <t>华能大连庄河II海上风电场</t>
  </si>
  <si>
    <t>Liaoning Dalian Zhuanghe 3 Offshore wind farm</t>
  </si>
  <si>
    <t>三峡新能大连庄河Ⅲ海上风电场</t>
  </si>
  <si>
    <t>Liaoning Dalian Zhuanghe 4 Area I Offshore wind farm</t>
  </si>
  <si>
    <t>华能大连庄河Ⅳ海上风电场1场址</t>
  </si>
  <si>
    <t>Shandong Bandaonan 3 Offshore wind farm</t>
  </si>
  <si>
    <t>山东半岛南 3 号海上风电项目</t>
  </si>
  <si>
    <t>Shandong Bandaonan 4 Offshore wind farm</t>
  </si>
  <si>
    <t>山东半岛南 4 号海上风电项目</t>
  </si>
  <si>
    <t>Shandong Bandaonan V Offshore wind farm</t>
  </si>
  <si>
    <t>山东半岛南海上风电基地V场址</t>
  </si>
  <si>
    <t>Shandong Bozhong A Offshore wind farm</t>
  </si>
  <si>
    <t>山东渤中A海上风电项目</t>
  </si>
  <si>
    <t>Shandong Bozhong B Offshore wind farm</t>
  </si>
  <si>
    <t>渤中B场址海上风电项目</t>
  </si>
  <si>
    <t>Shandong Bozhong B2 Offshore wind farm</t>
  </si>
  <si>
    <t>国华渤中B2场址海上风电项目</t>
  </si>
  <si>
    <t>Shandong Changyi Laizhouwan Offshore wind farm</t>
  </si>
  <si>
    <t>山东昌邑莱州湾海上风电场一期</t>
  </si>
  <si>
    <t>Shandong Laizhou Offshore Wind Farm And Acquaculture Integrated Project</t>
  </si>
  <si>
    <t>山东莱州市海上风电与海洋牧场融合发展研究试验项目</t>
  </si>
  <si>
    <t>Shangdong Bozhong (Yankuang GroupOffshore) wind farm</t>
  </si>
  <si>
    <t>山东能源集团渤中海上风电项目</t>
  </si>
  <si>
    <t>Shanghai Donghai Bridge Offshore wind farm</t>
  </si>
  <si>
    <t>上海浦东海风力发电浦东东海大桥海上风电项目一期102.2MW发电工程</t>
  </si>
  <si>
    <t>Shanghai</t>
  </si>
  <si>
    <t>上海浦东海风力发电浦东东海大桥海上风电项目二期102.2MW发电工程</t>
  </si>
  <si>
    <t>上海东海大桥海上风电扩建项目</t>
  </si>
  <si>
    <t>Shanghai Fengxian Haiwan Expansion wind farm</t>
  </si>
  <si>
    <t>上海奉贤海湾风电场扩容</t>
  </si>
  <si>
    <t>Shanghai Fengxian Offshore wind farm</t>
  </si>
  <si>
    <t>上海奉贤海上风电场</t>
  </si>
  <si>
    <t>Shanghai Lingang Offshore wind farm</t>
  </si>
  <si>
    <t>上海临港海上风电场一期</t>
  </si>
  <si>
    <t>上海临港海上风电场二期</t>
  </si>
  <si>
    <t>Tianjin Nangang Offshore wind farm</t>
  </si>
  <si>
    <t>天津南港海上风电场一期</t>
  </si>
  <si>
    <t>Tianjin</t>
  </si>
  <si>
    <t>Zhejiang Cangnan 1 Offshore wind farm</t>
  </si>
  <si>
    <t>浙江苍南1号海上风电场</t>
  </si>
  <si>
    <t>Zhejiang Cangnan 4 Offshore wind farm</t>
  </si>
  <si>
    <t>浙江苍南4号海上风电场</t>
  </si>
  <si>
    <t>Zhejiang Daishan 4 Offshore wind farm</t>
  </si>
  <si>
    <t>浙江岱山4 #海上风电场 （ 一 期 ）</t>
  </si>
  <si>
    <t>Zhejiang Jiaxing 1 Offshore wind farm</t>
  </si>
  <si>
    <t>浙江嘉兴1号海上风电场</t>
  </si>
  <si>
    <t>Zhejiang Jiaxing 2 Offshore wind farm</t>
  </si>
  <si>
    <t>浙江嘉兴2号海上风电场</t>
  </si>
  <si>
    <t>Zhejiang Putuo 6 Offshore wind farm</t>
  </si>
  <si>
    <t>浙江普陀6号海上风电场</t>
  </si>
  <si>
    <t>Zhejiang Shengsi 2 Offshore wind farm</t>
  </si>
  <si>
    <t>浙江嵊泗2#海上风电场</t>
  </si>
  <si>
    <t>Zhejiang Shengsi 5, 6 Offshore wind farm</t>
  </si>
  <si>
    <t>浙江嵊泗5#, 6#海上风电</t>
  </si>
  <si>
    <t>浙江象山1#海上风电场一期</t>
  </si>
  <si>
    <t>Zhejiang Xiangshan Tuci Offshore wind farm</t>
  </si>
  <si>
    <t>浙江核象山涂茨海上风电场</t>
  </si>
  <si>
    <t>Zhejiang Yuhuan 1 Offshore wind farm</t>
  </si>
  <si>
    <t>浙江玉环海上风电场</t>
  </si>
  <si>
    <t>Fujian Changle offshore wind farm</t>
  </si>
  <si>
    <t>长乐外海海上风电场C区项目</t>
  </si>
  <si>
    <t>Jiangsu Xiangshui C1 wind farm</t>
  </si>
  <si>
    <t>响水长江风力发电盐城C1#12.5MW发电工程</t>
  </si>
  <si>
    <t>Guangdong Shanwei Mingyang New Technology Demonstration wind farm</t>
  </si>
  <si>
    <t>广东汕尾海洋能源立体化创新开发示范建设项目 (明阳)</t>
  </si>
  <si>
    <t>pre-construction</t>
  </si>
  <si>
    <t>Fujian Changle 'Outer Ocean' Area B Offshore wind farm</t>
  </si>
  <si>
    <t>福建长乐外海海上风电场B区</t>
  </si>
  <si>
    <t>Fujian Changle 'Outer Ocean' Area I Offshore wind farm</t>
  </si>
  <si>
    <t>长乐外海I区（南）30万千瓦海上风电项目</t>
  </si>
  <si>
    <t>Fujian Changle 'Outer Ocean' Area J Offshore wind farm</t>
  </si>
  <si>
    <t>长乐外海J区65万千瓦海上风电项目</t>
  </si>
  <si>
    <t>Fujian Changle 'Outer Ocean' Area K Offshore wind farm</t>
  </si>
  <si>
    <t>长乐外海K区55万千瓦海上风电项目</t>
  </si>
  <si>
    <t>Fujian Lianjiang Outer Ocean (China Resources) Offshore wind farm</t>
  </si>
  <si>
    <t>华润电力连江外海70万千瓦海上风电场项目</t>
  </si>
  <si>
    <t>Fujian Mazu Island Offshore wind farm</t>
  </si>
  <si>
    <t>马祖岛外海上风电项目</t>
  </si>
  <si>
    <t>Fujian Meizhou Bay 'Outer Ocean' Offshore wind farm</t>
  </si>
  <si>
    <t>莆田湄洲湾外海40万千瓦海上风电项目</t>
  </si>
  <si>
    <t>福建宁德霞浦海上风电A区</t>
  </si>
  <si>
    <t>福建宁德霞浦海上风电B区</t>
  </si>
  <si>
    <t>福建宁德霞浦海上风电C区</t>
  </si>
  <si>
    <t>Fujian Pingtan offshore area A wind farm</t>
  </si>
  <si>
    <t>平潭A区海上风电场项目</t>
  </si>
  <si>
    <t>Fujian Pingtan offshore area B and Caoyu wind farm</t>
  </si>
  <si>
    <t>平潭B区及平潭草屿海上风电开发项目</t>
  </si>
  <si>
    <t>福建漳浦六鳌海上风电场F区</t>
  </si>
  <si>
    <t>Guangdong Jieyang Huilai 1 Offshore wind farm</t>
  </si>
  <si>
    <t>广东揭阳惠来一海上风电场项目</t>
  </si>
  <si>
    <t>Guangdong Jieyang Huilai 3 Offshore wind farm</t>
  </si>
  <si>
    <t>广东揭阳惠来三海上风电场项目</t>
  </si>
  <si>
    <t>Guangdong Jieyang Huilai 4 Offshore wind farm</t>
  </si>
  <si>
    <t>广东揭阳惠来四海上风电场项目</t>
  </si>
  <si>
    <t>Guangdong Jieyang Huilai 5 Offshore wind farm</t>
  </si>
  <si>
    <t>广东揭阳惠来五海上风电场项目</t>
  </si>
  <si>
    <t>Guangdong Jieyang Jinghai Offshore wind farm</t>
  </si>
  <si>
    <t>广东揭阳靖海海上风电场</t>
  </si>
  <si>
    <t>Guangdong Jieyang Qianzhan 1 Offshore wind farm</t>
  </si>
  <si>
    <t>广东揭阳前詹一海上风电场项目</t>
  </si>
  <si>
    <t>Guangdong Jieyang Qianzhan 3 Offshore wind farm</t>
  </si>
  <si>
    <t>广东揭阳前詹三海上风电场项目</t>
  </si>
  <si>
    <t>南澳勒门Ⅰ海上风电扩建项目</t>
  </si>
  <si>
    <t>Guangdong Shantou Haimen Area 1 Offshore wind farm</t>
  </si>
  <si>
    <t>广东汕头海门（场址一）海上风电场</t>
  </si>
  <si>
    <t>Guangdong Shantou Haimen Areas 2 and 3 Offshore wind farm</t>
  </si>
  <si>
    <t>广东汕头海门（场址二、场址三）海上风电场</t>
  </si>
  <si>
    <t>Guangdong Shantou Nanpeng Offshore wind farm</t>
  </si>
  <si>
    <t>汕头南澎一海上风电场项目</t>
  </si>
  <si>
    <t>汕头南澎二海上风电场项目</t>
  </si>
  <si>
    <t>汕头南澎三海上风电场项目</t>
  </si>
  <si>
    <t>Guangdong Shantou Qinpeng Offshore wind farm</t>
  </si>
  <si>
    <t>汕头芹澎海上风电场一</t>
  </si>
  <si>
    <t>汕头芹澎海上风电场二</t>
  </si>
  <si>
    <t>汕头芹澎海上风电场三</t>
  </si>
  <si>
    <t>汕头芹澎海上风电场四</t>
  </si>
  <si>
    <t>Guangdong Shantou Zhongpeng Area 1 Offshore wind farm</t>
  </si>
  <si>
    <t>广东汕头中澎一海上风电场</t>
  </si>
  <si>
    <t>Guangdong Shanwei Jiazi 3 Offshore wind farm</t>
  </si>
  <si>
    <t>汕尾甲子三海上风电场</t>
  </si>
  <si>
    <t>Guangdong Shanwei Jieshi Offshore wind farm</t>
  </si>
  <si>
    <t>广东汕尾碣石海上风电场</t>
  </si>
  <si>
    <t>Guangdong Yangjiang Sanshandao Offshore wind farm</t>
  </si>
  <si>
    <t>广东阳江三山岛海上风电场</t>
  </si>
  <si>
    <t>Hainan CZ7 Demonstration Offshore wind farm</t>
  </si>
  <si>
    <t>海南CZ7海上示范风电场</t>
  </si>
  <si>
    <t>Hainan Danzhou CZ3 (Datang) Offshore wind farm</t>
  </si>
  <si>
    <t>大唐海南儋州120万千瓦海上风电项目</t>
  </si>
  <si>
    <t>Jiangsu Dafeng H1 Offshore wind farm</t>
  </si>
  <si>
    <t>江苏大丰H1#海上风电场</t>
  </si>
  <si>
    <t>Jiangsu Dafeng H15 Offshore wind farm</t>
  </si>
  <si>
    <t>江苏大丰H15号海上风电场</t>
  </si>
  <si>
    <t>Jiangsu Dafeng H16 Offshore wind farm</t>
  </si>
  <si>
    <t>江苏大丰H16海上风电项目</t>
  </si>
  <si>
    <t>Jiangsu Dafeng H17 Offshore wind farm</t>
  </si>
  <si>
    <t>江苏大丰H17号海上风电场</t>
  </si>
  <si>
    <t>Jiangsu Dafeng H2 Offshore wind farm</t>
  </si>
  <si>
    <t>江苏大丰H2#海上风电场</t>
  </si>
  <si>
    <t>Jiangsu Dafeng H8-1 Offshore wind farm</t>
  </si>
  <si>
    <t>江苏大丰H8-1号海上风电场</t>
  </si>
  <si>
    <t>Jiangsu Dafeng H9 Offshore wind farm</t>
  </si>
  <si>
    <t>江苏大丰H9号海上风电场</t>
  </si>
  <si>
    <t>Jiangsu Rudong H1-2 wind farm</t>
  </si>
  <si>
    <t>协鑫如东H1-2#海上风电场</t>
  </si>
  <si>
    <t>Jiangsu Sheyang Southern Area H3 Offshore wind farm</t>
  </si>
  <si>
    <t>江苏射阳海上南区H3风电场</t>
  </si>
  <si>
    <t>Jiangsu Sheyang Southern Area H4 Offshore wind farm</t>
  </si>
  <si>
    <t>射阳海上南区H4#30万千瓦风电场</t>
  </si>
  <si>
    <t>Jiangsu Sheyang Southern Area H5 Offshore wind farm</t>
  </si>
  <si>
    <t>射阳海上南区H5#风电场</t>
  </si>
  <si>
    <t>Liaoning Dalian Huayuankou Offshore wind farm</t>
  </si>
  <si>
    <t>辽宁大连花园口海上风电场</t>
  </si>
  <si>
    <t>Liaoning Dalian Zhuanghe 4 Area II Offshore wind farm</t>
  </si>
  <si>
    <t>华能大连庄河海上风电IV2场</t>
  </si>
  <si>
    <t>Liaoning Liaodong Bay (Huaneng) Offshore wind farm</t>
  </si>
  <si>
    <t>华能辽宁公司辽东湾海上风电项目</t>
  </si>
  <si>
    <t>Shandong Bozhong G Offshore wind farm</t>
  </si>
  <si>
    <t>国华渤中G场址海上风电项目</t>
  </si>
  <si>
    <t>Shandong Huaneng Offshore K Area wind farm</t>
  </si>
  <si>
    <t>华能山东半岛北K场址海上风电项目</t>
  </si>
  <si>
    <t>Shanghai Jinshan Offshore wind farm</t>
  </si>
  <si>
    <t>上海金山海上风电场一期</t>
  </si>
  <si>
    <t>Tianjin Nanhaigang Demonstration Offshore wind farm</t>
  </si>
  <si>
    <t>三峡天津南港海上风电示范项目</t>
  </si>
  <si>
    <t>Shandong Huaneng Offshore L Area wind farm</t>
  </si>
  <si>
    <t>华能山东半岛北L场址海上风电项目</t>
  </si>
  <si>
    <t>Zhejiang Dongtou 1 Offshore wind farm</t>
  </si>
  <si>
    <t>浙江洞头1#海上风电场</t>
  </si>
  <si>
    <t>Zhejiang Pingyang 1 Offshore wind farm</t>
  </si>
  <si>
    <t>浙江平阳1#海上风电场</t>
  </si>
  <si>
    <t>Zhejiang Rui'an 2 Offshore wind farm</t>
  </si>
  <si>
    <t>浙江瑞安2#海上风电场</t>
  </si>
  <si>
    <t>Fujian Putian Pinghai Bay offshore wind farm</t>
  </si>
  <si>
    <t>莆田平海湾DE区（40万千瓦）项目</t>
  </si>
  <si>
    <t>国家电投揭阳靖海150MW海上风电项目增容项目</t>
  </si>
  <si>
    <t>国家电投广东湛江徐闻海上风电场增容项目</t>
  </si>
  <si>
    <t>Hainan Dongfang CZ8 Offshore wind farm</t>
  </si>
  <si>
    <t>龙源海南东方CZ8场址50万千瓦海上风电项目</t>
  </si>
  <si>
    <t>Hebei Shanhaiguan Offshore wind farm</t>
  </si>
  <si>
    <t>山海关海上风电一期500兆瓦平价示范项目</t>
  </si>
  <si>
    <t>Shandong Haiwei Peninsular South U Area Offshore wind farm</t>
  </si>
  <si>
    <t>山东海卫半岛南U场址450MW海上风电项目</t>
  </si>
  <si>
    <t>Shandong Penglai Oilfield Offshore wind farm</t>
  </si>
  <si>
    <t>中海油蓬莱油田海上风电示范项目(一期）</t>
  </si>
  <si>
    <t>东海大桥海上风电三期项目</t>
  </si>
  <si>
    <t>奉贤海上风电二期项目</t>
  </si>
  <si>
    <t>奉贤海上风电四期项目</t>
  </si>
  <si>
    <t>金山海上风电场二期项目</t>
  </si>
  <si>
    <t>序号</t>
  </si>
  <si>
    <t>机组名称</t>
  </si>
  <si>
    <t>电厂名称</t>
  </si>
  <si>
    <t>电厂期数</t>
  </si>
  <si>
    <t>机组编号</t>
  </si>
  <si>
    <t>堆型</t>
  </si>
  <si>
    <t>状态</t>
  </si>
  <si>
    <t>城市</t>
  </si>
  <si>
    <t>县</t>
  </si>
  <si>
    <t>经度</t>
  </si>
  <si>
    <t>纬度</t>
  </si>
  <si>
    <t>装机容量(MW)</t>
  </si>
  <si>
    <t>业主单位</t>
  </si>
  <si>
    <t>开工日期</t>
  </si>
  <si>
    <t>首次并网</t>
  </si>
  <si>
    <t>商业运行</t>
  </si>
  <si>
    <t>预计投运</t>
  </si>
  <si>
    <t>退役日期</t>
  </si>
  <si>
    <t>福清1号</t>
  </si>
  <si>
    <t>福清核电厂</t>
  </si>
  <si>
    <t>1期</t>
  </si>
  <si>
    <t>1号机组</t>
  </si>
  <si>
    <t>M310 / CNP1000</t>
  </si>
  <si>
    <t>在运</t>
  </si>
  <si>
    <t>福州市</t>
  </si>
  <si>
    <t>福清市</t>
  </si>
  <si>
    <t>中核集团 </t>
  </si>
  <si>
    <t>福清2号</t>
  </si>
  <si>
    <t>2号机组</t>
  </si>
  <si>
    <t>福清3号</t>
  </si>
  <si>
    <t>3号机组</t>
  </si>
  <si>
    <t>福清4号</t>
  </si>
  <si>
    <t>4号机组</t>
  </si>
  <si>
    <t>福清5号</t>
  </si>
  <si>
    <t>5号机组</t>
  </si>
  <si>
    <t>华龙一号 </t>
  </si>
  <si>
    <t>福清6号</t>
  </si>
  <si>
    <t>6号机组</t>
  </si>
  <si>
    <t>宁德1号</t>
  </si>
  <si>
    <t>宁德核电厂</t>
  </si>
  <si>
    <t>CPR1000 </t>
  </si>
  <si>
    <t>宁德市</t>
  </si>
  <si>
    <t>福鼎市</t>
  </si>
  <si>
    <t>中国广核集团 </t>
  </si>
  <si>
    <t>宁德2号</t>
  </si>
  <si>
    <t>宁德3号</t>
  </si>
  <si>
    <t>宁德4号</t>
  </si>
  <si>
    <t>霞浦示范快堆1号</t>
  </si>
  <si>
    <t>霞浦示范快堆</t>
  </si>
  <si>
    <t>CFR600 </t>
  </si>
  <si>
    <t>霞浦县</t>
  </si>
  <si>
    <t>霞浦示范快堆2号</t>
  </si>
  <si>
    <t>漳州1号</t>
  </si>
  <si>
    <t>漳州核电厂</t>
  </si>
  <si>
    <t>漳州市</t>
  </si>
  <si>
    <t>东山县</t>
  </si>
  <si>
    <t>漳州2号</t>
  </si>
  <si>
    <t>漳州3号</t>
  </si>
  <si>
    <t>2期</t>
  </si>
  <si>
    <t>核准</t>
  </si>
  <si>
    <t>2022-09-13 核准</t>
  </si>
  <si>
    <t>漳州4号</t>
  </si>
  <si>
    <t>大亚湾1号</t>
  </si>
  <si>
    <t>大亚湾核电厂</t>
  </si>
  <si>
    <t>M310 </t>
  </si>
  <si>
    <t>深圳市</t>
  </si>
  <si>
    <t>宝安区</t>
  </si>
  <si>
    <t>大亚湾2号</t>
  </si>
  <si>
    <t>岭澳1号</t>
  </si>
  <si>
    <t>岭澳核电厂</t>
  </si>
  <si>
    <t>岭澳2号</t>
  </si>
  <si>
    <t>岭澳3号</t>
  </si>
  <si>
    <t>岭澳4号</t>
  </si>
  <si>
    <t>台山1号</t>
  </si>
  <si>
    <t>台山核电厂</t>
  </si>
  <si>
    <t>EPR </t>
  </si>
  <si>
    <t>江门市</t>
  </si>
  <si>
    <t>台山市</t>
  </si>
  <si>
    <t>台山2号</t>
  </si>
  <si>
    <t>太平岭1号</t>
  </si>
  <si>
    <t>太平岭核电厂</t>
  </si>
  <si>
    <t>惠州市</t>
  </si>
  <si>
    <t>惠东县</t>
  </si>
  <si>
    <t>太平岭2号</t>
  </si>
  <si>
    <t>阳江1号</t>
  </si>
  <si>
    <t>阳江核电厂</t>
  </si>
  <si>
    <t>2008/12/16 </t>
  </si>
  <si>
    <t>2013/12/31 </t>
  </si>
  <si>
    <t>2014/03/25 </t>
  </si>
  <si>
    <t>阳江2号</t>
  </si>
  <si>
    <t>2009/06/04 </t>
  </si>
  <si>
    <t>2015/03/10 </t>
  </si>
  <si>
    <t>2015/06/05 </t>
  </si>
  <si>
    <t>阳江3号</t>
  </si>
  <si>
    <t>2010/11/15 </t>
  </si>
  <si>
    <t>2015/10/18 </t>
  </si>
  <si>
    <t>2016/01/01 </t>
  </si>
  <si>
    <t>阳江4号</t>
  </si>
  <si>
    <t>2012/11/17 </t>
  </si>
  <si>
    <t>2017/01/08 </t>
  </si>
  <si>
    <t>2017/03/15 </t>
  </si>
  <si>
    <t>阳江5号</t>
  </si>
  <si>
    <t>ACPR1000 </t>
  </si>
  <si>
    <t>2013/09/27 </t>
  </si>
  <si>
    <t>2018/05/23 </t>
  </si>
  <si>
    <t>2018/07/12 </t>
  </si>
  <si>
    <t>阳江6号</t>
  </si>
  <si>
    <t>2013/12/23 </t>
  </si>
  <si>
    <t>2019/06/29 </t>
  </si>
  <si>
    <t>2019/07/24 </t>
  </si>
  <si>
    <t>2019/10/16 </t>
  </si>
  <si>
    <t>2020/09/04 </t>
  </si>
  <si>
    <t>2022/09/13 核准</t>
  </si>
  <si>
    <t>防城港1号</t>
  </si>
  <si>
    <t>防城港核电厂</t>
  </si>
  <si>
    <t>防城港市</t>
  </si>
  <si>
    <t>防城区</t>
  </si>
  <si>
    <t>防城港2号</t>
  </si>
  <si>
    <t>防城港3号</t>
  </si>
  <si>
    <r>
      <rPr>
        <sz val="10"/>
        <rFont val="宋体"/>
        <charset val="134"/>
      </rPr>
      <t>3号机组</t>
    </r>
  </si>
  <si>
    <t>防城港4号</t>
  </si>
  <si>
    <r>
      <rPr>
        <sz val="10"/>
        <rFont val="宋体"/>
        <charset val="134"/>
      </rPr>
      <t>4号机组</t>
    </r>
  </si>
  <si>
    <t>昌江1号</t>
  </si>
  <si>
    <t>昌江核电厂</t>
  </si>
  <si>
    <t>CNP600 </t>
  </si>
  <si>
    <t>海南</t>
  </si>
  <si>
    <t>昌江黎族自治县</t>
  </si>
  <si>
    <t>昌江2号</t>
  </si>
  <si>
    <t>昌江3号</t>
  </si>
  <si>
    <t>华能集团 </t>
  </si>
  <si>
    <t>昌江4号</t>
  </si>
  <si>
    <t>昌江小堆示范工程</t>
  </si>
  <si>
    <t>小堆示范工程</t>
  </si>
  <si>
    <t>玲珑一号 ACP100 </t>
  </si>
  <si>
    <t>田湾1号</t>
  </si>
  <si>
    <t>田湾核电站</t>
  </si>
  <si>
    <t>AES-91</t>
  </si>
  <si>
    <t>连云港市</t>
  </si>
  <si>
    <t>连云区</t>
  </si>
  <si>
    <t>中核集团</t>
  </si>
  <si>
    <t>田湾2号</t>
  </si>
  <si>
    <t>田湾3号</t>
  </si>
  <si>
    <t>VVER-1000/428</t>
  </si>
  <si>
    <t>田湾4号</t>
  </si>
  <si>
    <t>田湾5号</t>
  </si>
  <si>
    <t>3期</t>
  </si>
  <si>
    <t>CNP1000</t>
  </si>
  <si>
    <t>田湾6号</t>
  </si>
  <si>
    <t>田湾7号</t>
  </si>
  <si>
    <t>4期</t>
  </si>
  <si>
    <r>
      <rPr>
        <sz val="10"/>
        <rFont val="宋体"/>
        <charset val="134"/>
      </rPr>
      <t>7号机组</t>
    </r>
  </si>
  <si>
    <t>VVER-1200</t>
  </si>
  <si>
    <t>田湾8号</t>
  </si>
  <si>
    <r>
      <rPr>
        <sz val="10"/>
        <rFont val="宋体"/>
        <charset val="134"/>
      </rPr>
      <t>8号机组</t>
    </r>
  </si>
  <si>
    <t>红沿河1号</t>
  </si>
  <si>
    <t>红沿河核电厂</t>
  </si>
  <si>
    <t>CPR1000</t>
  </si>
  <si>
    <t>大连市</t>
  </si>
  <si>
    <t>瓦房店市</t>
  </si>
  <si>
    <t>中国广核集团</t>
  </si>
  <si>
    <t>红沿河2号</t>
  </si>
  <si>
    <t>红沿河3号</t>
  </si>
  <si>
    <t>红沿河4号</t>
  </si>
  <si>
    <t>红沿河5号</t>
  </si>
  <si>
    <t>ACPR1000</t>
  </si>
  <si>
    <t>红沿河6号</t>
  </si>
  <si>
    <t>徐大堡3号</t>
  </si>
  <si>
    <t>徐大堡核电站</t>
  </si>
  <si>
    <t>葫芦岛市</t>
  </si>
  <si>
    <t>兴城市</t>
  </si>
  <si>
    <t>徐大堡4号</t>
  </si>
  <si>
    <t>国核示范工程1号</t>
  </si>
  <si>
    <t>国和一号示范工程</t>
  </si>
  <si>
    <t>CAP1400</t>
  </si>
  <si>
    <t>威海市</t>
  </si>
  <si>
    <t>任城区</t>
  </si>
  <si>
    <t>国家电投集团</t>
  </si>
  <si>
    <t>国核示范工程2号</t>
  </si>
  <si>
    <t>海阳1号</t>
  </si>
  <si>
    <t>海阳核电厂</t>
  </si>
  <si>
    <t>AP1000</t>
  </si>
  <si>
    <t>烟台市</t>
  </si>
  <si>
    <t>海阳市</t>
  </si>
  <si>
    <t>海阳2号</t>
  </si>
  <si>
    <t>海阳3号</t>
  </si>
  <si>
    <t>CAP1000</t>
  </si>
  <si>
    <t>海阳4号</t>
  </si>
  <si>
    <t>石岛湾1号</t>
  </si>
  <si>
    <t>石岛湾核电厂</t>
  </si>
  <si>
    <t>HTR-PM 高温气冷堆</t>
  </si>
  <si>
    <t>华能集团</t>
  </si>
  <si>
    <t>方家山1号</t>
  </si>
  <si>
    <t>方家山核电厂</t>
  </si>
  <si>
    <t>嘉兴市</t>
  </si>
  <si>
    <t>海盐县</t>
  </si>
  <si>
    <t>方家山2号</t>
  </si>
  <si>
    <t>秦山二期1号</t>
  </si>
  <si>
    <t>秦山第二核电厂</t>
  </si>
  <si>
    <t>CNP600</t>
  </si>
  <si>
    <t>秦山二期2号</t>
  </si>
  <si>
    <t>秦山二期3号</t>
  </si>
  <si>
    <t>秦山二期4号</t>
  </si>
  <si>
    <t>秦山三期1号</t>
  </si>
  <si>
    <t>秦山第三核电厂</t>
  </si>
  <si>
    <t>CANDU6</t>
  </si>
  <si>
    <t>秦山三期2号</t>
  </si>
  <si>
    <t>秦山一期</t>
  </si>
  <si>
    <t>秦山核电厂</t>
  </si>
  <si>
    <t>CNP300</t>
  </si>
  <si>
    <t>三澳1号</t>
  </si>
  <si>
    <t>三澳核电厂</t>
  </si>
  <si>
    <t>华龙一号</t>
  </si>
  <si>
    <t>温州市</t>
  </si>
  <si>
    <t>苍南县</t>
  </si>
  <si>
    <t>三澳2号</t>
  </si>
  <si>
    <t>三门1号</t>
  </si>
  <si>
    <t>三门核电厂</t>
  </si>
  <si>
    <t>台州市</t>
  </si>
  <si>
    <t>三门县</t>
  </si>
  <si>
    <t>三门2号</t>
  </si>
  <si>
    <t>三门3号</t>
  </si>
  <si>
    <t>三门4号</t>
  </si>
  <si>
    <t>2022-04-20 核准</t>
  </si>
  <si>
    <t>金山1号 Chinshan 1</t>
  </si>
  <si>
    <t>第一核电厂（金山）</t>
  </si>
  <si>
    <t>BWR-4</t>
  </si>
  <si>
    <t>退役</t>
  </si>
  <si>
    <t>台湾省</t>
  </si>
  <si>
    <t>新北市</t>
  </si>
  <si>
    <t>石门区</t>
  </si>
  <si>
    <t>国圣2号 Kuosheng 2</t>
  </si>
  <si>
    <t>第二核电厂（国圣）</t>
  </si>
  <si>
    <t>BWR-6</t>
  </si>
  <si>
    <t>万里区</t>
  </si>
  <si>
    <t>马鞍山1号 Maanshan 1</t>
  </si>
  <si>
    <t>第三核电厂（马鞍山）</t>
  </si>
  <si>
    <t>WE 312 (3 loop-12 foot)</t>
  </si>
  <si>
    <t>屏东县</t>
  </si>
  <si>
    <t>马鞍山2号 Maanshan 2</t>
  </si>
  <si>
    <t>金山2号 Chinshan 2</t>
  </si>
  <si>
    <t>国圣1号 Kuosheng 1</t>
  </si>
  <si>
    <t>龙门1号 Lungmen 1</t>
  </si>
  <si>
    <t>第四核电厂（龙门）</t>
  </si>
  <si>
    <t>ABWR</t>
  </si>
  <si>
    <t>取消</t>
  </si>
  <si>
    <t>贡寮区</t>
  </si>
  <si>
    <t>龙门2号 Lungmen 2</t>
  </si>
  <si>
    <t>Generation Type EN</t>
  </si>
  <si>
    <t>Generation Type CN</t>
  </si>
  <si>
    <t>Project Count</t>
  </si>
  <si>
    <t>Percentile</t>
  </si>
  <si>
    <t>Wind</t>
  </si>
  <si>
    <t>Nuclear</t>
  </si>
  <si>
    <t>Biomass</t>
  </si>
  <si>
    <t>Municial Solid Waste</t>
  </si>
  <si>
    <t>Waste Heat</t>
  </si>
  <si>
    <t>Coal</t>
  </si>
  <si>
    <t>Gangue</t>
  </si>
  <si>
    <t>Natural Gas</t>
  </si>
  <si>
    <t>Coalbed Gas</t>
  </si>
  <si>
    <t>Biogas</t>
  </si>
  <si>
    <t>Diesel</t>
  </si>
  <si>
    <t>Other</t>
  </si>
  <si>
    <t>Regular Hydro</t>
  </si>
  <si>
    <t>Pumped Hydro</t>
  </si>
  <si>
    <t>Solar</t>
  </si>
  <si>
    <t>Selected Value</t>
  </si>
  <si>
    <t>rounded</t>
  </si>
  <si>
    <t>Critiria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</si>
  <si>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</si>
  <si>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</si>
  <si>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</si>
  <si>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</si>
  <si>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</si>
  <si>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</si>
  <si>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</si>
  <si>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Smallest Pilot Project Listed in the Solar Thermal Worksheet</t>
  </si>
  <si>
    <t>biomass</t>
  </si>
  <si>
    <t>geothermal</t>
  </si>
  <si>
    <t>Smallest Provincial Increment based on China's Geothermal Development 13FYP</t>
  </si>
  <si>
    <t>petroleum</t>
  </si>
  <si>
    <t>Equals to Natural Gas</t>
  </si>
  <si>
    <t>natural gas peaker</t>
  </si>
  <si>
    <t>lignite</t>
  </si>
  <si>
    <t>offshore wind</t>
  </si>
  <si>
    <t>1% based on Offshore Wind Project List from Global Energy Monitor (China's Project)</t>
  </si>
  <si>
    <t>crude oil</t>
  </si>
  <si>
    <t>heavy or residual fuel oil</t>
  </si>
  <si>
    <t>municipal solid waste</t>
  </si>
  <si>
    <t>Minimum Capacity (MW)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</si>
</sst>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00_);[Red]\(0.0000\)"/>
    <numFmt numFmtId="179" formatCode="yyyy/mm/dd;@"/>
    <numFmt numFmtId="180" formatCode="0.0000_ "/>
    <numFmt numFmtId="181" formatCode="0.0"/>
  </numFmts>
  <fonts count="46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color rgb="FFFF0000"/>
      <name val="宋体"/>
      <charset val="134"/>
    </font>
    <font>
      <sz val="10"/>
      <name val="等线"/>
      <charset val="134"/>
      <scheme val="minor"/>
    </font>
    <font>
      <sz val="10"/>
      <name val="Arial"/>
      <charset val="134"/>
    </font>
    <font>
      <b/>
      <sz val="11"/>
      <color theme="1"/>
      <name val="Calibri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0"/>
      <color rgb="FF000000"/>
      <name val="Times New Roman"/>
      <charset val="134"/>
    </font>
    <font>
      <sz val="12"/>
      <color theme="1"/>
      <name val="等线"/>
      <charset val="134"/>
      <scheme val="minor"/>
    </font>
    <font>
      <sz val="12"/>
      <color rgb="FF231F20"/>
      <name val="等线"/>
      <charset val="134"/>
      <scheme val="minor"/>
    </font>
    <font>
      <sz val="12"/>
      <name val="等线"/>
      <charset val="134"/>
      <scheme val="minor"/>
    </font>
    <font>
      <sz val="12"/>
      <color rgb="FF333333"/>
      <name val="等线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Times New Roman"/>
      <charset val="134"/>
    </font>
    <font>
      <sz val="10"/>
      <name val="SimSun"/>
      <charset val="134"/>
    </font>
    <font>
      <sz val="7"/>
      <name val="Times New Roman"/>
      <charset val="134"/>
    </font>
    <font>
      <sz val="11"/>
      <name val="Microsoft YaHei"/>
      <charset val="134"/>
    </font>
    <font>
      <sz val="11"/>
      <name val="FangSong"/>
      <charset val="134"/>
    </font>
    <font>
      <sz val="11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1ECF4"/>
        <bgColor indexed="64"/>
      </patternFill>
    </fill>
    <fill>
      <patternFill patternType="solid">
        <fgColor rgb="FFF7FBF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8" applyNumberFormat="0" applyAlignment="0" applyProtection="0">
      <alignment vertical="center"/>
    </xf>
    <xf numFmtId="0" fontId="28" fillId="10" borderId="9" applyNumberFormat="0" applyAlignment="0" applyProtection="0">
      <alignment vertical="center"/>
    </xf>
    <xf numFmtId="0" fontId="29" fillId="10" borderId="8" applyNumberFormat="0" applyAlignment="0" applyProtection="0">
      <alignment vertical="center"/>
    </xf>
    <xf numFmtId="0" fontId="30" fillId="11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  <xf numFmtId="1" fontId="0" fillId="0" borderId="0" xfId="0" applyNumberFormat="1" applyAlignment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1" fillId="0" borderId="1" xfId="50" applyFont="1" applyBorder="1">
      <alignment vertical="center"/>
    </xf>
    <xf numFmtId="0" fontId="1" fillId="0" borderId="1" xfId="5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left" vertical="center"/>
    </xf>
    <xf numFmtId="177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55" applyFont="1" applyAlignment="1">
      <alignment horizontal="center" vertical="center"/>
    </xf>
    <xf numFmtId="178" fontId="2" fillId="0" borderId="0" xfId="55" applyNumberFormat="1" applyFont="1" applyAlignment="1">
      <alignment horizontal="center" vertical="center"/>
    </xf>
    <xf numFmtId="49" fontId="2" fillId="0" borderId="0" xfId="55" applyNumberFormat="1" applyFont="1" applyAlignment="1">
      <alignment horizontal="center" vertical="center"/>
    </xf>
    <xf numFmtId="0" fontId="3" fillId="3" borderId="1" xfId="55" applyFont="1" applyFill="1" applyBorder="1" applyAlignment="1">
      <alignment horizontal="center" vertical="center" wrapText="1"/>
    </xf>
    <xf numFmtId="0" fontId="2" fillId="0" borderId="1" xfId="55" applyFont="1" applyBorder="1" applyAlignment="1">
      <alignment horizontal="center" vertical="center"/>
    </xf>
    <xf numFmtId="178" fontId="2" fillId="0" borderId="1" xfId="55" applyNumberFormat="1" applyFont="1" applyBorder="1" applyAlignment="1">
      <alignment horizontal="center" vertical="center"/>
    </xf>
    <xf numFmtId="49" fontId="3" fillId="3" borderId="1" xfId="55" applyNumberFormat="1" applyFont="1" applyFill="1" applyBorder="1" applyAlignment="1">
      <alignment horizontal="center" vertical="center" wrapText="1"/>
    </xf>
    <xf numFmtId="0" fontId="2" fillId="3" borderId="1" xfId="55" applyFont="1" applyFill="1" applyBorder="1" applyAlignment="1">
      <alignment horizontal="center" vertical="center" wrapText="1"/>
    </xf>
    <xf numFmtId="0" fontId="2" fillId="0" borderId="1" xfId="55" applyFont="1" applyBorder="1" applyAlignment="1">
      <alignment horizontal="center" vertical="center" wrapText="1"/>
    </xf>
    <xf numFmtId="0" fontId="2" fillId="4" borderId="1" xfId="55" applyFont="1" applyFill="1" applyBorder="1" applyAlignment="1">
      <alignment horizontal="center" vertical="center" wrapText="1"/>
    </xf>
    <xf numFmtId="179" fontId="2" fillId="3" borderId="1" xfId="55" applyNumberFormat="1" applyFont="1" applyFill="1" applyBorder="1" applyAlignment="1">
      <alignment horizontal="center" vertical="center" wrapText="1"/>
    </xf>
    <xf numFmtId="179" fontId="2" fillId="4" borderId="1" xfId="55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55" applyNumberFormat="1" applyFont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80" fontId="2" fillId="0" borderId="0" xfId="55" applyNumberFormat="1" applyFont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55" applyFont="1" applyBorder="1" applyAlignment="1">
      <alignment horizontal="center" vertical="center"/>
    </xf>
    <xf numFmtId="179" fontId="2" fillId="0" borderId="1" xfId="55" applyNumberFormat="1" applyFont="1" applyBorder="1" applyAlignment="1">
      <alignment horizontal="center" vertical="center"/>
    </xf>
    <xf numFmtId="0" fontId="5" fillId="0" borderId="1" xfId="55" applyFont="1" applyBorder="1" applyAlignment="1">
      <alignment horizontal="center" vertical="center"/>
    </xf>
    <xf numFmtId="178" fontId="6" fillId="0" borderId="1" xfId="55" applyNumberFormat="1" applyBorder="1" applyAlignment="1">
      <alignment horizontal="center" vertical="center"/>
    </xf>
    <xf numFmtId="14" fontId="2" fillId="0" borderId="1" xfId="55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0" fillId="0" borderId="0" xfId="0" applyFont="1" applyAlignment="1"/>
    <xf numFmtId="49" fontId="8" fillId="0" borderId="0" xfId="53" applyNumberFormat="1" applyAlignment="1">
      <alignment horizontal="left" vertical="top" wrapText="1"/>
    </xf>
    <xf numFmtId="49" fontId="8" fillId="0" borderId="0" xfId="53" applyNumberFormat="1" applyAlignment="1">
      <alignment horizontal="left" vertical="top"/>
    </xf>
    <xf numFmtId="49" fontId="9" fillId="0" borderId="0" xfId="53" applyNumberFormat="1" applyFont="1" applyAlignment="1">
      <alignment horizontal="left" vertical="top" wrapText="1"/>
    </xf>
    <xf numFmtId="49" fontId="8" fillId="0" borderId="0" xfId="53" applyNumberFormat="1" applyAlignment="1">
      <alignment vertical="top" wrapText="1"/>
    </xf>
    <xf numFmtId="49" fontId="8" fillId="0" borderId="3" xfId="53" applyNumberFormat="1" applyBorder="1" applyAlignment="1">
      <alignment horizontal="center" vertical="top" wrapText="1"/>
    </xf>
    <xf numFmtId="49" fontId="8" fillId="0" borderId="2" xfId="53" applyNumberFormat="1" applyBorder="1" applyAlignment="1">
      <alignment horizontal="center" vertical="center" wrapText="1"/>
    </xf>
    <xf numFmtId="49" fontId="8" fillId="0" borderId="2" xfId="53" applyNumberFormat="1" applyBorder="1" applyAlignment="1">
      <alignment horizontal="left" vertical="top" wrapText="1"/>
    </xf>
    <xf numFmtId="49" fontId="8" fillId="2" borderId="2" xfId="53" applyNumberFormat="1" applyFill="1" applyBorder="1" applyAlignment="1">
      <alignment horizontal="center" vertical="center" wrapText="1"/>
    </xf>
    <xf numFmtId="49" fontId="8" fillId="2" borderId="2" xfId="53" applyNumberFormat="1" applyFill="1" applyBorder="1" applyAlignment="1">
      <alignment horizontal="left" vertical="top" wrapText="1"/>
    </xf>
    <xf numFmtId="49" fontId="8" fillId="0" borderId="4" xfId="53" applyNumberFormat="1" applyBorder="1" applyAlignment="1">
      <alignment horizontal="center" vertical="top" wrapText="1"/>
    </xf>
    <xf numFmtId="0" fontId="8" fillId="0" borderId="2" xfId="53" applyBorder="1" applyAlignment="1">
      <alignment horizontal="left" vertical="center" wrapText="1"/>
    </xf>
    <xf numFmtId="1" fontId="10" fillId="0" borderId="2" xfId="53" applyNumberFormat="1" applyFont="1" applyBorder="1" applyAlignment="1">
      <alignment horizontal="center" vertical="center" wrapText="1"/>
    </xf>
    <xf numFmtId="1" fontId="10" fillId="2" borderId="2" xfId="53" applyNumberFormat="1" applyFont="1" applyFill="1" applyBorder="1" applyAlignment="1">
      <alignment horizontal="center" vertical="center" wrapText="1"/>
    </xf>
    <xf numFmtId="181" fontId="10" fillId="2" borderId="2" xfId="53" applyNumberFormat="1" applyFont="1" applyFill="1" applyBorder="1" applyAlignment="1">
      <alignment horizontal="center" vertical="center" wrapText="1"/>
    </xf>
    <xf numFmtId="2" fontId="10" fillId="2" borderId="2" xfId="53" applyNumberFormat="1" applyFont="1" applyFill="1" applyBorder="1" applyAlignment="1">
      <alignment horizontal="center" vertical="center" wrapText="1"/>
    </xf>
    <xf numFmtId="0" fontId="11" fillId="0" borderId="0" xfId="49" applyFont="1" applyAlignment="1">
      <alignment horizontal="left" vertical="center"/>
    </xf>
    <xf numFmtId="0" fontId="11" fillId="0" borderId="0" xfId="49" applyFont="1">
      <alignment vertical="center"/>
    </xf>
    <xf numFmtId="0" fontId="12" fillId="5" borderId="0" xfId="49" applyFont="1" applyFill="1" applyAlignment="1">
      <alignment horizontal="left" vertical="center" wrapText="1"/>
    </xf>
    <xf numFmtId="0" fontId="13" fillId="0" borderId="0" xfId="54" applyFont="1">
      <alignment vertical="center"/>
    </xf>
    <xf numFmtId="0" fontId="11" fillId="5" borderId="0" xfId="49" applyFont="1" applyFill="1" applyAlignment="1">
      <alignment horizontal="left" vertical="center" wrapText="1"/>
    </xf>
    <xf numFmtId="0" fontId="11" fillId="0" borderId="0" xfId="49" applyFont="1" applyAlignment="1">
      <alignment vertical="center" wrapText="1"/>
    </xf>
    <xf numFmtId="14" fontId="11" fillId="0" borderId="0" xfId="49" applyNumberFormat="1" applyFont="1" applyAlignment="1">
      <alignment horizontal="left" vertical="center"/>
    </xf>
    <xf numFmtId="0" fontId="11" fillId="0" borderId="0" xfId="49" applyFont="1" applyAlignment="1">
      <alignment horizontal="left" vertical="center" wrapText="1"/>
    </xf>
    <xf numFmtId="0" fontId="14" fillId="0" borderId="0" xfId="49" applyFont="1" applyAlignment="1">
      <alignment horizontal="left" vertical="center" wrapText="1"/>
    </xf>
    <xf numFmtId="0" fontId="14" fillId="0" borderId="0" xfId="49" applyFont="1" applyAlignment="1">
      <alignment horizontal="left" vertical="center"/>
    </xf>
    <xf numFmtId="0" fontId="11" fillId="0" borderId="0" xfId="49" applyFont="1" applyAlignment="1">
      <alignment horizontal="center" vertical="center"/>
    </xf>
    <xf numFmtId="0" fontId="1" fillId="0" borderId="0" xfId="50" applyFont="1">
      <alignment vertical="center"/>
    </xf>
    <xf numFmtId="0" fontId="1" fillId="2" borderId="0" xfId="50" applyFont="1" applyFill="1">
      <alignment vertical="center"/>
    </xf>
    <xf numFmtId="0" fontId="0" fillId="2" borderId="0" xfId="0" applyFill="1">
      <alignment vertical="center"/>
    </xf>
    <xf numFmtId="0" fontId="15" fillId="0" borderId="0" xfId="0" applyFont="1" applyAlignment="1"/>
    <xf numFmtId="0" fontId="15" fillId="0" borderId="0" xfId="0" applyFont="1">
      <alignment vertical="center"/>
    </xf>
    <xf numFmtId="0" fontId="16" fillId="0" borderId="0" xfId="0" applyFont="1" applyAlignment="1"/>
    <xf numFmtId="0" fontId="17" fillId="6" borderId="0" xfId="0" applyFont="1" applyFill="1">
      <alignment vertical="center"/>
    </xf>
    <xf numFmtId="0" fontId="6" fillId="0" borderId="0" xfId="0" applyFont="1">
      <alignment vertical="center"/>
    </xf>
    <xf numFmtId="0" fontId="17" fillId="6" borderId="0" xfId="0" applyFont="1" applyFill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18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常规 3" xfId="51"/>
    <cellStyle name="常规 3 2" xfId="52"/>
    <cellStyle name="常规 4 2" xfId="53"/>
    <cellStyle name="常规 6" xfId="54"/>
    <cellStyle name="常规 2 3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\EPS\EPS%20Shandong%203.3.1\InputData\bldgs\BDEQ\BAU%20Distribued%20Electricity%20Quanti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Rui Wang\Inventory\Energy Project Database\&#26680;&#30005;&#26426;&#32452;\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Users\mmahajan\Documents\eps-us\InputData\elec\CCaMC\Capacity Construction and Maint Costs - Expande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https:\igdpoffice-my.sharepoint.com\personal\lixindi_igdp_cn\Documents\Shared-Library-2023\Global Energy Monitor\Vintaging_China_Power_Plant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EPS%20Repos\National%20Models\eps-china2019-smart-trans\InputData\elec\PMCCS\cn-Pol%20Mandated%20Cap%20Const%20Sch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out"/>
      <sheetName val="Table_21._Residential_Sector_Eq"/>
      <sheetName val="Table_22._Commercial_Sector_Ene"/>
      <sheetName val="RECS HC2.1"/>
      <sheetName val="Calcula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机组名单"/>
      <sheetName val="电厂名单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bout"/>
      <sheetName val="ATB Capital and O&amp;M Costs"/>
      <sheetName val="ATB Weighted Offshore Wind"/>
      <sheetName val="Soft Cost Calibration Data"/>
      <sheetName val="MSW"/>
      <sheetName val="Spur Line Costs"/>
      <sheetName val="Capacity by Vintage"/>
      <sheetName val="Existing O&amp;M Costs"/>
      <sheetName val="BECCS"/>
      <sheetName val="S&amp;L"/>
      <sheetName val="Existing Plants"/>
      <sheetName val="EIA 860 3.1"/>
      <sheetName val="EIA 860 6A"/>
      <sheetName val="EIA 860 6.2"/>
      <sheetName val="Annual CAPEX Calcs"/>
      <sheetName val="CCaMC-ACAPEXpUC"/>
      <sheetName val="CCaMC-AFOaMCpUC"/>
      <sheetName val="CCaMC-VOaMCpUC"/>
      <sheetName val="CCaMC-BCCpUC"/>
      <sheetName val="CCaMC-SLCCpUC"/>
      <sheetName val="CCaMC-BSCp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BOUT"/>
      <sheetName val="SYC"/>
      <sheetName val="Coal_vintaging"/>
      <sheetName val="CHECK-Coal"/>
      <sheetName val="Coal"/>
      <sheetName val="PV-vintaging"/>
      <sheetName val="PV"/>
      <sheetName val="Wind_vintaging"/>
      <sheetName val="Wind-onshore"/>
      <sheetName val="Wind-offshore"/>
      <sheetName val="Hydro_vintaging"/>
      <sheetName val="Hydro"/>
      <sheetName val="Gas_vintaging"/>
      <sheetName val="Gas"/>
      <sheetName val="Nuc_vintaging"/>
      <sheetName val="Nuclear"/>
      <sheetName val="Assumptions"/>
      <sheetName val="Lifetime"/>
      <sheetName val="Select-province"/>
      <sheetName val="BCR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bout"/>
      <sheetName val="Province Selector"/>
      <sheetName val="Operating Capacity"/>
      <sheetName val="19-22 Installation"/>
      <sheetName val="Solar (PV and DR)"/>
      <sheetName val="Geothermal"/>
      <sheetName val="Pumped Hydro Worksheet"/>
      <sheetName val="Offshore Wind"/>
      <sheetName val="Planned Coal"/>
      <sheetName val="Planned Gas"/>
      <sheetName val="Nuclear"/>
      <sheetName val="Solar Thermal"/>
      <sheetName val="National Summary"/>
      <sheetName val="Oil Generation Breakdown"/>
      <sheetName val="2023&amp;2024 Capacity"/>
      <sheetName val="EPS Capacity Result"/>
      <sheetName val="145 Scenario Calibration"/>
      <sheetName val="Calculation"/>
      <sheetName val="SYC-SYEGC"/>
      <sheetName val="SYC-FoPtPFP"/>
      <sheetName val="BPMCCS"/>
      <sheetName val="PM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B32" sqref="B32"/>
    </sheetView>
  </sheetViews>
  <sheetFormatPr defaultColWidth="9" defaultRowHeight="14.25" customHeight="1" outlineLevelCol="1"/>
  <cols>
    <col min="1" max="1" width="9" style="80"/>
    <col min="2" max="2" width="51.1061946902655" style="80" customWidth="1"/>
    <col min="3" max="16384" width="9" style="80"/>
  </cols>
  <sheetData>
    <row r="1" s="79" customFormat="1" customHeight="1" spans="1:2">
      <c r="A1" s="81" t="s">
        <v>0</v>
      </c>
    </row>
    <row r="2" s="79" customFormat="1" customHeight="1"/>
    <row r="3" s="79" customFormat="1" customHeight="1" spans="1:2">
      <c r="A3" s="81" t="s">
        <v>1</v>
      </c>
      <c r="B3" s="82" t="s">
        <v>2</v>
      </c>
    </row>
    <row r="4" s="79" customFormat="1" customHeight="1" spans="1:2">
      <c r="B4" s="79" t="s">
        <v>3</v>
      </c>
    </row>
    <row r="5" s="79" customFormat="1" customHeight="1" spans="1:2">
      <c r="B5" s="83" t="s">
        <v>4</v>
      </c>
    </row>
    <row r="6" s="79" customFormat="1" customHeight="1" spans="1:2">
      <c r="B6" s="83" t="s">
        <v>5</v>
      </c>
    </row>
    <row r="7" s="79" customFormat="1" customHeight="1" spans="1:2">
      <c r="B7" s="83" t="s">
        <v>6</v>
      </c>
    </row>
    <row r="8" s="79" customFormat="1" customHeight="1"/>
    <row r="9" s="79" customFormat="1" customHeight="1" spans="1:2">
      <c r="B9" s="84" t="s">
        <v>7</v>
      </c>
    </row>
    <row r="10" customHeight="1" spans="1:2">
      <c r="B10" s="85" t="s">
        <v>8</v>
      </c>
    </row>
    <row r="11" customHeight="1" spans="1:2">
      <c r="B11" s="85" t="s">
        <v>9</v>
      </c>
    </row>
    <row r="12" customHeight="1" spans="1:2">
      <c r="B12" s="85" t="s">
        <v>10</v>
      </c>
    </row>
    <row r="13" customHeight="1" spans="1:2">
      <c r="B13" s="85" t="s">
        <v>11</v>
      </c>
    </row>
    <row r="14" customHeight="1" spans="1:2">
      <c r="B14" s="85" t="s">
        <v>12</v>
      </c>
    </row>
    <row r="15" customHeight="1" spans="1:2">
      <c r="B15" s="85" t="s">
        <v>13</v>
      </c>
    </row>
    <row r="17" s="79" customFormat="1" customHeight="1" spans="1:2">
      <c r="B17" s="86" t="s">
        <v>14</v>
      </c>
    </row>
    <row r="18" s="79" customFormat="1" customHeight="1" spans="1:2">
      <c r="B18" s="87" t="s">
        <v>15</v>
      </c>
    </row>
    <row r="19" s="79" customFormat="1" customHeight="1" spans="1:2">
      <c r="B19" s="87" t="s">
        <v>16</v>
      </c>
    </row>
    <row r="20" customHeight="1" spans="1:2">
      <c r="B20" s="88">
        <v>2023</v>
      </c>
    </row>
    <row r="21" customHeight="1" spans="1:2">
      <c r="B21" s="87" t="s">
        <v>17</v>
      </c>
    </row>
    <row r="22" customHeight="1" spans="1:2">
      <c r="B22" s="87"/>
    </row>
    <row r="23" customHeight="1" spans="1:2">
      <c r="A23" s="81" t="s">
        <v>18</v>
      </c>
    </row>
    <row r="24" customHeight="1" spans="1:2">
      <c r="A24" s="79" t="s">
        <v>19</v>
      </c>
      <c r="B24" s="79"/>
    </row>
    <row r="25" customHeight="1" spans="1:2">
      <c r="A25" s="79" t="s">
        <v>20</v>
      </c>
      <c r="B25" s="79"/>
    </row>
    <row r="26" customHeight="1" spans="1:2">
      <c r="A26" s="80" t="s">
        <v>21</v>
      </c>
    </row>
    <row r="27" customHeight="1" spans="1:2">
      <c r="A27" s="80" t="s">
        <v>22</v>
      </c>
    </row>
    <row r="28" customHeight="1" spans="1:2">
      <c r="A28" s="80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14"/>
  <sheetViews>
    <sheetView zoomScale="85" zoomScaleNormal="85" topLeftCell="A17" workbookViewId="0">
      <selection activeCell="F4" sqref="F4"/>
    </sheetView>
  </sheetViews>
  <sheetFormatPr defaultColWidth="9" defaultRowHeight="13.85" outlineLevelCol="5"/>
  <cols>
    <col min="1" max="1" width="8.44247787610619" customWidth="1"/>
    <col min="2" max="2" width="11.4424778761062" customWidth="1"/>
    <col min="3" max="3" width="7.44247787610619" customWidth="1"/>
    <col min="4" max="4" width="38.1061946902655" customWidth="1"/>
    <col min="5" max="5" width="7.33628318584071" customWidth="1"/>
    <col min="6" max="6" width="10.6637168141593" customWidth="1"/>
  </cols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>
        <v>1</v>
      </c>
      <c r="B2">
        <v>112013221</v>
      </c>
      <c r="C2">
        <v>2013</v>
      </c>
      <c r="D2" t="s">
        <v>30</v>
      </c>
      <c r="E2">
        <v>1</v>
      </c>
      <c r="F2">
        <v>83.8</v>
      </c>
    </row>
    <row r="3" spans="1:6">
      <c r="A3">
        <v>2</v>
      </c>
      <c r="B3">
        <v>112014221</v>
      </c>
      <c r="C3">
        <v>2014</v>
      </c>
      <c r="D3" t="s">
        <v>30</v>
      </c>
      <c r="E3">
        <v>3</v>
      </c>
      <c r="F3">
        <v>138</v>
      </c>
    </row>
    <row r="4" spans="1:6">
      <c r="A4">
        <v>3</v>
      </c>
      <c r="B4">
        <v>112014221</v>
      </c>
      <c r="C4">
        <v>2014</v>
      </c>
      <c r="D4" t="s">
        <v>30</v>
      </c>
      <c r="E4">
        <v>1</v>
      </c>
      <c r="F4">
        <v>84.5</v>
      </c>
    </row>
    <row r="5" spans="1:6">
      <c r="A5">
        <v>5</v>
      </c>
      <c r="B5">
        <v>112014221</v>
      </c>
      <c r="C5">
        <v>2014</v>
      </c>
      <c r="D5" t="s">
        <v>30</v>
      </c>
      <c r="E5">
        <v>1</v>
      </c>
      <c r="F5">
        <v>25.5</v>
      </c>
    </row>
    <row r="6" spans="1:6">
      <c r="A6">
        <v>4</v>
      </c>
      <c r="B6">
        <v>112014221</v>
      </c>
      <c r="C6">
        <v>2014</v>
      </c>
      <c r="D6" t="s">
        <v>30</v>
      </c>
      <c r="E6">
        <v>2</v>
      </c>
      <c r="F6">
        <v>130.7</v>
      </c>
    </row>
    <row r="7" spans="1:6">
      <c r="A7">
        <v>6</v>
      </c>
      <c r="B7">
        <v>112015221</v>
      </c>
      <c r="C7">
        <v>2015</v>
      </c>
      <c r="D7" t="s">
        <v>30</v>
      </c>
      <c r="E7">
        <v>1</v>
      </c>
      <c r="F7">
        <v>95</v>
      </c>
    </row>
    <row r="8" spans="1:6">
      <c r="A8">
        <v>9</v>
      </c>
      <c r="B8">
        <v>112015270</v>
      </c>
      <c r="C8">
        <v>2015</v>
      </c>
      <c r="D8" t="s">
        <v>31</v>
      </c>
      <c r="E8" t="s">
        <v>32</v>
      </c>
      <c r="F8">
        <v>0.15</v>
      </c>
    </row>
    <row r="9" spans="1:6">
      <c r="A9">
        <v>7</v>
      </c>
      <c r="B9">
        <v>112015270</v>
      </c>
      <c r="C9">
        <v>2015</v>
      </c>
      <c r="D9" t="s">
        <v>31</v>
      </c>
      <c r="E9" t="s">
        <v>32</v>
      </c>
      <c r="F9">
        <v>2</v>
      </c>
    </row>
    <row r="10" spans="1:6">
      <c r="A10">
        <v>8</v>
      </c>
      <c r="B10">
        <v>112015270</v>
      </c>
      <c r="C10">
        <v>2015</v>
      </c>
      <c r="D10" t="s">
        <v>31</v>
      </c>
      <c r="E10" t="s">
        <v>32</v>
      </c>
      <c r="F10">
        <v>0.37</v>
      </c>
    </row>
    <row r="11" spans="1:6">
      <c r="A11">
        <v>10</v>
      </c>
      <c r="B11">
        <v>112015270</v>
      </c>
      <c r="C11">
        <v>2015</v>
      </c>
      <c r="D11" t="s">
        <v>31</v>
      </c>
      <c r="E11" t="s">
        <v>32</v>
      </c>
      <c r="F11">
        <v>0.05</v>
      </c>
    </row>
    <row r="12" spans="1:6">
      <c r="A12">
        <v>11</v>
      </c>
      <c r="B12">
        <v>112015270</v>
      </c>
      <c r="C12">
        <v>2015</v>
      </c>
      <c r="D12" t="s">
        <v>31</v>
      </c>
      <c r="E12" t="s">
        <v>32</v>
      </c>
      <c r="F12">
        <v>2</v>
      </c>
    </row>
    <row r="13" spans="1:6">
      <c r="A13">
        <v>12</v>
      </c>
      <c r="B13">
        <v>112016221</v>
      </c>
      <c r="C13" s="76">
        <v>2016</v>
      </c>
      <c r="D13" s="76" t="s">
        <v>30</v>
      </c>
      <c r="E13" s="76" t="s">
        <v>32</v>
      </c>
      <c r="F13" s="76">
        <v>1.33</v>
      </c>
    </row>
    <row r="14" spans="1:6">
      <c r="A14">
        <v>13</v>
      </c>
      <c r="B14">
        <v>112016241</v>
      </c>
      <c r="C14" s="76">
        <v>2016</v>
      </c>
      <c r="D14" s="76" t="s">
        <v>33</v>
      </c>
      <c r="E14" s="76" t="s">
        <v>32</v>
      </c>
      <c r="F14" s="76">
        <v>0.75</v>
      </c>
    </row>
    <row r="15" spans="1:6">
      <c r="A15">
        <v>14</v>
      </c>
      <c r="B15">
        <v>112016241</v>
      </c>
      <c r="C15" s="76">
        <v>2016</v>
      </c>
      <c r="D15" s="76" t="s">
        <v>33</v>
      </c>
      <c r="E15" s="76" t="s">
        <v>32</v>
      </c>
      <c r="F15" s="76">
        <v>4</v>
      </c>
    </row>
    <row r="16" spans="1:6">
      <c r="A16">
        <v>16</v>
      </c>
      <c r="B16">
        <v>112016260</v>
      </c>
      <c r="C16" s="76">
        <v>2016</v>
      </c>
      <c r="D16" s="76" t="s">
        <v>34</v>
      </c>
      <c r="E16" s="76">
        <v>24</v>
      </c>
      <c r="F16" s="76">
        <v>3.6</v>
      </c>
    </row>
    <row r="17" spans="1:6">
      <c r="A17">
        <v>15</v>
      </c>
      <c r="B17">
        <v>112016260</v>
      </c>
      <c r="C17" s="76">
        <v>2016</v>
      </c>
      <c r="D17" s="76" t="s">
        <v>34</v>
      </c>
      <c r="E17" s="76" t="s">
        <v>32</v>
      </c>
      <c r="F17" s="76">
        <v>3.6</v>
      </c>
    </row>
    <row r="18" spans="1:6">
      <c r="A18">
        <v>18</v>
      </c>
      <c r="B18">
        <v>112016270</v>
      </c>
      <c r="C18" s="76">
        <v>2016</v>
      </c>
      <c r="D18" s="76" t="s">
        <v>31</v>
      </c>
      <c r="E18" s="76" t="s">
        <v>32</v>
      </c>
      <c r="F18" s="76">
        <v>0.3</v>
      </c>
    </row>
    <row r="19" spans="1:6">
      <c r="A19">
        <v>17</v>
      </c>
      <c r="B19">
        <v>112016270</v>
      </c>
      <c r="C19" s="76">
        <v>2016</v>
      </c>
      <c r="D19" s="76" t="s">
        <v>31</v>
      </c>
      <c r="E19" s="76" t="s">
        <v>32</v>
      </c>
      <c r="F19" s="76">
        <v>3.1</v>
      </c>
    </row>
    <row r="20" spans="1:6">
      <c r="A20">
        <v>20</v>
      </c>
      <c r="B20">
        <v>112016270</v>
      </c>
      <c r="C20" s="76">
        <v>2016</v>
      </c>
      <c r="D20" s="76" t="s">
        <v>31</v>
      </c>
      <c r="E20" s="76" t="s">
        <v>32</v>
      </c>
      <c r="F20" s="76">
        <v>0</v>
      </c>
    </row>
    <row r="21" spans="1:6">
      <c r="A21">
        <v>19</v>
      </c>
      <c r="B21">
        <v>112016270</v>
      </c>
      <c r="C21" s="76">
        <v>2016</v>
      </c>
      <c r="D21" s="76" t="s">
        <v>31</v>
      </c>
      <c r="E21" s="76" t="s">
        <v>32</v>
      </c>
      <c r="F21" s="76">
        <v>3.1</v>
      </c>
    </row>
    <row r="22" spans="1:6">
      <c r="A22">
        <v>22</v>
      </c>
      <c r="B22">
        <v>112017221</v>
      </c>
      <c r="C22" s="76">
        <v>2017</v>
      </c>
      <c r="D22" s="76" t="s">
        <v>30</v>
      </c>
      <c r="E22" s="76">
        <v>3</v>
      </c>
      <c r="F22" s="76">
        <v>99.8</v>
      </c>
    </row>
    <row r="23" spans="1:6">
      <c r="A23">
        <v>23</v>
      </c>
      <c r="B23">
        <v>112017242</v>
      </c>
      <c r="C23" s="76">
        <v>2017</v>
      </c>
      <c r="D23" s="76" t="s">
        <v>35</v>
      </c>
      <c r="E23" s="76" t="s">
        <v>32</v>
      </c>
      <c r="F23" s="76">
        <v>4</v>
      </c>
    </row>
    <row r="24" spans="1:6">
      <c r="A24">
        <v>24</v>
      </c>
      <c r="B24">
        <v>112017242</v>
      </c>
      <c r="C24" s="76">
        <v>2017</v>
      </c>
      <c r="D24" s="76" t="s">
        <v>35</v>
      </c>
      <c r="E24" s="76" t="s">
        <v>32</v>
      </c>
      <c r="F24" s="76">
        <v>2.5</v>
      </c>
    </row>
    <row r="25" spans="1:6">
      <c r="A25">
        <v>27</v>
      </c>
      <c r="B25">
        <v>112017270</v>
      </c>
      <c r="C25" s="76">
        <v>2017</v>
      </c>
      <c r="D25" s="76" t="s">
        <v>31</v>
      </c>
      <c r="E25" s="76" t="s">
        <v>32</v>
      </c>
      <c r="F25" s="76">
        <v>0.5</v>
      </c>
    </row>
    <row r="26" spans="1:6">
      <c r="A26">
        <v>26</v>
      </c>
      <c r="B26">
        <v>112017270</v>
      </c>
      <c r="C26" s="76">
        <v>2017</v>
      </c>
      <c r="D26" s="76" t="s">
        <v>31</v>
      </c>
      <c r="E26" s="76" t="s">
        <v>32</v>
      </c>
      <c r="F26" s="76">
        <v>0.05</v>
      </c>
    </row>
    <row r="27" spans="1:6">
      <c r="A27">
        <v>30</v>
      </c>
      <c r="B27">
        <v>112018221</v>
      </c>
      <c r="C27" s="76">
        <v>2018</v>
      </c>
      <c r="D27" s="76" t="s">
        <v>30</v>
      </c>
      <c r="E27" s="76">
        <v>1</v>
      </c>
      <c r="F27" s="76">
        <v>7.5</v>
      </c>
    </row>
    <row r="28" spans="1:6">
      <c r="A28">
        <v>29</v>
      </c>
      <c r="B28">
        <v>112018221</v>
      </c>
      <c r="C28" s="76">
        <v>2018</v>
      </c>
      <c r="D28" s="76" t="s">
        <v>30</v>
      </c>
      <c r="E28" s="76">
        <v>1</v>
      </c>
      <c r="F28" s="76">
        <v>26.6</v>
      </c>
    </row>
    <row r="29" spans="1:6">
      <c r="A29">
        <v>33</v>
      </c>
      <c r="B29">
        <v>112018242</v>
      </c>
      <c r="C29" s="76">
        <v>2018</v>
      </c>
      <c r="D29" s="76" t="s">
        <v>35</v>
      </c>
      <c r="E29" s="76" t="s">
        <v>32</v>
      </c>
      <c r="F29" s="76">
        <v>0.2</v>
      </c>
    </row>
    <row r="30" spans="1:6">
      <c r="A30">
        <v>32</v>
      </c>
      <c r="B30">
        <v>112018242</v>
      </c>
      <c r="C30" s="76">
        <v>2018</v>
      </c>
      <c r="D30" s="76" t="s">
        <v>35</v>
      </c>
      <c r="E30" s="76" t="s">
        <v>32</v>
      </c>
      <c r="F30" s="76">
        <v>5</v>
      </c>
    </row>
    <row r="31" spans="1:6">
      <c r="A31">
        <v>31</v>
      </c>
      <c r="B31">
        <v>112018242</v>
      </c>
      <c r="C31" s="76">
        <v>2018</v>
      </c>
      <c r="D31" s="76" t="s">
        <v>35</v>
      </c>
      <c r="E31" s="76" t="s">
        <v>32</v>
      </c>
      <c r="F31" s="76">
        <v>1.2</v>
      </c>
    </row>
    <row r="32" spans="1:6">
      <c r="A32">
        <v>34</v>
      </c>
      <c r="B32">
        <v>112018242</v>
      </c>
      <c r="C32" s="76">
        <v>2018</v>
      </c>
      <c r="D32" s="76" t="s">
        <v>35</v>
      </c>
      <c r="E32" s="76" t="s">
        <v>32</v>
      </c>
      <c r="F32" s="76">
        <v>0.6</v>
      </c>
    </row>
    <row r="33" spans="1:6">
      <c r="A33">
        <v>37</v>
      </c>
      <c r="B33">
        <v>112018270</v>
      </c>
      <c r="C33" s="76">
        <v>2018</v>
      </c>
      <c r="D33" s="76" t="s">
        <v>31</v>
      </c>
      <c r="E33" s="76" t="s">
        <v>32</v>
      </c>
      <c r="F33" s="76">
        <v>1.8</v>
      </c>
    </row>
    <row r="34" spans="1:6">
      <c r="A34">
        <v>35</v>
      </c>
      <c r="B34">
        <v>112018270</v>
      </c>
      <c r="C34" s="76">
        <v>2018</v>
      </c>
      <c r="D34" s="76" t="s">
        <v>31</v>
      </c>
      <c r="E34" s="76" t="s">
        <v>32</v>
      </c>
      <c r="F34" s="76">
        <v>0.6</v>
      </c>
    </row>
    <row r="35" spans="1:6">
      <c r="A35">
        <v>38</v>
      </c>
      <c r="B35">
        <v>112019221</v>
      </c>
      <c r="C35" s="76">
        <v>2019</v>
      </c>
      <c r="D35" s="76" t="s">
        <v>30</v>
      </c>
      <c r="E35" s="76">
        <v>1</v>
      </c>
      <c r="F35" s="76">
        <v>7.5</v>
      </c>
    </row>
    <row r="36" spans="1:6">
      <c r="A36">
        <v>39</v>
      </c>
      <c r="B36">
        <v>112019221</v>
      </c>
      <c r="C36" s="76">
        <v>2019</v>
      </c>
      <c r="D36" s="76" t="s">
        <v>30</v>
      </c>
      <c r="E36" s="76" t="s">
        <v>32</v>
      </c>
      <c r="F36" s="76">
        <v>8</v>
      </c>
    </row>
    <row r="37" spans="1:6">
      <c r="A37">
        <v>40</v>
      </c>
      <c r="B37">
        <v>112019242</v>
      </c>
      <c r="C37" s="76">
        <v>2019</v>
      </c>
      <c r="D37" s="76" t="s">
        <v>35</v>
      </c>
      <c r="E37" s="76" t="s">
        <v>32</v>
      </c>
      <c r="F37" s="76">
        <v>9</v>
      </c>
    </row>
    <row r="38" spans="1:6">
      <c r="A38">
        <v>41</v>
      </c>
      <c r="B38">
        <v>112019242</v>
      </c>
      <c r="C38" s="76">
        <v>2019</v>
      </c>
      <c r="D38" s="76" t="s">
        <v>35</v>
      </c>
      <c r="E38" s="76" t="s">
        <v>32</v>
      </c>
      <c r="F38" s="76">
        <v>1.5</v>
      </c>
    </row>
    <row r="39" spans="1:6">
      <c r="A39">
        <v>43</v>
      </c>
      <c r="B39">
        <v>112020221</v>
      </c>
      <c r="C39" s="76">
        <v>2020</v>
      </c>
      <c r="D39" s="76" t="s">
        <v>30</v>
      </c>
      <c r="E39" s="76">
        <v>1</v>
      </c>
      <c r="F39" s="76">
        <v>6.7</v>
      </c>
    </row>
    <row r="40" spans="1:6">
      <c r="A40">
        <v>44</v>
      </c>
      <c r="B40">
        <v>112020242</v>
      </c>
      <c r="C40" s="76">
        <v>2020</v>
      </c>
      <c r="D40" s="76" t="s">
        <v>35</v>
      </c>
      <c r="E40" s="76" t="s">
        <v>32</v>
      </c>
      <c r="F40" s="76">
        <v>2</v>
      </c>
    </row>
    <row r="41" spans="1:6">
      <c r="A41">
        <v>45</v>
      </c>
      <c r="B41">
        <v>112020260</v>
      </c>
      <c r="C41" s="76">
        <v>2020</v>
      </c>
      <c r="D41" s="76" t="s">
        <v>34</v>
      </c>
      <c r="E41" s="76">
        <v>19</v>
      </c>
      <c r="F41" s="76">
        <v>4.97</v>
      </c>
    </row>
    <row r="42" spans="1:6">
      <c r="A42">
        <v>47</v>
      </c>
      <c r="B42">
        <v>112020270</v>
      </c>
      <c r="C42" s="76">
        <v>2020</v>
      </c>
      <c r="D42" s="76" t="s">
        <v>31</v>
      </c>
      <c r="E42" s="76">
        <v>50</v>
      </c>
      <c r="F42" s="76">
        <v>0</v>
      </c>
    </row>
    <row r="43" spans="1:6">
      <c r="A43">
        <v>49</v>
      </c>
      <c r="B43">
        <v>112020270</v>
      </c>
      <c r="C43" s="76">
        <v>2020</v>
      </c>
      <c r="D43" s="76" t="s">
        <v>31</v>
      </c>
      <c r="E43" s="76" t="s">
        <v>32</v>
      </c>
      <c r="F43" s="76">
        <v>0.9</v>
      </c>
    </row>
    <row r="44" spans="1:6">
      <c r="A44">
        <v>48</v>
      </c>
      <c r="B44">
        <v>112020270</v>
      </c>
      <c r="C44" s="76">
        <v>2020</v>
      </c>
      <c r="D44" s="76" t="s">
        <v>31</v>
      </c>
      <c r="E44" s="76">
        <v>10</v>
      </c>
      <c r="F44" s="76">
        <v>0.08</v>
      </c>
    </row>
    <row r="45" spans="1:6">
      <c r="A45">
        <v>50</v>
      </c>
      <c r="B45">
        <v>112021223</v>
      </c>
      <c r="C45" s="76">
        <v>2021</v>
      </c>
      <c r="D45" s="76" t="s">
        <v>36</v>
      </c>
      <c r="E45" s="76" t="s">
        <v>32</v>
      </c>
      <c r="F45" s="76">
        <v>0.62</v>
      </c>
    </row>
    <row r="46" spans="1:6">
      <c r="A46">
        <v>51</v>
      </c>
      <c r="B46">
        <v>112021260</v>
      </c>
      <c r="C46" s="76">
        <v>2021</v>
      </c>
      <c r="D46" s="76" t="s">
        <v>34</v>
      </c>
      <c r="E46" s="76" t="s">
        <v>32</v>
      </c>
      <c r="F46" s="76">
        <v>4.95</v>
      </c>
    </row>
    <row r="47" spans="1:6">
      <c r="A47">
        <v>61</v>
      </c>
      <c r="B47">
        <v>112021270</v>
      </c>
      <c r="C47" s="76">
        <v>2021</v>
      </c>
      <c r="D47" s="76" t="s">
        <v>31</v>
      </c>
      <c r="E47" s="76" t="s">
        <v>32</v>
      </c>
      <c r="F47" s="76">
        <v>0.1</v>
      </c>
    </row>
    <row r="48" spans="1:6">
      <c r="A48">
        <v>62</v>
      </c>
      <c r="B48">
        <v>112021270</v>
      </c>
      <c r="C48" s="76">
        <v>2021</v>
      </c>
      <c r="D48" s="76" t="s">
        <v>31</v>
      </c>
      <c r="E48" s="76" t="s">
        <v>32</v>
      </c>
      <c r="F48" s="76">
        <v>0.1</v>
      </c>
    </row>
    <row r="49" spans="1:6">
      <c r="A49">
        <v>60</v>
      </c>
      <c r="B49">
        <v>112021270</v>
      </c>
      <c r="C49" s="76">
        <v>2021</v>
      </c>
      <c r="D49" s="76" t="s">
        <v>31</v>
      </c>
      <c r="E49" s="76" t="s">
        <v>32</v>
      </c>
      <c r="F49" s="76">
        <v>0.14</v>
      </c>
    </row>
    <row r="50" spans="1:6">
      <c r="A50">
        <v>57</v>
      </c>
      <c r="B50">
        <v>112021270</v>
      </c>
      <c r="C50" s="76">
        <v>2021</v>
      </c>
      <c r="D50" s="76" t="s">
        <v>31</v>
      </c>
      <c r="E50" s="76" t="s">
        <v>32</v>
      </c>
      <c r="F50" s="76">
        <v>0.65</v>
      </c>
    </row>
    <row r="51" spans="1:6">
      <c r="A51">
        <v>58</v>
      </c>
      <c r="B51">
        <v>112021270</v>
      </c>
      <c r="C51" s="76">
        <v>2021</v>
      </c>
      <c r="D51" s="76" t="s">
        <v>31</v>
      </c>
      <c r="E51" s="76" t="s">
        <v>32</v>
      </c>
      <c r="F51" s="76">
        <v>0.76</v>
      </c>
    </row>
    <row r="52" spans="1:6">
      <c r="A52">
        <v>52</v>
      </c>
      <c r="B52">
        <v>112021270</v>
      </c>
      <c r="C52" s="76">
        <v>2021</v>
      </c>
      <c r="D52" s="76" t="s">
        <v>31</v>
      </c>
      <c r="E52" s="76" t="s">
        <v>32</v>
      </c>
      <c r="F52" s="76">
        <v>0.6</v>
      </c>
    </row>
    <row r="53" spans="1:6">
      <c r="A53">
        <v>54</v>
      </c>
      <c r="B53">
        <v>112021270</v>
      </c>
      <c r="C53" s="76">
        <v>2021</v>
      </c>
      <c r="D53" s="76" t="s">
        <v>31</v>
      </c>
      <c r="E53" s="76" t="s">
        <v>32</v>
      </c>
      <c r="F53" s="76">
        <v>0.22</v>
      </c>
    </row>
    <row r="54" spans="1:6">
      <c r="A54">
        <v>64</v>
      </c>
      <c r="B54">
        <v>112021270</v>
      </c>
      <c r="C54" s="76">
        <v>2021</v>
      </c>
      <c r="D54" s="76" t="s">
        <v>31</v>
      </c>
      <c r="E54" s="76" t="s">
        <v>32</v>
      </c>
      <c r="F54" s="76">
        <v>0</v>
      </c>
    </row>
    <row r="55" spans="1:6">
      <c r="A55">
        <v>56</v>
      </c>
      <c r="B55">
        <v>112021270</v>
      </c>
      <c r="C55" s="76">
        <v>2021</v>
      </c>
      <c r="D55" s="76" t="s">
        <v>31</v>
      </c>
      <c r="E55" s="76" t="s">
        <v>32</v>
      </c>
      <c r="F55" s="76">
        <v>0.07</v>
      </c>
    </row>
    <row r="56" spans="1:6">
      <c r="A56">
        <v>66</v>
      </c>
      <c r="B56">
        <v>112021270</v>
      </c>
      <c r="C56" s="76">
        <v>2021</v>
      </c>
      <c r="D56" s="76" t="s">
        <v>31</v>
      </c>
      <c r="E56" s="76" t="s">
        <v>32</v>
      </c>
      <c r="F56" s="76">
        <v>0.06</v>
      </c>
    </row>
    <row r="57" spans="1:6">
      <c r="A57">
        <v>59</v>
      </c>
      <c r="B57">
        <v>112021270</v>
      </c>
      <c r="C57" s="76">
        <v>2021</v>
      </c>
      <c r="D57" s="76" t="s">
        <v>31</v>
      </c>
      <c r="E57" s="76" t="s">
        <v>32</v>
      </c>
      <c r="F57" s="76">
        <v>0.1</v>
      </c>
    </row>
    <row r="58" spans="1:6">
      <c r="A58">
        <v>55</v>
      </c>
      <c r="B58">
        <v>112021270</v>
      </c>
      <c r="C58" s="76">
        <v>2021</v>
      </c>
      <c r="D58" s="76" t="s">
        <v>31</v>
      </c>
      <c r="E58" s="76" t="s">
        <v>32</v>
      </c>
      <c r="F58" s="76">
        <v>0.16</v>
      </c>
    </row>
    <row r="59" spans="1:6">
      <c r="A59">
        <v>65</v>
      </c>
      <c r="B59">
        <v>112021270</v>
      </c>
      <c r="C59" s="76">
        <v>2021</v>
      </c>
      <c r="D59" s="76" t="s">
        <v>31</v>
      </c>
      <c r="E59" s="76" t="s">
        <v>32</v>
      </c>
      <c r="F59" s="76">
        <v>0.03</v>
      </c>
    </row>
    <row r="60" spans="1:6">
      <c r="A60">
        <v>63</v>
      </c>
      <c r="B60">
        <v>112021270</v>
      </c>
      <c r="C60" s="76">
        <v>2021</v>
      </c>
      <c r="D60" s="76" t="s">
        <v>31</v>
      </c>
      <c r="E60" s="76" t="s">
        <v>32</v>
      </c>
      <c r="F60" s="76">
        <v>0.12</v>
      </c>
    </row>
    <row r="61" spans="1:6">
      <c r="A61">
        <v>67</v>
      </c>
      <c r="B61">
        <v>122012211</v>
      </c>
      <c r="C61">
        <v>2012</v>
      </c>
      <c r="D61" t="s">
        <v>37</v>
      </c>
      <c r="E61">
        <v>2</v>
      </c>
      <c r="F61">
        <v>26.5</v>
      </c>
    </row>
    <row r="62" spans="1:6">
      <c r="A62">
        <v>68</v>
      </c>
      <c r="B62">
        <v>122012260</v>
      </c>
      <c r="C62">
        <v>2012</v>
      </c>
      <c r="D62" t="s">
        <v>34</v>
      </c>
      <c r="E62">
        <v>33</v>
      </c>
      <c r="F62">
        <v>4.65</v>
      </c>
    </row>
    <row r="63" spans="1:6">
      <c r="A63">
        <v>69</v>
      </c>
      <c r="B63">
        <v>122013260</v>
      </c>
      <c r="C63">
        <v>2013</v>
      </c>
      <c r="D63" t="s">
        <v>34</v>
      </c>
      <c r="E63">
        <v>22</v>
      </c>
      <c r="F63">
        <v>3.3</v>
      </c>
    </row>
    <row r="64" spans="1:6">
      <c r="A64">
        <v>70</v>
      </c>
      <c r="B64">
        <v>122014211</v>
      </c>
      <c r="C64">
        <v>2014</v>
      </c>
      <c r="D64" t="s">
        <v>37</v>
      </c>
      <c r="E64">
        <v>2</v>
      </c>
      <c r="F64">
        <v>70</v>
      </c>
    </row>
    <row r="65" spans="1:6">
      <c r="A65">
        <v>71</v>
      </c>
      <c r="B65">
        <v>122014221</v>
      </c>
      <c r="C65">
        <v>2014</v>
      </c>
      <c r="D65" t="s">
        <v>30</v>
      </c>
      <c r="E65">
        <v>2</v>
      </c>
      <c r="F65">
        <v>46.3</v>
      </c>
    </row>
    <row r="66" spans="1:6">
      <c r="A66">
        <v>72</v>
      </c>
      <c r="B66">
        <v>122014221</v>
      </c>
      <c r="C66">
        <v>2014</v>
      </c>
      <c r="D66" t="s">
        <v>30</v>
      </c>
      <c r="E66">
        <v>2</v>
      </c>
      <c r="F66">
        <v>40</v>
      </c>
    </row>
    <row r="67" spans="1:6">
      <c r="A67">
        <v>74</v>
      </c>
      <c r="B67">
        <v>122014270</v>
      </c>
      <c r="C67">
        <v>2014</v>
      </c>
      <c r="D67" t="s">
        <v>31</v>
      </c>
      <c r="E67">
        <v>1</v>
      </c>
      <c r="F67">
        <v>0.5</v>
      </c>
    </row>
    <row r="68" spans="1:6">
      <c r="A68">
        <v>75</v>
      </c>
      <c r="B68">
        <v>122014270</v>
      </c>
      <c r="C68">
        <v>2014</v>
      </c>
      <c r="D68" t="s">
        <v>31</v>
      </c>
      <c r="E68">
        <v>1</v>
      </c>
      <c r="F68">
        <v>0.5</v>
      </c>
    </row>
    <row r="69" spans="1:6">
      <c r="A69">
        <v>73</v>
      </c>
      <c r="B69">
        <v>122014270</v>
      </c>
      <c r="C69">
        <v>2014</v>
      </c>
      <c r="D69" t="s">
        <v>31</v>
      </c>
      <c r="E69">
        <v>1</v>
      </c>
      <c r="F69">
        <v>0.97</v>
      </c>
    </row>
    <row r="70" spans="1:6">
      <c r="A70">
        <v>76</v>
      </c>
      <c r="B70">
        <v>122014270</v>
      </c>
      <c r="C70">
        <v>2014</v>
      </c>
      <c r="D70" t="s">
        <v>31</v>
      </c>
      <c r="E70">
        <v>1</v>
      </c>
      <c r="F70">
        <v>0.06</v>
      </c>
    </row>
    <row r="71" spans="1:6">
      <c r="A71">
        <v>77</v>
      </c>
      <c r="B71">
        <v>122015221</v>
      </c>
      <c r="C71">
        <v>2015</v>
      </c>
      <c r="D71" t="s">
        <v>30</v>
      </c>
      <c r="E71" t="s">
        <v>32</v>
      </c>
      <c r="F71">
        <v>0.02</v>
      </c>
    </row>
    <row r="72" spans="1:6">
      <c r="A72">
        <v>78</v>
      </c>
      <c r="B72">
        <v>122015241</v>
      </c>
      <c r="C72">
        <v>2015</v>
      </c>
      <c r="D72" t="s">
        <v>33</v>
      </c>
      <c r="E72" t="s">
        <v>32</v>
      </c>
      <c r="F72">
        <v>1</v>
      </c>
    </row>
    <row r="73" spans="1:6">
      <c r="A73">
        <v>79</v>
      </c>
      <c r="B73">
        <v>122015243</v>
      </c>
      <c r="C73">
        <v>2015</v>
      </c>
      <c r="D73" t="s">
        <v>38</v>
      </c>
      <c r="E73" t="s">
        <v>32</v>
      </c>
      <c r="F73">
        <v>0.6</v>
      </c>
    </row>
    <row r="74" spans="1:6">
      <c r="A74">
        <v>87</v>
      </c>
      <c r="B74">
        <v>122015270</v>
      </c>
      <c r="C74">
        <v>2015</v>
      </c>
      <c r="D74" t="s">
        <v>31</v>
      </c>
      <c r="E74">
        <v>1</v>
      </c>
      <c r="F74">
        <v>0.02</v>
      </c>
    </row>
    <row r="75" spans="1:6">
      <c r="A75">
        <v>84</v>
      </c>
      <c r="B75">
        <v>122015270</v>
      </c>
      <c r="C75">
        <v>2015</v>
      </c>
      <c r="D75" t="s">
        <v>31</v>
      </c>
      <c r="E75">
        <v>1</v>
      </c>
      <c r="F75">
        <v>0.4</v>
      </c>
    </row>
    <row r="76" spans="1:6">
      <c r="A76">
        <v>85</v>
      </c>
      <c r="B76">
        <v>122015270</v>
      </c>
      <c r="C76">
        <v>2015</v>
      </c>
      <c r="D76" t="s">
        <v>31</v>
      </c>
      <c r="E76">
        <v>1</v>
      </c>
      <c r="F76">
        <v>0.18</v>
      </c>
    </row>
    <row r="77" spans="1:6">
      <c r="A77">
        <v>86</v>
      </c>
      <c r="B77">
        <v>122015270</v>
      </c>
      <c r="C77">
        <v>2015</v>
      </c>
      <c r="D77" t="s">
        <v>31</v>
      </c>
      <c r="E77">
        <v>1</v>
      </c>
      <c r="F77">
        <v>0.21</v>
      </c>
    </row>
    <row r="78" spans="1:6">
      <c r="A78">
        <v>80</v>
      </c>
      <c r="B78">
        <v>122015270</v>
      </c>
      <c r="C78">
        <v>2015</v>
      </c>
      <c r="D78" t="s">
        <v>31</v>
      </c>
      <c r="E78">
        <v>1</v>
      </c>
      <c r="F78">
        <v>0.03</v>
      </c>
    </row>
    <row r="79" spans="1:6">
      <c r="A79">
        <v>81</v>
      </c>
      <c r="B79">
        <v>122015270</v>
      </c>
      <c r="C79">
        <v>2015</v>
      </c>
      <c r="D79" t="s">
        <v>31</v>
      </c>
      <c r="E79">
        <v>1</v>
      </c>
      <c r="F79">
        <v>1.2</v>
      </c>
    </row>
    <row r="80" spans="1:6">
      <c r="A80">
        <v>83</v>
      </c>
      <c r="B80">
        <v>122015270</v>
      </c>
      <c r="C80">
        <v>2015</v>
      </c>
      <c r="D80" t="s">
        <v>31</v>
      </c>
      <c r="E80" t="s">
        <v>32</v>
      </c>
      <c r="F80">
        <v>0.46</v>
      </c>
    </row>
    <row r="81" spans="1:6">
      <c r="A81">
        <v>88</v>
      </c>
      <c r="B81">
        <v>122015270</v>
      </c>
      <c r="C81">
        <v>2015</v>
      </c>
      <c r="D81" t="s">
        <v>31</v>
      </c>
      <c r="E81" t="s">
        <v>32</v>
      </c>
      <c r="F81">
        <v>1.5</v>
      </c>
    </row>
    <row r="82" spans="1:6">
      <c r="A82">
        <v>82</v>
      </c>
      <c r="B82">
        <v>122015270</v>
      </c>
      <c r="C82">
        <v>2015</v>
      </c>
      <c r="D82" t="s">
        <v>31</v>
      </c>
      <c r="E82" t="s">
        <v>32</v>
      </c>
      <c r="F82">
        <v>2</v>
      </c>
    </row>
    <row r="83" spans="1:6">
      <c r="A83">
        <v>89</v>
      </c>
      <c r="B83">
        <v>122016221</v>
      </c>
      <c r="C83" s="76">
        <v>2016</v>
      </c>
      <c r="D83" s="76" t="s">
        <v>30</v>
      </c>
      <c r="E83" s="76" t="s">
        <v>32</v>
      </c>
      <c r="F83" s="76">
        <v>92.37</v>
      </c>
    </row>
    <row r="84" spans="1:6">
      <c r="A84">
        <v>90</v>
      </c>
      <c r="B84">
        <v>122016241</v>
      </c>
      <c r="C84" s="76">
        <v>2016</v>
      </c>
      <c r="D84" s="76" t="s">
        <v>33</v>
      </c>
      <c r="E84" s="76" t="s">
        <v>32</v>
      </c>
      <c r="F84" s="76">
        <v>1.4</v>
      </c>
    </row>
    <row r="85" spans="1:6">
      <c r="A85">
        <v>92</v>
      </c>
      <c r="B85">
        <v>122016242</v>
      </c>
      <c r="C85" s="76">
        <v>2016</v>
      </c>
      <c r="D85" s="76" t="s">
        <v>35</v>
      </c>
      <c r="E85" s="76" t="s">
        <v>32</v>
      </c>
      <c r="F85" s="76">
        <v>1.2</v>
      </c>
    </row>
    <row r="86" spans="1:6">
      <c r="A86">
        <v>94</v>
      </c>
      <c r="B86">
        <v>122016270</v>
      </c>
      <c r="C86" s="76">
        <v>2016</v>
      </c>
      <c r="D86" s="76" t="s">
        <v>31</v>
      </c>
      <c r="E86" s="76" t="s">
        <v>32</v>
      </c>
      <c r="F86" s="76">
        <v>17.4</v>
      </c>
    </row>
    <row r="87" spans="1:6">
      <c r="A87">
        <v>98</v>
      </c>
      <c r="B87">
        <v>122016270</v>
      </c>
      <c r="C87" s="76">
        <v>2016</v>
      </c>
      <c r="D87" s="76" t="s">
        <v>31</v>
      </c>
      <c r="E87" s="76" t="s">
        <v>32</v>
      </c>
      <c r="F87" s="76">
        <v>3</v>
      </c>
    </row>
    <row r="88" spans="1:6">
      <c r="A88">
        <v>100</v>
      </c>
      <c r="B88">
        <v>122016270</v>
      </c>
      <c r="C88" s="76">
        <v>2016</v>
      </c>
      <c r="D88" s="76" t="s">
        <v>31</v>
      </c>
      <c r="E88" s="76" t="s">
        <v>32</v>
      </c>
      <c r="F88" s="76">
        <v>2</v>
      </c>
    </row>
    <row r="89" spans="1:6">
      <c r="A89">
        <v>99</v>
      </c>
      <c r="B89">
        <v>122016270</v>
      </c>
      <c r="C89" s="76">
        <v>2016</v>
      </c>
      <c r="D89" s="76" t="s">
        <v>31</v>
      </c>
      <c r="E89" s="76" t="s">
        <v>32</v>
      </c>
      <c r="F89" s="76">
        <v>1</v>
      </c>
    </row>
    <row r="90" spans="1:6">
      <c r="A90">
        <v>96</v>
      </c>
      <c r="B90">
        <v>122016270</v>
      </c>
      <c r="C90" s="76">
        <v>2016</v>
      </c>
      <c r="D90" s="76" t="s">
        <v>31</v>
      </c>
      <c r="E90" s="76" t="s">
        <v>32</v>
      </c>
      <c r="F90" s="76">
        <v>2</v>
      </c>
    </row>
    <row r="91" spans="1:6">
      <c r="A91">
        <v>95</v>
      </c>
      <c r="B91">
        <v>122016270</v>
      </c>
      <c r="C91" s="76">
        <v>2016</v>
      </c>
      <c r="D91" s="76" t="s">
        <v>31</v>
      </c>
      <c r="E91" s="76" t="s">
        <v>32</v>
      </c>
      <c r="F91" s="76">
        <v>0.8</v>
      </c>
    </row>
    <row r="92" spans="1:6">
      <c r="A92">
        <v>103</v>
      </c>
      <c r="B92">
        <v>122016270</v>
      </c>
      <c r="C92" s="76">
        <v>2016</v>
      </c>
      <c r="D92" s="76" t="s">
        <v>31</v>
      </c>
      <c r="E92" s="76" t="s">
        <v>32</v>
      </c>
      <c r="F92" s="76">
        <v>0.9</v>
      </c>
    </row>
    <row r="93" spans="1:6">
      <c r="A93">
        <v>97</v>
      </c>
      <c r="B93">
        <v>122016270</v>
      </c>
      <c r="C93" s="76">
        <v>2016</v>
      </c>
      <c r="D93" s="76" t="s">
        <v>31</v>
      </c>
      <c r="E93" s="76" t="s">
        <v>32</v>
      </c>
      <c r="F93" s="76">
        <v>16</v>
      </c>
    </row>
    <row r="94" spans="1:6">
      <c r="A94">
        <v>102</v>
      </c>
      <c r="B94">
        <v>122016270</v>
      </c>
      <c r="C94" s="76">
        <v>2016</v>
      </c>
      <c r="D94" s="76" t="s">
        <v>31</v>
      </c>
      <c r="E94" s="76" t="s">
        <v>32</v>
      </c>
      <c r="F94" s="76">
        <v>1.5</v>
      </c>
    </row>
    <row r="95" spans="1:6">
      <c r="A95">
        <v>101</v>
      </c>
      <c r="B95">
        <v>122016270</v>
      </c>
      <c r="C95" s="76">
        <v>2016</v>
      </c>
      <c r="D95" s="76" t="s">
        <v>31</v>
      </c>
      <c r="E95" s="76" t="s">
        <v>32</v>
      </c>
      <c r="F95" s="76">
        <v>1</v>
      </c>
    </row>
    <row r="96" spans="1:6">
      <c r="A96">
        <v>104</v>
      </c>
      <c r="B96">
        <v>122016270</v>
      </c>
      <c r="C96" s="76">
        <v>2016</v>
      </c>
      <c r="D96" s="76" t="s">
        <v>31</v>
      </c>
      <c r="E96" s="76" t="s">
        <v>32</v>
      </c>
      <c r="F96" s="76">
        <v>0.5</v>
      </c>
    </row>
    <row r="97" spans="1:6">
      <c r="A97">
        <v>106</v>
      </c>
      <c r="B97">
        <v>122017221</v>
      </c>
      <c r="C97" s="76">
        <v>2017</v>
      </c>
      <c r="D97" s="76" t="s">
        <v>30</v>
      </c>
      <c r="E97" s="76" t="s">
        <v>32</v>
      </c>
      <c r="F97" s="76">
        <v>0.2</v>
      </c>
    </row>
    <row r="98" spans="1:6">
      <c r="A98">
        <v>109</v>
      </c>
      <c r="B98">
        <v>122017260</v>
      </c>
      <c r="C98" s="76">
        <v>2017</v>
      </c>
      <c r="D98" s="76" t="s">
        <v>34</v>
      </c>
      <c r="E98" s="76">
        <v>7</v>
      </c>
      <c r="F98" s="76">
        <v>1.4</v>
      </c>
    </row>
    <row r="99" spans="1:6">
      <c r="A99">
        <v>107</v>
      </c>
      <c r="B99">
        <v>122017260</v>
      </c>
      <c r="C99" s="76">
        <v>2017</v>
      </c>
      <c r="D99" s="76" t="s">
        <v>34</v>
      </c>
      <c r="E99" s="76">
        <v>24</v>
      </c>
      <c r="F99" s="76">
        <v>4.8</v>
      </c>
    </row>
    <row r="100" spans="1:6">
      <c r="A100">
        <v>108</v>
      </c>
      <c r="B100">
        <v>122017260</v>
      </c>
      <c r="C100" s="76">
        <v>2017</v>
      </c>
      <c r="D100" s="76" t="s">
        <v>34</v>
      </c>
      <c r="E100" s="76">
        <v>21</v>
      </c>
      <c r="F100" s="76">
        <v>4.3</v>
      </c>
    </row>
    <row r="101" spans="1:6">
      <c r="A101">
        <v>110</v>
      </c>
      <c r="B101">
        <v>122017270</v>
      </c>
      <c r="C101" s="76">
        <v>2017</v>
      </c>
      <c r="D101" s="76" t="s">
        <v>31</v>
      </c>
      <c r="E101" s="76" t="s">
        <v>32</v>
      </c>
      <c r="F101" s="76">
        <v>0.22</v>
      </c>
    </row>
    <row r="102" spans="1:6">
      <c r="A102">
        <v>113</v>
      </c>
      <c r="B102">
        <v>122017270</v>
      </c>
      <c r="C102" s="76">
        <v>2017</v>
      </c>
      <c r="D102" s="76" t="s">
        <v>31</v>
      </c>
      <c r="E102" s="76" t="s">
        <v>32</v>
      </c>
      <c r="F102" s="76">
        <v>2</v>
      </c>
    </row>
    <row r="103" spans="1:6">
      <c r="A103">
        <v>111</v>
      </c>
      <c r="B103">
        <v>122017270</v>
      </c>
      <c r="C103" s="76">
        <v>2017</v>
      </c>
      <c r="D103" s="76" t="s">
        <v>31</v>
      </c>
      <c r="E103" s="76">
        <v>1</v>
      </c>
      <c r="F103" s="76">
        <v>1.24</v>
      </c>
    </row>
    <row r="104" spans="1:6">
      <c r="A104">
        <v>114</v>
      </c>
      <c r="B104">
        <v>122018211</v>
      </c>
      <c r="C104" s="76">
        <v>2018</v>
      </c>
      <c r="D104" s="76" t="s">
        <v>37</v>
      </c>
      <c r="E104" s="76">
        <v>2</v>
      </c>
      <c r="F104" s="76">
        <v>200</v>
      </c>
    </row>
    <row r="105" spans="1:6">
      <c r="A105">
        <v>117</v>
      </c>
      <c r="B105">
        <v>122018221</v>
      </c>
      <c r="C105" s="76">
        <v>2018</v>
      </c>
      <c r="D105" s="76" t="s">
        <v>30</v>
      </c>
      <c r="E105" s="76" t="s">
        <v>32</v>
      </c>
      <c r="F105" s="76">
        <v>0.09</v>
      </c>
    </row>
    <row r="106" spans="1:6">
      <c r="A106">
        <v>115</v>
      </c>
      <c r="B106">
        <v>122018221</v>
      </c>
      <c r="C106" s="76">
        <v>2018</v>
      </c>
      <c r="D106" s="76" t="s">
        <v>30</v>
      </c>
      <c r="E106" s="76" t="s">
        <v>32</v>
      </c>
      <c r="F106" s="76">
        <v>13.14</v>
      </c>
    </row>
    <row r="107" spans="1:6">
      <c r="A107">
        <v>116</v>
      </c>
      <c r="B107">
        <v>122018221</v>
      </c>
      <c r="C107" s="76">
        <v>2018</v>
      </c>
      <c r="D107" s="76" t="s">
        <v>30</v>
      </c>
      <c r="E107" s="76">
        <v>2</v>
      </c>
      <c r="F107" s="76">
        <v>11.94</v>
      </c>
    </row>
    <row r="108" spans="1:6">
      <c r="A108">
        <v>118</v>
      </c>
      <c r="B108">
        <v>122018243</v>
      </c>
      <c r="C108" s="76">
        <v>2018</v>
      </c>
      <c r="D108" s="76" t="s">
        <v>38</v>
      </c>
      <c r="E108" s="76" t="s">
        <v>32</v>
      </c>
      <c r="F108" s="76">
        <v>3.75</v>
      </c>
    </row>
    <row r="109" spans="1:6">
      <c r="A109">
        <v>121</v>
      </c>
      <c r="B109">
        <v>122018260</v>
      </c>
      <c r="C109" s="76">
        <v>2018</v>
      </c>
      <c r="D109" s="76" t="s">
        <v>34</v>
      </c>
      <c r="E109" s="76" t="s">
        <v>32</v>
      </c>
      <c r="F109" s="76">
        <v>9</v>
      </c>
    </row>
    <row r="110" spans="1:6">
      <c r="A110">
        <v>122</v>
      </c>
      <c r="B110">
        <v>122018260</v>
      </c>
      <c r="C110" s="76">
        <v>2018</v>
      </c>
      <c r="D110" s="76" t="s">
        <v>34</v>
      </c>
      <c r="E110" s="76" t="s">
        <v>32</v>
      </c>
      <c r="F110" s="76">
        <v>4.8</v>
      </c>
    </row>
    <row r="111" spans="1:6">
      <c r="A111">
        <v>119</v>
      </c>
      <c r="B111">
        <v>122018260</v>
      </c>
      <c r="C111" s="76">
        <v>2018</v>
      </c>
      <c r="D111" s="76" t="s">
        <v>34</v>
      </c>
      <c r="E111" s="76" t="s">
        <v>32</v>
      </c>
      <c r="F111" s="76">
        <v>4.8</v>
      </c>
    </row>
    <row r="112" spans="1:6">
      <c r="A112">
        <v>120</v>
      </c>
      <c r="B112">
        <v>122018260</v>
      </c>
      <c r="C112" s="76">
        <v>2018</v>
      </c>
      <c r="D112" s="76" t="s">
        <v>34</v>
      </c>
      <c r="E112" s="76">
        <v>44</v>
      </c>
      <c r="F112" s="76">
        <v>9.68</v>
      </c>
    </row>
    <row r="113" spans="1:6">
      <c r="A113">
        <v>127</v>
      </c>
      <c r="B113">
        <v>122018270</v>
      </c>
      <c r="C113" s="76">
        <v>2018</v>
      </c>
      <c r="D113" s="76" t="s">
        <v>31</v>
      </c>
      <c r="E113" s="76" t="s">
        <v>32</v>
      </c>
      <c r="F113" s="76">
        <v>1.04</v>
      </c>
    </row>
    <row r="114" spans="1:6">
      <c r="A114">
        <v>130</v>
      </c>
      <c r="B114">
        <v>122018270</v>
      </c>
      <c r="C114" s="76">
        <v>2018</v>
      </c>
      <c r="D114" s="76" t="s">
        <v>31</v>
      </c>
      <c r="E114" s="76" t="s">
        <v>32</v>
      </c>
      <c r="F114" s="76">
        <v>6.91</v>
      </c>
    </row>
    <row r="115" spans="1:6">
      <c r="A115">
        <v>129</v>
      </c>
      <c r="B115">
        <v>122018270</v>
      </c>
      <c r="C115" s="76">
        <v>2018</v>
      </c>
      <c r="D115" s="76" t="s">
        <v>31</v>
      </c>
      <c r="E115" s="76" t="s">
        <v>32</v>
      </c>
      <c r="F115" s="76">
        <v>13.33</v>
      </c>
    </row>
    <row r="116" spans="1:6">
      <c r="A116">
        <v>128</v>
      </c>
      <c r="B116">
        <v>122018270</v>
      </c>
      <c r="C116" s="76">
        <v>2018</v>
      </c>
      <c r="D116" s="76" t="s">
        <v>31</v>
      </c>
      <c r="E116" s="76" t="s">
        <v>32</v>
      </c>
      <c r="F116" s="76">
        <v>3</v>
      </c>
    </row>
    <row r="117" spans="1:6">
      <c r="A117">
        <v>123</v>
      </c>
      <c r="B117">
        <v>122018270</v>
      </c>
      <c r="C117" s="76">
        <v>2018</v>
      </c>
      <c r="D117" s="76" t="s">
        <v>31</v>
      </c>
      <c r="E117" s="76" t="s">
        <v>32</v>
      </c>
      <c r="F117" s="76">
        <v>0.02</v>
      </c>
    </row>
    <row r="118" spans="1:6">
      <c r="A118">
        <v>135</v>
      </c>
      <c r="B118">
        <v>122018270</v>
      </c>
      <c r="C118" s="76">
        <v>2018</v>
      </c>
      <c r="D118" s="76" t="s">
        <v>31</v>
      </c>
      <c r="E118" s="76" t="s">
        <v>32</v>
      </c>
      <c r="F118" s="76">
        <v>1</v>
      </c>
    </row>
    <row r="119" spans="1:6">
      <c r="A119">
        <v>139</v>
      </c>
      <c r="B119">
        <v>122018270</v>
      </c>
      <c r="C119" s="76">
        <v>2018</v>
      </c>
      <c r="D119" s="76" t="s">
        <v>31</v>
      </c>
      <c r="E119" s="76" t="s">
        <v>32</v>
      </c>
      <c r="F119" s="76">
        <v>3.26</v>
      </c>
    </row>
    <row r="120" spans="1:6">
      <c r="A120">
        <v>134</v>
      </c>
      <c r="B120">
        <v>122018270</v>
      </c>
      <c r="C120" s="76">
        <v>2018</v>
      </c>
      <c r="D120" s="76" t="s">
        <v>31</v>
      </c>
      <c r="E120" s="76" t="s">
        <v>32</v>
      </c>
      <c r="F120" s="76">
        <v>7.94</v>
      </c>
    </row>
    <row r="121" spans="1:6">
      <c r="A121">
        <v>136</v>
      </c>
      <c r="B121">
        <v>122018270</v>
      </c>
      <c r="C121" s="76">
        <v>2018</v>
      </c>
      <c r="D121" s="76" t="s">
        <v>31</v>
      </c>
      <c r="E121" s="76" t="s">
        <v>32</v>
      </c>
      <c r="F121" s="76">
        <v>1.97</v>
      </c>
    </row>
    <row r="122" spans="1:6">
      <c r="A122">
        <v>138</v>
      </c>
      <c r="B122">
        <v>122018270</v>
      </c>
      <c r="C122" s="76">
        <v>2018</v>
      </c>
      <c r="D122" s="76" t="s">
        <v>31</v>
      </c>
      <c r="E122" s="76" t="s">
        <v>32</v>
      </c>
      <c r="F122" s="76">
        <v>1.91</v>
      </c>
    </row>
    <row r="123" spans="1:6">
      <c r="A123">
        <v>132</v>
      </c>
      <c r="B123">
        <v>122018270</v>
      </c>
      <c r="C123" s="76">
        <v>2018</v>
      </c>
      <c r="D123" s="76" t="s">
        <v>31</v>
      </c>
      <c r="E123" s="76" t="s">
        <v>32</v>
      </c>
      <c r="F123" s="76">
        <v>1.78</v>
      </c>
    </row>
    <row r="124" spans="1:6">
      <c r="A124">
        <v>126</v>
      </c>
      <c r="B124">
        <v>122018270</v>
      </c>
      <c r="C124" s="76">
        <v>2018</v>
      </c>
      <c r="D124" s="76" t="s">
        <v>31</v>
      </c>
      <c r="E124" s="76" t="s">
        <v>32</v>
      </c>
      <c r="F124" s="76">
        <v>0.8</v>
      </c>
    </row>
    <row r="125" spans="1:6">
      <c r="A125">
        <v>125</v>
      </c>
      <c r="B125">
        <v>122018270</v>
      </c>
      <c r="C125" s="76">
        <v>2018</v>
      </c>
      <c r="D125" s="76" t="s">
        <v>31</v>
      </c>
      <c r="E125" s="76" t="s">
        <v>32</v>
      </c>
      <c r="F125" s="76">
        <v>1</v>
      </c>
    </row>
    <row r="126" spans="1:6">
      <c r="A126">
        <v>133</v>
      </c>
      <c r="B126">
        <v>122018270</v>
      </c>
      <c r="C126" s="76">
        <v>2018</v>
      </c>
      <c r="D126" s="76" t="s">
        <v>31</v>
      </c>
      <c r="E126" s="76" t="s">
        <v>32</v>
      </c>
      <c r="F126" s="76">
        <v>1.8</v>
      </c>
    </row>
    <row r="127" spans="1:6">
      <c r="A127">
        <v>131</v>
      </c>
      <c r="B127">
        <v>122018270</v>
      </c>
      <c r="C127" s="76">
        <v>2018</v>
      </c>
      <c r="D127" s="76" t="s">
        <v>31</v>
      </c>
      <c r="E127" s="76" t="s">
        <v>32</v>
      </c>
      <c r="F127" s="76">
        <v>0.75</v>
      </c>
    </row>
    <row r="128" spans="1:6">
      <c r="A128">
        <v>137</v>
      </c>
      <c r="B128">
        <v>122018270</v>
      </c>
      <c r="C128" s="76">
        <v>2018</v>
      </c>
      <c r="D128" s="76" t="s">
        <v>31</v>
      </c>
      <c r="E128" s="76" t="s">
        <v>32</v>
      </c>
      <c r="F128" s="76">
        <v>2.5</v>
      </c>
    </row>
    <row r="129" spans="1:6">
      <c r="A129">
        <v>140</v>
      </c>
      <c r="B129">
        <v>122019211</v>
      </c>
      <c r="C129" s="76">
        <v>2019</v>
      </c>
      <c r="D129" s="76" t="s">
        <v>37</v>
      </c>
      <c r="E129" s="76">
        <v>1</v>
      </c>
      <c r="F129" s="76">
        <v>35</v>
      </c>
    </row>
    <row r="130" spans="1:6">
      <c r="A130">
        <v>141</v>
      </c>
      <c r="B130">
        <v>122019221</v>
      </c>
      <c r="C130" s="76">
        <v>2019</v>
      </c>
      <c r="D130" s="76" t="s">
        <v>30</v>
      </c>
      <c r="E130" s="76">
        <v>3</v>
      </c>
      <c r="F130" s="76">
        <v>93</v>
      </c>
    </row>
    <row r="131" spans="1:6">
      <c r="A131">
        <v>142</v>
      </c>
      <c r="B131">
        <v>122019242</v>
      </c>
      <c r="C131" s="76">
        <v>2019</v>
      </c>
      <c r="D131" s="76" t="s">
        <v>35</v>
      </c>
      <c r="E131" s="76" t="s">
        <v>32</v>
      </c>
      <c r="F131" s="76">
        <v>2</v>
      </c>
    </row>
    <row r="132" spans="1:6">
      <c r="A132">
        <v>144</v>
      </c>
      <c r="B132">
        <v>122019260</v>
      </c>
      <c r="C132" s="76">
        <v>2019</v>
      </c>
      <c r="D132" s="76" t="s">
        <v>34</v>
      </c>
      <c r="E132" s="76" t="s">
        <v>32</v>
      </c>
      <c r="F132" s="76">
        <v>7.95</v>
      </c>
    </row>
    <row r="133" spans="1:6">
      <c r="A133">
        <v>143</v>
      </c>
      <c r="B133">
        <v>122019260</v>
      </c>
      <c r="C133" s="76">
        <v>2019</v>
      </c>
      <c r="D133" s="76" t="s">
        <v>34</v>
      </c>
      <c r="E133" s="76">
        <v>25</v>
      </c>
      <c r="F133" s="76">
        <v>5</v>
      </c>
    </row>
    <row r="134" spans="1:6">
      <c r="A134">
        <v>152</v>
      </c>
      <c r="B134">
        <v>122019270</v>
      </c>
      <c r="C134" s="76">
        <v>2019</v>
      </c>
      <c r="D134" s="76" t="s">
        <v>31</v>
      </c>
      <c r="E134" s="76" t="s">
        <v>32</v>
      </c>
      <c r="F134" s="76">
        <v>0</v>
      </c>
    </row>
    <row r="135" spans="1:6">
      <c r="A135">
        <v>156</v>
      </c>
      <c r="B135">
        <v>122019270</v>
      </c>
      <c r="C135" s="76">
        <v>2019</v>
      </c>
      <c r="D135" s="76" t="s">
        <v>31</v>
      </c>
      <c r="E135" s="76" t="s">
        <v>32</v>
      </c>
      <c r="F135" s="76">
        <v>0</v>
      </c>
    </row>
    <row r="136" spans="1:6">
      <c r="A136">
        <v>158</v>
      </c>
      <c r="B136">
        <v>122019270</v>
      </c>
      <c r="C136" s="76">
        <v>2019</v>
      </c>
      <c r="D136" s="76" t="s">
        <v>31</v>
      </c>
      <c r="E136" s="76" t="s">
        <v>32</v>
      </c>
      <c r="F136" s="76">
        <v>3.6</v>
      </c>
    </row>
    <row r="137" spans="1:6">
      <c r="A137">
        <v>150</v>
      </c>
      <c r="B137">
        <v>122019270</v>
      </c>
      <c r="C137" s="76">
        <v>2019</v>
      </c>
      <c r="D137" s="76" t="s">
        <v>31</v>
      </c>
      <c r="E137" s="76" t="s">
        <v>32</v>
      </c>
      <c r="F137" s="76">
        <v>0</v>
      </c>
    </row>
    <row r="138" spans="1:6">
      <c r="A138">
        <v>155</v>
      </c>
      <c r="B138">
        <v>122019270</v>
      </c>
      <c r="C138" s="76">
        <v>2019</v>
      </c>
      <c r="D138" s="76" t="s">
        <v>31</v>
      </c>
      <c r="E138" s="76" t="s">
        <v>32</v>
      </c>
      <c r="F138" s="76">
        <v>0</v>
      </c>
    </row>
    <row r="139" spans="1:6">
      <c r="A139">
        <v>153</v>
      </c>
      <c r="B139">
        <v>122019270</v>
      </c>
      <c r="C139" s="76">
        <v>2019</v>
      </c>
      <c r="D139" s="76" t="s">
        <v>31</v>
      </c>
      <c r="E139" s="76" t="s">
        <v>32</v>
      </c>
      <c r="F139" s="76">
        <v>0</v>
      </c>
    </row>
    <row r="140" spans="1:6">
      <c r="A140">
        <v>151</v>
      </c>
      <c r="B140">
        <v>122019270</v>
      </c>
      <c r="C140" s="76">
        <v>2019</v>
      </c>
      <c r="D140" s="76" t="s">
        <v>31</v>
      </c>
      <c r="E140" s="76" t="s">
        <v>32</v>
      </c>
      <c r="F140" s="76">
        <v>0</v>
      </c>
    </row>
    <row r="141" spans="1:6">
      <c r="A141">
        <v>160</v>
      </c>
      <c r="B141">
        <v>122019270</v>
      </c>
      <c r="C141" s="76">
        <v>2019</v>
      </c>
      <c r="D141" s="76" t="s">
        <v>31</v>
      </c>
      <c r="E141" s="76" t="s">
        <v>32</v>
      </c>
      <c r="F141" s="76">
        <v>4</v>
      </c>
    </row>
    <row r="142" spans="1:6">
      <c r="A142">
        <v>154</v>
      </c>
      <c r="B142">
        <v>122019270</v>
      </c>
      <c r="C142" s="76">
        <v>2019</v>
      </c>
      <c r="D142" s="76" t="s">
        <v>31</v>
      </c>
      <c r="E142" s="76" t="s">
        <v>32</v>
      </c>
      <c r="F142" s="76">
        <v>0</v>
      </c>
    </row>
    <row r="143" spans="1:6">
      <c r="A143">
        <v>147</v>
      </c>
      <c r="B143">
        <v>122019270</v>
      </c>
      <c r="C143" s="76">
        <v>2019</v>
      </c>
      <c r="D143" s="76" t="s">
        <v>31</v>
      </c>
      <c r="E143" s="76" t="s">
        <v>32</v>
      </c>
      <c r="F143" s="76">
        <v>1</v>
      </c>
    </row>
    <row r="144" spans="1:6">
      <c r="A144">
        <v>157</v>
      </c>
      <c r="B144">
        <v>122019270</v>
      </c>
      <c r="C144" s="76">
        <v>2019</v>
      </c>
      <c r="D144" s="76" t="s">
        <v>31</v>
      </c>
      <c r="E144" s="76" t="s">
        <v>32</v>
      </c>
      <c r="F144" s="76">
        <v>0.61</v>
      </c>
    </row>
    <row r="145" spans="1:6">
      <c r="A145">
        <v>159</v>
      </c>
      <c r="B145">
        <v>122019270</v>
      </c>
      <c r="C145" s="76">
        <v>2019</v>
      </c>
      <c r="D145" s="76" t="s">
        <v>31</v>
      </c>
      <c r="E145" s="76" t="s">
        <v>32</v>
      </c>
      <c r="F145" s="76">
        <v>0.98</v>
      </c>
    </row>
    <row r="146" spans="1:6">
      <c r="A146">
        <v>145</v>
      </c>
      <c r="B146">
        <v>122019270</v>
      </c>
      <c r="C146" s="76">
        <v>2019</v>
      </c>
      <c r="D146" s="76" t="s">
        <v>31</v>
      </c>
      <c r="E146" s="76" t="s">
        <v>32</v>
      </c>
      <c r="F146" s="76">
        <v>4</v>
      </c>
    </row>
    <row r="147" spans="1:6">
      <c r="A147">
        <v>149</v>
      </c>
      <c r="B147">
        <v>122019270</v>
      </c>
      <c r="C147" s="76">
        <v>2019</v>
      </c>
      <c r="D147" s="76" t="s">
        <v>31</v>
      </c>
      <c r="E147" s="76" t="s">
        <v>32</v>
      </c>
      <c r="F147" s="76">
        <v>0.7</v>
      </c>
    </row>
    <row r="148" spans="1:6">
      <c r="A148">
        <v>161</v>
      </c>
      <c r="B148">
        <v>122019270</v>
      </c>
      <c r="C148" s="76">
        <v>2019</v>
      </c>
      <c r="D148" s="76" t="s">
        <v>31</v>
      </c>
      <c r="E148" s="76" t="s">
        <v>32</v>
      </c>
      <c r="F148" s="76">
        <v>1.8</v>
      </c>
    </row>
    <row r="149" spans="1:6">
      <c r="A149">
        <v>148</v>
      </c>
      <c r="B149">
        <v>122019270</v>
      </c>
      <c r="C149" s="76">
        <v>2019</v>
      </c>
      <c r="D149" s="76" t="s">
        <v>31</v>
      </c>
      <c r="E149" s="76" t="s">
        <v>32</v>
      </c>
      <c r="F149" s="76">
        <v>1.64</v>
      </c>
    </row>
    <row r="150" spans="1:6">
      <c r="A150">
        <v>162</v>
      </c>
      <c r="B150">
        <v>122020211</v>
      </c>
      <c r="C150" s="76">
        <v>2020</v>
      </c>
      <c r="D150" s="76" t="s">
        <v>37</v>
      </c>
      <c r="E150" s="76" t="s">
        <v>32</v>
      </c>
      <c r="F150" s="76">
        <v>5</v>
      </c>
    </row>
    <row r="151" spans="1:6">
      <c r="A151">
        <v>163</v>
      </c>
      <c r="B151">
        <v>122020221</v>
      </c>
      <c r="C151" s="76">
        <v>2020</v>
      </c>
      <c r="D151" s="76" t="s">
        <v>30</v>
      </c>
      <c r="E151" s="76" t="s">
        <v>32</v>
      </c>
      <c r="F151" s="76">
        <v>65</v>
      </c>
    </row>
    <row r="152" spans="1:6">
      <c r="A152">
        <v>164</v>
      </c>
      <c r="B152">
        <v>122020241</v>
      </c>
      <c r="C152" s="76">
        <v>2020</v>
      </c>
      <c r="D152" s="76" t="s">
        <v>33</v>
      </c>
      <c r="E152" s="76" t="s">
        <v>32</v>
      </c>
      <c r="F152" s="76">
        <v>7</v>
      </c>
    </row>
    <row r="153" spans="1:6">
      <c r="A153">
        <v>167</v>
      </c>
      <c r="B153">
        <v>122020242</v>
      </c>
      <c r="C153" s="76">
        <v>2020</v>
      </c>
      <c r="D153" s="76" t="s">
        <v>35</v>
      </c>
      <c r="E153" s="76" t="s">
        <v>32</v>
      </c>
      <c r="F153" s="76">
        <v>6</v>
      </c>
    </row>
    <row r="154" spans="1:6">
      <c r="A154">
        <v>168</v>
      </c>
      <c r="B154">
        <v>122020242</v>
      </c>
      <c r="C154" s="76">
        <v>2020</v>
      </c>
      <c r="D154" s="76" t="s">
        <v>35</v>
      </c>
      <c r="E154" s="76" t="s">
        <v>32</v>
      </c>
      <c r="F154" s="76">
        <v>8</v>
      </c>
    </row>
    <row r="155" spans="1:6">
      <c r="A155">
        <v>166</v>
      </c>
      <c r="B155">
        <v>122020242</v>
      </c>
      <c r="C155" s="76">
        <v>2020</v>
      </c>
      <c r="D155" s="76" t="s">
        <v>35</v>
      </c>
      <c r="E155" s="76" t="s">
        <v>32</v>
      </c>
      <c r="F155" s="76">
        <v>0.6</v>
      </c>
    </row>
    <row r="156" spans="1:6">
      <c r="A156">
        <v>169</v>
      </c>
      <c r="B156">
        <v>122020242</v>
      </c>
      <c r="C156" s="76">
        <v>2020</v>
      </c>
      <c r="D156" s="76" t="s">
        <v>35</v>
      </c>
      <c r="E156" s="76" t="s">
        <v>32</v>
      </c>
      <c r="F156" s="76">
        <v>2.5</v>
      </c>
    </row>
    <row r="157" spans="1:6">
      <c r="A157">
        <v>173</v>
      </c>
      <c r="B157">
        <v>122020260</v>
      </c>
      <c r="C157" s="76">
        <v>2020</v>
      </c>
      <c r="D157" s="76" t="s">
        <v>34</v>
      </c>
      <c r="E157" s="76" t="s">
        <v>32</v>
      </c>
      <c r="F157" s="76">
        <v>1.12</v>
      </c>
    </row>
    <row r="158" spans="1:6">
      <c r="A158">
        <v>178</v>
      </c>
      <c r="B158">
        <v>122020260</v>
      </c>
      <c r="C158" s="76">
        <v>2020</v>
      </c>
      <c r="D158" s="76" t="s">
        <v>34</v>
      </c>
      <c r="E158" s="76" t="s">
        <v>32</v>
      </c>
      <c r="F158" s="76">
        <v>3.74</v>
      </c>
    </row>
    <row r="159" spans="1:6">
      <c r="A159">
        <v>176</v>
      </c>
      <c r="B159">
        <v>122020260</v>
      </c>
      <c r="C159" s="76">
        <v>2020</v>
      </c>
      <c r="D159" s="76" t="s">
        <v>34</v>
      </c>
      <c r="E159" s="76" t="s">
        <v>32</v>
      </c>
      <c r="F159" s="76">
        <v>4</v>
      </c>
    </row>
    <row r="160" spans="1:6">
      <c r="A160">
        <v>174</v>
      </c>
      <c r="B160">
        <v>122020260</v>
      </c>
      <c r="C160" s="76">
        <v>2020</v>
      </c>
      <c r="D160" s="76" t="s">
        <v>34</v>
      </c>
      <c r="E160" s="76" t="s">
        <v>32</v>
      </c>
      <c r="F160" s="76">
        <v>3.9</v>
      </c>
    </row>
    <row r="161" spans="1:6">
      <c r="A161">
        <v>171</v>
      </c>
      <c r="B161">
        <v>122020260</v>
      </c>
      <c r="C161" s="76">
        <v>2020</v>
      </c>
      <c r="D161" s="76" t="s">
        <v>34</v>
      </c>
      <c r="E161" s="76">
        <v>15</v>
      </c>
      <c r="F161" s="76">
        <v>3.75</v>
      </c>
    </row>
    <row r="162" spans="1:6">
      <c r="A162">
        <v>170</v>
      </c>
      <c r="B162">
        <v>122020260</v>
      </c>
      <c r="C162" s="76">
        <v>2020</v>
      </c>
      <c r="D162" s="76" t="s">
        <v>34</v>
      </c>
      <c r="E162" s="76">
        <v>15</v>
      </c>
      <c r="F162" s="76">
        <v>3.5</v>
      </c>
    </row>
    <row r="163" spans="1:6">
      <c r="A163">
        <v>172</v>
      </c>
      <c r="B163">
        <v>122020260</v>
      </c>
      <c r="C163" s="76">
        <v>2020</v>
      </c>
      <c r="D163" s="76" t="s">
        <v>34</v>
      </c>
      <c r="E163" s="76">
        <v>1</v>
      </c>
      <c r="F163" s="76">
        <v>0.2</v>
      </c>
    </row>
    <row r="164" spans="1:6">
      <c r="A164">
        <v>175</v>
      </c>
      <c r="B164">
        <v>122020260</v>
      </c>
      <c r="C164" s="76">
        <v>2020</v>
      </c>
      <c r="D164" s="76" t="s">
        <v>34</v>
      </c>
      <c r="E164" s="76" t="s">
        <v>32</v>
      </c>
      <c r="F164" s="76">
        <v>5</v>
      </c>
    </row>
    <row r="165" spans="1:6">
      <c r="A165">
        <v>177</v>
      </c>
      <c r="B165">
        <v>122020260</v>
      </c>
      <c r="C165" s="76">
        <v>2020</v>
      </c>
      <c r="D165" s="76" t="s">
        <v>34</v>
      </c>
      <c r="E165" s="76" t="s">
        <v>32</v>
      </c>
      <c r="F165" s="76">
        <v>6.6</v>
      </c>
    </row>
    <row r="166" spans="1:6">
      <c r="A166">
        <v>184</v>
      </c>
      <c r="B166">
        <v>122020270</v>
      </c>
      <c r="C166" s="76">
        <v>2020</v>
      </c>
      <c r="D166" s="76" t="s">
        <v>31</v>
      </c>
      <c r="E166" s="76" t="s">
        <v>32</v>
      </c>
      <c r="F166" s="76">
        <v>6.88</v>
      </c>
    </row>
    <row r="167" spans="1:6">
      <c r="A167">
        <v>180</v>
      </c>
      <c r="B167">
        <v>122020270</v>
      </c>
      <c r="C167" s="76">
        <v>2020</v>
      </c>
      <c r="D167" s="76" t="s">
        <v>31</v>
      </c>
      <c r="E167" s="76" t="s">
        <v>32</v>
      </c>
      <c r="F167" s="76">
        <v>3.98</v>
      </c>
    </row>
    <row r="168" spans="1:6">
      <c r="A168">
        <v>182</v>
      </c>
      <c r="B168">
        <v>122020270</v>
      </c>
      <c r="C168" s="76">
        <v>2020</v>
      </c>
      <c r="D168" s="76" t="s">
        <v>31</v>
      </c>
      <c r="E168" s="76" t="s">
        <v>32</v>
      </c>
      <c r="F168" s="76">
        <v>0.04</v>
      </c>
    </row>
    <row r="169" spans="1:6">
      <c r="A169">
        <v>183</v>
      </c>
      <c r="B169">
        <v>122020270</v>
      </c>
      <c r="C169" s="76">
        <v>2020</v>
      </c>
      <c r="D169" s="76" t="s">
        <v>31</v>
      </c>
      <c r="E169" s="76" t="s">
        <v>32</v>
      </c>
      <c r="F169" s="76">
        <v>1.99</v>
      </c>
    </row>
    <row r="170" spans="1:6">
      <c r="A170">
        <v>181</v>
      </c>
      <c r="B170">
        <v>122020270</v>
      </c>
      <c r="C170" s="76">
        <v>2020</v>
      </c>
      <c r="D170" s="76" t="s">
        <v>31</v>
      </c>
      <c r="E170" s="76" t="s">
        <v>32</v>
      </c>
      <c r="F170" s="76">
        <v>1.5</v>
      </c>
    </row>
    <row r="171" spans="1:6">
      <c r="A171">
        <v>185</v>
      </c>
      <c r="B171">
        <v>122021211</v>
      </c>
      <c r="C171" s="76">
        <v>2021</v>
      </c>
      <c r="D171" s="76" t="s">
        <v>37</v>
      </c>
      <c r="E171" s="76" t="s">
        <v>32</v>
      </c>
      <c r="F171" s="76">
        <v>5</v>
      </c>
    </row>
    <row r="172" spans="1:6">
      <c r="A172">
        <v>186</v>
      </c>
      <c r="B172">
        <v>122021211</v>
      </c>
      <c r="C172" s="76">
        <v>2021</v>
      </c>
      <c r="D172" s="76" t="s">
        <v>37</v>
      </c>
      <c r="E172" s="76">
        <v>2</v>
      </c>
      <c r="F172" s="76">
        <v>34</v>
      </c>
    </row>
    <row r="173" spans="1:6">
      <c r="A173">
        <v>187</v>
      </c>
      <c r="B173">
        <v>122021221</v>
      </c>
      <c r="C173" s="76">
        <v>2021</v>
      </c>
      <c r="D173" s="76" t="s">
        <v>30</v>
      </c>
      <c r="E173" s="76" t="s">
        <v>32</v>
      </c>
      <c r="F173" s="76">
        <v>0.04</v>
      </c>
    </row>
    <row r="174" spans="1:6">
      <c r="A174">
        <v>188</v>
      </c>
      <c r="B174">
        <v>122021241</v>
      </c>
      <c r="C174" s="76">
        <v>2021</v>
      </c>
      <c r="D174" s="76" t="s">
        <v>33</v>
      </c>
      <c r="E174" s="76" t="s">
        <v>32</v>
      </c>
      <c r="F174" s="76">
        <v>6.1</v>
      </c>
    </row>
    <row r="175" spans="1:6">
      <c r="A175">
        <v>189</v>
      </c>
      <c r="B175">
        <v>122021241</v>
      </c>
      <c r="C175" s="76">
        <v>2021</v>
      </c>
      <c r="D175" s="76" t="s">
        <v>33</v>
      </c>
      <c r="E175" s="76" t="s">
        <v>32</v>
      </c>
      <c r="F175" s="76">
        <v>10</v>
      </c>
    </row>
    <row r="176" spans="1:6">
      <c r="A176">
        <v>191</v>
      </c>
      <c r="B176">
        <v>122021242</v>
      </c>
      <c r="C176" s="76">
        <v>2021</v>
      </c>
      <c r="D176" s="76" t="s">
        <v>35</v>
      </c>
      <c r="E176" s="76" t="s">
        <v>32</v>
      </c>
      <c r="F176" s="76">
        <v>3</v>
      </c>
    </row>
    <row r="177" spans="1:6">
      <c r="A177">
        <v>192</v>
      </c>
      <c r="B177">
        <v>122021242</v>
      </c>
      <c r="C177" s="76">
        <v>2021</v>
      </c>
      <c r="D177" s="76" t="s">
        <v>35</v>
      </c>
      <c r="E177" s="76" t="s">
        <v>32</v>
      </c>
      <c r="F177" s="76">
        <v>1.2</v>
      </c>
    </row>
    <row r="178" spans="1:6">
      <c r="A178">
        <v>193</v>
      </c>
      <c r="B178">
        <v>122021242</v>
      </c>
      <c r="C178" s="76">
        <v>2021</v>
      </c>
      <c r="D178" s="76" t="s">
        <v>35</v>
      </c>
      <c r="E178" s="76" t="s">
        <v>32</v>
      </c>
      <c r="F178" s="76">
        <v>4</v>
      </c>
    </row>
    <row r="179" spans="1:6">
      <c r="A179">
        <v>190</v>
      </c>
      <c r="B179">
        <v>122021242</v>
      </c>
      <c r="C179" s="76">
        <v>2021</v>
      </c>
      <c r="D179" s="76" t="s">
        <v>35</v>
      </c>
      <c r="E179" s="76" t="s">
        <v>32</v>
      </c>
      <c r="F179" s="76">
        <v>0.6</v>
      </c>
    </row>
    <row r="180" spans="1:6">
      <c r="A180">
        <v>194</v>
      </c>
      <c r="B180">
        <v>122021242</v>
      </c>
      <c r="C180" s="76">
        <v>2021</v>
      </c>
      <c r="D180" s="76" t="s">
        <v>35</v>
      </c>
      <c r="E180" s="76" t="s">
        <v>32</v>
      </c>
      <c r="F180" s="76">
        <v>1.8</v>
      </c>
    </row>
    <row r="181" spans="1:6">
      <c r="A181">
        <v>200</v>
      </c>
      <c r="B181">
        <v>122021260</v>
      </c>
      <c r="C181" s="76">
        <v>2021</v>
      </c>
      <c r="D181" s="76" t="s">
        <v>34</v>
      </c>
      <c r="E181" s="76" t="s">
        <v>32</v>
      </c>
      <c r="F181" s="76">
        <v>4.7</v>
      </c>
    </row>
    <row r="182" spans="1:6">
      <c r="A182">
        <v>195</v>
      </c>
      <c r="B182">
        <v>122021260</v>
      </c>
      <c r="C182" s="76">
        <v>2021</v>
      </c>
      <c r="D182" s="76" t="s">
        <v>34</v>
      </c>
      <c r="E182" s="76">
        <v>8</v>
      </c>
      <c r="F182" s="76">
        <v>3</v>
      </c>
    </row>
    <row r="183" spans="1:6">
      <c r="A183">
        <v>197</v>
      </c>
      <c r="B183">
        <v>122021260</v>
      </c>
      <c r="C183" s="76">
        <v>2021</v>
      </c>
      <c r="D183" s="76" t="s">
        <v>34</v>
      </c>
      <c r="E183" s="76">
        <v>4</v>
      </c>
      <c r="F183" s="76">
        <v>1.2</v>
      </c>
    </row>
    <row r="184" spans="1:6">
      <c r="A184">
        <v>209</v>
      </c>
      <c r="B184">
        <v>122021260</v>
      </c>
      <c r="C184" s="76">
        <v>2021</v>
      </c>
      <c r="D184" s="76" t="s">
        <v>34</v>
      </c>
      <c r="E184" s="76" t="s">
        <v>32</v>
      </c>
      <c r="F184" s="76">
        <v>3</v>
      </c>
    </row>
    <row r="185" spans="1:6">
      <c r="A185">
        <v>203</v>
      </c>
      <c r="B185">
        <v>122021260</v>
      </c>
      <c r="C185" s="76">
        <v>2021</v>
      </c>
      <c r="D185" s="76" t="s">
        <v>34</v>
      </c>
      <c r="E185" s="76" t="s">
        <v>32</v>
      </c>
      <c r="F185" s="76">
        <v>3</v>
      </c>
    </row>
    <row r="186" spans="1:6">
      <c r="A186">
        <v>198</v>
      </c>
      <c r="B186">
        <v>122021260</v>
      </c>
      <c r="C186" s="76">
        <v>2021</v>
      </c>
      <c r="D186" s="76" t="s">
        <v>34</v>
      </c>
      <c r="E186" s="76">
        <v>1</v>
      </c>
      <c r="F186" s="76">
        <v>0.2</v>
      </c>
    </row>
    <row r="187" spans="1:6">
      <c r="A187">
        <v>207</v>
      </c>
      <c r="B187">
        <v>122021260</v>
      </c>
      <c r="C187" s="76">
        <v>2021</v>
      </c>
      <c r="D187" s="76" t="s">
        <v>34</v>
      </c>
      <c r="E187" s="76" t="s">
        <v>32</v>
      </c>
      <c r="F187" s="76">
        <v>1.75</v>
      </c>
    </row>
    <row r="188" spans="1:6">
      <c r="A188">
        <v>201</v>
      </c>
      <c r="B188">
        <v>122021260</v>
      </c>
      <c r="C188" s="76">
        <v>2021</v>
      </c>
      <c r="D188" s="76" t="s">
        <v>34</v>
      </c>
      <c r="E188" s="76" t="s">
        <v>32</v>
      </c>
      <c r="F188" s="76">
        <v>7.6</v>
      </c>
    </row>
    <row r="189" spans="1:6">
      <c r="A189">
        <v>210</v>
      </c>
      <c r="B189">
        <v>122021260</v>
      </c>
      <c r="C189" s="76">
        <v>2021</v>
      </c>
      <c r="D189" s="76" t="s">
        <v>34</v>
      </c>
      <c r="E189" s="76" t="s">
        <v>32</v>
      </c>
      <c r="F189" s="76">
        <v>0.8</v>
      </c>
    </row>
    <row r="190" spans="1:6">
      <c r="A190">
        <v>196</v>
      </c>
      <c r="B190">
        <v>122021260</v>
      </c>
      <c r="C190" s="76">
        <v>2021</v>
      </c>
      <c r="D190" s="76" t="s">
        <v>34</v>
      </c>
      <c r="E190" s="76">
        <v>10</v>
      </c>
      <c r="F190" s="76">
        <v>3</v>
      </c>
    </row>
    <row r="191" spans="1:6">
      <c r="A191">
        <v>204</v>
      </c>
      <c r="B191">
        <v>122021260</v>
      </c>
      <c r="C191" s="76">
        <v>2021</v>
      </c>
      <c r="D191" s="76" t="s">
        <v>34</v>
      </c>
      <c r="E191" s="76" t="s">
        <v>32</v>
      </c>
      <c r="F191" s="76">
        <v>3.6</v>
      </c>
    </row>
    <row r="192" spans="1:6">
      <c r="A192">
        <v>206</v>
      </c>
      <c r="B192">
        <v>122021260</v>
      </c>
      <c r="C192" s="76">
        <v>2021</v>
      </c>
      <c r="D192" s="76" t="s">
        <v>34</v>
      </c>
      <c r="E192" s="76" t="s">
        <v>32</v>
      </c>
      <c r="F192" s="76">
        <v>1.2</v>
      </c>
    </row>
    <row r="193" spans="1:6">
      <c r="A193">
        <v>205</v>
      </c>
      <c r="B193">
        <v>122021260</v>
      </c>
      <c r="C193" s="76">
        <v>2021</v>
      </c>
      <c r="D193" s="76" t="s">
        <v>34</v>
      </c>
      <c r="E193" s="76" t="s">
        <v>32</v>
      </c>
      <c r="F193" s="76">
        <v>0.9</v>
      </c>
    </row>
    <row r="194" spans="1:6">
      <c r="A194">
        <v>202</v>
      </c>
      <c r="B194">
        <v>122021260</v>
      </c>
      <c r="C194" s="76">
        <v>2021</v>
      </c>
      <c r="D194" s="76" t="s">
        <v>34</v>
      </c>
      <c r="E194" s="76" t="s">
        <v>32</v>
      </c>
      <c r="F194" s="76">
        <v>3</v>
      </c>
    </row>
    <row r="195" spans="1:6">
      <c r="A195">
        <v>211</v>
      </c>
      <c r="B195">
        <v>122021260</v>
      </c>
      <c r="C195" s="76">
        <v>2021</v>
      </c>
      <c r="D195" s="76" t="s">
        <v>34</v>
      </c>
      <c r="E195" s="76" t="s">
        <v>32</v>
      </c>
      <c r="F195" s="76">
        <v>2</v>
      </c>
    </row>
    <row r="196" spans="1:6">
      <c r="A196">
        <v>208</v>
      </c>
      <c r="B196">
        <v>122021260</v>
      </c>
      <c r="C196" s="76">
        <v>2021</v>
      </c>
      <c r="D196" s="76" t="s">
        <v>34</v>
      </c>
      <c r="E196" s="76" t="s">
        <v>32</v>
      </c>
      <c r="F196" s="76">
        <v>2</v>
      </c>
    </row>
    <row r="197" spans="1:6">
      <c r="A197">
        <v>199</v>
      </c>
      <c r="B197">
        <v>122021260</v>
      </c>
      <c r="C197" s="76">
        <v>2021</v>
      </c>
      <c r="D197" s="76" t="s">
        <v>34</v>
      </c>
      <c r="E197" s="76" t="s">
        <v>32</v>
      </c>
      <c r="F197" s="76">
        <v>5</v>
      </c>
    </row>
    <row r="198" spans="1:6">
      <c r="A198">
        <v>219</v>
      </c>
      <c r="B198">
        <v>122021270</v>
      </c>
      <c r="C198" s="76">
        <v>2021</v>
      </c>
      <c r="D198" s="76" t="s">
        <v>31</v>
      </c>
      <c r="E198" s="76" t="s">
        <v>32</v>
      </c>
      <c r="F198" s="76">
        <v>0</v>
      </c>
    </row>
    <row r="199" spans="1:6">
      <c r="A199">
        <v>218</v>
      </c>
      <c r="B199">
        <v>122021270</v>
      </c>
      <c r="C199" s="76">
        <v>2021</v>
      </c>
      <c r="D199" s="76" t="s">
        <v>31</v>
      </c>
      <c r="E199" s="76" t="s">
        <v>32</v>
      </c>
      <c r="F199" s="76">
        <v>0</v>
      </c>
    </row>
    <row r="200" spans="1:6">
      <c r="A200">
        <v>217</v>
      </c>
      <c r="B200">
        <v>122021270</v>
      </c>
      <c r="C200" s="76">
        <v>2021</v>
      </c>
      <c r="D200" s="76" t="s">
        <v>31</v>
      </c>
      <c r="E200" s="76" t="s">
        <v>32</v>
      </c>
      <c r="F200" s="76">
        <v>0</v>
      </c>
    </row>
    <row r="201" spans="1:6">
      <c r="A201">
        <v>220</v>
      </c>
      <c r="B201">
        <v>122021270</v>
      </c>
      <c r="C201" s="76">
        <v>2021</v>
      </c>
      <c r="D201" s="76" t="s">
        <v>31</v>
      </c>
      <c r="E201" s="76" t="s">
        <v>32</v>
      </c>
      <c r="F201" s="76">
        <v>0</v>
      </c>
    </row>
    <row r="202" spans="1:6">
      <c r="A202">
        <v>221</v>
      </c>
      <c r="B202">
        <v>122021270</v>
      </c>
      <c r="C202" s="76">
        <v>2021</v>
      </c>
      <c r="D202" s="76" t="s">
        <v>31</v>
      </c>
      <c r="E202" s="76" t="s">
        <v>32</v>
      </c>
      <c r="F202" s="76">
        <v>0</v>
      </c>
    </row>
    <row r="203" spans="1:6">
      <c r="A203">
        <v>227</v>
      </c>
      <c r="B203">
        <v>122021270</v>
      </c>
      <c r="C203" s="76">
        <v>2021</v>
      </c>
      <c r="D203" s="76" t="s">
        <v>31</v>
      </c>
      <c r="E203" s="76" t="s">
        <v>32</v>
      </c>
      <c r="F203" s="76">
        <v>1.22</v>
      </c>
    </row>
    <row r="204" spans="1:6">
      <c r="A204">
        <v>226</v>
      </c>
      <c r="B204">
        <v>122021270</v>
      </c>
      <c r="C204" s="76">
        <v>2021</v>
      </c>
      <c r="D204" s="76" t="s">
        <v>31</v>
      </c>
      <c r="E204" s="76" t="s">
        <v>32</v>
      </c>
      <c r="F204" s="76">
        <v>0.13</v>
      </c>
    </row>
    <row r="205" spans="1:6">
      <c r="A205">
        <v>225</v>
      </c>
      <c r="B205">
        <v>122021270</v>
      </c>
      <c r="C205" s="76">
        <v>2021</v>
      </c>
      <c r="D205" s="76" t="s">
        <v>31</v>
      </c>
      <c r="E205" s="76" t="s">
        <v>32</v>
      </c>
      <c r="F205" s="76">
        <v>0.02</v>
      </c>
    </row>
    <row r="206" spans="1:6">
      <c r="A206">
        <v>213</v>
      </c>
      <c r="B206">
        <v>122021270</v>
      </c>
      <c r="C206" s="76">
        <v>2021</v>
      </c>
      <c r="D206" s="76" t="s">
        <v>31</v>
      </c>
      <c r="E206" s="76" t="s">
        <v>32</v>
      </c>
      <c r="F206" s="76">
        <v>0.07</v>
      </c>
    </row>
    <row r="207" spans="1:6">
      <c r="A207">
        <v>229</v>
      </c>
      <c r="B207">
        <v>122021270</v>
      </c>
      <c r="C207" s="76">
        <v>2021</v>
      </c>
      <c r="D207" s="76" t="s">
        <v>31</v>
      </c>
      <c r="E207" s="76" t="s">
        <v>32</v>
      </c>
      <c r="F207" s="76">
        <v>0.8</v>
      </c>
    </row>
    <row r="208" spans="1:6">
      <c r="A208">
        <v>224</v>
      </c>
      <c r="B208">
        <v>122021270</v>
      </c>
      <c r="C208" s="76">
        <v>2021</v>
      </c>
      <c r="D208" s="76" t="s">
        <v>31</v>
      </c>
      <c r="E208" s="76" t="s">
        <v>32</v>
      </c>
      <c r="F208" s="76">
        <v>0.55</v>
      </c>
    </row>
    <row r="209" spans="1:6">
      <c r="A209">
        <v>216</v>
      </c>
      <c r="B209">
        <v>122021270</v>
      </c>
      <c r="C209" s="76">
        <v>2021</v>
      </c>
      <c r="D209" s="76" t="s">
        <v>31</v>
      </c>
      <c r="E209" s="76" t="s">
        <v>32</v>
      </c>
      <c r="F209" s="76">
        <v>0.78</v>
      </c>
    </row>
    <row r="210" spans="1:6">
      <c r="A210">
        <v>223</v>
      </c>
      <c r="B210">
        <v>122021270</v>
      </c>
      <c r="C210" s="76">
        <v>2021</v>
      </c>
      <c r="D210" s="76" t="s">
        <v>31</v>
      </c>
      <c r="E210" s="76" t="s">
        <v>32</v>
      </c>
      <c r="F210" s="76">
        <v>0.05</v>
      </c>
    </row>
    <row r="211" spans="1:6">
      <c r="A211">
        <v>222</v>
      </c>
      <c r="B211">
        <v>122021270</v>
      </c>
      <c r="C211" s="76">
        <v>2021</v>
      </c>
      <c r="D211" s="76" t="s">
        <v>31</v>
      </c>
      <c r="E211" s="76" t="s">
        <v>32</v>
      </c>
      <c r="F211" s="76">
        <v>0.15</v>
      </c>
    </row>
    <row r="212" spans="1:6">
      <c r="A212">
        <v>228</v>
      </c>
      <c r="B212">
        <v>122021270</v>
      </c>
      <c r="C212" s="76">
        <v>2021</v>
      </c>
      <c r="D212" s="76" t="s">
        <v>31</v>
      </c>
      <c r="E212" s="76" t="s">
        <v>32</v>
      </c>
      <c r="F212" s="76">
        <v>0.79</v>
      </c>
    </row>
    <row r="213" spans="1:6">
      <c r="A213">
        <v>215</v>
      </c>
      <c r="B213">
        <v>122021270</v>
      </c>
      <c r="C213" s="76">
        <v>2021</v>
      </c>
      <c r="D213" s="76" t="s">
        <v>31</v>
      </c>
      <c r="E213" s="76" t="s">
        <v>32</v>
      </c>
      <c r="F213" s="76">
        <v>0.7</v>
      </c>
    </row>
    <row r="214" spans="1:6">
      <c r="A214">
        <v>214</v>
      </c>
      <c r="B214">
        <v>122021270</v>
      </c>
      <c r="C214" s="76">
        <v>2021</v>
      </c>
      <c r="D214" s="76" t="s">
        <v>31</v>
      </c>
      <c r="E214" s="76" t="s">
        <v>32</v>
      </c>
      <c r="F214" s="76">
        <v>1.7</v>
      </c>
    </row>
    <row r="215" spans="1:6">
      <c r="A215">
        <v>230</v>
      </c>
      <c r="B215">
        <v>132012211</v>
      </c>
      <c r="C215">
        <v>2012</v>
      </c>
      <c r="D215" t="s">
        <v>37</v>
      </c>
      <c r="E215">
        <v>2</v>
      </c>
      <c r="F215">
        <v>60</v>
      </c>
    </row>
    <row r="216" spans="1:6">
      <c r="A216">
        <v>231</v>
      </c>
      <c r="B216">
        <v>132012211</v>
      </c>
      <c r="C216">
        <v>2012</v>
      </c>
      <c r="D216" t="s">
        <v>37</v>
      </c>
      <c r="E216">
        <v>1</v>
      </c>
      <c r="F216">
        <v>33</v>
      </c>
    </row>
    <row r="217" spans="1:6">
      <c r="A217">
        <v>232</v>
      </c>
      <c r="B217">
        <v>132012212</v>
      </c>
      <c r="C217">
        <v>2012</v>
      </c>
      <c r="D217" t="s">
        <v>39</v>
      </c>
      <c r="E217">
        <v>2</v>
      </c>
      <c r="F217">
        <v>60</v>
      </c>
    </row>
    <row r="218" spans="1:6">
      <c r="A218">
        <v>233</v>
      </c>
      <c r="B218">
        <v>132012241</v>
      </c>
      <c r="C218">
        <v>2012</v>
      </c>
      <c r="D218" t="s">
        <v>33</v>
      </c>
      <c r="E218">
        <v>1</v>
      </c>
      <c r="F218">
        <v>0.6</v>
      </c>
    </row>
    <row r="219" spans="1:6">
      <c r="A219">
        <v>234</v>
      </c>
      <c r="B219">
        <v>132012242</v>
      </c>
      <c r="C219">
        <v>2012</v>
      </c>
      <c r="D219" t="s">
        <v>35</v>
      </c>
      <c r="E219">
        <v>1</v>
      </c>
      <c r="F219">
        <v>2.4</v>
      </c>
    </row>
    <row r="220" spans="1:6">
      <c r="A220">
        <v>235</v>
      </c>
      <c r="B220">
        <v>132012242</v>
      </c>
      <c r="C220">
        <v>2012</v>
      </c>
      <c r="D220" t="s">
        <v>35</v>
      </c>
      <c r="E220">
        <v>1</v>
      </c>
      <c r="F220">
        <v>1.2</v>
      </c>
    </row>
    <row r="221" spans="1:6">
      <c r="A221">
        <v>237</v>
      </c>
      <c r="B221">
        <v>132012243</v>
      </c>
      <c r="C221">
        <v>2012</v>
      </c>
      <c r="D221" t="s">
        <v>38</v>
      </c>
      <c r="E221">
        <v>1</v>
      </c>
      <c r="F221">
        <v>2.4</v>
      </c>
    </row>
    <row r="222" spans="1:6">
      <c r="A222">
        <v>238</v>
      </c>
      <c r="B222">
        <v>132012243</v>
      </c>
      <c r="C222">
        <v>2012</v>
      </c>
      <c r="D222" t="s">
        <v>38</v>
      </c>
      <c r="E222">
        <v>1</v>
      </c>
      <c r="F222">
        <v>2.4</v>
      </c>
    </row>
    <row r="223" spans="1:6">
      <c r="A223">
        <v>239</v>
      </c>
      <c r="B223">
        <v>132012243</v>
      </c>
      <c r="C223">
        <v>2012</v>
      </c>
      <c r="D223" t="s">
        <v>38</v>
      </c>
      <c r="E223">
        <v>1</v>
      </c>
      <c r="F223">
        <v>2.4</v>
      </c>
    </row>
    <row r="224" spans="1:6">
      <c r="A224">
        <v>240</v>
      </c>
      <c r="B224">
        <v>132012243</v>
      </c>
      <c r="C224">
        <v>2012</v>
      </c>
      <c r="D224" t="s">
        <v>38</v>
      </c>
      <c r="E224">
        <v>1</v>
      </c>
      <c r="F224">
        <v>1.8</v>
      </c>
    </row>
    <row r="225" spans="1:6">
      <c r="A225">
        <v>236</v>
      </c>
      <c r="B225">
        <v>132012243</v>
      </c>
      <c r="C225">
        <v>2012</v>
      </c>
      <c r="D225" t="s">
        <v>38</v>
      </c>
      <c r="E225">
        <v>1</v>
      </c>
      <c r="F225">
        <v>3</v>
      </c>
    </row>
    <row r="226" spans="1:6">
      <c r="A226">
        <v>241</v>
      </c>
      <c r="B226">
        <v>132012243</v>
      </c>
      <c r="C226">
        <v>2012</v>
      </c>
      <c r="D226" t="s">
        <v>38</v>
      </c>
      <c r="E226">
        <v>1</v>
      </c>
      <c r="F226">
        <v>3</v>
      </c>
    </row>
    <row r="227" spans="1:6">
      <c r="A227">
        <v>242</v>
      </c>
      <c r="B227">
        <v>132012243</v>
      </c>
      <c r="C227">
        <v>2012</v>
      </c>
      <c r="D227" t="s">
        <v>38</v>
      </c>
      <c r="E227">
        <v>1</v>
      </c>
      <c r="F227">
        <v>3</v>
      </c>
    </row>
    <row r="228" spans="1:6">
      <c r="A228">
        <v>261</v>
      </c>
      <c r="B228">
        <v>132012260</v>
      </c>
      <c r="C228">
        <v>2012</v>
      </c>
      <c r="D228" t="s">
        <v>34</v>
      </c>
      <c r="E228">
        <v>24</v>
      </c>
      <c r="F228">
        <v>3.6</v>
      </c>
    </row>
    <row r="229" spans="1:6">
      <c r="A229">
        <v>267</v>
      </c>
      <c r="B229">
        <v>132012260</v>
      </c>
      <c r="C229">
        <v>2012</v>
      </c>
      <c r="D229" t="s">
        <v>34</v>
      </c>
      <c r="E229">
        <v>58</v>
      </c>
      <c r="F229">
        <v>4.93</v>
      </c>
    </row>
    <row r="230" spans="1:6">
      <c r="A230">
        <v>251</v>
      </c>
      <c r="B230">
        <v>132012260</v>
      </c>
      <c r="C230">
        <v>2012</v>
      </c>
      <c r="D230" t="s">
        <v>34</v>
      </c>
      <c r="E230">
        <v>58</v>
      </c>
      <c r="F230">
        <v>4.93</v>
      </c>
    </row>
    <row r="231" spans="1:6">
      <c r="A231">
        <v>248</v>
      </c>
      <c r="B231">
        <v>132012260</v>
      </c>
      <c r="C231">
        <v>2012</v>
      </c>
      <c r="D231" t="s">
        <v>34</v>
      </c>
      <c r="E231">
        <v>33</v>
      </c>
      <c r="F231">
        <v>4.95</v>
      </c>
    </row>
    <row r="232" spans="1:6">
      <c r="A232">
        <v>249</v>
      </c>
      <c r="B232">
        <v>132012260</v>
      </c>
      <c r="C232">
        <v>2012</v>
      </c>
      <c r="D232" t="s">
        <v>34</v>
      </c>
      <c r="E232">
        <v>33</v>
      </c>
      <c r="F232">
        <v>4.95</v>
      </c>
    </row>
    <row r="233" spans="1:6">
      <c r="A233">
        <v>260</v>
      </c>
      <c r="B233">
        <v>132012260</v>
      </c>
      <c r="C233">
        <v>2012</v>
      </c>
      <c r="D233" t="s">
        <v>34</v>
      </c>
      <c r="E233">
        <v>30</v>
      </c>
      <c r="F233">
        <v>4.71</v>
      </c>
    </row>
    <row r="234" spans="1:6">
      <c r="A234">
        <v>265</v>
      </c>
      <c r="B234">
        <v>132012260</v>
      </c>
      <c r="C234">
        <v>2012</v>
      </c>
      <c r="D234" t="s">
        <v>34</v>
      </c>
      <c r="E234">
        <v>80</v>
      </c>
      <c r="F234">
        <v>10</v>
      </c>
    </row>
    <row r="235" spans="1:6">
      <c r="A235">
        <v>258</v>
      </c>
      <c r="B235">
        <v>132012260</v>
      </c>
      <c r="C235">
        <v>2012</v>
      </c>
      <c r="D235" t="s">
        <v>34</v>
      </c>
      <c r="E235">
        <v>34</v>
      </c>
      <c r="F235">
        <v>4.95</v>
      </c>
    </row>
    <row r="236" spans="1:6">
      <c r="A236">
        <v>259</v>
      </c>
      <c r="B236">
        <v>132012260</v>
      </c>
      <c r="C236">
        <v>2012</v>
      </c>
      <c r="D236" t="s">
        <v>34</v>
      </c>
      <c r="E236">
        <v>39</v>
      </c>
      <c r="F236">
        <v>4.88</v>
      </c>
    </row>
    <row r="237" spans="1:6">
      <c r="A237">
        <v>245</v>
      </c>
      <c r="B237">
        <v>132012260</v>
      </c>
      <c r="C237">
        <v>2012</v>
      </c>
      <c r="D237" t="s">
        <v>34</v>
      </c>
      <c r="E237">
        <v>67</v>
      </c>
      <c r="F237">
        <v>10.05</v>
      </c>
    </row>
    <row r="238" spans="1:6">
      <c r="A238">
        <v>246</v>
      </c>
      <c r="B238">
        <v>132012260</v>
      </c>
      <c r="C238">
        <v>2012</v>
      </c>
      <c r="D238" t="s">
        <v>34</v>
      </c>
      <c r="E238">
        <v>33</v>
      </c>
      <c r="F238">
        <v>4.95</v>
      </c>
    </row>
    <row r="239" spans="1:6">
      <c r="A239">
        <v>253</v>
      </c>
      <c r="B239">
        <v>132012260</v>
      </c>
      <c r="C239">
        <v>2012</v>
      </c>
      <c r="D239" t="s">
        <v>34</v>
      </c>
      <c r="E239">
        <v>33</v>
      </c>
      <c r="F239">
        <v>4.95</v>
      </c>
    </row>
    <row r="240" spans="1:6">
      <c r="A240">
        <v>244</v>
      </c>
      <c r="B240">
        <v>132012260</v>
      </c>
      <c r="C240">
        <v>2012</v>
      </c>
      <c r="D240" t="s">
        <v>34</v>
      </c>
      <c r="E240">
        <v>25</v>
      </c>
      <c r="F240">
        <v>4.95</v>
      </c>
    </row>
    <row r="241" spans="1:6">
      <c r="A241">
        <v>252</v>
      </c>
      <c r="B241">
        <v>132012260</v>
      </c>
      <c r="C241">
        <v>2012</v>
      </c>
      <c r="D241" t="s">
        <v>34</v>
      </c>
      <c r="E241">
        <v>33</v>
      </c>
      <c r="F241">
        <v>4.95</v>
      </c>
    </row>
    <row r="242" spans="1:6">
      <c r="A242">
        <v>255</v>
      </c>
      <c r="B242">
        <v>132012260</v>
      </c>
      <c r="C242">
        <v>2012</v>
      </c>
      <c r="D242" t="s">
        <v>34</v>
      </c>
      <c r="E242">
        <v>22</v>
      </c>
      <c r="F242">
        <v>4.98</v>
      </c>
    </row>
    <row r="243" spans="1:6">
      <c r="A243">
        <v>254</v>
      </c>
      <c r="B243">
        <v>132012260</v>
      </c>
      <c r="C243">
        <v>2012</v>
      </c>
      <c r="D243" t="s">
        <v>34</v>
      </c>
      <c r="E243">
        <v>22</v>
      </c>
      <c r="F243">
        <v>4.98</v>
      </c>
    </row>
    <row r="244" spans="1:6">
      <c r="A244">
        <v>243</v>
      </c>
      <c r="B244">
        <v>132012260</v>
      </c>
      <c r="C244">
        <v>2012</v>
      </c>
      <c r="D244" t="s">
        <v>34</v>
      </c>
      <c r="E244">
        <v>50</v>
      </c>
      <c r="F244">
        <v>9.9</v>
      </c>
    </row>
    <row r="245" spans="1:6">
      <c r="A245">
        <v>247</v>
      </c>
      <c r="B245">
        <v>132012260</v>
      </c>
      <c r="C245">
        <v>2012</v>
      </c>
      <c r="D245" t="s">
        <v>34</v>
      </c>
      <c r="E245">
        <v>6</v>
      </c>
      <c r="F245">
        <v>0.9</v>
      </c>
    </row>
    <row r="246" spans="1:6">
      <c r="A246">
        <v>266</v>
      </c>
      <c r="B246">
        <v>132012260</v>
      </c>
      <c r="C246">
        <v>2012</v>
      </c>
      <c r="D246" t="s">
        <v>34</v>
      </c>
      <c r="E246">
        <v>66</v>
      </c>
      <c r="F246">
        <v>9.9</v>
      </c>
    </row>
    <row r="247" spans="1:6">
      <c r="A247">
        <v>256</v>
      </c>
      <c r="B247">
        <v>132012260</v>
      </c>
      <c r="C247">
        <v>2012</v>
      </c>
      <c r="D247" t="s">
        <v>34</v>
      </c>
      <c r="E247">
        <v>33</v>
      </c>
      <c r="F247">
        <v>4.95</v>
      </c>
    </row>
    <row r="248" spans="1:6">
      <c r="A248">
        <v>262</v>
      </c>
      <c r="B248">
        <v>132012260</v>
      </c>
      <c r="C248">
        <v>2012</v>
      </c>
      <c r="D248" t="s">
        <v>34</v>
      </c>
      <c r="E248">
        <v>99</v>
      </c>
      <c r="F248">
        <v>14.85</v>
      </c>
    </row>
    <row r="249" spans="1:6">
      <c r="A249">
        <v>257</v>
      </c>
      <c r="B249">
        <v>132012260</v>
      </c>
      <c r="C249">
        <v>2012</v>
      </c>
      <c r="D249" t="s">
        <v>34</v>
      </c>
      <c r="E249">
        <v>33</v>
      </c>
      <c r="F249">
        <v>4.95</v>
      </c>
    </row>
    <row r="250" spans="1:6">
      <c r="A250">
        <v>250</v>
      </c>
      <c r="B250">
        <v>132012260</v>
      </c>
      <c r="C250">
        <v>2012</v>
      </c>
      <c r="D250" t="s">
        <v>34</v>
      </c>
      <c r="E250">
        <v>33</v>
      </c>
      <c r="F250">
        <v>4.95</v>
      </c>
    </row>
    <row r="251" spans="1:6">
      <c r="A251">
        <v>264</v>
      </c>
      <c r="B251">
        <v>132012260</v>
      </c>
      <c r="C251">
        <v>2012</v>
      </c>
      <c r="D251" t="s">
        <v>34</v>
      </c>
      <c r="E251">
        <v>67</v>
      </c>
      <c r="F251">
        <v>10.05</v>
      </c>
    </row>
    <row r="252" spans="1:6">
      <c r="A252">
        <v>263</v>
      </c>
      <c r="B252">
        <v>132012260</v>
      </c>
      <c r="C252">
        <v>2012</v>
      </c>
      <c r="D252" t="s">
        <v>34</v>
      </c>
      <c r="E252">
        <v>66</v>
      </c>
      <c r="F252">
        <v>10.05</v>
      </c>
    </row>
    <row r="253" spans="1:6">
      <c r="A253">
        <v>268</v>
      </c>
      <c r="B253">
        <v>132012270</v>
      </c>
      <c r="C253">
        <v>2012</v>
      </c>
      <c r="D253" t="s">
        <v>31</v>
      </c>
      <c r="E253" t="s">
        <v>32</v>
      </c>
      <c r="F253">
        <v>0.1</v>
      </c>
    </row>
    <row r="254" spans="1:6">
      <c r="A254">
        <v>270</v>
      </c>
      <c r="B254">
        <v>132013211</v>
      </c>
      <c r="C254">
        <v>2013</v>
      </c>
      <c r="D254" t="s">
        <v>37</v>
      </c>
      <c r="E254">
        <v>2</v>
      </c>
      <c r="F254">
        <v>70</v>
      </c>
    </row>
    <row r="255" spans="1:6">
      <c r="A255">
        <v>269</v>
      </c>
      <c r="B255">
        <v>132013211</v>
      </c>
      <c r="C255">
        <v>2013</v>
      </c>
      <c r="D255" t="s">
        <v>37</v>
      </c>
      <c r="E255">
        <v>2</v>
      </c>
      <c r="F255">
        <v>120</v>
      </c>
    </row>
    <row r="256" spans="1:6">
      <c r="A256">
        <v>271</v>
      </c>
      <c r="B256">
        <v>132013242</v>
      </c>
      <c r="C256">
        <v>2013</v>
      </c>
      <c r="D256" t="s">
        <v>35</v>
      </c>
      <c r="E256">
        <v>1</v>
      </c>
      <c r="F256">
        <v>1.2</v>
      </c>
    </row>
    <row r="257" spans="1:6">
      <c r="A257">
        <v>283</v>
      </c>
      <c r="B257">
        <v>132013260</v>
      </c>
      <c r="C257">
        <v>2013</v>
      </c>
      <c r="D257" t="s">
        <v>34</v>
      </c>
      <c r="E257">
        <v>33</v>
      </c>
      <c r="F257">
        <v>4.95</v>
      </c>
    </row>
    <row r="258" spans="1:6">
      <c r="A258">
        <v>285</v>
      </c>
      <c r="B258">
        <v>132013260</v>
      </c>
      <c r="C258">
        <v>2013</v>
      </c>
      <c r="D258" t="s">
        <v>34</v>
      </c>
      <c r="E258">
        <v>33</v>
      </c>
      <c r="F258">
        <v>4.95</v>
      </c>
    </row>
    <row r="259" spans="1:6">
      <c r="A259">
        <v>286</v>
      </c>
      <c r="B259">
        <v>132013260</v>
      </c>
      <c r="C259">
        <v>2013</v>
      </c>
      <c r="D259" t="s">
        <v>34</v>
      </c>
      <c r="E259">
        <v>33</v>
      </c>
      <c r="F259">
        <v>4.95</v>
      </c>
    </row>
    <row r="260" spans="1:6">
      <c r="A260">
        <v>280</v>
      </c>
      <c r="B260">
        <v>132013260</v>
      </c>
      <c r="C260">
        <v>2013</v>
      </c>
      <c r="D260" t="s">
        <v>34</v>
      </c>
      <c r="E260">
        <v>15</v>
      </c>
      <c r="F260">
        <v>2.25</v>
      </c>
    </row>
    <row r="261" spans="1:6">
      <c r="A261">
        <v>278</v>
      </c>
      <c r="B261">
        <v>132013260</v>
      </c>
      <c r="C261">
        <v>2013</v>
      </c>
      <c r="D261" t="s">
        <v>34</v>
      </c>
      <c r="E261">
        <v>33</v>
      </c>
      <c r="F261">
        <v>4.95</v>
      </c>
    </row>
    <row r="262" spans="1:6">
      <c r="A262">
        <v>277</v>
      </c>
      <c r="B262">
        <v>132013260</v>
      </c>
      <c r="C262">
        <v>2013</v>
      </c>
      <c r="D262" t="s">
        <v>34</v>
      </c>
      <c r="E262">
        <v>33</v>
      </c>
      <c r="F262">
        <v>4.95</v>
      </c>
    </row>
    <row r="263" spans="1:6">
      <c r="A263">
        <v>272</v>
      </c>
      <c r="B263">
        <v>132013260</v>
      </c>
      <c r="C263">
        <v>2013</v>
      </c>
      <c r="D263" t="s">
        <v>34</v>
      </c>
      <c r="E263">
        <v>33</v>
      </c>
      <c r="F263">
        <v>4.95</v>
      </c>
    </row>
    <row r="264" spans="1:6">
      <c r="A264">
        <v>273</v>
      </c>
      <c r="B264">
        <v>132013260</v>
      </c>
      <c r="C264">
        <v>2013</v>
      </c>
      <c r="D264" t="s">
        <v>34</v>
      </c>
      <c r="E264">
        <v>33</v>
      </c>
      <c r="F264">
        <v>4.95</v>
      </c>
    </row>
    <row r="265" spans="1:6">
      <c r="A265">
        <v>281</v>
      </c>
      <c r="B265">
        <v>132013260</v>
      </c>
      <c r="C265">
        <v>2013</v>
      </c>
      <c r="D265" t="s">
        <v>34</v>
      </c>
      <c r="E265">
        <v>25</v>
      </c>
      <c r="F265">
        <v>4.95</v>
      </c>
    </row>
    <row r="266" spans="1:6">
      <c r="A266">
        <v>284</v>
      </c>
      <c r="B266">
        <v>132013260</v>
      </c>
      <c r="C266">
        <v>2013</v>
      </c>
      <c r="D266" t="s">
        <v>34</v>
      </c>
      <c r="E266">
        <v>24</v>
      </c>
      <c r="F266">
        <v>4.8</v>
      </c>
    </row>
    <row r="267" spans="1:6">
      <c r="A267">
        <v>279</v>
      </c>
      <c r="B267">
        <v>132013260</v>
      </c>
      <c r="C267">
        <v>2013</v>
      </c>
      <c r="D267" t="s">
        <v>34</v>
      </c>
      <c r="E267">
        <v>33</v>
      </c>
      <c r="F267">
        <v>4.95</v>
      </c>
    </row>
    <row r="268" spans="1:6">
      <c r="A268">
        <v>276</v>
      </c>
      <c r="B268">
        <v>132013260</v>
      </c>
      <c r="C268">
        <v>2013</v>
      </c>
      <c r="D268" t="s">
        <v>34</v>
      </c>
      <c r="E268">
        <v>33</v>
      </c>
      <c r="F268">
        <v>4.95</v>
      </c>
    </row>
    <row r="269" spans="1:6">
      <c r="A269">
        <v>275</v>
      </c>
      <c r="B269">
        <v>132013260</v>
      </c>
      <c r="C269">
        <v>2013</v>
      </c>
      <c r="D269" t="s">
        <v>34</v>
      </c>
      <c r="E269">
        <v>33</v>
      </c>
      <c r="F269">
        <v>4.95</v>
      </c>
    </row>
    <row r="270" spans="1:6">
      <c r="A270">
        <v>274</v>
      </c>
      <c r="B270">
        <v>132013260</v>
      </c>
      <c r="C270">
        <v>2013</v>
      </c>
      <c r="D270" t="s">
        <v>34</v>
      </c>
      <c r="E270">
        <v>33</v>
      </c>
      <c r="F270">
        <v>4.95</v>
      </c>
    </row>
    <row r="271" spans="1:6">
      <c r="A271">
        <v>282</v>
      </c>
      <c r="B271">
        <v>132013260</v>
      </c>
      <c r="C271">
        <v>2013</v>
      </c>
      <c r="D271" t="s">
        <v>34</v>
      </c>
      <c r="E271">
        <v>33</v>
      </c>
      <c r="F271">
        <v>4.95</v>
      </c>
    </row>
    <row r="272" spans="1:6">
      <c r="A272">
        <v>292</v>
      </c>
      <c r="B272">
        <v>132013270</v>
      </c>
      <c r="C272">
        <v>2013</v>
      </c>
      <c r="D272" t="s">
        <v>31</v>
      </c>
      <c r="E272" t="s">
        <v>32</v>
      </c>
      <c r="F272">
        <v>5</v>
      </c>
    </row>
    <row r="273" spans="1:6">
      <c r="A273">
        <v>291</v>
      </c>
      <c r="B273">
        <v>132013270</v>
      </c>
      <c r="C273">
        <v>2013</v>
      </c>
      <c r="D273" t="s">
        <v>31</v>
      </c>
      <c r="E273" t="s">
        <v>32</v>
      </c>
      <c r="F273">
        <v>2</v>
      </c>
    </row>
    <row r="274" spans="1:6">
      <c r="A274">
        <v>287</v>
      </c>
      <c r="B274">
        <v>132013270</v>
      </c>
      <c r="C274">
        <v>2013</v>
      </c>
      <c r="D274" t="s">
        <v>31</v>
      </c>
      <c r="E274" t="s">
        <v>32</v>
      </c>
      <c r="F274">
        <v>2</v>
      </c>
    </row>
    <row r="275" spans="1:6">
      <c r="A275">
        <v>289</v>
      </c>
      <c r="B275">
        <v>132013270</v>
      </c>
      <c r="C275">
        <v>2013</v>
      </c>
      <c r="D275" t="s">
        <v>31</v>
      </c>
      <c r="E275" t="s">
        <v>32</v>
      </c>
      <c r="F275">
        <v>2.97</v>
      </c>
    </row>
    <row r="276" spans="1:6">
      <c r="A276">
        <v>290</v>
      </c>
      <c r="B276">
        <v>132013270</v>
      </c>
      <c r="C276">
        <v>2013</v>
      </c>
      <c r="D276" t="s">
        <v>31</v>
      </c>
      <c r="E276" t="s">
        <v>32</v>
      </c>
      <c r="F276">
        <v>1.98</v>
      </c>
    </row>
    <row r="277" spans="1:6">
      <c r="A277">
        <v>288</v>
      </c>
      <c r="B277">
        <v>132013270</v>
      </c>
      <c r="C277">
        <v>2013</v>
      </c>
      <c r="D277" t="s">
        <v>31</v>
      </c>
      <c r="E277" t="s">
        <v>32</v>
      </c>
      <c r="F277">
        <v>2</v>
      </c>
    </row>
    <row r="278" spans="1:6">
      <c r="A278">
        <v>293</v>
      </c>
      <c r="B278">
        <v>132014110</v>
      </c>
      <c r="C278">
        <v>2014</v>
      </c>
      <c r="D278" t="s">
        <v>40</v>
      </c>
      <c r="E278">
        <v>1</v>
      </c>
      <c r="F278">
        <v>1.37</v>
      </c>
    </row>
    <row r="279" spans="1:6">
      <c r="A279">
        <v>294</v>
      </c>
      <c r="B279">
        <v>132014211</v>
      </c>
      <c r="C279">
        <v>2014</v>
      </c>
      <c r="D279" t="s">
        <v>37</v>
      </c>
      <c r="E279">
        <v>2</v>
      </c>
      <c r="F279">
        <v>70</v>
      </c>
    </row>
    <row r="280" spans="1:6">
      <c r="A280">
        <v>298</v>
      </c>
      <c r="B280">
        <v>132014241</v>
      </c>
      <c r="C280">
        <v>2014</v>
      </c>
      <c r="D280" t="s">
        <v>33</v>
      </c>
      <c r="E280">
        <v>2</v>
      </c>
      <c r="F280">
        <v>0.8</v>
      </c>
    </row>
    <row r="281" spans="1:6">
      <c r="A281">
        <v>299</v>
      </c>
      <c r="B281">
        <v>132014241</v>
      </c>
      <c r="C281">
        <v>2014</v>
      </c>
      <c r="D281" t="s">
        <v>33</v>
      </c>
      <c r="E281">
        <v>2</v>
      </c>
      <c r="F281">
        <v>3</v>
      </c>
    </row>
    <row r="282" spans="1:6">
      <c r="A282">
        <v>295</v>
      </c>
      <c r="B282">
        <v>132014241</v>
      </c>
      <c r="C282">
        <v>2014</v>
      </c>
      <c r="D282" t="s">
        <v>33</v>
      </c>
      <c r="E282">
        <v>2</v>
      </c>
      <c r="F282">
        <v>1.8</v>
      </c>
    </row>
    <row r="283" spans="1:6">
      <c r="A283">
        <v>297</v>
      </c>
      <c r="B283">
        <v>132014241</v>
      </c>
      <c r="C283">
        <v>2014</v>
      </c>
      <c r="D283" t="s">
        <v>33</v>
      </c>
      <c r="E283">
        <v>3</v>
      </c>
      <c r="F283">
        <v>1.5</v>
      </c>
    </row>
    <row r="284" spans="1:6">
      <c r="A284">
        <v>296</v>
      </c>
      <c r="B284">
        <v>132014241</v>
      </c>
      <c r="C284">
        <v>2014</v>
      </c>
      <c r="D284" t="s">
        <v>33</v>
      </c>
      <c r="E284">
        <v>2</v>
      </c>
      <c r="F284">
        <v>1.8</v>
      </c>
    </row>
    <row r="285" spans="1:6">
      <c r="A285">
        <v>311</v>
      </c>
      <c r="B285">
        <v>132014260</v>
      </c>
      <c r="C285">
        <v>2014</v>
      </c>
      <c r="D285" t="s">
        <v>34</v>
      </c>
      <c r="E285">
        <v>24</v>
      </c>
      <c r="F285">
        <v>3.6</v>
      </c>
    </row>
    <row r="286" spans="1:6">
      <c r="A286">
        <v>305</v>
      </c>
      <c r="B286">
        <v>132014260</v>
      </c>
      <c r="C286">
        <v>2014</v>
      </c>
      <c r="D286" t="s">
        <v>34</v>
      </c>
      <c r="E286">
        <v>108</v>
      </c>
      <c r="F286">
        <v>19.95</v>
      </c>
    </row>
    <row r="287" spans="1:6">
      <c r="A287">
        <v>312</v>
      </c>
      <c r="B287">
        <v>132014260</v>
      </c>
      <c r="C287">
        <v>2014</v>
      </c>
      <c r="D287" t="s">
        <v>34</v>
      </c>
      <c r="E287">
        <v>33</v>
      </c>
      <c r="F287">
        <v>4.95</v>
      </c>
    </row>
    <row r="288" spans="1:6">
      <c r="A288">
        <v>304</v>
      </c>
      <c r="B288">
        <v>132014260</v>
      </c>
      <c r="C288">
        <v>2014</v>
      </c>
      <c r="D288" t="s">
        <v>34</v>
      </c>
      <c r="E288">
        <v>24</v>
      </c>
      <c r="F288">
        <v>4.8</v>
      </c>
    </row>
    <row r="289" spans="1:6">
      <c r="A289">
        <v>302</v>
      </c>
      <c r="B289">
        <v>132014260</v>
      </c>
      <c r="C289">
        <v>2014</v>
      </c>
      <c r="D289" t="s">
        <v>34</v>
      </c>
      <c r="E289">
        <v>78</v>
      </c>
      <c r="F289">
        <v>15.35</v>
      </c>
    </row>
    <row r="290" spans="1:6">
      <c r="A290">
        <v>303</v>
      </c>
      <c r="B290">
        <v>132014260</v>
      </c>
      <c r="C290">
        <v>2014</v>
      </c>
      <c r="D290" t="s">
        <v>34</v>
      </c>
      <c r="E290">
        <v>33</v>
      </c>
      <c r="F290">
        <v>4.95</v>
      </c>
    </row>
    <row r="291" spans="1:6">
      <c r="A291">
        <v>306</v>
      </c>
      <c r="B291">
        <v>132014260</v>
      </c>
      <c r="C291">
        <v>2014</v>
      </c>
      <c r="D291" t="s">
        <v>34</v>
      </c>
      <c r="E291">
        <v>24</v>
      </c>
      <c r="F291">
        <v>4.8</v>
      </c>
    </row>
    <row r="292" spans="1:6">
      <c r="A292">
        <v>308</v>
      </c>
      <c r="B292">
        <v>132014260</v>
      </c>
      <c r="C292">
        <v>2014</v>
      </c>
      <c r="D292" t="s">
        <v>34</v>
      </c>
      <c r="E292">
        <v>133</v>
      </c>
      <c r="F292">
        <v>19.95</v>
      </c>
    </row>
    <row r="293" spans="1:6">
      <c r="A293">
        <v>307</v>
      </c>
      <c r="B293">
        <v>132014260</v>
      </c>
      <c r="C293">
        <v>2014</v>
      </c>
      <c r="D293" t="s">
        <v>34</v>
      </c>
      <c r="E293">
        <v>66</v>
      </c>
      <c r="F293">
        <v>9.9</v>
      </c>
    </row>
    <row r="294" spans="1:6">
      <c r="A294">
        <v>314</v>
      </c>
      <c r="B294">
        <v>132014260</v>
      </c>
      <c r="C294">
        <v>2014</v>
      </c>
      <c r="D294" t="s">
        <v>34</v>
      </c>
      <c r="E294">
        <v>25</v>
      </c>
      <c r="F294">
        <v>4.95</v>
      </c>
    </row>
    <row r="295" spans="1:6">
      <c r="A295">
        <v>313</v>
      </c>
      <c r="B295">
        <v>132014260</v>
      </c>
      <c r="C295">
        <v>2014</v>
      </c>
      <c r="D295" t="s">
        <v>34</v>
      </c>
      <c r="E295">
        <v>33</v>
      </c>
      <c r="F295">
        <v>4.95</v>
      </c>
    </row>
    <row r="296" spans="1:6">
      <c r="A296">
        <v>316</v>
      </c>
      <c r="B296">
        <v>132014260</v>
      </c>
      <c r="C296">
        <v>2014</v>
      </c>
      <c r="D296" t="s">
        <v>34</v>
      </c>
      <c r="E296">
        <v>25</v>
      </c>
      <c r="F296">
        <v>4.95</v>
      </c>
    </row>
    <row r="297" spans="1:6">
      <c r="A297">
        <v>315</v>
      </c>
      <c r="B297">
        <v>132014260</v>
      </c>
      <c r="C297">
        <v>2014</v>
      </c>
      <c r="D297" t="s">
        <v>34</v>
      </c>
      <c r="E297">
        <v>25</v>
      </c>
      <c r="F297">
        <v>5</v>
      </c>
    </row>
    <row r="298" spans="1:6">
      <c r="A298">
        <v>309</v>
      </c>
      <c r="B298">
        <v>132014260</v>
      </c>
      <c r="C298">
        <v>2014</v>
      </c>
      <c r="D298" t="s">
        <v>34</v>
      </c>
      <c r="E298">
        <v>33</v>
      </c>
      <c r="F298">
        <v>4.95</v>
      </c>
    </row>
    <row r="299" spans="1:6">
      <c r="A299">
        <v>301</v>
      </c>
      <c r="B299">
        <v>132014260</v>
      </c>
      <c r="C299">
        <v>2014</v>
      </c>
      <c r="D299" t="s">
        <v>34</v>
      </c>
      <c r="E299">
        <v>106</v>
      </c>
      <c r="F299">
        <v>30</v>
      </c>
    </row>
    <row r="300" spans="1:6">
      <c r="A300">
        <v>300</v>
      </c>
      <c r="B300">
        <v>132014260</v>
      </c>
      <c r="C300">
        <v>2014</v>
      </c>
      <c r="D300" t="s">
        <v>34</v>
      </c>
      <c r="E300">
        <v>33</v>
      </c>
      <c r="F300">
        <v>4.95</v>
      </c>
    </row>
    <row r="301" spans="1:6">
      <c r="A301">
        <v>317</v>
      </c>
      <c r="B301">
        <v>132014260</v>
      </c>
      <c r="C301">
        <v>2014</v>
      </c>
      <c r="D301" t="s">
        <v>34</v>
      </c>
      <c r="E301">
        <v>33</v>
      </c>
      <c r="F301">
        <v>4.8</v>
      </c>
    </row>
    <row r="302" spans="1:6">
      <c r="A302">
        <v>310</v>
      </c>
      <c r="B302">
        <v>132014260</v>
      </c>
      <c r="C302">
        <v>2014</v>
      </c>
      <c r="D302" t="s">
        <v>34</v>
      </c>
      <c r="E302">
        <v>33</v>
      </c>
      <c r="F302">
        <v>4.95</v>
      </c>
    </row>
    <row r="303" spans="1:6">
      <c r="A303">
        <v>323</v>
      </c>
      <c r="B303">
        <v>132014270</v>
      </c>
      <c r="C303">
        <v>2014</v>
      </c>
      <c r="D303" t="s">
        <v>31</v>
      </c>
      <c r="F303">
        <v>2</v>
      </c>
    </row>
    <row r="304" spans="1:6">
      <c r="A304">
        <v>327</v>
      </c>
      <c r="B304">
        <v>132014270</v>
      </c>
      <c r="C304">
        <v>2014</v>
      </c>
      <c r="D304" t="s">
        <v>31</v>
      </c>
      <c r="F304">
        <v>2</v>
      </c>
    </row>
    <row r="305" spans="1:6">
      <c r="A305">
        <v>320</v>
      </c>
      <c r="B305">
        <v>132014270</v>
      </c>
      <c r="C305">
        <v>2014</v>
      </c>
      <c r="D305" t="s">
        <v>31</v>
      </c>
      <c r="E305">
        <v>100</v>
      </c>
      <c r="F305">
        <v>10</v>
      </c>
    </row>
    <row r="306" spans="1:6">
      <c r="A306">
        <v>334</v>
      </c>
      <c r="B306">
        <v>132014270</v>
      </c>
      <c r="C306">
        <v>2014</v>
      </c>
      <c r="D306" t="s">
        <v>31</v>
      </c>
      <c r="E306">
        <v>30</v>
      </c>
      <c r="F306">
        <v>3</v>
      </c>
    </row>
    <row r="307" spans="1:6">
      <c r="A307">
        <v>329</v>
      </c>
      <c r="B307">
        <v>132014270</v>
      </c>
      <c r="C307">
        <v>2014</v>
      </c>
      <c r="D307" t="s">
        <v>31</v>
      </c>
      <c r="E307">
        <v>50</v>
      </c>
      <c r="F307">
        <v>5</v>
      </c>
    </row>
    <row r="308" spans="1:6">
      <c r="A308">
        <v>339</v>
      </c>
      <c r="B308">
        <v>132014270</v>
      </c>
      <c r="C308">
        <v>2014</v>
      </c>
      <c r="D308" t="s">
        <v>31</v>
      </c>
      <c r="E308">
        <v>15</v>
      </c>
      <c r="F308">
        <v>1.5</v>
      </c>
    </row>
    <row r="309" spans="1:6">
      <c r="A309">
        <v>338</v>
      </c>
      <c r="B309">
        <v>132014270</v>
      </c>
      <c r="C309">
        <v>2014</v>
      </c>
      <c r="D309" t="s">
        <v>31</v>
      </c>
      <c r="E309">
        <v>18</v>
      </c>
      <c r="F309">
        <v>1.8</v>
      </c>
    </row>
    <row r="310" spans="1:6">
      <c r="A310">
        <v>330</v>
      </c>
      <c r="B310">
        <v>132014270</v>
      </c>
      <c r="C310">
        <v>2014</v>
      </c>
      <c r="D310" t="s">
        <v>31</v>
      </c>
      <c r="E310">
        <v>50</v>
      </c>
      <c r="F310">
        <v>5</v>
      </c>
    </row>
    <row r="311" spans="1:6">
      <c r="A311">
        <v>335</v>
      </c>
      <c r="B311">
        <v>132014270</v>
      </c>
      <c r="C311">
        <v>2014</v>
      </c>
      <c r="D311" t="s">
        <v>31</v>
      </c>
      <c r="E311">
        <v>30</v>
      </c>
      <c r="F311">
        <v>3</v>
      </c>
    </row>
    <row r="312" spans="1:6">
      <c r="A312">
        <v>326</v>
      </c>
      <c r="B312">
        <v>132014270</v>
      </c>
      <c r="C312">
        <v>2014</v>
      </c>
      <c r="D312" t="s">
        <v>31</v>
      </c>
      <c r="F312">
        <v>5</v>
      </c>
    </row>
    <row r="313" spans="1:6">
      <c r="A313">
        <v>340</v>
      </c>
      <c r="B313">
        <v>132014270</v>
      </c>
      <c r="C313">
        <v>2014</v>
      </c>
      <c r="D313" t="s">
        <v>31</v>
      </c>
      <c r="E313">
        <v>15</v>
      </c>
      <c r="F313">
        <v>1.5</v>
      </c>
    </row>
    <row r="314" spans="1:6">
      <c r="A314">
        <v>328</v>
      </c>
      <c r="B314">
        <v>132014270</v>
      </c>
      <c r="C314">
        <v>2014</v>
      </c>
      <c r="D314" t="s">
        <v>31</v>
      </c>
      <c r="F314">
        <v>2</v>
      </c>
    </row>
    <row r="315" spans="1:6">
      <c r="A315">
        <v>318</v>
      </c>
      <c r="B315">
        <v>132014270</v>
      </c>
      <c r="C315">
        <v>2014</v>
      </c>
      <c r="D315" t="s">
        <v>31</v>
      </c>
      <c r="F315">
        <v>3</v>
      </c>
    </row>
    <row r="316" spans="1:6">
      <c r="A316">
        <v>319</v>
      </c>
      <c r="B316">
        <v>132014270</v>
      </c>
      <c r="C316">
        <v>2014</v>
      </c>
      <c r="D316" t="s">
        <v>31</v>
      </c>
      <c r="F316">
        <v>2</v>
      </c>
    </row>
    <row r="317" spans="1:6">
      <c r="A317">
        <v>325</v>
      </c>
      <c r="B317">
        <v>132014270</v>
      </c>
      <c r="C317">
        <v>2014</v>
      </c>
      <c r="D317" t="s">
        <v>31</v>
      </c>
      <c r="F317">
        <v>2</v>
      </c>
    </row>
    <row r="318" spans="1:6">
      <c r="A318">
        <v>322</v>
      </c>
      <c r="B318">
        <v>132014270</v>
      </c>
      <c r="C318">
        <v>2014</v>
      </c>
      <c r="D318" t="s">
        <v>31</v>
      </c>
      <c r="F318">
        <v>2.98</v>
      </c>
    </row>
    <row r="319" spans="1:6">
      <c r="A319">
        <v>321</v>
      </c>
      <c r="B319">
        <v>132014270</v>
      </c>
      <c r="C319">
        <v>2014</v>
      </c>
      <c r="D319" t="s">
        <v>31</v>
      </c>
      <c r="F319">
        <v>3</v>
      </c>
    </row>
    <row r="320" spans="1:6">
      <c r="A320">
        <v>324</v>
      </c>
      <c r="B320">
        <v>132014270</v>
      </c>
      <c r="C320">
        <v>2014</v>
      </c>
      <c r="D320" t="s">
        <v>31</v>
      </c>
      <c r="F320">
        <v>1.98</v>
      </c>
    </row>
    <row r="321" spans="1:6">
      <c r="A321">
        <v>336</v>
      </c>
      <c r="B321">
        <v>132014270</v>
      </c>
      <c r="C321">
        <v>2014</v>
      </c>
      <c r="D321" t="s">
        <v>31</v>
      </c>
      <c r="E321">
        <v>30</v>
      </c>
      <c r="F321">
        <v>3</v>
      </c>
    </row>
    <row r="322" spans="1:6">
      <c r="A322">
        <v>341</v>
      </c>
      <c r="B322">
        <v>132014270</v>
      </c>
      <c r="C322">
        <v>2014</v>
      </c>
      <c r="D322" t="s">
        <v>31</v>
      </c>
      <c r="E322">
        <v>25</v>
      </c>
      <c r="F322">
        <v>1.25</v>
      </c>
    </row>
    <row r="323" spans="1:6">
      <c r="A323">
        <v>342</v>
      </c>
      <c r="B323">
        <v>132014270</v>
      </c>
      <c r="C323">
        <v>2014</v>
      </c>
      <c r="D323" t="s">
        <v>31</v>
      </c>
      <c r="E323">
        <v>25</v>
      </c>
      <c r="F323">
        <v>1.25</v>
      </c>
    </row>
    <row r="324" spans="1:6">
      <c r="A324">
        <v>337</v>
      </c>
      <c r="B324">
        <v>132014270</v>
      </c>
      <c r="C324">
        <v>2014</v>
      </c>
      <c r="D324" t="s">
        <v>31</v>
      </c>
      <c r="E324">
        <v>40</v>
      </c>
      <c r="F324">
        <v>2</v>
      </c>
    </row>
    <row r="325" spans="1:6">
      <c r="A325">
        <v>333</v>
      </c>
      <c r="B325">
        <v>132014270</v>
      </c>
      <c r="C325">
        <v>2014</v>
      </c>
      <c r="D325" t="s">
        <v>31</v>
      </c>
      <c r="E325">
        <v>80</v>
      </c>
      <c r="F325">
        <v>4</v>
      </c>
    </row>
    <row r="326" spans="1:6">
      <c r="A326">
        <v>332</v>
      </c>
      <c r="B326">
        <v>132014270</v>
      </c>
      <c r="C326">
        <v>2014</v>
      </c>
      <c r="D326" t="s">
        <v>31</v>
      </c>
      <c r="E326">
        <v>40</v>
      </c>
      <c r="F326">
        <v>4</v>
      </c>
    </row>
    <row r="327" spans="1:6">
      <c r="A327">
        <v>343</v>
      </c>
      <c r="B327">
        <v>132014270</v>
      </c>
      <c r="C327">
        <v>2014</v>
      </c>
      <c r="D327" t="s">
        <v>31</v>
      </c>
      <c r="E327">
        <v>10</v>
      </c>
      <c r="F327">
        <v>1</v>
      </c>
    </row>
    <row r="328" spans="1:6">
      <c r="A328">
        <v>344</v>
      </c>
      <c r="B328">
        <v>132014270</v>
      </c>
      <c r="C328">
        <v>2014</v>
      </c>
      <c r="D328" t="s">
        <v>31</v>
      </c>
      <c r="E328">
        <v>6</v>
      </c>
      <c r="F328">
        <v>0.06</v>
      </c>
    </row>
    <row r="329" spans="1:6">
      <c r="A329">
        <v>331</v>
      </c>
      <c r="B329">
        <v>132014270</v>
      </c>
      <c r="C329">
        <v>2014</v>
      </c>
      <c r="D329" t="s">
        <v>31</v>
      </c>
      <c r="E329">
        <v>40</v>
      </c>
      <c r="F329">
        <v>4</v>
      </c>
    </row>
    <row r="330" spans="1:6">
      <c r="A330">
        <v>345</v>
      </c>
      <c r="B330">
        <v>132015211</v>
      </c>
      <c r="C330">
        <v>2015</v>
      </c>
      <c r="D330" t="s">
        <v>37</v>
      </c>
      <c r="E330">
        <v>2</v>
      </c>
      <c r="F330">
        <v>70</v>
      </c>
    </row>
    <row r="331" spans="1:6">
      <c r="A331">
        <v>349</v>
      </c>
      <c r="B331">
        <v>132015211</v>
      </c>
      <c r="C331">
        <v>2015</v>
      </c>
      <c r="D331" t="s">
        <v>37</v>
      </c>
      <c r="E331">
        <v>1</v>
      </c>
      <c r="F331">
        <v>0.45</v>
      </c>
    </row>
    <row r="332" spans="1:6">
      <c r="A332">
        <v>348</v>
      </c>
      <c r="B332">
        <v>132015211</v>
      </c>
      <c r="C332">
        <v>2015</v>
      </c>
      <c r="D332" t="s">
        <v>37</v>
      </c>
      <c r="E332">
        <v>1</v>
      </c>
      <c r="F332">
        <v>10</v>
      </c>
    </row>
    <row r="333" spans="1:6">
      <c r="A333">
        <v>346</v>
      </c>
      <c r="B333">
        <v>132015211</v>
      </c>
      <c r="C333">
        <v>2015</v>
      </c>
      <c r="D333" t="s">
        <v>37</v>
      </c>
      <c r="E333">
        <v>2</v>
      </c>
      <c r="F333">
        <v>60</v>
      </c>
    </row>
    <row r="334" spans="1:6">
      <c r="A334">
        <v>347</v>
      </c>
      <c r="B334">
        <v>132015211</v>
      </c>
      <c r="C334">
        <v>2015</v>
      </c>
      <c r="D334" t="s">
        <v>37</v>
      </c>
      <c r="E334">
        <v>1</v>
      </c>
      <c r="F334">
        <v>9.65</v>
      </c>
    </row>
    <row r="335" spans="1:6">
      <c r="A335">
        <v>357</v>
      </c>
      <c r="B335">
        <v>132015241</v>
      </c>
      <c r="C335">
        <v>2015</v>
      </c>
      <c r="D335" t="s">
        <v>33</v>
      </c>
      <c r="E335" t="s">
        <v>32</v>
      </c>
      <c r="F335">
        <v>0.6</v>
      </c>
    </row>
    <row r="336" spans="1:6">
      <c r="A336">
        <v>350</v>
      </c>
      <c r="B336">
        <v>132015241</v>
      </c>
      <c r="C336">
        <v>2015</v>
      </c>
      <c r="D336" t="s">
        <v>33</v>
      </c>
      <c r="E336">
        <v>1</v>
      </c>
      <c r="F336">
        <v>0.9</v>
      </c>
    </row>
    <row r="337" spans="1:6">
      <c r="A337">
        <v>353</v>
      </c>
      <c r="B337">
        <v>132015241</v>
      </c>
      <c r="C337">
        <v>2015</v>
      </c>
      <c r="D337" t="s">
        <v>33</v>
      </c>
      <c r="E337">
        <v>1</v>
      </c>
      <c r="F337">
        <v>0.75</v>
      </c>
    </row>
    <row r="338" spans="1:6">
      <c r="A338">
        <v>354</v>
      </c>
      <c r="B338">
        <v>132015241</v>
      </c>
      <c r="C338">
        <v>2015</v>
      </c>
      <c r="D338" t="s">
        <v>33</v>
      </c>
      <c r="E338">
        <v>1</v>
      </c>
      <c r="F338">
        <v>1.5</v>
      </c>
    </row>
    <row r="339" spans="1:6">
      <c r="A339">
        <v>358</v>
      </c>
      <c r="B339">
        <v>132015241</v>
      </c>
      <c r="C339">
        <v>2015</v>
      </c>
      <c r="D339" t="s">
        <v>33</v>
      </c>
      <c r="E339" t="s">
        <v>32</v>
      </c>
      <c r="F339">
        <v>0.33</v>
      </c>
    </row>
    <row r="340" spans="1:6">
      <c r="A340">
        <v>356</v>
      </c>
      <c r="B340">
        <v>132015241</v>
      </c>
      <c r="C340">
        <v>2015</v>
      </c>
      <c r="D340" t="s">
        <v>33</v>
      </c>
      <c r="E340" t="s">
        <v>32</v>
      </c>
      <c r="F340">
        <v>1.5</v>
      </c>
    </row>
    <row r="341" spans="1:6">
      <c r="A341">
        <v>355</v>
      </c>
      <c r="B341">
        <v>132015241</v>
      </c>
      <c r="C341">
        <v>2015</v>
      </c>
      <c r="D341" t="s">
        <v>33</v>
      </c>
      <c r="E341">
        <v>1</v>
      </c>
      <c r="F341">
        <v>0.6</v>
      </c>
    </row>
    <row r="342" spans="1:6">
      <c r="A342">
        <v>352</v>
      </c>
      <c r="B342">
        <v>132015241</v>
      </c>
      <c r="C342">
        <v>2015</v>
      </c>
      <c r="D342" t="s">
        <v>33</v>
      </c>
      <c r="E342" t="s">
        <v>32</v>
      </c>
      <c r="F342">
        <v>6</v>
      </c>
    </row>
    <row r="343" spans="1:6">
      <c r="A343">
        <v>351</v>
      </c>
      <c r="B343">
        <v>132015241</v>
      </c>
      <c r="C343">
        <v>2015</v>
      </c>
      <c r="D343" t="s">
        <v>33</v>
      </c>
      <c r="E343">
        <v>1</v>
      </c>
      <c r="F343">
        <v>1.2</v>
      </c>
    </row>
    <row r="344" spans="1:6">
      <c r="A344">
        <v>359</v>
      </c>
      <c r="B344">
        <v>132015241</v>
      </c>
      <c r="C344">
        <v>2015</v>
      </c>
      <c r="D344" t="s">
        <v>33</v>
      </c>
      <c r="E344" t="s">
        <v>32</v>
      </c>
      <c r="F344">
        <v>0.3</v>
      </c>
    </row>
    <row r="345" spans="1:6">
      <c r="A345">
        <v>361</v>
      </c>
      <c r="B345">
        <v>132015243</v>
      </c>
      <c r="C345">
        <v>2015</v>
      </c>
      <c r="D345" t="s">
        <v>38</v>
      </c>
      <c r="E345" t="s">
        <v>32</v>
      </c>
      <c r="F345">
        <v>3</v>
      </c>
    </row>
    <row r="346" spans="1:6">
      <c r="A346">
        <v>360</v>
      </c>
      <c r="B346">
        <v>132015243</v>
      </c>
      <c r="C346">
        <v>2015</v>
      </c>
      <c r="D346" t="s">
        <v>38</v>
      </c>
      <c r="E346" t="s">
        <v>32</v>
      </c>
      <c r="F346">
        <v>1.5</v>
      </c>
    </row>
    <row r="347" spans="1:6">
      <c r="A347">
        <v>373</v>
      </c>
      <c r="B347">
        <v>132015260</v>
      </c>
      <c r="C347">
        <v>2015</v>
      </c>
      <c r="D347" t="s">
        <v>34</v>
      </c>
      <c r="E347" t="s">
        <v>32</v>
      </c>
      <c r="F347">
        <v>4.8</v>
      </c>
    </row>
    <row r="348" spans="1:6">
      <c r="A348">
        <v>372</v>
      </c>
      <c r="B348">
        <v>132015260</v>
      </c>
      <c r="C348">
        <v>2015</v>
      </c>
      <c r="D348" t="s">
        <v>34</v>
      </c>
      <c r="E348" t="s">
        <v>32</v>
      </c>
      <c r="F348">
        <v>0.5</v>
      </c>
    </row>
    <row r="349" spans="1:6">
      <c r="A349">
        <v>368</v>
      </c>
      <c r="B349">
        <v>132015260</v>
      </c>
      <c r="C349">
        <v>2015</v>
      </c>
      <c r="D349" t="s">
        <v>34</v>
      </c>
      <c r="E349">
        <v>3</v>
      </c>
      <c r="F349">
        <v>0.45</v>
      </c>
    </row>
    <row r="350" spans="1:6">
      <c r="A350">
        <v>367</v>
      </c>
      <c r="B350">
        <v>132015260</v>
      </c>
      <c r="C350">
        <v>2015</v>
      </c>
      <c r="D350" t="s">
        <v>34</v>
      </c>
      <c r="E350">
        <v>33</v>
      </c>
      <c r="F350">
        <v>4.95</v>
      </c>
    </row>
    <row r="351" spans="1:6">
      <c r="A351">
        <v>374</v>
      </c>
      <c r="B351">
        <v>132015260</v>
      </c>
      <c r="C351">
        <v>2015</v>
      </c>
      <c r="D351" t="s">
        <v>34</v>
      </c>
      <c r="E351" t="s">
        <v>32</v>
      </c>
      <c r="F351">
        <v>4.95</v>
      </c>
    </row>
    <row r="352" spans="1:6">
      <c r="A352">
        <v>363</v>
      </c>
      <c r="B352">
        <v>132015260</v>
      </c>
      <c r="C352">
        <v>2015</v>
      </c>
      <c r="D352" t="s">
        <v>34</v>
      </c>
      <c r="E352">
        <v>24</v>
      </c>
      <c r="F352">
        <v>4.8</v>
      </c>
    </row>
    <row r="353" spans="1:6">
      <c r="A353">
        <v>375</v>
      </c>
      <c r="B353">
        <v>132015260</v>
      </c>
      <c r="C353">
        <v>2015</v>
      </c>
      <c r="D353" t="s">
        <v>34</v>
      </c>
      <c r="E353" t="s">
        <v>32</v>
      </c>
      <c r="F353">
        <v>9.9</v>
      </c>
    </row>
    <row r="354" spans="1:6">
      <c r="A354">
        <v>366</v>
      </c>
      <c r="B354">
        <v>132015260</v>
      </c>
      <c r="C354">
        <v>2015</v>
      </c>
      <c r="D354" t="s">
        <v>34</v>
      </c>
      <c r="E354">
        <v>33</v>
      </c>
      <c r="F354">
        <v>4.95</v>
      </c>
    </row>
    <row r="355" spans="1:6">
      <c r="A355">
        <v>365</v>
      </c>
      <c r="B355">
        <v>132015260</v>
      </c>
      <c r="C355">
        <v>2015</v>
      </c>
      <c r="D355" t="s">
        <v>34</v>
      </c>
      <c r="E355">
        <v>25</v>
      </c>
      <c r="F355">
        <v>4.95</v>
      </c>
    </row>
    <row r="356" spans="1:6">
      <c r="A356">
        <v>362</v>
      </c>
      <c r="B356">
        <v>132015260</v>
      </c>
      <c r="C356">
        <v>2015</v>
      </c>
      <c r="D356" t="s">
        <v>34</v>
      </c>
      <c r="E356">
        <v>14</v>
      </c>
      <c r="F356">
        <v>4.8</v>
      </c>
    </row>
    <row r="357" spans="1:6">
      <c r="A357">
        <v>369</v>
      </c>
      <c r="B357">
        <v>132015260</v>
      </c>
      <c r="C357">
        <v>2015</v>
      </c>
      <c r="D357" t="s">
        <v>34</v>
      </c>
      <c r="E357">
        <v>23</v>
      </c>
      <c r="F357">
        <v>4.95</v>
      </c>
    </row>
    <row r="358" spans="1:6">
      <c r="A358">
        <v>371</v>
      </c>
      <c r="B358">
        <v>132015260</v>
      </c>
      <c r="C358">
        <v>2015</v>
      </c>
      <c r="D358" t="s">
        <v>34</v>
      </c>
      <c r="E358">
        <v>24</v>
      </c>
      <c r="F358">
        <v>4.8</v>
      </c>
    </row>
    <row r="359" spans="1:6">
      <c r="A359">
        <v>370</v>
      </c>
      <c r="B359">
        <v>132015260</v>
      </c>
      <c r="C359">
        <v>2015</v>
      </c>
      <c r="D359" t="s">
        <v>34</v>
      </c>
      <c r="E359">
        <v>24</v>
      </c>
      <c r="F359">
        <v>4.8</v>
      </c>
    </row>
    <row r="360" spans="1:6">
      <c r="A360">
        <v>364</v>
      </c>
      <c r="B360">
        <v>132015260</v>
      </c>
      <c r="C360">
        <v>2015</v>
      </c>
      <c r="D360" t="s">
        <v>34</v>
      </c>
      <c r="E360">
        <v>24</v>
      </c>
      <c r="F360">
        <v>4.8</v>
      </c>
    </row>
    <row r="361" spans="1:6">
      <c r="A361">
        <v>376</v>
      </c>
      <c r="B361">
        <v>132015260</v>
      </c>
      <c r="C361">
        <v>2015</v>
      </c>
      <c r="D361" t="s">
        <v>34</v>
      </c>
      <c r="E361" t="s">
        <v>32</v>
      </c>
      <c r="F361">
        <v>9.6</v>
      </c>
    </row>
    <row r="362" spans="1:6">
      <c r="A362">
        <v>377</v>
      </c>
      <c r="B362">
        <v>132015260</v>
      </c>
      <c r="C362">
        <v>2015</v>
      </c>
      <c r="D362" t="s">
        <v>34</v>
      </c>
      <c r="E362" t="s">
        <v>32</v>
      </c>
      <c r="F362">
        <v>10.05</v>
      </c>
    </row>
    <row r="363" spans="1:6">
      <c r="A363">
        <v>378</v>
      </c>
      <c r="B363">
        <v>132015270</v>
      </c>
      <c r="C363">
        <v>2015</v>
      </c>
      <c r="D363" t="s">
        <v>31</v>
      </c>
      <c r="E363" t="s">
        <v>32</v>
      </c>
      <c r="F363">
        <v>2</v>
      </c>
    </row>
    <row r="364" spans="1:6">
      <c r="A364">
        <v>387</v>
      </c>
      <c r="B364">
        <v>132015270</v>
      </c>
      <c r="C364">
        <v>2015</v>
      </c>
      <c r="D364" t="s">
        <v>31</v>
      </c>
      <c r="E364" t="s">
        <v>32</v>
      </c>
      <c r="F364">
        <v>1</v>
      </c>
    </row>
    <row r="365" spans="1:6">
      <c r="A365">
        <v>399</v>
      </c>
      <c r="B365">
        <v>132015270</v>
      </c>
      <c r="C365">
        <v>2015</v>
      </c>
      <c r="D365" t="s">
        <v>31</v>
      </c>
      <c r="E365" t="s">
        <v>32</v>
      </c>
      <c r="F365">
        <v>0.5</v>
      </c>
    </row>
    <row r="366" spans="1:6">
      <c r="A366">
        <v>423</v>
      </c>
      <c r="B366">
        <v>132015270</v>
      </c>
      <c r="C366">
        <v>2015</v>
      </c>
      <c r="D366" t="s">
        <v>31</v>
      </c>
      <c r="E366" t="s">
        <v>32</v>
      </c>
      <c r="F366">
        <v>1</v>
      </c>
    </row>
    <row r="367" spans="1:6">
      <c r="A367">
        <v>418</v>
      </c>
      <c r="B367">
        <v>132015270</v>
      </c>
      <c r="C367">
        <v>2015</v>
      </c>
      <c r="D367" t="s">
        <v>31</v>
      </c>
      <c r="E367" t="s">
        <v>32</v>
      </c>
      <c r="F367">
        <v>0.5</v>
      </c>
    </row>
    <row r="368" spans="1:6">
      <c r="A368">
        <v>396</v>
      </c>
      <c r="B368">
        <v>132015270</v>
      </c>
      <c r="C368">
        <v>2015</v>
      </c>
      <c r="D368" t="s">
        <v>31</v>
      </c>
      <c r="E368" t="s">
        <v>32</v>
      </c>
      <c r="F368">
        <v>2</v>
      </c>
    </row>
    <row r="369" spans="1:6">
      <c r="A369">
        <v>415</v>
      </c>
      <c r="B369">
        <v>132015270</v>
      </c>
      <c r="C369">
        <v>2015</v>
      </c>
      <c r="D369" t="s">
        <v>31</v>
      </c>
      <c r="E369" t="s">
        <v>32</v>
      </c>
      <c r="F369">
        <v>0.7</v>
      </c>
    </row>
    <row r="370" spans="1:6">
      <c r="A370">
        <v>417</v>
      </c>
      <c r="B370">
        <v>132015270</v>
      </c>
      <c r="C370">
        <v>2015</v>
      </c>
      <c r="D370" t="s">
        <v>31</v>
      </c>
      <c r="E370" t="s">
        <v>32</v>
      </c>
      <c r="F370">
        <v>3.2</v>
      </c>
    </row>
    <row r="371" spans="1:6">
      <c r="A371">
        <v>410</v>
      </c>
      <c r="B371">
        <v>132015270</v>
      </c>
      <c r="C371">
        <v>2015</v>
      </c>
      <c r="D371" t="s">
        <v>31</v>
      </c>
      <c r="E371" t="s">
        <v>32</v>
      </c>
      <c r="F371">
        <v>3</v>
      </c>
    </row>
    <row r="372" spans="1:6">
      <c r="A372">
        <v>420</v>
      </c>
      <c r="B372">
        <v>132015270</v>
      </c>
      <c r="C372">
        <v>2015</v>
      </c>
      <c r="D372" t="s">
        <v>31</v>
      </c>
      <c r="E372" t="s">
        <v>32</v>
      </c>
      <c r="F372">
        <v>2.98</v>
      </c>
    </row>
    <row r="373" spans="1:6">
      <c r="A373">
        <v>404</v>
      </c>
      <c r="B373">
        <v>132015270</v>
      </c>
      <c r="C373">
        <v>2015</v>
      </c>
      <c r="D373" t="s">
        <v>31</v>
      </c>
      <c r="E373" t="s">
        <v>32</v>
      </c>
      <c r="F373">
        <v>0.5</v>
      </c>
    </row>
    <row r="374" spans="1:6">
      <c r="A374">
        <v>392</v>
      </c>
      <c r="B374">
        <v>132015270</v>
      </c>
      <c r="C374">
        <v>2015</v>
      </c>
      <c r="D374" t="s">
        <v>31</v>
      </c>
      <c r="E374">
        <v>1</v>
      </c>
      <c r="F374">
        <v>5</v>
      </c>
    </row>
    <row r="375" spans="1:6">
      <c r="A375">
        <v>402</v>
      </c>
      <c r="B375">
        <v>132015270</v>
      </c>
      <c r="C375">
        <v>2015</v>
      </c>
      <c r="D375" t="s">
        <v>31</v>
      </c>
      <c r="E375" t="s">
        <v>32</v>
      </c>
      <c r="F375">
        <v>3</v>
      </c>
    </row>
    <row r="376" spans="1:6">
      <c r="A376">
        <v>411</v>
      </c>
      <c r="B376">
        <v>132015270</v>
      </c>
      <c r="C376">
        <v>2015</v>
      </c>
      <c r="D376" t="s">
        <v>31</v>
      </c>
      <c r="E376" t="s">
        <v>32</v>
      </c>
      <c r="F376">
        <v>2</v>
      </c>
    </row>
    <row r="377" spans="1:6">
      <c r="A377">
        <v>393</v>
      </c>
      <c r="B377">
        <v>132015270</v>
      </c>
      <c r="C377">
        <v>2015</v>
      </c>
      <c r="D377" t="s">
        <v>31</v>
      </c>
      <c r="E377" t="s">
        <v>32</v>
      </c>
      <c r="F377">
        <v>6.8</v>
      </c>
    </row>
    <row r="378" spans="1:6">
      <c r="A378">
        <v>412</v>
      </c>
      <c r="B378">
        <v>132015270</v>
      </c>
      <c r="C378">
        <v>2015</v>
      </c>
      <c r="D378" t="s">
        <v>31</v>
      </c>
      <c r="E378" t="s">
        <v>32</v>
      </c>
      <c r="F378">
        <v>0.2</v>
      </c>
    </row>
    <row r="379" spans="1:6">
      <c r="A379">
        <v>400</v>
      </c>
      <c r="B379">
        <v>132015270</v>
      </c>
      <c r="C379">
        <v>2015</v>
      </c>
      <c r="D379" t="s">
        <v>31</v>
      </c>
      <c r="E379" t="s">
        <v>32</v>
      </c>
      <c r="F379">
        <v>0.1</v>
      </c>
    </row>
    <row r="380" spans="1:6">
      <c r="A380">
        <v>413</v>
      </c>
      <c r="B380">
        <v>132015270</v>
      </c>
      <c r="C380">
        <v>2015</v>
      </c>
      <c r="D380" t="s">
        <v>31</v>
      </c>
      <c r="E380" t="s">
        <v>32</v>
      </c>
      <c r="F380">
        <v>3</v>
      </c>
    </row>
    <row r="381" spans="1:6">
      <c r="A381">
        <v>424</v>
      </c>
      <c r="B381">
        <v>132015270</v>
      </c>
      <c r="C381">
        <v>2015</v>
      </c>
      <c r="D381" t="s">
        <v>31</v>
      </c>
      <c r="E381" t="s">
        <v>32</v>
      </c>
      <c r="F381">
        <v>2.4</v>
      </c>
    </row>
    <row r="382" spans="1:6">
      <c r="A382">
        <v>391</v>
      </c>
      <c r="B382">
        <v>132015270</v>
      </c>
      <c r="C382">
        <v>2015</v>
      </c>
      <c r="D382" t="s">
        <v>31</v>
      </c>
      <c r="E382">
        <v>1</v>
      </c>
      <c r="F382">
        <v>5</v>
      </c>
    </row>
    <row r="383" spans="1:6">
      <c r="A383">
        <v>408</v>
      </c>
      <c r="B383">
        <v>132015270</v>
      </c>
      <c r="C383">
        <v>2015</v>
      </c>
      <c r="D383" t="s">
        <v>31</v>
      </c>
      <c r="E383" t="s">
        <v>32</v>
      </c>
      <c r="F383">
        <v>0.2</v>
      </c>
    </row>
    <row r="384" spans="1:6">
      <c r="A384">
        <v>384</v>
      </c>
      <c r="B384">
        <v>132015270</v>
      </c>
      <c r="C384">
        <v>2015</v>
      </c>
      <c r="D384" t="s">
        <v>31</v>
      </c>
      <c r="E384" t="s">
        <v>32</v>
      </c>
      <c r="F384">
        <v>2</v>
      </c>
    </row>
    <row r="385" spans="1:6">
      <c r="A385">
        <v>382</v>
      </c>
      <c r="B385">
        <v>132015270</v>
      </c>
      <c r="C385">
        <v>2015</v>
      </c>
      <c r="D385" t="s">
        <v>31</v>
      </c>
      <c r="E385" t="s">
        <v>32</v>
      </c>
      <c r="F385">
        <v>3</v>
      </c>
    </row>
    <row r="386" spans="1:6">
      <c r="A386">
        <v>385</v>
      </c>
      <c r="B386">
        <v>132015270</v>
      </c>
      <c r="C386">
        <v>2015</v>
      </c>
      <c r="D386" t="s">
        <v>31</v>
      </c>
      <c r="E386" t="s">
        <v>32</v>
      </c>
      <c r="F386">
        <v>0.4</v>
      </c>
    </row>
    <row r="387" spans="1:6">
      <c r="A387">
        <v>380</v>
      </c>
      <c r="B387">
        <v>132015270</v>
      </c>
      <c r="C387">
        <v>2015</v>
      </c>
      <c r="D387" t="s">
        <v>31</v>
      </c>
      <c r="E387" t="s">
        <v>32</v>
      </c>
      <c r="F387">
        <v>2</v>
      </c>
    </row>
    <row r="388" spans="1:6">
      <c r="A388">
        <v>386</v>
      </c>
      <c r="B388">
        <v>132015270</v>
      </c>
      <c r="C388">
        <v>2015</v>
      </c>
      <c r="D388" t="s">
        <v>31</v>
      </c>
      <c r="E388" t="s">
        <v>32</v>
      </c>
      <c r="F388">
        <v>2</v>
      </c>
    </row>
    <row r="389" spans="1:6">
      <c r="A389">
        <v>409</v>
      </c>
      <c r="B389">
        <v>132015270</v>
      </c>
      <c r="C389">
        <v>2015</v>
      </c>
      <c r="D389" t="s">
        <v>31</v>
      </c>
      <c r="E389" t="s">
        <v>32</v>
      </c>
      <c r="F389">
        <v>2.1</v>
      </c>
    </row>
    <row r="390" spans="1:6">
      <c r="A390">
        <v>388</v>
      </c>
      <c r="B390">
        <v>132015270</v>
      </c>
      <c r="C390">
        <v>2015</v>
      </c>
      <c r="D390" t="s">
        <v>31</v>
      </c>
      <c r="E390" t="s">
        <v>32</v>
      </c>
      <c r="F390">
        <v>3</v>
      </c>
    </row>
    <row r="391" spans="1:6">
      <c r="A391">
        <v>419</v>
      </c>
      <c r="B391">
        <v>132015270</v>
      </c>
      <c r="C391">
        <v>2015</v>
      </c>
      <c r="D391" t="s">
        <v>31</v>
      </c>
      <c r="E391" t="s">
        <v>32</v>
      </c>
      <c r="F391">
        <v>2</v>
      </c>
    </row>
    <row r="392" spans="1:6">
      <c r="A392">
        <v>407</v>
      </c>
      <c r="B392">
        <v>132015270</v>
      </c>
      <c r="C392">
        <v>2015</v>
      </c>
      <c r="D392" t="s">
        <v>31</v>
      </c>
      <c r="E392" t="s">
        <v>32</v>
      </c>
      <c r="F392">
        <v>3</v>
      </c>
    </row>
    <row r="393" spans="1:6">
      <c r="A393">
        <v>383</v>
      </c>
      <c r="B393">
        <v>132015270</v>
      </c>
      <c r="C393">
        <v>2015</v>
      </c>
      <c r="D393" t="s">
        <v>31</v>
      </c>
      <c r="E393" t="s">
        <v>32</v>
      </c>
      <c r="F393">
        <v>1</v>
      </c>
    </row>
    <row r="394" spans="1:6">
      <c r="A394">
        <v>416</v>
      </c>
      <c r="B394">
        <v>132015270</v>
      </c>
      <c r="C394">
        <v>2015</v>
      </c>
      <c r="D394" t="s">
        <v>31</v>
      </c>
      <c r="E394" t="s">
        <v>32</v>
      </c>
      <c r="F394">
        <v>2</v>
      </c>
    </row>
    <row r="395" spans="1:6">
      <c r="A395">
        <v>406</v>
      </c>
      <c r="B395">
        <v>132015270</v>
      </c>
      <c r="C395">
        <v>2015</v>
      </c>
      <c r="D395" t="s">
        <v>31</v>
      </c>
      <c r="E395" t="s">
        <v>32</v>
      </c>
      <c r="F395">
        <v>2</v>
      </c>
    </row>
    <row r="396" spans="1:6">
      <c r="A396">
        <v>381</v>
      </c>
      <c r="B396">
        <v>132015270</v>
      </c>
      <c r="C396">
        <v>2015</v>
      </c>
      <c r="D396" t="s">
        <v>31</v>
      </c>
      <c r="E396" t="s">
        <v>32</v>
      </c>
      <c r="F396">
        <v>2</v>
      </c>
    </row>
    <row r="397" spans="1:6">
      <c r="A397">
        <v>395</v>
      </c>
      <c r="B397">
        <v>132015270</v>
      </c>
      <c r="C397">
        <v>2015</v>
      </c>
      <c r="D397" t="s">
        <v>31</v>
      </c>
      <c r="E397" t="s">
        <v>32</v>
      </c>
      <c r="F397">
        <v>2</v>
      </c>
    </row>
    <row r="398" spans="1:6">
      <c r="A398">
        <v>394</v>
      </c>
      <c r="B398">
        <v>132015270</v>
      </c>
      <c r="C398">
        <v>2015</v>
      </c>
      <c r="D398" t="s">
        <v>31</v>
      </c>
      <c r="E398" t="s">
        <v>32</v>
      </c>
      <c r="F398">
        <v>5</v>
      </c>
    </row>
    <row r="399" spans="1:6">
      <c r="A399">
        <v>414</v>
      </c>
      <c r="B399">
        <v>132015270</v>
      </c>
      <c r="C399">
        <v>2015</v>
      </c>
      <c r="D399" t="s">
        <v>31</v>
      </c>
      <c r="E399" t="s">
        <v>32</v>
      </c>
      <c r="F399">
        <v>2</v>
      </c>
    </row>
    <row r="400" spans="1:6">
      <c r="A400">
        <v>389</v>
      </c>
      <c r="B400">
        <v>132015270</v>
      </c>
      <c r="C400">
        <v>2015</v>
      </c>
      <c r="D400" t="s">
        <v>31</v>
      </c>
      <c r="E400" t="s">
        <v>32</v>
      </c>
      <c r="F400">
        <v>3</v>
      </c>
    </row>
    <row r="401" spans="1:6">
      <c r="A401">
        <v>398</v>
      </c>
      <c r="B401">
        <v>132015270</v>
      </c>
      <c r="C401">
        <v>2015</v>
      </c>
      <c r="D401" t="s">
        <v>31</v>
      </c>
      <c r="E401" t="s">
        <v>32</v>
      </c>
      <c r="F401">
        <v>3</v>
      </c>
    </row>
    <row r="402" spans="1:6">
      <c r="A402">
        <v>422</v>
      </c>
      <c r="B402">
        <v>132015270</v>
      </c>
      <c r="C402">
        <v>2015</v>
      </c>
      <c r="D402" t="s">
        <v>31</v>
      </c>
      <c r="E402" t="s">
        <v>32</v>
      </c>
      <c r="F402">
        <v>2</v>
      </c>
    </row>
    <row r="403" spans="1:6">
      <c r="A403">
        <v>397</v>
      </c>
      <c r="B403">
        <v>132015270</v>
      </c>
      <c r="C403">
        <v>2015</v>
      </c>
      <c r="D403" t="s">
        <v>31</v>
      </c>
      <c r="E403" t="s">
        <v>32</v>
      </c>
      <c r="F403">
        <v>5</v>
      </c>
    </row>
    <row r="404" spans="1:6">
      <c r="A404">
        <v>379</v>
      </c>
      <c r="B404">
        <v>132015270</v>
      </c>
      <c r="C404">
        <v>2015</v>
      </c>
      <c r="D404" t="s">
        <v>31</v>
      </c>
      <c r="E404">
        <v>60</v>
      </c>
      <c r="F404">
        <v>3</v>
      </c>
    </row>
    <row r="405" spans="1:6">
      <c r="A405">
        <v>401</v>
      </c>
      <c r="B405">
        <v>132015270</v>
      </c>
      <c r="C405">
        <v>2015</v>
      </c>
      <c r="D405" t="s">
        <v>31</v>
      </c>
      <c r="E405" t="s">
        <v>32</v>
      </c>
      <c r="F405">
        <v>8</v>
      </c>
    </row>
    <row r="406" spans="1:6">
      <c r="A406">
        <v>425</v>
      </c>
      <c r="B406">
        <v>132015270</v>
      </c>
      <c r="C406">
        <v>2015</v>
      </c>
      <c r="D406" t="s">
        <v>31</v>
      </c>
      <c r="E406" t="s">
        <v>32</v>
      </c>
      <c r="F406">
        <v>2</v>
      </c>
    </row>
    <row r="407" spans="1:6">
      <c r="A407">
        <v>405</v>
      </c>
      <c r="B407">
        <v>132015270</v>
      </c>
      <c r="C407">
        <v>2015</v>
      </c>
      <c r="D407" t="s">
        <v>31</v>
      </c>
      <c r="E407" t="s">
        <v>32</v>
      </c>
      <c r="F407">
        <v>1.1</v>
      </c>
    </row>
    <row r="408" spans="1:6">
      <c r="A408">
        <v>421</v>
      </c>
      <c r="B408">
        <v>132015270</v>
      </c>
      <c r="C408">
        <v>2015</v>
      </c>
      <c r="D408" t="s">
        <v>31</v>
      </c>
      <c r="E408" t="s">
        <v>32</v>
      </c>
      <c r="F408">
        <v>2</v>
      </c>
    </row>
    <row r="409" spans="1:6">
      <c r="A409">
        <v>390</v>
      </c>
      <c r="B409">
        <v>132015270</v>
      </c>
      <c r="C409">
        <v>2015</v>
      </c>
      <c r="D409" t="s">
        <v>31</v>
      </c>
      <c r="E409" t="s">
        <v>32</v>
      </c>
      <c r="F409">
        <v>25.5</v>
      </c>
    </row>
    <row r="410" spans="1:6">
      <c r="A410">
        <v>403</v>
      </c>
      <c r="B410">
        <v>132015270</v>
      </c>
      <c r="C410">
        <v>2015</v>
      </c>
      <c r="D410" t="s">
        <v>31</v>
      </c>
      <c r="E410" t="s">
        <v>32</v>
      </c>
      <c r="F410">
        <v>2</v>
      </c>
    </row>
    <row r="411" spans="1:6">
      <c r="A411">
        <v>428</v>
      </c>
      <c r="B411">
        <v>132016211</v>
      </c>
      <c r="C411" s="76">
        <v>2016</v>
      </c>
      <c r="D411" s="76" t="s">
        <v>37</v>
      </c>
      <c r="E411" s="76">
        <v>2</v>
      </c>
      <c r="F411" s="76">
        <v>70</v>
      </c>
    </row>
    <row r="412" spans="1:6">
      <c r="A412">
        <v>427</v>
      </c>
      <c r="B412">
        <v>132016211</v>
      </c>
      <c r="C412" s="76">
        <v>2016</v>
      </c>
      <c r="D412" s="76" t="s">
        <v>37</v>
      </c>
      <c r="E412" s="76">
        <v>2</v>
      </c>
      <c r="F412" s="76">
        <v>70</v>
      </c>
    </row>
    <row r="413" spans="1:6">
      <c r="A413">
        <v>429</v>
      </c>
      <c r="B413">
        <v>132016212</v>
      </c>
      <c r="C413" s="76">
        <v>2016</v>
      </c>
      <c r="D413" s="76" t="s">
        <v>39</v>
      </c>
      <c r="E413" s="76" t="s">
        <v>32</v>
      </c>
      <c r="F413" s="76">
        <v>1.8</v>
      </c>
    </row>
    <row r="414" spans="1:6">
      <c r="A414">
        <v>432</v>
      </c>
      <c r="B414">
        <v>132016241</v>
      </c>
      <c r="C414" s="76">
        <v>2016</v>
      </c>
      <c r="D414" s="76" t="s">
        <v>33</v>
      </c>
      <c r="E414" s="76" t="s">
        <v>32</v>
      </c>
      <c r="F414" s="76">
        <v>0.9</v>
      </c>
    </row>
    <row r="415" spans="1:6">
      <c r="A415">
        <v>430</v>
      </c>
      <c r="B415">
        <v>132016241</v>
      </c>
      <c r="C415" s="76">
        <v>2016</v>
      </c>
      <c r="D415" s="76" t="s">
        <v>33</v>
      </c>
      <c r="E415" s="76" t="s">
        <v>32</v>
      </c>
      <c r="F415" s="76">
        <v>0.9</v>
      </c>
    </row>
    <row r="416" spans="1:6">
      <c r="A416">
        <v>442</v>
      </c>
      <c r="B416">
        <v>132016241</v>
      </c>
      <c r="C416" s="76">
        <v>2016</v>
      </c>
      <c r="D416" s="76" t="s">
        <v>33</v>
      </c>
      <c r="E416" s="76" t="s">
        <v>32</v>
      </c>
      <c r="F416" s="76">
        <v>1.5</v>
      </c>
    </row>
    <row r="417" spans="1:6">
      <c r="A417">
        <v>433</v>
      </c>
      <c r="B417">
        <v>132016241</v>
      </c>
      <c r="C417" s="76">
        <v>2016</v>
      </c>
      <c r="D417" s="76" t="s">
        <v>33</v>
      </c>
      <c r="E417" s="76" t="s">
        <v>32</v>
      </c>
      <c r="F417" s="76">
        <v>0.6</v>
      </c>
    </row>
    <row r="418" spans="1:6">
      <c r="A418">
        <v>436</v>
      </c>
      <c r="B418">
        <v>132016241</v>
      </c>
      <c r="C418" s="76">
        <v>2016</v>
      </c>
      <c r="D418" s="76" t="s">
        <v>33</v>
      </c>
      <c r="E418" s="76" t="s">
        <v>32</v>
      </c>
      <c r="F418" s="76">
        <v>0.2</v>
      </c>
    </row>
    <row r="419" spans="1:6">
      <c r="A419">
        <v>437</v>
      </c>
      <c r="B419">
        <v>132016241</v>
      </c>
      <c r="C419" s="76">
        <v>2016</v>
      </c>
      <c r="D419" s="76" t="s">
        <v>33</v>
      </c>
      <c r="E419" s="76" t="s">
        <v>32</v>
      </c>
      <c r="F419" s="76">
        <v>1.2</v>
      </c>
    </row>
    <row r="420" spans="1:6">
      <c r="A420">
        <v>439</v>
      </c>
      <c r="B420">
        <v>132016241</v>
      </c>
      <c r="C420" s="76">
        <v>2016</v>
      </c>
      <c r="D420" s="76" t="s">
        <v>33</v>
      </c>
      <c r="E420" s="76" t="s">
        <v>32</v>
      </c>
      <c r="F420" s="76">
        <v>0.6</v>
      </c>
    </row>
    <row r="421" spans="1:6">
      <c r="A421">
        <v>443</v>
      </c>
      <c r="B421">
        <v>132016241</v>
      </c>
      <c r="C421" s="76">
        <v>2016</v>
      </c>
      <c r="D421" s="76" t="s">
        <v>33</v>
      </c>
      <c r="E421" s="76" t="s">
        <v>32</v>
      </c>
      <c r="F421" s="76">
        <v>1.8</v>
      </c>
    </row>
    <row r="422" spans="1:6">
      <c r="A422">
        <v>444</v>
      </c>
      <c r="B422">
        <v>132016241</v>
      </c>
      <c r="C422" s="76">
        <v>2016</v>
      </c>
      <c r="D422" s="76" t="s">
        <v>33</v>
      </c>
      <c r="E422" s="76" t="s">
        <v>32</v>
      </c>
      <c r="F422" s="76">
        <v>0.9</v>
      </c>
    </row>
    <row r="423" spans="1:6">
      <c r="A423">
        <v>434</v>
      </c>
      <c r="B423">
        <v>132016241</v>
      </c>
      <c r="C423" s="76">
        <v>2016</v>
      </c>
      <c r="D423" s="76" t="s">
        <v>33</v>
      </c>
      <c r="E423" s="76" t="s">
        <v>32</v>
      </c>
      <c r="F423" s="76">
        <v>1.2</v>
      </c>
    </row>
    <row r="424" spans="1:6">
      <c r="A424">
        <v>435</v>
      </c>
      <c r="B424">
        <v>132016241</v>
      </c>
      <c r="C424" s="76">
        <v>2016</v>
      </c>
      <c r="D424" s="76" t="s">
        <v>33</v>
      </c>
      <c r="E424" s="76" t="s">
        <v>32</v>
      </c>
      <c r="F424" s="76">
        <v>2.1</v>
      </c>
    </row>
    <row r="425" spans="1:6">
      <c r="A425">
        <v>440</v>
      </c>
      <c r="B425">
        <v>132016241</v>
      </c>
      <c r="C425" s="76">
        <v>2016</v>
      </c>
      <c r="D425" s="76" t="s">
        <v>33</v>
      </c>
      <c r="E425" s="76" t="s">
        <v>32</v>
      </c>
      <c r="F425" s="76">
        <v>0.3</v>
      </c>
    </row>
    <row r="426" spans="1:6">
      <c r="A426">
        <v>431</v>
      </c>
      <c r="B426">
        <v>132016241</v>
      </c>
      <c r="C426" s="76">
        <v>2016</v>
      </c>
      <c r="D426" s="76" t="s">
        <v>33</v>
      </c>
      <c r="E426" s="76" t="s">
        <v>32</v>
      </c>
      <c r="F426" s="76">
        <v>0.9</v>
      </c>
    </row>
    <row r="427" spans="1:6">
      <c r="A427">
        <v>445</v>
      </c>
      <c r="B427">
        <v>132016241</v>
      </c>
      <c r="C427" s="76">
        <v>2016</v>
      </c>
      <c r="D427" s="76" t="s">
        <v>33</v>
      </c>
      <c r="E427" s="76" t="s">
        <v>32</v>
      </c>
      <c r="F427" s="76">
        <v>0.51</v>
      </c>
    </row>
    <row r="428" spans="1:6">
      <c r="A428">
        <v>438</v>
      </c>
      <c r="B428">
        <v>132016241</v>
      </c>
      <c r="C428" s="76">
        <v>2016</v>
      </c>
      <c r="D428" s="76" t="s">
        <v>33</v>
      </c>
      <c r="E428" s="76" t="s">
        <v>32</v>
      </c>
      <c r="F428" s="76">
        <v>1.2</v>
      </c>
    </row>
    <row r="429" spans="1:6">
      <c r="A429">
        <v>441</v>
      </c>
      <c r="B429">
        <v>132016241</v>
      </c>
      <c r="C429" s="76">
        <v>2016</v>
      </c>
      <c r="D429" s="76" t="s">
        <v>33</v>
      </c>
      <c r="E429" s="76" t="s">
        <v>32</v>
      </c>
      <c r="F429" s="76">
        <v>3.8</v>
      </c>
    </row>
    <row r="430" spans="1:6">
      <c r="A430">
        <v>448</v>
      </c>
      <c r="B430">
        <v>132016242</v>
      </c>
      <c r="C430" s="76">
        <v>2016</v>
      </c>
      <c r="D430" s="76" t="s">
        <v>35</v>
      </c>
      <c r="E430" s="76" t="s">
        <v>32</v>
      </c>
      <c r="F430" s="76">
        <v>2.4</v>
      </c>
    </row>
    <row r="431" spans="1:6">
      <c r="A431">
        <v>449</v>
      </c>
      <c r="B431">
        <v>132016243</v>
      </c>
      <c r="C431" s="76">
        <v>2016</v>
      </c>
      <c r="D431" s="76" t="s">
        <v>38</v>
      </c>
      <c r="E431" s="76" t="s">
        <v>32</v>
      </c>
      <c r="F431" s="76">
        <v>6</v>
      </c>
    </row>
    <row r="432" spans="1:6">
      <c r="A432">
        <v>462</v>
      </c>
      <c r="B432">
        <v>132016260</v>
      </c>
      <c r="C432" s="76">
        <v>2016</v>
      </c>
      <c r="D432" s="76" t="s">
        <v>34</v>
      </c>
      <c r="E432" s="76">
        <v>100</v>
      </c>
      <c r="F432" s="76">
        <v>20</v>
      </c>
    </row>
    <row r="433" spans="1:6">
      <c r="A433">
        <v>470</v>
      </c>
      <c r="B433">
        <v>132016260</v>
      </c>
      <c r="C433" s="76">
        <v>2016</v>
      </c>
      <c r="D433" s="76" t="s">
        <v>34</v>
      </c>
      <c r="E433" s="76" t="s">
        <v>32</v>
      </c>
      <c r="F433" s="76">
        <v>9.9</v>
      </c>
    </row>
    <row r="434" spans="1:6">
      <c r="A434">
        <v>466</v>
      </c>
      <c r="B434">
        <v>132016260</v>
      </c>
      <c r="C434" s="76">
        <v>2016</v>
      </c>
      <c r="D434" s="76" t="s">
        <v>34</v>
      </c>
      <c r="E434" s="76" t="s">
        <v>32</v>
      </c>
      <c r="F434" s="76">
        <v>19.95</v>
      </c>
    </row>
    <row r="435" spans="1:6">
      <c r="A435">
        <v>463</v>
      </c>
      <c r="B435">
        <v>132016260</v>
      </c>
      <c r="C435" s="76">
        <v>2016</v>
      </c>
      <c r="D435" s="76" t="s">
        <v>34</v>
      </c>
      <c r="E435" s="76" t="s">
        <v>32</v>
      </c>
      <c r="F435" s="76">
        <v>4.95</v>
      </c>
    </row>
    <row r="436" spans="1:6">
      <c r="A436">
        <v>464</v>
      </c>
      <c r="B436">
        <v>132016260</v>
      </c>
      <c r="C436" s="76">
        <v>2016</v>
      </c>
      <c r="D436" s="76" t="s">
        <v>34</v>
      </c>
      <c r="E436" s="76" t="s">
        <v>32</v>
      </c>
      <c r="F436" s="76">
        <v>3.9</v>
      </c>
    </row>
    <row r="437" spans="1:6">
      <c r="A437">
        <v>456</v>
      </c>
      <c r="B437">
        <v>132016260</v>
      </c>
      <c r="C437" s="76">
        <v>2016</v>
      </c>
      <c r="D437" s="76" t="s">
        <v>34</v>
      </c>
      <c r="E437" s="76">
        <v>33</v>
      </c>
      <c r="F437" s="76">
        <v>4.95</v>
      </c>
    </row>
    <row r="438" spans="1:6">
      <c r="A438">
        <v>455</v>
      </c>
      <c r="B438">
        <v>132016260</v>
      </c>
      <c r="C438" s="76">
        <v>2016</v>
      </c>
      <c r="D438" s="76" t="s">
        <v>34</v>
      </c>
      <c r="E438" s="76">
        <v>33</v>
      </c>
      <c r="F438" s="76">
        <v>4.95</v>
      </c>
    </row>
    <row r="439" spans="1:6">
      <c r="A439">
        <v>469</v>
      </c>
      <c r="B439">
        <v>132016260</v>
      </c>
      <c r="C439" s="76">
        <v>2016</v>
      </c>
      <c r="D439" s="76" t="s">
        <v>34</v>
      </c>
      <c r="E439" s="76" t="s">
        <v>32</v>
      </c>
      <c r="F439" s="76">
        <v>19.76</v>
      </c>
    </row>
    <row r="440" spans="1:6">
      <c r="A440">
        <v>454</v>
      </c>
      <c r="B440">
        <v>132016260</v>
      </c>
      <c r="C440" s="76">
        <v>2016</v>
      </c>
      <c r="D440" s="76" t="s">
        <v>34</v>
      </c>
      <c r="E440" s="76">
        <v>67</v>
      </c>
      <c r="F440" s="76">
        <v>10.05</v>
      </c>
    </row>
    <row r="441" spans="1:6">
      <c r="A441">
        <v>468</v>
      </c>
      <c r="B441">
        <v>132016260</v>
      </c>
      <c r="C441" s="76">
        <v>2016</v>
      </c>
      <c r="D441" s="76" t="s">
        <v>34</v>
      </c>
      <c r="E441" s="76" t="s">
        <v>32</v>
      </c>
      <c r="F441" s="76">
        <v>30</v>
      </c>
    </row>
    <row r="442" spans="1:6">
      <c r="A442">
        <v>458</v>
      </c>
      <c r="B442">
        <v>132016260</v>
      </c>
      <c r="C442" s="76">
        <v>2016</v>
      </c>
      <c r="D442" s="76" t="s">
        <v>34</v>
      </c>
      <c r="E442" s="76">
        <v>68</v>
      </c>
      <c r="F442" s="76">
        <v>13.6</v>
      </c>
    </row>
    <row r="443" spans="1:6">
      <c r="A443">
        <v>450</v>
      </c>
      <c r="B443">
        <v>132016260</v>
      </c>
      <c r="C443" s="76">
        <v>2016</v>
      </c>
      <c r="D443" s="76" t="s">
        <v>34</v>
      </c>
      <c r="E443" s="76">
        <v>75</v>
      </c>
      <c r="F443" s="76">
        <v>15</v>
      </c>
    </row>
    <row r="444" spans="1:6">
      <c r="A444">
        <v>460</v>
      </c>
      <c r="B444">
        <v>132016260</v>
      </c>
      <c r="C444" s="76">
        <v>2016</v>
      </c>
      <c r="D444" s="76" t="s">
        <v>34</v>
      </c>
      <c r="E444" s="76">
        <v>67</v>
      </c>
      <c r="F444" s="76">
        <v>10.05</v>
      </c>
    </row>
    <row r="445" spans="1:6">
      <c r="A445">
        <v>461</v>
      </c>
      <c r="B445">
        <v>132016260</v>
      </c>
      <c r="C445" s="76">
        <v>2016</v>
      </c>
      <c r="D445" s="76" t="s">
        <v>34</v>
      </c>
      <c r="E445" s="76">
        <v>50</v>
      </c>
      <c r="F445" s="76">
        <v>10</v>
      </c>
    </row>
    <row r="446" spans="1:6">
      <c r="A446">
        <v>457</v>
      </c>
      <c r="B446">
        <v>132016260</v>
      </c>
      <c r="C446" s="76">
        <v>2016</v>
      </c>
      <c r="D446" s="76" t="s">
        <v>34</v>
      </c>
      <c r="E446" s="76">
        <v>33</v>
      </c>
      <c r="F446" s="76">
        <v>4.95</v>
      </c>
    </row>
    <row r="447" spans="1:6">
      <c r="A447">
        <v>465</v>
      </c>
      <c r="B447">
        <v>132016260</v>
      </c>
      <c r="C447" s="76">
        <v>2016</v>
      </c>
      <c r="D447" s="76" t="s">
        <v>34</v>
      </c>
      <c r="E447" s="76" t="s">
        <v>32</v>
      </c>
      <c r="F447" s="76">
        <v>4.8</v>
      </c>
    </row>
    <row r="448" spans="1:6">
      <c r="A448">
        <v>452</v>
      </c>
      <c r="B448">
        <v>132016260</v>
      </c>
      <c r="C448" s="76">
        <v>2016</v>
      </c>
      <c r="D448" s="76" t="s">
        <v>34</v>
      </c>
      <c r="E448" s="76">
        <v>33</v>
      </c>
      <c r="F448" s="76">
        <v>4.95</v>
      </c>
    </row>
    <row r="449" spans="1:6">
      <c r="A449">
        <v>453</v>
      </c>
      <c r="B449">
        <v>132016260</v>
      </c>
      <c r="C449" s="76">
        <v>2016</v>
      </c>
      <c r="D449" s="76" t="s">
        <v>34</v>
      </c>
      <c r="E449" s="76">
        <v>10</v>
      </c>
      <c r="F449" s="76">
        <v>1.5</v>
      </c>
    </row>
    <row r="450" spans="1:6">
      <c r="A450">
        <v>451</v>
      </c>
      <c r="B450">
        <v>132016260</v>
      </c>
      <c r="C450" s="76">
        <v>2016</v>
      </c>
      <c r="D450" s="76" t="s">
        <v>34</v>
      </c>
      <c r="E450" s="76">
        <v>27</v>
      </c>
      <c r="F450" s="76">
        <v>4.95</v>
      </c>
    </row>
    <row r="451" spans="1:6">
      <c r="A451">
        <v>467</v>
      </c>
      <c r="B451">
        <v>132016260</v>
      </c>
      <c r="C451" s="76">
        <v>2016</v>
      </c>
      <c r="D451" s="76" t="s">
        <v>34</v>
      </c>
      <c r="E451" s="76" t="s">
        <v>32</v>
      </c>
      <c r="F451" s="76">
        <v>10</v>
      </c>
    </row>
    <row r="452" spans="1:6">
      <c r="A452">
        <v>459</v>
      </c>
      <c r="B452">
        <v>132016260</v>
      </c>
      <c r="C452" s="76">
        <v>2016</v>
      </c>
      <c r="D452" s="76" t="s">
        <v>34</v>
      </c>
      <c r="E452" s="76">
        <v>90</v>
      </c>
      <c r="F452" s="76">
        <v>20</v>
      </c>
    </row>
    <row r="453" spans="1:6">
      <c r="A453">
        <v>502</v>
      </c>
      <c r="B453">
        <v>132016270</v>
      </c>
      <c r="C453" s="76">
        <v>2016</v>
      </c>
      <c r="D453" s="76" t="s">
        <v>31</v>
      </c>
      <c r="E453" s="76" t="s">
        <v>32</v>
      </c>
      <c r="F453" s="76">
        <v>2</v>
      </c>
    </row>
    <row r="454" spans="1:6">
      <c r="A454">
        <v>471</v>
      </c>
      <c r="B454">
        <v>132016270</v>
      </c>
      <c r="C454" s="76">
        <v>2016</v>
      </c>
      <c r="D454" s="76" t="s">
        <v>31</v>
      </c>
      <c r="E454" s="76" t="s">
        <v>32</v>
      </c>
      <c r="F454" s="76">
        <v>1</v>
      </c>
    </row>
    <row r="455" spans="1:6">
      <c r="A455">
        <v>493</v>
      </c>
      <c r="B455">
        <v>132016270</v>
      </c>
      <c r="C455" s="76">
        <v>2016</v>
      </c>
      <c r="D455" s="76" t="s">
        <v>31</v>
      </c>
      <c r="E455" s="76" t="s">
        <v>32</v>
      </c>
      <c r="F455" s="76">
        <v>0.8</v>
      </c>
    </row>
    <row r="456" spans="1:6">
      <c r="A456">
        <v>495</v>
      </c>
      <c r="B456">
        <v>132016270</v>
      </c>
      <c r="C456" s="76">
        <v>2016</v>
      </c>
      <c r="D456" s="76" t="s">
        <v>31</v>
      </c>
      <c r="E456" s="76" t="s">
        <v>32</v>
      </c>
      <c r="F456" s="76">
        <v>1</v>
      </c>
    </row>
    <row r="457" spans="1:6">
      <c r="A457">
        <v>475</v>
      </c>
      <c r="B457">
        <v>132016270</v>
      </c>
      <c r="C457" s="76">
        <v>2016</v>
      </c>
      <c r="D457" s="76" t="s">
        <v>31</v>
      </c>
      <c r="E457" s="76" t="s">
        <v>32</v>
      </c>
      <c r="F457" s="76">
        <v>3.4</v>
      </c>
    </row>
    <row r="458" spans="1:6">
      <c r="A458">
        <v>511</v>
      </c>
      <c r="B458">
        <v>132016270</v>
      </c>
      <c r="C458" s="76">
        <v>2016</v>
      </c>
      <c r="D458" s="76" t="s">
        <v>31</v>
      </c>
      <c r="E458" s="76" t="s">
        <v>32</v>
      </c>
      <c r="F458" s="76">
        <v>4.48</v>
      </c>
    </row>
    <row r="459" spans="1:6">
      <c r="A459">
        <v>529</v>
      </c>
      <c r="B459">
        <v>132016270</v>
      </c>
      <c r="C459" s="76">
        <v>2016</v>
      </c>
      <c r="D459" s="76" t="s">
        <v>31</v>
      </c>
      <c r="E459" s="76" t="s">
        <v>32</v>
      </c>
      <c r="F459" s="76">
        <v>1</v>
      </c>
    </row>
    <row r="460" spans="1:6">
      <c r="A460">
        <v>501</v>
      </c>
      <c r="B460">
        <v>132016270</v>
      </c>
      <c r="C460" s="76">
        <v>2016</v>
      </c>
      <c r="D460" s="76" t="s">
        <v>31</v>
      </c>
      <c r="E460" s="76" t="s">
        <v>32</v>
      </c>
      <c r="F460" s="76">
        <v>1.5</v>
      </c>
    </row>
    <row r="461" spans="1:6">
      <c r="A461">
        <v>510</v>
      </c>
      <c r="B461">
        <v>132016270</v>
      </c>
      <c r="C461" s="76">
        <v>2016</v>
      </c>
      <c r="D461" s="76" t="s">
        <v>31</v>
      </c>
      <c r="E461" s="76" t="s">
        <v>32</v>
      </c>
      <c r="F461" s="76">
        <v>0.9</v>
      </c>
    </row>
    <row r="462" spans="1:6">
      <c r="A462">
        <v>479</v>
      </c>
      <c r="B462">
        <v>132016270</v>
      </c>
      <c r="C462" s="76">
        <v>2016</v>
      </c>
      <c r="D462" s="76" t="s">
        <v>31</v>
      </c>
      <c r="E462" s="76" t="s">
        <v>32</v>
      </c>
      <c r="F462" s="76">
        <v>3.9</v>
      </c>
    </row>
    <row r="463" spans="1:6">
      <c r="A463">
        <v>504</v>
      </c>
      <c r="B463">
        <v>132016270</v>
      </c>
      <c r="C463" s="76">
        <v>2016</v>
      </c>
      <c r="D463" s="76" t="s">
        <v>31</v>
      </c>
      <c r="E463" s="76" t="s">
        <v>32</v>
      </c>
      <c r="F463" s="76">
        <v>3.8</v>
      </c>
    </row>
    <row r="464" spans="1:6">
      <c r="A464">
        <v>512</v>
      </c>
      <c r="B464">
        <v>132016270</v>
      </c>
      <c r="C464" s="76">
        <v>2016</v>
      </c>
      <c r="D464" s="76" t="s">
        <v>31</v>
      </c>
      <c r="E464" s="76" t="s">
        <v>32</v>
      </c>
      <c r="F464" s="76">
        <v>1.3</v>
      </c>
    </row>
    <row r="465" spans="1:6">
      <c r="A465">
        <v>542</v>
      </c>
      <c r="B465">
        <v>132016270</v>
      </c>
      <c r="C465" s="76">
        <v>2016</v>
      </c>
      <c r="D465" s="76" t="s">
        <v>31</v>
      </c>
      <c r="E465" s="76" t="s">
        <v>32</v>
      </c>
      <c r="F465" s="76">
        <v>1</v>
      </c>
    </row>
    <row r="466" spans="1:6">
      <c r="A466">
        <v>500</v>
      </c>
      <c r="B466">
        <v>132016270</v>
      </c>
      <c r="C466" s="76">
        <v>2016</v>
      </c>
      <c r="D466" s="76" t="s">
        <v>31</v>
      </c>
      <c r="E466" s="76" t="s">
        <v>32</v>
      </c>
      <c r="F466" s="76">
        <v>0.64</v>
      </c>
    </row>
    <row r="467" spans="1:6">
      <c r="A467">
        <v>518</v>
      </c>
      <c r="B467">
        <v>132016270</v>
      </c>
      <c r="C467" s="76">
        <v>2016</v>
      </c>
      <c r="D467" s="76" t="s">
        <v>31</v>
      </c>
      <c r="E467" s="76" t="s">
        <v>32</v>
      </c>
      <c r="F467" s="76">
        <v>0.52</v>
      </c>
    </row>
    <row r="468" spans="1:6">
      <c r="A468">
        <v>484</v>
      </c>
      <c r="B468">
        <v>132016270</v>
      </c>
      <c r="C468" s="76">
        <v>2016</v>
      </c>
      <c r="D468" s="76" t="s">
        <v>31</v>
      </c>
      <c r="E468" s="76" t="s">
        <v>32</v>
      </c>
      <c r="F468" s="76">
        <v>3</v>
      </c>
    </row>
    <row r="469" spans="1:6">
      <c r="A469">
        <v>534</v>
      </c>
      <c r="B469">
        <v>132016270</v>
      </c>
      <c r="C469" s="76">
        <v>2016</v>
      </c>
      <c r="D469" s="76" t="s">
        <v>31</v>
      </c>
      <c r="E469" s="76" t="s">
        <v>32</v>
      </c>
      <c r="F469" s="76">
        <v>2</v>
      </c>
    </row>
    <row r="470" spans="1:6">
      <c r="A470">
        <v>482</v>
      </c>
      <c r="B470">
        <v>132016270</v>
      </c>
      <c r="C470" s="76">
        <v>2016</v>
      </c>
      <c r="D470" s="76" t="s">
        <v>31</v>
      </c>
      <c r="E470" s="76" t="s">
        <v>32</v>
      </c>
      <c r="F470" s="76">
        <v>3.2</v>
      </c>
    </row>
    <row r="471" spans="1:6">
      <c r="A471">
        <v>480</v>
      </c>
      <c r="B471">
        <v>132016270</v>
      </c>
      <c r="C471" s="76">
        <v>2016</v>
      </c>
      <c r="D471" s="76" t="s">
        <v>31</v>
      </c>
      <c r="E471" s="76" t="s">
        <v>32</v>
      </c>
      <c r="F471" s="76">
        <v>4.3</v>
      </c>
    </row>
    <row r="472" spans="1:6">
      <c r="A472">
        <v>553</v>
      </c>
      <c r="B472">
        <v>132016270</v>
      </c>
      <c r="C472" s="76">
        <v>2016</v>
      </c>
      <c r="D472" s="76" t="s">
        <v>31</v>
      </c>
      <c r="E472" s="76" t="s">
        <v>32</v>
      </c>
      <c r="F472" s="76">
        <v>2</v>
      </c>
    </row>
    <row r="473" spans="1:6">
      <c r="A473">
        <v>552</v>
      </c>
      <c r="B473">
        <v>132016270</v>
      </c>
      <c r="C473" s="76">
        <v>2016</v>
      </c>
      <c r="D473" s="76" t="s">
        <v>31</v>
      </c>
      <c r="E473" s="76" t="s">
        <v>32</v>
      </c>
      <c r="F473" s="76">
        <v>2</v>
      </c>
    </row>
    <row r="474" spans="1:6">
      <c r="A474">
        <v>513</v>
      </c>
      <c r="B474">
        <v>132016270</v>
      </c>
      <c r="C474" s="76">
        <v>2016</v>
      </c>
      <c r="D474" s="76" t="s">
        <v>31</v>
      </c>
      <c r="E474" s="76" t="s">
        <v>32</v>
      </c>
      <c r="F474" s="76">
        <v>1.8</v>
      </c>
    </row>
    <row r="475" spans="1:6">
      <c r="A475">
        <v>514</v>
      </c>
      <c r="B475">
        <v>132016270</v>
      </c>
      <c r="C475" s="76">
        <v>2016</v>
      </c>
      <c r="D475" s="76" t="s">
        <v>31</v>
      </c>
      <c r="E475" s="76" t="s">
        <v>32</v>
      </c>
      <c r="F475" s="76">
        <v>1.5</v>
      </c>
    </row>
    <row r="476" spans="1:6">
      <c r="A476">
        <v>536</v>
      </c>
      <c r="B476">
        <v>132016270</v>
      </c>
      <c r="C476" s="76">
        <v>2016</v>
      </c>
      <c r="D476" s="76" t="s">
        <v>31</v>
      </c>
      <c r="E476" s="76" t="s">
        <v>32</v>
      </c>
      <c r="F476" s="76">
        <v>2</v>
      </c>
    </row>
    <row r="477" spans="1:6">
      <c r="A477">
        <v>554</v>
      </c>
      <c r="B477">
        <v>132016270</v>
      </c>
      <c r="C477" s="76">
        <v>2016</v>
      </c>
      <c r="D477" s="76" t="s">
        <v>31</v>
      </c>
      <c r="E477" s="76" t="s">
        <v>32</v>
      </c>
      <c r="F477" s="76">
        <v>1.8</v>
      </c>
    </row>
    <row r="478" spans="1:6">
      <c r="A478">
        <v>505</v>
      </c>
      <c r="B478">
        <v>132016270</v>
      </c>
      <c r="C478" s="76">
        <v>2016</v>
      </c>
      <c r="D478" s="76" t="s">
        <v>31</v>
      </c>
      <c r="E478" s="76" t="s">
        <v>32</v>
      </c>
      <c r="F478" s="76">
        <v>2</v>
      </c>
    </row>
    <row r="479" spans="1:6">
      <c r="A479">
        <v>481</v>
      </c>
      <c r="B479">
        <v>132016270</v>
      </c>
      <c r="C479" s="76">
        <v>2016</v>
      </c>
      <c r="D479" s="76" t="s">
        <v>31</v>
      </c>
      <c r="E479" s="76" t="s">
        <v>32</v>
      </c>
      <c r="F479" s="76">
        <v>1</v>
      </c>
    </row>
    <row r="480" spans="1:6">
      <c r="A480">
        <v>478</v>
      </c>
      <c r="B480">
        <v>132016270</v>
      </c>
      <c r="C480" s="76">
        <v>2016</v>
      </c>
      <c r="D480" s="76" t="s">
        <v>31</v>
      </c>
      <c r="E480" s="76" t="s">
        <v>32</v>
      </c>
      <c r="F480" s="76">
        <v>4.8</v>
      </c>
    </row>
    <row r="481" spans="1:6">
      <c r="A481">
        <v>487</v>
      </c>
      <c r="B481">
        <v>132016270</v>
      </c>
      <c r="C481" s="76">
        <v>2016</v>
      </c>
      <c r="D481" s="76" t="s">
        <v>31</v>
      </c>
      <c r="E481" s="76" t="s">
        <v>32</v>
      </c>
      <c r="F481" s="76">
        <v>2</v>
      </c>
    </row>
    <row r="482" spans="1:6">
      <c r="A482">
        <v>492</v>
      </c>
      <c r="B482">
        <v>132016270</v>
      </c>
      <c r="C482" s="76">
        <v>2016</v>
      </c>
      <c r="D482" s="76" t="s">
        <v>31</v>
      </c>
      <c r="E482" s="76" t="s">
        <v>32</v>
      </c>
      <c r="F482" s="76">
        <v>2</v>
      </c>
    </row>
    <row r="483" spans="1:6">
      <c r="A483">
        <v>494</v>
      </c>
      <c r="B483">
        <v>132016270</v>
      </c>
      <c r="C483" s="76">
        <v>2016</v>
      </c>
      <c r="D483" s="76" t="s">
        <v>31</v>
      </c>
      <c r="E483" s="76" t="s">
        <v>32</v>
      </c>
      <c r="F483" s="76">
        <v>5</v>
      </c>
    </row>
    <row r="484" spans="1:6">
      <c r="A484">
        <v>489</v>
      </c>
      <c r="B484">
        <v>132016270</v>
      </c>
      <c r="C484" s="76">
        <v>2016</v>
      </c>
      <c r="D484" s="76" t="s">
        <v>31</v>
      </c>
      <c r="E484" s="76" t="s">
        <v>32</v>
      </c>
      <c r="F484" s="76">
        <v>2</v>
      </c>
    </row>
    <row r="485" spans="1:6">
      <c r="A485">
        <v>515</v>
      </c>
      <c r="B485">
        <v>132016270</v>
      </c>
      <c r="C485" s="76">
        <v>2016</v>
      </c>
      <c r="D485" s="76" t="s">
        <v>31</v>
      </c>
      <c r="E485" s="76" t="s">
        <v>32</v>
      </c>
      <c r="F485" s="76">
        <v>1.98</v>
      </c>
    </row>
    <row r="486" spans="1:6">
      <c r="A486">
        <v>474</v>
      </c>
      <c r="B486">
        <v>132016270</v>
      </c>
      <c r="C486" s="76">
        <v>2016</v>
      </c>
      <c r="D486" s="76" t="s">
        <v>31</v>
      </c>
      <c r="E486" s="76" t="s">
        <v>32</v>
      </c>
      <c r="F486" s="76">
        <v>5</v>
      </c>
    </row>
    <row r="487" spans="1:6">
      <c r="A487">
        <v>488</v>
      </c>
      <c r="B487">
        <v>132016270</v>
      </c>
      <c r="C487" s="76">
        <v>2016</v>
      </c>
      <c r="D487" s="76" t="s">
        <v>31</v>
      </c>
      <c r="E487" s="76" t="s">
        <v>32</v>
      </c>
      <c r="F487" s="76">
        <v>3</v>
      </c>
    </row>
    <row r="488" spans="1:6">
      <c r="A488">
        <v>491</v>
      </c>
      <c r="B488">
        <v>132016270</v>
      </c>
      <c r="C488" s="76">
        <v>2016</v>
      </c>
      <c r="D488" s="76" t="s">
        <v>31</v>
      </c>
      <c r="E488" s="76" t="s">
        <v>32</v>
      </c>
      <c r="F488" s="76">
        <v>1.8</v>
      </c>
    </row>
    <row r="489" spans="1:6">
      <c r="A489">
        <v>508</v>
      </c>
      <c r="B489">
        <v>132016270</v>
      </c>
      <c r="C489" s="76">
        <v>2016</v>
      </c>
      <c r="D489" s="76" t="s">
        <v>31</v>
      </c>
      <c r="E489" s="76" t="s">
        <v>32</v>
      </c>
      <c r="F489" s="76">
        <v>5</v>
      </c>
    </row>
    <row r="490" spans="1:6">
      <c r="A490">
        <v>540</v>
      </c>
      <c r="B490">
        <v>132016270</v>
      </c>
      <c r="C490" s="76">
        <v>2016</v>
      </c>
      <c r="D490" s="76" t="s">
        <v>31</v>
      </c>
      <c r="E490" s="76" t="s">
        <v>32</v>
      </c>
      <c r="F490" s="76">
        <v>1.44</v>
      </c>
    </row>
    <row r="491" spans="1:6">
      <c r="A491">
        <v>497</v>
      </c>
      <c r="B491">
        <v>132016270</v>
      </c>
      <c r="C491" s="76">
        <v>2016</v>
      </c>
      <c r="D491" s="76" t="s">
        <v>31</v>
      </c>
      <c r="E491" s="76" t="s">
        <v>32</v>
      </c>
      <c r="F491" s="76">
        <v>2</v>
      </c>
    </row>
    <row r="492" spans="1:6">
      <c r="A492">
        <v>506</v>
      </c>
      <c r="B492">
        <v>132016270</v>
      </c>
      <c r="C492" s="76">
        <v>2016</v>
      </c>
      <c r="D492" s="76" t="s">
        <v>31</v>
      </c>
      <c r="E492" s="76" t="s">
        <v>32</v>
      </c>
      <c r="F492" s="76">
        <v>4.9</v>
      </c>
    </row>
    <row r="493" spans="1:6">
      <c r="A493">
        <v>485</v>
      </c>
      <c r="B493">
        <v>132016270</v>
      </c>
      <c r="C493" s="76">
        <v>2016</v>
      </c>
      <c r="D493" s="76" t="s">
        <v>31</v>
      </c>
      <c r="E493" s="76" t="s">
        <v>32</v>
      </c>
      <c r="F493" s="76">
        <v>2</v>
      </c>
    </row>
    <row r="494" spans="1:6">
      <c r="A494">
        <v>503</v>
      </c>
      <c r="B494">
        <v>132016270</v>
      </c>
      <c r="C494" s="76">
        <v>2016</v>
      </c>
      <c r="D494" s="76" t="s">
        <v>31</v>
      </c>
      <c r="E494" s="76" t="s">
        <v>32</v>
      </c>
      <c r="F494" s="76">
        <v>2.8</v>
      </c>
    </row>
    <row r="495" spans="1:6">
      <c r="A495">
        <v>472</v>
      </c>
      <c r="B495">
        <v>132016270</v>
      </c>
      <c r="C495" s="76">
        <v>2016</v>
      </c>
      <c r="D495" s="76" t="s">
        <v>31</v>
      </c>
      <c r="E495" s="76" t="s">
        <v>32</v>
      </c>
      <c r="F495" s="76">
        <v>2</v>
      </c>
    </row>
    <row r="496" spans="1:6">
      <c r="A496">
        <v>543</v>
      </c>
      <c r="B496">
        <v>132016270</v>
      </c>
      <c r="C496" s="76">
        <v>2016</v>
      </c>
      <c r="D496" s="76" t="s">
        <v>31</v>
      </c>
      <c r="E496" s="76" t="s">
        <v>32</v>
      </c>
      <c r="F496" s="76">
        <v>2</v>
      </c>
    </row>
    <row r="497" spans="1:6">
      <c r="A497">
        <v>526</v>
      </c>
      <c r="B497">
        <v>132016270</v>
      </c>
      <c r="C497" s="76">
        <v>2016</v>
      </c>
      <c r="D497" s="76" t="s">
        <v>31</v>
      </c>
      <c r="E497" s="76" t="s">
        <v>32</v>
      </c>
      <c r="F497" s="76">
        <v>3.2</v>
      </c>
    </row>
    <row r="498" spans="1:6">
      <c r="A498">
        <v>532</v>
      </c>
      <c r="B498">
        <v>132016270</v>
      </c>
      <c r="C498" s="76">
        <v>2016</v>
      </c>
      <c r="D498" s="76" t="s">
        <v>31</v>
      </c>
      <c r="E498" s="76" t="s">
        <v>32</v>
      </c>
      <c r="F498" s="76">
        <v>3</v>
      </c>
    </row>
    <row r="499" spans="1:6">
      <c r="A499">
        <v>548</v>
      </c>
      <c r="B499">
        <v>132016270</v>
      </c>
      <c r="C499" s="76">
        <v>2016</v>
      </c>
      <c r="D499" s="76" t="s">
        <v>31</v>
      </c>
      <c r="E499" s="76" t="s">
        <v>32</v>
      </c>
      <c r="F499" s="76">
        <v>2</v>
      </c>
    </row>
    <row r="500" spans="1:6">
      <c r="A500">
        <v>533</v>
      </c>
      <c r="B500">
        <v>132016270</v>
      </c>
      <c r="C500" s="76">
        <v>2016</v>
      </c>
      <c r="D500" s="76" t="s">
        <v>31</v>
      </c>
      <c r="E500" s="76" t="s">
        <v>32</v>
      </c>
      <c r="F500" s="76">
        <v>2</v>
      </c>
    </row>
    <row r="501" spans="1:6">
      <c r="A501">
        <v>477</v>
      </c>
      <c r="B501">
        <v>132016270</v>
      </c>
      <c r="C501" s="76">
        <v>2016</v>
      </c>
      <c r="D501" s="76" t="s">
        <v>31</v>
      </c>
      <c r="E501" s="76" t="s">
        <v>32</v>
      </c>
      <c r="F501" s="76">
        <v>3</v>
      </c>
    </row>
    <row r="502" spans="1:6">
      <c r="A502">
        <v>476</v>
      </c>
      <c r="B502">
        <v>132016270</v>
      </c>
      <c r="C502" s="76">
        <v>2016</v>
      </c>
      <c r="D502" s="76" t="s">
        <v>31</v>
      </c>
      <c r="E502" s="76" t="s">
        <v>32</v>
      </c>
      <c r="F502" s="76">
        <v>2</v>
      </c>
    </row>
    <row r="503" spans="1:6">
      <c r="A503">
        <v>522</v>
      </c>
      <c r="B503">
        <v>132016270</v>
      </c>
      <c r="C503" s="76">
        <v>2016</v>
      </c>
      <c r="D503" s="76" t="s">
        <v>31</v>
      </c>
      <c r="E503" s="76" t="s">
        <v>32</v>
      </c>
      <c r="F503" s="76">
        <v>1.98</v>
      </c>
    </row>
    <row r="504" spans="1:6">
      <c r="A504">
        <v>521</v>
      </c>
      <c r="B504">
        <v>132016270</v>
      </c>
      <c r="C504" s="76">
        <v>2016</v>
      </c>
      <c r="D504" s="76" t="s">
        <v>31</v>
      </c>
      <c r="E504" s="76" t="s">
        <v>32</v>
      </c>
      <c r="F504" s="76">
        <v>1.95</v>
      </c>
    </row>
    <row r="505" spans="1:6">
      <c r="A505">
        <v>547</v>
      </c>
      <c r="B505">
        <v>132016270</v>
      </c>
      <c r="C505" s="76">
        <v>2016</v>
      </c>
      <c r="D505" s="76" t="s">
        <v>31</v>
      </c>
      <c r="E505" s="76" t="s">
        <v>32</v>
      </c>
      <c r="F505" s="76">
        <v>2</v>
      </c>
    </row>
    <row r="506" spans="1:6">
      <c r="A506">
        <v>473</v>
      </c>
      <c r="B506">
        <v>132016270</v>
      </c>
      <c r="C506" s="76">
        <v>2016</v>
      </c>
      <c r="D506" s="76" t="s">
        <v>31</v>
      </c>
      <c r="E506" s="76" t="s">
        <v>32</v>
      </c>
      <c r="F506" s="76">
        <v>3</v>
      </c>
    </row>
    <row r="507" spans="1:6">
      <c r="A507">
        <v>546</v>
      </c>
      <c r="B507">
        <v>132016270</v>
      </c>
      <c r="C507" s="76">
        <v>2016</v>
      </c>
      <c r="D507" s="76" t="s">
        <v>31</v>
      </c>
      <c r="E507" s="76" t="s">
        <v>32</v>
      </c>
      <c r="F507" s="76">
        <v>2</v>
      </c>
    </row>
    <row r="508" spans="1:6">
      <c r="A508">
        <v>545</v>
      </c>
      <c r="B508">
        <v>132016270</v>
      </c>
      <c r="C508" s="76">
        <v>2016</v>
      </c>
      <c r="D508" s="76" t="s">
        <v>31</v>
      </c>
      <c r="E508" s="76" t="s">
        <v>32</v>
      </c>
      <c r="F508" s="76">
        <v>2</v>
      </c>
    </row>
    <row r="509" spans="1:6">
      <c r="A509">
        <v>541</v>
      </c>
      <c r="B509">
        <v>132016270</v>
      </c>
      <c r="C509" s="76">
        <v>2016</v>
      </c>
      <c r="D509" s="76" t="s">
        <v>31</v>
      </c>
      <c r="E509" s="76" t="s">
        <v>32</v>
      </c>
      <c r="F509" s="76">
        <v>2</v>
      </c>
    </row>
    <row r="510" spans="1:6">
      <c r="A510">
        <v>520</v>
      </c>
      <c r="B510">
        <v>132016270</v>
      </c>
      <c r="C510" s="76">
        <v>2016</v>
      </c>
      <c r="D510" s="76" t="s">
        <v>31</v>
      </c>
      <c r="E510" s="76" t="s">
        <v>32</v>
      </c>
      <c r="F510" s="76">
        <v>2</v>
      </c>
    </row>
    <row r="511" spans="1:6">
      <c r="A511">
        <v>519</v>
      </c>
      <c r="B511">
        <v>132016270</v>
      </c>
      <c r="C511" s="76">
        <v>2016</v>
      </c>
      <c r="D511" s="76" t="s">
        <v>31</v>
      </c>
      <c r="E511" s="76" t="s">
        <v>32</v>
      </c>
      <c r="F511" s="76">
        <v>8.9</v>
      </c>
    </row>
    <row r="512" spans="1:6">
      <c r="A512">
        <v>509</v>
      </c>
      <c r="B512">
        <v>132016270</v>
      </c>
      <c r="C512" s="76">
        <v>2016</v>
      </c>
      <c r="D512" s="76" t="s">
        <v>31</v>
      </c>
      <c r="E512" s="76" t="s">
        <v>32</v>
      </c>
      <c r="F512" s="76">
        <v>2</v>
      </c>
    </row>
    <row r="513" spans="1:6">
      <c r="A513">
        <v>549</v>
      </c>
      <c r="B513">
        <v>132016270</v>
      </c>
      <c r="C513" s="76">
        <v>2016</v>
      </c>
      <c r="D513" s="76" t="s">
        <v>31</v>
      </c>
      <c r="E513" s="76" t="s">
        <v>32</v>
      </c>
      <c r="F513" s="76">
        <v>3</v>
      </c>
    </row>
    <row r="514" spans="1:6">
      <c r="A514">
        <v>528</v>
      </c>
      <c r="B514">
        <v>132016270</v>
      </c>
      <c r="C514" s="76">
        <v>2016</v>
      </c>
      <c r="D514" s="76" t="s">
        <v>31</v>
      </c>
      <c r="E514" s="76" t="s">
        <v>32</v>
      </c>
      <c r="F514" s="76">
        <v>1.7</v>
      </c>
    </row>
    <row r="515" spans="1:6">
      <c r="A515">
        <v>527</v>
      </c>
      <c r="B515">
        <v>132016270</v>
      </c>
      <c r="C515" s="76">
        <v>2016</v>
      </c>
      <c r="D515" s="76" t="s">
        <v>31</v>
      </c>
      <c r="E515" s="76" t="s">
        <v>32</v>
      </c>
      <c r="F515" s="76">
        <v>1.4</v>
      </c>
    </row>
    <row r="516" spans="1:6">
      <c r="A516">
        <v>530</v>
      </c>
      <c r="B516">
        <v>132016270</v>
      </c>
      <c r="C516" s="76">
        <v>2016</v>
      </c>
      <c r="D516" s="76" t="s">
        <v>31</v>
      </c>
      <c r="E516" s="76" t="s">
        <v>32</v>
      </c>
      <c r="F516" s="76">
        <v>1.8</v>
      </c>
    </row>
    <row r="517" spans="1:6">
      <c r="A517">
        <v>551</v>
      </c>
      <c r="B517">
        <v>132016270</v>
      </c>
      <c r="C517" s="76">
        <v>2016</v>
      </c>
      <c r="D517" s="76" t="s">
        <v>31</v>
      </c>
      <c r="E517" s="76" t="s">
        <v>32</v>
      </c>
      <c r="F517" s="76">
        <v>1.73</v>
      </c>
    </row>
    <row r="518" spans="1:6">
      <c r="A518">
        <v>537</v>
      </c>
      <c r="B518">
        <v>132016270</v>
      </c>
      <c r="C518" s="76">
        <v>2016</v>
      </c>
      <c r="D518" s="76" t="s">
        <v>31</v>
      </c>
      <c r="E518" s="76" t="s">
        <v>32</v>
      </c>
      <c r="F518" s="76">
        <v>2</v>
      </c>
    </row>
    <row r="519" spans="1:6">
      <c r="A519">
        <v>538</v>
      </c>
      <c r="B519">
        <v>132016270</v>
      </c>
      <c r="C519" s="76">
        <v>2016</v>
      </c>
      <c r="D519" s="76" t="s">
        <v>31</v>
      </c>
      <c r="E519" s="76" t="s">
        <v>32</v>
      </c>
      <c r="F519" s="76">
        <v>1</v>
      </c>
    </row>
    <row r="520" spans="1:6">
      <c r="A520">
        <v>516</v>
      </c>
      <c r="B520">
        <v>132016270</v>
      </c>
      <c r="C520" s="76">
        <v>2016</v>
      </c>
      <c r="D520" s="76" t="s">
        <v>31</v>
      </c>
      <c r="E520" s="76" t="s">
        <v>32</v>
      </c>
      <c r="F520" s="76">
        <v>1.8</v>
      </c>
    </row>
    <row r="521" spans="1:6">
      <c r="A521">
        <v>486</v>
      </c>
      <c r="B521">
        <v>132016270</v>
      </c>
      <c r="C521" s="76">
        <v>2016</v>
      </c>
      <c r="D521" s="76" t="s">
        <v>31</v>
      </c>
      <c r="E521" s="76" t="s">
        <v>32</v>
      </c>
      <c r="F521" s="76">
        <v>2</v>
      </c>
    </row>
    <row r="522" spans="1:6">
      <c r="A522">
        <v>524</v>
      </c>
      <c r="B522">
        <v>132016270</v>
      </c>
      <c r="C522" s="76">
        <v>2016</v>
      </c>
      <c r="D522" s="76" t="s">
        <v>31</v>
      </c>
      <c r="E522" s="76" t="s">
        <v>32</v>
      </c>
      <c r="F522" s="76">
        <v>5</v>
      </c>
    </row>
    <row r="523" spans="1:6">
      <c r="A523">
        <v>523</v>
      </c>
      <c r="B523">
        <v>132016270</v>
      </c>
      <c r="C523" s="76">
        <v>2016</v>
      </c>
      <c r="D523" s="76" t="s">
        <v>31</v>
      </c>
      <c r="E523" s="76" t="s">
        <v>32</v>
      </c>
      <c r="F523" s="76">
        <v>2</v>
      </c>
    </row>
    <row r="524" spans="1:6">
      <c r="A524">
        <v>525</v>
      </c>
      <c r="B524">
        <v>132016270</v>
      </c>
      <c r="C524" s="76">
        <v>2016</v>
      </c>
      <c r="D524" s="76" t="s">
        <v>31</v>
      </c>
      <c r="E524" s="76" t="s">
        <v>32</v>
      </c>
      <c r="F524" s="76">
        <v>1.8</v>
      </c>
    </row>
    <row r="525" spans="1:6">
      <c r="A525">
        <v>490</v>
      </c>
      <c r="B525">
        <v>132016270</v>
      </c>
      <c r="C525" s="76">
        <v>2016</v>
      </c>
      <c r="D525" s="76" t="s">
        <v>31</v>
      </c>
      <c r="E525" s="76" t="s">
        <v>32</v>
      </c>
      <c r="F525" s="76">
        <v>2</v>
      </c>
    </row>
    <row r="526" spans="1:6">
      <c r="A526">
        <v>496</v>
      </c>
      <c r="B526">
        <v>132016270</v>
      </c>
      <c r="C526" s="76">
        <v>2016</v>
      </c>
      <c r="D526" s="76" t="s">
        <v>31</v>
      </c>
      <c r="E526" s="76" t="s">
        <v>32</v>
      </c>
      <c r="F526" s="76">
        <v>4.6</v>
      </c>
    </row>
    <row r="527" spans="1:6">
      <c r="A527">
        <v>498</v>
      </c>
      <c r="B527">
        <v>132016270</v>
      </c>
      <c r="C527" s="76">
        <v>2016</v>
      </c>
      <c r="D527" s="76" t="s">
        <v>31</v>
      </c>
      <c r="E527" s="76" t="s">
        <v>32</v>
      </c>
      <c r="F527" s="76">
        <v>2</v>
      </c>
    </row>
    <row r="528" spans="1:6">
      <c r="A528">
        <v>550</v>
      </c>
      <c r="B528">
        <v>132016270</v>
      </c>
      <c r="C528" s="76">
        <v>2016</v>
      </c>
      <c r="D528" s="76" t="s">
        <v>31</v>
      </c>
      <c r="E528" s="76" t="s">
        <v>32</v>
      </c>
      <c r="F528" s="76">
        <v>2</v>
      </c>
    </row>
    <row r="529" spans="1:6">
      <c r="A529">
        <v>499</v>
      </c>
      <c r="B529">
        <v>132016270</v>
      </c>
      <c r="C529" s="76">
        <v>2016</v>
      </c>
      <c r="D529" s="76" t="s">
        <v>31</v>
      </c>
      <c r="E529" s="76" t="s">
        <v>32</v>
      </c>
      <c r="F529" s="76">
        <v>2</v>
      </c>
    </row>
    <row r="530" spans="1:6">
      <c r="A530">
        <v>544</v>
      </c>
      <c r="B530">
        <v>132016270</v>
      </c>
      <c r="C530" s="76">
        <v>2016</v>
      </c>
      <c r="D530" s="76" t="s">
        <v>31</v>
      </c>
      <c r="E530" s="76" t="s">
        <v>32</v>
      </c>
      <c r="F530" s="76">
        <v>2</v>
      </c>
    </row>
    <row r="531" spans="1:6">
      <c r="A531">
        <v>507</v>
      </c>
      <c r="B531">
        <v>132016270</v>
      </c>
      <c r="C531" s="76">
        <v>2016</v>
      </c>
      <c r="D531" s="76" t="s">
        <v>31</v>
      </c>
      <c r="E531" s="76" t="s">
        <v>32</v>
      </c>
      <c r="F531" s="76">
        <v>2</v>
      </c>
    </row>
    <row r="532" spans="1:6">
      <c r="A532">
        <v>535</v>
      </c>
      <c r="B532">
        <v>132016270</v>
      </c>
      <c r="C532" s="76">
        <v>2016</v>
      </c>
      <c r="D532" s="76" t="s">
        <v>31</v>
      </c>
      <c r="E532" s="76" t="s">
        <v>32</v>
      </c>
      <c r="F532" s="76">
        <v>3</v>
      </c>
    </row>
    <row r="533" spans="1:6">
      <c r="A533">
        <v>531</v>
      </c>
      <c r="B533">
        <v>132016270</v>
      </c>
      <c r="C533" s="76">
        <v>2016</v>
      </c>
      <c r="D533" s="76" t="s">
        <v>31</v>
      </c>
      <c r="E533" s="76" t="s">
        <v>32</v>
      </c>
      <c r="F533" s="76">
        <v>3</v>
      </c>
    </row>
    <row r="534" spans="1:6">
      <c r="A534">
        <v>539</v>
      </c>
      <c r="B534">
        <v>132016270</v>
      </c>
      <c r="C534" s="76">
        <v>2016</v>
      </c>
      <c r="D534" s="76" t="s">
        <v>31</v>
      </c>
      <c r="E534" s="76" t="s">
        <v>32</v>
      </c>
      <c r="F534" s="76">
        <v>2</v>
      </c>
    </row>
    <row r="535" spans="1:6">
      <c r="A535">
        <v>483</v>
      </c>
      <c r="B535">
        <v>132016270</v>
      </c>
      <c r="C535" s="76">
        <v>2016</v>
      </c>
      <c r="D535" s="76" t="s">
        <v>31</v>
      </c>
      <c r="E535" s="76" t="s">
        <v>32</v>
      </c>
      <c r="F535" s="76">
        <v>2</v>
      </c>
    </row>
    <row r="536" spans="1:6">
      <c r="A536">
        <v>517</v>
      </c>
      <c r="B536">
        <v>132016270</v>
      </c>
      <c r="C536" s="76">
        <v>2016</v>
      </c>
      <c r="D536" s="76" t="s">
        <v>31</v>
      </c>
      <c r="E536" s="76" t="s">
        <v>32</v>
      </c>
      <c r="F536" s="76">
        <v>2</v>
      </c>
    </row>
    <row r="537" spans="1:6">
      <c r="A537">
        <v>557</v>
      </c>
      <c r="B537">
        <v>132017110</v>
      </c>
      <c r="C537" s="76">
        <v>2017</v>
      </c>
      <c r="D537" s="76" t="s">
        <v>40</v>
      </c>
      <c r="E537" s="76" t="s">
        <v>32</v>
      </c>
      <c r="F537" s="76">
        <v>1.7</v>
      </c>
    </row>
    <row r="538" spans="1:6">
      <c r="A538">
        <v>564</v>
      </c>
      <c r="B538">
        <v>132017211</v>
      </c>
      <c r="C538" s="76">
        <v>2017</v>
      </c>
      <c r="D538" s="76" t="s">
        <v>37</v>
      </c>
      <c r="E538" s="76" t="s">
        <v>32</v>
      </c>
      <c r="F538" s="76">
        <v>2.5</v>
      </c>
    </row>
    <row r="539" spans="1:6">
      <c r="A539">
        <v>561</v>
      </c>
      <c r="B539">
        <v>132017211</v>
      </c>
      <c r="C539" s="76">
        <v>2017</v>
      </c>
      <c r="D539" s="76" t="s">
        <v>37</v>
      </c>
      <c r="E539" s="76" t="s">
        <v>32</v>
      </c>
      <c r="F539" s="76">
        <v>3</v>
      </c>
    </row>
    <row r="540" spans="1:6">
      <c r="A540">
        <v>559</v>
      </c>
      <c r="B540">
        <v>132017211</v>
      </c>
      <c r="C540" s="76">
        <v>2017</v>
      </c>
      <c r="D540" s="76" t="s">
        <v>37</v>
      </c>
      <c r="E540" s="76">
        <v>2</v>
      </c>
      <c r="F540" s="76">
        <v>70</v>
      </c>
    </row>
    <row r="541" spans="1:6">
      <c r="A541">
        <v>562</v>
      </c>
      <c r="B541">
        <v>132017211</v>
      </c>
      <c r="C541" s="76">
        <v>2017</v>
      </c>
      <c r="D541" s="76" t="s">
        <v>37</v>
      </c>
      <c r="E541" s="76" t="s">
        <v>32</v>
      </c>
      <c r="F541" s="76">
        <v>0.3</v>
      </c>
    </row>
    <row r="542" spans="1:6">
      <c r="A542">
        <v>560</v>
      </c>
      <c r="B542">
        <v>132017211</v>
      </c>
      <c r="C542" s="76">
        <v>2017</v>
      </c>
      <c r="D542" s="76" t="s">
        <v>37</v>
      </c>
      <c r="E542" s="76">
        <v>1</v>
      </c>
      <c r="F542" s="76">
        <v>35</v>
      </c>
    </row>
    <row r="543" spans="1:6">
      <c r="A543">
        <v>563</v>
      </c>
      <c r="B543">
        <v>132017211</v>
      </c>
      <c r="C543" s="76">
        <v>2017</v>
      </c>
      <c r="D543" s="76" t="s">
        <v>37</v>
      </c>
      <c r="E543" s="76" t="s">
        <v>32</v>
      </c>
      <c r="F543" s="76">
        <v>5</v>
      </c>
    </row>
    <row r="544" spans="1:6">
      <c r="A544">
        <v>571</v>
      </c>
      <c r="B544">
        <v>132017241</v>
      </c>
      <c r="C544" s="76">
        <v>2017</v>
      </c>
      <c r="D544" s="76" t="s">
        <v>33</v>
      </c>
      <c r="E544" s="76" t="s">
        <v>32</v>
      </c>
      <c r="F544" s="76">
        <v>0.1</v>
      </c>
    </row>
    <row r="545" spans="1:6">
      <c r="A545">
        <v>570</v>
      </c>
      <c r="B545">
        <v>132017241</v>
      </c>
      <c r="C545" s="76">
        <v>2017</v>
      </c>
      <c r="D545" s="76" t="s">
        <v>33</v>
      </c>
      <c r="E545" s="76" t="s">
        <v>32</v>
      </c>
      <c r="F545" s="76">
        <v>3</v>
      </c>
    </row>
    <row r="546" spans="1:6">
      <c r="A546">
        <v>572</v>
      </c>
      <c r="B546">
        <v>132017241</v>
      </c>
      <c r="C546" s="76">
        <v>2017</v>
      </c>
      <c r="D546" s="76" t="s">
        <v>33</v>
      </c>
      <c r="E546" s="76" t="s">
        <v>32</v>
      </c>
      <c r="F546" s="76">
        <v>1.8</v>
      </c>
    </row>
    <row r="547" spans="1:6">
      <c r="A547">
        <v>566</v>
      </c>
      <c r="B547">
        <v>132017241</v>
      </c>
      <c r="C547" s="76">
        <v>2017</v>
      </c>
      <c r="D547" s="76" t="s">
        <v>33</v>
      </c>
      <c r="E547" s="76" t="s">
        <v>32</v>
      </c>
      <c r="F547" s="76">
        <v>0.9</v>
      </c>
    </row>
    <row r="548" spans="1:6">
      <c r="A548">
        <v>568</v>
      </c>
      <c r="B548">
        <v>132017241</v>
      </c>
      <c r="C548" s="76">
        <v>2017</v>
      </c>
      <c r="D548" s="76" t="s">
        <v>33</v>
      </c>
      <c r="E548" s="76" t="s">
        <v>32</v>
      </c>
      <c r="F548" s="76">
        <v>0.75</v>
      </c>
    </row>
    <row r="549" spans="1:6">
      <c r="A549">
        <v>569</v>
      </c>
      <c r="B549">
        <v>132017241</v>
      </c>
      <c r="C549" s="76">
        <v>2017</v>
      </c>
      <c r="D549" s="76" t="s">
        <v>33</v>
      </c>
      <c r="E549" s="76" t="s">
        <v>32</v>
      </c>
      <c r="F549" s="76">
        <v>5.27</v>
      </c>
    </row>
    <row r="550" spans="1:6">
      <c r="A550">
        <v>565</v>
      </c>
      <c r="B550">
        <v>132017241</v>
      </c>
      <c r="C550" s="76">
        <v>2017</v>
      </c>
      <c r="D550" s="76" t="s">
        <v>33</v>
      </c>
      <c r="E550" s="76" t="s">
        <v>32</v>
      </c>
      <c r="F550" s="76">
        <v>0.6</v>
      </c>
    </row>
    <row r="551" spans="1:6">
      <c r="A551">
        <v>573</v>
      </c>
      <c r="B551">
        <v>132017242</v>
      </c>
      <c r="C551" s="76">
        <v>2017</v>
      </c>
      <c r="D551" s="76" t="s">
        <v>35</v>
      </c>
      <c r="E551" s="76" t="s">
        <v>32</v>
      </c>
      <c r="F551" s="76">
        <v>1.5</v>
      </c>
    </row>
    <row r="552" spans="1:6">
      <c r="A552">
        <v>574</v>
      </c>
      <c r="B552">
        <v>132017242</v>
      </c>
      <c r="C552" s="76">
        <v>2017</v>
      </c>
      <c r="D552" s="76" t="s">
        <v>35</v>
      </c>
      <c r="E552" s="76" t="s">
        <v>32</v>
      </c>
      <c r="F552" s="76">
        <v>3</v>
      </c>
    </row>
    <row r="553" spans="1:6">
      <c r="A553">
        <v>576</v>
      </c>
      <c r="B553">
        <v>132017243</v>
      </c>
      <c r="C553" s="76">
        <v>2017</v>
      </c>
      <c r="D553" s="76" t="s">
        <v>38</v>
      </c>
      <c r="E553" s="76" t="s">
        <v>32</v>
      </c>
      <c r="F553" s="76">
        <v>3</v>
      </c>
    </row>
    <row r="554" spans="1:6">
      <c r="A554">
        <v>575</v>
      </c>
      <c r="B554">
        <v>132017243</v>
      </c>
      <c r="C554" s="76">
        <v>2017</v>
      </c>
      <c r="D554" s="76" t="s">
        <v>38</v>
      </c>
      <c r="E554" s="76" t="s">
        <v>32</v>
      </c>
      <c r="F554" s="76">
        <v>3</v>
      </c>
    </row>
    <row r="555" spans="1:6">
      <c r="A555">
        <v>578</v>
      </c>
      <c r="B555">
        <v>132017260</v>
      </c>
      <c r="C555" s="76">
        <v>2017</v>
      </c>
      <c r="D555" s="76" t="s">
        <v>34</v>
      </c>
      <c r="E555" s="76">
        <v>50</v>
      </c>
      <c r="F555" s="76">
        <v>10</v>
      </c>
    </row>
    <row r="556" spans="1:6">
      <c r="A556">
        <v>583</v>
      </c>
      <c r="B556">
        <v>132017260</v>
      </c>
      <c r="C556" s="76">
        <v>2017</v>
      </c>
      <c r="D556" s="76" t="s">
        <v>34</v>
      </c>
      <c r="E556" s="76">
        <v>100</v>
      </c>
      <c r="F556" s="76">
        <v>20</v>
      </c>
    </row>
    <row r="557" spans="1:6">
      <c r="A557">
        <v>588</v>
      </c>
      <c r="B557">
        <v>132017260</v>
      </c>
      <c r="C557" s="76">
        <v>2017</v>
      </c>
      <c r="D557" s="76" t="s">
        <v>34</v>
      </c>
      <c r="E557" s="76" t="s">
        <v>32</v>
      </c>
      <c r="F557" s="76">
        <v>0.2</v>
      </c>
    </row>
    <row r="558" spans="1:6">
      <c r="A558">
        <v>589</v>
      </c>
      <c r="B558">
        <v>132017260</v>
      </c>
      <c r="C558" s="76">
        <v>2017</v>
      </c>
      <c r="D558" s="76" t="s">
        <v>34</v>
      </c>
      <c r="E558" s="76" t="s">
        <v>32</v>
      </c>
      <c r="F558" s="76">
        <v>0.56</v>
      </c>
    </row>
    <row r="559" spans="1:6">
      <c r="A559">
        <v>586</v>
      </c>
      <c r="B559">
        <v>132017260</v>
      </c>
      <c r="C559" s="76">
        <v>2017</v>
      </c>
      <c r="D559" s="76" t="s">
        <v>34</v>
      </c>
      <c r="E559" s="76" t="s">
        <v>32</v>
      </c>
      <c r="F559" s="76">
        <v>5.49</v>
      </c>
    </row>
    <row r="560" spans="1:6">
      <c r="A560">
        <v>577</v>
      </c>
      <c r="B560">
        <v>132017260</v>
      </c>
      <c r="C560" s="76">
        <v>2017</v>
      </c>
      <c r="D560" s="76" t="s">
        <v>34</v>
      </c>
      <c r="E560" s="76" t="s">
        <v>32</v>
      </c>
      <c r="F560" s="76">
        <v>10</v>
      </c>
    </row>
    <row r="561" spans="1:6">
      <c r="A561">
        <v>580</v>
      </c>
      <c r="B561">
        <v>132017260</v>
      </c>
      <c r="C561" s="76">
        <v>2017</v>
      </c>
      <c r="D561" s="76" t="s">
        <v>34</v>
      </c>
      <c r="E561" s="76">
        <v>97</v>
      </c>
      <c r="F561" s="76">
        <v>19.4</v>
      </c>
    </row>
    <row r="562" spans="1:6">
      <c r="A562">
        <v>584</v>
      </c>
      <c r="B562">
        <v>132017260</v>
      </c>
      <c r="C562" s="76">
        <v>2017</v>
      </c>
      <c r="D562" s="76" t="s">
        <v>34</v>
      </c>
      <c r="E562" s="76">
        <v>25</v>
      </c>
      <c r="F562" s="76">
        <v>5</v>
      </c>
    </row>
    <row r="563" spans="1:6">
      <c r="A563">
        <v>582</v>
      </c>
      <c r="B563">
        <v>132017260</v>
      </c>
      <c r="C563" s="76">
        <v>2017</v>
      </c>
      <c r="D563" s="76" t="s">
        <v>34</v>
      </c>
      <c r="E563" s="76" t="s">
        <v>32</v>
      </c>
      <c r="F563" s="76">
        <v>20</v>
      </c>
    </row>
    <row r="564" spans="1:6">
      <c r="A564">
        <v>581</v>
      </c>
      <c r="B564">
        <v>132017260</v>
      </c>
      <c r="C564" s="76">
        <v>2017</v>
      </c>
      <c r="D564" s="76" t="s">
        <v>34</v>
      </c>
      <c r="E564" s="76">
        <v>25</v>
      </c>
      <c r="F564" s="76">
        <v>4.95</v>
      </c>
    </row>
    <row r="565" spans="1:6">
      <c r="A565">
        <v>579</v>
      </c>
      <c r="B565">
        <v>132017260</v>
      </c>
      <c r="C565" s="76">
        <v>2017</v>
      </c>
      <c r="D565" s="76" t="s">
        <v>34</v>
      </c>
      <c r="E565" s="76">
        <v>14</v>
      </c>
      <c r="F565" s="76">
        <v>2.1</v>
      </c>
    </row>
    <row r="566" spans="1:6">
      <c r="A566">
        <v>585</v>
      </c>
      <c r="B566">
        <v>132017260</v>
      </c>
      <c r="C566" s="76">
        <v>2017</v>
      </c>
      <c r="D566" s="76" t="s">
        <v>34</v>
      </c>
      <c r="E566" s="76">
        <v>20</v>
      </c>
      <c r="F566" s="76">
        <v>4.6</v>
      </c>
    </row>
    <row r="567" spans="1:6">
      <c r="A567">
        <v>587</v>
      </c>
      <c r="B567">
        <v>132017260</v>
      </c>
      <c r="C567" s="76">
        <v>2017</v>
      </c>
      <c r="D567" s="76" t="s">
        <v>34</v>
      </c>
      <c r="E567" s="76">
        <v>24</v>
      </c>
      <c r="F567" s="76">
        <v>4.8</v>
      </c>
    </row>
    <row r="568" spans="1:6">
      <c r="A568">
        <v>683</v>
      </c>
      <c r="B568">
        <v>132017270</v>
      </c>
      <c r="C568" s="76">
        <v>2017</v>
      </c>
      <c r="D568" s="76" t="s">
        <v>31</v>
      </c>
      <c r="E568" s="76" t="s">
        <v>32</v>
      </c>
      <c r="F568" s="76">
        <v>2</v>
      </c>
    </row>
    <row r="569" spans="1:6">
      <c r="A569">
        <v>601</v>
      </c>
      <c r="B569">
        <v>132017270</v>
      </c>
      <c r="C569" s="76">
        <v>2017</v>
      </c>
      <c r="D569" s="76" t="s">
        <v>31</v>
      </c>
      <c r="E569" s="76" t="s">
        <v>32</v>
      </c>
      <c r="F569" s="76">
        <v>0.4</v>
      </c>
    </row>
    <row r="570" spans="1:6">
      <c r="A570">
        <v>606</v>
      </c>
      <c r="B570">
        <v>132017270</v>
      </c>
      <c r="C570" s="76">
        <v>2017</v>
      </c>
      <c r="D570" s="76" t="s">
        <v>31</v>
      </c>
      <c r="E570" s="76" t="s">
        <v>32</v>
      </c>
      <c r="F570" s="76">
        <v>1.2</v>
      </c>
    </row>
    <row r="571" spans="1:6">
      <c r="A571">
        <v>613</v>
      </c>
      <c r="B571">
        <v>132017270</v>
      </c>
      <c r="C571" s="76">
        <v>2017</v>
      </c>
      <c r="D571" s="76" t="s">
        <v>31</v>
      </c>
      <c r="E571" s="76">
        <v>1</v>
      </c>
      <c r="F571" s="76">
        <v>5</v>
      </c>
    </row>
    <row r="572" spans="1:6">
      <c r="A572">
        <v>637</v>
      </c>
      <c r="B572">
        <v>132017270</v>
      </c>
      <c r="C572" s="76">
        <v>2017</v>
      </c>
      <c r="D572" s="76" t="s">
        <v>31</v>
      </c>
      <c r="E572" s="76" t="s">
        <v>32</v>
      </c>
      <c r="F572" s="76">
        <v>1</v>
      </c>
    </row>
    <row r="573" spans="1:6">
      <c r="A573">
        <v>592</v>
      </c>
      <c r="B573">
        <v>132017270</v>
      </c>
      <c r="C573" s="76">
        <v>2017</v>
      </c>
      <c r="D573" s="76" t="s">
        <v>31</v>
      </c>
      <c r="E573" s="76" t="s">
        <v>32</v>
      </c>
      <c r="F573" s="76">
        <v>0.6</v>
      </c>
    </row>
    <row r="574" spans="1:6">
      <c r="A574">
        <v>658</v>
      </c>
      <c r="B574">
        <v>132017270</v>
      </c>
      <c r="C574" s="76">
        <v>2017</v>
      </c>
      <c r="D574" s="76" t="s">
        <v>31</v>
      </c>
      <c r="E574" s="76" t="s">
        <v>32</v>
      </c>
      <c r="F574" s="76">
        <v>1</v>
      </c>
    </row>
    <row r="575" spans="1:6">
      <c r="A575">
        <v>649</v>
      </c>
      <c r="B575">
        <v>132017270</v>
      </c>
      <c r="C575" s="76">
        <v>2017</v>
      </c>
      <c r="D575" s="76" t="s">
        <v>31</v>
      </c>
      <c r="E575" s="76" t="s">
        <v>32</v>
      </c>
      <c r="F575" s="76">
        <v>1.6</v>
      </c>
    </row>
    <row r="576" spans="1:6">
      <c r="A576">
        <v>659</v>
      </c>
      <c r="B576">
        <v>132017270</v>
      </c>
      <c r="C576" s="76">
        <v>2017</v>
      </c>
      <c r="D576" s="76" t="s">
        <v>31</v>
      </c>
      <c r="E576" s="76" t="s">
        <v>32</v>
      </c>
      <c r="F576" s="76">
        <v>0.8</v>
      </c>
    </row>
    <row r="577" spans="1:6">
      <c r="A577">
        <v>645</v>
      </c>
      <c r="B577">
        <v>132017270</v>
      </c>
      <c r="C577" s="76">
        <v>2017</v>
      </c>
      <c r="D577" s="76" t="s">
        <v>31</v>
      </c>
      <c r="E577" s="76" t="s">
        <v>32</v>
      </c>
      <c r="F577" s="76">
        <v>2.8</v>
      </c>
    </row>
    <row r="578" spans="1:6">
      <c r="A578">
        <v>656</v>
      </c>
      <c r="B578">
        <v>132017270</v>
      </c>
      <c r="C578" s="76">
        <v>2017</v>
      </c>
      <c r="D578" s="76" t="s">
        <v>31</v>
      </c>
      <c r="E578" s="76" t="s">
        <v>32</v>
      </c>
      <c r="F578" s="76">
        <v>1</v>
      </c>
    </row>
    <row r="579" spans="1:6">
      <c r="A579">
        <v>681</v>
      </c>
      <c r="B579">
        <v>132017270</v>
      </c>
      <c r="C579" s="76">
        <v>2017</v>
      </c>
      <c r="D579" s="76" t="s">
        <v>31</v>
      </c>
      <c r="E579" s="76" t="s">
        <v>32</v>
      </c>
      <c r="F579" s="76">
        <v>1.12</v>
      </c>
    </row>
    <row r="580" spans="1:6">
      <c r="A580">
        <v>663</v>
      </c>
      <c r="B580">
        <v>132017270</v>
      </c>
      <c r="C580" s="76">
        <v>2017</v>
      </c>
      <c r="D580" s="76" t="s">
        <v>31</v>
      </c>
      <c r="E580" s="76" t="s">
        <v>32</v>
      </c>
      <c r="F580" s="76">
        <v>0.88</v>
      </c>
    </row>
    <row r="581" spans="1:6">
      <c r="A581">
        <v>664</v>
      </c>
      <c r="B581">
        <v>132017270</v>
      </c>
      <c r="C581" s="76">
        <v>2017</v>
      </c>
      <c r="D581" s="76" t="s">
        <v>31</v>
      </c>
      <c r="E581" s="76" t="s">
        <v>32</v>
      </c>
      <c r="F581" s="76">
        <v>0.95</v>
      </c>
    </row>
    <row r="582" spans="1:6">
      <c r="A582">
        <v>669</v>
      </c>
      <c r="B582">
        <v>132017270</v>
      </c>
      <c r="C582" s="76">
        <v>2017</v>
      </c>
      <c r="D582" s="76" t="s">
        <v>31</v>
      </c>
      <c r="E582" s="76" t="s">
        <v>32</v>
      </c>
      <c r="F582" s="76">
        <v>2</v>
      </c>
    </row>
    <row r="583" spans="1:6">
      <c r="A583">
        <v>597</v>
      </c>
      <c r="B583">
        <v>132017270</v>
      </c>
      <c r="C583" s="76">
        <v>2017</v>
      </c>
      <c r="D583" s="76" t="s">
        <v>31</v>
      </c>
      <c r="E583" s="76" t="s">
        <v>32</v>
      </c>
      <c r="F583" s="76">
        <v>10</v>
      </c>
    </row>
    <row r="584" spans="1:6">
      <c r="A584">
        <v>644</v>
      </c>
      <c r="B584">
        <v>132017270</v>
      </c>
      <c r="C584" s="76">
        <v>2017</v>
      </c>
      <c r="D584" s="76" t="s">
        <v>31</v>
      </c>
      <c r="E584" s="76" t="s">
        <v>32</v>
      </c>
      <c r="F584" s="76">
        <v>7</v>
      </c>
    </row>
    <row r="585" spans="1:6">
      <c r="A585">
        <v>620</v>
      </c>
      <c r="B585">
        <v>132017270</v>
      </c>
      <c r="C585" s="76">
        <v>2017</v>
      </c>
      <c r="D585" s="76" t="s">
        <v>31</v>
      </c>
      <c r="E585" s="76" t="s">
        <v>32</v>
      </c>
      <c r="F585" s="76">
        <v>2</v>
      </c>
    </row>
    <row r="586" spans="1:6">
      <c r="A586">
        <v>614</v>
      </c>
      <c r="B586">
        <v>132017270</v>
      </c>
      <c r="C586" s="76">
        <v>2017</v>
      </c>
      <c r="D586" s="76" t="s">
        <v>31</v>
      </c>
      <c r="E586" s="76" t="s">
        <v>32</v>
      </c>
      <c r="F586" s="76">
        <v>7</v>
      </c>
    </row>
    <row r="587" spans="1:6">
      <c r="A587">
        <v>611</v>
      </c>
      <c r="B587">
        <v>132017270</v>
      </c>
      <c r="C587" s="76">
        <v>2017</v>
      </c>
      <c r="D587" s="76" t="s">
        <v>31</v>
      </c>
      <c r="E587" s="76" t="s">
        <v>32</v>
      </c>
      <c r="F587" s="76">
        <v>3.5</v>
      </c>
    </row>
    <row r="588" spans="1:6">
      <c r="A588">
        <v>689</v>
      </c>
      <c r="B588">
        <v>132017270</v>
      </c>
      <c r="C588" s="76">
        <v>2017</v>
      </c>
      <c r="D588" s="76" t="s">
        <v>31</v>
      </c>
      <c r="E588" s="76" t="s">
        <v>32</v>
      </c>
      <c r="F588" s="76">
        <v>0.42</v>
      </c>
    </row>
    <row r="589" spans="1:6">
      <c r="A589">
        <v>593</v>
      </c>
      <c r="B589">
        <v>132017270</v>
      </c>
      <c r="C589" s="76">
        <v>2017</v>
      </c>
      <c r="D589" s="76" t="s">
        <v>31</v>
      </c>
      <c r="E589" s="76" t="s">
        <v>32</v>
      </c>
      <c r="F589" s="76">
        <v>0.27</v>
      </c>
    </row>
    <row r="590" spans="1:6">
      <c r="A590">
        <v>599</v>
      </c>
      <c r="B590">
        <v>132017270</v>
      </c>
      <c r="C590" s="76">
        <v>2017</v>
      </c>
      <c r="D590" s="76" t="s">
        <v>31</v>
      </c>
      <c r="E590" s="76" t="s">
        <v>32</v>
      </c>
      <c r="F590" s="76">
        <v>0.21</v>
      </c>
    </row>
    <row r="591" spans="1:6">
      <c r="A591">
        <v>639</v>
      </c>
      <c r="B591">
        <v>132017270</v>
      </c>
      <c r="C591" s="76">
        <v>2017</v>
      </c>
      <c r="D591" s="76" t="s">
        <v>31</v>
      </c>
      <c r="E591" s="76" t="s">
        <v>32</v>
      </c>
      <c r="F591" s="76">
        <v>1.4</v>
      </c>
    </row>
    <row r="592" spans="1:6">
      <c r="A592">
        <v>610</v>
      </c>
      <c r="B592">
        <v>132017270</v>
      </c>
      <c r="C592" s="76">
        <v>2017</v>
      </c>
      <c r="D592" s="76" t="s">
        <v>31</v>
      </c>
      <c r="E592" s="76" t="s">
        <v>32</v>
      </c>
      <c r="F592" s="76">
        <v>2</v>
      </c>
    </row>
    <row r="593" spans="1:6">
      <c r="A593">
        <v>636</v>
      </c>
      <c r="B593">
        <v>132017270</v>
      </c>
      <c r="C593" s="76">
        <v>2017</v>
      </c>
      <c r="D593" s="76" t="s">
        <v>31</v>
      </c>
      <c r="E593" s="76" t="s">
        <v>32</v>
      </c>
      <c r="F593" s="76">
        <v>2.5</v>
      </c>
    </row>
    <row r="594" spans="1:6">
      <c r="A594">
        <v>635</v>
      </c>
      <c r="B594">
        <v>132017270</v>
      </c>
      <c r="C594" s="76">
        <v>2017</v>
      </c>
      <c r="D594" s="76" t="s">
        <v>31</v>
      </c>
      <c r="E594" s="76" t="s">
        <v>32</v>
      </c>
      <c r="F594" s="76">
        <v>2</v>
      </c>
    </row>
    <row r="595" spans="1:6">
      <c r="A595">
        <v>652</v>
      </c>
      <c r="B595">
        <v>132017270</v>
      </c>
      <c r="C595" s="76">
        <v>2017</v>
      </c>
      <c r="D595" s="76" t="s">
        <v>31</v>
      </c>
      <c r="E595" s="76" t="s">
        <v>32</v>
      </c>
      <c r="F595" s="76">
        <v>3</v>
      </c>
    </row>
    <row r="596" spans="1:6">
      <c r="A596">
        <v>688</v>
      </c>
      <c r="B596">
        <v>132017270</v>
      </c>
      <c r="C596" s="76">
        <v>2017</v>
      </c>
      <c r="D596" s="76" t="s">
        <v>31</v>
      </c>
      <c r="E596" s="76" t="s">
        <v>32</v>
      </c>
      <c r="F596" s="76">
        <v>2</v>
      </c>
    </row>
    <row r="597" spans="1:6">
      <c r="A597">
        <v>626</v>
      </c>
      <c r="B597">
        <v>132017270</v>
      </c>
      <c r="C597" s="76">
        <v>2017</v>
      </c>
      <c r="D597" s="76" t="s">
        <v>31</v>
      </c>
      <c r="E597" s="76" t="s">
        <v>32</v>
      </c>
      <c r="F597" s="76">
        <v>1.62</v>
      </c>
    </row>
    <row r="598" spans="1:6">
      <c r="A598">
        <v>609</v>
      </c>
      <c r="B598">
        <v>132017270</v>
      </c>
      <c r="C598" s="76">
        <v>2017</v>
      </c>
      <c r="D598" s="76" t="s">
        <v>31</v>
      </c>
      <c r="E598" s="76" t="s">
        <v>32</v>
      </c>
      <c r="F598" s="76">
        <v>2</v>
      </c>
    </row>
    <row r="599" spans="1:6">
      <c r="A599">
        <v>625</v>
      </c>
      <c r="B599">
        <v>132017270</v>
      </c>
      <c r="C599" s="76">
        <v>2017</v>
      </c>
      <c r="D599" s="76" t="s">
        <v>31</v>
      </c>
      <c r="E599" s="76" t="s">
        <v>32</v>
      </c>
      <c r="F599" s="76">
        <v>2</v>
      </c>
    </row>
    <row r="600" spans="1:6">
      <c r="A600">
        <v>607</v>
      </c>
      <c r="B600">
        <v>132017270</v>
      </c>
      <c r="C600" s="76">
        <v>2017</v>
      </c>
      <c r="D600" s="76" t="s">
        <v>31</v>
      </c>
      <c r="E600" s="76" t="s">
        <v>32</v>
      </c>
      <c r="F600" s="76">
        <v>0.1</v>
      </c>
    </row>
    <row r="601" spans="1:6">
      <c r="A601">
        <v>598</v>
      </c>
      <c r="B601">
        <v>132017270</v>
      </c>
      <c r="C601" s="76">
        <v>2017</v>
      </c>
      <c r="D601" s="76" t="s">
        <v>31</v>
      </c>
      <c r="E601" s="76" t="s">
        <v>32</v>
      </c>
      <c r="F601" s="76">
        <v>2</v>
      </c>
    </row>
    <row r="602" spans="1:6">
      <c r="A602">
        <v>640</v>
      </c>
      <c r="B602">
        <v>132017270</v>
      </c>
      <c r="C602" s="76">
        <v>2017</v>
      </c>
      <c r="D602" s="76" t="s">
        <v>31</v>
      </c>
      <c r="E602" s="76" t="s">
        <v>32</v>
      </c>
      <c r="F602" s="76">
        <v>3</v>
      </c>
    </row>
    <row r="603" spans="1:6">
      <c r="A603">
        <v>604</v>
      </c>
      <c r="B603">
        <v>132017270</v>
      </c>
      <c r="C603" s="76">
        <v>2017</v>
      </c>
      <c r="D603" s="76" t="s">
        <v>31</v>
      </c>
      <c r="E603" s="76" t="s">
        <v>32</v>
      </c>
      <c r="F603" s="76">
        <v>2</v>
      </c>
    </row>
    <row r="604" spans="1:6">
      <c r="A604">
        <v>641</v>
      </c>
      <c r="B604">
        <v>132017270</v>
      </c>
      <c r="C604" s="76">
        <v>2017</v>
      </c>
      <c r="D604" s="76" t="s">
        <v>31</v>
      </c>
      <c r="E604" s="76" t="s">
        <v>32</v>
      </c>
      <c r="F604" s="76">
        <v>5</v>
      </c>
    </row>
    <row r="605" spans="1:6">
      <c r="A605">
        <v>680</v>
      </c>
      <c r="B605">
        <v>132017270</v>
      </c>
      <c r="C605" s="76">
        <v>2017</v>
      </c>
      <c r="D605" s="76" t="s">
        <v>31</v>
      </c>
      <c r="E605" s="76" t="s">
        <v>32</v>
      </c>
      <c r="F605" s="76">
        <v>7</v>
      </c>
    </row>
    <row r="606" spans="1:6">
      <c r="A606">
        <v>676</v>
      </c>
      <c r="B606">
        <v>132017270</v>
      </c>
      <c r="C606" s="76">
        <v>2017</v>
      </c>
      <c r="D606" s="76" t="s">
        <v>31</v>
      </c>
      <c r="E606" s="76" t="s">
        <v>32</v>
      </c>
      <c r="F606" s="76">
        <v>3</v>
      </c>
    </row>
    <row r="607" spans="1:6">
      <c r="A607">
        <v>624</v>
      </c>
      <c r="B607">
        <v>132017270</v>
      </c>
      <c r="C607" s="76">
        <v>2017</v>
      </c>
      <c r="D607" s="76" t="s">
        <v>31</v>
      </c>
      <c r="E607" s="76" t="s">
        <v>32</v>
      </c>
      <c r="F607" s="76">
        <v>3</v>
      </c>
    </row>
    <row r="608" spans="1:6">
      <c r="A608">
        <v>596</v>
      </c>
      <c r="B608">
        <v>132017270</v>
      </c>
      <c r="C608" s="76">
        <v>2017</v>
      </c>
      <c r="D608" s="76" t="s">
        <v>31</v>
      </c>
      <c r="E608" s="76" t="s">
        <v>32</v>
      </c>
      <c r="F608" s="76">
        <v>2</v>
      </c>
    </row>
    <row r="609" spans="1:6">
      <c r="A609">
        <v>685</v>
      </c>
      <c r="B609">
        <v>132017270</v>
      </c>
      <c r="C609" s="76">
        <v>2017</v>
      </c>
      <c r="D609" s="76" t="s">
        <v>31</v>
      </c>
      <c r="E609" s="76" t="s">
        <v>32</v>
      </c>
      <c r="F609" s="76">
        <v>1.7</v>
      </c>
    </row>
    <row r="610" spans="1:6">
      <c r="A610">
        <v>630</v>
      </c>
      <c r="B610">
        <v>132017270</v>
      </c>
      <c r="C610" s="76">
        <v>2017</v>
      </c>
      <c r="D610" s="76" t="s">
        <v>31</v>
      </c>
      <c r="E610" s="76" t="s">
        <v>32</v>
      </c>
      <c r="F610" s="76">
        <v>1.6</v>
      </c>
    </row>
    <row r="611" spans="1:6">
      <c r="A611">
        <v>629</v>
      </c>
      <c r="B611">
        <v>132017270</v>
      </c>
      <c r="C611" s="76">
        <v>2017</v>
      </c>
      <c r="D611" s="76" t="s">
        <v>31</v>
      </c>
      <c r="E611" s="76" t="s">
        <v>32</v>
      </c>
      <c r="F611" s="76">
        <v>2</v>
      </c>
    </row>
    <row r="612" spans="1:6">
      <c r="A612">
        <v>660</v>
      </c>
      <c r="B612">
        <v>132017270</v>
      </c>
      <c r="C612" s="76">
        <v>2017</v>
      </c>
      <c r="D612" s="76" t="s">
        <v>31</v>
      </c>
      <c r="E612" s="76" t="s">
        <v>32</v>
      </c>
      <c r="F612" s="76">
        <v>1.1</v>
      </c>
    </row>
    <row r="613" spans="1:6">
      <c r="A613">
        <v>665</v>
      </c>
      <c r="B613">
        <v>132017270</v>
      </c>
      <c r="C613" s="76">
        <v>2017</v>
      </c>
      <c r="D613" s="76" t="s">
        <v>31</v>
      </c>
      <c r="E613" s="76" t="s">
        <v>32</v>
      </c>
      <c r="F613" s="76">
        <v>2</v>
      </c>
    </row>
    <row r="614" spans="1:6">
      <c r="A614">
        <v>667</v>
      </c>
      <c r="B614">
        <v>132017270</v>
      </c>
      <c r="C614" s="76">
        <v>2017</v>
      </c>
      <c r="D614" s="76" t="s">
        <v>31</v>
      </c>
      <c r="E614" s="76" t="s">
        <v>32</v>
      </c>
      <c r="F614" s="76">
        <v>3</v>
      </c>
    </row>
    <row r="615" spans="1:6">
      <c r="A615">
        <v>650</v>
      </c>
      <c r="B615">
        <v>132017270</v>
      </c>
      <c r="C615" s="76">
        <v>2017</v>
      </c>
      <c r="D615" s="76" t="s">
        <v>31</v>
      </c>
      <c r="E615" s="76" t="s">
        <v>32</v>
      </c>
      <c r="F615" s="76">
        <v>3</v>
      </c>
    </row>
    <row r="616" spans="1:6">
      <c r="A616">
        <v>657</v>
      </c>
      <c r="B616">
        <v>132017270</v>
      </c>
      <c r="C616" s="76">
        <v>2017</v>
      </c>
      <c r="D616" s="76" t="s">
        <v>31</v>
      </c>
      <c r="E616" s="76" t="s">
        <v>32</v>
      </c>
      <c r="F616" s="76">
        <v>0.6</v>
      </c>
    </row>
    <row r="617" spans="1:6">
      <c r="A617">
        <v>684</v>
      </c>
      <c r="B617">
        <v>132017270</v>
      </c>
      <c r="C617" s="76">
        <v>2017</v>
      </c>
      <c r="D617" s="76" t="s">
        <v>31</v>
      </c>
      <c r="E617" s="76" t="s">
        <v>32</v>
      </c>
      <c r="F617" s="76">
        <v>3</v>
      </c>
    </row>
    <row r="618" spans="1:6">
      <c r="A618">
        <v>627</v>
      </c>
      <c r="B618">
        <v>132017270</v>
      </c>
      <c r="C618" s="76">
        <v>2017</v>
      </c>
      <c r="D618" s="76" t="s">
        <v>31</v>
      </c>
      <c r="E618" s="76" t="s">
        <v>32</v>
      </c>
      <c r="F618" s="76">
        <v>2</v>
      </c>
    </row>
    <row r="619" spans="1:6">
      <c r="A619">
        <v>602</v>
      </c>
      <c r="B619">
        <v>132017270</v>
      </c>
      <c r="C619" s="76">
        <v>2017</v>
      </c>
      <c r="D619" s="76" t="s">
        <v>31</v>
      </c>
      <c r="E619" s="76" t="s">
        <v>32</v>
      </c>
      <c r="F619" s="76">
        <v>1</v>
      </c>
    </row>
    <row r="620" spans="1:6">
      <c r="A620">
        <v>638</v>
      </c>
      <c r="B620">
        <v>132017270</v>
      </c>
      <c r="C620" s="76">
        <v>2017</v>
      </c>
      <c r="D620" s="76" t="s">
        <v>31</v>
      </c>
      <c r="E620" s="76" t="s">
        <v>32</v>
      </c>
      <c r="F620" s="76">
        <v>2</v>
      </c>
    </row>
    <row r="621" spans="1:6">
      <c r="A621">
        <v>594</v>
      </c>
      <c r="B621">
        <v>132017270</v>
      </c>
      <c r="C621" s="76">
        <v>2017</v>
      </c>
      <c r="D621" s="76" t="s">
        <v>31</v>
      </c>
      <c r="E621" s="76" t="s">
        <v>32</v>
      </c>
      <c r="F621" s="76">
        <v>2</v>
      </c>
    </row>
    <row r="622" spans="1:6">
      <c r="A622">
        <v>662</v>
      </c>
      <c r="B622">
        <v>132017270</v>
      </c>
      <c r="C622" s="76">
        <v>2017</v>
      </c>
      <c r="D622" s="76" t="s">
        <v>31</v>
      </c>
      <c r="E622" s="76" t="s">
        <v>32</v>
      </c>
      <c r="F622" s="76">
        <v>3</v>
      </c>
    </row>
    <row r="623" spans="1:6">
      <c r="A623">
        <v>591</v>
      </c>
      <c r="B623">
        <v>132017270</v>
      </c>
      <c r="C623" s="76">
        <v>2017</v>
      </c>
      <c r="D623" s="76" t="s">
        <v>31</v>
      </c>
      <c r="E623" s="76" t="s">
        <v>32</v>
      </c>
      <c r="F623" s="76">
        <v>5</v>
      </c>
    </row>
    <row r="624" spans="1:6">
      <c r="A624">
        <v>600</v>
      </c>
      <c r="B624">
        <v>132017270</v>
      </c>
      <c r="C624" s="76">
        <v>2017</v>
      </c>
      <c r="D624" s="76" t="s">
        <v>31</v>
      </c>
      <c r="E624" s="76">
        <v>1</v>
      </c>
      <c r="F624" s="76">
        <v>1.98</v>
      </c>
    </row>
    <row r="625" spans="1:6">
      <c r="A625">
        <v>603</v>
      </c>
      <c r="B625">
        <v>132017270</v>
      </c>
      <c r="C625" s="76">
        <v>2017</v>
      </c>
      <c r="D625" s="76" t="s">
        <v>31</v>
      </c>
      <c r="E625" s="76">
        <v>1</v>
      </c>
      <c r="F625" s="76">
        <v>1.95</v>
      </c>
    </row>
    <row r="626" spans="1:6">
      <c r="A626">
        <v>618</v>
      </c>
      <c r="B626">
        <v>132017270</v>
      </c>
      <c r="C626" s="76">
        <v>2017</v>
      </c>
      <c r="D626" s="76" t="s">
        <v>31</v>
      </c>
      <c r="E626" s="76" t="s">
        <v>32</v>
      </c>
      <c r="F626" s="76">
        <v>2</v>
      </c>
    </row>
    <row r="627" spans="1:6">
      <c r="A627">
        <v>590</v>
      </c>
      <c r="B627">
        <v>132017270</v>
      </c>
      <c r="C627" s="76">
        <v>2017</v>
      </c>
      <c r="D627" s="76" t="s">
        <v>31</v>
      </c>
      <c r="E627" s="76" t="s">
        <v>32</v>
      </c>
      <c r="F627" s="76">
        <v>3</v>
      </c>
    </row>
    <row r="628" spans="1:6">
      <c r="A628">
        <v>615</v>
      </c>
      <c r="B628">
        <v>132017270</v>
      </c>
      <c r="C628" s="76">
        <v>2017</v>
      </c>
      <c r="D628" s="76" t="s">
        <v>31</v>
      </c>
      <c r="E628" s="76" t="s">
        <v>32</v>
      </c>
      <c r="F628" s="76">
        <v>3</v>
      </c>
    </row>
    <row r="629" spans="1:6">
      <c r="A629">
        <v>682</v>
      </c>
      <c r="B629">
        <v>132017270</v>
      </c>
      <c r="C629" s="76">
        <v>2017</v>
      </c>
      <c r="D629" s="76" t="s">
        <v>31</v>
      </c>
      <c r="E629" s="76" t="s">
        <v>32</v>
      </c>
      <c r="F629" s="76">
        <v>2</v>
      </c>
    </row>
    <row r="630" spans="1:6">
      <c r="A630">
        <v>595</v>
      </c>
      <c r="B630">
        <v>132017270</v>
      </c>
      <c r="C630" s="76">
        <v>2017</v>
      </c>
      <c r="D630" s="76" t="s">
        <v>31</v>
      </c>
      <c r="E630" s="76" t="s">
        <v>32</v>
      </c>
      <c r="F630" s="76">
        <v>0.9</v>
      </c>
    </row>
    <row r="631" spans="1:6">
      <c r="A631">
        <v>605</v>
      </c>
      <c r="B631">
        <v>132017270</v>
      </c>
      <c r="C631" s="76">
        <v>2017</v>
      </c>
      <c r="D631" s="76" t="s">
        <v>31</v>
      </c>
      <c r="E631" s="76" t="s">
        <v>32</v>
      </c>
      <c r="F631" s="76">
        <v>1.7</v>
      </c>
    </row>
    <row r="632" spans="1:6">
      <c r="A632">
        <v>673</v>
      </c>
      <c r="B632">
        <v>132017270</v>
      </c>
      <c r="C632" s="76">
        <v>2017</v>
      </c>
      <c r="D632" s="76" t="s">
        <v>31</v>
      </c>
      <c r="E632" s="76" t="s">
        <v>32</v>
      </c>
      <c r="F632" s="76">
        <v>2</v>
      </c>
    </row>
    <row r="633" spans="1:6">
      <c r="A633">
        <v>633</v>
      </c>
      <c r="B633">
        <v>132017270</v>
      </c>
      <c r="C633" s="76">
        <v>2017</v>
      </c>
      <c r="D633" s="76" t="s">
        <v>31</v>
      </c>
      <c r="E633" s="76" t="s">
        <v>32</v>
      </c>
      <c r="F633" s="76">
        <v>2</v>
      </c>
    </row>
    <row r="634" spans="1:6">
      <c r="A634">
        <v>634</v>
      </c>
      <c r="B634">
        <v>132017270</v>
      </c>
      <c r="C634" s="76">
        <v>2017</v>
      </c>
      <c r="D634" s="76" t="s">
        <v>31</v>
      </c>
      <c r="E634" s="76" t="s">
        <v>32</v>
      </c>
      <c r="F634" s="76">
        <v>2</v>
      </c>
    </row>
    <row r="635" spans="1:6">
      <c r="A635">
        <v>654</v>
      </c>
      <c r="B635">
        <v>132017270</v>
      </c>
      <c r="C635" s="76">
        <v>2017</v>
      </c>
      <c r="D635" s="76" t="s">
        <v>31</v>
      </c>
      <c r="E635" s="76" t="s">
        <v>32</v>
      </c>
      <c r="F635" s="76">
        <v>3</v>
      </c>
    </row>
    <row r="636" spans="1:6">
      <c r="A636">
        <v>646</v>
      </c>
      <c r="B636">
        <v>132017270</v>
      </c>
      <c r="C636" s="76">
        <v>2017</v>
      </c>
      <c r="D636" s="76" t="s">
        <v>31</v>
      </c>
      <c r="E636" s="76" t="s">
        <v>32</v>
      </c>
      <c r="F636" s="76">
        <v>1.7</v>
      </c>
    </row>
    <row r="637" spans="1:6">
      <c r="A637">
        <v>648</v>
      </c>
      <c r="B637">
        <v>132017270</v>
      </c>
      <c r="C637" s="76">
        <v>2017</v>
      </c>
      <c r="D637" s="76" t="s">
        <v>31</v>
      </c>
      <c r="E637" s="76" t="s">
        <v>32</v>
      </c>
      <c r="F637" s="76">
        <v>0.8</v>
      </c>
    </row>
    <row r="638" spans="1:6">
      <c r="A638">
        <v>651</v>
      </c>
      <c r="B638">
        <v>132017270</v>
      </c>
      <c r="C638" s="76">
        <v>2017</v>
      </c>
      <c r="D638" s="76" t="s">
        <v>31</v>
      </c>
      <c r="E638" s="76" t="s">
        <v>32</v>
      </c>
      <c r="F638" s="76">
        <v>2.9</v>
      </c>
    </row>
    <row r="639" spans="1:6">
      <c r="A639">
        <v>647</v>
      </c>
      <c r="B639">
        <v>132017270</v>
      </c>
      <c r="C639" s="76">
        <v>2017</v>
      </c>
      <c r="D639" s="76" t="s">
        <v>31</v>
      </c>
      <c r="E639" s="76" t="s">
        <v>32</v>
      </c>
      <c r="F639" s="76">
        <v>3</v>
      </c>
    </row>
    <row r="640" spans="1:6">
      <c r="A640">
        <v>655</v>
      </c>
      <c r="B640">
        <v>132017270</v>
      </c>
      <c r="C640" s="76">
        <v>2017</v>
      </c>
      <c r="D640" s="76" t="s">
        <v>31</v>
      </c>
      <c r="E640" s="76" t="s">
        <v>32</v>
      </c>
      <c r="F640" s="76">
        <v>1.26</v>
      </c>
    </row>
    <row r="641" spans="1:6">
      <c r="A641">
        <v>621</v>
      </c>
      <c r="B641">
        <v>132017270</v>
      </c>
      <c r="C641" s="76">
        <v>2017</v>
      </c>
      <c r="D641" s="76" t="s">
        <v>31</v>
      </c>
      <c r="E641" s="76" t="s">
        <v>32</v>
      </c>
      <c r="F641" s="76">
        <v>10</v>
      </c>
    </row>
    <row r="642" spans="1:6">
      <c r="A642">
        <v>632</v>
      </c>
      <c r="B642">
        <v>132017270</v>
      </c>
      <c r="C642" s="76">
        <v>2017</v>
      </c>
      <c r="D642" s="76" t="s">
        <v>31</v>
      </c>
      <c r="E642" s="76" t="s">
        <v>32</v>
      </c>
      <c r="F642" s="76">
        <v>2.38</v>
      </c>
    </row>
    <row r="643" spans="1:6">
      <c r="A643">
        <v>622</v>
      </c>
      <c r="B643">
        <v>132017270</v>
      </c>
      <c r="C643" s="76">
        <v>2017</v>
      </c>
      <c r="D643" s="76" t="s">
        <v>31</v>
      </c>
      <c r="E643" s="76" t="s">
        <v>32</v>
      </c>
      <c r="F643" s="76">
        <v>2</v>
      </c>
    </row>
    <row r="644" spans="1:6">
      <c r="A644">
        <v>623</v>
      </c>
      <c r="B644">
        <v>132017270</v>
      </c>
      <c r="C644" s="76">
        <v>2017</v>
      </c>
      <c r="D644" s="76" t="s">
        <v>31</v>
      </c>
      <c r="E644" s="76" t="s">
        <v>32</v>
      </c>
      <c r="F644" s="76">
        <v>2</v>
      </c>
    </row>
    <row r="645" spans="1:6">
      <c r="A645">
        <v>679</v>
      </c>
      <c r="B645">
        <v>132017270</v>
      </c>
      <c r="C645" s="76">
        <v>2017</v>
      </c>
      <c r="D645" s="76" t="s">
        <v>31</v>
      </c>
      <c r="E645" s="76" t="s">
        <v>32</v>
      </c>
      <c r="F645" s="76">
        <v>8</v>
      </c>
    </row>
    <row r="646" spans="1:6">
      <c r="A646">
        <v>666</v>
      </c>
      <c r="B646">
        <v>132017270</v>
      </c>
      <c r="C646" s="76">
        <v>2017</v>
      </c>
      <c r="D646" s="76" t="s">
        <v>31</v>
      </c>
      <c r="E646" s="76" t="s">
        <v>32</v>
      </c>
      <c r="F646" s="76">
        <v>2</v>
      </c>
    </row>
    <row r="647" spans="1:6">
      <c r="A647">
        <v>668</v>
      </c>
      <c r="B647">
        <v>132017270</v>
      </c>
      <c r="C647" s="76">
        <v>2017</v>
      </c>
      <c r="D647" s="76" t="s">
        <v>31</v>
      </c>
      <c r="E647" s="76" t="s">
        <v>32</v>
      </c>
      <c r="F647" s="76">
        <v>4</v>
      </c>
    </row>
    <row r="648" spans="1:6">
      <c r="A648">
        <v>672</v>
      </c>
      <c r="B648">
        <v>132017270</v>
      </c>
      <c r="C648" s="76">
        <v>2017</v>
      </c>
      <c r="D648" s="76" t="s">
        <v>31</v>
      </c>
      <c r="E648" s="76" t="s">
        <v>32</v>
      </c>
      <c r="F648" s="76">
        <v>8</v>
      </c>
    </row>
    <row r="649" spans="1:6">
      <c r="A649">
        <v>678</v>
      </c>
      <c r="B649">
        <v>132017270</v>
      </c>
      <c r="C649" s="76">
        <v>2017</v>
      </c>
      <c r="D649" s="76" t="s">
        <v>31</v>
      </c>
      <c r="E649" s="76" t="s">
        <v>32</v>
      </c>
      <c r="F649" s="76">
        <v>8.74</v>
      </c>
    </row>
    <row r="650" spans="1:6">
      <c r="A650">
        <v>671</v>
      </c>
      <c r="B650">
        <v>132017270</v>
      </c>
      <c r="C650" s="76">
        <v>2017</v>
      </c>
      <c r="D650" s="76" t="s">
        <v>31</v>
      </c>
      <c r="E650" s="76" t="s">
        <v>32</v>
      </c>
      <c r="F650" s="76">
        <v>5</v>
      </c>
    </row>
    <row r="651" spans="1:6">
      <c r="A651">
        <v>643</v>
      </c>
      <c r="B651">
        <v>132017270</v>
      </c>
      <c r="C651" s="76">
        <v>2017</v>
      </c>
      <c r="D651" s="76" t="s">
        <v>31</v>
      </c>
      <c r="E651" s="76" t="s">
        <v>32</v>
      </c>
      <c r="F651" s="76">
        <v>5</v>
      </c>
    </row>
    <row r="652" spans="1:6">
      <c r="A652">
        <v>619</v>
      </c>
      <c r="B652">
        <v>132017270</v>
      </c>
      <c r="C652" s="76">
        <v>2017</v>
      </c>
      <c r="D652" s="76" t="s">
        <v>31</v>
      </c>
      <c r="E652" s="76" t="s">
        <v>32</v>
      </c>
      <c r="F652" s="76">
        <v>3</v>
      </c>
    </row>
    <row r="653" spans="1:6">
      <c r="A653">
        <v>653</v>
      </c>
      <c r="B653">
        <v>132017270</v>
      </c>
      <c r="C653" s="76">
        <v>2017</v>
      </c>
      <c r="D653" s="76" t="s">
        <v>31</v>
      </c>
      <c r="E653" s="76" t="s">
        <v>32</v>
      </c>
      <c r="F653" s="76">
        <v>2.4</v>
      </c>
    </row>
    <row r="654" spans="1:6">
      <c r="A654">
        <v>686</v>
      </c>
      <c r="B654">
        <v>132017270</v>
      </c>
      <c r="C654" s="76">
        <v>2017</v>
      </c>
      <c r="D654" s="76" t="s">
        <v>31</v>
      </c>
      <c r="E654" s="76" t="s">
        <v>32</v>
      </c>
      <c r="F654" s="76">
        <v>2</v>
      </c>
    </row>
    <row r="655" spans="1:6">
      <c r="A655">
        <v>631</v>
      </c>
      <c r="B655">
        <v>132017270</v>
      </c>
      <c r="C655" s="76">
        <v>2017</v>
      </c>
      <c r="D655" s="76" t="s">
        <v>31</v>
      </c>
      <c r="E655" s="76" t="s">
        <v>32</v>
      </c>
      <c r="F655" s="76">
        <v>2</v>
      </c>
    </row>
    <row r="656" spans="1:6">
      <c r="A656">
        <v>628</v>
      </c>
      <c r="B656">
        <v>132017270</v>
      </c>
      <c r="C656" s="76">
        <v>2017</v>
      </c>
      <c r="D656" s="76" t="s">
        <v>31</v>
      </c>
      <c r="E656" s="76" t="s">
        <v>32</v>
      </c>
      <c r="F656" s="76">
        <v>2</v>
      </c>
    </row>
    <row r="657" spans="1:6">
      <c r="A657">
        <v>608</v>
      </c>
      <c r="B657">
        <v>132017270</v>
      </c>
      <c r="C657" s="76">
        <v>2017</v>
      </c>
      <c r="D657" s="76" t="s">
        <v>31</v>
      </c>
      <c r="E657" s="76" t="s">
        <v>32</v>
      </c>
      <c r="F657" s="76">
        <v>2</v>
      </c>
    </row>
    <row r="658" spans="1:6">
      <c r="A658">
        <v>674</v>
      </c>
      <c r="B658">
        <v>132017270</v>
      </c>
      <c r="C658" s="76">
        <v>2017</v>
      </c>
      <c r="D658" s="76" t="s">
        <v>31</v>
      </c>
      <c r="E658" s="76" t="s">
        <v>32</v>
      </c>
      <c r="F658" s="76">
        <v>2</v>
      </c>
    </row>
    <row r="659" spans="1:6">
      <c r="A659">
        <v>670</v>
      </c>
      <c r="B659">
        <v>132017270</v>
      </c>
      <c r="C659" s="76">
        <v>2017</v>
      </c>
      <c r="D659" s="76" t="s">
        <v>31</v>
      </c>
      <c r="E659" s="76" t="s">
        <v>32</v>
      </c>
      <c r="F659" s="76">
        <v>20</v>
      </c>
    </row>
    <row r="660" spans="1:6">
      <c r="A660">
        <v>642</v>
      </c>
      <c r="B660">
        <v>132017270</v>
      </c>
      <c r="C660" s="76">
        <v>2017</v>
      </c>
      <c r="D660" s="76" t="s">
        <v>31</v>
      </c>
      <c r="E660" s="76" t="s">
        <v>32</v>
      </c>
      <c r="F660" s="76">
        <v>8</v>
      </c>
    </row>
    <row r="661" spans="1:6">
      <c r="A661">
        <v>612</v>
      </c>
      <c r="B661">
        <v>132017270</v>
      </c>
      <c r="C661" s="76">
        <v>2017</v>
      </c>
      <c r="D661" s="76" t="s">
        <v>31</v>
      </c>
      <c r="E661" s="76">
        <v>2</v>
      </c>
      <c r="F661" s="76">
        <v>0.14</v>
      </c>
    </row>
    <row r="662" spans="1:6">
      <c r="A662">
        <v>677</v>
      </c>
      <c r="B662">
        <v>132017270</v>
      </c>
      <c r="C662" s="76">
        <v>2017</v>
      </c>
      <c r="D662" s="76" t="s">
        <v>31</v>
      </c>
      <c r="E662" s="76" t="s">
        <v>32</v>
      </c>
      <c r="F662" s="76">
        <v>5</v>
      </c>
    </row>
    <row r="663" spans="1:6">
      <c r="A663">
        <v>687</v>
      </c>
      <c r="B663">
        <v>132017270</v>
      </c>
      <c r="C663" s="76">
        <v>2017</v>
      </c>
      <c r="D663" s="76" t="s">
        <v>31</v>
      </c>
      <c r="E663" s="76" t="s">
        <v>32</v>
      </c>
      <c r="F663" s="76">
        <v>2</v>
      </c>
    </row>
    <row r="664" spans="1:6">
      <c r="A664">
        <v>675</v>
      </c>
      <c r="B664">
        <v>132017270</v>
      </c>
      <c r="C664" s="76">
        <v>2017</v>
      </c>
      <c r="D664" s="76" t="s">
        <v>31</v>
      </c>
      <c r="E664" s="76" t="s">
        <v>32</v>
      </c>
      <c r="F664" s="76">
        <v>5</v>
      </c>
    </row>
    <row r="665" spans="1:6">
      <c r="A665">
        <v>661</v>
      </c>
      <c r="B665">
        <v>132017270</v>
      </c>
      <c r="C665" s="76">
        <v>2017</v>
      </c>
      <c r="D665" s="76" t="s">
        <v>31</v>
      </c>
      <c r="E665" s="76" t="s">
        <v>32</v>
      </c>
      <c r="F665" s="76">
        <v>2</v>
      </c>
    </row>
    <row r="666" spans="1:6">
      <c r="A666">
        <v>696</v>
      </c>
      <c r="B666">
        <v>132018211</v>
      </c>
      <c r="C666" s="76">
        <v>2018</v>
      </c>
      <c r="D666" s="76" t="s">
        <v>37</v>
      </c>
      <c r="E666" s="76">
        <v>1</v>
      </c>
      <c r="F666" s="76">
        <v>60</v>
      </c>
    </row>
    <row r="667" spans="1:6">
      <c r="A667">
        <v>692</v>
      </c>
      <c r="B667">
        <v>132018211</v>
      </c>
      <c r="C667" s="76">
        <v>2018</v>
      </c>
      <c r="D667" s="76" t="s">
        <v>37</v>
      </c>
      <c r="E667" s="76" t="s">
        <v>32</v>
      </c>
      <c r="F667" s="76">
        <v>3</v>
      </c>
    </row>
    <row r="668" spans="1:6">
      <c r="A668">
        <v>693</v>
      </c>
      <c r="B668">
        <v>132018211</v>
      </c>
      <c r="C668" s="76">
        <v>2018</v>
      </c>
      <c r="D668" s="76" t="s">
        <v>37</v>
      </c>
      <c r="E668" s="76" t="s">
        <v>32</v>
      </c>
      <c r="F668" s="76">
        <v>2.5</v>
      </c>
    </row>
    <row r="669" spans="1:6">
      <c r="A669">
        <v>697</v>
      </c>
      <c r="B669">
        <v>132018211</v>
      </c>
      <c r="C669" s="76">
        <v>2018</v>
      </c>
      <c r="D669" s="76" t="s">
        <v>37</v>
      </c>
      <c r="E669" s="76" t="s">
        <v>32</v>
      </c>
      <c r="F669" s="76">
        <v>3</v>
      </c>
    </row>
    <row r="670" spans="1:6">
      <c r="A670">
        <v>691</v>
      </c>
      <c r="B670">
        <v>132018211</v>
      </c>
      <c r="C670" s="76">
        <v>2018</v>
      </c>
      <c r="D670" s="76" t="s">
        <v>37</v>
      </c>
      <c r="E670" s="76">
        <v>1</v>
      </c>
      <c r="F670" s="76">
        <v>35</v>
      </c>
    </row>
    <row r="671" spans="1:6">
      <c r="A671">
        <v>694</v>
      </c>
      <c r="B671">
        <v>132018211</v>
      </c>
      <c r="C671" s="76">
        <v>2018</v>
      </c>
      <c r="D671" s="76" t="s">
        <v>37</v>
      </c>
      <c r="E671" s="76" t="s">
        <v>32</v>
      </c>
      <c r="F671" s="76">
        <v>3.5</v>
      </c>
    </row>
    <row r="672" spans="1:6">
      <c r="A672">
        <v>695</v>
      </c>
      <c r="B672">
        <v>132018211</v>
      </c>
      <c r="C672" s="76">
        <v>2018</v>
      </c>
      <c r="D672" s="76" t="s">
        <v>37</v>
      </c>
      <c r="E672" s="76" t="s">
        <v>32</v>
      </c>
      <c r="F672" s="76">
        <v>1.2</v>
      </c>
    </row>
    <row r="673" spans="1:6">
      <c r="A673">
        <v>690</v>
      </c>
      <c r="B673">
        <v>132018211</v>
      </c>
      <c r="C673" s="76">
        <v>2018</v>
      </c>
      <c r="D673" s="76" t="s">
        <v>37</v>
      </c>
      <c r="E673" s="76">
        <v>2</v>
      </c>
      <c r="F673" s="76">
        <v>70</v>
      </c>
    </row>
    <row r="674" spans="1:6">
      <c r="A674">
        <v>700</v>
      </c>
      <c r="B674">
        <v>132018241</v>
      </c>
      <c r="C674" s="76">
        <v>2018</v>
      </c>
      <c r="D674" s="76" t="s">
        <v>33</v>
      </c>
      <c r="E674" s="76" t="s">
        <v>32</v>
      </c>
      <c r="F674" s="76">
        <v>1.2</v>
      </c>
    </row>
    <row r="675" spans="1:6">
      <c r="A675">
        <v>701</v>
      </c>
      <c r="B675">
        <v>132018241</v>
      </c>
      <c r="C675" s="76">
        <v>2018</v>
      </c>
      <c r="D675" s="76" t="s">
        <v>33</v>
      </c>
      <c r="E675" s="76" t="s">
        <v>32</v>
      </c>
      <c r="F675" s="76">
        <v>1.2</v>
      </c>
    </row>
    <row r="676" spans="1:6">
      <c r="A676">
        <v>706</v>
      </c>
      <c r="B676">
        <v>132018241</v>
      </c>
      <c r="C676" s="76">
        <v>2018</v>
      </c>
      <c r="D676" s="76" t="s">
        <v>33</v>
      </c>
      <c r="E676" s="76" t="s">
        <v>32</v>
      </c>
      <c r="F676" s="76">
        <v>3.5</v>
      </c>
    </row>
    <row r="677" spans="1:6">
      <c r="A677">
        <v>705</v>
      </c>
      <c r="B677">
        <v>132018241</v>
      </c>
      <c r="C677" s="76">
        <v>2018</v>
      </c>
      <c r="D677" s="76" t="s">
        <v>33</v>
      </c>
      <c r="E677" s="76" t="s">
        <v>32</v>
      </c>
      <c r="F677" s="76">
        <v>5</v>
      </c>
    </row>
    <row r="678" spans="1:6">
      <c r="A678">
        <v>698</v>
      </c>
      <c r="B678">
        <v>132018241</v>
      </c>
      <c r="C678" s="76">
        <v>2018</v>
      </c>
      <c r="D678" s="76" t="s">
        <v>33</v>
      </c>
      <c r="E678" s="76" t="s">
        <v>32</v>
      </c>
      <c r="F678" s="76">
        <v>2.5</v>
      </c>
    </row>
    <row r="679" spans="1:6">
      <c r="A679">
        <v>702</v>
      </c>
      <c r="B679">
        <v>132018241</v>
      </c>
      <c r="C679" s="76">
        <v>2018</v>
      </c>
      <c r="D679" s="76" t="s">
        <v>33</v>
      </c>
      <c r="E679" s="76" t="s">
        <v>32</v>
      </c>
      <c r="F679" s="76">
        <v>1.2</v>
      </c>
    </row>
    <row r="680" spans="1:6">
      <c r="A680">
        <v>699</v>
      </c>
      <c r="B680">
        <v>132018241</v>
      </c>
      <c r="C680" s="76">
        <v>2018</v>
      </c>
      <c r="D680" s="76" t="s">
        <v>33</v>
      </c>
      <c r="E680" s="76" t="s">
        <v>32</v>
      </c>
      <c r="F680" s="76">
        <v>6</v>
      </c>
    </row>
    <row r="681" spans="1:6">
      <c r="A681">
        <v>704</v>
      </c>
      <c r="B681">
        <v>132018241</v>
      </c>
      <c r="C681" s="76">
        <v>2018</v>
      </c>
      <c r="D681" s="76" t="s">
        <v>33</v>
      </c>
      <c r="E681" s="76" t="s">
        <v>32</v>
      </c>
      <c r="F681" s="76">
        <v>0.6</v>
      </c>
    </row>
    <row r="682" spans="1:6">
      <c r="A682">
        <v>707</v>
      </c>
      <c r="B682">
        <v>132018241</v>
      </c>
      <c r="C682" s="76">
        <v>2018</v>
      </c>
      <c r="D682" s="76" t="s">
        <v>33</v>
      </c>
      <c r="E682" s="76" t="s">
        <v>32</v>
      </c>
      <c r="F682" s="76">
        <v>0.6</v>
      </c>
    </row>
    <row r="683" spans="1:6">
      <c r="A683">
        <v>709</v>
      </c>
      <c r="B683">
        <v>132018242</v>
      </c>
      <c r="C683" s="76">
        <v>2018</v>
      </c>
      <c r="D683" s="76" t="s">
        <v>35</v>
      </c>
      <c r="E683" s="76" t="s">
        <v>32</v>
      </c>
      <c r="F683" s="76">
        <v>0.6</v>
      </c>
    </row>
    <row r="684" spans="1:6">
      <c r="A684">
        <v>708</v>
      </c>
      <c r="B684">
        <v>132018242</v>
      </c>
      <c r="C684" s="76">
        <v>2018</v>
      </c>
      <c r="D684" s="76" t="s">
        <v>35</v>
      </c>
      <c r="E684" s="76" t="s">
        <v>32</v>
      </c>
      <c r="F684" s="76">
        <v>1.2</v>
      </c>
    </row>
    <row r="685" spans="1:6">
      <c r="A685">
        <v>710</v>
      </c>
      <c r="B685">
        <v>132018243</v>
      </c>
      <c r="C685" s="76">
        <v>2018</v>
      </c>
      <c r="D685" s="76" t="s">
        <v>38</v>
      </c>
      <c r="E685" s="76" t="s">
        <v>32</v>
      </c>
      <c r="F685" s="76">
        <v>3</v>
      </c>
    </row>
    <row r="686" spans="1:6">
      <c r="A686">
        <v>730</v>
      </c>
      <c r="B686">
        <v>132018260</v>
      </c>
      <c r="C686" s="76">
        <v>2018</v>
      </c>
      <c r="D686" s="76" t="s">
        <v>34</v>
      </c>
      <c r="E686" s="76" t="s">
        <v>32</v>
      </c>
      <c r="F686" s="76">
        <v>0.22</v>
      </c>
    </row>
    <row r="687" spans="1:6">
      <c r="A687">
        <v>732</v>
      </c>
      <c r="B687">
        <v>132018260</v>
      </c>
      <c r="C687" s="76">
        <v>2018</v>
      </c>
      <c r="D687" s="76" t="s">
        <v>34</v>
      </c>
      <c r="E687" s="76" t="s">
        <v>32</v>
      </c>
      <c r="F687" s="76">
        <v>1</v>
      </c>
    </row>
    <row r="688" spans="1:6">
      <c r="A688">
        <v>713</v>
      </c>
      <c r="B688">
        <v>132018260</v>
      </c>
      <c r="C688" s="76">
        <v>2018</v>
      </c>
      <c r="D688" s="76" t="s">
        <v>34</v>
      </c>
      <c r="E688" s="76">
        <v>17</v>
      </c>
      <c r="F688" s="76">
        <v>42.5</v>
      </c>
    </row>
    <row r="689" spans="1:6">
      <c r="A689">
        <v>712</v>
      </c>
      <c r="B689">
        <v>132018260</v>
      </c>
      <c r="C689" s="76">
        <v>2018</v>
      </c>
      <c r="D689" s="76" t="s">
        <v>34</v>
      </c>
      <c r="E689" s="76">
        <v>19</v>
      </c>
      <c r="F689" s="76">
        <v>4.8</v>
      </c>
    </row>
    <row r="690" spans="1:6">
      <c r="A690">
        <v>716</v>
      </c>
      <c r="B690">
        <v>132018260</v>
      </c>
      <c r="C690" s="76">
        <v>2018</v>
      </c>
      <c r="D690" s="76" t="s">
        <v>34</v>
      </c>
      <c r="E690" s="76">
        <v>50</v>
      </c>
      <c r="F690" s="76">
        <v>10</v>
      </c>
    </row>
    <row r="691" spans="1:6">
      <c r="A691">
        <v>731</v>
      </c>
      <c r="B691">
        <v>132018260</v>
      </c>
      <c r="C691" s="76">
        <v>2018</v>
      </c>
      <c r="D691" s="76" t="s">
        <v>34</v>
      </c>
      <c r="E691" s="76" t="s">
        <v>32</v>
      </c>
      <c r="F691" s="76">
        <v>1</v>
      </c>
    </row>
    <row r="692" spans="1:6">
      <c r="A692">
        <v>721</v>
      </c>
      <c r="B692">
        <v>132018260</v>
      </c>
      <c r="C692" s="76">
        <v>2018</v>
      </c>
      <c r="D692" s="76" t="s">
        <v>34</v>
      </c>
      <c r="E692" s="76" t="s">
        <v>32</v>
      </c>
      <c r="F692" s="76">
        <v>3.5</v>
      </c>
    </row>
    <row r="693" spans="1:6">
      <c r="A693">
        <v>729</v>
      </c>
      <c r="B693">
        <v>132018260</v>
      </c>
      <c r="C693" s="76">
        <v>2018</v>
      </c>
      <c r="D693" s="76" t="s">
        <v>34</v>
      </c>
      <c r="E693" s="76" t="s">
        <v>32</v>
      </c>
      <c r="F693" s="76">
        <v>0.8</v>
      </c>
    </row>
    <row r="694" spans="1:6">
      <c r="A694">
        <v>720</v>
      </c>
      <c r="B694">
        <v>132018260</v>
      </c>
      <c r="C694" s="76">
        <v>2018</v>
      </c>
      <c r="D694" s="76" t="s">
        <v>34</v>
      </c>
      <c r="E694" s="76" t="s">
        <v>32</v>
      </c>
      <c r="F694" s="76">
        <v>4.95</v>
      </c>
    </row>
    <row r="695" spans="1:6">
      <c r="A695">
        <v>722</v>
      </c>
      <c r="B695">
        <v>132018260</v>
      </c>
      <c r="C695" s="76">
        <v>2018</v>
      </c>
      <c r="D695" s="76" t="s">
        <v>34</v>
      </c>
      <c r="E695" s="76" t="s">
        <v>32</v>
      </c>
      <c r="F695" s="76">
        <v>4.8</v>
      </c>
    </row>
    <row r="696" spans="1:6">
      <c r="A696">
        <v>711</v>
      </c>
      <c r="B696">
        <v>132018260</v>
      </c>
      <c r="C696" s="76">
        <v>2018</v>
      </c>
      <c r="D696" s="76" t="s">
        <v>34</v>
      </c>
      <c r="E696" s="76">
        <v>44</v>
      </c>
      <c r="F696" s="76">
        <v>12.1</v>
      </c>
    </row>
    <row r="697" spans="1:6">
      <c r="A697">
        <v>715</v>
      </c>
      <c r="B697">
        <v>132018260</v>
      </c>
      <c r="C697" s="76">
        <v>2018</v>
      </c>
      <c r="D697" s="76" t="s">
        <v>34</v>
      </c>
      <c r="E697" s="76">
        <v>24</v>
      </c>
      <c r="F697" s="76">
        <v>4.8</v>
      </c>
    </row>
    <row r="698" spans="1:6">
      <c r="A698">
        <v>726</v>
      </c>
      <c r="B698">
        <v>132018260</v>
      </c>
      <c r="C698" s="76">
        <v>2018</v>
      </c>
      <c r="D698" s="76" t="s">
        <v>34</v>
      </c>
      <c r="E698" s="76" t="s">
        <v>32</v>
      </c>
      <c r="F698" s="76">
        <v>15</v>
      </c>
    </row>
    <row r="699" spans="1:6">
      <c r="A699">
        <v>717</v>
      </c>
      <c r="B699">
        <v>132018260</v>
      </c>
      <c r="C699" s="76">
        <v>2018</v>
      </c>
      <c r="D699" s="76" t="s">
        <v>34</v>
      </c>
      <c r="E699" s="76">
        <v>140</v>
      </c>
      <c r="F699" s="76">
        <v>35</v>
      </c>
    </row>
    <row r="700" spans="1:6">
      <c r="A700">
        <v>718</v>
      </c>
      <c r="B700">
        <v>132018260</v>
      </c>
      <c r="C700" s="76">
        <v>2018</v>
      </c>
      <c r="D700" s="76" t="s">
        <v>34</v>
      </c>
      <c r="E700" s="76">
        <v>38</v>
      </c>
      <c r="F700" s="76">
        <v>8.36</v>
      </c>
    </row>
    <row r="701" spans="1:6">
      <c r="A701">
        <v>719</v>
      </c>
      <c r="B701">
        <v>132018260</v>
      </c>
      <c r="C701" s="76">
        <v>2018</v>
      </c>
      <c r="D701" s="76" t="s">
        <v>34</v>
      </c>
      <c r="E701" s="76">
        <v>91</v>
      </c>
      <c r="F701" s="76">
        <v>20.02</v>
      </c>
    </row>
    <row r="702" spans="1:6">
      <c r="A702">
        <v>725</v>
      </c>
      <c r="B702">
        <v>132018260</v>
      </c>
      <c r="C702" s="76">
        <v>2018</v>
      </c>
      <c r="D702" s="76" t="s">
        <v>34</v>
      </c>
      <c r="E702" s="76" t="s">
        <v>32</v>
      </c>
      <c r="F702" s="76">
        <v>15</v>
      </c>
    </row>
    <row r="703" spans="1:6">
      <c r="A703">
        <v>723</v>
      </c>
      <c r="B703">
        <v>132018260</v>
      </c>
      <c r="C703" s="76">
        <v>2018</v>
      </c>
      <c r="D703" s="76" t="s">
        <v>34</v>
      </c>
      <c r="E703" s="76" t="s">
        <v>32</v>
      </c>
      <c r="F703" s="76">
        <v>10</v>
      </c>
    </row>
    <row r="704" spans="1:6">
      <c r="A704">
        <v>728</v>
      </c>
      <c r="B704">
        <v>132018260</v>
      </c>
      <c r="C704" s="76">
        <v>2018</v>
      </c>
      <c r="D704" s="76" t="s">
        <v>34</v>
      </c>
      <c r="E704" s="76" t="s">
        <v>32</v>
      </c>
      <c r="F704" s="76">
        <v>10</v>
      </c>
    </row>
    <row r="705" spans="1:6">
      <c r="A705">
        <v>724</v>
      </c>
      <c r="B705">
        <v>132018260</v>
      </c>
      <c r="C705" s="76">
        <v>2018</v>
      </c>
      <c r="D705" s="76" t="s">
        <v>34</v>
      </c>
      <c r="E705" s="76" t="s">
        <v>32</v>
      </c>
      <c r="F705" s="76">
        <v>9.9</v>
      </c>
    </row>
    <row r="706" spans="1:6">
      <c r="A706">
        <v>714</v>
      </c>
      <c r="B706">
        <v>132018260</v>
      </c>
      <c r="C706" s="76">
        <v>2018</v>
      </c>
      <c r="D706" s="76" t="s">
        <v>34</v>
      </c>
      <c r="E706" s="76">
        <v>31</v>
      </c>
      <c r="F706" s="76">
        <v>12.4</v>
      </c>
    </row>
    <row r="707" spans="1:6">
      <c r="A707">
        <v>727</v>
      </c>
      <c r="B707">
        <v>132018260</v>
      </c>
      <c r="C707" s="76">
        <v>2018</v>
      </c>
      <c r="D707" s="76" t="s">
        <v>34</v>
      </c>
      <c r="E707" s="76" t="s">
        <v>32</v>
      </c>
      <c r="F707" s="76">
        <v>14.55</v>
      </c>
    </row>
    <row r="708" spans="1:6">
      <c r="A708">
        <v>733</v>
      </c>
      <c r="B708">
        <v>132018260</v>
      </c>
      <c r="C708" s="76">
        <v>2018</v>
      </c>
      <c r="D708" s="76" t="s">
        <v>34</v>
      </c>
      <c r="E708" s="76" t="s">
        <v>32</v>
      </c>
      <c r="F708" s="76">
        <v>5</v>
      </c>
    </row>
    <row r="709" spans="1:6">
      <c r="A709">
        <v>771</v>
      </c>
      <c r="B709">
        <v>132018270</v>
      </c>
      <c r="C709" s="76">
        <v>2018</v>
      </c>
      <c r="D709" s="76" t="s">
        <v>31</v>
      </c>
      <c r="E709" s="76" t="s">
        <v>32</v>
      </c>
      <c r="F709" s="76">
        <v>7</v>
      </c>
    </row>
    <row r="710" spans="1:6">
      <c r="A710">
        <v>797</v>
      </c>
      <c r="B710">
        <v>132018270</v>
      </c>
      <c r="C710" s="76">
        <v>2018</v>
      </c>
      <c r="D710" s="76" t="s">
        <v>31</v>
      </c>
      <c r="E710" s="76" t="s">
        <v>32</v>
      </c>
      <c r="F710" s="76">
        <v>4.5</v>
      </c>
    </row>
    <row r="711" spans="1:6">
      <c r="A711">
        <v>769</v>
      </c>
      <c r="B711">
        <v>132018270</v>
      </c>
      <c r="C711" s="76">
        <v>2018</v>
      </c>
      <c r="D711" s="76" t="s">
        <v>31</v>
      </c>
      <c r="E711" s="76" t="s">
        <v>32</v>
      </c>
      <c r="F711" s="76">
        <v>2</v>
      </c>
    </row>
    <row r="712" spans="1:6">
      <c r="A712">
        <v>779</v>
      </c>
      <c r="B712">
        <v>132018270</v>
      </c>
      <c r="C712" s="76">
        <v>2018</v>
      </c>
      <c r="D712" s="76" t="s">
        <v>31</v>
      </c>
      <c r="E712" s="76" t="s">
        <v>32</v>
      </c>
      <c r="F712" s="76">
        <v>0.31</v>
      </c>
    </row>
    <row r="713" spans="1:6">
      <c r="A713">
        <v>796</v>
      </c>
      <c r="B713">
        <v>132018270</v>
      </c>
      <c r="C713" s="76">
        <v>2018</v>
      </c>
      <c r="D713" s="76" t="s">
        <v>31</v>
      </c>
      <c r="E713" s="76" t="s">
        <v>32</v>
      </c>
      <c r="F713" s="76">
        <v>2.69</v>
      </c>
    </row>
    <row r="714" spans="1:6">
      <c r="A714">
        <v>795</v>
      </c>
      <c r="B714">
        <v>132018270</v>
      </c>
      <c r="C714" s="76">
        <v>2018</v>
      </c>
      <c r="D714" s="76" t="s">
        <v>31</v>
      </c>
      <c r="E714" s="76" t="s">
        <v>32</v>
      </c>
      <c r="F714" s="76">
        <v>2</v>
      </c>
    </row>
    <row r="715" spans="1:6">
      <c r="A715">
        <v>762</v>
      </c>
      <c r="B715">
        <v>132018270</v>
      </c>
      <c r="C715" s="76">
        <v>2018</v>
      </c>
      <c r="D715" s="76" t="s">
        <v>31</v>
      </c>
      <c r="E715" s="76" t="s">
        <v>32</v>
      </c>
      <c r="F715" s="76">
        <v>2.09</v>
      </c>
    </row>
    <row r="716" spans="1:6">
      <c r="A716">
        <v>786</v>
      </c>
      <c r="B716">
        <v>132018270</v>
      </c>
      <c r="C716" s="76">
        <v>2018</v>
      </c>
      <c r="D716" s="76" t="s">
        <v>31</v>
      </c>
      <c r="E716" s="76" t="s">
        <v>32</v>
      </c>
      <c r="F716" s="76">
        <v>1</v>
      </c>
    </row>
    <row r="717" spans="1:6">
      <c r="A717">
        <v>738</v>
      </c>
      <c r="B717">
        <v>132018270</v>
      </c>
      <c r="C717" s="76">
        <v>2018</v>
      </c>
      <c r="D717" s="76" t="s">
        <v>31</v>
      </c>
      <c r="E717" s="76" t="s">
        <v>32</v>
      </c>
      <c r="F717" s="76">
        <v>3</v>
      </c>
    </row>
    <row r="718" spans="1:6">
      <c r="A718">
        <v>773</v>
      </c>
      <c r="B718">
        <v>132018270</v>
      </c>
      <c r="C718" s="76">
        <v>2018</v>
      </c>
      <c r="D718" s="76" t="s">
        <v>31</v>
      </c>
      <c r="E718" s="76" t="s">
        <v>32</v>
      </c>
      <c r="F718" s="76">
        <v>1.75</v>
      </c>
    </row>
    <row r="719" spans="1:6">
      <c r="A719">
        <v>783</v>
      </c>
      <c r="B719">
        <v>132018270</v>
      </c>
      <c r="C719" s="76">
        <v>2018</v>
      </c>
      <c r="D719" s="76" t="s">
        <v>31</v>
      </c>
      <c r="E719" s="76" t="s">
        <v>32</v>
      </c>
      <c r="F719" s="76">
        <v>3.75</v>
      </c>
    </row>
    <row r="720" spans="1:6">
      <c r="A720">
        <v>744</v>
      </c>
      <c r="B720">
        <v>132018270</v>
      </c>
      <c r="C720" s="76">
        <v>2018</v>
      </c>
      <c r="D720" s="76" t="s">
        <v>31</v>
      </c>
      <c r="E720" s="76" t="s">
        <v>32</v>
      </c>
      <c r="F720" s="76">
        <v>10.65</v>
      </c>
    </row>
    <row r="721" spans="1:6">
      <c r="A721">
        <v>805</v>
      </c>
      <c r="B721">
        <v>132018270</v>
      </c>
      <c r="C721" s="76">
        <v>2018</v>
      </c>
      <c r="D721" s="76" t="s">
        <v>31</v>
      </c>
      <c r="E721" s="76" t="s">
        <v>32</v>
      </c>
      <c r="F721" s="76">
        <v>7.5</v>
      </c>
    </row>
    <row r="722" spans="1:6">
      <c r="A722">
        <v>789</v>
      </c>
      <c r="B722">
        <v>132018270</v>
      </c>
      <c r="C722" s="76">
        <v>2018</v>
      </c>
      <c r="D722" s="76" t="s">
        <v>31</v>
      </c>
      <c r="E722" s="76" t="s">
        <v>32</v>
      </c>
      <c r="F722" s="76">
        <v>1</v>
      </c>
    </row>
    <row r="723" spans="1:6">
      <c r="A723">
        <v>788</v>
      </c>
      <c r="B723">
        <v>132018270</v>
      </c>
      <c r="C723" s="76">
        <v>2018</v>
      </c>
      <c r="D723" s="76" t="s">
        <v>31</v>
      </c>
      <c r="E723" s="76" t="s">
        <v>32</v>
      </c>
      <c r="F723" s="76">
        <v>1.8</v>
      </c>
    </row>
    <row r="724" spans="1:6">
      <c r="A724">
        <v>787</v>
      </c>
      <c r="B724">
        <v>132018270</v>
      </c>
      <c r="C724" s="76">
        <v>2018</v>
      </c>
      <c r="D724" s="76" t="s">
        <v>31</v>
      </c>
      <c r="E724" s="76" t="s">
        <v>32</v>
      </c>
      <c r="F724" s="76">
        <v>5</v>
      </c>
    </row>
    <row r="725" spans="1:6">
      <c r="A725">
        <v>745</v>
      </c>
      <c r="B725">
        <v>132018270</v>
      </c>
      <c r="C725" s="76">
        <v>2018</v>
      </c>
      <c r="D725" s="76" t="s">
        <v>31</v>
      </c>
      <c r="E725" s="76" t="s">
        <v>32</v>
      </c>
      <c r="F725" s="76">
        <v>0.38</v>
      </c>
    </row>
    <row r="726" spans="1:6">
      <c r="A726">
        <v>803</v>
      </c>
      <c r="B726">
        <v>132018270</v>
      </c>
      <c r="C726" s="76">
        <v>2018</v>
      </c>
      <c r="D726" s="76" t="s">
        <v>31</v>
      </c>
      <c r="E726" s="76" t="s">
        <v>32</v>
      </c>
      <c r="F726" s="76">
        <v>0.9</v>
      </c>
    </row>
    <row r="727" spans="1:6">
      <c r="A727">
        <v>812</v>
      </c>
      <c r="B727">
        <v>132018270</v>
      </c>
      <c r="C727" s="76">
        <v>2018</v>
      </c>
      <c r="D727" s="76" t="s">
        <v>31</v>
      </c>
      <c r="E727" s="76" t="s">
        <v>32</v>
      </c>
      <c r="F727" s="76">
        <v>3</v>
      </c>
    </row>
    <row r="728" spans="1:6">
      <c r="A728">
        <v>802</v>
      </c>
      <c r="B728">
        <v>132018270</v>
      </c>
      <c r="C728" s="76">
        <v>2018</v>
      </c>
      <c r="D728" s="76" t="s">
        <v>31</v>
      </c>
      <c r="E728" s="76" t="s">
        <v>32</v>
      </c>
      <c r="F728" s="76">
        <v>0.96</v>
      </c>
    </row>
    <row r="729" spans="1:6">
      <c r="A729">
        <v>799</v>
      </c>
      <c r="B729">
        <v>132018270</v>
      </c>
      <c r="C729" s="76">
        <v>2018</v>
      </c>
      <c r="D729" s="76" t="s">
        <v>31</v>
      </c>
      <c r="E729" s="76" t="s">
        <v>32</v>
      </c>
      <c r="F729" s="76">
        <v>1.4</v>
      </c>
    </row>
    <row r="730" spans="1:6">
      <c r="A730">
        <v>761</v>
      </c>
      <c r="B730">
        <v>132018270</v>
      </c>
      <c r="C730" s="76">
        <v>2018</v>
      </c>
      <c r="D730" s="76" t="s">
        <v>31</v>
      </c>
      <c r="E730" s="76" t="s">
        <v>32</v>
      </c>
      <c r="F730" s="76">
        <v>3</v>
      </c>
    </row>
    <row r="731" spans="1:6">
      <c r="A731">
        <v>800</v>
      </c>
      <c r="B731">
        <v>132018270</v>
      </c>
      <c r="C731" s="76">
        <v>2018</v>
      </c>
      <c r="D731" s="76" t="s">
        <v>31</v>
      </c>
      <c r="E731" s="76" t="s">
        <v>32</v>
      </c>
      <c r="F731" s="76">
        <v>3</v>
      </c>
    </row>
    <row r="732" spans="1:6">
      <c r="A732">
        <v>743</v>
      </c>
      <c r="B732">
        <v>132018270</v>
      </c>
      <c r="C732" s="76">
        <v>2018</v>
      </c>
      <c r="D732" s="76" t="s">
        <v>31</v>
      </c>
      <c r="E732" s="76" t="s">
        <v>32</v>
      </c>
      <c r="F732" s="76">
        <v>2</v>
      </c>
    </row>
    <row r="733" spans="1:6">
      <c r="A733">
        <v>768</v>
      </c>
      <c r="B733">
        <v>132018270</v>
      </c>
      <c r="C733" s="76">
        <v>2018</v>
      </c>
      <c r="D733" s="76" t="s">
        <v>31</v>
      </c>
      <c r="E733" s="76" t="s">
        <v>32</v>
      </c>
      <c r="F733" s="76">
        <v>5</v>
      </c>
    </row>
    <row r="734" spans="1:6">
      <c r="A734">
        <v>770</v>
      </c>
      <c r="B734">
        <v>132018270</v>
      </c>
      <c r="C734" s="76">
        <v>2018</v>
      </c>
      <c r="D734" s="76" t="s">
        <v>31</v>
      </c>
      <c r="E734" s="76" t="s">
        <v>32</v>
      </c>
      <c r="F734" s="76">
        <v>5.8</v>
      </c>
    </row>
    <row r="735" spans="1:6">
      <c r="A735">
        <v>775</v>
      </c>
      <c r="B735">
        <v>132018270</v>
      </c>
      <c r="C735" s="76">
        <v>2018</v>
      </c>
      <c r="D735" s="76" t="s">
        <v>31</v>
      </c>
      <c r="E735" s="76" t="s">
        <v>32</v>
      </c>
      <c r="F735" s="76">
        <v>3</v>
      </c>
    </row>
    <row r="736" spans="1:6">
      <c r="A736">
        <v>752</v>
      </c>
      <c r="B736">
        <v>132018270</v>
      </c>
      <c r="C736" s="76">
        <v>2018</v>
      </c>
      <c r="D736" s="76" t="s">
        <v>31</v>
      </c>
      <c r="E736" s="76" t="s">
        <v>32</v>
      </c>
      <c r="F736" s="76">
        <v>3.5</v>
      </c>
    </row>
    <row r="737" spans="1:6">
      <c r="A737">
        <v>808</v>
      </c>
      <c r="B737">
        <v>132018270</v>
      </c>
      <c r="C737" s="76">
        <v>2018</v>
      </c>
      <c r="D737" s="76" t="s">
        <v>31</v>
      </c>
      <c r="E737" s="76" t="s">
        <v>32</v>
      </c>
      <c r="F737" s="76">
        <v>3</v>
      </c>
    </row>
    <row r="738" spans="1:6">
      <c r="A738">
        <v>785</v>
      </c>
      <c r="B738">
        <v>132018270</v>
      </c>
      <c r="C738" s="76">
        <v>2018</v>
      </c>
      <c r="D738" s="76" t="s">
        <v>31</v>
      </c>
      <c r="E738" s="76" t="s">
        <v>32</v>
      </c>
      <c r="F738" s="76">
        <v>2.5</v>
      </c>
    </row>
    <row r="739" spans="1:6">
      <c r="A739">
        <v>734</v>
      </c>
      <c r="B739">
        <v>132018270</v>
      </c>
      <c r="C739" s="76">
        <v>2018</v>
      </c>
      <c r="D739" s="76" t="s">
        <v>31</v>
      </c>
      <c r="E739" s="76" t="s">
        <v>32</v>
      </c>
      <c r="F739" s="76">
        <v>5</v>
      </c>
    </row>
    <row r="740" spans="1:6">
      <c r="A740">
        <v>749</v>
      </c>
      <c r="B740">
        <v>132018270</v>
      </c>
      <c r="C740" s="76">
        <v>2018</v>
      </c>
      <c r="D740" s="76" t="s">
        <v>31</v>
      </c>
      <c r="E740" s="76" t="s">
        <v>32</v>
      </c>
      <c r="F740" s="76">
        <v>1.6</v>
      </c>
    </row>
    <row r="741" spans="1:6">
      <c r="A741">
        <v>739</v>
      </c>
      <c r="B741">
        <v>132018270</v>
      </c>
      <c r="C741" s="76">
        <v>2018</v>
      </c>
      <c r="D741" s="76" t="s">
        <v>31</v>
      </c>
      <c r="E741" s="76" t="s">
        <v>32</v>
      </c>
      <c r="F741" s="76">
        <v>3.38</v>
      </c>
    </row>
    <row r="742" spans="1:6">
      <c r="A742">
        <v>811</v>
      </c>
      <c r="B742">
        <v>132018270</v>
      </c>
      <c r="C742" s="76">
        <v>2018</v>
      </c>
      <c r="D742" s="76" t="s">
        <v>31</v>
      </c>
      <c r="E742" s="76" t="s">
        <v>32</v>
      </c>
      <c r="F742" s="76">
        <v>3</v>
      </c>
    </row>
    <row r="743" spans="1:6">
      <c r="A743">
        <v>746</v>
      </c>
      <c r="B743">
        <v>132018270</v>
      </c>
      <c r="C743" s="76">
        <v>2018</v>
      </c>
      <c r="D743" s="76" t="s">
        <v>31</v>
      </c>
      <c r="E743" s="76" t="s">
        <v>32</v>
      </c>
      <c r="F743" s="76">
        <v>0.5</v>
      </c>
    </row>
    <row r="744" spans="1:6">
      <c r="A744">
        <v>766</v>
      </c>
      <c r="B744">
        <v>132018270</v>
      </c>
      <c r="C744" s="76">
        <v>2018</v>
      </c>
      <c r="D744" s="76" t="s">
        <v>31</v>
      </c>
      <c r="E744" s="76" t="s">
        <v>32</v>
      </c>
      <c r="F744" s="76">
        <v>2</v>
      </c>
    </row>
    <row r="745" spans="1:6">
      <c r="A745">
        <v>742</v>
      </c>
      <c r="B745">
        <v>132018270</v>
      </c>
      <c r="C745" s="76">
        <v>2018</v>
      </c>
      <c r="D745" s="76" t="s">
        <v>31</v>
      </c>
      <c r="E745" s="76" t="s">
        <v>32</v>
      </c>
      <c r="F745" s="76">
        <v>0.49</v>
      </c>
    </row>
    <row r="746" spans="1:6">
      <c r="A746">
        <v>772</v>
      </c>
      <c r="B746">
        <v>132018270</v>
      </c>
      <c r="C746" s="76">
        <v>2018</v>
      </c>
      <c r="D746" s="76" t="s">
        <v>31</v>
      </c>
      <c r="E746" s="76" t="s">
        <v>32</v>
      </c>
      <c r="F746" s="76">
        <v>3</v>
      </c>
    </row>
    <row r="747" spans="1:6">
      <c r="A747">
        <v>809</v>
      </c>
      <c r="B747">
        <v>132018270</v>
      </c>
      <c r="C747" s="76">
        <v>2018</v>
      </c>
      <c r="D747" s="76" t="s">
        <v>31</v>
      </c>
      <c r="E747" s="76" t="s">
        <v>32</v>
      </c>
      <c r="F747" s="76">
        <v>3</v>
      </c>
    </row>
    <row r="748" spans="1:6">
      <c r="A748">
        <v>806</v>
      </c>
      <c r="B748">
        <v>132018270</v>
      </c>
      <c r="C748" s="76">
        <v>2018</v>
      </c>
      <c r="D748" s="76" t="s">
        <v>31</v>
      </c>
      <c r="E748" s="76" t="s">
        <v>32</v>
      </c>
      <c r="F748" s="76">
        <v>2</v>
      </c>
    </row>
    <row r="749" spans="1:6">
      <c r="A749">
        <v>736</v>
      </c>
      <c r="B749">
        <v>132018270</v>
      </c>
      <c r="C749" s="76">
        <v>2018</v>
      </c>
      <c r="D749" s="76" t="s">
        <v>31</v>
      </c>
      <c r="E749" s="76" t="s">
        <v>32</v>
      </c>
      <c r="F749" s="76">
        <v>2</v>
      </c>
    </row>
    <row r="750" spans="1:6">
      <c r="A750">
        <v>781</v>
      </c>
      <c r="B750">
        <v>132018270</v>
      </c>
      <c r="C750" s="76">
        <v>2018</v>
      </c>
      <c r="D750" s="76" t="s">
        <v>31</v>
      </c>
      <c r="E750" s="76" t="s">
        <v>32</v>
      </c>
      <c r="F750" s="76">
        <v>2</v>
      </c>
    </row>
    <row r="751" spans="1:6">
      <c r="A751">
        <v>793</v>
      </c>
      <c r="B751">
        <v>132018270</v>
      </c>
      <c r="C751" s="76">
        <v>2018</v>
      </c>
      <c r="D751" s="76" t="s">
        <v>31</v>
      </c>
      <c r="E751" s="76" t="s">
        <v>32</v>
      </c>
      <c r="F751" s="76">
        <v>3</v>
      </c>
    </row>
    <row r="752" spans="1:6">
      <c r="A752">
        <v>741</v>
      </c>
      <c r="B752">
        <v>132018270</v>
      </c>
      <c r="C752" s="76">
        <v>2018</v>
      </c>
      <c r="D752" s="76" t="s">
        <v>31</v>
      </c>
      <c r="E752" s="76" t="s">
        <v>32</v>
      </c>
      <c r="F752" s="76">
        <v>2</v>
      </c>
    </row>
    <row r="753" spans="1:6">
      <c r="A753">
        <v>804</v>
      </c>
      <c r="B753">
        <v>132018270</v>
      </c>
      <c r="C753" s="76">
        <v>2018</v>
      </c>
      <c r="D753" s="76" t="s">
        <v>31</v>
      </c>
      <c r="E753" s="76" t="s">
        <v>32</v>
      </c>
      <c r="F753" s="76">
        <v>3</v>
      </c>
    </row>
    <row r="754" spans="1:6">
      <c r="A754">
        <v>754</v>
      </c>
      <c r="B754">
        <v>132018270</v>
      </c>
      <c r="C754" s="76">
        <v>2018</v>
      </c>
      <c r="D754" s="76" t="s">
        <v>31</v>
      </c>
      <c r="E754" s="76" t="s">
        <v>32</v>
      </c>
      <c r="F754" s="76">
        <v>2</v>
      </c>
    </row>
    <row r="755" spans="1:6">
      <c r="A755">
        <v>735</v>
      </c>
      <c r="B755">
        <v>132018270</v>
      </c>
      <c r="C755" s="76">
        <v>2018</v>
      </c>
      <c r="D755" s="76" t="s">
        <v>31</v>
      </c>
      <c r="E755" s="76" t="s">
        <v>32</v>
      </c>
      <c r="F755" s="76">
        <v>2</v>
      </c>
    </row>
    <row r="756" spans="1:6">
      <c r="A756">
        <v>757</v>
      </c>
      <c r="B756">
        <v>132018270</v>
      </c>
      <c r="C756" s="76">
        <v>2018</v>
      </c>
      <c r="D756" s="76" t="s">
        <v>31</v>
      </c>
      <c r="E756" s="76" t="s">
        <v>32</v>
      </c>
      <c r="F756" s="76">
        <v>2</v>
      </c>
    </row>
    <row r="757" spans="1:6">
      <c r="A757">
        <v>758</v>
      </c>
      <c r="B757">
        <v>132018270</v>
      </c>
      <c r="C757" s="76">
        <v>2018</v>
      </c>
      <c r="D757" s="76" t="s">
        <v>31</v>
      </c>
      <c r="E757" s="76" t="s">
        <v>32</v>
      </c>
      <c r="F757" s="76">
        <v>2</v>
      </c>
    </row>
    <row r="758" spans="1:6">
      <c r="A758">
        <v>790</v>
      </c>
      <c r="B758">
        <v>132018270</v>
      </c>
      <c r="C758" s="76">
        <v>2018</v>
      </c>
      <c r="D758" s="76" t="s">
        <v>31</v>
      </c>
      <c r="E758" s="76" t="s">
        <v>32</v>
      </c>
      <c r="F758" s="76">
        <v>1</v>
      </c>
    </row>
    <row r="759" spans="1:6">
      <c r="A759">
        <v>774</v>
      </c>
      <c r="B759">
        <v>132018270</v>
      </c>
      <c r="C759" s="76">
        <v>2018</v>
      </c>
      <c r="D759" s="76" t="s">
        <v>31</v>
      </c>
      <c r="E759" s="76" t="s">
        <v>32</v>
      </c>
      <c r="F759" s="76">
        <v>5</v>
      </c>
    </row>
    <row r="760" spans="1:6">
      <c r="A760">
        <v>767</v>
      </c>
      <c r="B760">
        <v>132018270</v>
      </c>
      <c r="C760" s="76">
        <v>2018</v>
      </c>
      <c r="D760" s="76" t="s">
        <v>31</v>
      </c>
      <c r="E760" s="76" t="s">
        <v>32</v>
      </c>
      <c r="F760" s="76">
        <v>6</v>
      </c>
    </row>
    <row r="761" spans="1:6">
      <c r="A761">
        <v>807</v>
      </c>
      <c r="B761">
        <v>132018270</v>
      </c>
      <c r="C761" s="76">
        <v>2018</v>
      </c>
      <c r="D761" s="76" t="s">
        <v>31</v>
      </c>
      <c r="E761" s="76" t="s">
        <v>32</v>
      </c>
      <c r="F761" s="76">
        <v>2</v>
      </c>
    </row>
    <row r="762" spans="1:6">
      <c r="A762">
        <v>764</v>
      </c>
      <c r="B762">
        <v>132018270</v>
      </c>
      <c r="C762" s="76">
        <v>2018</v>
      </c>
      <c r="D762" s="76" t="s">
        <v>31</v>
      </c>
      <c r="E762" s="76" t="s">
        <v>32</v>
      </c>
      <c r="F762" s="76">
        <v>2</v>
      </c>
    </row>
    <row r="763" spans="1:6">
      <c r="A763">
        <v>763</v>
      </c>
      <c r="B763">
        <v>132018270</v>
      </c>
      <c r="C763" s="76">
        <v>2018</v>
      </c>
      <c r="D763" s="76" t="s">
        <v>31</v>
      </c>
      <c r="E763" s="76" t="s">
        <v>32</v>
      </c>
      <c r="F763" s="76">
        <v>2</v>
      </c>
    </row>
    <row r="764" spans="1:6">
      <c r="A764">
        <v>791</v>
      </c>
      <c r="B764">
        <v>132018270</v>
      </c>
      <c r="C764" s="76">
        <v>2018</v>
      </c>
      <c r="D764" s="76" t="s">
        <v>31</v>
      </c>
      <c r="E764" s="76" t="s">
        <v>32</v>
      </c>
      <c r="F764" s="76">
        <v>3</v>
      </c>
    </row>
    <row r="765" spans="1:6">
      <c r="A765">
        <v>755</v>
      </c>
      <c r="B765">
        <v>132018270</v>
      </c>
      <c r="C765" s="76">
        <v>2018</v>
      </c>
      <c r="D765" s="76" t="s">
        <v>31</v>
      </c>
      <c r="E765" s="76" t="s">
        <v>32</v>
      </c>
      <c r="F765" s="76">
        <v>2</v>
      </c>
    </row>
    <row r="766" spans="1:6">
      <c r="A766">
        <v>737</v>
      </c>
      <c r="B766">
        <v>132018270</v>
      </c>
      <c r="C766" s="76">
        <v>2018</v>
      </c>
      <c r="D766" s="76" t="s">
        <v>31</v>
      </c>
      <c r="E766" s="76" t="s">
        <v>32</v>
      </c>
      <c r="F766" s="76">
        <v>2</v>
      </c>
    </row>
    <row r="767" spans="1:6">
      <c r="A767">
        <v>753</v>
      </c>
      <c r="B767">
        <v>132018270</v>
      </c>
      <c r="C767" s="76">
        <v>2018</v>
      </c>
      <c r="D767" s="76" t="s">
        <v>31</v>
      </c>
      <c r="E767" s="76" t="s">
        <v>32</v>
      </c>
      <c r="F767" s="76">
        <v>1.5</v>
      </c>
    </row>
    <row r="768" spans="1:6">
      <c r="A768">
        <v>776</v>
      </c>
      <c r="B768">
        <v>132018270</v>
      </c>
      <c r="C768" s="76">
        <v>2018</v>
      </c>
      <c r="D768" s="76" t="s">
        <v>31</v>
      </c>
      <c r="E768" s="76" t="s">
        <v>32</v>
      </c>
      <c r="F768" s="76">
        <v>4.4</v>
      </c>
    </row>
    <row r="769" spans="1:6">
      <c r="A769">
        <v>777</v>
      </c>
      <c r="B769">
        <v>132018270</v>
      </c>
      <c r="C769" s="76">
        <v>2018</v>
      </c>
      <c r="D769" s="76" t="s">
        <v>31</v>
      </c>
      <c r="E769" s="76" t="s">
        <v>32</v>
      </c>
      <c r="F769" s="76">
        <v>3</v>
      </c>
    </row>
    <row r="770" spans="1:6">
      <c r="A770">
        <v>748</v>
      </c>
      <c r="B770">
        <v>132018270</v>
      </c>
      <c r="C770" s="76">
        <v>2018</v>
      </c>
      <c r="D770" s="76" t="s">
        <v>31</v>
      </c>
      <c r="E770" s="76" t="s">
        <v>32</v>
      </c>
      <c r="F770" s="76">
        <v>1.5</v>
      </c>
    </row>
    <row r="771" spans="1:6">
      <c r="A771">
        <v>747</v>
      </c>
      <c r="B771">
        <v>132018270</v>
      </c>
      <c r="C771" s="76">
        <v>2018</v>
      </c>
      <c r="D771" s="76" t="s">
        <v>31</v>
      </c>
      <c r="E771" s="76" t="s">
        <v>32</v>
      </c>
      <c r="F771" s="76">
        <v>0.7</v>
      </c>
    </row>
    <row r="772" spans="1:6">
      <c r="A772">
        <v>792</v>
      </c>
      <c r="B772">
        <v>132018270</v>
      </c>
      <c r="C772" s="76">
        <v>2018</v>
      </c>
      <c r="D772" s="76" t="s">
        <v>31</v>
      </c>
      <c r="E772" s="76" t="s">
        <v>32</v>
      </c>
      <c r="F772" s="76">
        <v>3</v>
      </c>
    </row>
    <row r="773" spans="1:6">
      <c r="A773">
        <v>794</v>
      </c>
      <c r="B773">
        <v>132018270</v>
      </c>
      <c r="C773" s="76">
        <v>2018</v>
      </c>
      <c r="D773" s="76" t="s">
        <v>31</v>
      </c>
      <c r="E773" s="76" t="s">
        <v>32</v>
      </c>
      <c r="F773" s="76">
        <v>2</v>
      </c>
    </row>
    <row r="774" spans="1:6">
      <c r="A774">
        <v>765</v>
      </c>
      <c r="B774">
        <v>132018270</v>
      </c>
      <c r="C774" s="76">
        <v>2018</v>
      </c>
      <c r="D774" s="76" t="s">
        <v>31</v>
      </c>
      <c r="E774" s="76" t="s">
        <v>32</v>
      </c>
      <c r="F774" s="76">
        <v>3</v>
      </c>
    </row>
    <row r="775" spans="1:6">
      <c r="A775">
        <v>756</v>
      </c>
      <c r="B775">
        <v>132018270</v>
      </c>
      <c r="C775" s="76">
        <v>2018</v>
      </c>
      <c r="D775" s="76" t="s">
        <v>31</v>
      </c>
      <c r="E775" s="76" t="s">
        <v>32</v>
      </c>
      <c r="F775" s="76">
        <v>2.5</v>
      </c>
    </row>
    <row r="776" spans="1:6">
      <c r="A776">
        <v>759</v>
      </c>
      <c r="B776">
        <v>132018270</v>
      </c>
      <c r="C776" s="76">
        <v>2018</v>
      </c>
      <c r="D776" s="76" t="s">
        <v>31</v>
      </c>
      <c r="E776" s="76" t="s">
        <v>32</v>
      </c>
      <c r="F776" s="76">
        <v>2.5</v>
      </c>
    </row>
    <row r="777" spans="1:6">
      <c r="A777">
        <v>760</v>
      </c>
      <c r="B777">
        <v>132018270</v>
      </c>
      <c r="C777" s="76">
        <v>2018</v>
      </c>
      <c r="D777" s="76" t="s">
        <v>31</v>
      </c>
      <c r="E777" s="76" t="s">
        <v>32</v>
      </c>
      <c r="F777" s="76">
        <v>2</v>
      </c>
    </row>
    <row r="778" spans="1:6">
      <c r="A778">
        <v>778</v>
      </c>
      <c r="B778">
        <v>132018270</v>
      </c>
      <c r="C778" s="76">
        <v>2018</v>
      </c>
      <c r="D778" s="76" t="s">
        <v>31</v>
      </c>
      <c r="E778" s="76" t="s">
        <v>32</v>
      </c>
      <c r="F778" s="76">
        <v>2</v>
      </c>
    </row>
    <row r="779" spans="1:6">
      <c r="A779">
        <v>801</v>
      </c>
      <c r="B779">
        <v>132018270</v>
      </c>
      <c r="C779" s="76">
        <v>2018</v>
      </c>
      <c r="D779" s="76" t="s">
        <v>31</v>
      </c>
      <c r="E779" s="76" t="s">
        <v>32</v>
      </c>
      <c r="F779" s="76">
        <v>3</v>
      </c>
    </row>
    <row r="780" spans="1:6">
      <c r="A780">
        <v>782</v>
      </c>
      <c r="B780">
        <v>132018270</v>
      </c>
      <c r="C780" s="76">
        <v>2018</v>
      </c>
      <c r="D780" s="76" t="s">
        <v>31</v>
      </c>
      <c r="E780" s="76" t="s">
        <v>32</v>
      </c>
      <c r="F780" s="76">
        <v>2</v>
      </c>
    </row>
    <row r="781" spans="1:6">
      <c r="A781">
        <v>740</v>
      </c>
      <c r="B781">
        <v>132018270</v>
      </c>
      <c r="C781" s="76">
        <v>2018</v>
      </c>
      <c r="D781" s="76" t="s">
        <v>31</v>
      </c>
      <c r="E781" s="76" t="s">
        <v>32</v>
      </c>
      <c r="F781" s="76">
        <v>3</v>
      </c>
    </row>
    <row r="782" spans="1:6">
      <c r="A782">
        <v>798</v>
      </c>
      <c r="B782">
        <v>132018270</v>
      </c>
      <c r="C782" s="76">
        <v>2018</v>
      </c>
      <c r="D782" s="76" t="s">
        <v>31</v>
      </c>
      <c r="E782" s="76" t="s">
        <v>32</v>
      </c>
      <c r="F782" s="76">
        <v>0.05</v>
      </c>
    </row>
    <row r="783" spans="1:6">
      <c r="A783">
        <v>810</v>
      </c>
      <c r="B783">
        <v>132018270</v>
      </c>
      <c r="C783" s="76">
        <v>2018</v>
      </c>
      <c r="D783" s="76" t="s">
        <v>31</v>
      </c>
      <c r="E783" s="76" t="s">
        <v>32</v>
      </c>
      <c r="F783" s="76">
        <v>10</v>
      </c>
    </row>
    <row r="784" spans="1:6">
      <c r="A784">
        <v>780</v>
      </c>
      <c r="B784">
        <v>132018270</v>
      </c>
      <c r="C784" s="76">
        <v>2018</v>
      </c>
      <c r="D784" s="76" t="s">
        <v>31</v>
      </c>
      <c r="E784" s="76" t="s">
        <v>32</v>
      </c>
      <c r="F784" s="76">
        <v>3</v>
      </c>
    </row>
    <row r="785" spans="1:6">
      <c r="A785">
        <v>784</v>
      </c>
      <c r="B785">
        <v>132018270</v>
      </c>
      <c r="C785" s="76">
        <v>2018</v>
      </c>
      <c r="D785" s="76" t="s">
        <v>31</v>
      </c>
      <c r="E785" s="76" t="s">
        <v>32</v>
      </c>
      <c r="F785" s="76">
        <v>1.6</v>
      </c>
    </row>
    <row r="786" spans="1:6">
      <c r="A786">
        <v>813</v>
      </c>
      <c r="B786">
        <v>132019110</v>
      </c>
      <c r="C786" s="76">
        <v>2019</v>
      </c>
      <c r="D786" s="76" t="s">
        <v>40</v>
      </c>
      <c r="E786" s="76" t="s">
        <v>32</v>
      </c>
      <c r="F786" s="76">
        <v>0.04</v>
      </c>
    </row>
    <row r="787" spans="1:6">
      <c r="A787">
        <v>816</v>
      </c>
      <c r="B787">
        <v>132019211</v>
      </c>
      <c r="C787" s="76">
        <v>2019</v>
      </c>
      <c r="D787" s="76" t="s">
        <v>37</v>
      </c>
      <c r="E787" s="76">
        <v>1</v>
      </c>
      <c r="F787" s="76">
        <v>35</v>
      </c>
    </row>
    <row r="788" spans="1:6">
      <c r="A788">
        <v>818</v>
      </c>
      <c r="B788">
        <v>132019211</v>
      </c>
      <c r="C788" s="76">
        <v>2019</v>
      </c>
      <c r="D788" s="76" t="s">
        <v>37</v>
      </c>
      <c r="E788" s="76" t="s">
        <v>32</v>
      </c>
      <c r="F788" s="76">
        <v>1.5</v>
      </c>
    </row>
    <row r="789" spans="1:6">
      <c r="A789">
        <v>821</v>
      </c>
      <c r="B789">
        <v>132019211</v>
      </c>
      <c r="C789" s="76">
        <v>2019</v>
      </c>
      <c r="D789" s="76" t="s">
        <v>37</v>
      </c>
      <c r="E789" s="76" t="s">
        <v>32</v>
      </c>
      <c r="F789" s="76">
        <v>3.5</v>
      </c>
    </row>
    <row r="790" spans="1:6">
      <c r="A790">
        <v>815</v>
      </c>
      <c r="B790">
        <v>132019211</v>
      </c>
      <c r="C790" s="76">
        <v>2019</v>
      </c>
      <c r="D790" s="76" t="s">
        <v>37</v>
      </c>
      <c r="E790" s="76">
        <v>1</v>
      </c>
      <c r="F790" s="76">
        <v>35</v>
      </c>
    </row>
    <row r="791" spans="1:6">
      <c r="A791">
        <v>817</v>
      </c>
      <c r="B791">
        <v>132019211</v>
      </c>
      <c r="C791" s="76">
        <v>2019</v>
      </c>
      <c r="D791" s="76" t="s">
        <v>37</v>
      </c>
      <c r="E791" s="76">
        <v>1</v>
      </c>
      <c r="F791" s="76">
        <v>60</v>
      </c>
    </row>
    <row r="792" spans="1:6">
      <c r="A792">
        <v>814</v>
      </c>
      <c r="B792">
        <v>132019211</v>
      </c>
      <c r="C792" s="76">
        <v>2019</v>
      </c>
      <c r="D792" s="76" t="s">
        <v>37</v>
      </c>
      <c r="E792" s="76">
        <v>1</v>
      </c>
      <c r="F792" s="76">
        <v>5</v>
      </c>
    </row>
    <row r="793" spans="1:6">
      <c r="A793">
        <v>820</v>
      </c>
      <c r="B793">
        <v>132019211</v>
      </c>
      <c r="C793" s="76">
        <v>2019</v>
      </c>
      <c r="D793" s="76" t="s">
        <v>37</v>
      </c>
      <c r="E793" s="76" t="s">
        <v>32</v>
      </c>
      <c r="F793" s="76">
        <v>2</v>
      </c>
    </row>
    <row r="794" spans="1:6">
      <c r="A794">
        <v>819</v>
      </c>
      <c r="B794">
        <v>132019211</v>
      </c>
      <c r="C794" s="76">
        <v>2019</v>
      </c>
      <c r="D794" s="76" t="s">
        <v>37</v>
      </c>
      <c r="E794" s="76">
        <v>1</v>
      </c>
      <c r="F794" s="76">
        <v>100</v>
      </c>
    </row>
    <row r="795" spans="1:6">
      <c r="A795">
        <v>822</v>
      </c>
      <c r="B795">
        <v>132019221</v>
      </c>
      <c r="C795" s="76">
        <v>2019</v>
      </c>
      <c r="D795" s="76" t="s">
        <v>30</v>
      </c>
      <c r="E795" s="76">
        <v>1</v>
      </c>
      <c r="F795" s="76">
        <v>45.36</v>
      </c>
    </row>
    <row r="796" spans="1:6">
      <c r="A796">
        <v>825</v>
      </c>
      <c r="B796">
        <v>132019241</v>
      </c>
      <c r="C796" s="76">
        <v>2019</v>
      </c>
      <c r="D796" s="76" t="s">
        <v>33</v>
      </c>
      <c r="E796" s="76" t="s">
        <v>32</v>
      </c>
      <c r="F796" s="76">
        <v>0.9</v>
      </c>
    </row>
    <row r="797" spans="1:6">
      <c r="A797">
        <v>823</v>
      </c>
      <c r="B797">
        <v>132019241</v>
      </c>
      <c r="C797" s="76">
        <v>2019</v>
      </c>
      <c r="D797" s="76" t="s">
        <v>33</v>
      </c>
      <c r="E797" s="76" t="s">
        <v>32</v>
      </c>
      <c r="F797" s="76">
        <v>0.6</v>
      </c>
    </row>
    <row r="798" spans="1:6">
      <c r="A798">
        <v>824</v>
      </c>
      <c r="B798">
        <v>132019241</v>
      </c>
      <c r="C798" s="76">
        <v>2019</v>
      </c>
      <c r="D798" s="76" t="s">
        <v>33</v>
      </c>
      <c r="E798" s="76" t="s">
        <v>32</v>
      </c>
      <c r="F798" s="76">
        <v>4.2</v>
      </c>
    </row>
    <row r="799" spans="1:6">
      <c r="A799">
        <v>826</v>
      </c>
      <c r="B799">
        <v>132019241</v>
      </c>
      <c r="C799" s="76">
        <v>2019</v>
      </c>
      <c r="D799" s="76" t="s">
        <v>33</v>
      </c>
      <c r="E799" s="76" t="s">
        <v>32</v>
      </c>
      <c r="F799" s="76">
        <v>2</v>
      </c>
    </row>
    <row r="800" spans="1:6">
      <c r="A800">
        <v>832</v>
      </c>
      <c r="B800">
        <v>132019242</v>
      </c>
      <c r="C800" s="76">
        <v>2019</v>
      </c>
      <c r="D800" s="76" t="s">
        <v>35</v>
      </c>
      <c r="E800" s="76" t="s">
        <v>32</v>
      </c>
      <c r="F800" s="76">
        <v>2.4</v>
      </c>
    </row>
    <row r="801" spans="1:6">
      <c r="A801">
        <v>828</v>
      </c>
      <c r="B801">
        <v>132019242</v>
      </c>
      <c r="C801" s="76">
        <v>2019</v>
      </c>
      <c r="D801" s="76" t="s">
        <v>35</v>
      </c>
      <c r="E801" s="76" t="s">
        <v>32</v>
      </c>
      <c r="F801" s="76">
        <v>2</v>
      </c>
    </row>
    <row r="802" spans="1:6">
      <c r="A802">
        <v>831</v>
      </c>
      <c r="B802">
        <v>132019242</v>
      </c>
      <c r="C802" s="76">
        <v>2019</v>
      </c>
      <c r="D802" s="76" t="s">
        <v>35</v>
      </c>
      <c r="E802" s="76" t="s">
        <v>32</v>
      </c>
      <c r="F802" s="76">
        <v>1.8</v>
      </c>
    </row>
    <row r="803" spans="1:6">
      <c r="A803">
        <v>827</v>
      </c>
      <c r="B803">
        <v>132019242</v>
      </c>
      <c r="C803" s="76">
        <v>2019</v>
      </c>
      <c r="D803" s="76" t="s">
        <v>35</v>
      </c>
      <c r="E803" s="76">
        <v>1</v>
      </c>
      <c r="F803" s="76">
        <v>1</v>
      </c>
    </row>
    <row r="804" spans="1:6">
      <c r="A804">
        <v>829</v>
      </c>
      <c r="B804">
        <v>132019242</v>
      </c>
      <c r="C804" s="76">
        <v>2019</v>
      </c>
      <c r="D804" s="76" t="s">
        <v>35</v>
      </c>
      <c r="E804" s="76" t="s">
        <v>32</v>
      </c>
      <c r="F804" s="76">
        <v>1</v>
      </c>
    </row>
    <row r="805" spans="1:6">
      <c r="A805">
        <v>830</v>
      </c>
      <c r="B805">
        <v>132019242</v>
      </c>
      <c r="C805" s="76">
        <v>2019</v>
      </c>
      <c r="D805" s="76" t="s">
        <v>35</v>
      </c>
      <c r="E805" s="76" t="s">
        <v>32</v>
      </c>
      <c r="F805" s="76">
        <v>1.95</v>
      </c>
    </row>
    <row r="806" spans="1:6">
      <c r="A806">
        <v>833</v>
      </c>
      <c r="B806">
        <v>132019243</v>
      </c>
      <c r="C806" s="76">
        <v>2019</v>
      </c>
      <c r="D806" s="76" t="s">
        <v>38</v>
      </c>
      <c r="E806" s="76" t="s">
        <v>32</v>
      </c>
      <c r="F806" s="76">
        <v>1.2</v>
      </c>
    </row>
    <row r="807" spans="1:6">
      <c r="A807">
        <v>834</v>
      </c>
      <c r="B807">
        <v>132019260</v>
      </c>
      <c r="C807" s="76">
        <v>2019</v>
      </c>
      <c r="D807" s="76" t="s">
        <v>34</v>
      </c>
      <c r="E807" s="76" t="s">
        <v>32</v>
      </c>
      <c r="F807" s="76">
        <v>11</v>
      </c>
    </row>
    <row r="808" spans="1:6">
      <c r="A808">
        <v>864</v>
      </c>
      <c r="B808">
        <v>132019260</v>
      </c>
      <c r="C808" s="76">
        <v>2019</v>
      </c>
      <c r="D808" s="76" t="s">
        <v>34</v>
      </c>
      <c r="E808" s="76" t="s">
        <v>32</v>
      </c>
      <c r="F808" s="76">
        <v>11</v>
      </c>
    </row>
    <row r="809" spans="1:6">
      <c r="A809">
        <v>846</v>
      </c>
      <c r="B809">
        <v>132019260</v>
      </c>
      <c r="C809" s="76">
        <v>2019</v>
      </c>
      <c r="D809" s="76" t="s">
        <v>34</v>
      </c>
      <c r="E809" s="76" t="s">
        <v>32</v>
      </c>
      <c r="F809" s="76">
        <v>9</v>
      </c>
    </row>
    <row r="810" spans="1:6">
      <c r="A810">
        <v>843</v>
      </c>
      <c r="B810">
        <v>132019260</v>
      </c>
      <c r="C810" s="76">
        <v>2019</v>
      </c>
      <c r="D810" s="76" t="s">
        <v>34</v>
      </c>
      <c r="E810" s="76">
        <v>50</v>
      </c>
      <c r="F810" s="76">
        <v>10</v>
      </c>
    </row>
    <row r="811" spans="1:6">
      <c r="A811">
        <v>858</v>
      </c>
      <c r="B811">
        <v>132019260</v>
      </c>
      <c r="C811" s="76">
        <v>2019</v>
      </c>
      <c r="D811" s="76" t="s">
        <v>34</v>
      </c>
      <c r="E811" s="76" t="s">
        <v>32</v>
      </c>
      <c r="F811" s="76">
        <v>10</v>
      </c>
    </row>
    <row r="812" spans="1:6">
      <c r="A812">
        <v>835</v>
      </c>
      <c r="B812">
        <v>132019260</v>
      </c>
      <c r="C812" s="76">
        <v>2019</v>
      </c>
      <c r="D812" s="76" t="s">
        <v>34</v>
      </c>
      <c r="E812" s="76" t="s">
        <v>32</v>
      </c>
      <c r="F812" s="76">
        <v>8.77</v>
      </c>
    </row>
    <row r="813" spans="1:6">
      <c r="A813">
        <v>836</v>
      </c>
      <c r="B813">
        <v>132019260</v>
      </c>
      <c r="C813" s="76">
        <v>2019</v>
      </c>
      <c r="D813" s="76" t="s">
        <v>34</v>
      </c>
      <c r="E813" s="76" t="s">
        <v>32</v>
      </c>
      <c r="F813" s="76">
        <v>5.78</v>
      </c>
    </row>
    <row r="814" spans="1:6">
      <c r="A814">
        <v>837</v>
      </c>
      <c r="B814">
        <v>132019260</v>
      </c>
      <c r="C814" s="76">
        <v>2019</v>
      </c>
      <c r="D814" s="76" t="s">
        <v>34</v>
      </c>
      <c r="E814" s="76" t="s">
        <v>32</v>
      </c>
      <c r="F814" s="76">
        <v>6.5</v>
      </c>
    </row>
    <row r="815" spans="1:6">
      <c r="A815">
        <v>853</v>
      </c>
      <c r="B815">
        <v>132019260</v>
      </c>
      <c r="C815" s="76">
        <v>2019</v>
      </c>
      <c r="D815" s="76" t="s">
        <v>34</v>
      </c>
      <c r="E815" s="76" t="s">
        <v>32</v>
      </c>
      <c r="F815" s="76">
        <v>5</v>
      </c>
    </row>
    <row r="816" spans="1:6">
      <c r="A816">
        <v>839</v>
      </c>
      <c r="B816">
        <v>132019260</v>
      </c>
      <c r="C816" s="76">
        <v>2019</v>
      </c>
      <c r="D816" s="76" t="s">
        <v>34</v>
      </c>
      <c r="E816" s="76">
        <v>24</v>
      </c>
      <c r="F816" s="76">
        <v>5</v>
      </c>
    </row>
    <row r="817" spans="1:6">
      <c r="A817">
        <v>845</v>
      </c>
      <c r="B817">
        <v>132019260</v>
      </c>
      <c r="C817" s="76">
        <v>2019</v>
      </c>
      <c r="D817" s="76" t="s">
        <v>34</v>
      </c>
      <c r="E817" s="76">
        <v>8</v>
      </c>
      <c r="F817" s="76">
        <v>1.6</v>
      </c>
    </row>
    <row r="818" spans="1:6">
      <c r="A818">
        <v>842</v>
      </c>
      <c r="B818">
        <v>132019260</v>
      </c>
      <c r="C818" s="76">
        <v>2019</v>
      </c>
      <c r="D818" s="76" t="s">
        <v>34</v>
      </c>
      <c r="E818" s="76">
        <v>100</v>
      </c>
      <c r="F818" s="76">
        <v>20</v>
      </c>
    </row>
    <row r="819" spans="1:6">
      <c r="A819">
        <v>862</v>
      </c>
      <c r="B819">
        <v>132019260</v>
      </c>
      <c r="C819" s="76">
        <v>2019</v>
      </c>
      <c r="D819" s="76" t="s">
        <v>34</v>
      </c>
      <c r="E819" s="76" t="s">
        <v>32</v>
      </c>
      <c r="F819" s="76">
        <v>2.1</v>
      </c>
    </row>
    <row r="820" spans="1:6">
      <c r="A820">
        <v>863</v>
      </c>
      <c r="B820">
        <v>132019260</v>
      </c>
      <c r="C820" s="76">
        <v>2019</v>
      </c>
      <c r="D820" s="76" t="s">
        <v>34</v>
      </c>
      <c r="E820" s="76" t="s">
        <v>32</v>
      </c>
      <c r="F820" s="76">
        <v>0.22</v>
      </c>
    </row>
    <row r="821" spans="1:6">
      <c r="A821">
        <v>850</v>
      </c>
      <c r="B821">
        <v>132019260</v>
      </c>
      <c r="C821" s="76">
        <v>2019</v>
      </c>
      <c r="D821" s="76" t="s">
        <v>34</v>
      </c>
      <c r="E821" s="76">
        <v>15</v>
      </c>
      <c r="F821" s="76">
        <v>3.3</v>
      </c>
    </row>
    <row r="822" spans="1:6">
      <c r="A822">
        <v>847</v>
      </c>
      <c r="B822">
        <v>132019260</v>
      </c>
      <c r="C822" s="76">
        <v>2019</v>
      </c>
      <c r="D822" s="76" t="s">
        <v>34</v>
      </c>
      <c r="E822" s="76">
        <v>30</v>
      </c>
      <c r="F822" s="76">
        <v>6.6</v>
      </c>
    </row>
    <row r="823" spans="1:6">
      <c r="A823">
        <v>838</v>
      </c>
      <c r="B823">
        <v>132019260</v>
      </c>
      <c r="C823" s="76">
        <v>2019</v>
      </c>
      <c r="D823" s="76" t="s">
        <v>34</v>
      </c>
      <c r="E823" s="76">
        <v>25</v>
      </c>
      <c r="F823" s="76">
        <v>4.95</v>
      </c>
    </row>
    <row r="824" spans="1:6">
      <c r="A824">
        <v>848</v>
      </c>
      <c r="B824">
        <v>132019260</v>
      </c>
      <c r="C824" s="76">
        <v>2019</v>
      </c>
      <c r="D824" s="76" t="s">
        <v>34</v>
      </c>
      <c r="E824" s="76">
        <v>17</v>
      </c>
      <c r="F824" s="76">
        <v>5</v>
      </c>
    </row>
    <row r="825" spans="1:6">
      <c r="A825">
        <v>851</v>
      </c>
      <c r="B825">
        <v>132019260</v>
      </c>
      <c r="C825" s="76">
        <v>2019</v>
      </c>
      <c r="D825" s="76" t="s">
        <v>34</v>
      </c>
      <c r="E825" s="76">
        <v>100</v>
      </c>
      <c r="F825" s="76">
        <v>20</v>
      </c>
    </row>
    <row r="826" spans="1:6">
      <c r="A826">
        <v>844</v>
      </c>
      <c r="B826">
        <v>132019260</v>
      </c>
      <c r="C826" s="76">
        <v>2019</v>
      </c>
      <c r="D826" s="76" t="s">
        <v>34</v>
      </c>
      <c r="E826" s="76">
        <v>25</v>
      </c>
      <c r="F826" s="76">
        <v>5</v>
      </c>
    </row>
    <row r="827" spans="1:6">
      <c r="A827">
        <v>856</v>
      </c>
      <c r="B827">
        <v>132019260</v>
      </c>
      <c r="C827" s="76">
        <v>2019</v>
      </c>
      <c r="D827" s="76" t="s">
        <v>34</v>
      </c>
      <c r="E827" s="76" t="s">
        <v>32</v>
      </c>
      <c r="F827" s="76">
        <v>10</v>
      </c>
    </row>
    <row r="828" spans="1:6">
      <c r="A828">
        <v>857</v>
      </c>
      <c r="B828">
        <v>132019260</v>
      </c>
      <c r="C828" s="76">
        <v>2019</v>
      </c>
      <c r="D828" s="76" t="s">
        <v>34</v>
      </c>
      <c r="E828" s="76" t="s">
        <v>32</v>
      </c>
      <c r="F828" s="76">
        <v>5</v>
      </c>
    </row>
    <row r="829" spans="1:6">
      <c r="A829">
        <v>861</v>
      </c>
      <c r="B829">
        <v>132019260</v>
      </c>
      <c r="C829" s="76">
        <v>2019</v>
      </c>
      <c r="D829" s="76" t="s">
        <v>34</v>
      </c>
      <c r="E829" s="76" t="s">
        <v>32</v>
      </c>
      <c r="F829" s="76">
        <v>0.6</v>
      </c>
    </row>
    <row r="830" spans="1:6">
      <c r="A830">
        <v>855</v>
      </c>
      <c r="B830">
        <v>132019260</v>
      </c>
      <c r="C830" s="76">
        <v>2019</v>
      </c>
      <c r="D830" s="76" t="s">
        <v>34</v>
      </c>
      <c r="E830" s="76" t="s">
        <v>32</v>
      </c>
      <c r="F830" s="76">
        <v>10</v>
      </c>
    </row>
    <row r="831" spans="1:6">
      <c r="A831">
        <v>852</v>
      </c>
      <c r="B831">
        <v>132019260</v>
      </c>
      <c r="C831" s="76">
        <v>2019</v>
      </c>
      <c r="D831" s="76" t="s">
        <v>34</v>
      </c>
      <c r="E831" s="76" t="s">
        <v>32</v>
      </c>
      <c r="F831" s="76">
        <v>5</v>
      </c>
    </row>
    <row r="832" spans="1:6">
      <c r="A832">
        <v>849</v>
      </c>
      <c r="B832">
        <v>132019260</v>
      </c>
      <c r="C832" s="76">
        <v>2019</v>
      </c>
      <c r="D832" s="76" t="s">
        <v>34</v>
      </c>
      <c r="E832" s="76" t="s">
        <v>32</v>
      </c>
      <c r="F832" s="76">
        <v>9</v>
      </c>
    </row>
    <row r="833" spans="1:6">
      <c r="A833">
        <v>841</v>
      </c>
      <c r="B833">
        <v>132019260</v>
      </c>
      <c r="C833" s="76">
        <v>2019</v>
      </c>
      <c r="D833" s="76" t="s">
        <v>34</v>
      </c>
      <c r="E833" s="76">
        <v>23</v>
      </c>
      <c r="F833" s="76">
        <v>3.96</v>
      </c>
    </row>
    <row r="834" spans="1:6">
      <c r="A834">
        <v>840</v>
      </c>
      <c r="B834">
        <v>132019260</v>
      </c>
      <c r="C834" s="76">
        <v>2019</v>
      </c>
      <c r="D834" s="76" t="s">
        <v>34</v>
      </c>
      <c r="E834" s="76">
        <v>100</v>
      </c>
      <c r="F834" s="76">
        <v>20</v>
      </c>
    </row>
    <row r="835" spans="1:6">
      <c r="A835">
        <v>854</v>
      </c>
      <c r="B835">
        <v>132019260</v>
      </c>
      <c r="C835" s="76">
        <v>2019</v>
      </c>
      <c r="D835" s="76" t="s">
        <v>34</v>
      </c>
      <c r="E835" s="76" t="s">
        <v>32</v>
      </c>
      <c r="F835" s="76">
        <v>10</v>
      </c>
    </row>
    <row r="836" spans="1:6">
      <c r="A836">
        <v>859</v>
      </c>
      <c r="B836">
        <v>132019260</v>
      </c>
      <c r="C836" s="76">
        <v>2019</v>
      </c>
      <c r="D836" s="76" t="s">
        <v>34</v>
      </c>
      <c r="E836" s="76" t="s">
        <v>32</v>
      </c>
      <c r="F836" s="76">
        <v>10</v>
      </c>
    </row>
    <row r="837" spans="1:6">
      <c r="A837">
        <v>860</v>
      </c>
      <c r="B837">
        <v>132019260</v>
      </c>
      <c r="C837" s="76">
        <v>2019</v>
      </c>
      <c r="D837" s="76" t="s">
        <v>34</v>
      </c>
      <c r="E837" s="76" t="s">
        <v>32</v>
      </c>
      <c r="F837" s="76">
        <v>4</v>
      </c>
    </row>
    <row r="838" spans="1:6">
      <c r="A838">
        <v>869</v>
      </c>
      <c r="B838">
        <v>132019270</v>
      </c>
      <c r="C838" s="76">
        <v>2019</v>
      </c>
      <c r="D838" s="76" t="s">
        <v>31</v>
      </c>
      <c r="E838" s="76" t="s">
        <v>32</v>
      </c>
      <c r="F838" s="76">
        <v>1.6</v>
      </c>
    </row>
    <row r="839" spans="1:6">
      <c r="A839">
        <v>872</v>
      </c>
      <c r="B839">
        <v>132019270</v>
      </c>
      <c r="C839" s="76">
        <v>2019</v>
      </c>
      <c r="D839" s="76" t="s">
        <v>31</v>
      </c>
      <c r="E839" s="76" t="s">
        <v>32</v>
      </c>
      <c r="F839" s="76">
        <v>2</v>
      </c>
    </row>
    <row r="840" spans="1:6">
      <c r="A840">
        <v>883</v>
      </c>
      <c r="B840">
        <v>132019270</v>
      </c>
      <c r="C840" s="76">
        <v>2019</v>
      </c>
      <c r="D840" s="76" t="s">
        <v>31</v>
      </c>
      <c r="E840" s="76" t="s">
        <v>32</v>
      </c>
      <c r="F840" s="76">
        <v>2</v>
      </c>
    </row>
    <row r="841" spans="1:6">
      <c r="A841">
        <v>885</v>
      </c>
      <c r="B841">
        <v>132019270</v>
      </c>
      <c r="C841" s="76">
        <v>2019</v>
      </c>
      <c r="D841" s="76" t="s">
        <v>31</v>
      </c>
      <c r="E841" s="76" t="s">
        <v>32</v>
      </c>
      <c r="F841" s="76">
        <v>1.4</v>
      </c>
    </row>
    <row r="842" spans="1:6">
      <c r="A842">
        <v>882</v>
      </c>
      <c r="B842">
        <v>132019270</v>
      </c>
      <c r="C842" s="76">
        <v>2019</v>
      </c>
      <c r="D842" s="76" t="s">
        <v>31</v>
      </c>
      <c r="E842" s="76" t="s">
        <v>32</v>
      </c>
      <c r="F842" s="76">
        <v>2.8</v>
      </c>
    </row>
    <row r="843" spans="1:6">
      <c r="A843">
        <v>875</v>
      </c>
      <c r="B843">
        <v>132019270</v>
      </c>
      <c r="C843" s="76">
        <v>2019</v>
      </c>
      <c r="D843" s="76" t="s">
        <v>31</v>
      </c>
      <c r="E843" s="76" t="s">
        <v>32</v>
      </c>
      <c r="F843" s="76">
        <v>1.09</v>
      </c>
    </row>
    <row r="844" spans="1:6">
      <c r="A844">
        <v>876</v>
      </c>
      <c r="B844">
        <v>132019270</v>
      </c>
      <c r="C844" s="76">
        <v>2019</v>
      </c>
      <c r="D844" s="76" t="s">
        <v>31</v>
      </c>
      <c r="E844" s="76" t="s">
        <v>32</v>
      </c>
      <c r="F844" s="76">
        <v>1.04</v>
      </c>
    </row>
    <row r="845" spans="1:6">
      <c r="A845">
        <v>878</v>
      </c>
      <c r="B845">
        <v>132019270</v>
      </c>
      <c r="C845" s="76">
        <v>2019</v>
      </c>
      <c r="D845" s="76" t="s">
        <v>31</v>
      </c>
      <c r="E845" s="76" t="s">
        <v>32</v>
      </c>
      <c r="F845" s="76">
        <v>0.25</v>
      </c>
    </row>
    <row r="846" spans="1:6">
      <c r="A846">
        <v>879</v>
      </c>
      <c r="B846">
        <v>132019270</v>
      </c>
      <c r="C846" s="76">
        <v>2019</v>
      </c>
      <c r="D846" s="76" t="s">
        <v>31</v>
      </c>
      <c r="E846" s="76" t="s">
        <v>32</v>
      </c>
      <c r="F846" s="76">
        <v>0.08</v>
      </c>
    </row>
    <row r="847" spans="1:6">
      <c r="A847">
        <v>874</v>
      </c>
      <c r="B847">
        <v>132019270</v>
      </c>
      <c r="C847" s="76">
        <v>2019</v>
      </c>
      <c r="D847" s="76" t="s">
        <v>31</v>
      </c>
      <c r="E847" s="76" t="s">
        <v>32</v>
      </c>
      <c r="F847" s="76">
        <v>1.14</v>
      </c>
    </row>
    <row r="848" spans="1:6">
      <c r="A848">
        <v>877</v>
      </c>
      <c r="B848">
        <v>132019270</v>
      </c>
      <c r="C848" s="76">
        <v>2019</v>
      </c>
      <c r="D848" s="76" t="s">
        <v>31</v>
      </c>
      <c r="E848" s="76" t="s">
        <v>32</v>
      </c>
      <c r="F848" s="76">
        <v>1.5</v>
      </c>
    </row>
    <row r="849" spans="1:6">
      <c r="A849">
        <v>890</v>
      </c>
      <c r="B849">
        <v>132019270</v>
      </c>
      <c r="C849" s="76">
        <v>2019</v>
      </c>
      <c r="D849" s="76" t="s">
        <v>31</v>
      </c>
      <c r="E849" s="76" t="s">
        <v>32</v>
      </c>
      <c r="F849" s="76">
        <v>0.48</v>
      </c>
    </row>
    <row r="850" spans="1:6">
      <c r="A850">
        <v>880</v>
      </c>
      <c r="B850">
        <v>132019270</v>
      </c>
      <c r="C850" s="76">
        <v>2019</v>
      </c>
      <c r="D850" s="76" t="s">
        <v>31</v>
      </c>
      <c r="E850" s="76" t="s">
        <v>32</v>
      </c>
      <c r="F850" s="76">
        <v>24.66</v>
      </c>
    </row>
    <row r="851" spans="1:6">
      <c r="A851">
        <v>889</v>
      </c>
      <c r="B851">
        <v>132019270</v>
      </c>
      <c r="C851" s="76">
        <v>2019</v>
      </c>
      <c r="D851" s="76" t="s">
        <v>31</v>
      </c>
      <c r="E851" s="76" t="s">
        <v>32</v>
      </c>
      <c r="F851" s="76">
        <v>2</v>
      </c>
    </row>
    <row r="852" spans="1:6">
      <c r="A852">
        <v>881</v>
      </c>
      <c r="B852">
        <v>132019270</v>
      </c>
      <c r="C852" s="76">
        <v>2019</v>
      </c>
      <c r="D852" s="76" t="s">
        <v>31</v>
      </c>
      <c r="E852" s="76" t="s">
        <v>32</v>
      </c>
      <c r="F852" s="76">
        <v>14.5</v>
      </c>
    </row>
    <row r="853" spans="1:6">
      <c r="A853">
        <v>886</v>
      </c>
      <c r="B853">
        <v>132019270</v>
      </c>
      <c r="C853" s="76">
        <v>2019</v>
      </c>
      <c r="D853" s="76" t="s">
        <v>31</v>
      </c>
      <c r="E853" s="76" t="s">
        <v>32</v>
      </c>
      <c r="F853" s="76">
        <v>11</v>
      </c>
    </row>
    <row r="854" spans="1:6">
      <c r="A854">
        <v>873</v>
      </c>
      <c r="B854">
        <v>132019270</v>
      </c>
      <c r="C854" s="76">
        <v>2019</v>
      </c>
      <c r="D854" s="76" t="s">
        <v>31</v>
      </c>
      <c r="E854" s="76" t="s">
        <v>32</v>
      </c>
      <c r="F854" s="76">
        <v>3</v>
      </c>
    </row>
    <row r="855" spans="1:6">
      <c r="A855">
        <v>884</v>
      </c>
      <c r="B855">
        <v>132019270</v>
      </c>
      <c r="C855" s="76">
        <v>2019</v>
      </c>
      <c r="D855" s="76" t="s">
        <v>31</v>
      </c>
      <c r="E855" s="76" t="s">
        <v>32</v>
      </c>
      <c r="F855" s="76">
        <v>0.09</v>
      </c>
    </row>
    <row r="856" spans="1:6">
      <c r="A856">
        <v>870</v>
      </c>
      <c r="B856">
        <v>132019270</v>
      </c>
      <c r="C856" s="76">
        <v>2019</v>
      </c>
      <c r="D856" s="76" t="s">
        <v>31</v>
      </c>
      <c r="E856" s="76" t="s">
        <v>32</v>
      </c>
      <c r="F856" s="76">
        <v>11</v>
      </c>
    </row>
    <row r="857" spans="1:6">
      <c r="A857">
        <v>867</v>
      </c>
      <c r="B857">
        <v>132019270</v>
      </c>
      <c r="C857" s="76">
        <v>2019</v>
      </c>
      <c r="D857" s="76" t="s">
        <v>31</v>
      </c>
      <c r="E857" s="76" t="s">
        <v>32</v>
      </c>
      <c r="F857" s="76">
        <v>2</v>
      </c>
    </row>
    <row r="858" spans="1:6">
      <c r="A858">
        <v>865</v>
      </c>
      <c r="B858">
        <v>132019270</v>
      </c>
      <c r="C858" s="76">
        <v>2019</v>
      </c>
      <c r="D858" s="76" t="s">
        <v>31</v>
      </c>
      <c r="E858" s="76" t="s">
        <v>32</v>
      </c>
      <c r="F858" s="76">
        <v>2</v>
      </c>
    </row>
    <row r="859" spans="1:6">
      <c r="A859">
        <v>871</v>
      </c>
      <c r="B859">
        <v>132019270</v>
      </c>
      <c r="C859" s="76">
        <v>2019</v>
      </c>
      <c r="D859" s="76" t="s">
        <v>31</v>
      </c>
      <c r="E859" s="76" t="s">
        <v>32</v>
      </c>
      <c r="F859" s="76">
        <v>5</v>
      </c>
    </row>
    <row r="860" spans="1:6">
      <c r="A860">
        <v>891</v>
      </c>
      <c r="B860">
        <v>132019270</v>
      </c>
      <c r="C860" s="76">
        <v>2019</v>
      </c>
      <c r="D860" s="76" t="s">
        <v>31</v>
      </c>
      <c r="E860" s="76" t="s">
        <v>32</v>
      </c>
      <c r="F860" s="76">
        <v>1.7</v>
      </c>
    </row>
    <row r="861" spans="1:6">
      <c r="A861">
        <v>887</v>
      </c>
      <c r="B861">
        <v>132019270</v>
      </c>
      <c r="C861" s="76">
        <v>2019</v>
      </c>
      <c r="D861" s="76" t="s">
        <v>31</v>
      </c>
      <c r="E861" s="76" t="s">
        <v>32</v>
      </c>
      <c r="F861" s="76">
        <v>4</v>
      </c>
    </row>
    <row r="862" spans="1:6">
      <c r="A862">
        <v>888</v>
      </c>
      <c r="B862">
        <v>132019270</v>
      </c>
      <c r="C862" s="76">
        <v>2019</v>
      </c>
      <c r="D862" s="76" t="s">
        <v>31</v>
      </c>
      <c r="E862" s="76" t="s">
        <v>32</v>
      </c>
      <c r="F862" s="76">
        <v>5</v>
      </c>
    </row>
    <row r="863" spans="1:6">
      <c r="A863">
        <v>895</v>
      </c>
      <c r="B863">
        <v>132020211</v>
      </c>
      <c r="C863" s="76">
        <v>2020</v>
      </c>
      <c r="D863" s="76" t="s">
        <v>37</v>
      </c>
      <c r="E863" s="76">
        <v>1</v>
      </c>
      <c r="F863" s="76">
        <v>35</v>
      </c>
    </row>
    <row r="864" spans="1:6">
      <c r="A864">
        <v>896</v>
      </c>
      <c r="B864">
        <v>132020211</v>
      </c>
      <c r="C864" s="76">
        <v>2020</v>
      </c>
      <c r="D864" s="76" t="s">
        <v>37</v>
      </c>
      <c r="E864" s="76">
        <v>1</v>
      </c>
      <c r="F864" s="76">
        <v>35</v>
      </c>
    </row>
    <row r="865" spans="1:6">
      <c r="A865">
        <v>899</v>
      </c>
      <c r="B865">
        <v>132020211</v>
      </c>
      <c r="C865" s="76">
        <v>2020</v>
      </c>
      <c r="D865" s="76" t="s">
        <v>37</v>
      </c>
      <c r="E865" s="76" t="s">
        <v>32</v>
      </c>
      <c r="F865" s="76">
        <v>2.5</v>
      </c>
    </row>
    <row r="866" spans="1:6">
      <c r="A866">
        <v>897</v>
      </c>
      <c r="B866">
        <v>132020211</v>
      </c>
      <c r="C866" s="76">
        <v>2020</v>
      </c>
      <c r="D866" s="76" t="s">
        <v>37</v>
      </c>
      <c r="E866" s="76">
        <v>1</v>
      </c>
      <c r="F866" s="76">
        <v>100</v>
      </c>
    </row>
    <row r="867" spans="1:6">
      <c r="A867">
        <v>900</v>
      </c>
      <c r="B867">
        <v>132020211</v>
      </c>
      <c r="C867" s="76">
        <v>2020</v>
      </c>
      <c r="D867" s="76" t="s">
        <v>37</v>
      </c>
      <c r="E867" s="76" t="s">
        <v>32</v>
      </c>
      <c r="F867" s="76">
        <v>3</v>
      </c>
    </row>
    <row r="868" spans="1:6">
      <c r="A868">
        <v>893</v>
      </c>
      <c r="B868">
        <v>132020211</v>
      </c>
      <c r="C868" s="76">
        <v>2020</v>
      </c>
      <c r="D868" s="76" t="s">
        <v>37</v>
      </c>
      <c r="E868" s="76">
        <v>1</v>
      </c>
      <c r="F868" s="76">
        <v>35</v>
      </c>
    </row>
    <row r="869" spans="1:6">
      <c r="A869">
        <v>894</v>
      </c>
      <c r="B869">
        <v>132020211</v>
      </c>
      <c r="C869" s="76">
        <v>2020</v>
      </c>
      <c r="D869" s="76" t="s">
        <v>37</v>
      </c>
      <c r="E869" s="76">
        <v>1</v>
      </c>
      <c r="F869" s="76">
        <v>3</v>
      </c>
    </row>
    <row r="870" spans="1:6">
      <c r="A870">
        <v>898</v>
      </c>
      <c r="B870">
        <v>132020211</v>
      </c>
      <c r="C870" s="76">
        <v>2020</v>
      </c>
      <c r="D870" s="76" t="s">
        <v>37</v>
      </c>
      <c r="E870" s="76">
        <v>2</v>
      </c>
      <c r="F870" s="76">
        <v>70</v>
      </c>
    </row>
    <row r="871" spans="1:6">
      <c r="A871">
        <v>901</v>
      </c>
      <c r="B871">
        <v>132020221</v>
      </c>
      <c r="C871" s="76">
        <v>2020</v>
      </c>
      <c r="D871" s="76" t="s">
        <v>30</v>
      </c>
      <c r="E871" s="76">
        <v>1</v>
      </c>
      <c r="F871" s="76">
        <v>45.36</v>
      </c>
    </row>
    <row r="872" spans="1:6">
      <c r="A872">
        <v>903</v>
      </c>
      <c r="B872">
        <v>132020221</v>
      </c>
      <c r="C872" s="76">
        <v>2020</v>
      </c>
      <c r="D872" s="76" t="s">
        <v>30</v>
      </c>
      <c r="E872" s="76">
        <v>2</v>
      </c>
      <c r="F872" s="76">
        <v>0.4</v>
      </c>
    </row>
    <row r="873" spans="1:6">
      <c r="A873">
        <v>902</v>
      </c>
      <c r="B873">
        <v>132020221</v>
      </c>
      <c r="C873" s="76">
        <v>2020</v>
      </c>
      <c r="D873" s="76" t="s">
        <v>30</v>
      </c>
      <c r="E873" s="76">
        <v>2</v>
      </c>
      <c r="F873" s="76">
        <v>0.86</v>
      </c>
    </row>
    <row r="874" spans="1:6">
      <c r="A874">
        <v>906</v>
      </c>
      <c r="B874">
        <v>132020241</v>
      </c>
      <c r="C874" s="76">
        <v>2020</v>
      </c>
      <c r="D874" s="76" t="s">
        <v>33</v>
      </c>
      <c r="E874" s="76" t="s">
        <v>32</v>
      </c>
      <c r="F874" s="76">
        <v>0.4</v>
      </c>
    </row>
    <row r="875" spans="1:6">
      <c r="A875">
        <v>908</v>
      </c>
      <c r="B875">
        <v>132020241</v>
      </c>
      <c r="C875" s="76">
        <v>2020</v>
      </c>
      <c r="D875" s="76" t="s">
        <v>33</v>
      </c>
      <c r="E875" s="76" t="s">
        <v>32</v>
      </c>
      <c r="F875" s="76">
        <v>2.5</v>
      </c>
    </row>
    <row r="876" spans="1:6">
      <c r="A876">
        <v>905</v>
      </c>
      <c r="B876">
        <v>132020241</v>
      </c>
      <c r="C876" s="76">
        <v>2020</v>
      </c>
      <c r="D876" s="76" t="s">
        <v>33</v>
      </c>
      <c r="E876" s="76" t="s">
        <v>32</v>
      </c>
      <c r="F876" s="76">
        <v>0.3</v>
      </c>
    </row>
    <row r="877" spans="1:6">
      <c r="A877">
        <v>907</v>
      </c>
      <c r="B877">
        <v>132020241</v>
      </c>
      <c r="C877" s="76">
        <v>2020</v>
      </c>
      <c r="D877" s="76" t="s">
        <v>33</v>
      </c>
      <c r="E877" s="76" t="s">
        <v>32</v>
      </c>
      <c r="F877" s="76">
        <v>1.2</v>
      </c>
    </row>
    <row r="878" spans="1:6">
      <c r="A878">
        <v>904</v>
      </c>
      <c r="B878">
        <v>132020241</v>
      </c>
      <c r="C878" s="76">
        <v>2020</v>
      </c>
      <c r="D878" s="76" t="s">
        <v>33</v>
      </c>
      <c r="E878" s="76" t="s">
        <v>32</v>
      </c>
      <c r="F878" s="76">
        <v>2</v>
      </c>
    </row>
    <row r="879" spans="1:6">
      <c r="A879">
        <v>909</v>
      </c>
      <c r="B879">
        <v>132020241</v>
      </c>
      <c r="C879" s="76">
        <v>2020</v>
      </c>
      <c r="D879" s="76" t="s">
        <v>33</v>
      </c>
      <c r="E879" s="76" t="s">
        <v>32</v>
      </c>
      <c r="F879" s="76">
        <v>0.6</v>
      </c>
    </row>
    <row r="880" spans="1:6">
      <c r="A880">
        <v>910</v>
      </c>
      <c r="B880">
        <v>132020241</v>
      </c>
      <c r="C880" s="76">
        <v>2020</v>
      </c>
      <c r="D880" s="76" t="s">
        <v>33</v>
      </c>
      <c r="E880" s="76" t="s">
        <v>32</v>
      </c>
      <c r="F880" s="76">
        <v>0.9</v>
      </c>
    </row>
    <row r="881" spans="1:6">
      <c r="A881">
        <v>916</v>
      </c>
      <c r="B881">
        <v>132020242</v>
      </c>
      <c r="C881" s="76">
        <v>2020</v>
      </c>
      <c r="D881" s="76" t="s">
        <v>35</v>
      </c>
      <c r="E881" s="76" t="s">
        <v>32</v>
      </c>
      <c r="F881" s="76">
        <v>1.8</v>
      </c>
    </row>
    <row r="882" spans="1:6">
      <c r="A882">
        <v>913</v>
      </c>
      <c r="B882">
        <v>132020242</v>
      </c>
      <c r="C882" s="76">
        <v>2020</v>
      </c>
      <c r="D882" s="76" t="s">
        <v>35</v>
      </c>
      <c r="E882" s="76" t="s">
        <v>32</v>
      </c>
      <c r="F882" s="76">
        <v>2.4</v>
      </c>
    </row>
    <row r="883" spans="1:6">
      <c r="A883">
        <v>914</v>
      </c>
      <c r="B883">
        <v>132020242</v>
      </c>
      <c r="C883" s="76">
        <v>2020</v>
      </c>
      <c r="D883" s="76" t="s">
        <v>35</v>
      </c>
      <c r="E883" s="76" t="s">
        <v>32</v>
      </c>
      <c r="F883" s="76">
        <v>2.5</v>
      </c>
    </row>
    <row r="884" spans="1:6">
      <c r="A884">
        <v>915</v>
      </c>
      <c r="B884">
        <v>132020242</v>
      </c>
      <c r="C884" s="76">
        <v>2020</v>
      </c>
      <c r="D884" s="76" t="s">
        <v>35</v>
      </c>
      <c r="E884" s="76" t="s">
        <v>32</v>
      </c>
      <c r="F884" s="76">
        <v>2.4</v>
      </c>
    </row>
    <row r="885" spans="1:6">
      <c r="A885">
        <v>920</v>
      </c>
      <c r="B885">
        <v>132020243</v>
      </c>
      <c r="C885" s="76">
        <v>2020</v>
      </c>
      <c r="D885" s="76" t="s">
        <v>38</v>
      </c>
      <c r="E885" s="76" t="s">
        <v>32</v>
      </c>
      <c r="F885" s="76">
        <v>1.2</v>
      </c>
    </row>
    <row r="886" spans="1:6">
      <c r="A886">
        <v>919</v>
      </c>
      <c r="B886">
        <v>132020243</v>
      </c>
      <c r="C886" s="76">
        <v>2020</v>
      </c>
      <c r="D886" s="76" t="s">
        <v>38</v>
      </c>
      <c r="E886" s="76" t="s">
        <v>32</v>
      </c>
      <c r="F886" s="76">
        <v>3.5</v>
      </c>
    </row>
    <row r="887" spans="1:6">
      <c r="A887">
        <v>921</v>
      </c>
      <c r="B887">
        <v>132020243</v>
      </c>
      <c r="C887" s="76">
        <v>2020</v>
      </c>
      <c r="D887" s="76" t="s">
        <v>38</v>
      </c>
      <c r="E887" s="76" t="s">
        <v>32</v>
      </c>
      <c r="F887" s="76">
        <v>1.65</v>
      </c>
    </row>
    <row r="888" spans="1:6">
      <c r="A888">
        <v>918</v>
      </c>
      <c r="B888">
        <v>132020243</v>
      </c>
      <c r="C888" s="76">
        <v>2020</v>
      </c>
      <c r="D888" s="76" t="s">
        <v>38</v>
      </c>
      <c r="E888" s="76" t="s">
        <v>32</v>
      </c>
      <c r="F888" s="76">
        <v>3</v>
      </c>
    </row>
    <row r="889" spans="1:6">
      <c r="A889">
        <v>917</v>
      </c>
      <c r="B889">
        <v>132020243</v>
      </c>
      <c r="C889" s="76">
        <v>2020</v>
      </c>
      <c r="D889" s="76" t="s">
        <v>38</v>
      </c>
      <c r="E889" s="76" t="s">
        <v>32</v>
      </c>
      <c r="F889" s="76">
        <v>4</v>
      </c>
    </row>
    <row r="890" spans="1:6">
      <c r="A890">
        <v>986</v>
      </c>
      <c r="B890">
        <v>132020260</v>
      </c>
      <c r="C890" s="76">
        <v>2020</v>
      </c>
      <c r="D890" s="76" t="s">
        <v>34</v>
      </c>
      <c r="E890" s="76" t="s">
        <v>32</v>
      </c>
      <c r="F890" s="76">
        <v>3</v>
      </c>
    </row>
    <row r="891" spans="1:6">
      <c r="A891">
        <v>987</v>
      </c>
      <c r="B891">
        <v>132020260</v>
      </c>
      <c r="C891" s="76">
        <v>2020</v>
      </c>
      <c r="D891" s="76" t="s">
        <v>34</v>
      </c>
      <c r="E891" s="76" t="s">
        <v>32</v>
      </c>
      <c r="F891" s="76">
        <v>4.95</v>
      </c>
    </row>
    <row r="892" spans="1:6">
      <c r="A892">
        <v>925</v>
      </c>
      <c r="B892">
        <v>132020260</v>
      </c>
      <c r="C892" s="76">
        <v>2020</v>
      </c>
      <c r="D892" s="76" t="s">
        <v>34</v>
      </c>
      <c r="E892" s="76">
        <v>19</v>
      </c>
      <c r="F892" s="76">
        <v>4.75</v>
      </c>
    </row>
    <row r="893" spans="1:6">
      <c r="A893">
        <v>922</v>
      </c>
      <c r="B893">
        <v>132020260</v>
      </c>
      <c r="C893" s="76">
        <v>2020</v>
      </c>
      <c r="D893" s="76" t="s">
        <v>34</v>
      </c>
      <c r="E893" s="76">
        <v>19</v>
      </c>
      <c r="F893" s="76">
        <v>4.8</v>
      </c>
    </row>
    <row r="894" spans="1:6">
      <c r="A894">
        <v>980</v>
      </c>
      <c r="B894">
        <v>132020260</v>
      </c>
      <c r="C894" s="76">
        <v>2020</v>
      </c>
      <c r="D894" s="76" t="s">
        <v>34</v>
      </c>
      <c r="E894" s="76" t="s">
        <v>32</v>
      </c>
      <c r="F894" s="76">
        <v>30</v>
      </c>
    </row>
    <row r="895" spans="1:6">
      <c r="A895">
        <v>970</v>
      </c>
      <c r="B895">
        <v>132020260</v>
      </c>
      <c r="C895" s="76">
        <v>2020</v>
      </c>
      <c r="D895" s="76" t="s">
        <v>34</v>
      </c>
      <c r="E895" s="76" t="s">
        <v>32</v>
      </c>
      <c r="F895" s="76">
        <v>0.53</v>
      </c>
    </row>
    <row r="896" spans="1:6">
      <c r="A896">
        <v>968</v>
      </c>
      <c r="B896">
        <v>132020260</v>
      </c>
      <c r="C896" s="76">
        <v>2020</v>
      </c>
      <c r="D896" s="76" t="s">
        <v>34</v>
      </c>
      <c r="E896" s="76" t="s">
        <v>32</v>
      </c>
      <c r="F896" s="76">
        <v>3.63</v>
      </c>
    </row>
    <row r="897" spans="1:6">
      <c r="A897">
        <v>964</v>
      </c>
      <c r="B897">
        <v>132020260</v>
      </c>
      <c r="C897" s="76">
        <v>2020</v>
      </c>
      <c r="D897" s="76" t="s">
        <v>34</v>
      </c>
      <c r="E897" s="76" t="s">
        <v>32</v>
      </c>
      <c r="F897" s="76">
        <v>7.25</v>
      </c>
    </row>
    <row r="898" spans="1:6">
      <c r="A898">
        <v>988</v>
      </c>
      <c r="B898">
        <v>132020260</v>
      </c>
      <c r="C898" s="76">
        <v>2020</v>
      </c>
      <c r="D898" s="76" t="s">
        <v>34</v>
      </c>
      <c r="E898" s="76" t="s">
        <v>32</v>
      </c>
      <c r="F898" s="76">
        <v>4.8</v>
      </c>
    </row>
    <row r="899" spans="1:6">
      <c r="A899">
        <v>973</v>
      </c>
      <c r="B899">
        <v>132020260</v>
      </c>
      <c r="C899" s="76">
        <v>2020</v>
      </c>
      <c r="D899" s="76" t="s">
        <v>34</v>
      </c>
      <c r="E899" s="76" t="s">
        <v>32</v>
      </c>
      <c r="F899" s="76">
        <v>4.95</v>
      </c>
    </row>
    <row r="900" spans="1:6">
      <c r="A900">
        <v>951</v>
      </c>
      <c r="B900">
        <v>132020260</v>
      </c>
      <c r="C900" s="76">
        <v>2020</v>
      </c>
      <c r="D900" s="76" t="s">
        <v>34</v>
      </c>
      <c r="E900" s="76">
        <v>20</v>
      </c>
      <c r="F900" s="76">
        <v>5</v>
      </c>
    </row>
    <row r="901" spans="1:6">
      <c r="A901">
        <v>936</v>
      </c>
      <c r="B901">
        <v>132020260</v>
      </c>
      <c r="C901" s="76">
        <v>2020</v>
      </c>
      <c r="D901" s="76" t="s">
        <v>34</v>
      </c>
      <c r="E901" s="76">
        <v>15</v>
      </c>
      <c r="F901" s="76">
        <v>3</v>
      </c>
    </row>
    <row r="902" spans="1:6">
      <c r="A902">
        <v>969</v>
      </c>
      <c r="B902">
        <v>132020260</v>
      </c>
      <c r="C902" s="76">
        <v>2020</v>
      </c>
      <c r="D902" s="76" t="s">
        <v>34</v>
      </c>
      <c r="E902" s="76" t="s">
        <v>32</v>
      </c>
      <c r="F902" s="76">
        <v>10</v>
      </c>
    </row>
    <row r="903" spans="1:6">
      <c r="A903">
        <v>934</v>
      </c>
      <c r="B903">
        <v>132020260</v>
      </c>
      <c r="C903" s="76">
        <v>2020</v>
      </c>
      <c r="D903" s="76" t="s">
        <v>34</v>
      </c>
      <c r="E903" s="76">
        <v>24</v>
      </c>
      <c r="F903" s="76">
        <v>4.8</v>
      </c>
    </row>
    <row r="904" spans="1:6">
      <c r="A904">
        <v>933</v>
      </c>
      <c r="B904">
        <v>132020260</v>
      </c>
      <c r="C904" s="76">
        <v>2020</v>
      </c>
      <c r="D904" s="76" t="s">
        <v>34</v>
      </c>
      <c r="E904" s="76">
        <v>21</v>
      </c>
      <c r="F904" s="76">
        <v>4.8</v>
      </c>
    </row>
    <row r="905" spans="1:6">
      <c r="A905">
        <v>943</v>
      </c>
      <c r="B905">
        <v>132020260</v>
      </c>
      <c r="C905" s="76">
        <v>2020</v>
      </c>
      <c r="D905" s="76" t="s">
        <v>34</v>
      </c>
      <c r="E905" s="76">
        <v>17</v>
      </c>
      <c r="F905" s="76">
        <v>4.95</v>
      </c>
    </row>
    <row r="906" spans="1:6">
      <c r="A906">
        <v>981</v>
      </c>
      <c r="B906">
        <v>132020260</v>
      </c>
      <c r="C906" s="76">
        <v>2020</v>
      </c>
      <c r="D906" s="76" t="s">
        <v>34</v>
      </c>
      <c r="E906" s="76" t="s">
        <v>32</v>
      </c>
      <c r="F906" s="76">
        <v>4.95</v>
      </c>
    </row>
    <row r="907" spans="1:6">
      <c r="A907">
        <v>966</v>
      </c>
      <c r="B907">
        <v>132020260</v>
      </c>
      <c r="C907" s="76">
        <v>2020</v>
      </c>
      <c r="D907" s="76" t="s">
        <v>34</v>
      </c>
      <c r="E907" s="76" t="s">
        <v>32</v>
      </c>
      <c r="F907" s="76">
        <v>10</v>
      </c>
    </row>
    <row r="908" spans="1:6">
      <c r="A908">
        <v>927</v>
      </c>
      <c r="B908">
        <v>132020260</v>
      </c>
      <c r="C908" s="76">
        <v>2020</v>
      </c>
      <c r="D908" s="76" t="s">
        <v>34</v>
      </c>
      <c r="E908" s="76">
        <v>30</v>
      </c>
      <c r="F908" s="76">
        <v>10</v>
      </c>
    </row>
    <row r="909" spans="1:6">
      <c r="A909">
        <v>972</v>
      </c>
      <c r="B909">
        <v>132020260</v>
      </c>
      <c r="C909" s="76">
        <v>2020</v>
      </c>
      <c r="D909" s="76" t="s">
        <v>34</v>
      </c>
      <c r="E909" s="76" t="s">
        <v>32</v>
      </c>
      <c r="F909" s="76">
        <v>10</v>
      </c>
    </row>
    <row r="910" spans="1:6">
      <c r="A910">
        <v>958</v>
      </c>
      <c r="B910">
        <v>132020260</v>
      </c>
      <c r="C910" s="76">
        <v>2020</v>
      </c>
      <c r="D910" s="76" t="s">
        <v>34</v>
      </c>
      <c r="E910" s="76">
        <v>40</v>
      </c>
      <c r="F910" s="76">
        <v>12</v>
      </c>
    </row>
    <row r="911" spans="1:6">
      <c r="A911">
        <v>960</v>
      </c>
      <c r="B911">
        <v>132020260</v>
      </c>
      <c r="C911" s="76">
        <v>2020</v>
      </c>
      <c r="D911" s="76" t="s">
        <v>34</v>
      </c>
      <c r="E911" s="76">
        <v>30</v>
      </c>
      <c r="F911" s="76">
        <v>9.9</v>
      </c>
    </row>
    <row r="912" spans="1:6">
      <c r="A912">
        <v>940</v>
      </c>
      <c r="B912">
        <v>132020260</v>
      </c>
      <c r="C912" s="76">
        <v>2020</v>
      </c>
      <c r="D912" s="76" t="s">
        <v>34</v>
      </c>
      <c r="E912" s="76">
        <v>55</v>
      </c>
      <c r="F912" s="76">
        <v>16.5</v>
      </c>
    </row>
    <row r="913" spans="1:6">
      <c r="A913">
        <v>923</v>
      </c>
      <c r="B913">
        <v>132020260</v>
      </c>
      <c r="C913" s="76">
        <v>2020</v>
      </c>
      <c r="D913" s="76" t="s">
        <v>34</v>
      </c>
      <c r="E913" s="76" t="s">
        <v>32</v>
      </c>
      <c r="F913" s="76">
        <v>4.86</v>
      </c>
    </row>
    <row r="914" spans="1:6">
      <c r="A914">
        <v>942</v>
      </c>
      <c r="B914">
        <v>132020260</v>
      </c>
      <c r="C914" s="76">
        <v>2020</v>
      </c>
      <c r="D914" s="76" t="s">
        <v>34</v>
      </c>
      <c r="E914" s="76">
        <v>21</v>
      </c>
      <c r="F914" s="76">
        <v>8.4</v>
      </c>
    </row>
    <row r="915" spans="1:6">
      <c r="A915">
        <v>944</v>
      </c>
      <c r="B915">
        <v>132020260</v>
      </c>
      <c r="C915" s="76">
        <v>2020</v>
      </c>
      <c r="D915" s="76" t="s">
        <v>34</v>
      </c>
      <c r="E915" s="76">
        <v>23</v>
      </c>
      <c r="F915" s="76">
        <v>9.2</v>
      </c>
    </row>
    <row r="916" spans="1:6">
      <c r="A916">
        <v>945</v>
      </c>
      <c r="B916">
        <v>132020260</v>
      </c>
      <c r="C916" s="76">
        <v>2020</v>
      </c>
      <c r="D916" s="76" t="s">
        <v>34</v>
      </c>
      <c r="E916" s="76">
        <v>10</v>
      </c>
      <c r="F916" s="76">
        <v>3</v>
      </c>
    </row>
    <row r="917" spans="1:6">
      <c r="A917">
        <v>924</v>
      </c>
      <c r="B917">
        <v>132020260</v>
      </c>
      <c r="C917" s="76">
        <v>2020</v>
      </c>
      <c r="D917" s="76" t="s">
        <v>34</v>
      </c>
      <c r="E917" s="76">
        <v>14</v>
      </c>
      <c r="F917" s="76">
        <v>4.76</v>
      </c>
    </row>
    <row r="918" spans="1:6">
      <c r="A918">
        <v>932</v>
      </c>
      <c r="B918">
        <v>132020260</v>
      </c>
      <c r="C918" s="76">
        <v>2020</v>
      </c>
      <c r="D918" s="76" t="s">
        <v>34</v>
      </c>
      <c r="E918" s="76">
        <v>20</v>
      </c>
      <c r="F918" s="76">
        <v>5</v>
      </c>
    </row>
    <row r="919" spans="1:6">
      <c r="A919">
        <v>962</v>
      </c>
      <c r="B919">
        <v>132020260</v>
      </c>
      <c r="C919" s="76">
        <v>2020</v>
      </c>
      <c r="D919" s="76" t="s">
        <v>34</v>
      </c>
      <c r="E919" s="76">
        <v>45</v>
      </c>
      <c r="F919" s="76">
        <v>9.9</v>
      </c>
    </row>
    <row r="920" spans="1:6">
      <c r="A920">
        <v>955</v>
      </c>
      <c r="B920">
        <v>132020260</v>
      </c>
      <c r="C920" s="76">
        <v>2020</v>
      </c>
      <c r="D920" s="76" t="s">
        <v>34</v>
      </c>
      <c r="E920" s="76">
        <v>80</v>
      </c>
      <c r="F920" s="76">
        <v>20</v>
      </c>
    </row>
    <row r="921" spans="1:6">
      <c r="A921">
        <v>946</v>
      </c>
      <c r="B921">
        <v>132020260</v>
      </c>
      <c r="C921" s="76">
        <v>2020</v>
      </c>
      <c r="D921" s="76" t="s">
        <v>34</v>
      </c>
      <c r="E921" s="76">
        <v>17</v>
      </c>
      <c r="F921" s="76">
        <v>5</v>
      </c>
    </row>
    <row r="922" spans="1:6">
      <c r="A922">
        <v>963</v>
      </c>
      <c r="B922">
        <v>132020260</v>
      </c>
      <c r="C922" s="76">
        <v>2020</v>
      </c>
      <c r="D922" s="76" t="s">
        <v>34</v>
      </c>
      <c r="E922" s="76">
        <v>17</v>
      </c>
      <c r="F922" s="76">
        <v>4.95</v>
      </c>
    </row>
    <row r="923" spans="1:6">
      <c r="A923">
        <v>956</v>
      </c>
      <c r="B923">
        <v>132020260</v>
      </c>
      <c r="C923" s="76">
        <v>2020</v>
      </c>
      <c r="D923" s="76" t="s">
        <v>34</v>
      </c>
      <c r="E923" s="76">
        <v>20</v>
      </c>
      <c r="F923" s="76">
        <v>5</v>
      </c>
    </row>
    <row r="924" spans="1:6">
      <c r="A924">
        <v>926</v>
      </c>
      <c r="B924">
        <v>132020260</v>
      </c>
      <c r="C924" s="76">
        <v>2020</v>
      </c>
      <c r="D924" s="76" t="s">
        <v>34</v>
      </c>
      <c r="E924" s="76">
        <v>120</v>
      </c>
      <c r="F924" s="76">
        <v>30</v>
      </c>
    </row>
    <row r="925" spans="1:6">
      <c r="A925">
        <v>930</v>
      </c>
      <c r="B925">
        <v>132020260</v>
      </c>
      <c r="C925" s="76">
        <v>2020</v>
      </c>
      <c r="D925" s="76" t="s">
        <v>34</v>
      </c>
      <c r="E925" s="76">
        <v>34</v>
      </c>
      <c r="F925" s="76">
        <v>10</v>
      </c>
    </row>
    <row r="926" spans="1:6">
      <c r="A926">
        <v>949</v>
      </c>
      <c r="B926">
        <v>132020260</v>
      </c>
      <c r="C926" s="76">
        <v>2020</v>
      </c>
      <c r="D926" s="76" t="s">
        <v>34</v>
      </c>
      <c r="E926" s="76">
        <v>2</v>
      </c>
      <c r="F926" s="76">
        <v>0.5</v>
      </c>
    </row>
    <row r="927" spans="1:6">
      <c r="A927">
        <v>947</v>
      </c>
      <c r="B927">
        <v>132020260</v>
      </c>
      <c r="C927" s="76">
        <v>2020</v>
      </c>
      <c r="D927" s="76" t="s">
        <v>34</v>
      </c>
      <c r="E927" s="76">
        <v>15</v>
      </c>
      <c r="F927" s="76">
        <v>4.5</v>
      </c>
    </row>
    <row r="928" spans="1:6">
      <c r="A928">
        <v>948</v>
      </c>
      <c r="B928">
        <v>132020260</v>
      </c>
      <c r="C928" s="76">
        <v>2020</v>
      </c>
      <c r="D928" s="76" t="s">
        <v>34</v>
      </c>
      <c r="E928" s="76">
        <v>15</v>
      </c>
      <c r="F928" s="76">
        <v>4.5</v>
      </c>
    </row>
    <row r="929" spans="1:6">
      <c r="A929">
        <v>975</v>
      </c>
      <c r="B929">
        <v>132020260</v>
      </c>
      <c r="C929" s="76">
        <v>2020</v>
      </c>
      <c r="D929" s="76" t="s">
        <v>34</v>
      </c>
      <c r="E929" s="76" t="s">
        <v>32</v>
      </c>
      <c r="F929" s="76">
        <v>30</v>
      </c>
    </row>
    <row r="930" spans="1:6">
      <c r="A930">
        <v>982</v>
      </c>
      <c r="B930">
        <v>132020260</v>
      </c>
      <c r="C930" s="76">
        <v>2020</v>
      </c>
      <c r="D930" s="76" t="s">
        <v>34</v>
      </c>
      <c r="E930" s="76" t="s">
        <v>32</v>
      </c>
      <c r="F930" s="76">
        <v>14.55</v>
      </c>
    </row>
    <row r="931" spans="1:6">
      <c r="A931">
        <v>965</v>
      </c>
      <c r="B931">
        <v>132020260</v>
      </c>
      <c r="C931" s="76">
        <v>2020</v>
      </c>
      <c r="D931" s="76" t="s">
        <v>34</v>
      </c>
      <c r="E931" s="76" t="s">
        <v>32</v>
      </c>
      <c r="F931" s="76">
        <v>5</v>
      </c>
    </row>
    <row r="932" spans="1:6">
      <c r="A932">
        <v>967</v>
      </c>
      <c r="B932">
        <v>132020260</v>
      </c>
      <c r="C932" s="76">
        <v>2020</v>
      </c>
      <c r="D932" s="76" t="s">
        <v>34</v>
      </c>
      <c r="E932" s="76" t="s">
        <v>32</v>
      </c>
      <c r="F932" s="76">
        <v>4</v>
      </c>
    </row>
    <row r="933" spans="1:6">
      <c r="A933">
        <v>938</v>
      </c>
      <c r="B933">
        <v>132020260</v>
      </c>
      <c r="C933" s="76">
        <v>2020</v>
      </c>
      <c r="D933" s="76" t="s">
        <v>34</v>
      </c>
      <c r="E933" s="76">
        <v>20</v>
      </c>
      <c r="F933" s="76">
        <v>5</v>
      </c>
    </row>
    <row r="934" spans="1:6">
      <c r="A934">
        <v>928</v>
      </c>
      <c r="B934">
        <v>132020260</v>
      </c>
      <c r="C934" s="76">
        <v>2020</v>
      </c>
      <c r="D934" s="76" t="s">
        <v>34</v>
      </c>
      <c r="E934" s="76">
        <v>50</v>
      </c>
      <c r="F934" s="76">
        <v>13.6</v>
      </c>
    </row>
    <row r="935" spans="1:6">
      <c r="A935">
        <v>939</v>
      </c>
      <c r="B935">
        <v>132020260</v>
      </c>
      <c r="C935" s="76">
        <v>2020</v>
      </c>
      <c r="D935" s="76" t="s">
        <v>34</v>
      </c>
      <c r="E935" s="76">
        <v>45</v>
      </c>
      <c r="F935" s="76">
        <v>10</v>
      </c>
    </row>
    <row r="936" spans="1:6">
      <c r="A936">
        <v>953</v>
      </c>
      <c r="B936">
        <v>132020260</v>
      </c>
      <c r="C936" s="76">
        <v>2020</v>
      </c>
      <c r="D936" s="76" t="s">
        <v>34</v>
      </c>
      <c r="E936" s="76">
        <v>22</v>
      </c>
      <c r="F936" s="76">
        <v>4.8</v>
      </c>
    </row>
    <row r="937" spans="1:6">
      <c r="A937">
        <v>954</v>
      </c>
      <c r="B937">
        <v>132020260</v>
      </c>
      <c r="C937" s="76">
        <v>2020</v>
      </c>
      <c r="D937" s="76" t="s">
        <v>34</v>
      </c>
      <c r="E937" s="76">
        <v>22</v>
      </c>
      <c r="F937" s="76">
        <v>4.8</v>
      </c>
    </row>
    <row r="938" spans="1:6">
      <c r="A938">
        <v>941</v>
      </c>
      <c r="B938">
        <v>132020260</v>
      </c>
      <c r="C938" s="76">
        <v>2020</v>
      </c>
      <c r="D938" s="76" t="s">
        <v>34</v>
      </c>
      <c r="E938" s="76">
        <v>64</v>
      </c>
      <c r="F938" s="76">
        <v>20</v>
      </c>
    </row>
    <row r="939" spans="1:6">
      <c r="A939">
        <v>961</v>
      </c>
      <c r="B939">
        <v>132020260</v>
      </c>
      <c r="C939" s="76">
        <v>2020</v>
      </c>
      <c r="D939" s="76" t="s">
        <v>34</v>
      </c>
      <c r="E939" s="76">
        <v>25</v>
      </c>
      <c r="F939" s="76">
        <v>5</v>
      </c>
    </row>
    <row r="940" spans="1:6">
      <c r="A940">
        <v>950</v>
      </c>
      <c r="B940">
        <v>132020260</v>
      </c>
      <c r="C940" s="76">
        <v>2020</v>
      </c>
      <c r="D940" s="76" t="s">
        <v>34</v>
      </c>
      <c r="E940" s="76">
        <v>100</v>
      </c>
      <c r="F940" s="76">
        <v>30</v>
      </c>
    </row>
    <row r="941" spans="1:6">
      <c r="A941">
        <v>983</v>
      </c>
      <c r="B941">
        <v>132020260</v>
      </c>
      <c r="C941" s="76">
        <v>2020</v>
      </c>
      <c r="D941" s="76" t="s">
        <v>34</v>
      </c>
      <c r="E941" s="76" t="s">
        <v>32</v>
      </c>
      <c r="F941" s="76">
        <v>10</v>
      </c>
    </row>
    <row r="942" spans="1:6">
      <c r="A942">
        <v>971</v>
      </c>
      <c r="B942">
        <v>132020260</v>
      </c>
      <c r="C942" s="76">
        <v>2020</v>
      </c>
      <c r="D942" s="76" t="s">
        <v>34</v>
      </c>
      <c r="E942" s="76" t="s">
        <v>32</v>
      </c>
      <c r="F942" s="76">
        <v>5</v>
      </c>
    </row>
    <row r="943" spans="1:6">
      <c r="A943">
        <v>957</v>
      </c>
      <c r="B943">
        <v>132020260</v>
      </c>
      <c r="C943" s="76">
        <v>2020</v>
      </c>
      <c r="D943" s="76" t="s">
        <v>34</v>
      </c>
      <c r="E943" s="76">
        <v>24</v>
      </c>
      <c r="F943" s="76">
        <v>4.8</v>
      </c>
    </row>
    <row r="944" spans="1:6">
      <c r="A944">
        <v>984</v>
      </c>
      <c r="B944">
        <v>132020260</v>
      </c>
      <c r="C944" s="76">
        <v>2020</v>
      </c>
      <c r="D944" s="76" t="s">
        <v>34</v>
      </c>
      <c r="E944" s="76" t="s">
        <v>32</v>
      </c>
      <c r="F944" s="76">
        <v>15</v>
      </c>
    </row>
    <row r="945" spans="1:6">
      <c r="A945">
        <v>931</v>
      </c>
      <c r="B945">
        <v>132020260</v>
      </c>
      <c r="C945" s="76">
        <v>2020</v>
      </c>
      <c r="D945" s="76" t="s">
        <v>34</v>
      </c>
      <c r="E945" s="76">
        <v>72</v>
      </c>
      <c r="F945" s="76">
        <v>14.55</v>
      </c>
    </row>
    <row r="946" spans="1:6">
      <c r="A946">
        <v>959</v>
      </c>
      <c r="B946">
        <v>132020260</v>
      </c>
      <c r="C946" s="76">
        <v>2020</v>
      </c>
      <c r="D946" s="76" t="s">
        <v>34</v>
      </c>
      <c r="E946" s="76">
        <v>68</v>
      </c>
      <c r="F946" s="76">
        <v>20</v>
      </c>
    </row>
    <row r="947" spans="1:6">
      <c r="A947">
        <v>929</v>
      </c>
      <c r="B947">
        <v>132020260</v>
      </c>
      <c r="C947" s="76">
        <v>2020</v>
      </c>
      <c r="D947" s="76" t="s">
        <v>34</v>
      </c>
      <c r="E947" s="76">
        <v>75</v>
      </c>
      <c r="F947" s="76">
        <v>30</v>
      </c>
    </row>
    <row r="948" spans="1:6">
      <c r="A948">
        <v>935</v>
      </c>
      <c r="B948">
        <v>132020260</v>
      </c>
      <c r="C948" s="76">
        <v>2020</v>
      </c>
      <c r="D948" s="76" t="s">
        <v>34</v>
      </c>
      <c r="E948" s="76">
        <v>20</v>
      </c>
      <c r="F948" s="76">
        <v>4.8</v>
      </c>
    </row>
    <row r="949" spans="1:6">
      <c r="A949">
        <v>937</v>
      </c>
      <c r="B949">
        <v>132020260</v>
      </c>
      <c r="C949" s="76">
        <v>2020</v>
      </c>
      <c r="D949" s="76" t="s">
        <v>34</v>
      </c>
      <c r="E949" s="76">
        <v>22</v>
      </c>
      <c r="F949" s="76">
        <v>5.06</v>
      </c>
    </row>
    <row r="950" spans="1:6">
      <c r="A950">
        <v>974</v>
      </c>
      <c r="B950">
        <v>132020260</v>
      </c>
      <c r="C950" s="76">
        <v>2020</v>
      </c>
      <c r="D950" s="76" t="s">
        <v>34</v>
      </c>
      <c r="E950" s="76" t="s">
        <v>32</v>
      </c>
      <c r="F950" s="76">
        <v>9.6</v>
      </c>
    </row>
    <row r="951" spans="1:6">
      <c r="A951">
        <v>985</v>
      </c>
      <c r="B951">
        <v>132020260</v>
      </c>
      <c r="C951" s="76">
        <v>2020</v>
      </c>
      <c r="D951" s="76" t="s">
        <v>34</v>
      </c>
      <c r="E951" s="76" t="s">
        <v>32</v>
      </c>
      <c r="F951" s="76">
        <v>5</v>
      </c>
    </row>
    <row r="952" spans="1:6">
      <c r="A952">
        <v>978</v>
      </c>
      <c r="B952">
        <v>132020260</v>
      </c>
      <c r="C952" s="76">
        <v>2020</v>
      </c>
      <c r="D952" s="76" t="s">
        <v>34</v>
      </c>
      <c r="E952" s="76" t="s">
        <v>32</v>
      </c>
      <c r="F952" s="76">
        <v>10</v>
      </c>
    </row>
    <row r="953" spans="1:6">
      <c r="A953">
        <v>977</v>
      </c>
      <c r="B953">
        <v>132020260</v>
      </c>
      <c r="C953" s="76">
        <v>2020</v>
      </c>
      <c r="D953" s="76" t="s">
        <v>34</v>
      </c>
      <c r="E953" s="76" t="s">
        <v>32</v>
      </c>
      <c r="F953" s="76">
        <v>30</v>
      </c>
    </row>
    <row r="954" spans="1:6">
      <c r="A954">
        <v>976</v>
      </c>
      <c r="B954">
        <v>132020260</v>
      </c>
      <c r="C954" s="76">
        <v>2020</v>
      </c>
      <c r="D954" s="76" t="s">
        <v>34</v>
      </c>
      <c r="E954" s="76" t="s">
        <v>32</v>
      </c>
      <c r="F954" s="76">
        <v>11.88</v>
      </c>
    </row>
    <row r="955" spans="1:6">
      <c r="A955">
        <v>952</v>
      </c>
      <c r="B955">
        <v>132020260</v>
      </c>
      <c r="C955" s="76">
        <v>2020</v>
      </c>
      <c r="D955" s="76" t="s">
        <v>34</v>
      </c>
      <c r="E955" s="76">
        <v>5</v>
      </c>
      <c r="F955" s="76">
        <v>5</v>
      </c>
    </row>
    <row r="956" spans="1:6">
      <c r="A956">
        <v>979</v>
      </c>
      <c r="B956">
        <v>132020260</v>
      </c>
      <c r="C956" s="76">
        <v>2020</v>
      </c>
      <c r="D956" s="76" t="s">
        <v>34</v>
      </c>
      <c r="E956" s="76" t="s">
        <v>32</v>
      </c>
      <c r="F956" s="76">
        <v>10</v>
      </c>
    </row>
    <row r="957" spans="1:6">
      <c r="A957">
        <v>991</v>
      </c>
      <c r="B957">
        <v>132020270</v>
      </c>
      <c r="C957" s="76">
        <v>2020</v>
      </c>
      <c r="D957" s="76" t="s">
        <v>31</v>
      </c>
      <c r="E957" s="76" t="s">
        <v>32</v>
      </c>
      <c r="F957" s="76">
        <v>2</v>
      </c>
    </row>
    <row r="958" spans="1:6">
      <c r="A958">
        <v>1013</v>
      </c>
      <c r="B958">
        <v>132020270</v>
      </c>
      <c r="C958" s="76">
        <v>2020</v>
      </c>
      <c r="D958" s="76" t="s">
        <v>31</v>
      </c>
      <c r="E958" s="76" t="s">
        <v>32</v>
      </c>
      <c r="F958" s="76">
        <v>3.34</v>
      </c>
    </row>
    <row r="959" spans="1:6">
      <c r="A959">
        <v>1006</v>
      </c>
      <c r="B959">
        <v>132020270</v>
      </c>
      <c r="C959" s="76">
        <v>2020</v>
      </c>
      <c r="D959" s="76" t="s">
        <v>31</v>
      </c>
      <c r="E959" s="76" t="s">
        <v>32</v>
      </c>
      <c r="F959" s="76">
        <v>0.02</v>
      </c>
    </row>
    <row r="960" spans="1:6">
      <c r="A960">
        <v>999</v>
      </c>
      <c r="B960">
        <v>132020270</v>
      </c>
      <c r="C960" s="76">
        <v>2020</v>
      </c>
      <c r="D960" s="76" t="s">
        <v>31</v>
      </c>
      <c r="E960" s="76" t="s">
        <v>32</v>
      </c>
      <c r="F960" s="76">
        <v>0.4</v>
      </c>
    </row>
    <row r="961" spans="1:6">
      <c r="A961">
        <v>1026</v>
      </c>
      <c r="B961">
        <v>132020270</v>
      </c>
      <c r="C961" s="76">
        <v>2020</v>
      </c>
      <c r="D961" s="76" t="s">
        <v>31</v>
      </c>
      <c r="E961" s="76" t="s">
        <v>32</v>
      </c>
      <c r="F961" s="76">
        <v>2.52</v>
      </c>
    </row>
    <row r="962" spans="1:6">
      <c r="A962">
        <v>1037</v>
      </c>
      <c r="B962">
        <v>132020270</v>
      </c>
      <c r="C962" s="76">
        <v>2020</v>
      </c>
      <c r="D962" s="76" t="s">
        <v>31</v>
      </c>
      <c r="E962" s="76" t="s">
        <v>32</v>
      </c>
      <c r="F962" s="76">
        <v>0.2</v>
      </c>
    </row>
    <row r="963" spans="1:6">
      <c r="A963">
        <v>1036</v>
      </c>
      <c r="B963">
        <v>132020270</v>
      </c>
      <c r="C963" s="76">
        <v>2020</v>
      </c>
      <c r="D963" s="76" t="s">
        <v>31</v>
      </c>
      <c r="E963" s="76" t="s">
        <v>32</v>
      </c>
      <c r="F963" s="76">
        <v>10</v>
      </c>
    </row>
    <row r="964" spans="1:6">
      <c r="A964">
        <v>1007</v>
      </c>
      <c r="B964">
        <v>132020270</v>
      </c>
      <c r="C964" s="76">
        <v>2020</v>
      </c>
      <c r="D964" s="76" t="s">
        <v>31</v>
      </c>
      <c r="E964" s="76" t="s">
        <v>32</v>
      </c>
      <c r="F964" s="76">
        <v>0.02</v>
      </c>
    </row>
    <row r="965" spans="1:6">
      <c r="A965">
        <v>1001</v>
      </c>
      <c r="B965">
        <v>132020270</v>
      </c>
      <c r="C965" s="76">
        <v>2020</v>
      </c>
      <c r="D965" s="76" t="s">
        <v>31</v>
      </c>
      <c r="E965" s="76" t="s">
        <v>32</v>
      </c>
      <c r="F965" s="76">
        <v>0.1</v>
      </c>
    </row>
    <row r="966" spans="1:6">
      <c r="A966">
        <v>1002</v>
      </c>
      <c r="B966">
        <v>132020270</v>
      </c>
      <c r="C966" s="76">
        <v>2020</v>
      </c>
      <c r="D966" s="76" t="s">
        <v>31</v>
      </c>
      <c r="E966" s="76" t="s">
        <v>32</v>
      </c>
      <c r="F966" s="76">
        <v>7.52</v>
      </c>
    </row>
    <row r="967" spans="1:6">
      <c r="A967">
        <v>1022</v>
      </c>
      <c r="B967">
        <v>132020270</v>
      </c>
      <c r="C967" s="76">
        <v>2020</v>
      </c>
      <c r="D967" s="76" t="s">
        <v>31</v>
      </c>
      <c r="E967" s="76" t="s">
        <v>32</v>
      </c>
      <c r="F967" s="76">
        <v>11</v>
      </c>
    </row>
    <row r="968" spans="1:6">
      <c r="A968">
        <v>994</v>
      </c>
      <c r="B968">
        <v>132020270</v>
      </c>
      <c r="C968" s="76">
        <v>2020</v>
      </c>
      <c r="D968" s="76" t="s">
        <v>31</v>
      </c>
      <c r="E968" s="76" t="s">
        <v>32</v>
      </c>
      <c r="F968" s="76">
        <v>5</v>
      </c>
    </row>
    <row r="969" spans="1:6">
      <c r="A969">
        <v>1015</v>
      </c>
      <c r="B969">
        <v>132020270</v>
      </c>
      <c r="C969" s="76">
        <v>2020</v>
      </c>
      <c r="D969" s="76" t="s">
        <v>31</v>
      </c>
      <c r="E969" s="76" t="s">
        <v>32</v>
      </c>
      <c r="F969" s="76">
        <v>20</v>
      </c>
    </row>
    <row r="970" spans="1:6">
      <c r="A970">
        <v>1019</v>
      </c>
      <c r="B970">
        <v>132020270</v>
      </c>
      <c r="C970" s="76">
        <v>2020</v>
      </c>
      <c r="D970" s="76" t="s">
        <v>31</v>
      </c>
      <c r="E970" s="76" t="s">
        <v>32</v>
      </c>
      <c r="F970" s="76">
        <v>8</v>
      </c>
    </row>
    <row r="971" spans="1:6">
      <c r="A971">
        <v>1024</v>
      </c>
      <c r="B971">
        <v>132020270</v>
      </c>
      <c r="C971" s="76">
        <v>2020</v>
      </c>
      <c r="D971" s="76" t="s">
        <v>31</v>
      </c>
      <c r="E971" s="76" t="s">
        <v>32</v>
      </c>
      <c r="F971" s="76">
        <v>30</v>
      </c>
    </row>
    <row r="972" spans="1:6">
      <c r="A972">
        <v>1039</v>
      </c>
      <c r="B972">
        <v>132020270</v>
      </c>
      <c r="C972" s="76">
        <v>2020</v>
      </c>
      <c r="D972" s="76" t="s">
        <v>31</v>
      </c>
      <c r="E972" s="76" t="s">
        <v>32</v>
      </c>
      <c r="F972" s="76">
        <v>4.1</v>
      </c>
    </row>
    <row r="973" spans="1:6">
      <c r="A973">
        <v>1040</v>
      </c>
      <c r="B973">
        <v>132020270</v>
      </c>
      <c r="C973" s="76">
        <v>2020</v>
      </c>
      <c r="D973" s="76" t="s">
        <v>31</v>
      </c>
      <c r="E973" s="76" t="s">
        <v>32</v>
      </c>
      <c r="F973" s="76">
        <v>25.8</v>
      </c>
    </row>
    <row r="974" spans="1:6">
      <c r="A974">
        <v>1023</v>
      </c>
      <c r="B974">
        <v>132020270</v>
      </c>
      <c r="C974" s="76">
        <v>2020</v>
      </c>
      <c r="D974" s="76" t="s">
        <v>31</v>
      </c>
      <c r="E974" s="76" t="s">
        <v>32</v>
      </c>
      <c r="F974" s="76">
        <v>5</v>
      </c>
    </row>
    <row r="975" spans="1:6">
      <c r="A975">
        <v>996</v>
      </c>
      <c r="B975">
        <v>132020270</v>
      </c>
      <c r="C975" s="76">
        <v>2020</v>
      </c>
      <c r="D975" s="76" t="s">
        <v>31</v>
      </c>
      <c r="E975" s="76" t="s">
        <v>32</v>
      </c>
      <c r="F975" s="76">
        <v>4</v>
      </c>
    </row>
    <row r="976" spans="1:6">
      <c r="A976">
        <v>993</v>
      </c>
      <c r="B976">
        <v>132020270</v>
      </c>
      <c r="C976" s="76">
        <v>2020</v>
      </c>
      <c r="D976" s="76" t="s">
        <v>31</v>
      </c>
      <c r="E976" s="76" t="s">
        <v>32</v>
      </c>
      <c r="F976" s="76">
        <v>0.2</v>
      </c>
    </row>
    <row r="977" spans="1:6">
      <c r="A977">
        <v>990</v>
      </c>
      <c r="B977">
        <v>132020270</v>
      </c>
      <c r="C977" s="76">
        <v>2020</v>
      </c>
      <c r="D977" s="76" t="s">
        <v>31</v>
      </c>
      <c r="E977" s="76" t="s">
        <v>32</v>
      </c>
      <c r="F977" s="76">
        <v>25</v>
      </c>
    </row>
    <row r="978" spans="1:6">
      <c r="A978">
        <v>1038</v>
      </c>
      <c r="B978">
        <v>132020270</v>
      </c>
      <c r="C978" s="76">
        <v>2020</v>
      </c>
      <c r="D978" s="76" t="s">
        <v>31</v>
      </c>
      <c r="E978" s="76" t="s">
        <v>32</v>
      </c>
      <c r="F978" s="76">
        <v>3.6</v>
      </c>
    </row>
    <row r="979" spans="1:6">
      <c r="A979">
        <v>997</v>
      </c>
      <c r="B979">
        <v>132020270</v>
      </c>
      <c r="C979" s="76">
        <v>2020</v>
      </c>
      <c r="D979" s="76" t="s">
        <v>31</v>
      </c>
      <c r="E979" s="76" t="s">
        <v>32</v>
      </c>
      <c r="F979" s="76">
        <v>1</v>
      </c>
    </row>
    <row r="980" spans="1:6">
      <c r="A980">
        <v>1014</v>
      </c>
      <c r="B980">
        <v>132020270</v>
      </c>
      <c r="C980" s="76">
        <v>2020</v>
      </c>
      <c r="D980" s="76" t="s">
        <v>31</v>
      </c>
      <c r="E980" s="76" t="s">
        <v>32</v>
      </c>
      <c r="F980" s="76">
        <v>1.5</v>
      </c>
    </row>
    <row r="981" spans="1:6">
      <c r="A981">
        <v>992</v>
      </c>
      <c r="B981">
        <v>132020270</v>
      </c>
      <c r="C981" s="76">
        <v>2020</v>
      </c>
      <c r="D981" s="76" t="s">
        <v>31</v>
      </c>
      <c r="E981" s="76">
        <v>248</v>
      </c>
      <c r="F981" s="76">
        <v>5</v>
      </c>
    </row>
    <row r="982" spans="1:6">
      <c r="A982">
        <v>1035</v>
      </c>
      <c r="B982">
        <v>132020270</v>
      </c>
      <c r="C982" s="76">
        <v>2020</v>
      </c>
      <c r="D982" s="76" t="s">
        <v>31</v>
      </c>
      <c r="E982" s="76" t="s">
        <v>32</v>
      </c>
      <c r="F982" s="76">
        <v>1</v>
      </c>
    </row>
    <row r="983" spans="1:6">
      <c r="A983">
        <v>1005</v>
      </c>
      <c r="B983">
        <v>132020270</v>
      </c>
      <c r="C983" s="76">
        <v>2020</v>
      </c>
      <c r="D983" s="76" t="s">
        <v>31</v>
      </c>
      <c r="E983" s="76" t="s">
        <v>32</v>
      </c>
      <c r="F983" s="76">
        <v>3</v>
      </c>
    </row>
    <row r="984" spans="1:6">
      <c r="A984">
        <v>1004</v>
      </c>
      <c r="B984">
        <v>132020270</v>
      </c>
      <c r="C984" s="76">
        <v>2020</v>
      </c>
      <c r="D984" s="76" t="s">
        <v>31</v>
      </c>
      <c r="E984" s="76" t="s">
        <v>32</v>
      </c>
      <c r="F984" s="76">
        <v>1</v>
      </c>
    </row>
    <row r="985" spans="1:6">
      <c r="A985">
        <v>1033</v>
      </c>
      <c r="B985">
        <v>132020270</v>
      </c>
      <c r="C985" s="76">
        <v>2020</v>
      </c>
      <c r="D985" s="76" t="s">
        <v>31</v>
      </c>
      <c r="E985" s="76" t="s">
        <v>32</v>
      </c>
      <c r="F985" s="76">
        <v>3</v>
      </c>
    </row>
    <row r="986" spans="1:6">
      <c r="A986">
        <v>1027</v>
      </c>
      <c r="B986">
        <v>132020270</v>
      </c>
      <c r="C986" s="76">
        <v>2020</v>
      </c>
      <c r="D986" s="76" t="s">
        <v>31</v>
      </c>
      <c r="E986" s="76" t="s">
        <v>32</v>
      </c>
      <c r="F986" s="76">
        <v>40</v>
      </c>
    </row>
    <row r="987" spans="1:6">
      <c r="A987">
        <v>1031</v>
      </c>
      <c r="B987">
        <v>132020270</v>
      </c>
      <c r="C987" s="76">
        <v>2020</v>
      </c>
      <c r="D987" s="76" t="s">
        <v>31</v>
      </c>
      <c r="E987" s="76" t="s">
        <v>32</v>
      </c>
      <c r="F987" s="76">
        <v>17</v>
      </c>
    </row>
    <row r="988" spans="1:6">
      <c r="A988">
        <v>1008</v>
      </c>
      <c r="B988">
        <v>132020270</v>
      </c>
      <c r="C988" s="76">
        <v>2020</v>
      </c>
      <c r="D988" s="76" t="s">
        <v>31</v>
      </c>
      <c r="E988" s="76" t="s">
        <v>32</v>
      </c>
      <c r="F988" s="76">
        <v>3</v>
      </c>
    </row>
    <row r="989" spans="1:6">
      <c r="A989">
        <v>1029</v>
      </c>
      <c r="B989">
        <v>132020270</v>
      </c>
      <c r="C989" s="76">
        <v>2020</v>
      </c>
      <c r="D989" s="76" t="s">
        <v>31</v>
      </c>
      <c r="E989" s="76" t="s">
        <v>32</v>
      </c>
      <c r="F989" s="76">
        <v>3</v>
      </c>
    </row>
    <row r="990" spans="1:6">
      <c r="A990">
        <v>1032</v>
      </c>
      <c r="B990">
        <v>132020270</v>
      </c>
      <c r="C990" s="76">
        <v>2020</v>
      </c>
      <c r="D990" s="76" t="s">
        <v>31</v>
      </c>
      <c r="E990" s="76" t="s">
        <v>32</v>
      </c>
      <c r="F990" s="76">
        <v>10</v>
      </c>
    </row>
    <row r="991" spans="1:6">
      <c r="A991">
        <v>1009</v>
      </c>
      <c r="B991">
        <v>132020270</v>
      </c>
      <c r="C991" s="76">
        <v>2020</v>
      </c>
      <c r="D991" s="76" t="s">
        <v>31</v>
      </c>
      <c r="E991" s="76" t="s">
        <v>32</v>
      </c>
      <c r="F991" s="76">
        <v>30</v>
      </c>
    </row>
    <row r="992" spans="1:6">
      <c r="A992">
        <v>1010</v>
      </c>
      <c r="B992">
        <v>132020270</v>
      </c>
      <c r="C992" s="76">
        <v>2020</v>
      </c>
      <c r="D992" s="76" t="s">
        <v>31</v>
      </c>
      <c r="E992" s="76" t="s">
        <v>32</v>
      </c>
      <c r="F992" s="76">
        <v>10</v>
      </c>
    </row>
    <row r="993" spans="1:6">
      <c r="A993">
        <v>1028</v>
      </c>
      <c r="B993">
        <v>132020270</v>
      </c>
      <c r="C993" s="76">
        <v>2020</v>
      </c>
      <c r="D993" s="76" t="s">
        <v>31</v>
      </c>
      <c r="E993" s="76" t="s">
        <v>32</v>
      </c>
      <c r="F993" s="76">
        <v>4.5</v>
      </c>
    </row>
    <row r="994" spans="1:6">
      <c r="A994">
        <v>1025</v>
      </c>
      <c r="B994">
        <v>132020270</v>
      </c>
      <c r="C994" s="76">
        <v>2020</v>
      </c>
      <c r="D994" s="76" t="s">
        <v>31</v>
      </c>
      <c r="E994" s="76" t="s">
        <v>32</v>
      </c>
      <c r="F994" s="76">
        <v>4</v>
      </c>
    </row>
    <row r="995" spans="1:6">
      <c r="A995">
        <v>1016</v>
      </c>
      <c r="B995">
        <v>132020270</v>
      </c>
      <c r="C995" s="76">
        <v>2020</v>
      </c>
      <c r="D995" s="76" t="s">
        <v>31</v>
      </c>
      <c r="E995" s="76" t="s">
        <v>32</v>
      </c>
      <c r="F995" s="76">
        <v>3</v>
      </c>
    </row>
    <row r="996" spans="1:6">
      <c r="A996">
        <v>998</v>
      </c>
      <c r="B996">
        <v>132020270</v>
      </c>
      <c r="C996" s="76">
        <v>2020</v>
      </c>
      <c r="D996" s="76" t="s">
        <v>31</v>
      </c>
      <c r="E996" s="76" t="s">
        <v>32</v>
      </c>
      <c r="F996" s="76">
        <v>3.2</v>
      </c>
    </row>
    <row r="997" spans="1:6">
      <c r="A997">
        <v>1011</v>
      </c>
      <c r="B997">
        <v>132020270</v>
      </c>
      <c r="C997" s="76">
        <v>2020</v>
      </c>
      <c r="D997" s="76" t="s">
        <v>31</v>
      </c>
      <c r="E997" s="76" t="s">
        <v>32</v>
      </c>
      <c r="F997" s="76">
        <v>0.1</v>
      </c>
    </row>
    <row r="998" spans="1:6">
      <c r="A998">
        <v>1030</v>
      </c>
      <c r="B998">
        <v>132020270</v>
      </c>
      <c r="C998" s="76">
        <v>2020</v>
      </c>
      <c r="D998" s="76" t="s">
        <v>31</v>
      </c>
      <c r="E998" s="76" t="s">
        <v>32</v>
      </c>
      <c r="F998" s="76">
        <v>8.8</v>
      </c>
    </row>
    <row r="999" spans="1:6">
      <c r="A999">
        <v>995</v>
      </c>
      <c r="B999">
        <v>132020270</v>
      </c>
      <c r="C999" s="76">
        <v>2020</v>
      </c>
      <c r="D999" s="76" t="s">
        <v>31</v>
      </c>
      <c r="E999" s="76" t="s">
        <v>32</v>
      </c>
      <c r="F999" s="76">
        <v>20</v>
      </c>
    </row>
    <row r="1000" spans="1:6">
      <c r="A1000">
        <v>1034</v>
      </c>
      <c r="B1000">
        <v>132020270</v>
      </c>
      <c r="C1000" s="76">
        <v>2020</v>
      </c>
      <c r="D1000" s="76" t="s">
        <v>31</v>
      </c>
      <c r="E1000" s="76" t="s">
        <v>32</v>
      </c>
      <c r="F1000" s="76">
        <v>10</v>
      </c>
    </row>
    <row r="1001" spans="1:6">
      <c r="A1001">
        <v>1012</v>
      </c>
      <c r="B1001">
        <v>132020270</v>
      </c>
      <c r="C1001" s="76">
        <v>2020</v>
      </c>
      <c r="D1001" s="76" t="s">
        <v>31</v>
      </c>
      <c r="E1001" s="76" t="s">
        <v>32</v>
      </c>
      <c r="F1001" s="76">
        <v>3.6</v>
      </c>
    </row>
    <row r="1002" spans="1:6">
      <c r="A1002">
        <v>1003</v>
      </c>
      <c r="B1002">
        <v>132020270</v>
      </c>
      <c r="C1002" s="76">
        <v>2020</v>
      </c>
      <c r="D1002" s="76" t="s">
        <v>31</v>
      </c>
      <c r="E1002" s="76" t="s">
        <v>32</v>
      </c>
      <c r="F1002" s="76">
        <v>10</v>
      </c>
    </row>
    <row r="1003" spans="1:6">
      <c r="A1003">
        <v>1021</v>
      </c>
      <c r="B1003">
        <v>132020270</v>
      </c>
      <c r="C1003" s="76">
        <v>2020</v>
      </c>
      <c r="D1003" s="76" t="s">
        <v>31</v>
      </c>
      <c r="E1003" s="76" t="s">
        <v>32</v>
      </c>
      <c r="F1003" s="76">
        <v>26</v>
      </c>
    </row>
    <row r="1004" spans="1:6">
      <c r="A1004">
        <v>1000</v>
      </c>
      <c r="B1004">
        <v>132020270</v>
      </c>
      <c r="C1004" s="76">
        <v>2020</v>
      </c>
      <c r="D1004" s="76" t="s">
        <v>31</v>
      </c>
      <c r="E1004" s="76" t="s">
        <v>32</v>
      </c>
      <c r="F1004" s="76">
        <v>25</v>
      </c>
    </row>
    <row r="1005" spans="1:6">
      <c r="A1005">
        <v>1017</v>
      </c>
      <c r="B1005">
        <v>132020270</v>
      </c>
      <c r="C1005" s="76">
        <v>2020</v>
      </c>
      <c r="D1005" s="76" t="s">
        <v>31</v>
      </c>
      <c r="E1005" s="76" t="s">
        <v>32</v>
      </c>
      <c r="F1005" s="76">
        <v>24</v>
      </c>
    </row>
    <row r="1006" spans="1:6">
      <c r="A1006">
        <v>1020</v>
      </c>
      <c r="B1006">
        <v>132020270</v>
      </c>
      <c r="C1006" s="76">
        <v>2020</v>
      </c>
      <c r="D1006" s="76" t="s">
        <v>31</v>
      </c>
      <c r="E1006" s="76" t="s">
        <v>32</v>
      </c>
      <c r="F1006" s="76">
        <v>7</v>
      </c>
    </row>
    <row r="1007" spans="1:6">
      <c r="A1007">
        <v>1041</v>
      </c>
      <c r="B1007">
        <v>132020270</v>
      </c>
      <c r="C1007" s="76">
        <v>2020</v>
      </c>
      <c r="D1007" s="76" t="s">
        <v>31</v>
      </c>
      <c r="E1007" s="76" t="s">
        <v>32</v>
      </c>
      <c r="F1007" s="76">
        <v>21</v>
      </c>
    </row>
    <row r="1008" spans="1:6">
      <c r="A1008">
        <v>1018</v>
      </c>
      <c r="B1008">
        <v>132020270</v>
      </c>
      <c r="C1008" s="76">
        <v>2020</v>
      </c>
      <c r="D1008" s="76" t="s">
        <v>31</v>
      </c>
      <c r="E1008" s="76" t="s">
        <v>32</v>
      </c>
      <c r="F1008" s="76">
        <v>14</v>
      </c>
    </row>
    <row r="1009" spans="1:6">
      <c r="A1009">
        <v>1042</v>
      </c>
      <c r="B1009">
        <v>132020283</v>
      </c>
      <c r="C1009" s="76">
        <v>2020</v>
      </c>
      <c r="D1009" s="76" t="s">
        <v>41</v>
      </c>
      <c r="E1009" s="76" t="s">
        <v>32</v>
      </c>
      <c r="F1009" s="76">
        <v>0.2</v>
      </c>
    </row>
    <row r="1010" spans="1:6">
      <c r="A1010">
        <v>1043</v>
      </c>
      <c r="B1010">
        <v>132020283</v>
      </c>
      <c r="C1010" s="76">
        <v>2020</v>
      </c>
      <c r="D1010" s="76" t="s">
        <v>41</v>
      </c>
      <c r="E1010" s="76" t="s">
        <v>32</v>
      </c>
      <c r="F1010" s="76">
        <v>1</v>
      </c>
    </row>
    <row r="1011" spans="1:6">
      <c r="A1011">
        <v>1045</v>
      </c>
      <c r="B1011">
        <v>132021120</v>
      </c>
      <c r="C1011" s="76">
        <v>2021</v>
      </c>
      <c r="D1011" s="76" t="s">
        <v>42</v>
      </c>
      <c r="E1011" s="76">
        <v>2</v>
      </c>
      <c r="F1011" s="76">
        <v>60</v>
      </c>
    </row>
    <row r="1012" spans="1:6">
      <c r="A1012">
        <v>1049</v>
      </c>
      <c r="B1012">
        <v>132021211</v>
      </c>
      <c r="C1012" s="76">
        <v>2021</v>
      </c>
      <c r="D1012" s="76" t="s">
        <v>37</v>
      </c>
      <c r="E1012" s="76" t="s">
        <v>32</v>
      </c>
      <c r="F1012" s="76">
        <v>0.5</v>
      </c>
    </row>
    <row r="1013" spans="1:6">
      <c r="A1013">
        <v>1046</v>
      </c>
      <c r="B1013">
        <v>132021211</v>
      </c>
      <c r="C1013" s="76">
        <v>2021</v>
      </c>
      <c r="D1013" s="76" t="s">
        <v>37</v>
      </c>
      <c r="E1013" s="76" t="s">
        <v>32</v>
      </c>
      <c r="F1013" s="76">
        <v>4</v>
      </c>
    </row>
    <row r="1014" spans="1:6">
      <c r="A1014">
        <v>1048</v>
      </c>
      <c r="B1014">
        <v>132021211</v>
      </c>
      <c r="C1014" s="76">
        <v>2021</v>
      </c>
      <c r="D1014" s="76" t="s">
        <v>37</v>
      </c>
      <c r="E1014" s="76" t="s">
        <v>32</v>
      </c>
      <c r="F1014" s="76">
        <v>0.75</v>
      </c>
    </row>
    <row r="1015" spans="1:6">
      <c r="A1015">
        <v>1050</v>
      </c>
      <c r="B1015">
        <v>132021211</v>
      </c>
      <c r="C1015" s="76">
        <v>2021</v>
      </c>
      <c r="D1015" s="76" t="s">
        <v>37</v>
      </c>
      <c r="E1015" s="76" t="s">
        <v>32</v>
      </c>
      <c r="F1015" s="76">
        <v>5</v>
      </c>
    </row>
    <row r="1016" spans="1:6">
      <c r="A1016">
        <v>1047</v>
      </c>
      <c r="B1016">
        <v>132021211</v>
      </c>
      <c r="C1016" s="76">
        <v>2021</v>
      </c>
      <c r="D1016" s="76" t="s">
        <v>37</v>
      </c>
      <c r="E1016" s="76" t="s">
        <v>32</v>
      </c>
      <c r="F1016" s="76">
        <v>1.2</v>
      </c>
    </row>
    <row r="1017" spans="1:6">
      <c r="A1017">
        <v>1051</v>
      </c>
      <c r="B1017">
        <v>132021211</v>
      </c>
      <c r="C1017" s="76">
        <v>2021</v>
      </c>
      <c r="D1017" s="76" t="s">
        <v>37</v>
      </c>
      <c r="E1017" s="76" t="s">
        <v>32</v>
      </c>
      <c r="F1017" s="76">
        <v>1.2</v>
      </c>
    </row>
    <row r="1018" spans="1:6">
      <c r="A1018">
        <v>1052</v>
      </c>
      <c r="B1018">
        <v>132021223</v>
      </c>
      <c r="C1018" s="76">
        <v>2021</v>
      </c>
      <c r="D1018" s="76" t="s">
        <v>36</v>
      </c>
      <c r="E1018" s="76">
        <v>2</v>
      </c>
      <c r="F1018" s="76">
        <v>0.12</v>
      </c>
    </row>
    <row r="1019" spans="1:6">
      <c r="A1019">
        <v>1062</v>
      </c>
      <c r="B1019">
        <v>132021241</v>
      </c>
      <c r="C1019" s="76">
        <v>2021</v>
      </c>
      <c r="D1019" s="76" t="s">
        <v>33</v>
      </c>
      <c r="E1019" s="76" t="s">
        <v>32</v>
      </c>
      <c r="F1019" s="76">
        <v>7.5</v>
      </c>
    </row>
    <row r="1020" spans="1:6">
      <c r="A1020">
        <v>1056</v>
      </c>
      <c r="B1020">
        <v>132021241</v>
      </c>
      <c r="C1020" s="76">
        <v>2021</v>
      </c>
      <c r="D1020" s="76" t="s">
        <v>33</v>
      </c>
      <c r="E1020" s="76" t="s">
        <v>32</v>
      </c>
      <c r="F1020" s="76">
        <v>0.1</v>
      </c>
    </row>
    <row r="1021" spans="1:6">
      <c r="A1021">
        <v>1070</v>
      </c>
      <c r="B1021">
        <v>132021241</v>
      </c>
      <c r="C1021" s="76">
        <v>2021</v>
      </c>
      <c r="D1021" s="76" t="s">
        <v>33</v>
      </c>
      <c r="E1021" s="76" t="s">
        <v>32</v>
      </c>
      <c r="F1021" s="76">
        <v>1.31</v>
      </c>
    </row>
    <row r="1022" spans="1:6">
      <c r="A1022">
        <v>1053</v>
      </c>
      <c r="B1022">
        <v>132021241</v>
      </c>
      <c r="C1022" s="76">
        <v>2021</v>
      </c>
      <c r="D1022" s="76" t="s">
        <v>33</v>
      </c>
      <c r="E1022" s="76" t="s">
        <v>32</v>
      </c>
      <c r="F1022" s="76">
        <v>2</v>
      </c>
    </row>
    <row r="1023" spans="1:6">
      <c r="A1023">
        <v>1069</v>
      </c>
      <c r="B1023">
        <v>132021241</v>
      </c>
      <c r="C1023" s="76">
        <v>2021</v>
      </c>
      <c r="D1023" s="76" t="s">
        <v>33</v>
      </c>
      <c r="E1023" s="76" t="s">
        <v>32</v>
      </c>
      <c r="F1023" s="76">
        <v>12.7</v>
      </c>
    </row>
    <row r="1024" spans="1:6">
      <c r="A1024">
        <v>1068</v>
      </c>
      <c r="B1024">
        <v>132021241</v>
      </c>
      <c r="C1024" s="76">
        <v>2021</v>
      </c>
      <c r="D1024" s="76" t="s">
        <v>33</v>
      </c>
      <c r="E1024" s="76" t="s">
        <v>32</v>
      </c>
      <c r="F1024" s="76">
        <v>7.1</v>
      </c>
    </row>
    <row r="1025" spans="1:6">
      <c r="A1025">
        <v>1066</v>
      </c>
      <c r="B1025">
        <v>132021241</v>
      </c>
      <c r="C1025" s="76">
        <v>2021</v>
      </c>
      <c r="D1025" s="76" t="s">
        <v>33</v>
      </c>
      <c r="E1025" s="76" t="s">
        <v>32</v>
      </c>
      <c r="F1025" s="76">
        <v>1.2</v>
      </c>
    </row>
    <row r="1026" spans="1:6">
      <c r="A1026">
        <v>1065</v>
      </c>
      <c r="B1026">
        <v>132021241</v>
      </c>
      <c r="C1026" s="76">
        <v>2021</v>
      </c>
      <c r="D1026" s="76" t="s">
        <v>33</v>
      </c>
      <c r="E1026" s="76" t="s">
        <v>32</v>
      </c>
      <c r="F1026" s="76">
        <v>0.6</v>
      </c>
    </row>
    <row r="1027" spans="1:6">
      <c r="A1027">
        <v>1063</v>
      </c>
      <c r="B1027">
        <v>132021241</v>
      </c>
      <c r="C1027" s="76">
        <v>2021</v>
      </c>
      <c r="D1027" s="76" t="s">
        <v>33</v>
      </c>
      <c r="E1027" s="76" t="s">
        <v>32</v>
      </c>
      <c r="F1027" s="76">
        <v>0.6</v>
      </c>
    </row>
    <row r="1028" spans="1:6">
      <c r="A1028">
        <v>1064</v>
      </c>
      <c r="B1028">
        <v>132021241</v>
      </c>
      <c r="C1028" s="76">
        <v>2021</v>
      </c>
      <c r="D1028" s="76" t="s">
        <v>33</v>
      </c>
      <c r="E1028" s="76" t="s">
        <v>32</v>
      </c>
      <c r="F1028" s="76">
        <v>0.6</v>
      </c>
    </row>
    <row r="1029" spans="1:6">
      <c r="A1029">
        <v>1059</v>
      </c>
      <c r="B1029">
        <v>132021241</v>
      </c>
      <c r="C1029" s="76">
        <v>2021</v>
      </c>
      <c r="D1029" s="76" t="s">
        <v>33</v>
      </c>
      <c r="E1029" s="76" t="s">
        <v>32</v>
      </c>
      <c r="F1029" s="76">
        <v>1.2</v>
      </c>
    </row>
    <row r="1030" spans="1:6">
      <c r="A1030">
        <v>1061</v>
      </c>
      <c r="B1030">
        <v>132021241</v>
      </c>
      <c r="C1030" s="76">
        <v>2021</v>
      </c>
      <c r="D1030" s="76" t="s">
        <v>33</v>
      </c>
      <c r="E1030" s="76" t="s">
        <v>32</v>
      </c>
      <c r="F1030" s="76">
        <v>0.6</v>
      </c>
    </row>
    <row r="1031" spans="1:6">
      <c r="A1031">
        <v>1057</v>
      </c>
      <c r="B1031">
        <v>132021241</v>
      </c>
      <c r="C1031" s="76">
        <v>2021</v>
      </c>
      <c r="D1031" s="76" t="s">
        <v>33</v>
      </c>
      <c r="E1031" s="76" t="s">
        <v>32</v>
      </c>
      <c r="F1031" s="76">
        <v>0.45</v>
      </c>
    </row>
    <row r="1032" spans="1:6">
      <c r="A1032">
        <v>1058</v>
      </c>
      <c r="B1032">
        <v>132021241</v>
      </c>
      <c r="C1032" s="76">
        <v>2021</v>
      </c>
      <c r="D1032" s="76" t="s">
        <v>33</v>
      </c>
      <c r="E1032" s="76" t="s">
        <v>32</v>
      </c>
      <c r="F1032" s="76">
        <v>3.7</v>
      </c>
    </row>
    <row r="1033" spans="1:6">
      <c r="A1033">
        <v>1067</v>
      </c>
      <c r="B1033">
        <v>132021241</v>
      </c>
      <c r="C1033" s="76">
        <v>2021</v>
      </c>
      <c r="D1033" s="76" t="s">
        <v>33</v>
      </c>
      <c r="E1033" s="76" t="s">
        <v>32</v>
      </c>
      <c r="F1033" s="76">
        <v>3.6</v>
      </c>
    </row>
    <row r="1034" spans="1:6">
      <c r="A1034">
        <v>1060</v>
      </c>
      <c r="B1034">
        <v>132021241</v>
      </c>
      <c r="C1034" s="76">
        <v>2021</v>
      </c>
      <c r="D1034" s="76" t="s">
        <v>33</v>
      </c>
      <c r="E1034" s="76" t="s">
        <v>32</v>
      </c>
      <c r="F1034" s="76">
        <v>1.2</v>
      </c>
    </row>
    <row r="1035" spans="1:6">
      <c r="A1035">
        <v>1054</v>
      </c>
      <c r="B1035">
        <v>132021241</v>
      </c>
      <c r="C1035" s="76">
        <v>2021</v>
      </c>
      <c r="D1035" s="76" t="s">
        <v>33</v>
      </c>
      <c r="E1035" s="76" t="s">
        <v>32</v>
      </c>
      <c r="F1035" s="76">
        <v>0.9</v>
      </c>
    </row>
    <row r="1036" spans="1:6">
      <c r="A1036">
        <v>1055</v>
      </c>
      <c r="B1036">
        <v>132021241</v>
      </c>
      <c r="C1036" s="76">
        <v>2021</v>
      </c>
      <c r="D1036" s="76" t="s">
        <v>33</v>
      </c>
      <c r="E1036" s="76" t="s">
        <v>32</v>
      </c>
      <c r="F1036" s="76">
        <v>1.2</v>
      </c>
    </row>
    <row r="1037" spans="1:6">
      <c r="A1037">
        <v>1077</v>
      </c>
      <c r="B1037">
        <v>132021242</v>
      </c>
      <c r="C1037" s="76">
        <v>2021</v>
      </c>
      <c r="D1037" s="76" t="s">
        <v>35</v>
      </c>
      <c r="E1037" s="76" t="s">
        <v>32</v>
      </c>
      <c r="F1037" s="76">
        <v>0.6</v>
      </c>
    </row>
    <row r="1038" spans="1:6">
      <c r="A1038">
        <v>1086</v>
      </c>
      <c r="B1038">
        <v>132021242</v>
      </c>
      <c r="C1038" s="76">
        <v>2021</v>
      </c>
      <c r="D1038" s="76" t="s">
        <v>35</v>
      </c>
      <c r="E1038" s="76" t="s">
        <v>32</v>
      </c>
      <c r="F1038" s="76">
        <v>1.8</v>
      </c>
    </row>
    <row r="1039" spans="1:6">
      <c r="A1039">
        <v>1102</v>
      </c>
      <c r="B1039">
        <v>132021242</v>
      </c>
      <c r="C1039" s="76">
        <v>2021</v>
      </c>
      <c r="D1039" s="76" t="s">
        <v>35</v>
      </c>
      <c r="E1039" s="76" t="s">
        <v>32</v>
      </c>
      <c r="F1039" s="76">
        <v>1.8</v>
      </c>
    </row>
    <row r="1040" spans="1:6">
      <c r="A1040">
        <v>1101</v>
      </c>
      <c r="B1040">
        <v>132021242</v>
      </c>
      <c r="C1040" s="76">
        <v>2021</v>
      </c>
      <c r="D1040" s="76" t="s">
        <v>35</v>
      </c>
      <c r="E1040" s="76" t="s">
        <v>32</v>
      </c>
      <c r="F1040" s="76">
        <v>1.8</v>
      </c>
    </row>
    <row r="1041" spans="1:6">
      <c r="A1041">
        <v>1095</v>
      </c>
      <c r="B1041">
        <v>132021242</v>
      </c>
      <c r="C1041" s="76">
        <v>2021</v>
      </c>
      <c r="D1041" s="76" t="s">
        <v>35</v>
      </c>
      <c r="E1041" s="76" t="s">
        <v>32</v>
      </c>
      <c r="F1041" s="76">
        <v>1.2</v>
      </c>
    </row>
    <row r="1042" spans="1:6">
      <c r="A1042">
        <v>1111</v>
      </c>
      <c r="B1042">
        <v>132021242</v>
      </c>
      <c r="C1042" s="76">
        <v>2021</v>
      </c>
      <c r="D1042" s="76" t="s">
        <v>35</v>
      </c>
      <c r="E1042" s="76" t="s">
        <v>32</v>
      </c>
      <c r="F1042" s="76">
        <v>1.2</v>
      </c>
    </row>
    <row r="1043" spans="1:6">
      <c r="A1043">
        <v>1078</v>
      </c>
      <c r="B1043">
        <v>132021242</v>
      </c>
      <c r="C1043" s="76">
        <v>2021</v>
      </c>
      <c r="D1043" s="76" t="s">
        <v>35</v>
      </c>
      <c r="E1043" s="76" t="s">
        <v>32</v>
      </c>
      <c r="F1043" s="76">
        <v>3.5</v>
      </c>
    </row>
    <row r="1044" spans="1:6">
      <c r="A1044">
        <v>1100</v>
      </c>
      <c r="B1044">
        <v>132021242</v>
      </c>
      <c r="C1044" s="76">
        <v>2021</v>
      </c>
      <c r="D1044" s="76" t="s">
        <v>35</v>
      </c>
      <c r="E1044" s="76" t="s">
        <v>32</v>
      </c>
      <c r="F1044" s="76">
        <v>1.8</v>
      </c>
    </row>
    <row r="1045" spans="1:6">
      <c r="A1045">
        <v>1083</v>
      </c>
      <c r="B1045">
        <v>132021242</v>
      </c>
      <c r="C1045" s="76">
        <v>2021</v>
      </c>
      <c r="D1045" s="76" t="s">
        <v>35</v>
      </c>
      <c r="E1045" s="76" t="s">
        <v>32</v>
      </c>
      <c r="F1045" s="76">
        <v>1.5</v>
      </c>
    </row>
    <row r="1046" spans="1:6">
      <c r="A1046">
        <v>1073</v>
      </c>
      <c r="B1046">
        <v>132021242</v>
      </c>
      <c r="C1046" s="76">
        <v>2021</v>
      </c>
      <c r="D1046" s="76" t="s">
        <v>35</v>
      </c>
      <c r="E1046" s="76" t="s">
        <v>32</v>
      </c>
      <c r="F1046" s="76">
        <v>0.9</v>
      </c>
    </row>
    <row r="1047" spans="1:6">
      <c r="A1047">
        <v>1097</v>
      </c>
      <c r="B1047">
        <v>132021242</v>
      </c>
      <c r="C1047" s="76">
        <v>2021</v>
      </c>
      <c r="D1047" s="76" t="s">
        <v>35</v>
      </c>
      <c r="E1047" s="76" t="s">
        <v>32</v>
      </c>
      <c r="F1047" s="76">
        <v>3.6</v>
      </c>
    </row>
    <row r="1048" spans="1:6">
      <c r="A1048">
        <v>1098</v>
      </c>
      <c r="B1048">
        <v>132021242</v>
      </c>
      <c r="C1048" s="76">
        <v>2021</v>
      </c>
      <c r="D1048" s="76" t="s">
        <v>35</v>
      </c>
      <c r="E1048" s="76" t="s">
        <v>32</v>
      </c>
      <c r="F1048" s="76">
        <v>2.5</v>
      </c>
    </row>
    <row r="1049" spans="1:6">
      <c r="A1049">
        <v>1092</v>
      </c>
      <c r="B1049">
        <v>132021242</v>
      </c>
      <c r="C1049" s="76">
        <v>2021</v>
      </c>
      <c r="D1049" s="76" t="s">
        <v>35</v>
      </c>
      <c r="E1049" s="76" t="s">
        <v>32</v>
      </c>
      <c r="F1049" s="76">
        <v>1.5</v>
      </c>
    </row>
    <row r="1050" spans="1:6">
      <c r="A1050">
        <v>1090</v>
      </c>
      <c r="B1050">
        <v>132021242</v>
      </c>
      <c r="C1050" s="76">
        <v>2021</v>
      </c>
      <c r="D1050" s="76" t="s">
        <v>35</v>
      </c>
      <c r="E1050" s="76" t="s">
        <v>32</v>
      </c>
      <c r="F1050" s="76">
        <v>1.2</v>
      </c>
    </row>
    <row r="1051" spans="1:6">
      <c r="A1051">
        <v>1104</v>
      </c>
      <c r="B1051">
        <v>132021242</v>
      </c>
      <c r="C1051" s="76">
        <v>2021</v>
      </c>
      <c r="D1051" s="76" t="s">
        <v>35</v>
      </c>
      <c r="E1051" s="76" t="s">
        <v>32</v>
      </c>
      <c r="F1051" s="76">
        <v>3.5</v>
      </c>
    </row>
    <row r="1052" spans="1:6">
      <c r="A1052">
        <v>1075</v>
      </c>
      <c r="B1052">
        <v>132021242</v>
      </c>
      <c r="C1052" s="76">
        <v>2021</v>
      </c>
      <c r="D1052" s="76" t="s">
        <v>35</v>
      </c>
      <c r="E1052" s="76">
        <v>1</v>
      </c>
      <c r="F1052" s="76">
        <v>1.2</v>
      </c>
    </row>
    <row r="1053" spans="1:6">
      <c r="A1053">
        <v>1112</v>
      </c>
      <c r="B1053">
        <v>132021242</v>
      </c>
      <c r="C1053" s="76">
        <v>2021</v>
      </c>
      <c r="D1053" s="76" t="s">
        <v>35</v>
      </c>
      <c r="E1053" s="76" t="s">
        <v>32</v>
      </c>
      <c r="F1053" s="76">
        <v>1.5</v>
      </c>
    </row>
    <row r="1054" spans="1:6">
      <c r="A1054">
        <v>1071</v>
      </c>
      <c r="B1054">
        <v>132021242</v>
      </c>
      <c r="C1054" s="76">
        <v>2021</v>
      </c>
      <c r="D1054" s="76" t="s">
        <v>35</v>
      </c>
      <c r="E1054" s="76">
        <v>1</v>
      </c>
      <c r="F1054" s="76">
        <v>1.5</v>
      </c>
    </row>
    <row r="1055" spans="1:6">
      <c r="A1055">
        <v>1081</v>
      </c>
      <c r="B1055">
        <v>132021242</v>
      </c>
      <c r="C1055" s="76">
        <v>2021</v>
      </c>
      <c r="D1055" s="76" t="s">
        <v>35</v>
      </c>
      <c r="E1055" s="76" t="s">
        <v>32</v>
      </c>
      <c r="F1055" s="76">
        <v>2.4</v>
      </c>
    </row>
    <row r="1056" spans="1:6">
      <c r="A1056">
        <v>1084</v>
      </c>
      <c r="B1056">
        <v>132021242</v>
      </c>
      <c r="C1056" s="76">
        <v>2021</v>
      </c>
      <c r="D1056" s="76" t="s">
        <v>35</v>
      </c>
      <c r="E1056" s="76" t="s">
        <v>32</v>
      </c>
      <c r="F1056" s="76">
        <v>2.5</v>
      </c>
    </row>
    <row r="1057" spans="1:6">
      <c r="A1057">
        <v>1109</v>
      </c>
      <c r="B1057">
        <v>132021242</v>
      </c>
      <c r="C1057" s="76">
        <v>2021</v>
      </c>
      <c r="D1057" s="76" t="s">
        <v>35</v>
      </c>
      <c r="E1057" s="76" t="s">
        <v>32</v>
      </c>
      <c r="F1057" s="76">
        <v>1.2</v>
      </c>
    </row>
    <row r="1058" spans="1:6">
      <c r="A1058">
        <v>1089</v>
      </c>
      <c r="B1058">
        <v>132021242</v>
      </c>
      <c r="C1058" s="76">
        <v>2021</v>
      </c>
      <c r="D1058" s="76" t="s">
        <v>35</v>
      </c>
      <c r="E1058" s="76" t="s">
        <v>32</v>
      </c>
      <c r="F1058" s="76">
        <v>1.5</v>
      </c>
    </row>
    <row r="1059" spans="1:6">
      <c r="A1059">
        <v>1110</v>
      </c>
      <c r="B1059">
        <v>132021242</v>
      </c>
      <c r="C1059" s="76">
        <v>2021</v>
      </c>
      <c r="D1059" s="76" t="s">
        <v>35</v>
      </c>
      <c r="E1059" s="76" t="s">
        <v>32</v>
      </c>
      <c r="F1059" s="76">
        <v>3.5</v>
      </c>
    </row>
    <row r="1060" spans="1:6">
      <c r="A1060">
        <v>1096</v>
      </c>
      <c r="B1060">
        <v>132021242</v>
      </c>
      <c r="C1060" s="76">
        <v>2021</v>
      </c>
      <c r="D1060" s="76" t="s">
        <v>35</v>
      </c>
      <c r="E1060" s="76" t="s">
        <v>32</v>
      </c>
      <c r="F1060" s="76">
        <v>6</v>
      </c>
    </row>
    <row r="1061" spans="1:6">
      <c r="A1061">
        <v>1087</v>
      </c>
      <c r="B1061">
        <v>132021242</v>
      </c>
      <c r="C1061" s="76">
        <v>2021</v>
      </c>
      <c r="D1061" s="76" t="s">
        <v>35</v>
      </c>
      <c r="E1061" s="76" t="s">
        <v>32</v>
      </c>
      <c r="F1061" s="76">
        <v>2.5</v>
      </c>
    </row>
    <row r="1062" spans="1:6">
      <c r="A1062">
        <v>1080</v>
      </c>
      <c r="B1062">
        <v>132021242</v>
      </c>
      <c r="C1062" s="76">
        <v>2021</v>
      </c>
      <c r="D1062" s="76" t="s">
        <v>35</v>
      </c>
      <c r="E1062" s="76" t="s">
        <v>32</v>
      </c>
      <c r="F1062" s="76">
        <v>1.5</v>
      </c>
    </row>
    <row r="1063" spans="1:6">
      <c r="A1063">
        <v>1076</v>
      </c>
      <c r="B1063">
        <v>132021242</v>
      </c>
      <c r="C1063" s="76">
        <v>2021</v>
      </c>
      <c r="D1063" s="76" t="s">
        <v>35</v>
      </c>
      <c r="E1063" s="76">
        <v>1</v>
      </c>
      <c r="F1063" s="76">
        <v>1</v>
      </c>
    </row>
    <row r="1064" spans="1:6">
      <c r="A1064">
        <v>1088</v>
      </c>
      <c r="B1064">
        <v>132021242</v>
      </c>
      <c r="C1064" s="76">
        <v>2021</v>
      </c>
      <c r="D1064" s="76" t="s">
        <v>35</v>
      </c>
      <c r="E1064" s="76" t="s">
        <v>32</v>
      </c>
      <c r="F1064" s="76">
        <v>1.8</v>
      </c>
    </row>
    <row r="1065" spans="1:6">
      <c r="A1065">
        <v>1099</v>
      </c>
      <c r="B1065">
        <v>132021242</v>
      </c>
      <c r="C1065" s="76">
        <v>2021</v>
      </c>
      <c r="D1065" s="76" t="s">
        <v>35</v>
      </c>
      <c r="E1065" s="76" t="s">
        <v>32</v>
      </c>
      <c r="F1065" s="76">
        <v>8</v>
      </c>
    </row>
    <row r="1066" spans="1:6">
      <c r="A1066">
        <v>1091</v>
      </c>
      <c r="B1066">
        <v>132021242</v>
      </c>
      <c r="C1066" s="76">
        <v>2021</v>
      </c>
      <c r="D1066" s="76" t="s">
        <v>35</v>
      </c>
      <c r="E1066" s="76" t="s">
        <v>32</v>
      </c>
      <c r="F1066" s="76">
        <v>1.5</v>
      </c>
    </row>
    <row r="1067" spans="1:6">
      <c r="A1067">
        <v>1107</v>
      </c>
      <c r="B1067">
        <v>132021242</v>
      </c>
      <c r="C1067" s="76">
        <v>2021</v>
      </c>
      <c r="D1067" s="76" t="s">
        <v>35</v>
      </c>
      <c r="E1067" s="76" t="s">
        <v>32</v>
      </c>
      <c r="F1067" s="76">
        <v>1.8</v>
      </c>
    </row>
    <row r="1068" spans="1:6">
      <c r="A1068">
        <v>1072</v>
      </c>
      <c r="B1068">
        <v>132021242</v>
      </c>
      <c r="C1068" s="76">
        <v>2021</v>
      </c>
      <c r="D1068" s="76" t="s">
        <v>35</v>
      </c>
      <c r="E1068" s="76" t="s">
        <v>32</v>
      </c>
      <c r="F1068" s="76">
        <v>2.4</v>
      </c>
    </row>
    <row r="1069" spans="1:6">
      <c r="A1069">
        <v>1085</v>
      </c>
      <c r="B1069">
        <v>132021242</v>
      </c>
      <c r="C1069" s="76">
        <v>2021</v>
      </c>
      <c r="D1069" s="76" t="s">
        <v>35</v>
      </c>
      <c r="E1069" s="76" t="s">
        <v>32</v>
      </c>
      <c r="F1069" s="76">
        <v>2.5</v>
      </c>
    </row>
    <row r="1070" spans="1:6">
      <c r="A1070">
        <v>1079</v>
      </c>
      <c r="B1070">
        <v>132021242</v>
      </c>
      <c r="C1070" s="76">
        <v>2021</v>
      </c>
      <c r="D1070" s="76" t="s">
        <v>35</v>
      </c>
      <c r="E1070" s="76" t="s">
        <v>32</v>
      </c>
      <c r="F1070" s="76">
        <v>1.8</v>
      </c>
    </row>
    <row r="1071" spans="1:6">
      <c r="A1071">
        <v>1094</v>
      </c>
      <c r="B1071">
        <v>132021242</v>
      </c>
      <c r="C1071" s="76">
        <v>2021</v>
      </c>
      <c r="D1071" s="76" t="s">
        <v>35</v>
      </c>
      <c r="E1071" s="76" t="s">
        <v>32</v>
      </c>
      <c r="F1071" s="76">
        <v>2.4</v>
      </c>
    </row>
    <row r="1072" spans="1:6">
      <c r="A1072">
        <v>1108</v>
      </c>
      <c r="B1072">
        <v>132021242</v>
      </c>
      <c r="C1072" s="76">
        <v>2021</v>
      </c>
      <c r="D1072" s="76" t="s">
        <v>35</v>
      </c>
      <c r="E1072" s="76" t="s">
        <v>32</v>
      </c>
      <c r="F1072" s="76">
        <v>1.2</v>
      </c>
    </row>
    <row r="1073" spans="1:6">
      <c r="A1073">
        <v>1093</v>
      </c>
      <c r="B1073">
        <v>132021242</v>
      </c>
      <c r="C1073" s="76">
        <v>2021</v>
      </c>
      <c r="D1073" s="76" t="s">
        <v>35</v>
      </c>
      <c r="E1073" s="76" t="s">
        <v>32</v>
      </c>
      <c r="F1073" s="76">
        <v>2.4</v>
      </c>
    </row>
    <row r="1074" spans="1:6">
      <c r="A1074">
        <v>1105</v>
      </c>
      <c r="B1074">
        <v>132021242</v>
      </c>
      <c r="C1074" s="76">
        <v>2021</v>
      </c>
      <c r="D1074" s="76" t="s">
        <v>35</v>
      </c>
      <c r="E1074" s="76" t="s">
        <v>32</v>
      </c>
      <c r="F1074" s="76">
        <v>1</v>
      </c>
    </row>
    <row r="1075" spans="1:6">
      <c r="A1075">
        <v>1074</v>
      </c>
      <c r="B1075">
        <v>132021242</v>
      </c>
      <c r="C1075" s="76">
        <v>2021</v>
      </c>
      <c r="D1075" s="76" t="s">
        <v>35</v>
      </c>
      <c r="E1075" s="76" t="s">
        <v>32</v>
      </c>
      <c r="F1075" s="76">
        <v>1.2</v>
      </c>
    </row>
    <row r="1076" spans="1:6">
      <c r="A1076">
        <v>1103</v>
      </c>
      <c r="B1076">
        <v>132021242</v>
      </c>
      <c r="C1076" s="76">
        <v>2021</v>
      </c>
      <c r="D1076" s="76" t="s">
        <v>35</v>
      </c>
      <c r="E1076" s="76" t="s">
        <v>32</v>
      </c>
      <c r="F1076" s="76">
        <v>1.5</v>
      </c>
    </row>
    <row r="1077" spans="1:6">
      <c r="A1077">
        <v>1082</v>
      </c>
      <c r="B1077">
        <v>132021242</v>
      </c>
      <c r="C1077" s="76">
        <v>2021</v>
      </c>
      <c r="D1077" s="76" t="s">
        <v>35</v>
      </c>
      <c r="E1077" s="76" t="s">
        <v>32</v>
      </c>
      <c r="F1077" s="76">
        <v>1.8</v>
      </c>
    </row>
    <row r="1078" spans="1:6">
      <c r="A1078">
        <v>1106</v>
      </c>
      <c r="B1078">
        <v>132021242</v>
      </c>
      <c r="C1078" s="76">
        <v>2021</v>
      </c>
      <c r="D1078" s="76" t="s">
        <v>35</v>
      </c>
      <c r="E1078" s="76" t="s">
        <v>32</v>
      </c>
      <c r="F1078" s="76">
        <v>1.2</v>
      </c>
    </row>
    <row r="1079" spans="1:6">
      <c r="A1079">
        <v>1114</v>
      </c>
      <c r="B1079">
        <v>132021243</v>
      </c>
      <c r="C1079" s="76">
        <v>2021</v>
      </c>
      <c r="D1079" s="76" t="s">
        <v>38</v>
      </c>
      <c r="E1079" s="76" t="s">
        <v>32</v>
      </c>
      <c r="F1079" s="76">
        <v>1.5</v>
      </c>
    </row>
    <row r="1080" spans="1:6">
      <c r="A1080">
        <v>1113</v>
      </c>
      <c r="B1080">
        <v>132021243</v>
      </c>
      <c r="C1080" s="76">
        <v>2021</v>
      </c>
      <c r="D1080" s="76" t="s">
        <v>38</v>
      </c>
      <c r="E1080" s="76" t="s">
        <v>32</v>
      </c>
      <c r="F1080" s="76">
        <v>3</v>
      </c>
    </row>
    <row r="1081" spans="1:6">
      <c r="A1081">
        <v>1144</v>
      </c>
      <c r="B1081">
        <v>132021260</v>
      </c>
      <c r="C1081" s="76">
        <v>2021</v>
      </c>
      <c r="D1081" s="76" t="s">
        <v>34</v>
      </c>
      <c r="E1081" s="76" t="s">
        <v>32</v>
      </c>
      <c r="F1081" s="76">
        <v>10</v>
      </c>
    </row>
    <row r="1082" spans="1:6">
      <c r="A1082">
        <v>1135</v>
      </c>
      <c r="B1082">
        <v>132021260</v>
      </c>
      <c r="C1082" s="76">
        <v>2021</v>
      </c>
      <c r="D1082" s="76" t="s">
        <v>34</v>
      </c>
      <c r="E1082" s="76" t="s">
        <v>32</v>
      </c>
      <c r="F1082" s="76">
        <v>4.47</v>
      </c>
    </row>
    <row r="1083" spans="1:6">
      <c r="A1083">
        <v>1142</v>
      </c>
      <c r="B1083">
        <v>132021260</v>
      </c>
      <c r="C1083" s="76">
        <v>2021</v>
      </c>
      <c r="D1083" s="76" t="s">
        <v>34</v>
      </c>
      <c r="E1083" s="76" t="s">
        <v>32</v>
      </c>
      <c r="F1083" s="76">
        <v>0.25</v>
      </c>
    </row>
    <row r="1084" spans="1:6">
      <c r="A1084">
        <v>1121</v>
      </c>
      <c r="B1084">
        <v>132021260</v>
      </c>
      <c r="C1084" s="76">
        <v>2021</v>
      </c>
      <c r="D1084" s="76" t="s">
        <v>34</v>
      </c>
      <c r="E1084" s="76">
        <v>16</v>
      </c>
      <c r="F1084" s="76">
        <v>5.5</v>
      </c>
    </row>
    <row r="1085" spans="1:6">
      <c r="A1085">
        <v>1136</v>
      </c>
      <c r="B1085">
        <v>132021260</v>
      </c>
      <c r="C1085" s="76">
        <v>2021</v>
      </c>
      <c r="D1085" s="76" t="s">
        <v>34</v>
      </c>
      <c r="E1085" s="76" t="s">
        <v>32</v>
      </c>
      <c r="F1085" s="76">
        <v>5.52</v>
      </c>
    </row>
    <row r="1086" spans="1:6">
      <c r="A1086">
        <v>1117</v>
      </c>
      <c r="B1086">
        <v>132021260</v>
      </c>
      <c r="C1086" s="76">
        <v>2021</v>
      </c>
      <c r="D1086" s="76" t="s">
        <v>34</v>
      </c>
      <c r="E1086" s="76">
        <v>17</v>
      </c>
      <c r="F1086" s="76">
        <v>4.95</v>
      </c>
    </row>
    <row r="1087" spans="1:6">
      <c r="A1087">
        <v>1145</v>
      </c>
      <c r="B1087">
        <v>132021260</v>
      </c>
      <c r="C1087" s="76">
        <v>2021</v>
      </c>
      <c r="D1087" s="76" t="s">
        <v>34</v>
      </c>
      <c r="E1087" s="76" t="s">
        <v>32</v>
      </c>
      <c r="F1087" s="76">
        <v>5</v>
      </c>
    </row>
    <row r="1088" spans="1:6">
      <c r="A1088">
        <v>1124</v>
      </c>
      <c r="B1088">
        <v>132021260</v>
      </c>
      <c r="C1088" s="76">
        <v>2021</v>
      </c>
      <c r="D1088" s="76" t="s">
        <v>34</v>
      </c>
      <c r="E1088" s="76">
        <v>4</v>
      </c>
      <c r="F1088" s="76">
        <v>1.6</v>
      </c>
    </row>
    <row r="1089" spans="1:6">
      <c r="A1089">
        <v>1125</v>
      </c>
      <c r="B1089">
        <v>132021260</v>
      </c>
      <c r="C1089" s="76">
        <v>2021</v>
      </c>
      <c r="D1089" s="76" t="s">
        <v>34</v>
      </c>
      <c r="E1089" s="76">
        <v>8</v>
      </c>
      <c r="F1089" s="76">
        <v>2.4</v>
      </c>
    </row>
    <row r="1090" spans="1:6">
      <c r="A1090">
        <v>1133</v>
      </c>
      <c r="B1090">
        <v>132021260</v>
      </c>
      <c r="C1090" s="76">
        <v>2021</v>
      </c>
      <c r="D1090" s="76" t="s">
        <v>34</v>
      </c>
      <c r="E1090" s="76" t="s">
        <v>32</v>
      </c>
      <c r="F1090" s="76">
        <v>4.95</v>
      </c>
    </row>
    <row r="1091" spans="1:6">
      <c r="A1091">
        <v>1126</v>
      </c>
      <c r="B1091">
        <v>132021260</v>
      </c>
      <c r="C1091" s="76">
        <v>2021</v>
      </c>
      <c r="D1091" s="76" t="s">
        <v>34</v>
      </c>
      <c r="E1091" s="76">
        <v>9</v>
      </c>
      <c r="F1091" s="76">
        <v>2.7</v>
      </c>
    </row>
    <row r="1092" spans="1:6">
      <c r="A1092">
        <v>1127</v>
      </c>
      <c r="B1092">
        <v>132021260</v>
      </c>
      <c r="C1092" s="76">
        <v>2021</v>
      </c>
      <c r="D1092" s="76" t="s">
        <v>34</v>
      </c>
      <c r="E1092" s="76">
        <v>8</v>
      </c>
      <c r="F1092" s="76">
        <v>2.4</v>
      </c>
    </row>
    <row r="1093" spans="1:6">
      <c r="A1093">
        <v>1128</v>
      </c>
      <c r="B1093">
        <v>132021260</v>
      </c>
      <c r="C1093" s="76">
        <v>2021</v>
      </c>
      <c r="D1093" s="76" t="s">
        <v>34</v>
      </c>
      <c r="E1093" s="76">
        <v>2</v>
      </c>
      <c r="F1093" s="76">
        <v>0.5</v>
      </c>
    </row>
    <row r="1094" spans="1:6">
      <c r="A1094">
        <v>1115</v>
      </c>
      <c r="B1094">
        <v>132021260</v>
      </c>
      <c r="C1094" s="76">
        <v>2021</v>
      </c>
      <c r="D1094" s="76" t="s">
        <v>34</v>
      </c>
      <c r="E1094" s="76">
        <v>20</v>
      </c>
      <c r="F1094" s="76">
        <v>4.95</v>
      </c>
    </row>
    <row r="1095" spans="1:6">
      <c r="A1095">
        <v>1122</v>
      </c>
      <c r="B1095">
        <v>132021260</v>
      </c>
      <c r="C1095" s="76">
        <v>2021</v>
      </c>
      <c r="D1095" s="76" t="s">
        <v>34</v>
      </c>
      <c r="E1095" s="76">
        <v>122</v>
      </c>
      <c r="F1095" s="76">
        <v>45</v>
      </c>
    </row>
    <row r="1096" spans="1:6">
      <c r="A1096">
        <v>1119</v>
      </c>
      <c r="B1096">
        <v>132021260</v>
      </c>
      <c r="C1096" s="76">
        <v>2021</v>
      </c>
      <c r="D1096" s="76" t="s">
        <v>34</v>
      </c>
      <c r="E1096" s="76">
        <v>17</v>
      </c>
      <c r="F1096" s="76">
        <v>7.5</v>
      </c>
    </row>
    <row r="1097" spans="1:6">
      <c r="A1097">
        <v>1120</v>
      </c>
      <c r="B1097">
        <v>132021260</v>
      </c>
      <c r="C1097" s="76">
        <v>2021</v>
      </c>
      <c r="D1097" s="76" t="s">
        <v>34</v>
      </c>
      <c r="E1097" s="76">
        <v>30</v>
      </c>
      <c r="F1097" s="76">
        <v>10</v>
      </c>
    </row>
    <row r="1098" spans="1:6">
      <c r="A1098">
        <v>1116</v>
      </c>
      <c r="B1098">
        <v>132021260</v>
      </c>
      <c r="C1098" s="76">
        <v>2021</v>
      </c>
      <c r="D1098" s="76" t="s">
        <v>34</v>
      </c>
      <c r="E1098" s="76">
        <v>4</v>
      </c>
      <c r="F1098" s="76">
        <v>1.44</v>
      </c>
    </row>
    <row r="1099" spans="1:6">
      <c r="A1099">
        <v>1137</v>
      </c>
      <c r="B1099">
        <v>132021260</v>
      </c>
      <c r="C1099" s="76">
        <v>2021</v>
      </c>
      <c r="D1099" s="76" t="s">
        <v>34</v>
      </c>
      <c r="E1099" s="76" t="s">
        <v>32</v>
      </c>
      <c r="F1099" s="76">
        <v>4.8</v>
      </c>
    </row>
    <row r="1100" spans="1:6">
      <c r="A1100">
        <v>1130</v>
      </c>
      <c r="B1100">
        <v>132021260</v>
      </c>
      <c r="C1100" s="76">
        <v>2021</v>
      </c>
      <c r="D1100" s="76" t="s">
        <v>34</v>
      </c>
      <c r="E1100" s="76">
        <v>14</v>
      </c>
      <c r="F1100" s="76">
        <v>5</v>
      </c>
    </row>
    <row r="1101" spans="1:6">
      <c r="A1101">
        <v>1134</v>
      </c>
      <c r="B1101">
        <v>132021260</v>
      </c>
      <c r="C1101" s="76">
        <v>2021</v>
      </c>
      <c r="D1101" s="76" t="s">
        <v>34</v>
      </c>
      <c r="E1101" s="76" t="s">
        <v>32</v>
      </c>
      <c r="F1101" s="76">
        <v>1.37</v>
      </c>
    </row>
    <row r="1102" spans="1:6">
      <c r="A1102">
        <v>1129</v>
      </c>
      <c r="B1102">
        <v>132021260</v>
      </c>
      <c r="C1102" s="76">
        <v>2021</v>
      </c>
      <c r="D1102" s="76" t="s">
        <v>34</v>
      </c>
      <c r="E1102" s="76">
        <v>25</v>
      </c>
      <c r="F1102" s="76">
        <v>10</v>
      </c>
    </row>
    <row r="1103" spans="1:6">
      <c r="A1103">
        <v>1139</v>
      </c>
      <c r="B1103">
        <v>132021260</v>
      </c>
      <c r="C1103" s="76">
        <v>2021</v>
      </c>
      <c r="D1103" s="76" t="s">
        <v>34</v>
      </c>
      <c r="E1103" s="76" t="s">
        <v>32</v>
      </c>
      <c r="F1103" s="76">
        <v>40</v>
      </c>
    </row>
    <row r="1104" spans="1:6">
      <c r="A1104">
        <v>1118</v>
      </c>
      <c r="B1104">
        <v>132021260</v>
      </c>
      <c r="C1104" s="76">
        <v>2021</v>
      </c>
      <c r="D1104" s="76" t="s">
        <v>34</v>
      </c>
      <c r="E1104" s="76">
        <v>18</v>
      </c>
      <c r="F1104" s="76">
        <v>4.5</v>
      </c>
    </row>
    <row r="1105" spans="1:6">
      <c r="A1105">
        <v>1123</v>
      </c>
      <c r="B1105">
        <v>132021260</v>
      </c>
      <c r="C1105" s="76">
        <v>2021</v>
      </c>
      <c r="D1105" s="76" t="s">
        <v>34</v>
      </c>
      <c r="E1105" s="76">
        <v>12</v>
      </c>
      <c r="F1105" s="76">
        <v>5.05</v>
      </c>
    </row>
    <row r="1106" spans="1:6">
      <c r="A1106">
        <v>1132</v>
      </c>
      <c r="B1106">
        <v>132021260</v>
      </c>
      <c r="C1106" s="76">
        <v>2021</v>
      </c>
      <c r="D1106" s="76" t="s">
        <v>34</v>
      </c>
      <c r="E1106" s="76" t="s">
        <v>32</v>
      </c>
      <c r="F1106" s="76">
        <v>30</v>
      </c>
    </row>
    <row r="1107" spans="1:6">
      <c r="A1107">
        <v>1140</v>
      </c>
      <c r="B1107">
        <v>132021260</v>
      </c>
      <c r="C1107" s="76">
        <v>2021</v>
      </c>
      <c r="D1107" s="76" t="s">
        <v>34</v>
      </c>
      <c r="E1107" s="76" t="s">
        <v>32</v>
      </c>
      <c r="F1107" s="76">
        <v>14.99</v>
      </c>
    </row>
    <row r="1108" spans="1:6">
      <c r="A1108">
        <v>1138</v>
      </c>
      <c r="B1108">
        <v>132021260</v>
      </c>
      <c r="C1108" s="76">
        <v>2021</v>
      </c>
      <c r="D1108" s="76" t="s">
        <v>34</v>
      </c>
      <c r="E1108" s="76" t="s">
        <v>32</v>
      </c>
      <c r="F1108" s="76">
        <v>19.99</v>
      </c>
    </row>
    <row r="1109" spans="1:6">
      <c r="A1109">
        <v>1143</v>
      </c>
      <c r="B1109">
        <v>132021260</v>
      </c>
      <c r="C1109" s="76">
        <v>2021</v>
      </c>
      <c r="D1109" s="76" t="s">
        <v>34</v>
      </c>
      <c r="E1109" s="76" t="s">
        <v>32</v>
      </c>
      <c r="F1109" s="76">
        <v>0.8</v>
      </c>
    </row>
    <row r="1110" spans="1:6">
      <c r="A1110">
        <v>1141</v>
      </c>
      <c r="B1110">
        <v>132021260</v>
      </c>
      <c r="C1110" s="76">
        <v>2021</v>
      </c>
      <c r="D1110" s="76" t="s">
        <v>34</v>
      </c>
      <c r="E1110" s="76" t="s">
        <v>32</v>
      </c>
      <c r="F1110" s="76">
        <v>9.97</v>
      </c>
    </row>
    <row r="1111" spans="1:6">
      <c r="A1111">
        <v>1131</v>
      </c>
      <c r="B1111">
        <v>132021260</v>
      </c>
      <c r="C1111" s="76">
        <v>2021</v>
      </c>
      <c r="D1111" s="76" t="s">
        <v>34</v>
      </c>
      <c r="E1111" s="76">
        <v>15</v>
      </c>
      <c r="F1111" s="76">
        <v>4.8</v>
      </c>
    </row>
    <row r="1112" spans="1:6">
      <c r="A1112">
        <v>1165</v>
      </c>
      <c r="B1112">
        <v>132021270</v>
      </c>
      <c r="C1112" s="76">
        <v>2021</v>
      </c>
      <c r="D1112" s="76" t="s">
        <v>31</v>
      </c>
      <c r="E1112" s="76" t="s">
        <v>32</v>
      </c>
      <c r="F1112" s="76">
        <v>4.53</v>
      </c>
    </row>
    <row r="1113" spans="1:6">
      <c r="A1113">
        <v>1175</v>
      </c>
      <c r="B1113">
        <v>132021270</v>
      </c>
      <c r="C1113" s="76">
        <v>2021</v>
      </c>
      <c r="D1113" s="76" t="s">
        <v>31</v>
      </c>
      <c r="E1113" s="76" t="s">
        <v>32</v>
      </c>
      <c r="F1113" s="76">
        <v>8.51</v>
      </c>
    </row>
    <row r="1114" spans="1:6">
      <c r="A1114">
        <v>1153</v>
      </c>
      <c r="B1114">
        <v>132021270</v>
      </c>
      <c r="C1114" s="76">
        <v>2021</v>
      </c>
      <c r="D1114" s="76" t="s">
        <v>31</v>
      </c>
      <c r="E1114" s="76" t="s">
        <v>32</v>
      </c>
      <c r="F1114" s="76">
        <v>0.04</v>
      </c>
    </row>
    <row r="1115" spans="1:6">
      <c r="A1115">
        <v>1178</v>
      </c>
      <c r="B1115">
        <v>132021270</v>
      </c>
      <c r="C1115" s="76">
        <v>2021</v>
      </c>
      <c r="D1115" s="76" t="s">
        <v>31</v>
      </c>
      <c r="E1115" s="76" t="s">
        <v>32</v>
      </c>
      <c r="F1115" s="76">
        <v>10</v>
      </c>
    </row>
    <row r="1116" spans="1:6">
      <c r="A1116">
        <v>1180</v>
      </c>
      <c r="B1116">
        <v>132021270</v>
      </c>
      <c r="C1116" s="76">
        <v>2021</v>
      </c>
      <c r="D1116" s="76" t="s">
        <v>31</v>
      </c>
      <c r="E1116" s="76" t="s">
        <v>32</v>
      </c>
      <c r="F1116" s="76">
        <v>7</v>
      </c>
    </row>
    <row r="1117" spans="1:6">
      <c r="A1117">
        <v>1154</v>
      </c>
      <c r="B1117">
        <v>132021270</v>
      </c>
      <c r="C1117" s="76">
        <v>2021</v>
      </c>
      <c r="D1117" s="76" t="s">
        <v>31</v>
      </c>
      <c r="E1117" s="76" t="s">
        <v>32</v>
      </c>
      <c r="F1117" s="76">
        <v>0.14</v>
      </c>
    </row>
    <row r="1118" spans="1:6">
      <c r="A1118">
        <v>1176</v>
      </c>
      <c r="B1118">
        <v>132021270</v>
      </c>
      <c r="C1118" s="76">
        <v>2021</v>
      </c>
      <c r="D1118" s="76" t="s">
        <v>31</v>
      </c>
      <c r="E1118" s="76" t="s">
        <v>32</v>
      </c>
      <c r="F1118" s="76">
        <v>11.88</v>
      </c>
    </row>
    <row r="1119" spans="1:6">
      <c r="A1119">
        <v>1155</v>
      </c>
      <c r="B1119">
        <v>132021270</v>
      </c>
      <c r="C1119" s="76">
        <v>2021</v>
      </c>
      <c r="D1119" s="76" t="s">
        <v>31</v>
      </c>
      <c r="E1119" s="76" t="s">
        <v>32</v>
      </c>
      <c r="F1119" s="76">
        <v>4</v>
      </c>
    </row>
    <row r="1120" spans="1:6">
      <c r="A1120">
        <v>1161</v>
      </c>
      <c r="B1120">
        <v>132021270</v>
      </c>
      <c r="C1120" s="76">
        <v>2021</v>
      </c>
      <c r="D1120" s="76" t="s">
        <v>31</v>
      </c>
      <c r="E1120" s="76" t="s">
        <v>32</v>
      </c>
      <c r="F1120" s="76">
        <v>0.1</v>
      </c>
    </row>
    <row r="1121" spans="1:6">
      <c r="A1121">
        <v>1158</v>
      </c>
      <c r="B1121">
        <v>132021270</v>
      </c>
      <c r="C1121" s="76">
        <v>2021</v>
      </c>
      <c r="D1121" s="76" t="s">
        <v>31</v>
      </c>
      <c r="E1121" s="76" t="s">
        <v>32</v>
      </c>
      <c r="F1121" s="76">
        <v>0.4</v>
      </c>
    </row>
    <row r="1122" spans="1:6">
      <c r="A1122">
        <v>1164</v>
      </c>
      <c r="B1122">
        <v>132021270</v>
      </c>
      <c r="C1122" s="76">
        <v>2021</v>
      </c>
      <c r="D1122" s="76" t="s">
        <v>31</v>
      </c>
      <c r="E1122" s="76" t="s">
        <v>32</v>
      </c>
      <c r="F1122" s="76">
        <v>0.3</v>
      </c>
    </row>
    <row r="1123" spans="1:6">
      <c r="A1123">
        <v>1160</v>
      </c>
      <c r="B1123">
        <v>132021270</v>
      </c>
      <c r="C1123" s="76">
        <v>2021</v>
      </c>
      <c r="D1123" s="76" t="s">
        <v>31</v>
      </c>
      <c r="E1123" s="76" t="s">
        <v>32</v>
      </c>
      <c r="F1123" s="76">
        <v>20</v>
      </c>
    </row>
    <row r="1124" spans="1:6">
      <c r="A1124">
        <v>1169</v>
      </c>
      <c r="B1124">
        <v>132021270</v>
      </c>
      <c r="C1124" s="76">
        <v>2021</v>
      </c>
      <c r="D1124" s="76" t="s">
        <v>31</v>
      </c>
      <c r="E1124" s="76" t="s">
        <v>32</v>
      </c>
      <c r="F1124" s="76">
        <v>0.4</v>
      </c>
    </row>
    <row r="1125" spans="1:6">
      <c r="A1125">
        <v>1163</v>
      </c>
      <c r="B1125">
        <v>132021270</v>
      </c>
      <c r="C1125" s="76">
        <v>2021</v>
      </c>
      <c r="D1125" s="76" t="s">
        <v>31</v>
      </c>
      <c r="E1125" s="76" t="s">
        <v>32</v>
      </c>
      <c r="F1125" s="76">
        <v>0.4</v>
      </c>
    </row>
    <row r="1126" spans="1:6">
      <c r="A1126">
        <v>1146</v>
      </c>
      <c r="B1126">
        <v>132021270</v>
      </c>
      <c r="C1126" s="76">
        <v>2021</v>
      </c>
      <c r="D1126" s="76" t="s">
        <v>31</v>
      </c>
      <c r="E1126" s="76" t="s">
        <v>32</v>
      </c>
      <c r="F1126" s="76">
        <v>2.04</v>
      </c>
    </row>
    <row r="1127" spans="1:6">
      <c r="A1127">
        <v>1171</v>
      </c>
      <c r="B1127">
        <v>132021270</v>
      </c>
      <c r="C1127" s="76">
        <v>2021</v>
      </c>
      <c r="D1127" s="76" t="s">
        <v>31</v>
      </c>
      <c r="E1127" s="76" t="s">
        <v>32</v>
      </c>
      <c r="F1127" s="76">
        <v>3</v>
      </c>
    </row>
    <row r="1128" spans="1:6">
      <c r="A1128">
        <v>1173</v>
      </c>
      <c r="B1128">
        <v>132021270</v>
      </c>
      <c r="C1128" s="76">
        <v>2021</v>
      </c>
      <c r="D1128" s="76" t="s">
        <v>31</v>
      </c>
      <c r="E1128" s="76" t="s">
        <v>32</v>
      </c>
      <c r="F1128" s="76">
        <v>9.45</v>
      </c>
    </row>
    <row r="1129" spans="1:6">
      <c r="A1129">
        <v>1183</v>
      </c>
      <c r="B1129">
        <v>132021270</v>
      </c>
      <c r="C1129" s="76">
        <v>2021</v>
      </c>
      <c r="D1129" s="76" t="s">
        <v>31</v>
      </c>
      <c r="E1129" s="76" t="s">
        <v>32</v>
      </c>
      <c r="F1129" s="76">
        <v>0.6</v>
      </c>
    </row>
    <row r="1130" spans="1:6">
      <c r="A1130">
        <v>1172</v>
      </c>
      <c r="B1130">
        <v>132021270</v>
      </c>
      <c r="C1130" s="76">
        <v>2021</v>
      </c>
      <c r="D1130" s="76" t="s">
        <v>31</v>
      </c>
      <c r="E1130" s="76" t="s">
        <v>32</v>
      </c>
      <c r="F1130" s="76">
        <v>12</v>
      </c>
    </row>
    <row r="1131" spans="1:6">
      <c r="A1131">
        <v>1166</v>
      </c>
      <c r="B1131">
        <v>132021270</v>
      </c>
      <c r="C1131" s="76">
        <v>2021</v>
      </c>
      <c r="D1131" s="76" t="s">
        <v>31</v>
      </c>
      <c r="E1131" s="76" t="s">
        <v>32</v>
      </c>
      <c r="F1131" s="76">
        <v>8</v>
      </c>
    </row>
    <row r="1132" spans="1:6">
      <c r="A1132">
        <v>1156</v>
      </c>
      <c r="B1132">
        <v>132021270</v>
      </c>
      <c r="C1132" s="76">
        <v>2021</v>
      </c>
      <c r="D1132" s="76" t="s">
        <v>31</v>
      </c>
      <c r="E1132" s="76" t="s">
        <v>32</v>
      </c>
      <c r="F1132" s="76">
        <v>0.1</v>
      </c>
    </row>
    <row r="1133" spans="1:6">
      <c r="A1133">
        <v>1174</v>
      </c>
      <c r="B1133">
        <v>132021270</v>
      </c>
      <c r="C1133" s="76">
        <v>2021</v>
      </c>
      <c r="D1133" s="76" t="s">
        <v>31</v>
      </c>
      <c r="E1133" s="76" t="s">
        <v>32</v>
      </c>
      <c r="F1133" s="76">
        <v>11.8</v>
      </c>
    </row>
    <row r="1134" spans="1:6">
      <c r="A1134">
        <v>1177</v>
      </c>
      <c r="B1134">
        <v>132021270</v>
      </c>
      <c r="C1134" s="76">
        <v>2021</v>
      </c>
      <c r="D1134" s="76" t="s">
        <v>31</v>
      </c>
      <c r="E1134" s="76" t="s">
        <v>32</v>
      </c>
      <c r="F1134" s="76">
        <v>2</v>
      </c>
    </row>
    <row r="1135" spans="1:6">
      <c r="A1135">
        <v>1168</v>
      </c>
      <c r="B1135">
        <v>132021270</v>
      </c>
      <c r="C1135" s="76">
        <v>2021</v>
      </c>
      <c r="D1135" s="76" t="s">
        <v>31</v>
      </c>
      <c r="E1135" s="76" t="s">
        <v>32</v>
      </c>
      <c r="F1135" s="76">
        <v>4</v>
      </c>
    </row>
    <row r="1136" spans="1:6">
      <c r="A1136">
        <v>1159</v>
      </c>
      <c r="B1136">
        <v>132021270</v>
      </c>
      <c r="C1136" s="76">
        <v>2021</v>
      </c>
      <c r="D1136" s="76" t="s">
        <v>31</v>
      </c>
      <c r="E1136" s="76" t="s">
        <v>32</v>
      </c>
      <c r="F1136" s="76">
        <v>0.28</v>
      </c>
    </row>
    <row r="1137" spans="1:6">
      <c r="A1137">
        <v>1179</v>
      </c>
      <c r="B1137">
        <v>132021270</v>
      </c>
      <c r="C1137" s="76">
        <v>2021</v>
      </c>
      <c r="D1137" s="76" t="s">
        <v>31</v>
      </c>
      <c r="E1137" s="76" t="s">
        <v>32</v>
      </c>
      <c r="F1137" s="76">
        <v>10</v>
      </c>
    </row>
    <row r="1138" spans="1:6">
      <c r="A1138">
        <v>1157</v>
      </c>
      <c r="B1138">
        <v>132021270</v>
      </c>
      <c r="C1138" s="76">
        <v>2021</v>
      </c>
      <c r="D1138" s="76" t="s">
        <v>31</v>
      </c>
      <c r="E1138" s="76" t="s">
        <v>32</v>
      </c>
      <c r="F1138" s="76">
        <v>0.08</v>
      </c>
    </row>
    <row r="1139" spans="1:6">
      <c r="A1139">
        <v>1152</v>
      </c>
      <c r="B1139">
        <v>132021270</v>
      </c>
      <c r="C1139" s="76">
        <v>2021</v>
      </c>
      <c r="D1139" s="76" t="s">
        <v>31</v>
      </c>
      <c r="E1139" s="76" t="s">
        <v>32</v>
      </c>
      <c r="F1139" s="76">
        <v>1.81</v>
      </c>
    </row>
    <row r="1140" spans="1:6">
      <c r="A1140">
        <v>1162</v>
      </c>
      <c r="B1140">
        <v>132021270</v>
      </c>
      <c r="C1140" s="76">
        <v>2021</v>
      </c>
      <c r="D1140" s="76" t="s">
        <v>31</v>
      </c>
      <c r="E1140" s="76" t="s">
        <v>32</v>
      </c>
      <c r="F1140" s="76">
        <v>10</v>
      </c>
    </row>
    <row r="1141" spans="1:6">
      <c r="A1141">
        <v>1167</v>
      </c>
      <c r="B1141">
        <v>132021270</v>
      </c>
      <c r="C1141" s="76">
        <v>2021</v>
      </c>
      <c r="D1141" s="76" t="s">
        <v>31</v>
      </c>
      <c r="E1141" s="76" t="s">
        <v>32</v>
      </c>
      <c r="F1141" s="76">
        <v>8.8</v>
      </c>
    </row>
    <row r="1142" spans="1:6">
      <c r="A1142">
        <v>1149</v>
      </c>
      <c r="B1142">
        <v>132021270</v>
      </c>
      <c r="C1142" s="76">
        <v>2021</v>
      </c>
      <c r="D1142" s="76" t="s">
        <v>31</v>
      </c>
      <c r="E1142" s="76">
        <v>1</v>
      </c>
      <c r="F1142" s="76">
        <v>3</v>
      </c>
    </row>
    <row r="1143" spans="1:6">
      <c r="A1143">
        <v>1170</v>
      </c>
      <c r="B1143">
        <v>132021270</v>
      </c>
      <c r="C1143" s="76">
        <v>2021</v>
      </c>
      <c r="D1143" s="76" t="s">
        <v>31</v>
      </c>
      <c r="E1143" s="76" t="s">
        <v>32</v>
      </c>
      <c r="F1143" s="76">
        <v>20</v>
      </c>
    </row>
    <row r="1144" spans="1:6">
      <c r="A1144">
        <v>1182</v>
      </c>
      <c r="B1144">
        <v>132021270</v>
      </c>
      <c r="C1144" s="76">
        <v>2021</v>
      </c>
      <c r="D1144" s="76" t="s">
        <v>31</v>
      </c>
      <c r="E1144" s="76" t="s">
        <v>32</v>
      </c>
      <c r="F1144" s="76">
        <v>26</v>
      </c>
    </row>
    <row r="1145" spans="1:6">
      <c r="A1145">
        <v>1151</v>
      </c>
      <c r="B1145">
        <v>132021270</v>
      </c>
      <c r="C1145" s="76">
        <v>2021</v>
      </c>
      <c r="D1145" s="76" t="s">
        <v>31</v>
      </c>
      <c r="E1145" s="76" t="s">
        <v>32</v>
      </c>
      <c r="F1145" s="76">
        <v>4</v>
      </c>
    </row>
    <row r="1146" spans="1:6">
      <c r="A1146">
        <v>1181</v>
      </c>
      <c r="B1146">
        <v>132021270</v>
      </c>
      <c r="C1146" s="76">
        <v>2021</v>
      </c>
      <c r="D1146" s="76" t="s">
        <v>31</v>
      </c>
      <c r="E1146" s="76" t="s">
        <v>32</v>
      </c>
      <c r="F1146" s="76">
        <v>9</v>
      </c>
    </row>
    <row r="1147" spans="1:6">
      <c r="A1147">
        <v>1150</v>
      </c>
      <c r="B1147">
        <v>132021270</v>
      </c>
      <c r="C1147" s="76">
        <v>2021</v>
      </c>
      <c r="D1147" s="76" t="s">
        <v>31</v>
      </c>
      <c r="E1147" s="76" t="s">
        <v>32</v>
      </c>
      <c r="F1147" s="76">
        <v>3.99</v>
      </c>
    </row>
    <row r="1148" spans="1:6">
      <c r="A1148">
        <v>1186</v>
      </c>
      <c r="B1148">
        <v>142012211</v>
      </c>
      <c r="C1148">
        <v>2012</v>
      </c>
      <c r="D1148" t="s">
        <v>37</v>
      </c>
      <c r="E1148">
        <v>1</v>
      </c>
      <c r="F1148">
        <v>30</v>
      </c>
    </row>
    <row r="1149" spans="1:6">
      <c r="A1149">
        <v>1187</v>
      </c>
      <c r="B1149">
        <v>142012211</v>
      </c>
      <c r="C1149">
        <v>2012</v>
      </c>
      <c r="D1149" t="s">
        <v>37</v>
      </c>
      <c r="E1149">
        <v>2</v>
      </c>
      <c r="F1149">
        <v>30</v>
      </c>
    </row>
    <row r="1150" spans="1:6">
      <c r="A1150">
        <v>1184</v>
      </c>
      <c r="B1150">
        <v>142012211</v>
      </c>
      <c r="C1150">
        <v>2012</v>
      </c>
      <c r="D1150" t="s">
        <v>37</v>
      </c>
      <c r="E1150">
        <v>2</v>
      </c>
      <c r="F1150">
        <v>120</v>
      </c>
    </row>
    <row r="1151" spans="1:6">
      <c r="A1151">
        <v>1185</v>
      </c>
      <c r="B1151">
        <v>142012211</v>
      </c>
      <c r="C1151">
        <v>2012</v>
      </c>
      <c r="D1151" t="s">
        <v>37</v>
      </c>
      <c r="E1151">
        <v>2</v>
      </c>
      <c r="F1151">
        <v>40</v>
      </c>
    </row>
    <row r="1152" spans="1:6">
      <c r="A1152">
        <v>1188</v>
      </c>
      <c r="B1152">
        <v>142012211</v>
      </c>
      <c r="C1152">
        <v>2012</v>
      </c>
      <c r="D1152" t="s">
        <v>37</v>
      </c>
      <c r="E1152">
        <v>1</v>
      </c>
      <c r="F1152">
        <v>67.3</v>
      </c>
    </row>
    <row r="1153" spans="1:6">
      <c r="A1153">
        <v>1189</v>
      </c>
      <c r="B1153">
        <v>142012212</v>
      </c>
      <c r="C1153">
        <v>2012</v>
      </c>
      <c r="D1153" t="s">
        <v>39</v>
      </c>
      <c r="E1153">
        <v>1</v>
      </c>
      <c r="F1153">
        <v>30</v>
      </c>
    </row>
    <row r="1154" spans="1:6">
      <c r="A1154">
        <v>1190</v>
      </c>
      <c r="B1154">
        <v>142012222</v>
      </c>
      <c r="C1154">
        <v>2012</v>
      </c>
      <c r="D1154" t="s">
        <v>43</v>
      </c>
      <c r="E1154">
        <v>10</v>
      </c>
      <c r="F1154">
        <v>0.5</v>
      </c>
    </row>
    <row r="1155" spans="1:6">
      <c r="A1155">
        <v>1207</v>
      </c>
      <c r="B1155">
        <v>142012260</v>
      </c>
      <c r="C1155">
        <v>2012</v>
      </c>
      <c r="D1155" t="s">
        <v>34</v>
      </c>
      <c r="E1155">
        <v>33</v>
      </c>
      <c r="F1155">
        <v>4.95</v>
      </c>
    </row>
    <row r="1156" spans="1:6">
      <c r="A1156">
        <v>1195</v>
      </c>
      <c r="B1156">
        <v>142012260</v>
      </c>
      <c r="C1156">
        <v>2012</v>
      </c>
      <c r="D1156" t="s">
        <v>34</v>
      </c>
      <c r="E1156">
        <v>33</v>
      </c>
      <c r="F1156">
        <v>4.95</v>
      </c>
    </row>
    <row r="1157" spans="1:6">
      <c r="A1157">
        <v>1204</v>
      </c>
      <c r="B1157">
        <v>142012260</v>
      </c>
      <c r="C1157">
        <v>2012</v>
      </c>
      <c r="D1157" t="s">
        <v>34</v>
      </c>
      <c r="E1157">
        <v>33</v>
      </c>
      <c r="F1157">
        <v>4.95</v>
      </c>
    </row>
    <row r="1158" spans="1:6">
      <c r="A1158">
        <v>1206</v>
      </c>
      <c r="B1158">
        <v>142012260</v>
      </c>
      <c r="C1158">
        <v>2012</v>
      </c>
      <c r="D1158" t="s">
        <v>34</v>
      </c>
      <c r="E1158">
        <v>33</v>
      </c>
      <c r="F1158">
        <v>4.95</v>
      </c>
    </row>
    <row r="1159" spans="1:6">
      <c r="A1159">
        <v>1208</v>
      </c>
      <c r="B1159">
        <v>142012260</v>
      </c>
      <c r="C1159">
        <v>2012</v>
      </c>
      <c r="D1159" t="s">
        <v>34</v>
      </c>
      <c r="E1159">
        <v>33</v>
      </c>
      <c r="F1159">
        <v>4.95</v>
      </c>
    </row>
    <row r="1160" spans="1:6">
      <c r="A1160">
        <v>1200</v>
      </c>
      <c r="B1160">
        <v>142012260</v>
      </c>
      <c r="C1160">
        <v>2012</v>
      </c>
      <c r="D1160" t="s">
        <v>34</v>
      </c>
      <c r="E1160">
        <v>33</v>
      </c>
      <c r="F1160">
        <v>4.95</v>
      </c>
    </row>
    <row r="1161" spans="1:6">
      <c r="A1161">
        <v>1199</v>
      </c>
      <c r="B1161">
        <v>142012260</v>
      </c>
      <c r="C1161">
        <v>2012</v>
      </c>
      <c r="D1161" t="s">
        <v>34</v>
      </c>
      <c r="E1161">
        <v>33</v>
      </c>
      <c r="F1161">
        <v>4.95</v>
      </c>
    </row>
    <row r="1162" spans="1:6">
      <c r="A1162">
        <v>1201</v>
      </c>
      <c r="B1162">
        <v>142012260</v>
      </c>
      <c r="C1162">
        <v>2012</v>
      </c>
      <c r="D1162" t="s">
        <v>34</v>
      </c>
      <c r="E1162">
        <v>33</v>
      </c>
      <c r="F1162">
        <v>4.95</v>
      </c>
    </row>
    <row r="1163" spans="1:6">
      <c r="A1163">
        <v>1209</v>
      </c>
      <c r="B1163">
        <v>142012260</v>
      </c>
      <c r="C1163">
        <v>2012</v>
      </c>
      <c r="D1163" t="s">
        <v>34</v>
      </c>
      <c r="E1163">
        <v>33</v>
      </c>
      <c r="F1163">
        <v>4.95</v>
      </c>
    </row>
    <row r="1164" spans="1:6">
      <c r="A1164">
        <v>1205</v>
      </c>
      <c r="B1164">
        <v>142012260</v>
      </c>
      <c r="C1164">
        <v>2012</v>
      </c>
      <c r="D1164" t="s">
        <v>34</v>
      </c>
      <c r="E1164">
        <v>34</v>
      </c>
      <c r="F1164">
        <v>10.2</v>
      </c>
    </row>
    <row r="1165" spans="1:6">
      <c r="A1165">
        <v>1191</v>
      </c>
      <c r="B1165">
        <v>142012260</v>
      </c>
      <c r="C1165">
        <v>2012</v>
      </c>
      <c r="D1165" t="s">
        <v>34</v>
      </c>
      <c r="E1165">
        <v>33</v>
      </c>
      <c r="F1165">
        <v>4.95</v>
      </c>
    </row>
    <row r="1166" spans="1:6">
      <c r="A1166">
        <v>1192</v>
      </c>
      <c r="B1166">
        <v>142012260</v>
      </c>
      <c r="C1166">
        <v>2012</v>
      </c>
      <c r="D1166" t="s">
        <v>34</v>
      </c>
      <c r="E1166">
        <v>33</v>
      </c>
      <c r="F1166">
        <v>4.95</v>
      </c>
    </row>
    <row r="1167" spans="1:6">
      <c r="A1167">
        <v>1198</v>
      </c>
      <c r="B1167">
        <v>142012260</v>
      </c>
      <c r="C1167">
        <v>2012</v>
      </c>
      <c r="D1167" t="s">
        <v>34</v>
      </c>
      <c r="E1167">
        <v>33</v>
      </c>
      <c r="F1167">
        <v>4.95</v>
      </c>
    </row>
    <row r="1168" spans="1:6">
      <c r="A1168">
        <v>1196</v>
      </c>
      <c r="B1168">
        <v>142012260</v>
      </c>
      <c r="C1168">
        <v>2012</v>
      </c>
      <c r="D1168" t="s">
        <v>34</v>
      </c>
      <c r="E1168">
        <v>33</v>
      </c>
      <c r="F1168">
        <v>4.95</v>
      </c>
    </row>
    <row r="1169" spans="1:6">
      <c r="A1169">
        <v>1202</v>
      </c>
      <c r="B1169">
        <v>142012260</v>
      </c>
      <c r="C1169">
        <v>2012</v>
      </c>
      <c r="D1169" t="s">
        <v>34</v>
      </c>
      <c r="E1169">
        <v>100</v>
      </c>
      <c r="F1169">
        <v>15</v>
      </c>
    </row>
    <row r="1170" spans="1:6">
      <c r="A1170">
        <v>1193</v>
      </c>
      <c r="B1170">
        <v>142012260</v>
      </c>
      <c r="C1170">
        <v>2012</v>
      </c>
      <c r="D1170" t="s">
        <v>34</v>
      </c>
      <c r="E1170">
        <v>11</v>
      </c>
      <c r="F1170">
        <v>1.65</v>
      </c>
    </row>
    <row r="1171" spans="1:6">
      <c r="A1171">
        <v>1194</v>
      </c>
      <c r="B1171">
        <v>142012260</v>
      </c>
      <c r="C1171">
        <v>2012</v>
      </c>
      <c r="D1171" t="s">
        <v>34</v>
      </c>
      <c r="E1171">
        <v>33</v>
      </c>
      <c r="F1171">
        <v>4.95</v>
      </c>
    </row>
    <row r="1172" spans="1:6">
      <c r="A1172">
        <v>1197</v>
      </c>
      <c r="B1172">
        <v>142012260</v>
      </c>
      <c r="C1172">
        <v>2012</v>
      </c>
      <c r="D1172" t="s">
        <v>34</v>
      </c>
      <c r="E1172">
        <v>16</v>
      </c>
      <c r="F1172">
        <v>4.5</v>
      </c>
    </row>
    <row r="1173" spans="1:6">
      <c r="A1173">
        <v>1203</v>
      </c>
      <c r="B1173">
        <v>142012260</v>
      </c>
      <c r="C1173">
        <v>2012</v>
      </c>
      <c r="D1173" t="s">
        <v>34</v>
      </c>
      <c r="E1173">
        <v>16</v>
      </c>
      <c r="F1173">
        <v>2.4</v>
      </c>
    </row>
    <row r="1174" spans="1:6">
      <c r="A1174">
        <v>1210</v>
      </c>
      <c r="B1174">
        <v>142012270</v>
      </c>
      <c r="C1174">
        <v>2012</v>
      </c>
      <c r="D1174" t="s">
        <v>31</v>
      </c>
      <c r="E1174" t="s">
        <v>32</v>
      </c>
      <c r="F1174">
        <v>0.81</v>
      </c>
    </row>
    <row r="1175" spans="1:6">
      <c r="A1175">
        <v>1212</v>
      </c>
      <c r="B1175">
        <v>142013211</v>
      </c>
      <c r="C1175">
        <v>2013</v>
      </c>
      <c r="D1175" t="s">
        <v>37</v>
      </c>
      <c r="E1175">
        <v>1</v>
      </c>
      <c r="F1175">
        <v>30</v>
      </c>
    </row>
    <row r="1176" spans="1:6">
      <c r="A1176">
        <v>1214</v>
      </c>
      <c r="B1176">
        <v>142013211</v>
      </c>
      <c r="C1176">
        <v>2013</v>
      </c>
      <c r="D1176" t="s">
        <v>37</v>
      </c>
      <c r="E1176">
        <v>2</v>
      </c>
      <c r="F1176">
        <v>120</v>
      </c>
    </row>
    <row r="1177" spans="1:6">
      <c r="A1177">
        <v>1211</v>
      </c>
      <c r="B1177">
        <v>142013211</v>
      </c>
      <c r="C1177">
        <v>2013</v>
      </c>
      <c r="D1177" t="s">
        <v>37</v>
      </c>
      <c r="E1177">
        <v>2</v>
      </c>
      <c r="F1177">
        <v>27</v>
      </c>
    </row>
    <row r="1178" spans="1:6">
      <c r="A1178">
        <v>1213</v>
      </c>
      <c r="B1178">
        <v>142013211</v>
      </c>
      <c r="C1178">
        <v>2013</v>
      </c>
      <c r="D1178" t="s">
        <v>37</v>
      </c>
      <c r="E1178">
        <v>2</v>
      </c>
      <c r="F1178">
        <v>10</v>
      </c>
    </row>
    <row r="1179" spans="1:6">
      <c r="A1179">
        <v>1226</v>
      </c>
      <c r="B1179">
        <v>142013260</v>
      </c>
      <c r="C1179">
        <v>2013</v>
      </c>
      <c r="D1179" t="s">
        <v>34</v>
      </c>
      <c r="E1179" t="s">
        <v>32</v>
      </c>
      <c r="F1179">
        <v>4.95</v>
      </c>
    </row>
    <row r="1180" spans="1:6">
      <c r="A1180">
        <v>1230</v>
      </c>
      <c r="B1180">
        <v>142013260</v>
      </c>
      <c r="C1180">
        <v>2013</v>
      </c>
      <c r="D1180" t="s">
        <v>34</v>
      </c>
      <c r="E1180" t="s">
        <v>32</v>
      </c>
      <c r="F1180">
        <v>4.95</v>
      </c>
    </row>
    <row r="1181" spans="1:6">
      <c r="A1181">
        <v>1225</v>
      </c>
      <c r="B1181">
        <v>142013260</v>
      </c>
      <c r="C1181">
        <v>2013</v>
      </c>
      <c r="D1181" t="s">
        <v>34</v>
      </c>
      <c r="E1181">
        <v>33</v>
      </c>
      <c r="F1181">
        <v>4.95</v>
      </c>
    </row>
    <row r="1182" spans="1:6">
      <c r="A1182">
        <v>1229</v>
      </c>
      <c r="B1182">
        <v>142013260</v>
      </c>
      <c r="C1182">
        <v>2013</v>
      </c>
      <c r="D1182" t="s">
        <v>34</v>
      </c>
      <c r="E1182" t="s">
        <v>32</v>
      </c>
      <c r="F1182">
        <v>4.95</v>
      </c>
    </row>
    <row r="1183" spans="1:6">
      <c r="A1183">
        <v>1218</v>
      </c>
      <c r="B1183">
        <v>142013260</v>
      </c>
      <c r="C1183">
        <v>2013</v>
      </c>
      <c r="D1183" t="s">
        <v>34</v>
      </c>
      <c r="E1183">
        <v>33</v>
      </c>
      <c r="F1183">
        <v>4.95</v>
      </c>
    </row>
    <row r="1184" spans="1:6">
      <c r="A1184">
        <v>1231</v>
      </c>
      <c r="B1184">
        <v>142013260</v>
      </c>
      <c r="C1184">
        <v>2013</v>
      </c>
      <c r="D1184" t="s">
        <v>34</v>
      </c>
      <c r="E1184">
        <v>33</v>
      </c>
      <c r="F1184">
        <v>4.95</v>
      </c>
    </row>
    <row r="1185" spans="1:6">
      <c r="A1185">
        <v>1222</v>
      </c>
      <c r="B1185">
        <v>142013260</v>
      </c>
      <c r="C1185">
        <v>2013</v>
      </c>
      <c r="D1185" t="s">
        <v>34</v>
      </c>
      <c r="E1185">
        <v>33</v>
      </c>
      <c r="F1185">
        <v>4.95</v>
      </c>
    </row>
    <row r="1186" spans="1:6">
      <c r="A1186">
        <v>1217</v>
      </c>
      <c r="B1186">
        <v>142013260</v>
      </c>
      <c r="C1186">
        <v>2013</v>
      </c>
      <c r="D1186" t="s">
        <v>34</v>
      </c>
      <c r="E1186">
        <v>30</v>
      </c>
      <c r="F1186">
        <v>4.95</v>
      </c>
    </row>
    <row r="1187" spans="1:6">
      <c r="A1187">
        <v>1216</v>
      </c>
      <c r="B1187">
        <v>142013260</v>
      </c>
      <c r="C1187">
        <v>2013</v>
      </c>
      <c r="D1187" t="s">
        <v>34</v>
      </c>
      <c r="E1187">
        <v>24</v>
      </c>
      <c r="F1187">
        <v>4.8</v>
      </c>
    </row>
    <row r="1188" spans="1:6">
      <c r="A1188">
        <v>1219</v>
      </c>
      <c r="B1188">
        <v>142013260</v>
      </c>
      <c r="C1188">
        <v>2013</v>
      </c>
      <c r="D1188" t="s">
        <v>34</v>
      </c>
      <c r="E1188">
        <v>25</v>
      </c>
      <c r="F1188">
        <v>4.95</v>
      </c>
    </row>
    <row r="1189" spans="1:6">
      <c r="A1189">
        <v>1220</v>
      </c>
      <c r="B1189">
        <v>142013260</v>
      </c>
      <c r="C1189">
        <v>2013</v>
      </c>
      <c r="D1189" t="s">
        <v>34</v>
      </c>
      <c r="E1189">
        <v>33</v>
      </c>
      <c r="F1189">
        <v>4.95</v>
      </c>
    </row>
    <row r="1190" spans="1:6">
      <c r="A1190">
        <v>1228</v>
      </c>
      <c r="B1190">
        <v>142013260</v>
      </c>
      <c r="C1190">
        <v>2013</v>
      </c>
      <c r="D1190" t="s">
        <v>34</v>
      </c>
      <c r="E1190" t="s">
        <v>32</v>
      </c>
      <c r="F1190">
        <v>4.95</v>
      </c>
    </row>
    <row r="1191" spans="1:6">
      <c r="A1191">
        <v>1227</v>
      </c>
      <c r="B1191">
        <v>142013260</v>
      </c>
      <c r="C1191">
        <v>2013</v>
      </c>
      <c r="D1191" t="s">
        <v>34</v>
      </c>
      <c r="E1191" t="s">
        <v>32</v>
      </c>
      <c r="F1191">
        <v>4.95</v>
      </c>
    </row>
    <row r="1192" spans="1:6">
      <c r="A1192">
        <v>1221</v>
      </c>
      <c r="B1192">
        <v>142013260</v>
      </c>
      <c r="C1192">
        <v>2013</v>
      </c>
      <c r="D1192" t="s">
        <v>34</v>
      </c>
      <c r="E1192">
        <v>33</v>
      </c>
      <c r="F1192">
        <v>4.95</v>
      </c>
    </row>
    <row r="1193" spans="1:6">
      <c r="A1193">
        <v>1223</v>
      </c>
      <c r="B1193">
        <v>142013260</v>
      </c>
      <c r="C1193">
        <v>2013</v>
      </c>
      <c r="D1193" t="s">
        <v>34</v>
      </c>
      <c r="E1193">
        <v>33</v>
      </c>
      <c r="F1193">
        <v>4.95</v>
      </c>
    </row>
    <row r="1194" spans="1:6">
      <c r="A1194">
        <v>1224</v>
      </c>
      <c r="B1194">
        <v>142013260</v>
      </c>
      <c r="C1194">
        <v>2013</v>
      </c>
      <c r="D1194" t="s">
        <v>34</v>
      </c>
      <c r="E1194">
        <v>17</v>
      </c>
      <c r="F1194">
        <v>2.55</v>
      </c>
    </row>
    <row r="1195" spans="1:6">
      <c r="A1195">
        <v>1215</v>
      </c>
      <c r="B1195">
        <v>142013260</v>
      </c>
      <c r="C1195">
        <v>2013</v>
      </c>
      <c r="D1195" t="s">
        <v>34</v>
      </c>
      <c r="E1195">
        <v>24</v>
      </c>
      <c r="F1195">
        <v>4.8</v>
      </c>
    </row>
    <row r="1196" spans="1:6">
      <c r="A1196">
        <v>1232</v>
      </c>
      <c r="B1196">
        <v>142013270</v>
      </c>
      <c r="C1196">
        <v>2013</v>
      </c>
      <c r="D1196" t="s">
        <v>31</v>
      </c>
      <c r="E1196" t="s">
        <v>32</v>
      </c>
      <c r="F1196">
        <v>2</v>
      </c>
    </row>
    <row r="1197" spans="1:6">
      <c r="A1197">
        <v>1233</v>
      </c>
      <c r="B1197">
        <v>142013270</v>
      </c>
      <c r="C1197">
        <v>2013</v>
      </c>
      <c r="D1197" t="s">
        <v>31</v>
      </c>
      <c r="E1197" t="s">
        <v>32</v>
      </c>
      <c r="F1197">
        <v>3</v>
      </c>
    </row>
    <row r="1198" spans="1:6">
      <c r="A1198">
        <v>1234</v>
      </c>
      <c r="B1198">
        <v>142014110</v>
      </c>
      <c r="C1198">
        <v>2014</v>
      </c>
      <c r="D1198" t="s">
        <v>40</v>
      </c>
      <c r="E1198">
        <v>1</v>
      </c>
      <c r="F1198">
        <v>2.11</v>
      </c>
    </row>
    <row r="1199" spans="1:6">
      <c r="A1199">
        <v>1235</v>
      </c>
      <c r="B1199">
        <v>142014211</v>
      </c>
      <c r="C1199">
        <v>2014</v>
      </c>
      <c r="D1199" t="s">
        <v>37</v>
      </c>
      <c r="E1199">
        <v>2</v>
      </c>
      <c r="F1199">
        <v>66</v>
      </c>
    </row>
    <row r="1200" spans="1:6">
      <c r="A1200">
        <v>1236</v>
      </c>
      <c r="B1200">
        <v>142014211</v>
      </c>
      <c r="C1200">
        <v>2014</v>
      </c>
      <c r="D1200" t="s">
        <v>37</v>
      </c>
      <c r="E1200">
        <v>2</v>
      </c>
      <c r="F1200">
        <v>66</v>
      </c>
    </row>
    <row r="1201" spans="1:6">
      <c r="A1201">
        <v>1238</v>
      </c>
      <c r="B1201">
        <v>142014211</v>
      </c>
      <c r="C1201">
        <v>2014</v>
      </c>
      <c r="D1201" t="s">
        <v>37</v>
      </c>
      <c r="E1201">
        <v>1</v>
      </c>
      <c r="F1201">
        <v>24.5</v>
      </c>
    </row>
    <row r="1202" spans="1:6">
      <c r="A1202">
        <v>1239</v>
      </c>
      <c r="B1202">
        <v>142014211</v>
      </c>
      <c r="C1202">
        <v>2014</v>
      </c>
      <c r="D1202" t="s">
        <v>37</v>
      </c>
      <c r="E1202">
        <v>1</v>
      </c>
      <c r="F1202">
        <v>12.6</v>
      </c>
    </row>
    <row r="1203" spans="1:6">
      <c r="A1203">
        <v>1237</v>
      </c>
      <c r="B1203">
        <v>142014211</v>
      </c>
      <c r="C1203">
        <v>2014</v>
      </c>
      <c r="D1203" t="s">
        <v>37</v>
      </c>
      <c r="E1203">
        <v>2</v>
      </c>
      <c r="F1203">
        <v>60</v>
      </c>
    </row>
    <row r="1204" spans="1:6">
      <c r="A1204">
        <v>1240</v>
      </c>
      <c r="B1204">
        <v>142014212</v>
      </c>
      <c r="C1204">
        <v>2014</v>
      </c>
      <c r="D1204" t="s">
        <v>39</v>
      </c>
      <c r="E1204">
        <v>1</v>
      </c>
      <c r="F1204">
        <v>30</v>
      </c>
    </row>
    <row r="1205" spans="1:6">
      <c r="A1205">
        <v>1241</v>
      </c>
      <c r="B1205">
        <v>142014221</v>
      </c>
      <c r="C1205">
        <v>2014</v>
      </c>
      <c r="D1205" t="s">
        <v>30</v>
      </c>
      <c r="E1205">
        <v>3</v>
      </c>
      <c r="F1205">
        <v>86.4</v>
      </c>
    </row>
    <row r="1206" spans="1:6">
      <c r="A1206">
        <v>1243</v>
      </c>
      <c r="B1206">
        <v>142014241</v>
      </c>
      <c r="C1206">
        <v>2014</v>
      </c>
      <c r="D1206" t="s">
        <v>33</v>
      </c>
      <c r="E1206">
        <v>1</v>
      </c>
      <c r="F1206">
        <v>4</v>
      </c>
    </row>
    <row r="1207" spans="1:6">
      <c r="A1207">
        <v>1242</v>
      </c>
      <c r="B1207">
        <v>142014241</v>
      </c>
      <c r="C1207">
        <v>2014</v>
      </c>
      <c r="D1207" t="s">
        <v>33</v>
      </c>
      <c r="E1207">
        <v>1</v>
      </c>
      <c r="F1207">
        <v>6</v>
      </c>
    </row>
    <row r="1208" spans="1:6">
      <c r="A1208">
        <v>1264</v>
      </c>
      <c r="B1208">
        <v>142014260</v>
      </c>
      <c r="C1208">
        <v>2014</v>
      </c>
      <c r="D1208" t="s">
        <v>34</v>
      </c>
      <c r="E1208">
        <v>1</v>
      </c>
      <c r="F1208">
        <v>4.95</v>
      </c>
    </row>
    <row r="1209" spans="1:6">
      <c r="A1209">
        <v>1253</v>
      </c>
      <c r="B1209">
        <v>142014260</v>
      </c>
      <c r="C1209">
        <v>2014</v>
      </c>
      <c r="D1209" t="s">
        <v>34</v>
      </c>
      <c r="E1209">
        <v>34</v>
      </c>
      <c r="F1209">
        <v>5.1</v>
      </c>
    </row>
    <row r="1210" spans="1:6">
      <c r="A1210">
        <v>1250</v>
      </c>
      <c r="B1210">
        <v>142014260</v>
      </c>
      <c r="C1210">
        <v>2014</v>
      </c>
      <c r="D1210" t="s">
        <v>34</v>
      </c>
      <c r="E1210">
        <v>33</v>
      </c>
      <c r="F1210">
        <v>4.95</v>
      </c>
    </row>
    <row r="1211" spans="1:6">
      <c r="A1211">
        <v>1257</v>
      </c>
      <c r="B1211">
        <v>142014260</v>
      </c>
      <c r="C1211">
        <v>2014</v>
      </c>
      <c r="D1211" t="s">
        <v>34</v>
      </c>
      <c r="E1211">
        <v>1</v>
      </c>
      <c r="F1211">
        <v>4.95</v>
      </c>
    </row>
    <row r="1212" spans="1:6">
      <c r="A1212">
        <v>1271</v>
      </c>
      <c r="B1212">
        <v>142014260</v>
      </c>
      <c r="C1212">
        <v>2014</v>
      </c>
      <c r="D1212" t="s">
        <v>34</v>
      </c>
      <c r="E1212">
        <v>19</v>
      </c>
      <c r="F1212">
        <v>4.95</v>
      </c>
    </row>
    <row r="1213" spans="1:6">
      <c r="A1213">
        <v>1260</v>
      </c>
      <c r="B1213">
        <v>142014260</v>
      </c>
      <c r="C1213">
        <v>2014</v>
      </c>
      <c r="D1213" t="s">
        <v>34</v>
      </c>
      <c r="E1213">
        <v>1</v>
      </c>
      <c r="F1213">
        <v>4.95</v>
      </c>
    </row>
    <row r="1214" spans="1:6">
      <c r="A1214">
        <v>1278</v>
      </c>
      <c r="B1214">
        <v>142014260</v>
      </c>
      <c r="C1214">
        <v>2014</v>
      </c>
      <c r="D1214" t="s">
        <v>34</v>
      </c>
      <c r="E1214">
        <v>1</v>
      </c>
      <c r="F1214">
        <v>1.2</v>
      </c>
    </row>
    <row r="1215" spans="1:6">
      <c r="A1215">
        <v>1268</v>
      </c>
      <c r="B1215">
        <v>142014260</v>
      </c>
      <c r="C1215">
        <v>2014</v>
      </c>
      <c r="D1215" t="s">
        <v>34</v>
      </c>
      <c r="E1215">
        <v>33</v>
      </c>
      <c r="F1215">
        <v>4.95</v>
      </c>
    </row>
    <row r="1216" spans="1:6">
      <c r="A1216">
        <v>1251</v>
      </c>
      <c r="B1216">
        <v>142014260</v>
      </c>
      <c r="C1216">
        <v>2014</v>
      </c>
      <c r="D1216" t="s">
        <v>34</v>
      </c>
      <c r="E1216">
        <v>1</v>
      </c>
      <c r="F1216">
        <v>9.9</v>
      </c>
    </row>
    <row r="1217" spans="1:6">
      <c r="A1217">
        <v>1258</v>
      </c>
      <c r="B1217">
        <v>142014260</v>
      </c>
      <c r="C1217">
        <v>2014</v>
      </c>
      <c r="D1217" t="s">
        <v>34</v>
      </c>
      <c r="E1217">
        <v>1</v>
      </c>
      <c r="F1217">
        <v>4.95</v>
      </c>
    </row>
    <row r="1218" spans="1:6">
      <c r="A1218">
        <v>1277</v>
      </c>
      <c r="B1218">
        <v>142014260</v>
      </c>
      <c r="C1218">
        <v>2014</v>
      </c>
      <c r="D1218" t="s">
        <v>34</v>
      </c>
      <c r="E1218">
        <v>1</v>
      </c>
      <c r="F1218">
        <v>2.65</v>
      </c>
    </row>
    <row r="1219" spans="1:6">
      <c r="A1219">
        <v>1269</v>
      </c>
      <c r="B1219">
        <v>142014260</v>
      </c>
      <c r="C1219">
        <v>2014</v>
      </c>
      <c r="D1219" t="s">
        <v>34</v>
      </c>
      <c r="E1219">
        <v>24</v>
      </c>
      <c r="F1219">
        <v>4.8</v>
      </c>
    </row>
    <row r="1220" spans="1:6">
      <c r="A1220">
        <v>1265</v>
      </c>
      <c r="B1220">
        <v>142014260</v>
      </c>
      <c r="C1220">
        <v>2014</v>
      </c>
      <c r="D1220" t="s">
        <v>34</v>
      </c>
      <c r="E1220">
        <v>1</v>
      </c>
      <c r="F1220">
        <v>4.95</v>
      </c>
    </row>
    <row r="1221" spans="1:6">
      <c r="A1221">
        <v>1254</v>
      </c>
      <c r="B1221">
        <v>142014260</v>
      </c>
      <c r="C1221">
        <v>2014</v>
      </c>
      <c r="D1221" t="s">
        <v>34</v>
      </c>
      <c r="E1221">
        <v>1</v>
      </c>
      <c r="F1221">
        <v>5.05</v>
      </c>
    </row>
    <row r="1222" spans="1:6">
      <c r="A1222">
        <v>1246</v>
      </c>
      <c r="B1222">
        <v>142014260</v>
      </c>
      <c r="C1222">
        <v>2014</v>
      </c>
      <c r="D1222" t="s">
        <v>34</v>
      </c>
      <c r="E1222">
        <v>24</v>
      </c>
      <c r="F1222">
        <v>4.8</v>
      </c>
    </row>
    <row r="1223" spans="1:6">
      <c r="A1223">
        <v>1245</v>
      </c>
      <c r="B1223">
        <v>142014260</v>
      </c>
      <c r="C1223">
        <v>2014</v>
      </c>
      <c r="D1223" t="s">
        <v>34</v>
      </c>
      <c r="E1223">
        <v>33</v>
      </c>
      <c r="F1223">
        <v>4.95</v>
      </c>
    </row>
    <row r="1224" spans="1:6">
      <c r="A1224">
        <v>1244</v>
      </c>
      <c r="B1224">
        <v>142014260</v>
      </c>
      <c r="C1224">
        <v>2014</v>
      </c>
      <c r="D1224" t="s">
        <v>34</v>
      </c>
      <c r="E1224">
        <v>10</v>
      </c>
      <c r="F1224">
        <v>1.5</v>
      </c>
    </row>
    <row r="1225" spans="1:6">
      <c r="A1225">
        <v>1247</v>
      </c>
      <c r="B1225">
        <v>142014260</v>
      </c>
      <c r="C1225">
        <v>2014</v>
      </c>
      <c r="D1225" t="s">
        <v>34</v>
      </c>
      <c r="E1225">
        <v>33</v>
      </c>
      <c r="F1225">
        <v>4.95</v>
      </c>
    </row>
    <row r="1226" spans="1:6">
      <c r="A1226">
        <v>1252</v>
      </c>
      <c r="B1226">
        <v>142014260</v>
      </c>
      <c r="C1226">
        <v>2014</v>
      </c>
      <c r="D1226" t="s">
        <v>34</v>
      </c>
      <c r="E1226">
        <v>63</v>
      </c>
      <c r="F1226">
        <v>9.45</v>
      </c>
    </row>
    <row r="1227" spans="1:6">
      <c r="A1227">
        <v>1272</v>
      </c>
      <c r="B1227">
        <v>142014260</v>
      </c>
      <c r="C1227">
        <v>2014</v>
      </c>
      <c r="D1227" t="s">
        <v>34</v>
      </c>
      <c r="E1227">
        <v>33</v>
      </c>
      <c r="F1227">
        <v>4.95</v>
      </c>
    </row>
    <row r="1228" spans="1:6">
      <c r="A1228">
        <v>1274</v>
      </c>
      <c r="B1228">
        <v>142014260</v>
      </c>
      <c r="C1228">
        <v>2014</v>
      </c>
      <c r="D1228" t="s">
        <v>34</v>
      </c>
      <c r="E1228">
        <v>1</v>
      </c>
      <c r="F1228">
        <v>4.8</v>
      </c>
    </row>
    <row r="1229" spans="1:6">
      <c r="A1229">
        <v>1275</v>
      </c>
      <c r="B1229">
        <v>142014260</v>
      </c>
      <c r="C1229">
        <v>2014</v>
      </c>
      <c r="D1229" t="s">
        <v>34</v>
      </c>
      <c r="E1229">
        <v>1</v>
      </c>
      <c r="F1229">
        <v>4.8</v>
      </c>
    </row>
    <row r="1230" spans="1:6">
      <c r="A1230">
        <v>1266</v>
      </c>
      <c r="B1230">
        <v>142014260</v>
      </c>
      <c r="C1230">
        <v>2014</v>
      </c>
      <c r="D1230" t="s">
        <v>34</v>
      </c>
      <c r="E1230">
        <v>24</v>
      </c>
      <c r="F1230">
        <v>4.8</v>
      </c>
    </row>
    <row r="1231" spans="1:6">
      <c r="A1231">
        <v>1249</v>
      </c>
      <c r="B1231">
        <v>142014260</v>
      </c>
      <c r="C1231">
        <v>2014</v>
      </c>
      <c r="D1231" t="s">
        <v>34</v>
      </c>
      <c r="E1231">
        <v>24</v>
      </c>
      <c r="F1231">
        <v>4.8</v>
      </c>
    </row>
    <row r="1232" spans="1:6">
      <c r="A1232">
        <v>1267</v>
      </c>
      <c r="B1232">
        <v>142014260</v>
      </c>
      <c r="C1232">
        <v>2014</v>
      </c>
      <c r="D1232" t="s">
        <v>34</v>
      </c>
      <c r="E1232">
        <v>29</v>
      </c>
      <c r="F1232">
        <v>4.35</v>
      </c>
    </row>
    <row r="1233" spans="1:6">
      <c r="A1233">
        <v>1270</v>
      </c>
      <c r="B1233">
        <v>142014260</v>
      </c>
      <c r="C1233">
        <v>2014</v>
      </c>
      <c r="D1233" t="s">
        <v>34</v>
      </c>
      <c r="E1233">
        <v>50</v>
      </c>
      <c r="F1233">
        <v>10</v>
      </c>
    </row>
    <row r="1234" spans="1:6">
      <c r="A1234">
        <v>1273</v>
      </c>
      <c r="B1234">
        <v>142014260</v>
      </c>
      <c r="C1234">
        <v>2014</v>
      </c>
      <c r="D1234" t="s">
        <v>34</v>
      </c>
      <c r="E1234">
        <v>1</v>
      </c>
      <c r="F1234">
        <v>4.8</v>
      </c>
    </row>
    <row r="1235" spans="1:6">
      <c r="A1235">
        <v>1255</v>
      </c>
      <c r="B1235">
        <v>142014260</v>
      </c>
      <c r="C1235">
        <v>2014</v>
      </c>
      <c r="D1235" t="s">
        <v>34</v>
      </c>
      <c r="E1235">
        <v>1</v>
      </c>
      <c r="F1235">
        <v>4.95</v>
      </c>
    </row>
    <row r="1236" spans="1:6">
      <c r="A1236">
        <v>1259</v>
      </c>
      <c r="B1236">
        <v>142014260</v>
      </c>
      <c r="C1236">
        <v>2014</v>
      </c>
      <c r="D1236" t="s">
        <v>34</v>
      </c>
      <c r="E1236">
        <v>1</v>
      </c>
      <c r="F1236">
        <v>4.95</v>
      </c>
    </row>
    <row r="1237" spans="1:6">
      <c r="A1237">
        <v>1256</v>
      </c>
      <c r="B1237">
        <v>142014260</v>
      </c>
      <c r="C1237">
        <v>2014</v>
      </c>
      <c r="D1237" t="s">
        <v>34</v>
      </c>
      <c r="E1237">
        <v>1</v>
      </c>
      <c r="F1237">
        <v>4.95</v>
      </c>
    </row>
    <row r="1238" spans="1:6">
      <c r="A1238">
        <v>1262</v>
      </c>
      <c r="B1238">
        <v>142014260</v>
      </c>
      <c r="C1238">
        <v>2014</v>
      </c>
      <c r="D1238" t="s">
        <v>34</v>
      </c>
      <c r="E1238">
        <v>33</v>
      </c>
      <c r="F1238">
        <v>4.95</v>
      </c>
    </row>
    <row r="1239" spans="1:6">
      <c r="A1239">
        <v>1276</v>
      </c>
      <c r="B1239">
        <v>142014260</v>
      </c>
      <c r="C1239">
        <v>2014</v>
      </c>
      <c r="D1239" t="s">
        <v>34</v>
      </c>
      <c r="E1239">
        <v>1</v>
      </c>
      <c r="F1239">
        <v>4.8</v>
      </c>
    </row>
    <row r="1240" spans="1:6">
      <c r="A1240">
        <v>1248</v>
      </c>
      <c r="B1240">
        <v>142014260</v>
      </c>
      <c r="C1240">
        <v>2014</v>
      </c>
      <c r="D1240" t="s">
        <v>34</v>
      </c>
      <c r="E1240">
        <v>24</v>
      </c>
      <c r="F1240">
        <v>4.8</v>
      </c>
    </row>
    <row r="1241" spans="1:6">
      <c r="A1241">
        <v>1261</v>
      </c>
      <c r="B1241">
        <v>142014260</v>
      </c>
      <c r="C1241">
        <v>2014</v>
      </c>
      <c r="D1241" t="s">
        <v>34</v>
      </c>
      <c r="E1241">
        <v>1</v>
      </c>
      <c r="F1241">
        <v>4.95</v>
      </c>
    </row>
    <row r="1242" spans="1:6">
      <c r="A1242">
        <v>1263</v>
      </c>
      <c r="B1242">
        <v>142014260</v>
      </c>
      <c r="C1242">
        <v>2014</v>
      </c>
      <c r="D1242" t="s">
        <v>34</v>
      </c>
      <c r="E1242">
        <v>1</v>
      </c>
      <c r="F1242">
        <v>4.95</v>
      </c>
    </row>
    <row r="1243" spans="1:6">
      <c r="A1243">
        <v>1285</v>
      </c>
      <c r="B1243">
        <v>142014270</v>
      </c>
      <c r="C1243">
        <v>2014</v>
      </c>
      <c r="D1243" t="s">
        <v>31</v>
      </c>
      <c r="E1243">
        <v>1</v>
      </c>
      <c r="F1243">
        <v>5</v>
      </c>
    </row>
    <row r="1244" spans="1:6">
      <c r="A1244">
        <v>1282</v>
      </c>
      <c r="B1244">
        <v>142014270</v>
      </c>
      <c r="C1244">
        <v>2014</v>
      </c>
      <c r="D1244" t="s">
        <v>31</v>
      </c>
      <c r="E1244">
        <v>1</v>
      </c>
      <c r="F1244">
        <v>6</v>
      </c>
    </row>
    <row r="1245" spans="1:6">
      <c r="A1245">
        <v>1288</v>
      </c>
      <c r="B1245">
        <v>142014270</v>
      </c>
      <c r="C1245">
        <v>2014</v>
      </c>
      <c r="D1245" t="s">
        <v>31</v>
      </c>
      <c r="E1245">
        <v>1</v>
      </c>
      <c r="F1245">
        <v>1</v>
      </c>
    </row>
    <row r="1246" spans="1:6">
      <c r="A1246">
        <v>1287</v>
      </c>
      <c r="B1246">
        <v>142014270</v>
      </c>
      <c r="C1246">
        <v>2014</v>
      </c>
      <c r="D1246" t="s">
        <v>31</v>
      </c>
      <c r="E1246">
        <v>1</v>
      </c>
      <c r="F1246">
        <v>2</v>
      </c>
    </row>
    <row r="1247" spans="1:6">
      <c r="A1247">
        <v>1280</v>
      </c>
      <c r="B1247">
        <v>142014270</v>
      </c>
      <c r="C1247">
        <v>2014</v>
      </c>
      <c r="D1247" t="s">
        <v>31</v>
      </c>
      <c r="F1247">
        <v>7</v>
      </c>
    </row>
    <row r="1248" spans="1:6">
      <c r="A1248">
        <v>1283</v>
      </c>
      <c r="B1248">
        <v>142014270</v>
      </c>
      <c r="C1248">
        <v>2014</v>
      </c>
      <c r="D1248" t="s">
        <v>31</v>
      </c>
      <c r="E1248">
        <v>1</v>
      </c>
      <c r="F1248">
        <v>5</v>
      </c>
    </row>
    <row r="1249" spans="1:6">
      <c r="A1249">
        <v>1279</v>
      </c>
      <c r="B1249">
        <v>142014270</v>
      </c>
      <c r="C1249">
        <v>2014</v>
      </c>
      <c r="D1249" t="s">
        <v>31</v>
      </c>
      <c r="F1249">
        <v>6</v>
      </c>
    </row>
    <row r="1250" spans="1:6">
      <c r="A1250">
        <v>1289</v>
      </c>
      <c r="B1250">
        <v>142014270</v>
      </c>
      <c r="C1250">
        <v>2014</v>
      </c>
      <c r="D1250" t="s">
        <v>31</v>
      </c>
      <c r="E1250">
        <v>1</v>
      </c>
      <c r="F1250">
        <v>0.82</v>
      </c>
    </row>
    <row r="1251" spans="1:6">
      <c r="A1251">
        <v>1281</v>
      </c>
      <c r="B1251">
        <v>142014270</v>
      </c>
      <c r="C1251">
        <v>2014</v>
      </c>
      <c r="D1251" t="s">
        <v>31</v>
      </c>
      <c r="E1251">
        <v>1</v>
      </c>
      <c r="F1251">
        <v>6</v>
      </c>
    </row>
    <row r="1252" spans="1:6">
      <c r="A1252">
        <v>1284</v>
      </c>
      <c r="B1252">
        <v>142014270</v>
      </c>
      <c r="C1252">
        <v>2014</v>
      </c>
      <c r="D1252" t="s">
        <v>31</v>
      </c>
      <c r="E1252">
        <v>1</v>
      </c>
      <c r="F1252">
        <v>5</v>
      </c>
    </row>
    <row r="1253" spans="1:6">
      <c r="A1253">
        <v>1286</v>
      </c>
      <c r="B1253">
        <v>142014270</v>
      </c>
      <c r="C1253">
        <v>2014</v>
      </c>
      <c r="D1253" t="s">
        <v>31</v>
      </c>
      <c r="E1253">
        <v>1</v>
      </c>
      <c r="F1253">
        <v>3</v>
      </c>
    </row>
    <row r="1254" spans="1:6">
      <c r="A1254">
        <v>1292</v>
      </c>
      <c r="B1254">
        <v>142015211</v>
      </c>
      <c r="C1254">
        <v>2015</v>
      </c>
      <c r="D1254" t="s">
        <v>37</v>
      </c>
      <c r="E1254" t="s">
        <v>32</v>
      </c>
      <c r="F1254">
        <v>35</v>
      </c>
    </row>
    <row r="1255" spans="1:6">
      <c r="A1255">
        <v>1293</v>
      </c>
      <c r="B1255">
        <v>142015211</v>
      </c>
      <c r="C1255">
        <v>2015</v>
      </c>
      <c r="D1255" t="s">
        <v>37</v>
      </c>
      <c r="E1255" t="s">
        <v>32</v>
      </c>
      <c r="F1255">
        <v>35</v>
      </c>
    </row>
    <row r="1256" spans="1:6">
      <c r="A1256">
        <v>1291</v>
      </c>
      <c r="B1256">
        <v>142015211</v>
      </c>
      <c r="C1256">
        <v>2015</v>
      </c>
      <c r="D1256" t="s">
        <v>37</v>
      </c>
      <c r="E1256">
        <v>2</v>
      </c>
      <c r="F1256">
        <v>60</v>
      </c>
    </row>
    <row r="1257" spans="1:6">
      <c r="A1257">
        <v>1290</v>
      </c>
      <c r="B1257">
        <v>142015211</v>
      </c>
      <c r="C1257">
        <v>2015</v>
      </c>
      <c r="D1257" t="s">
        <v>37</v>
      </c>
      <c r="E1257">
        <v>2</v>
      </c>
      <c r="F1257">
        <v>70</v>
      </c>
    </row>
    <row r="1258" spans="1:6">
      <c r="A1258">
        <v>1294</v>
      </c>
      <c r="B1258">
        <v>142015221</v>
      </c>
      <c r="C1258">
        <v>2015</v>
      </c>
      <c r="D1258" t="s">
        <v>30</v>
      </c>
      <c r="E1258">
        <v>3</v>
      </c>
      <c r="F1258">
        <v>85.9</v>
      </c>
    </row>
    <row r="1259" spans="1:6">
      <c r="A1259">
        <v>1295</v>
      </c>
      <c r="B1259">
        <v>142015222</v>
      </c>
      <c r="C1259">
        <v>2015</v>
      </c>
      <c r="D1259" t="s">
        <v>43</v>
      </c>
      <c r="E1259">
        <v>1</v>
      </c>
      <c r="F1259">
        <v>1.98</v>
      </c>
    </row>
    <row r="1260" spans="1:6">
      <c r="A1260">
        <v>1297</v>
      </c>
      <c r="B1260">
        <v>142015222</v>
      </c>
      <c r="C1260">
        <v>2015</v>
      </c>
      <c r="D1260" t="s">
        <v>43</v>
      </c>
      <c r="E1260" t="s">
        <v>32</v>
      </c>
      <c r="F1260">
        <v>0.72</v>
      </c>
    </row>
    <row r="1261" spans="1:6">
      <c r="A1261">
        <v>1296</v>
      </c>
      <c r="B1261">
        <v>142015222</v>
      </c>
      <c r="C1261">
        <v>2015</v>
      </c>
      <c r="D1261" t="s">
        <v>43</v>
      </c>
      <c r="E1261" t="s">
        <v>32</v>
      </c>
      <c r="F1261">
        <v>1</v>
      </c>
    </row>
    <row r="1262" spans="1:6">
      <c r="A1262">
        <v>1298</v>
      </c>
      <c r="B1262">
        <v>142015241</v>
      </c>
      <c r="C1262">
        <v>2015</v>
      </c>
      <c r="D1262" t="s">
        <v>33</v>
      </c>
      <c r="E1262">
        <v>2</v>
      </c>
      <c r="F1262">
        <v>4</v>
      </c>
    </row>
    <row r="1263" spans="1:6">
      <c r="A1263">
        <v>1299</v>
      </c>
      <c r="B1263">
        <v>142015241</v>
      </c>
      <c r="C1263">
        <v>2015</v>
      </c>
      <c r="D1263" t="s">
        <v>33</v>
      </c>
      <c r="E1263">
        <v>1</v>
      </c>
      <c r="F1263">
        <v>5.2</v>
      </c>
    </row>
    <row r="1264" spans="1:6">
      <c r="A1264">
        <v>1303</v>
      </c>
      <c r="B1264">
        <v>142015241</v>
      </c>
      <c r="C1264">
        <v>2015</v>
      </c>
      <c r="D1264" t="s">
        <v>33</v>
      </c>
      <c r="E1264" t="s">
        <v>32</v>
      </c>
      <c r="F1264">
        <v>3.1</v>
      </c>
    </row>
    <row r="1265" spans="1:6">
      <c r="A1265">
        <v>1301</v>
      </c>
      <c r="B1265">
        <v>142015241</v>
      </c>
      <c r="C1265">
        <v>2015</v>
      </c>
      <c r="D1265" t="s">
        <v>33</v>
      </c>
      <c r="E1265" t="s">
        <v>32</v>
      </c>
      <c r="F1265">
        <v>10</v>
      </c>
    </row>
    <row r="1266" spans="1:6">
      <c r="A1266">
        <v>1306</v>
      </c>
      <c r="B1266">
        <v>142015241</v>
      </c>
      <c r="C1266">
        <v>2015</v>
      </c>
      <c r="D1266" t="s">
        <v>33</v>
      </c>
      <c r="E1266" t="s">
        <v>32</v>
      </c>
      <c r="F1266">
        <v>0.6</v>
      </c>
    </row>
    <row r="1267" spans="1:6">
      <c r="A1267">
        <v>1302</v>
      </c>
      <c r="B1267">
        <v>142015241</v>
      </c>
      <c r="C1267">
        <v>2015</v>
      </c>
      <c r="D1267" t="s">
        <v>33</v>
      </c>
      <c r="E1267" t="s">
        <v>32</v>
      </c>
      <c r="F1267">
        <v>1.2</v>
      </c>
    </row>
    <row r="1268" spans="1:6">
      <c r="A1268">
        <v>1304</v>
      </c>
      <c r="B1268">
        <v>142015241</v>
      </c>
      <c r="C1268">
        <v>2015</v>
      </c>
      <c r="D1268" t="s">
        <v>33</v>
      </c>
      <c r="E1268" t="s">
        <v>32</v>
      </c>
      <c r="F1268">
        <v>0.75</v>
      </c>
    </row>
    <row r="1269" spans="1:6">
      <c r="A1269">
        <v>1305</v>
      </c>
      <c r="B1269">
        <v>142015241</v>
      </c>
      <c r="C1269">
        <v>2015</v>
      </c>
      <c r="D1269" t="s">
        <v>33</v>
      </c>
      <c r="E1269" t="s">
        <v>32</v>
      </c>
      <c r="F1269">
        <v>0.6</v>
      </c>
    </row>
    <row r="1270" spans="1:6">
      <c r="A1270">
        <v>1300</v>
      </c>
      <c r="B1270">
        <v>142015241</v>
      </c>
      <c r="C1270">
        <v>2015</v>
      </c>
      <c r="D1270" t="s">
        <v>33</v>
      </c>
      <c r="E1270" t="s">
        <v>32</v>
      </c>
      <c r="F1270">
        <v>3</v>
      </c>
    </row>
    <row r="1271" spans="1:6">
      <c r="A1271">
        <v>1307</v>
      </c>
      <c r="B1271">
        <v>142015241</v>
      </c>
      <c r="C1271">
        <v>2015</v>
      </c>
      <c r="D1271" t="s">
        <v>33</v>
      </c>
      <c r="E1271" t="s">
        <v>32</v>
      </c>
      <c r="F1271">
        <v>0.6</v>
      </c>
    </row>
    <row r="1272" spans="1:6">
      <c r="A1272">
        <v>1308</v>
      </c>
      <c r="B1272">
        <v>142015243</v>
      </c>
      <c r="C1272">
        <v>2015</v>
      </c>
      <c r="D1272" t="s">
        <v>38</v>
      </c>
      <c r="E1272" t="s">
        <v>32</v>
      </c>
      <c r="F1272">
        <v>1.2</v>
      </c>
    </row>
    <row r="1273" spans="1:6">
      <c r="A1273">
        <v>1325</v>
      </c>
      <c r="B1273">
        <v>142015260</v>
      </c>
      <c r="C1273">
        <v>2015</v>
      </c>
      <c r="D1273" t="s">
        <v>34</v>
      </c>
      <c r="E1273">
        <v>2</v>
      </c>
      <c r="F1273">
        <v>9.9</v>
      </c>
    </row>
    <row r="1274" spans="1:6">
      <c r="A1274">
        <v>1326</v>
      </c>
      <c r="B1274">
        <v>142015260</v>
      </c>
      <c r="C1274">
        <v>2015</v>
      </c>
      <c r="D1274" t="s">
        <v>34</v>
      </c>
      <c r="E1274">
        <v>1</v>
      </c>
      <c r="F1274">
        <v>10</v>
      </c>
    </row>
    <row r="1275" spans="1:6">
      <c r="A1275">
        <v>1330</v>
      </c>
      <c r="B1275">
        <v>142015260</v>
      </c>
      <c r="C1275">
        <v>2015</v>
      </c>
      <c r="D1275" t="s">
        <v>34</v>
      </c>
      <c r="E1275" t="s">
        <v>32</v>
      </c>
      <c r="F1275">
        <v>10</v>
      </c>
    </row>
    <row r="1276" spans="1:6">
      <c r="A1276">
        <v>1310</v>
      </c>
      <c r="B1276">
        <v>142015260</v>
      </c>
      <c r="C1276">
        <v>2015</v>
      </c>
      <c r="D1276" t="s">
        <v>34</v>
      </c>
      <c r="E1276">
        <v>33</v>
      </c>
      <c r="F1276">
        <v>4.95</v>
      </c>
    </row>
    <row r="1277" spans="1:6">
      <c r="A1277">
        <v>1332</v>
      </c>
      <c r="B1277">
        <v>142015260</v>
      </c>
      <c r="C1277">
        <v>2015</v>
      </c>
      <c r="D1277" t="s">
        <v>34</v>
      </c>
      <c r="E1277" t="s">
        <v>32</v>
      </c>
      <c r="F1277">
        <v>4.2</v>
      </c>
    </row>
    <row r="1278" spans="1:6">
      <c r="A1278">
        <v>1317</v>
      </c>
      <c r="B1278">
        <v>142015260</v>
      </c>
      <c r="C1278">
        <v>2015</v>
      </c>
      <c r="D1278" t="s">
        <v>34</v>
      </c>
      <c r="E1278">
        <v>17</v>
      </c>
      <c r="F1278">
        <v>4.8</v>
      </c>
    </row>
    <row r="1279" spans="1:6">
      <c r="A1279">
        <v>1309</v>
      </c>
      <c r="B1279">
        <v>142015260</v>
      </c>
      <c r="C1279">
        <v>2015</v>
      </c>
      <c r="D1279" t="s">
        <v>34</v>
      </c>
      <c r="E1279">
        <v>1</v>
      </c>
      <c r="F1279">
        <v>4.95</v>
      </c>
    </row>
    <row r="1280" spans="1:6">
      <c r="A1280">
        <v>1322</v>
      </c>
      <c r="B1280">
        <v>142015260</v>
      </c>
      <c r="C1280">
        <v>2015</v>
      </c>
      <c r="D1280" t="s">
        <v>34</v>
      </c>
      <c r="E1280">
        <v>1</v>
      </c>
      <c r="F1280">
        <v>4.95</v>
      </c>
    </row>
    <row r="1281" spans="1:6">
      <c r="A1281">
        <v>1340</v>
      </c>
      <c r="B1281">
        <v>142015260</v>
      </c>
      <c r="C1281">
        <v>2015</v>
      </c>
      <c r="D1281" t="s">
        <v>34</v>
      </c>
      <c r="E1281" t="s">
        <v>32</v>
      </c>
      <c r="F1281">
        <v>4.95</v>
      </c>
    </row>
    <row r="1282" spans="1:6">
      <c r="A1282">
        <v>1338</v>
      </c>
      <c r="B1282">
        <v>142015260</v>
      </c>
      <c r="C1282">
        <v>2015</v>
      </c>
      <c r="D1282" t="s">
        <v>34</v>
      </c>
      <c r="E1282" t="s">
        <v>32</v>
      </c>
      <c r="F1282">
        <v>4.95</v>
      </c>
    </row>
    <row r="1283" spans="1:6">
      <c r="A1283">
        <v>1339</v>
      </c>
      <c r="B1283">
        <v>142015260</v>
      </c>
      <c r="C1283">
        <v>2015</v>
      </c>
      <c r="D1283" t="s">
        <v>34</v>
      </c>
      <c r="E1283" t="s">
        <v>32</v>
      </c>
      <c r="F1283">
        <v>15</v>
      </c>
    </row>
    <row r="1284" spans="1:6">
      <c r="A1284">
        <v>1337</v>
      </c>
      <c r="B1284">
        <v>142015260</v>
      </c>
      <c r="C1284">
        <v>2015</v>
      </c>
      <c r="D1284" t="s">
        <v>34</v>
      </c>
      <c r="E1284" t="s">
        <v>32</v>
      </c>
      <c r="F1284">
        <v>4.95</v>
      </c>
    </row>
    <row r="1285" spans="1:6">
      <c r="A1285">
        <v>1333</v>
      </c>
      <c r="B1285">
        <v>142015260</v>
      </c>
      <c r="C1285">
        <v>2015</v>
      </c>
      <c r="D1285" t="s">
        <v>34</v>
      </c>
      <c r="E1285" t="s">
        <v>32</v>
      </c>
      <c r="F1285">
        <v>4.95</v>
      </c>
    </row>
    <row r="1286" spans="1:6">
      <c r="A1286">
        <v>1343</v>
      </c>
      <c r="B1286">
        <v>142015260</v>
      </c>
      <c r="C1286">
        <v>2015</v>
      </c>
      <c r="D1286" t="s">
        <v>34</v>
      </c>
      <c r="E1286" t="s">
        <v>32</v>
      </c>
      <c r="F1286">
        <v>12</v>
      </c>
    </row>
    <row r="1287" spans="1:6">
      <c r="A1287">
        <v>1329</v>
      </c>
      <c r="B1287">
        <v>142015260</v>
      </c>
      <c r="C1287" s="78">
        <v>2015</v>
      </c>
      <c r="D1287" s="78" t="s">
        <v>34</v>
      </c>
      <c r="E1287" s="78" t="s">
        <v>32</v>
      </c>
      <c r="F1287" s="78">
        <v>4.83</v>
      </c>
    </row>
    <row r="1288" spans="1:6">
      <c r="A1288">
        <v>1324</v>
      </c>
      <c r="B1288">
        <v>142015260</v>
      </c>
      <c r="C1288">
        <v>2015</v>
      </c>
      <c r="D1288" t="s">
        <v>34</v>
      </c>
      <c r="E1288">
        <v>24</v>
      </c>
      <c r="F1288">
        <v>4.8</v>
      </c>
    </row>
    <row r="1289" spans="1:6">
      <c r="A1289">
        <v>1327</v>
      </c>
      <c r="B1289">
        <v>142015260</v>
      </c>
      <c r="C1289">
        <v>2015</v>
      </c>
      <c r="D1289" t="s">
        <v>34</v>
      </c>
      <c r="E1289" t="s">
        <v>32</v>
      </c>
      <c r="F1289">
        <v>4.8</v>
      </c>
    </row>
    <row r="1290" spans="1:6">
      <c r="A1290">
        <v>1328</v>
      </c>
      <c r="B1290">
        <v>142015260</v>
      </c>
      <c r="C1290">
        <v>2015</v>
      </c>
      <c r="D1290" t="s">
        <v>34</v>
      </c>
      <c r="E1290" t="s">
        <v>32</v>
      </c>
      <c r="F1290">
        <v>14.95</v>
      </c>
    </row>
    <row r="1291" spans="1:6">
      <c r="A1291">
        <v>1314</v>
      </c>
      <c r="B1291">
        <v>142015260</v>
      </c>
      <c r="C1291">
        <v>2015</v>
      </c>
      <c r="D1291" t="s">
        <v>34</v>
      </c>
      <c r="E1291">
        <v>33</v>
      </c>
      <c r="F1291">
        <v>4.95</v>
      </c>
    </row>
    <row r="1292" spans="1:6">
      <c r="A1292">
        <v>1315</v>
      </c>
      <c r="B1292">
        <v>142015260</v>
      </c>
      <c r="C1292">
        <v>2015</v>
      </c>
      <c r="D1292" t="s">
        <v>34</v>
      </c>
      <c r="E1292">
        <v>50</v>
      </c>
      <c r="F1292">
        <v>10</v>
      </c>
    </row>
    <row r="1293" spans="1:6">
      <c r="A1293">
        <v>1313</v>
      </c>
      <c r="B1293">
        <v>142015260</v>
      </c>
      <c r="C1293">
        <v>2015</v>
      </c>
      <c r="D1293" t="s">
        <v>34</v>
      </c>
      <c r="E1293">
        <v>24</v>
      </c>
      <c r="F1293">
        <v>4.8</v>
      </c>
    </row>
    <row r="1294" spans="1:6">
      <c r="A1294">
        <v>1311</v>
      </c>
      <c r="B1294">
        <v>142015260</v>
      </c>
      <c r="C1294">
        <v>2015</v>
      </c>
      <c r="D1294" t="s">
        <v>34</v>
      </c>
      <c r="E1294">
        <v>23</v>
      </c>
      <c r="F1294">
        <v>4.83</v>
      </c>
    </row>
    <row r="1295" spans="1:6">
      <c r="A1295">
        <v>1319</v>
      </c>
      <c r="B1295">
        <v>142015260</v>
      </c>
      <c r="C1295">
        <v>2015</v>
      </c>
      <c r="D1295" t="s">
        <v>34</v>
      </c>
      <c r="E1295">
        <v>33</v>
      </c>
      <c r="F1295">
        <v>4.95</v>
      </c>
    </row>
    <row r="1296" spans="1:6">
      <c r="A1296">
        <v>1320</v>
      </c>
      <c r="B1296">
        <v>142015260</v>
      </c>
      <c r="C1296">
        <v>2015</v>
      </c>
      <c r="D1296" t="s">
        <v>34</v>
      </c>
      <c r="E1296">
        <v>33</v>
      </c>
      <c r="F1296">
        <v>4.95</v>
      </c>
    </row>
    <row r="1297" spans="1:6">
      <c r="A1297">
        <v>1318</v>
      </c>
      <c r="B1297">
        <v>142015260</v>
      </c>
      <c r="C1297">
        <v>2015</v>
      </c>
      <c r="D1297" t="s">
        <v>34</v>
      </c>
      <c r="E1297">
        <v>33</v>
      </c>
      <c r="F1297">
        <v>4.95</v>
      </c>
    </row>
    <row r="1298" spans="1:6">
      <c r="A1298">
        <v>1323</v>
      </c>
      <c r="B1298">
        <v>142015260</v>
      </c>
      <c r="C1298">
        <v>2015</v>
      </c>
      <c r="D1298" t="s">
        <v>34</v>
      </c>
      <c r="E1298">
        <v>33</v>
      </c>
      <c r="F1298">
        <v>4.95</v>
      </c>
    </row>
    <row r="1299" spans="1:6">
      <c r="A1299">
        <v>1321</v>
      </c>
      <c r="B1299">
        <v>142015260</v>
      </c>
      <c r="C1299">
        <v>2015</v>
      </c>
      <c r="D1299" t="s">
        <v>34</v>
      </c>
      <c r="E1299">
        <v>33</v>
      </c>
      <c r="F1299">
        <v>4.95</v>
      </c>
    </row>
    <row r="1300" spans="1:6">
      <c r="A1300">
        <v>1331</v>
      </c>
      <c r="B1300">
        <v>142015260</v>
      </c>
      <c r="C1300">
        <v>2015</v>
      </c>
      <c r="D1300" t="s">
        <v>34</v>
      </c>
      <c r="E1300" t="s">
        <v>32</v>
      </c>
      <c r="F1300">
        <v>4.8</v>
      </c>
    </row>
    <row r="1301" spans="1:6">
      <c r="A1301">
        <v>1312</v>
      </c>
      <c r="B1301">
        <v>142015260</v>
      </c>
      <c r="C1301">
        <v>2015</v>
      </c>
      <c r="D1301" t="s">
        <v>34</v>
      </c>
      <c r="E1301">
        <v>33</v>
      </c>
      <c r="F1301">
        <v>4.95</v>
      </c>
    </row>
    <row r="1302" spans="1:6">
      <c r="A1302">
        <v>1316</v>
      </c>
      <c r="B1302">
        <v>142015260</v>
      </c>
      <c r="C1302">
        <v>2015</v>
      </c>
      <c r="D1302" t="s">
        <v>34</v>
      </c>
      <c r="E1302">
        <v>24</v>
      </c>
      <c r="F1302">
        <v>4.8</v>
      </c>
    </row>
    <row r="1303" spans="1:6">
      <c r="A1303">
        <v>1342</v>
      </c>
      <c r="B1303">
        <v>142015260</v>
      </c>
      <c r="C1303">
        <v>2015</v>
      </c>
      <c r="D1303" t="s">
        <v>34</v>
      </c>
      <c r="E1303" t="s">
        <v>32</v>
      </c>
      <c r="F1303">
        <v>4.95</v>
      </c>
    </row>
    <row r="1304" spans="1:6">
      <c r="A1304">
        <v>1341</v>
      </c>
      <c r="B1304">
        <v>142015260</v>
      </c>
      <c r="C1304">
        <v>2015</v>
      </c>
      <c r="D1304" t="s">
        <v>34</v>
      </c>
      <c r="E1304" t="s">
        <v>32</v>
      </c>
      <c r="F1304">
        <v>9.9</v>
      </c>
    </row>
    <row r="1305" spans="1:6">
      <c r="A1305">
        <v>1336</v>
      </c>
      <c r="B1305">
        <v>142015260</v>
      </c>
      <c r="C1305">
        <v>2015</v>
      </c>
      <c r="D1305" t="s">
        <v>34</v>
      </c>
      <c r="E1305" t="s">
        <v>32</v>
      </c>
      <c r="F1305">
        <v>4.8</v>
      </c>
    </row>
    <row r="1306" spans="1:6">
      <c r="A1306">
        <v>1334</v>
      </c>
      <c r="B1306">
        <v>142015260</v>
      </c>
      <c r="C1306">
        <v>2015</v>
      </c>
      <c r="D1306" t="s">
        <v>34</v>
      </c>
      <c r="E1306" t="s">
        <v>32</v>
      </c>
      <c r="F1306">
        <v>4.8</v>
      </c>
    </row>
    <row r="1307" spans="1:6">
      <c r="A1307">
        <v>1335</v>
      </c>
      <c r="B1307">
        <v>142015260</v>
      </c>
      <c r="C1307">
        <v>2015</v>
      </c>
      <c r="D1307" t="s">
        <v>34</v>
      </c>
      <c r="E1307" t="s">
        <v>32</v>
      </c>
      <c r="F1307">
        <v>4.8</v>
      </c>
    </row>
    <row r="1308" spans="1:6">
      <c r="A1308">
        <v>1354</v>
      </c>
      <c r="B1308">
        <v>142015270</v>
      </c>
      <c r="C1308">
        <v>2015</v>
      </c>
      <c r="D1308" t="s">
        <v>31</v>
      </c>
      <c r="E1308" t="s">
        <v>32</v>
      </c>
      <c r="F1308">
        <v>5</v>
      </c>
    </row>
    <row r="1309" spans="1:6">
      <c r="A1309">
        <v>1345</v>
      </c>
      <c r="B1309">
        <v>142015270</v>
      </c>
      <c r="C1309">
        <v>2015</v>
      </c>
      <c r="D1309" t="s">
        <v>31</v>
      </c>
      <c r="E1309">
        <v>1</v>
      </c>
      <c r="F1309">
        <v>4.95</v>
      </c>
    </row>
    <row r="1310" spans="1:6">
      <c r="A1310">
        <v>1362</v>
      </c>
      <c r="B1310">
        <v>142015270</v>
      </c>
      <c r="C1310">
        <v>2015</v>
      </c>
      <c r="D1310" t="s">
        <v>31</v>
      </c>
      <c r="E1310" t="s">
        <v>32</v>
      </c>
      <c r="F1310">
        <v>2</v>
      </c>
    </row>
    <row r="1311" spans="1:6">
      <c r="A1311">
        <v>1357</v>
      </c>
      <c r="B1311">
        <v>142015270</v>
      </c>
      <c r="C1311">
        <v>2015</v>
      </c>
      <c r="D1311" t="s">
        <v>31</v>
      </c>
      <c r="E1311" t="s">
        <v>32</v>
      </c>
      <c r="F1311">
        <v>5</v>
      </c>
    </row>
    <row r="1312" spans="1:6">
      <c r="A1312">
        <v>1346</v>
      </c>
      <c r="B1312">
        <v>142015270</v>
      </c>
      <c r="C1312">
        <v>2015</v>
      </c>
      <c r="D1312" t="s">
        <v>31</v>
      </c>
      <c r="E1312" t="s">
        <v>32</v>
      </c>
      <c r="F1312">
        <v>3</v>
      </c>
    </row>
    <row r="1313" spans="1:6">
      <c r="A1313">
        <v>1366</v>
      </c>
      <c r="B1313">
        <v>142015270</v>
      </c>
      <c r="C1313">
        <v>2015</v>
      </c>
      <c r="D1313" t="s">
        <v>31</v>
      </c>
      <c r="E1313" t="s">
        <v>32</v>
      </c>
      <c r="F1313">
        <v>5</v>
      </c>
    </row>
    <row r="1314" spans="1:6">
      <c r="A1314">
        <v>1365</v>
      </c>
      <c r="B1314">
        <v>142015270</v>
      </c>
      <c r="C1314">
        <v>2015</v>
      </c>
      <c r="D1314" t="s">
        <v>31</v>
      </c>
      <c r="E1314" t="s">
        <v>32</v>
      </c>
      <c r="F1314">
        <v>2</v>
      </c>
    </row>
    <row r="1315" spans="1:6">
      <c r="A1315">
        <v>1352</v>
      </c>
      <c r="B1315">
        <v>142015270</v>
      </c>
      <c r="C1315">
        <v>2015</v>
      </c>
      <c r="D1315" t="s">
        <v>31</v>
      </c>
      <c r="E1315" t="s">
        <v>32</v>
      </c>
      <c r="F1315">
        <v>1.42</v>
      </c>
    </row>
    <row r="1316" spans="1:6">
      <c r="A1316">
        <v>1350</v>
      </c>
      <c r="B1316">
        <v>142015270</v>
      </c>
      <c r="C1316">
        <v>2015</v>
      </c>
      <c r="D1316" t="s">
        <v>31</v>
      </c>
      <c r="E1316" t="s">
        <v>32</v>
      </c>
      <c r="F1316">
        <v>5</v>
      </c>
    </row>
    <row r="1317" spans="1:6">
      <c r="A1317">
        <v>1359</v>
      </c>
      <c r="B1317">
        <v>142015270</v>
      </c>
      <c r="C1317">
        <v>2015</v>
      </c>
      <c r="D1317" t="s">
        <v>31</v>
      </c>
      <c r="E1317" t="s">
        <v>32</v>
      </c>
      <c r="F1317">
        <v>3</v>
      </c>
    </row>
    <row r="1318" spans="1:6">
      <c r="A1318">
        <v>1355</v>
      </c>
      <c r="B1318">
        <v>142015270</v>
      </c>
      <c r="C1318">
        <v>2015</v>
      </c>
      <c r="D1318" t="s">
        <v>31</v>
      </c>
      <c r="E1318" t="s">
        <v>32</v>
      </c>
      <c r="F1318">
        <v>2</v>
      </c>
    </row>
    <row r="1319" spans="1:6">
      <c r="A1319">
        <v>1344</v>
      </c>
      <c r="B1319">
        <v>142015270</v>
      </c>
      <c r="C1319">
        <v>2015</v>
      </c>
      <c r="D1319" t="s">
        <v>31</v>
      </c>
      <c r="E1319">
        <v>1</v>
      </c>
      <c r="F1319">
        <v>1.5</v>
      </c>
    </row>
    <row r="1320" spans="1:6">
      <c r="A1320">
        <v>1347</v>
      </c>
      <c r="B1320">
        <v>142015270</v>
      </c>
      <c r="C1320">
        <v>2015</v>
      </c>
      <c r="D1320" t="s">
        <v>31</v>
      </c>
      <c r="E1320" t="s">
        <v>32</v>
      </c>
      <c r="F1320">
        <v>5</v>
      </c>
    </row>
    <row r="1321" spans="1:6">
      <c r="A1321">
        <v>1349</v>
      </c>
      <c r="B1321">
        <v>142015270</v>
      </c>
      <c r="C1321">
        <v>2015</v>
      </c>
      <c r="D1321" t="s">
        <v>31</v>
      </c>
      <c r="E1321" t="s">
        <v>32</v>
      </c>
      <c r="F1321">
        <v>3</v>
      </c>
    </row>
    <row r="1322" spans="1:6">
      <c r="A1322">
        <v>1368</v>
      </c>
      <c r="B1322">
        <v>142015270</v>
      </c>
      <c r="C1322">
        <v>2015</v>
      </c>
      <c r="D1322" t="s">
        <v>31</v>
      </c>
      <c r="E1322" t="s">
        <v>32</v>
      </c>
      <c r="F1322">
        <v>2</v>
      </c>
    </row>
    <row r="1323" spans="1:6">
      <c r="A1323">
        <v>1348</v>
      </c>
      <c r="B1323">
        <v>142015270</v>
      </c>
      <c r="C1323">
        <v>2015</v>
      </c>
      <c r="D1323" t="s">
        <v>31</v>
      </c>
      <c r="E1323" t="s">
        <v>32</v>
      </c>
      <c r="F1323">
        <v>2</v>
      </c>
    </row>
    <row r="1324" spans="1:6">
      <c r="A1324">
        <v>1364</v>
      </c>
      <c r="B1324">
        <v>142015270</v>
      </c>
      <c r="C1324">
        <v>2015</v>
      </c>
      <c r="D1324" t="s">
        <v>31</v>
      </c>
      <c r="E1324" t="s">
        <v>32</v>
      </c>
      <c r="F1324">
        <v>3</v>
      </c>
    </row>
    <row r="1325" spans="1:6">
      <c r="A1325">
        <v>1360</v>
      </c>
      <c r="B1325">
        <v>142015270</v>
      </c>
      <c r="C1325">
        <v>2015</v>
      </c>
      <c r="D1325" t="s">
        <v>31</v>
      </c>
      <c r="E1325" t="s">
        <v>32</v>
      </c>
      <c r="F1325">
        <v>5</v>
      </c>
    </row>
    <row r="1326" spans="1:6">
      <c r="A1326">
        <v>1363</v>
      </c>
      <c r="B1326">
        <v>142015270</v>
      </c>
      <c r="C1326">
        <v>2015</v>
      </c>
      <c r="D1326" t="s">
        <v>31</v>
      </c>
      <c r="E1326" t="s">
        <v>32</v>
      </c>
      <c r="F1326">
        <v>3.5</v>
      </c>
    </row>
    <row r="1327" spans="1:6">
      <c r="A1327">
        <v>1353</v>
      </c>
      <c r="B1327">
        <v>142015270</v>
      </c>
      <c r="C1327">
        <v>2015</v>
      </c>
      <c r="D1327" t="s">
        <v>31</v>
      </c>
      <c r="E1327" t="s">
        <v>32</v>
      </c>
      <c r="F1327">
        <v>10</v>
      </c>
    </row>
    <row r="1328" spans="1:6">
      <c r="A1328">
        <v>1358</v>
      </c>
      <c r="B1328">
        <v>142015270</v>
      </c>
      <c r="C1328">
        <v>2015</v>
      </c>
      <c r="D1328" t="s">
        <v>31</v>
      </c>
      <c r="E1328" t="s">
        <v>32</v>
      </c>
      <c r="F1328">
        <v>1.5</v>
      </c>
    </row>
    <row r="1329" spans="1:6">
      <c r="A1329">
        <v>1367</v>
      </c>
      <c r="B1329">
        <v>142015270</v>
      </c>
      <c r="C1329">
        <v>2015</v>
      </c>
      <c r="D1329" t="s">
        <v>31</v>
      </c>
      <c r="E1329" t="s">
        <v>32</v>
      </c>
      <c r="F1329">
        <v>5</v>
      </c>
    </row>
    <row r="1330" spans="1:6">
      <c r="A1330">
        <v>1361</v>
      </c>
      <c r="B1330">
        <v>142015270</v>
      </c>
      <c r="C1330">
        <v>2015</v>
      </c>
      <c r="D1330" t="s">
        <v>31</v>
      </c>
      <c r="E1330" t="s">
        <v>32</v>
      </c>
      <c r="F1330">
        <v>5</v>
      </c>
    </row>
    <row r="1331" spans="1:6">
      <c r="A1331">
        <v>1351</v>
      </c>
      <c r="B1331">
        <v>142015270</v>
      </c>
      <c r="C1331">
        <v>2015</v>
      </c>
      <c r="D1331" t="s">
        <v>31</v>
      </c>
      <c r="E1331">
        <v>1</v>
      </c>
      <c r="F1331">
        <v>5</v>
      </c>
    </row>
    <row r="1332" spans="1:6">
      <c r="A1332">
        <v>1356</v>
      </c>
      <c r="B1332">
        <v>142015270</v>
      </c>
      <c r="C1332">
        <v>2015</v>
      </c>
      <c r="D1332" t="s">
        <v>31</v>
      </c>
      <c r="E1332" t="s">
        <v>32</v>
      </c>
      <c r="F1332">
        <v>1</v>
      </c>
    </row>
    <row r="1333" spans="1:6">
      <c r="A1333">
        <v>1372</v>
      </c>
      <c r="B1333">
        <v>142016211</v>
      </c>
      <c r="C1333" s="76">
        <v>2016</v>
      </c>
      <c r="D1333" s="76" t="s">
        <v>37</v>
      </c>
      <c r="E1333" s="76" t="s">
        <v>32</v>
      </c>
      <c r="F1333" s="76">
        <v>35</v>
      </c>
    </row>
    <row r="1334" spans="1:6">
      <c r="A1334">
        <v>1370</v>
      </c>
      <c r="B1334">
        <v>142016211</v>
      </c>
      <c r="C1334" s="76">
        <v>2016</v>
      </c>
      <c r="D1334" s="76" t="s">
        <v>37</v>
      </c>
      <c r="E1334" s="76">
        <v>2</v>
      </c>
      <c r="F1334" s="76">
        <v>70</v>
      </c>
    </row>
    <row r="1335" spans="1:6">
      <c r="A1335">
        <v>1371</v>
      </c>
      <c r="B1335">
        <v>142016211</v>
      </c>
      <c r="C1335" s="76">
        <v>2016</v>
      </c>
      <c r="D1335" s="76" t="s">
        <v>37</v>
      </c>
      <c r="E1335" s="76" t="s">
        <v>32</v>
      </c>
      <c r="F1335" s="76">
        <v>70</v>
      </c>
    </row>
    <row r="1336" spans="1:6">
      <c r="A1336">
        <v>1373</v>
      </c>
      <c r="B1336">
        <v>142016211</v>
      </c>
      <c r="C1336" s="76">
        <v>2016</v>
      </c>
      <c r="D1336" s="76" t="s">
        <v>37</v>
      </c>
      <c r="E1336" s="76" t="s">
        <v>32</v>
      </c>
      <c r="F1336" s="76">
        <v>132</v>
      </c>
    </row>
    <row r="1337" spans="1:6">
      <c r="A1337">
        <v>1374</v>
      </c>
      <c r="B1337">
        <v>142016212</v>
      </c>
      <c r="C1337" s="76">
        <v>2016</v>
      </c>
      <c r="D1337" s="76" t="s">
        <v>39</v>
      </c>
      <c r="E1337" s="76">
        <v>1</v>
      </c>
      <c r="F1337" s="76">
        <v>30</v>
      </c>
    </row>
    <row r="1338" spans="1:6">
      <c r="A1338">
        <v>1375</v>
      </c>
      <c r="B1338">
        <v>142016241</v>
      </c>
      <c r="C1338" s="76">
        <v>2016</v>
      </c>
      <c r="D1338" s="76" t="s">
        <v>33</v>
      </c>
      <c r="E1338" s="76" t="s">
        <v>32</v>
      </c>
      <c r="F1338" s="76">
        <v>35</v>
      </c>
    </row>
    <row r="1339" spans="1:6">
      <c r="A1339">
        <v>1391</v>
      </c>
      <c r="B1339">
        <v>142016260</v>
      </c>
      <c r="C1339" s="76">
        <v>2016</v>
      </c>
      <c r="D1339" s="76" t="s">
        <v>34</v>
      </c>
      <c r="E1339" s="76">
        <v>66</v>
      </c>
      <c r="F1339" s="76">
        <v>9.9</v>
      </c>
    </row>
    <row r="1340" spans="1:6">
      <c r="A1340">
        <v>1396</v>
      </c>
      <c r="B1340">
        <v>142016260</v>
      </c>
      <c r="C1340" s="76">
        <v>2016</v>
      </c>
      <c r="D1340" s="76" t="s">
        <v>34</v>
      </c>
      <c r="E1340" s="76" t="s">
        <v>32</v>
      </c>
      <c r="F1340" s="76">
        <v>9.9</v>
      </c>
    </row>
    <row r="1341" spans="1:6">
      <c r="A1341">
        <v>1378</v>
      </c>
      <c r="B1341">
        <v>142016260</v>
      </c>
      <c r="C1341" s="76">
        <v>2016</v>
      </c>
      <c r="D1341" s="76" t="s">
        <v>34</v>
      </c>
      <c r="E1341" s="76" t="s">
        <v>32</v>
      </c>
      <c r="F1341" s="76">
        <v>4.8</v>
      </c>
    </row>
    <row r="1342" spans="1:6">
      <c r="A1342">
        <v>1380</v>
      </c>
      <c r="B1342">
        <v>142016260</v>
      </c>
      <c r="C1342" s="76">
        <v>2016</v>
      </c>
      <c r="D1342" s="76" t="s">
        <v>34</v>
      </c>
      <c r="E1342" s="76" t="s">
        <v>32</v>
      </c>
      <c r="F1342" s="76">
        <v>19.95</v>
      </c>
    </row>
    <row r="1343" spans="1:6">
      <c r="A1343">
        <v>1389</v>
      </c>
      <c r="B1343">
        <v>142016260</v>
      </c>
      <c r="C1343" s="76">
        <v>2016</v>
      </c>
      <c r="D1343" s="76" t="s">
        <v>34</v>
      </c>
      <c r="E1343" s="76" t="s">
        <v>32</v>
      </c>
      <c r="F1343" s="76">
        <v>5</v>
      </c>
    </row>
    <row r="1344" spans="1:6">
      <c r="A1344">
        <v>1392</v>
      </c>
      <c r="B1344">
        <v>142016260</v>
      </c>
      <c r="C1344" s="76">
        <v>2016</v>
      </c>
      <c r="D1344" s="76" t="s">
        <v>34</v>
      </c>
      <c r="E1344" s="76">
        <v>24</v>
      </c>
      <c r="F1344" s="76">
        <v>4.8</v>
      </c>
    </row>
    <row r="1345" spans="1:6">
      <c r="A1345">
        <v>1393</v>
      </c>
      <c r="B1345">
        <v>142016260</v>
      </c>
      <c r="C1345" s="76">
        <v>2016</v>
      </c>
      <c r="D1345" s="76" t="s">
        <v>34</v>
      </c>
      <c r="E1345" s="76">
        <v>24</v>
      </c>
      <c r="F1345" s="76">
        <v>4.8</v>
      </c>
    </row>
    <row r="1346" spans="1:6">
      <c r="A1346">
        <v>1395</v>
      </c>
      <c r="B1346">
        <v>142016260</v>
      </c>
      <c r="C1346" s="76">
        <v>2016</v>
      </c>
      <c r="D1346" s="76" t="s">
        <v>34</v>
      </c>
      <c r="E1346" s="76" t="s">
        <v>32</v>
      </c>
      <c r="F1346" s="76">
        <v>10</v>
      </c>
    </row>
    <row r="1347" spans="1:6">
      <c r="A1347">
        <v>1385</v>
      </c>
      <c r="B1347">
        <v>142016260</v>
      </c>
      <c r="C1347" s="76">
        <v>2016</v>
      </c>
      <c r="D1347" s="76" t="s">
        <v>34</v>
      </c>
      <c r="E1347" s="76" t="s">
        <v>32</v>
      </c>
      <c r="F1347" s="76">
        <v>4.95</v>
      </c>
    </row>
    <row r="1348" spans="1:6">
      <c r="A1348">
        <v>1387</v>
      </c>
      <c r="B1348">
        <v>142016260</v>
      </c>
      <c r="C1348" s="76">
        <v>2016</v>
      </c>
      <c r="D1348" s="76" t="s">
        <v>34</v>
      </c>
      <c r="E1348" s="76" t="s">
        <v>32</v>
      </c>
      <c r="F1348" s="76">
        <v>4.95</v>
      </c>
    </row>
    <row r="1349" spans="1:6">
      <c r="A1349">
        <v>1386</v>
      </c>
      <c r="B1349">
        <v>142016260</v>
      </c>
      <c r="C1349" s="76">
        <v>2016</v>
      </c>
      <c r="D1349" s="76" t="s">
        <v>34</v>
      </c>
      <c r="E1349" s="76">
        <v>24</v>
      </c>
      <c r="F1349" s="76">
        <v>4.8</v>
      </c>
    </row>
    <row r="1350" spans="1:6">
      <c r="A1350">
        <v>1381</v>
      </c>
      <c r="B1350">
        <v>142016260</v>
      </c>
      <c r="C1350" s="76">
        <v>2016</v>
      </c>
      <c r="D1350" s="76" t="s">
        <v>34</v>
      </c>
      <c r="E1350" s="76">
        <v>25</v>
      </c>
      <c r="F1350" s="76">
        <v>4.95</v>
      </c>
    </row>
    <row r="1351" spans="1:6">
      <c r="A1351">
        <v>1390</v>
      </c>
      <c r="B1351">
        <v>142016260</v>
      </c>
      <c r="C1351" s="76">
        <v>2016</v>
      </c>
      <c r="D1351" s="76" t="s">
        <v>34</v>
      </c>
      <c r="E1351" s="76" t="s">
        <v>32</v>
      </c>
      <c r="F1351" s="76">
        <v>4.8</v>
      </c>
    </row>
    <row r="1352" spans="1:6">
      <c r="A1352">
        <v>1379</v>
      </c>
      <c r="B1352">
        <v>142016260</v>
      </c>
      <c r="C1352" s="76">
        <v>2016</v>
      </c>
      <c r="D1352" s="76" t="s">
        <v>34</v>
      </c>
      <c r="E1352" s="76">
        <v>80</v>
      </c>
      <c r="F1352" s="76">
        <v>16</v>
      </c>
    </row>
    <row r="1353" spans="1:6">
      <c r="A1353">
        <v>1377</v>
      </c>
      <c r="B1353">
        <v>142016260</v>
      </c>
      <c r="C1353" s="76">
        <v>2016</v>
      </c>
      <c r="D1353" s="76" t="s">
        <v>34</v>
      </c>
      <c r="E1353" s="76">
        <v>60</v>
      </c>
      <c r="F1353" s="76">
        <v>15</v>
      </c>
    </row>
    <row r="1354" spans="1:6">
      <c r="A1354">
        <v>1383</v>
      </c>
      <c r="B1354">
        <v>142016260</v>
      </c>
      <c r="C1354" s="76">
        <v>2016</v>
      </c>
      <c r="D1354" s="76" t="s">
        <v>34</v>
      </c>
      <c r="E1354" s="76">
        <v>10</v>
      </c>
      <c r="F1354" s="76">
        <v>2</v>
      </c>
    </row>
    <row r="1355" spans="1:6">
      <c r="A1355">
        <v>1384</v>
      </c>
      <c r="B1355">
        <v>142016260</v>
      </c>
      <c r="C1355" s="76">
        <v>2016</v>
      </c>
      <c r="D1355" s="76" t="s">
        <v>34</v>
      </c>
      <c r="E1355" s="76">
        <v>28</v>
      </c>
      <c r="F1355" s="76">
        <v>4.95</v>
      </c>
    </row>
    <row r="1356" spans="1:6">
      <c r="A1356">
        <v>1388</v>
      </c>
      <c r="B1356">
        <v>142016260</v>
      </c>
      <c r="C1356" s="76">
        <v>2016</v>
      </c>
      <c r="D1356" s="76" t="s">
        <v>34</v>
      </c>
      <c r="E1356" s="76">
        <v>16</v>
      </c>
      <c r="F1356" s="76">
        <v>4.8</v>
      </c>
    </row>
    <row r="1357" spans="1:6">
      <c r="A1357">
        <v>1394</v>
      </c>
      <c r="B1357">
        <v>142016260</v>
      </c>
      <c r="C1357" s="76">
        <v>2016</v>
      </c>
      <c r="D1357" s="76" t="s">
        <v>34</v>
      </c>
      <c r="E1357" s="76" t="s">
        <v>32</v>
      </c>
      <c r="F1357" s="76">
        <v>10</v>
      </c>
    </row>
    <row r="1358" spans="1:6">
      <c r="A1358">
        <v>1398</v>
      </c>
      <c r="B1358">
        <v>142016260</v>
      </c>
      <c r="C1358" s="76">
        <v>2016</v>
      </c>
      <c r="D1358" s="76" t="s">
        <v>34</v>
      </c>
      <c r="E1358" s="76" t="s">
        <v>32</v>
      </c>
      <c r="F1358" s="76">
        <v>4.95</v>
      </c>
    </row>
    <row r="1359" spans="1:6">
      <c r="A1359">
        <v>1382</v>
      </c>
      <c r="B1359">
        <v>142016260</v>
      </c>
      <c r="C1359" s="76">
        <v>2016</v>
      </c>
      <c r="D1359" s="76" t="s">
        <v>34</v>
      </c>
      <c r="E1359" s="76">
        <v>80</v>
      </c>
      <c r="F1359" s="76">
        <v>20</v>
      </c>
    </row>
    <row r="1360" spans="1:6">
      <c r="A1360">
        <v>1397</v>
      </c>
      <c r="B1360">
        <v>142016260</v>
      </c>
      <c r="C1360" s="76">
        <v>2016</v>
      </c>
      <c r="D1360" s="76" t="s">
        <v>34</v>
      </c>
      <c r="E1360" s="76" t="s">
        <v>32</v>
      </c>
      <c r="F1360" s="76">
        <v>2</v>
      </c>
    </row>
    <row r="1361" spans="1:6">
      <c r="A1361">
        <v>1412</v>
      </c>
      <c r="B1361">
        <v>142016270</v>
      </c>
      <c r="C1361" s="76">
        <v>2016</v>
      </c>
      <c r="D1361" s="76" t="s">
        <v>31</v>
      </c>
      <c r="E1361" s="76" t="s">
        <v>32</v>
      </c>
      <c r="F1361" s="76">
        <v>10.5</v>
      </c>
    </row>
    <row r="1362" spans="1:6">
      <c r="A1362">
        <v>1433</v>
      </c>
      <c r="B1362">
        <v>142016270</v>
      </c>
      <c r="C1362" s="76">
        <v>2016</v>
      </c>
      <c r="D1362" s="76" t="s">
        <v>31</v>
      </c>
      <c r="E1362" s="76" t="s">
        <v>32</v>
      </c>
      <c r="F1362" s="76">
        <v>10</v>
      </c>
    </row>
    <row r="1363" spans="1:6">
      <c r="A1363">
        <v>1429</v>
      </c>
      <c r="B1363">
        <v>142016270</v>
      </c>
      <c r="C1363" s="76">
        <v>2016</v>
      </c>
      <c r="D1363" s="76" t="s">
        <v>31</v>
      </c>
      <c r="E1363" s="76" t="s">
        <v>32</v>
      </c>
      <c r="F1363" s="76">
        <v>3</v>
      </c>
    </row>
    <row r="1364" spans="1:6">
      <c r="A1364">
        <v>1408</v>
      </c>
      <c r="B1364">
        <v>142016270</v>
      </c>
      <c r="C1364" s="76">
        <v>2016</v>
      </c>
      <c r="D1364" s="76" t="s">
        <v>31</v>
      </c>
      <c r="E1364" s="76" t="s">
        <v>32</v>
      </c>
      <c r="F1364" s="76">
        <v>10</v>
      </c>
    </row>
    <row r="1365" spans="1:6">
      <c r="A1365">
        <v>1409</v>
      </c>
      <c r="B1365">
        <v>142016270</v>
      </c>
      <c r="C1365" s="76">
        <v>2016</v>
      </c>
      <c r="D1365" s="76" t="s">
        <v>31</v>
      </c>
      <c r="E1365" s="76" t="s">
        <v>32</v>
      </c>
      <c r="F1365" s="76">
        <v>10</v>
      </c>
    </row>
    <row r="1366" spans="1:6">
      <c r="A1366">
        <v>1419</v>
      </c>
      <c r="B1366">
        <v>142016270</v>
      </c>
      <c r="C1366" s="76">
        <v>2016</v>
      </c>
      <c r="D1366" s="76" t="s">
        <v>31</v>
      </c>
      <c r="E1366" s="76" t="s">
        <v>32</v>
      </c>
      <c r="F1366" s="76">
        <v>5</v>
      </c>
    </row>
    <row r="1367" spans="1:6">
      <c r="A1367">
        <v>1418</v>
      </c>
      <c r="B1367">
        <v>142016270</v>
      </c>
      <c r="C1367" s="76">
        <v>2016</v>
      </c>
      <c r="D1367" s="76" t="s">
        <v>31</v>
      </c>
      <c r="E1367" s="76" t="s">
        <v>32</v>
      </c>
      <c r="F1367" s="76">
        <v>5</v>
      </c>
    </row>
    <row r="1368" spans="1:6">
      <c r="A1368">
        <v>1417</v>
      </c>
      <c r="B1368">
        <v>142016270</v>
      </c>
      <c r="C1368" s="76">
        <v>2016</v>
      </c>
      <c r="D1368" s="76" t="s">
        <v>31</v>
      </c>
      <c r="E1368" s="76" t="s">
        <v>32</v>
      </c>
      <c r="F1368" s="76">
        <v>10</v>
      </c>
    </row>
    <row r="1369" spans="1:6">
      <c r="A1369">
        <v>1414</v>
      </c>
      <c r="B1369">
        <v>142016270</v>
      </c>
      <c r="C1369" s="76">
        <v>2016</v>
      </c>
      <c r="D1369" s="76" t="s">
        <v>31</v>
      </c>
      <c r="E1369" s="76" t="s">
        <v>32</v>
      </c>
      <c r="F1369" s="76">
        <v>10</v>
      </c>
    </row>
    <row r="1370" spans="1:6">
      <c r="A1370">
        <v>1416</v>
      </c>
      <c r="B1370">
        <v>142016270</v>
      </c>
      <c r="C1370" s="76">
        <v>2016</v>
      </c>
      <c r="D1370" s="76" t="s">
        <v>31</v>
      </c>
      <c r="E1370" s="76" t="s">
        <v>32</v>
      </c>
      <c r="F1370" s="76">
        <v>5</v>
      </c>
    </row>
    <row r="1371" spans="1:6">
      <c r="A1371">
        <v>1415</v>
      </c>
      <c r="B1371">
        <v>142016270</v>
      </c>
      <c r="C1371" s="76">
        <v>2016</v>
      </c>
      <c r="D1371" s="76" t="s">
        <v>31</v>
      </c>
      <c r="E1371" s="76" t="s">
        <v>32</v>
      </c>
      <c r="F1371" s="76">
        <v>5</v>
      </c>
    </row>
    <row r="1372" spans="1:6">
      <c r="A1372">
        <v>1428</v>
      </c>
      <c r="B1372">
        <v>142016270</v>
      </c>
      <c r="C1372" s="76">
        <v>2016</v>
      </c>
      <c r="D1372" s="76" t="s">
        <v>31</v>
      </c>
      <c r="E1372" s="76" t="s">
        <v>32</v>
      </c>
      <c r="F1372" s="76">
        <v>2</v>
      </c>
    </row>
    <row r="1373" spans="1:6">
      <c r="A1373">
        <v>1413</v>
      </c>
      <c r="B1373">
        <v>142016270</v>
      </c>
      <c r="C1373" s="76">
        <v>2016</v>
      </c>
      <c r="D1373" s="76" t="s">
        <v>31</v>
      </c>
      <c r="E1373" s="76" t="s">
        <v>32</v>
      </c>
      <c r="F1373" s="76">
        <v>5</v>
      </c>
    </row>
    <row r="1374" spans="1:6">
      <c r="A1374">
        <v>1420</v>
      </c>
      <c r="B1374">
        <v>142016270</v>
      </c>
      <c r="C1374" s="76">
        <v>2016</v>
      </c>
      <c r="D1374" s="76" t="s">
        <v>31</v>
      </c>
      <c r="E1374" s="76" t="s">
        <v>32</v>
      </c>
      <c r="F1374" s="76">
        <v>5</v>
      </c>
    </row>
    <row r="1375" spans="1:6">
      <c r="A1375">
        <v>1425</v>
      </c>
      <c r="B1375">
        <v>142016270</v>
      </c>
      <c r="C1375" s="76">
        <v>2016</v>
      </c>
      <c r="D1375" s="76" t="s">
        <v>31</v>
      </c>
      <c r="E1375" s="76" t="s">
        <v>32</v>
      </c>
      <c r="F1375" s="76">
        <v>10</v>
      </c>
    </row>
    <row r="1376" spans="1:6">
      <c r="A1376">
        <v>1423</v>
      </c>
      <c r="B1376">
        <v>142016270</v>
      </c>
      <c r="C1376" s="76">
        <v>2016</v>
      </c>
      <c r="D1376" s="76" t="s">
        <v>31</v>
      </c>
      <c r="E1376" s="76" t="s">
        <v>32</v>
      </c>
      <c r="F1376" s="76">
        <v>5</v>
      </c>
    </row>
    <row r="1377" spans="1:6">
      <c r="A1377">
        <v>1421</v>
      </c>
      <c r="B1377">
        <v>142016270</v>
      </c>
      <c r="C1377" s="76">
        <v>2016</v>
      </c>
      <c r="D1377" s="76" t="s">
        <v>31</v>
      </c>
      <c r="E1377" s="76" t="s">
        <v>32</v>
      </c>
      <c r="F1377" s="76">
        <v>5</v>
      </c>
    </row>
    <row r="1378" spans="1:6">
      <c r="A1378">
        <v>1424</v>
      </c>
      <c r="B1378">
        <v>142016270</v>
      </c>
      <c r="C1378" s="76">
        <v>2016</v>
      </c>
      <c r="D1378" s="76" t="s">
        <v>31</v>
      </c>
      <c r="E1378" s="76" t="s">
        <v>32</v>
      </c>
      <c r="F1378" s="76">
        <v>10</v>
      </c>
    </row>
    <row r="1379" spans="1:6">
      <c r="A1379">
        <v>1422</v>
      </c>
      <c r="B1379">
        <v>142016270</v>
      </c>
      <c r="C1379" s="76">
        <v>2016</v>
      </c>
      <c r="D1379" s="76" t="s">
        <v>31</v>
      </c>
      <c r="E1379" s="76" t="s">
        <v>32</v>
      </c>
      <c r="F1379" s="76">
        <v>10</v>
      </c>
    </row>
    <row r="1380" spans="1:6">
      <c r="A1380">
        <v>1401</v>
      </c>
      <c r="B1380">
        <v>142016270</v>
      </c>
      <c r="C1380" s="76">
        <v>2016</v>
      </c>
      <c r="D1380" s="76" t="s">
        <v>31</v>
      </c>
      <c r="E1380" s="76" t="s">
        <v>32</v>
      </c>
      <c r="F1380" s="76">
        <v>6.5</v>
      </c>
    </row>
    <row r="1381" spans="1:6">
      <c r="A1381">
        <v>1403</v>
      </c>
      <c r="B1381">
        <v>142016270</v>
      </c>
      <c r="C1381" s="76">
        <v>2016</v>
      </c>
      <c r="D1381" s="76" t="s">
        <v>31</v>
      </c>
      <c r="E1381" s="76" t="s">
        <v>32</v>
      </c>
      <c r="F1381" s="76">
        <v>4</v>
      </c>
    </row>
    <row r="1382" spans="1:6">
      <c r="A1382">
        <v>1431</v>
      </c>
      <c r="B1382">
        <v>142016270</v>
      </c>
      <c r="C1382" s="76">
        <v>2016</v>
      </c>
      <c r="D1382" s="76" t="s">
        <v>31</v>
      </c>
      <c r="E1382" s="76" t="s">
        <v>32</v>
      </c>
      <c r="F1382" s="76">
        <v>2</v>
      </c>
    </row>
    <row r="1383" spans="1:6">
      <c r="A1383">
        <v>1432</v>
      </c>
      <c r="B1383">
        <v>142016270</v>
      </c>
      <c r="C1383" s="76">
        <v>2016</v>
      </c>
      <c r="D1383" s="76" t="s">
        <v>31</v>
      </c>
      <c r="E1383" s="76" t="s">
        <v>32</v>
      </c>
      <c r="F1383" s="76">
        <v>1.01</v>
      </c>
    </row>
    <row r="1384" spans="1:6">
      <c r="A1384">
        <v>1410</v>
      </c>
      <c r="B1384">
        <v>142016270</v>
      </c>
      <c r="C1384" s="76">
        <v>2016</v>
      </c>
      <c r="D1384" s="76" t="s">
        <v>31</v>
      </c>
      <c r="E1384" s="76" t="s">
        <v>32</v>
      </c>
      <c r="F1384" s="76">
        <v>2</v>
      </c>
    </row>
    <row r="1385" spans="1:6">
      <c r="A1385">
        <v>1404</v>
      </c>
      <c r="B1385">
        <v>142016270</v>
      </c>
      <c r="C1385" s="76">
        <v>2016</v>
      </c>
      <c r="D1385" s="76" t="s">
        <v>31</v>
      </c>
      <c r="E1385" s="76" t="s">
        <v>32</v>
      </c>
      <c r="F1385" s="76">
        <v>10</v>
      </c>
    </row>
    <row r="1386" spans="1:6">
      <c r="A1386">
        <v>1402</v>
      </c>
      <c r="B1386">
        <v>142016270</v>
      </c>
      <c r="C1386" s="76">
        <v>2016</v>
      </c>
      <c r="D1386" s="76" t="s">
        <v>31</v>
      </c>
      <c r="E1386" s="76" t="s">
        <v>32</v>
      </c>
      <c r="F1386" s="76">
        <v>10</v>
      </c>
    </row>
    <row r="1387" spans="1:6">
      <c r="A1387">
        <v>1407</v>
      </c>
      <c r="B1387">
        <v>142016270</v>
      </c>
      <c r="C1387" s="76">
        <v>2016</v>
      </c>
      <c r="D1387" s="76" t="s">
        <v>31</v>
      </c>
      <c r="E1387" s="76" t="s">
        <v>32</v>
      </c>
      <c r="F1387" s="76">
        <v>2</v>
      </c>
    </row>
    <row r="1388" spans="1:6">
      <c r="A1388">
        <v>1411</v>
      </c>
      <c r="B1388">
        <v>142016270</v>
      </c>
      <c r="C1388" s="76">
        <v>2016</v>
      </c>
      <c r="D1388" s="76" t="s">
        <v>31</v>
      </c>
      <c r="E1388" s="76" t="s">
        <v>32</v>
      </c>
      <c r="F1388" s="76">
        <v>5</v>
      </c>
    </row>
    <row r="1389" spans="1:6">
      <c r="A1389">
        <v>1405</v>
      </c>
      <c r="B1389">
        <v>142016270</v>
      </c>
      <c r="C1389" s="76">
        <v>2016</v>
      </c>
      <c r="D1389" s="76" t="s">
        <v>31</v>
      </c>
      <c r="E1389" s="76" t="s">
        <v>32</v>
      </c>
      <c r="F1389" s="76">
        <v>5</v>
      </c>
    </row>
    <row r="1390" spans="1:6">
      <c r="A1390">
        <v>1400</v>
      </c>
      <c r="B1390">
        <v>142016270</v>
      </c>
      <c r="C1390" s="76">
        <v>2016</v>
      </c>
      <c r="D1390" s="76" t="s">
        <v>31</v>
      </c>
      <c r="E1390" s="76" t="s">
        <v>32</v>
      </c>
      <c r="F1390" s="76">
        <v>3.5</v>
      </c>
    </row>
    <row r="1391" spans="1:6">
      <c r="A1391">
        <v>1399</v>
      </c>
      <c r="B1391">
        <v>142016270</v>
      </c>
      <c r="C1391" s="76">
        <v>2016</v>
      </c>
      <c r="D1391" s="76" t="s">
        <v>31</v>
      </c>
      <c r="E1391" s="76" t="s">
        <v>32</v>
      </c>
      <c r="F1391" s="76">
        <v>10</v>
      </c>
    </row>
    <row r="1392" spans="1:6">
      <c r="A1392">
        <v>1430</v>
      </c>
      <c r="B1392">
        <v>142016270</v>
      </c>
      <c r="C1392" s="76">
        <v>2016</v>
      </c>
      <c r="D1392" s="76" t="s">
        <v>31</v>
      </c>
      <c r="E1392" s="76" t="s">
        <v>32</v>
      </c>
      <c r="F1392" s="76">
        <v>10</v>
      </c>
    </row>
    <row r="1393" spans="1:6">
      <c r="A1393">
        <v>1426</v>
      </c>
      <c r="B1393">
        <v>142016270</v>
      </c>
      <c r="C1393" s="76">
        <v>2016</v>
      </c>
      <c r="D1393" s="76" t="s">
        <v>31</v>
      </c>
      <c r="E1393" s="76" t="s">
        <v>32</v>
      </c>
      <c r="F1393" s="76">
        <v>2</v>
      </c>
    </row>
    <row r="1394" spans="1:6">
      <c r="A1394">
        <v>1434</v>
      </c>
      <c r="B1394">
        <v>142016270</v>
      </c>
      <c r="C1394" s="76">
        <v>2016</v>
      </c>
      <c r="D1394" s="76" t="s">
        <v>31</v>
      </c>
      <c r="E1394" s="76" t="s">
        <v>32</v>
      </c>
      <c r="F1394" s="76">
        <v>3</v>
      </c>
    </row>
    <row r="1395" spans="1:6">
      <c r="A1395">
        <v>1427</v>
      </c>
      <c r="B1395">
        <v>142016270</v>
      </c>
      <c r="C1395" s="76">
        <v>2016</v>
      </c>
      <c r="D1395" s="76" t="s">
        <v>31</v>
      </c>
      <c r="E1395" s="76" t="s">
        <v>32</v>
      </c>
      <c r="F1395" s="76">
        <v>2</v>
      </c>
    </row>
    <row r="1396" spans="1:6">
      <c r="A1396">
        <v>1406</v>
      </c>
      <c r="B1396">
        <v>142016270</v>
      </c>
      <c r="C1396" s="76">
        <v>2016</v>
      </c>
      <c r="D1396" s="76" t="s">
        <v>31</v>
      </c>
      <c r="E1396" s="76" t="s">
        <v>32</v>
      </c>
      <c r="F1396" s="76">
        <v>5</v>
      </c>
    </row>
    <row r="1397" spans="1:6">
      <c r="A1397">
        <v>1437</v>
      </c>
      <c r="B1397">
        <v>142017110</v>
      </c>
      <c r="C1397" s="76">
        <v>2017</v>
      </c>
      <c r="D1397" s="76" t="s">
        <v>40</v>
      </c>
      <c r="E1397" s="76" t="s">
        <v>32</v>
      </c>
      <c r="F1397" s="76">
        <v>0.03</v>
      </c>
    </row>
    <row r="1398" spans="1:6">
      <c r="A1398">
        <v>1438</v>
      </c>
      <c r="B1398">
        <v>142017211</v>
      </c>
      <c r="C1398" s="76">
        <v>2017</v>
      </c>
      <c r="D1398" s="76" t="s">
        <v>37</v>
      </c>
      <c r="E1398" s="76" t="s">
        <v>32</v>
      </c>
      <c r="F1398" s="76">
        <v>10</v>
      </c>
    </row>
    <row r="1399" spans="1:6">
      <c r="A1399">
        <v>1439</v>
      </c>
      <c r="B1399">
        <v>142017211</v>
      </c>
      <c r="C1399" s="76">
        <v>2017</v>
      </c>
      <c r="D1399" s="76" t="s">
        <v>37</v>
      </c>
      <c r="E1399" s="76" t="s">
        <v>32</v>
      </c>
      <c r="F1399" s="76">
        <v>35</v>
      </c>
    </row>
    <row r="1400" spans="1:6">
      <c r="A1400">
        <v>1453</v>
      </c>
      <c r="B1400">
        <v>142017260</v>
      </c>
      <c r="C1400" s="76">
        <v>2017</v>
      </c>
      <c r="D1400" s="76" t="s">
        <v>34</v>
      </c>
      <c r="E1400" s="76" t="s">
        <v>32</v>
      </c>
      <c r="F1400" s="76">
        <v>4.95</v>
      </c>
    </row>
    <row r="1401" spans="1:6">
      <c r="A1401">
        <v>1447</v>
      </c>
      <c r="B1401">
        <v>142017260</v>
      </c>
      <c r="C1401" s="76">
        <v>2017</v>
      </c>
      <c r="D1401" s="76" t="s">
        <v>34</v>
      </c>
      <c r="E1401" s="76">
        <v>1</v>
      </c>
      <c r="F1401" s="76">
        <v>4.8</v>
      </c>
    </row>
    <row r="1402" spans="1:6">
      <c r="A1402">
        <v>1458</v>
      </c>
      <c r="B1402">
        <v>142017260</v>
      </c>
      <c r="C1402" s="76">
        <v>2017</v>
      </c>
      <c r="D1402" s="76" t="s">
        <v>34</v>
      </c>
      <c r="E1402" s="76" t="s">
        <v>32</v>
      </c>
      <c r="F1402" s="76">
        <v>5</v>
      </c>
    </row>
    <row r="1403" spans="1:6">
      <c r="A1403">
        <v>1448</v>
      </c>
      <c r="B1403">
        <v>142017260</v>
      </c>
      <c r="C1403" s="76">
        <v>2017</v>
      </c>
      <c r="D1403" s="76" t="s">
        <v>34</v>
      </c>
      <c r="E1403" s="76" t="s">
        <v>32</v>
      </c>
      <c r="F1403" s="76">
        <v>11</v>
      </c>
    </row>
    <row r="1404" spans="1:6">
      <c r="A1404">
        <v>1456</v>
      </c>
      <c r="B1404">
        <v>142017260</v>
      </c>
      <c r="C1404" s="76">
        <v>2017</v>
      </c>
      <c r="D1404" s="76" t="s">
        <v>34</v>
      </c>
      <c r="E1404" s="76" t="s">
        <v>32</v>
      </c>
      <c r="F1404" s="76">
        <v>5</v>
      </c>
    </row>
    <row r="1405" spans="1:6">
      <c r="A1405">
        <v>1451</v>
      </c>
      <c r="B1405">
        <v>142017260</v>
      </c>
      <c r="C1405" s="76">
        <v>2017</v>
      </c>
      <c r="D1405" s="76" t="s">
        <v>34</v>
      </c>
      <c r="E1405" s="76" t="s">
        <v>32</v>
      </c>
      <c r="F1405" s="76">
        <v>2</v>
      </c>
    </row>
    <row r="1406" spans="1:6">
      <c r="A1406">
        <v>1455</v>
      </c>
      <c r="B1406">
        <v>142017260</v>
      </c>
      <c r="C1406" s="76">
        <v>2017</v>
      </c>
      <c r="D1406" s="76" t="s">
        <v>34</v>
      </c>
      <c r="E1406" s="76" t="s">
        <v>32</v>
      </c>
      <c r="F1406" s="76">
        <v>3</v>
      </c>
    </row>
    <row r="1407" spans="1:6">
      <c r="A1407">
        <v>1449</v>
      </c>
      <c r="B1407">
        <v>142017260</v>
      </c>
      <c r="C1407" s="76">
        <v>2017</v>
      </c>
      <c r="D1407" s="76" t="s">
        <v>34</v>
      </c>
      <c r="E1407" s="76">
        <v>24</v>
      </c>
      <c r="F1407" s="76">
        <v>4.8</v>
      </c>
    </row>
    <row r="1408" spans="1:6">
      <c r="A1408">
        <v>1454</v>
      </c>
      <c r="B1408">
        <v>142017260</v>
      </c>
      <c r="C1408" s="76">
        <v>2017</v>
      </c>
      <c r="D1408" s="76" t="s">
        <v>34</v>
      </c>
      <c r="E1408" s="76" t="s">
        <v>32</v>
      </c>
      <c r="F1408" s="76">
        <v>1.95</v>
      </c>
    </row>
    <row r="1409" spans="1:6">
      <c r="A1409">
        <v>1452</v>
      </c>
      <c r="B1409">
        <v>142017260</v>
      </c>
      <c r="C1409" s="76">
        <v>2017</v>
      </c>
      <c r="D1409" s="76" t="s">
        <v>34</v>
      </c>
      <c r="E1409" s="76" t="s">
        <v>32</v>
      </c>
      <c r="F1409" s="76">
        <v>4.95</v>
      </c>
    </row>
    <row r="1410" spans="1:6">
      <c r="A1410">
        <v>1446</v>
      </c>
      <c r="B1410">
        <v>142017260</v>
      </c>
      <c r="C1410" s="76">
        <v>2017</v>
      </c>
      <c r="D1410" s="76" t="s">
        <v>34</v>
      </c>
      <c r="E1410" s="76">
        <v>10</v>
      </c>
      <c r="F1410" s="76">
        <v>2</v>
      </c>
    </row>
    <row r="1411" spans="1:6">
      <c r="A1411">
        <v>1450</v>
      </c>
      <c r="B1411">
        <v>142017260</v>
      </c>
      <c r="C1411" s="76">
        <v>2017</v>
      </c>
      <c r="D1411" s="76" t="s">
        <v>34</v>
      </c>
      <c r="E1411" s="76">
        <v>10</v>
      </c>
      <c r="F1411" s="76">
        <v>3</v>
      </c>
    </row>
    <row r="1412" spans="1:6">
      <c r="A1412">
        <v>1443</v>
      </c>
      <c r="B1412">
        <v>142017260</v>
      </c>
      <c r="C1412" s="76">
        <v>2017</v>
      </c>
      <c r="D1412" s="76" t="s">
        <v>34</v>
      </c>
      <c r="E1412" s="76">
        <v>24</v>
      </c>
      <c r="F1412" s="76">
        <v>4.8</v>
      </c>
    </row>
    <row r="1413" spans="1:6">
      <c r="A1413">
        <v>1442</v>
      </c>
      <c r="B1413">
        <v>142017260</v>
      </c>
      <c r="C1413" s="76">
        <v>2017</v>
      </c>
      <c r="D1413" s="76" t="s">
        <v>34</v>
      </c>
      <c r="E1413" s="76">
        <v>42</v>
      </c>
      <c r="F1413" s="76">
        <v>8.4</v>
      </c>
    </row>
    <row r="1414" spans="1:6">
      <c r="A1414">
        <v>1445</v>
      </c>
      <c r="B1414">
        <v>142017260</v>
      </c>
      <c r="C1414" s="76">
        <v>2017</v>
      </c>
      <c r="D1414" s="76" t="s">
        <v>34</v>
      </c>
      <c r="E1414" s="76">
        <v>33</v>
      </c>
      <c r="F1414" s="76">
        <v>4.95</v>
      </c>
    </row>
    <row r="1415" spans="1:6">
      <c r="A1415">
        <v>1444</v>
      </c>
      <c r="B1415">
        <v>142017260</v>
      </c>
      <c r="C1415" s="76">
        <v>2017</v>
      </c>
      <c r="D1415" s="76" t="s">
        <v>34</v>
      </c>
      <c r="E1415" s="76">
        <v>50</v>
      </c>
      <c r="F1415" s="76">
        <v>10</v>
      </c>
    </row>
    <row r="1416" spans="1:6">
      <c r="A1416">
        <v>1441</v>
      </c>
      <c r="B1416">
        <v>142017260</v>
      </c>
      <c r="C1416" s="76">
        <v>2017</v>
      </c>
      <c r="D1416" s="76" t="s">
        <v>34</v>
      </c>
      <c r="E1416" s="76">
        <v>25</v>
      </c>
      <c r="F1416" s="76">
        <v>5</v>
      </c>
    </row>
    <row r="1417" spans="1:6">
      <c r="A1417">
        <v>1457</v>
      </c>
      <c r="B1417">
        <v>142017260</v>
      </c>
      <c r="C1417" s="76">
        <v>2017</v>
      </c>
      <c r="D1417" s="76" t="s">
        <v>34</v>
      </c>
      <c r="E1417" s="76" t="s">
        <v>32</v>
      </c>
      <c r="F1417" s="76">
        <v>10</v>
      </c>
    </row>
    <row r="1418" spans="1:6">
      <c r="A1418">
        <v>1483</v>
      </c>
      <c r="B1418">
        <v>142017270</v>
      </c>
      <c r="C1418" s="76">
        <v>2017</v>
      </c>
      <c r="D1418" s="76" t="s">
        <v>31</v>
      </c>
      <c r="E1418" s="76" t="s">
        <v>32</v>
      </c>
      <c r="F1418" s="76">
        <v>0.09</v>
      </c>
    </row>
    <row r="1419" spans="1:6">
      <c r="A1419">
        <v>1461</v>
      </c>
      <c r="B1419">
        <v>142017270</v>
      </c>
      <c r="C1419" s="76">
        <v>2017</v>
      </c>
      <c r="D1419" s="76" t="s">
        <v>31</v>
      </c>
      <c r="E1419" s="76" t="s">
        <v>32</v>
      </c>
      <c r="F1419" s="76">
        <v>5.7</v>
      </c>
    </row>
    <row r="1420" spans="1:6">
      <c r="A1420">
        <v>1504</v>
      </c>
      <c r="B1420">
        <v>142017270</v>
      </c>
      <c r="C1420" s="76">
        <v>2017</v>
      </c>
      <c r="D1420" s="76" t="s">
        <v>31</v>
      </c>
      <c r="E1420" s="76" t="s">
        <v>32</v>
      </c>
      <c r="F1420" s="76">
        <v>4.5</v>
      </c>
    </row>
    <row r="1421" spans="1:6">
      <c r="A1421">
        <v>1479</v>
      </c>
      <c r="B1421">
        <v>142017270</v>
      </c>
      <c r="C1421" s="76">
        <v>2017</v>
      </c>
      <c r="D1421" s="76" t="s">
        <v>31</v>
      </c>
      <c r="E1421" s="76" t="s">
        <v>32</v>
      </c>
      <c r="F1421" s="76">
        <v>1.36</v>
      </c>
    </row>
    <row r="1422" spans="1:6">
      <c r="A1422">
        <v>1468</v>
      </c>
      <c r="B1422">
        <v>142017270</v>
      </c>
      <c r="C1422" s="76">
        <v>2017</v>
      </c>
      <c r="D1422" s="76" t="s">
        <v>31</v>
      </c>
      <c r="E1422" s="76" t="s">
        <v>32</v>
      </c>
      <c r="F1422" s="76">
        <v>6</v>
      </c>
    </row>
    <row r="1423" spans="1:6">
      <c r="A1423">
        <v>1481</v>
      </c>
      <c r="B1423">
        <v>142017270</v>
      </c>
      <c r="C1423" s="76">
        <v>2017</v>
      </c>
      <c r="D1423" s="76" t="s">
        <v>31</v>
      </c>
      <c r="E1423" s="76" t="s">
        <v>32</v>
      </c>
      <c r="F1423" s="76">
        <v>1</v>
      </c>
    </row>
    <row r="1424" spans="1:6">
      <c r="A1424">
        <v>1472</v>
      </c>
      <c r="B1424">
        <v>142017270</v>
      </c>
      <c r="C1424" s="76">
        <v>2017</v>
      </c>
      <c r="D1424" s="76" t="s">
        <v>31</v>
      </c>
      <c r="E1424" s="76" t="s">
        <v>32</v>
      </c>
      <c r="F1424" s="76">
        <v>7</v>
      </c>
    </row>
    <row r="1425" spans="1:6">
      <c r="A1425">
        <v>1460</v>
      </c>
      <c r="B1425">
        <v>142017270</v>
      </c>
      <c r="C1425" s="76">
        <v>2017</v>
      </c>
      <c r="D1425" s="76" t="s">
        <v>31</v>
      </c>
      <c r="E1425" s="76" t="s">
        <v>32</v>
      </c>
      <c r="F1425" s="76">
        <v>3.5</v>
      </c>
    </row>
    <row r="1426" spans="1:6">
      <c r="A1426">
        <v>1487</v>
      </c>
      <c r="B1426">
        <v>142017270</v>
      </c>
      <c r="C1426" s="76">
        <v>2017</v>
      </c>
      <c r="D1426" s="76" t="s">
        <v>31</v>
      </c>
      <c r="E1426" s="76" t="s">
        <v>32</v>
      </c>
      <c r="F1426" s="76">
        <v>2</v>
      </c>
    </row>
    <row r="1427" spans="1:6">
      <c r="A1427">
        <v>1474</v>
      </c>
      <c r="B1427">
        <v>142017270</v>
      </c>
      <c r="C1427" s="76">
        <v>2017</v>
      </c>
      <c r="D1427" s="76" t="s">
        <v>31</v>
      </c>
      <c r="E1427" s="76" t="s">
        <v>32</v>
      </c>
      <c r="F1427" s="76">
        <v>2</v>
      </c>
    </row>
    <row r="1428" spans="1:6">
      <c r="A1428">
        <v>1475</v>
      </c>
      <c r="B1428">
        <v>142017270</v>
      </c>
      <c r="C1428" s="76">
        <v>2017</v>
      </c>
      <c r="D1428" s="76" t="s">
        <v>31</v>
      </c>
      <c r="E1428" s="76" t="s">
        <v>32</v>
      </c>
      <c r="F1428" s="76">
        <v>3.5</v>
      </c>
    </row>
    <row r="1429" spans="1:6">
      <c r="A1429">
        <v>1477</v>
      </c>
      <c r="B1429">
        <v>142017270</v>
      </c>
      <c r="C1429" s="76">
        <v>2017</v>
      </c>
      <c r="D1429" s="76" t="s">
        <v>31</v>
      </c>
      <c r="E1429" s="76" t="s">
        <v>32</v>
      </c>
      <c r="F1429" s="76">
        <v>6</v>
      </c>
    </row>
    <row r="1430" spans="1:6">
      <c r="A1430">
        <v>1495</v>
      </c>
      <c r="B1430">
        <v>142017270</v>
      </c>
      <c r="C1430" s="76">
        <v>2017</v>
      </c>
      <c r="D1430" s="76" t="s">
        <v>31</v>
      </c>
      <c r="E1430" s="76" t="s">
        <v>32</v>
      </c>
      <c r="F1430" s="76">
        <v>2</v>
      </c>
    </row>
    <row r="1431" spans="1:6">
      <c r="A1431">
        <v>1492</v>
      </c>
      <c r="B1431">
        <v>142017270</v>
      </c>
      <c r="C1431" s="76">
        <v>2017</v>
      </c>
      <c r="D1431" s="76" t="s">
        <v>31</v>
      </c>
      <c r="E1431" s="76" t="s">
        <v>32</v>
      </c>
      <c r="F1431" s="76">
        <v>8</v>
      </c>
    </row>
    <row r="1432" spans="1:6">
      <c r="A1432">
        <v>1464</v>
      </c>
      <c r="B1432">
        <v>142017270</v>
      </c>
      <c r="C1432" s="76">
        <v>2017</v>
      </c>
      <c r="D1432" s="76" t="s">
        <v>31</v>
      </c>
      <c r="E1432" s="76">
        <v>1</v>
      </c>
      <c r="F1432" s="76">
        <v>8</v>
      </c>
    </row>
    <row r="1433" spans="1:6">
      <c r="A1433">
        <v>1490</v>
      </c>
      <c r="B1433">
        <v>142017270</v>
      </c>
      <c r="C1433" s="76">
        <v>2017</v>
      </c>
      <c r="D1433" s="76" t="s">
        <v>31</v>
      </c>
      <c r="E1433" s="76" t="s">
        <v>32</v>
      </c>
      <c r="F1433" s="76">
        <v>5</v>
      </c>
    </row>
    <row r="1434" spans="1:6">
      <c r="A1434">
        <v>1485</v>
      </c>
      <c r="B1434">
        <v>142017270</v>
      </c>
      <c r="C1434" s="76">
        <v>2017</v>
      </c>
      <c r="D1434" s="76" t="s">
        <v>31</v>
      </c>
      <c r="E1434" s="76" t="s">
        <v>32</v>
      </c>
      <c r="F1434" s="76">
        <v>0.01</v>
      </c>
    </row>
    <row r="1435" spans="1:6">
      <c r="A1435">
        <v>1476</v>
      </c>
      <c r="B1435">
        <v>142017270</v>
      </c>
      <c r="C1435" s="76">
        <v>2017</v>
      </c>
      <c r="D1435" s="76" t="s">
        <v>31</v>
      </c>
      <c r="E1435" s="76" t="s">
        <v>32</v>
      </c>
      <c r="F1435" s="76">
        <v>3</v>
      </c>
    </row>
    <row r="1436" spans="1:6">
      <c r="A1436">
        <v>1459</v>
      </c>
      <c r="B1436">
        <v>142017270</v>
      </c>
      <c r="C1436" s="76">
        <v>2017</v>
      </c>
      <c r="D1436" s="76" t="s">
        <v>31</v>
      </c>
      <c r="E1436" s="76">
        <v>1</v>
      </c>
      <c r="F1436" s="76">
        <v>5</v>
      </c>
    </row>
    <row r="1437" spans="1:6">
      <c r="A1437">
        <v>1466</v>
      </c>
      <c r="B1437">
        <v>142017270</v>
      </c>
      <c r="C1437" s="76">
        <v>2017</v>
      </c>
      <c r="D1437" s="76" t="s">
        <v>31</v>
      </c>
      <c r="E1437" s="76" t="s">
        <v>32</v>
      </c>
      <c r="F1437" s="76">
        <v>12</v>
      </c>
    </row>
    <row r="1438" spans="1:6">
      <c r="A1438">
        <v>1469</v>
      </c>
      <c r="B1438">
        <v>142017270</v>
      </c>
      <c r="C1438" s="76">
        <v>2017</v>
      </c>
      <c r="D1438" s="76" t="s">
        <v>31</v>
      </c>
      <c r="E1438" s="76">
        <v>1</v>
      </c>
      <c r="F1438" s="76">
        <v>1.27</v>
      </c>
    </row>
    <row r="1439" spans="1:6">
      <c r="A1439">
        <v>1462</v>
      </c>
      <c r="B1439">
        <v>142017270</v>
      </c>
      <c r="C1439" s="76">
        <v>2017</v>
      </c>
      <c r="D1439" s="76" t="s">
        <v>31</v>
      </c>
      <c r="E1439" s="76" t="s">
        <v>32</v>
      </c>
      <c r="F1439" s="76">
        <v>3</v>
      </c>
    </row>
    <row r="1440" spans="1:6">
      <c r="A1440">
        <v>1486</v>
      </c>
      <c r="B1440">
        <v>142017270</v>
      </c>
      <c r="C1440" s="76">
        <v>2017</v>
      </c>
      <c r="D1440" s="76" t="s">
        <v>31</v>
      </c>
      <c r="E1440" s="76" t="s">
        <v>32</v>
      </c>
      <c r="F1440" s="76">
        <v>0.08</v>
      </c>
    </row>
    <row r="1441" spans="1:6">
      <c r="A1441">
        <v>1505</v>
      </c>
      <c r="B1441">
        <v>142017270</v>
      </c>
      <c r="C1441" s="76">
        <v>2017</v>
      </c>
      <c r="D1441" s="76" t="s">
        <v>31</v>
      </c>
      <c r="E1441" s="76" t="s">
        <v>32</v>
      </c>
      <c r="F1441" s="76">
        <v>3.5</v>
      </c>
    </row>
    <row r="1442" spans="1:6">
      <c r="A1442">
        <v>1494</v>
      </c>
      <c r="B1442">
        <v>142017270</v>
      </c>
      <c r="C1442" s="76">
        <v>2017</v>
      </c>
      <c r="D1442" s="76" t="s">
        <v>31</v>
      </c>
      <c r="E1442" s="76" t="s">
        <v>32</v>
      </c>
      <c r="F1442" s="76">
        <v>1</v>
      </c>
    </row>
    <row r="1443" spans="1:6">
      <c r="A1443">
        <v>1463</v>
      </c>
      <c r="B1443">
        <v>142017270</v>
      </c>
      <c r="C1443" s="76">
        <v>2017</v>
      </c>
      <c r="D1443" s="76" t="s">
        <v>31</v>
      </c>
      <c r="E1443" s="76">
        <v>1</v>
      </c>
      <c r="F1443" s="76">
        <v>0.5</v>
      </c>
    </row>
    <row r="1444" spans="1:6">
      <c r="A1444">
        <v>1478</v>
      </c>
      <c r="B1444">
        <v>142017270</v>
      </c>
      <c r="C1444" s="76">
        <v>2017</v>
      </c>
      <c r="D1444" s="76" t="s">
        <v>31</v>
      </c>
      <c r="E1444" s="76" t="s">
        <v>32</v>
      </c>
      <c r="F1444" s="76">
        <v>5</v>
      </c>
    </row>
    <row r="1445" spans="1:6">
      <c r="A1445">
        <v>1496</v>
      </c>
      <c r="B1445">
        <v>142017270</v>
      </c>
      <c r="C1445" s="76">
        <v>2017</v>
      </c>
      <c r="D1445" s="76" t="s">
        <v>31</v>
      </c>
      <c r="E1445" s="76" t="s">
        <v>32</v>
      </c>
      <c r="F1445" s="76">
        <v>5</v>
      </c>
    </row>
    <row r="1446" spans="1:6">
      <c r="A1446">
        <v>1497</v>
      </c>
      <c r="B1446">
        <v>142017270</v>
      </c>
      <c r="C1446" s="76">
        <v>2017</v>
      </c>
      <c r="D1446" s="76" t="s">
        <v>31</v>
      </c>
      <c r="E1446" s="76" t="s">
        <v>32</v>
      </c>
      <c r="F1446" s="76">
        <v>10</v>
      </c>
    </row>
    <row r="1447" spans="1:6">
      <c r="A1447">
        <v>1465</v>
      </c>
      <c r="B1447">
        <v>142017270</v>
      </c>
      <c r="C1447" s="76">
        <v>2017</v>
      </c>
      <c r="D1447" s="76" t="s">
        <v>31</v>
      </c>
      <c r="E1447" s="76" t="s">
        <v>32</v>
      </c>
      <c r="F1447" s="76">
        <v>10</v>
      </c>
    </row>
    <row r="1448" spans="1:6">
      <c r="A1448">
        <v>1498</v>
      </c>
      <c r="B1448">
        <v>142017270</v>
      </c>
      <c r="C1448" s="76">
        <v>2017</v>
      </c>
      <c r="D1448" s="76" t="s">
        <v>31</v>
      </c>
      <c r="E1448" s="76" t="s">
        <v>32</v>
      </c>
      <c r="F1448" s="76">
        <v>5</v>
      </c>
    </row>
    <row r="1449" spans="1:6">
      <c r="A1449">
        <v>1499</v>
      </c>
      <c r="B1449">
        <v>142017270</v>
      </c>
      <c r="C1449" s="76">
        <v>2017</v>
      </c>
      <c r="D1449" s="76" t="s">
        <v>31</v>
      </c>
      <c r="E1449" s="76" t="s">
        <v>32</v>
      </c>
      <c r="F1449" s="76">
        <v>5</v>
      </c>
    </row>
    <row r="1450" spans="1:6">
      <c r="A1450">
        <v>1502</v>
      </c>
      <c r="B1450">
        <v>142017270</v>
      </c>
      <c r="C1450" s="76">
        <v>2017</v>
      </c>
      <c r="D1450" s="76" t="s">
        <v>31</v>
      </c>
      <c r="E1450" s="76" t="s">
        <v>32</v>
      </c>
      <c r="F1450" s="76">
        <v>10</v>
      </c>
    </row>
    <row r="1451" spans="1:6">
      <c r="A1451">
        <v>1503</v>
      </c>
      <c r="B1451">
        <v>142017270</v>
      </c>
      <c r="C1451" s="76">
        <v>2017</v>
      </c>
      <c r="D1451" s="76" t="s">
        <v>31</v>
      </c>
      <c r="E1451" s="76" t="s">
        <v>32</v>
      </c>
      <c r="F1451" s="76">
        <v>10</v>
      </c>
    </row>
    <row r="1452" spans="1:6">
      <c r="A1452">
        <v>1489</v>
      </c>
      <c r="B1452">
        <v>142017270</v>
      </c>
      <c r="C1452" s="76">
        <v>2017</v>
      </c>
      <c r="D1452" s="76" t="s">
        <v>31</v>
      </c>
      <c r="E1452" s="76" t="s">
        <v>32</v>
      </c>
      <c r="F1452" s="76">
        <v>10</v>
      </c>
    </row>
    <row r="1453" spans="1:6">
      <c r="A1453">
        <v>1471</v>
      </c>
      <c r="B1453">
        <v>142017270</v>
      </c>
      <c r="C1453" s="76">
        <v>2017</v>
      </c>
      <c r="D1453" s="76" t="s">
        <v>31</v>
      </c>
      <c r="E1453" s="76" t="s">
        <v>32</v>
      </c>
      <c r="F1453" s="76">
        <v>5</v>
      </c>
    </row>
    <row r="1454" spans="1:6">
      <c r="A1454">
        <v>1488</v>
      </c>
      <c r="B1454">
        <v>142017270</v>
      </c>
      <c r="C1454" s="76">
        <v>2017</v>
      </c>
      <c r="D1454" s="76" t="s">
        <v>31</v>
      </c>
      <c r="E1454" s="76" t="s">
        <v>32</v>
      </c>
      <c r="F1454" s="76">
        <v>10</v>
      </c>
    </row>
    <row r="1455" spans="1:6">
      <c r="A1455">
        <v>1501</v>
      </c>
      <c r="B1455">
        <v>142017270</v>
      </c>
      <c r="C1455" s="76">
        <v>2017</v>
      </c>
      <c r="D1455" s="76" t="s">
        <v>31</v>
      </c>
      <c r="E1455" s="76" t="s">
        <v>32</v>
      </c>
      <c r="F1455" s="76">
        <v>10</v>
      </c>
    </row>
    <row r="1456" spans="1:6">
      <c r="A1456">
        <v>1467</v>
      </c>
      <c r="B1456">
        <v>142017270</v>
      </c>
      <c r="C1456" s="76">
        <v>2017</v>
      </c>
      <c r="D1456" s="76" t="s">
        <v>31</v>
      </c>
      <c r="E1456" s="76" t="s">
        <v>32</v>
      </c>
      <c r="F1456" s="76">
        <v>5</v>
      </c>
    </row>
    <row r="1457" spans="1:6">
      <c r="A1457">
        <v>1480</v>
      </c>
      <c r="B1457">
        <v>142017270</v>
      </c>
      <c r="C1457" s="76">
        <v>2017</v>
      </c>
      <c r="D1457" s="76" t="s">
        <v>31</v>
      </c>
      <c r="E1457" s="76" t="s">
        <v>32</v>
      </c>
      <c r="F1457" s="76">
        <v>5</v>
      </c>
    </row>
    <row r="1458" spans="1:6">
      <c r="A1458">
        <v>1493</v>
      </c>
      <c r="B1458">
        <v>142017270</v>
      </c>
      <c r="C1458" s="76">
        <v>2017</v>
      </c>
      <c r="D1458" s="76" t="s">
        <v>31</v>
      </c>
      <c r="E1458" s="76" t="s">
        <v>32</v>
      </c>
      <c r="F1458" s="76">
        <v>12</v>
      </c>
    </row>
    <row r="1459" spans="1:6">
      <c r="A1459">
        <v>1491</v>
      </c>
      <c r="B1459">
        <v>142017270</v>
      </c>
      <c r="C1459" s="76">
        <v>2017</v>
      </c>
      <c r="D1459" s="76" t="s">
        <v>31</v>
      </c>
      <c r="E1459" s="76" t="s">
        <v>32</v>
      </c>
      <c r="F1459" s="76">
        <v>5</v>
      </c>
    </row>
    <row r="1460" spans="1:6">
      <c r="A1460">
        <v>1500</v>
      </c>
      <c r="B1460">
        <v>142017270</v>
      </c>
      <c r="C1460" s="76">
        <v>2017</v>
      </c>
      <c r="D1460" s="76" t="s">
        <v>31</v>
      </c>
      <c r="E1460" s="76" t="s">
        <v>32</v>
      </c>
      <c r="F1460" s="76">
        <v>5</v>
      </c>
    </row>
    <row r="1461" spans="1:6">
      <c r="A1461">
        <v>1484</v>
      </c>
      <c r="B1461">
        <v>142017270</v>
      </c>
      <c r="C1461" s="76">
        <v>2017</v>
      </c>
      <c r="D1461" s="76" t="s">
        <v>31</v>
      </c>
      <c r="E1461" s="76" t="s">
        <v>32</v>
      </c>
      <c r="F1461" s="76">
        <v>0.3</v>
      </c>
    </row>
    <row r="1462" spans="1:6">
      <c r="A1462">
        <v>1482</v>
      </c>
      <c r="B1462">
        <v>142017270</v>
      </c>
      <c r="C1462" s="76">
        <v>2017</v>
      </c>
      <c r="D1462" s="76" t="s">
        <v>31</v>
      </c>
      <c r="E1462" s="76" t="s">
        <v>32</v>
      </c>
      <c r="F1462" s="76">
        <v>1</v>
      </c>
    </row>
    <row r="1463" spans="1:6">
      <c r="A1463">
        <v>1473</v>
      </c>
      <c r="B1463">
        <v>142017270</v>
      </c>
      <c r="C1463" s="76">
        <v>2017</v>
      </c>
      <c r="D1463" s="76" t="s">
        <v>31</v>
      </c>
      <c r="E1463" s="76" t="s">
        <v>32</v>
      </c>
      <c r="F1463" s="76">
        <v>4</v>
      </c>
    </row>
    <row r="1464" spans="1:6">
      <c r="A1464">
        <v>1508</v>
      </c>
      <c r="B1464">
        <v>142018211</v>
      </c>
      <c r="C1464" s="76">
        <v>2018</v>
      </c>
      <c r="D1464" s="76" t="s">
        <v>37</v>
      </c>
      <c r="E1464" s="76">
        <v>2</v>
      </c>
      <c r="F1464" s="76">
        <v>70</v>
      </c>
    </row>
    <row r="1465" spans="1:6">
      <c r="A1465">
        <v>1506</v>
      </c>
      <c r="B1465">
        <v>142018211</v>
      </c>
      <c r="C1465" s="76">
        <v>2018</v>
      </c>
      <c r="D1465" s="76" t="s">
        <v>37</v>
      </c>
      <c r="E1465" s="76">
        <v>2</v>
      </c>
      <c r="F1465" s="76">
        <v>132</v>
      </c>
    </row>
    <row r="1466" spans="1:6">
      <c r="A1466">
        <v>1509</v>
      </c>
      <c r="B1466">
        <v>142018211</v>
      </c>
      <c r="C1466" s="76">
        <v>2018</v>
      </c>
      <c r="D1466" s="76" t="s">
        <v>37</v>
      </c>
      <c r="E1466" s="76">
        <v>1</v>
      </c>
      <c r="F1466" s="76">
        <v>35</v>
      </c>
    </row>
    <row r="1467" spans="1:6">
      <c r="A1467">
        <v>1507</v>
      </c>
      <c r="B1467">
        <v>142018211</v>
      </c>
      <c r="C1467" s="76">
        <v>2018</v>
      </c>
      <c r="D1467" s="76" t="s">
        <v>37</v>
      </c>
      <c r="E1467" s="76">
        <v>1</v>
      </c>
      <c r="F1467" s="76">
        <v>35</v>
      </c>
    </row>
    <row r="1468" spans="1:6">
      <c r="A1468">
        <v>1510</v>
      </c>
      <c r="B1468">
        <v>142018211</v>
      </c>
      <c r="C1468" s="76">
        <v>2018</v>
      </c>
      <c r="D1468" s="76" t="s">
        <v>37</v>
      </c>
      <c r="E1468" s="76" t="s">
        <v>32</v>
      </c>
      <c r="F1468" s="76">
        <v>8</v>
      </c>
    </row>
    <row r="1469" spans="1:6">
      <c r="A1469">
        <v>1511</v>
      </c>
      <c r="B1469">
        <v>142018221</v>
      </c>
      <c r="C1469" s="76">
        <v>2018</v>
      </c>
      <c r="D1469" s="76" t="s">
        <v>30</v>
      </c>
      <c r="E1469" s="76" t="s">
        <v>32</v>
      </c>
      <c r="F1469" s="76">
        <v>5.58</v>
      </c>
    </row>
    <row r="1470" spans="1:6">
      <c r="A1470">
        <v>1513</v>
      </c>
      <c r="B1470">
        <v>142018241</v>
      </c>
      <c r="C1470" s="76">
        <v>2018</v>
      </c>
      <c r="D1470" s="76" t="s">
        <v>33</v>
      </c>
      <c r="E1470" s="76" t="s">
        <v>32</v>
      </c>
      <c r="F1470" s="76">
        <v>10</v>
      </c>
    </row>
    <row r="1471" spans="1:6">
      <c r="A1471">
        <v>1528</v>
      </c>
      <c r="B1471">
        <v>142018260</v>
      </c>
      <c r="C1471" s="76">
        <v>2018</v>
      </c>
      <c r="D1471" s="76" t="s">
        <v>34</v>
      </c>
      <c r="E1471" s="76" t="s">
        <v>32</v>
      </c>
      <c r="F1471" s="76">
        <v>9.98</v>
      </c>
    </row>
    <row r="1472" spans="1:6">
      <c r="A1472">
        <v>1529</v>
      </c>
      <c r="B1472">
        <v>142018260</v>
      </c>
      <c r="C1472" s="76">
        <v>2018</v>
      </c>
      <c r="D1472" s="76" t="s">
        <v>34</v>
      </c>
      <c r="E1472" s="76" t="s">
        <v>32</v>
      </c>
      <c r="F1472" s="76">
        <v>4.8</v>
      </c>
    </row>
    <row r="1473" spans="1:6">
      <c r="A1473">
        <v>1532</v>
      </c>
      <c r="B1473">
        <v>142018260</v>
      </c>
      <c r="C1473" s="76">
        <v>2018</v>
      </c>
      <c r="D1473" s="76" t="s">
        <v>34</v>
      </c>
      <c r="E1473" s="76" t="s">
        <v>32</v>
      </c>
      <c r="F1473" s="76">
        <v>12</v>
      </c>
    </row>
    <row r="1474" spans="1:6">
      <c r="A1474">
        <v>1515</v>
      </c>
      <c r="B1474">
        <v>142018260</v>
      </c>
      <c r="C1474" s="76">
        <v>2018</v>
      </c>
      <c r="D1474" s="76" t="s">
        <v>34</v>
      </c>
      <c r="E1474" s="76">
        <v>40</v>
      </c>
      <c r="F1474" s="76">
        <v>6.2</v>
      </c>
    </row>
    <row r="1475" spans="1:6">
      <c r="A1475">
        <v>1520</v>
      </c>
      <c r="B1475">
        <v>142018260</v>
      </c>
      <c r="C1475" s="76">
        <v>2018</v>
      </c>
      <c r="D1475" s="76" t="s">
        <v>34</v>
      </c>
      <c r="E1475" s="76" t="s">
        <v>32</v>
      </c>
      <c r="F1475" s="76">
        <v>10</v>
      </c>
    </row>
    <row r="1476" spans="1:6">
      <c r="A1476">
        <v>1538</v>
      </c>
      <c r="B1476">
        <v>142018260</v>
      </c>
      <c r="C1476" s="76">
        <v>2018</v>
      </c>
      <c r="D1476" s="76" t="s">
        <v>34</v>
      </c>
      <c r="E1476" s="76" t="s">
        <v>32</v>
      </c>
      <c r="F1476" s="76">
        <v>14.95</v>
      </c>
    </row>
    <row r="1477" spans="1:6">
      <c r="A1477">
        <v>1527</v>
      </c>
      <c r="B1477">
        <v>142018260</v>
      </c>
      <c r="C1477" s="76">
        <v>2018</v>
      </c>
      <c r="D1477" s="76" t="s">
        <v>34</v>
      </c>
      <c r="E1477" s="76" t="s">
        <v>32</v>
      </c>
      <c r="F1477" s="76">
        <v>4.99</v>
      </c>
    </row>
    <row r="1478" spans="1:6">
      <c r="A1478">
        <v>1536</v>
      </c>
      <c r="B1478">
        <v>142018260</v>
      </c>
      <c r="C1478" s="76">
        <v>2018</v>
      </c>
      <c r="D1478" s="76" t="s">
        <v>34</v>
      </c>
      <c r="E1478" s="76" t="s">
        <v>32</v>
      </c>
      <c r="F1478" s="76">
        <v>1</v>
      </c>
    </row>
    <row r="1479" spans="1:6">
      <c r="A1479">
        <v>1521</v>
      </c>
      <c r="B1479">
        <v>142018260</v>
      </c>
      <c r="C1479" s="76">
        <v>2018</v>
      </c>
      <c r="D1479" s="76" t="s">
        <v>34</v>
      </c>
      <c r="E1479" s="76">
        <v>50</v>
      </c>
      <c r="F1479" s="76">
        <v>10</v>
      </c>
    </row>
    <row r="1480" spans="1:6">
      <c r="A1480">
        <v>1535</v>
      </c>
      <c r="B1480">
        <v>142018260</v>
      </c>
      <c r="C1480" s="76">
        <v>2018</v>
      </c>
      <c r="D1480" s="76" t="s">
        <v>34</v>
      </c>
      <c r="E1480" s="76" t="s">
        <v>32</v>
      </c>
      <c r="F1480" s="76">
        <v>5</v>
      </c>
    </row>
    <row r="1481" spans="1:6">
      <c r="A1481">
        <v>1531</v>
      </c>
      <c r="B1481">
        <v>142018260</v>
      </c>
      <c r="C1481" s="76">
        <v>2018</v>
      </c>
      <c r="D1481" s="76" t="s">
        <v>34</v>
      </c>
      <c r="E1481" s="76" t="s">
        <v>32</v>
      </c>
      <c r="F1481" s="76">
        <v>5</v>
      </c>
    </row>
    <row r="1482" spans="1:6">
      <c r="A1482">
        <v>1523</v>
      </c>
      <c r="B1482">
        <v>142018260</v>
      </c>
      <c r="C1482" s="76">
        <v>2018</v>
      </c>
      <c r="D1482" s="76" t="s">
        <v>34</v>
      </c>
      <c r="E1482" s="76">
        <v>1</v>
      </c>
      <c r="F1482" s="76">
        <v>0.2</v>
      </c>
    </row>
    <row r="1483" spans="1:6">
      <c r="A1483">
        <v>1517</v>
      </c>
      <c r="B1483">
        <v>142018260</v>
      </c>
      <c r="C1483" s="76">
        <v>2018</v>
      </c>
      <c r="D1483" s="76" t="s">
        <v>34</v>
      </c>
      <c r="E1483" s="76" t="s">
        <v>32</v>
      </c>
      <c r="F1483" s="76">
        <v>9.75</v>
      </c>
    </row>
    <row r="1484" spans="1:6">
      <c r="A1484">
        <v>1514</v>
      </c>
      <c r="B1484">
        <v>142018260</v>
      </c>
      <c r="C1484" s="76">
        <v>2018</v>
      </c>
      <c r="D1484" s="76" t="s">
        <v>34</v>
      </c>
      <c r="E1484" s="76">
        <v>22</v>
      </c>
      <c r="F1484" s="76">
        <v>4.99</v>
      </c>
    </row>
    <row r="1485" spans="1:6">
      <c r="A1485">
        <v>1516</v>
      </c>
      <c r="B1485">
        <v>142018260</v>
      </c>
      <c r="C1485" s="76">
        <v>2018</v>
      </c>
      <c r="D1485" s="76" t="s">
        <v>34</v>
      </c>
      <c r="E1485" s="76">
        <v>50</v>
      </c>
      <c r="F1485" s="76">
        <v>9.95</v>
      </c>
    </row>
    <row r="1486" spans="1:6">
      <c r="A1486">
        <v>1518</v>
      </c>
      <c r="B1486">
        <v>142018260</v>
      </c>
      <c r="C1486" s="76">
        <v>2018</v>
      </c>
      <c r="D1486" s="76" t="s">
        <v>34</v>
      </c>
      <c r="E1486" s="76">
        <v>21</v>
      </c>
      <c r="F1486" s="76">
        <v>4.2</v>
      </c>
    </row>
    <row r="1487" spans="1:6">
      <c r="A1487">
        <v>1539</v>
      </c>
      <c r="B1487">
        <v>142018260</v>
      </c>
      <c r="C1487" s="76">
        <v>2018</v>
      </c>
      <c r="D1487" s="76" t="s">
        <v>34</v>
      </c>
      <c r="E1487" s="76" t="s">
        <v>32</v>
      </c>
      <c r="F1487" s="76">
        <v>4.8</v>
      </c>
    </row>
    <row r="1488" spans="1:6">
      <c r="A1488">
        <v>1519</v>
      </c>
      <c r="B1488">
        <v>142018260</v>
      </c>
      <c r="C1488" s="76">
        <v>2018</v>
      </c>
      <c r="D1488" s="76" t="s">
        <v>34</v>
      </c>
      <c r="E1488" s="76">
        <v>23</v>
      </c>
      <c r="F1488" s="76">
        <v>4.75</v>
      </c>
    </row>
    <row r="1489" spans="1:6">
      <c r="A1489">
        <v>1533</v>
      </c>
      <c r="B1489">
        <v>142018260</v>
      </c>
      <c r="C1489" s="76">
        <v>2018</v>
      </c>
      <c r="D1489" s="76" t="s">
        <v>34</v>
      </c>
      <c r="E1489" s="76" t="s">
        <v>32</v>
      </c>
      <c r="F1489" s="76">
        <v>15</v>
      </c>
    </row>
    <row r="1490" spans="1:6">
      <c r="A1490">
        <v>1526</v>
      </c>
      <c r="B1490">
        <v>142018260</v>
      </c>
      <c r="C1490" s="76">
        <v>2018</v>
      </c>
      <c r="D1490" s="76" t="s">
        <v>34</v>
      </c>
      <c r="E1490" s="76" t="s">
        <v>32</v>
      </c>
      <c r="F1490" s="76">
        <v>9.95</v>
      </c>
    </row>
    <row r="1491" spans="1:6">
      <c r="A1491">
        <v>1525</v>
      </c>
      <c r="B1491">
        <v>142018260</v>
      </c>
      <c r="C1491" s="76">
        <v>2018</v>
      </c>
      <c r="D1491" s="76" t="s">
        <v>34</v>
      </c>
      <c r="E1491" s="76">
        <v>31</v>
      </c>
      <c r="F1491" s="76">
        <v>6.2</v>
      </c>
    </row>
    <row r="1492" spans="1:6">
      <c r="A1492">
        <v>1522</v>
      </c>
      <c r="B1492">
        <v>142018260</v>
      </c>
      <c r="C1492" s="76">
        <v>2018</v>
      </c>
      <c r="D1492" s="76" t="s">
        <v>34</v>
      </c>
      <c r="E1492" s="76">
        <v>33</v>
      </c>
      <c r="F1492" s="76">
        <v>4.95</v>
      </c>
    </row>
    <row r="1493" spans="1:6">
      <c r="A1493">
        <v>1524</v>
      </c>
      <c r="B1493">
        <v>142018260</v>
      </c>
      <c r="C1493" s="76">
        <v>2018</v>
      </c>
      <c r="D1493" s="76" t="s">
        <v>34</v>
      </c>
      <c r="E1493" s="76">
        <v>50</v>
      </c>
      <c r="F1493" s="76">
        <v>10</v>
      </c>
    </row>
    <row r="1494" spans="1:6">
      <c r="A1494">
        <v>1537</v>
      </c>
      <c r="B1494">
        <v>142018260</v>
      </c>
      <c r="C1494" s="76">
        <v>2018</v>
      </c>
      <c r="D1494" s="76" t="s">
        <v>34</v>
      </c>
      <c r="E1494" s="76" t="s">
        <v>32</v>
      </c>
      <c r="F1494" s="76">
        <v>10</v>
      </c>
    </row>
    <row r="1495" spans="1:6">
      <c r="A1495">
        <v>1530</v>
      </c>
      <c r="B1495">
        <v>142018260</v>
      </c>
      <c r="C1495" s="76">
        <v>2018</v>
      </c>
      <c r="D1495" s="76" t="s">
        <v>34</v>
      </c>
      <c r="E1495" s="76" t="s">
        <v>32</v>
      </c>
      <c r="F1495" s="76">
        <v>9.95</v>
      </c>
    </row>
    <row r="1496" spans="1:6">
      <c r="A1496">
        <v>1534</v>
      </c>
      <c r="B1496">
        <v>142018260</v>
      </c>
      <c r="C1496" s="76">
        <v>2018</v>
      </c>
      <c r="D1496" s="76" t="s">
        <v>34</v>
      </c>
      <c r="E1496" s="76" t="s">
        <v>32</v>
      </c>
      <c r="F1496" s="76">
        <v>7.48</v>
      </c>
    </row>
    <row r="1497" spans="1:6">
      <c r="A1497">
        <v>1548</v>
      </c>
      <c r="B1497">
        <v>142018270</v>
      </c>
      <c r="C1497" s="76">
        <v>2018</v>
      </c>
      <c r="D1497" s="76" t="s">
        <v>31</v>
      </c>
      <c r="E1497" s="76" t="s">
        <v>32</v>
      </c>
      <c r="F1497" s="76">
        <v>2</v>
      </c>
    </row>
    <row r="1498" spans="1:6">
      <c r="A1498">
        <v>1575</v>
      </c>
      <c r="B1498">
        <v>142018270</v>
      </c>
      <c r="C1498" s="76">
        <v>2018</v>
      </c>
      <c r="D1498" s="76" t="s">
        <v>31</v>
      </c>
      <c r="E1498" s="76" t="s">
        <v>32</v>
      </c>
      <c r="F1498" s="76">
        <v>3</v>
      </c>
    </row>
    <row r="1499" spans="1:6">
      <c r="A1499">
        <v>1540</v>
      </c>
      <c r="B1499">
        <v>142018270</v>
      </c>
      <c r="C1499" s="76">
        <v>2018</v>
      </c>
      <c r="D1499" s="76" t="s">
        <v>31</v>
      </c>
      <c r="E1499" s="76" t="s">
        <v>32</v>
      </c>
      <c r="F1499" s="76">
        <v>4.3</v>
      </c>
    </row>
    <row r="1500" spans="1:6">
      <c r="A1500">
        <v>1544</v>
      </c>
      <c r="B1500">
        <v>142018270</v>
      </c>
      <c r="C1500" s="76">
        <v>2018</v>
      </c>
      <c r="D1500" s="76" t="s">
        <v>31</v>
      </c>
      <c r="E1500" s="76" t="s">
        <v>32</v>
      </c>
      <c r="F1500" s="76">
        <v>2.14</v>
      </c>
    </row>
    <row r="1501" spans="1:6">
      <c r="A1501">
        <v>1550</v>
      </c>
      <c r="B1501">
        <v>142018270</v>
      </c>
      <c r="C1501" s="76">
        <v>2018</v>
      </c>
      <c r="D1501" s="76" t="s">
        <v>31</v>
      </c>
      <c r="E1501" s="76" t="s">
        <v>32</v>
      </c>
      <c r="F1501" s="76">
        <v>3</v>
      </c>
    </row>
    <row r="1502" spans="1:6">
      <c r="A1502">
        <v>1549</v>
      </c>
      <c r="B1502">
        <v>142018270</v>
      </c>
      <c r="C1502" s="76">
        <v>2018</v>
      </c>
      <c r="D1502" s="76" t="s">
        <v>31</v>
      </c>
      <c r="E1502" s="76" t="s">
        <v>32</v>
      </c>
      <c r="F1502" s="76">
        <v>3</v>
      </c>
    </row>
    <row r="1503" spans="1:6">
      <c r="A1503">
        <v>1576</v>
      </c>
      <c r="B1503">
        <v>142018270</v>
      </c>
      <c r="C1503" s="76">
        <v>2018</v>
      </c>
      <c r="D1503" s="76" t="s">
        <v>31</v>
      </c>
      <c r="E1503" s="76" t="s">
        <v>32</v>
      </c>
      <c r="F1503" s="76">
        <v>10</v>
      </c>
    </row>
    <row r="1504" spans="1:6">
      <c r="A1504">
        <v>1559</v>
      </c>
      <c r="B1504">
        <v>142018270</v>
      </c>
      <c r="C1504" s="76">
        <v>2018</v>
      </c>
      <c r="D1504" s="76" t="s">
        <v>31</v>
      </c>
      <c r="E1504" s="76" t="s">
        <v>32</v>
      </c>
      <c r="F1504" s="76">
        <v>3</v>
      </c>
    </row>
    <row r="1505" spans="1:6">
      <c r="A1505">
        <v>1564</v>
      </c>
      <c r="B1505">
        <v>142018270</v>
      </c>
      <c r="C1505" s="76">
        <v>2018</v>
      </c>
      <c r="D1505" s="76" t="s">
        <v>31</v>
      </c>
      <c r="E1505" s="76" t="s">
        <v>32</v>
      </c>
      <c r="F1505" s="76">
        <v>3</v>
      </c>
    </row>
    <row r="1506" spans="1:6">
      <c r="A1506">
        <v>1577</v>
      </c>
      <c r="B1506">
        <v>142018270</v>
      </c>
      <c r="C1506" s="76">
        <v>2018</v>
      </c>
      <c r="D1506" s="76" t="s">
        <v>31</v>
      </c>
      <c r="E1506" s="76" t="s">
        <v>32</v>
      </c>
      <c r="F1506" s="76">
        <v>10</v>
      </c>
    </row>
    <row r="1507" spans="1:6">
      <c r="A1507">
        <v>1567</v>
      </c>
      <c r="B1507">
        <v>142018270</v>
      </c>
      <c r="C1507" s="76">
        <v>2018</v>
      </c>
      <c r="D1507" s="76" t="s">
        <v>31</v>
      </c>
      <c r="E1507" s="76" t="s">
        <v>32</v>
      </c>
      <c r="F1507" s="76">
        <v>3</v>
      </c>
    </row>
    <row r="1508" spans="1:6">
      <c r="A1508">
        <v>1571</v>
      </c>
      <c r="B1508">
        <v>142018270</v>
      </c>
      <c r="C1508" s="76">
        <v>2018</v>
      </c>
      <c r="D1508" s="76" t="s">
        <v>31</v>
      </c>
      <c r="E1508" s="76" t="s">
        <v>32</v>
      </c>
      <c r="F1508" s="76">
        <v>3</v>
      </c>
    </row>
    <row r="1509" spans="1:6">
      <c r="A1509">
        <v>1558</v>
      </c>
      <c r="B1509">
        <v>142018270</v>
      </c>
      <c r="C1509" s="76">
        <v>2018</v>
      </c>
      <c r="D1509" s="76" t="s">
        <v>31</v>
      </c>
      <c r="E1509" s="76" t="s">
        <v>32</v>
      </c>
      <c r="F1509" s="76">
        <v>3</v>
      </c>
    </row>
    <row r="1510" spans="1:6">
      <c r="A1510">
        <v>1542</v>
      </c>
      <c r="B1510">
        <v>142018270</v>
      </c>
      <c r="C1510" s="76">
        <v>2018</v>
      </c>
      <c r="D1510" s="76" t="s">
        <v>31</v>
      </c>
      <c r="E1510" s="76" t="s">
        <v>32</v>
      </c>
      <c r="F1510" s="76">
        <v>3.5</v>
      </c>
    </row>
    <row r="1511" spans="1:6">
      <c r="A1511">
        <v>1578</v>
      </c>
      <c r="B1511">
        <v>142018270</v>
      </c>
      <c r="C1511" s="76">
        <v>2018</v>
      </c>
      <c r="D1511" s="76" t="s">
        <v>31</v>
      </c>
      <c r="E1511" s="76" t="s">
        <v>32</v>
      </c>
      <c r="F1511" s="76">
        <v>3</v>
      </c>
    </row>
    <row r="1512" spans="1:6">
      <c r="A1512">
        <v>1579</v>
      </c>
      <c r="B1512">
        <v>142018270</v>
      </c>
      <c r="C1512" s="76">
        <v>2018</v>
      </c>
      <c r="D1512" s="76" t="s">
        <v>31</v>
      </c>
      <c r="E1512" s="76" t="s">
        <v>32</v>
      </c>
      <c r="F1512" s="76">
        <v>1.5</v>
      </c>
    </row>
    <row r="1513" spans="1:6">
      <c r="A1513">
        <v>1572</v>
      </c>
      <c r="B1513">
        <v>142018270</v>
      </c>
      <c r="C1513" s="76">
        <v>2018</v>
      </c>
      <c r="D1513" s="76" t="s">
        <v>31</v>
      </c>
      <c r="E1513" s="76" t="s">
        <v>32</v>
      </c>
      <c r="F1513" s="76">
        <v>3</v>
      </c>
    </row>
    <row r="1514" spans="1:6">
      <c r="A1514">
        <v>1546</v>
      </c>
      <c r="B1514">
        <v>142018270</v>
      </c>
      <c r="C1514" s="76">
        <v>2018</v>
      </c>
      <c r="D1514" s="76" t="s">
        <v>31</v>
      </c>
      <c r="E1514" s="76" t="s">
        <v>32</v>
      </c>
      <c r="F1514" s="76">
        <v>0.8</v>
      </c>
    </row>
    <row r="1515" spans="1:6">
      <c r="A1515">
        <v>1565</v>
      </c>
      <c r="B1515">
        <v>142018270</v>
      </c>
      <c r="C1515" s="76">
        <v>2018</v>
      </c>
      <c r="D1515" s="76" t="s">
        <v>31</v>
      </c>
      <c r="E1515" s="76" t="s">
        <v>32</v>
      </c>
      <c r="F1515" s="76">
        <v>2</v>
      </c>
    </row>
    <row r="1516" spans="1:6">
      <c r="A1516">
        <v>1553</v>
      </c>
      <c r="B1516">
        <v>142018270</v>
      </c>
      <c r="C1516" s="76">
        <v>2018</v>
      </c>
      <c r="D1516" s="76" t="s">
        <v>31</v>
      </c>
      <c r="E1516" s="76" t="s">
        <v>32</v>
      </c>
      <c r="F1516" s="76">
        <v>2</v>
      </c>
    </row>
    <row r="1517" spans="1:6">
      <c r="A1517">
        <v>1566</v>
      </c>
      <c r="B1517">
        <v>142018270</v>
      </c>
      <c r="C1517" s="76">
        <v>2018</v>
      </c>
      <c r="D1517" s="76" t="s">
        <v>31</v>
      </c>
      <c r="E1517" s="76" t="s">
        <v>32</v>
      </c>
      <c r="F1517" s="76">
        <v>3</v>
      </c>
    </row>
    <row r="1518" spans="1:6">
      <c r="A1518">
        <v>1563</v>
      </c>
      <c r="B1518">
        <v>142018270</v>
      </c>
      <c r="C1518" s="76">
        <v>2018</v>
      </c>
      <c r="D1518" s="76" t="s">
        <v>31</v>
      </c>
      <c r="E1518" s="76" t="s">
        <v>32</v>
      </c>
      <c r="F1518" s="76">
        <v>5.2</v>
      </c>
    </row>
    <row r="1519" spans="1:6">
      <c r="A1519">
        <v>1562</v>
      </c>
      <c r="B1519">
        <v>142018270</v>
      </c>
      <c r="C1519" s="76">
        <v>2018</v>
      </c>
      <c r="D1519" s="76" t="s">
        <v>31</v>
      </c>
      <c r="E1519" s="76" t="s">
        <v>32</v>
      </c>
      <c r="F1519" s="76">
        <v>3</v>
      </c>
    </row>
    <row r="1520" spans="1:6">
      <c r="A1520">
        <v>1569</v>
      </c>
      <c r="B1520">
        <v>142018270</v>
      </c>
      <c r="C1520" s="76">
        <v>2018</v>
      </c>
      <c r="D1520" s="76" t="s">
        <v>31</v>
      </c>
      <c r="E1520" s="76" t="s">
        <v>32</v>
      </c>
      <c r="F1520" s="76">
        <v>3</v>
      </c>
    </row>
    <row r="1521" spans="1:6">
      <c r="A1521">
        <v>1554</v>
      </c>
      <c r="B1521">
        <v>142018270</v>
      </c>
      <c r="C1521" s="76">
        <v>2018</v>
      </c>
      <c r="D1521" s="76" t="s">
        <v>31</v>
      </c>
      <c r="E1521" s="76" t="s">
        <v>32</v>
      </c>
      <c r="F1521" s="76">
        <v>3</v>
      </c>
    </row>
    <row r="1522" spans="1:6">
      <c r="A1522">
        <v>1555</v>
      </c>
      <c r="B1522">
        <v>142018270</v>
      </c>
      <c r="C1522" s="76">
        <v>2018</v>
      </c>
      <c r="D1522" s="76" t="s">
        <v>31</v>
      </c>
      <c r="E1522" s="76" t="s">
        <v>32</v>
      </c>
      <c r="F1522" s="76">
        <v>3</v>
      </c>
    </row>
    <row r="1523" spans="1:6">
      <c r="A1523">
        <v>1570</v>
      </c>
      <c r="B1523">
        <v>142018270</v>
      </c>
      <c r="C1523" s="76">
        <v>2018</v>
      </c>
      <c r="D1523" s="76" t="s">
        <v>31</v>
      </c>
      <c r="E1523" s="76" t="s">
        <v>32</v>
      </c>
      <c r="F1523" s="76">
        <v>3</v>
      </c>
    </row>
    <row r="1524" spans="1:6">
      <c r="A1524">
        <v>1568</v>
      </c>
      <c r="B1524">
        <v>142018270</v>
      </c>
      <c r="C1524" s="76">
        <v>2018</v>
      </c>
      <c r="D1524" s="76" t="s">
        <v>31</v>
      </c>
      <c r="E1524" s="76" t="s">
        <v>32</v>
      </c>
      <c r="F1524" s="76">
        <v>3</v>
      </c>
    </row>
    <row r="1525" spans="1:6">
      <c r="A1525">
        <v>1556</v>
      </c>
      <c r="B1525">
        <v>142018270</v>
      </c>
      <c r="C1525" s="76">
        <v>2018</v>
      </c>
      <c r="D1525" s="76" t="s">
        <v>31</v>
      </c>
      <c r="E1525" s="76" t="s">
        <v>32</v>
      </c>
      <c r="F1525" s="76">
        <v>3</v>
      </c>
    </row>
    <row r="1526" spans="1:6">
      <c r="A1526">
        <v>1574</v>
      </c>
      <c r="B1526">
        <v>142018270</v>
      </c>
      <c r="C1526" s="76">
        <v>2018</v>
      </c>
      <c r="D1526" s="76" t="s">
        <v>31</v>
      </c>
      <c r="E1526" s="76" t="s">
        <v>32</v>
      </c>
      <c r="F1526" s="76">
        <v>3</v>
      </c>
    </row>
    <row r="1527" spans="1:6">
      <c r="A1527">
        <v>1541</v>
      </c>
      <c r="B1527">
        <v>142018270</v>
      </c>
      <c r="C1527" s="76">
        <v>2018</v>
      </c>
      <c r="D1527" s="76" t="s">
        <v>31</v>
      </c>
      <c r="E1527" s="76" t="s">
        <v>32</v>
      </c>
      <c r="F1527" s="76">
        <v>3</v>
      </c>
    </row>
    <row r="1528" spans="1:6">
      <c r="A1528">
        <v>1560</v>
      </c>
      <c r="B1528">
        <v>142018270</v>
      </c>
      <c r="C1528" s="76">
        <v>2018</v>
      </c>
      <c r="D1528" s="76" t="s">
        <v>31</v>
      </c>
      <c r="E1528" s="76" t="s">
        <v>32</v>
      </c>
      <c r="F1528" s="76">
        <v>5</v>
      </c>
    </row>
    <row r="1529" spans="1:6">
      <c r="A1529">
        <v>1543</v>
      </c>
      <c r="B1529">
        <v>142018270</v>
      </c>
      <c r="C1529" s="76">
        <v>2018</v>
      </c>
      <c r="D1529" s="76" t="s">
        <v>31</v>
      </c>
      <c r="E1529" s="76" t="s">
        <v>32</v>
      </c>
      <c r="F1529" s="76">
        <v>10</v>
      </c>
    </row>
    <row r="1530" spans="1:6">
      <c r="A1530">
        <v>1545</v>
      </c>
      <c r="B1530">
        <v>142018270</v>
      </c>
      <c r="C1530" s="76">
        <v>2018</v>
      </c>
      <c r="D1530" s="76" t="s">
        <v>31</v>
      </c>
      <c r="E1530" s="76" t="s">
        <v>32</v>
      </c>
      <c r="F1530" s="76">
        <v>1.05</v>
      </c>
    </row>
    <row r="1531" spans="1:6">
      <c r="A1531">
        <v>1573</v>
      </c>
      <c r="B1531">
        <v>142018270</v>
      </c>
      <c r="C1531" s="76">
        <v>2018</v>
      </c>
      <c r="D1531" s="76" t="s">
        <v>31</v>
      </c>
      <c r="E1531" s="76" t="s">
        <v>32</v>
      </c>
      <c r="F1531" s="76">
        <v>2</v>
      </c>
    </row>
    <row r="1532" spans="1:6">
      <c r="A1532">
        <v>1551</v>
      </c>
      <c r="B1532">
        <v>142018270</v>
      </c>
      <c r="C1532" s="76">
        <v>2018</v>
      </c>
      <c r="D1532" s="76" t="s">
        <v>31</v>
      </c>
      <c r="E1532" s="76" t="s">
        <v>32</v>
      </c>
      <c r="F1532" s="76">
        <v>3</v>
      </c>
    </row>
    <row r="1533" spans="1:6">
      <c r="A1533">
        <v>1552</v>
      </c>
      <c r="B1533">
        <v>142018270</v>
      </c>
      <c r="C1533" s="76">
        <v>2018</v>
      </c>
      <c r="D1533" s="76" t="s">
        <v>31</v>
      </c>
      <c r="E1533" s="76" t="s">
        <v>32</v>
      </c>
      <c r="F1533" s="76">
        <v>3</v>
      </c>
    </row>
    <row r="1534" spans="1:6">
      <c r="A1534">
        <v>1561</v>
      </c>
      <c r="B1534">
        <v>142018270</v>
      </c>
      <c r="C1534" s="76">
        <v>2018</v>
      </c>
      <c r="D1534" s="76" t="s">
        <v>31</v>
      </c>
      <c r="E1534" s="76" t="s">
        <v>32</v>
      </c>
      <c r="F1534" s="76">
        <v>5</v>
      </c>
    </row>
    <row r="1535" spans="1:6">
      <c r="A1535">
        <v>1557</v>
      </c>
      <c r="B1535">
        <v>142018270</v>
      </c>
      <c r="C1535" s="76">
        <v>2018</v>
      </c>
      <c r="D1535" s="76" t="s">
        <v>31</v>
      </c>
      <c r="E1535" s="76" t="s">
        <v>32</v>
      </c>
      <c r="F1535" s="76">
        <v>3</v>
      </c>
    </row>
    <row r="1536" spans="1:6">
      <c r="A1536">
        <v>1581</v>
      </c>
      <c r="B1536">
        <v>142019212</v>
      </c>
      <c r="C1536" s="76">
        <v>2019</v>
      </c>
      <c r="D1536" s="76" t="s">
        <v>39</v>
      </c>
      <c r="E1536" s="76">
        <v>2</v>
      </c>
      <c r="F1536" s="76">
        <v>70</v>
      </c>
    </row>
    <row r="1537" spans="1:6">
      <c r="A1537">
        <v>1600</v>
      </c>
      <c r="B1537">
        <v>142019260</v>
      </c>
      <c r="C1537" s="76">
        <v>2019</v>
      </c>
      <c r="D1537" s="76" t="s">
        <v>34</v>
      </c>
      <c r="E1537" s="76">
        <v>5</v>
      </c>
      <c r="F1537" s="76">
        <v>1</v>
      </c>
    </row>
    <row r="1538" spans="1:6">
      <c r="A1538">
        <v>1598</v>
      </c>
      <c r="B1538">
        <v>142019260</v>
      </c>
      <c r="C1538" s="76">
        <v>2019</v>
      </c>
      <c r="D1538" s="76" t="s">
        <v>34</v>
      </c>
      <c r="E1538" s="76" t="s">
        <v>32</v>
      </c>
      <c r="F1538" s="76">
        <v>1.13</v>
      </c>
    </row>
    <row r="1539" spans="1:6">
      <c r="A1539">
        <v>1601</v>
      </c>
      <c r="B1539">
        <v>142019260</v>
      </c>
      <c r="C1539" s="76">
        <v>2019</v>
      </c>
      <c r="D1539" s="76" t="s">
        <v>34</v>
      </c>
      <c r="E1539" s="76">
        <v>67</v>
      </c>
      <c r="F1539" s="76">
        <v>10.05</v>
      </c>
    </row>
    <row r="1540" spans="1:6">
      <c r="A1540">
        <v>1605</v>
      </c>
      <c r="B1540">
        <v>142019260</v>
      </c>
      <c r="C1540" s="76">
        <v>2019</v>
      </c>
      <c r="D1540" s="76" t="s">
        <v>34</v>
      </c>
      <c r="E1540" s="76" t="s">
        <v>32</v>
      </c>
      <c r="F1540" s="76">
        <v>5</v>
      </c>
    </row>
    <row r="1541" spans="1:6">
      <c r="A1541">
        <v>1583</v>
      </c>
      <c r="B1541">
        <v>142019260</v>
      </c>
      <c r="C1541" s="76">
        <v>2019</v>
      </c>
      <c r="D1541" s="76" t="s">
        <v>34</v>
      </c>
      <c r="E1541" s="76">
        <v>1</v>
      </c>
      <c r="F1541" s="76">
        <v>2.2</v>
      </c>
    </row>
    <row r="1542" spans="1:6">
      <c r="A1542">
        <v>1608</v>
      </c>
      <c r="B1542">
        <v>142019260</v>
      </c>
      <c r="C1542" s="76">
        <v>2019</v>
      </c>
      <c r="D1542" s="76" t="s">
        <v>34</v>
      </c>
      <c r="E1542" s="76" t="s">
        <v>32</v>
      </c>
      <c r="F1542" s="76">
        <v>3.13</v>
      </c>
    </row>
    <row r="1543" spans="1:6">
      <c r="A1543">
        <v>1602</v>
      </c>
      <c r="B1543">
        <v>142019260</v>
      </c>
      <c r="C1543" s="76">
        <v>2019</v>
      </c>
      <c r="D1543" s="76" t="s">
        <v>34</v>
      </c>
      <c r="E1543" s="76" t="s">
        <v>32</v>
      </c>
      <c r="F1543" s="76">
        <v>5</v>
      </c>
    </row>
    <row r="1544" spans="1:6">
      <c r="A1544">
        <v>1603</v>
      </c>
      <c r="B1544">
        <v>142019260</v>
      </c>
      <c r="C1544" s="76">
        <v>2019</v>
      </c>
      <c r="D1544" s="76" t="s">
        <v>34</v>
      </c>
      <c r="E1544" s="76" t="s">
        <v>32</v>
      </c>
      <c r="F1544" s="76">
        <v>9.9</v>
      </c>
    </row>
    <row r="1545" spans="1:6">
      <c r="A1545">
        <v>1599</v>
      </c>
      <c r="B1545">
        <v>142019260</v>
      </c>
      <c r="C1545" s="76">
        <v>2019</v>
      </c>
      <c r="D1545" s="76" t="s">
        <v>34</v>
      </c>
      <c r="E1545" s="76" t="s">
        <v>32</v>
      </c>
      <c r="F1545" s="76">
        <v>8</v>
      </c>
    </row>
    <row r="1546" spans="1:6">
      <c r="A1546">
        <v>1591</v>
      </c>
      <c r="B1546">
        <v>142019260</v>
      </c>
      <c r="C1546" s="76">
        <v>2019</v>
      </c>
      <c r="D1546" s="76" t="s">
        <v>34</v>
      </c>
      <c r="E1546" s="76">
        <v>25</v>
      </c>
      <c r="F1546" s="76">
        <v>5</v>
      </c>
    </row>
    <row r="1547" spans="1:6">
      <c r="A1547">
        <v>1607</v>
      </c>
      <c r="B1547">
        <v>142019260</v>
      </c>
      <c r="C1547" s="76">
        <v>2019</v>
      </c>
      <c r="D1547" s="76" t="s">
        <v>34</v>
      </c>
      <c r="E1547" s="76" t="s">
        <v>32</v>
      </c>
      <c r="F1547" s="76">
        <v>4.99</v>
      </c>
    </row>
    <row r="1548" spans="1:6">
      <c r="A1548">
        <v>1597</v>
      </c>
      <c r="B1548">
        <v>142019260</v>
      </c>
      <c r="C1548" s="76">
        <v>2019</v>
      </c>
      <c r="D1548" s="76" t="s">
        <v>34</v>
      </c>
      <c r="E1548" s="76" t="s">
        <v>32</v>
      </c>
      <c r="F1548" s="76">
        <v>14.94</v>
      </c>
    </row>
    <row r="1549" spans="1:6">
      <c r="A1549">
        <v>1596</v>
      </c>
      <c r="B1549">
        <v>142019260</v>
      </c>
      <c r="C1549" s="76">
        <v>2019</v>
      </c>
      <c r="D1549" s="76" t="s">
        <v>34</v>
      </c>
      <c r="E1549" s="76" t="s">
        <v>32</v>
      </c>
      <c r="F1549" s="76">
        <v>17.62</v>
      </c>
    </row>
    <row r="1550" spans="1:6">
      <c r="A1550">
        <v>1606</v>
      </c>
      <c r="B1550">
        <v>142019260</v>
      </c>
      <c r="C1550" s="76">
        <v>2019</v>
      </c>
      <c r="D1550" s="76" t="s">
        <v>34</v>
      </c>
      <c r="E1550" s="76" t="s">
        <v>32</v>
      </c>
      <c r="F1550" s="76">
        <v>7</v>
      </c>
    </row>
    <row r="1551" spans="1:6">
      <c r="A1551">
        <v>1604</v>
      </c>
      <c r="B1551">
        <v>142019260</v>
      </c>
      <c r="C1551" s="76">
        <v>2019</v>
      </c>
      <c r="D1551" s="76" t="s">
        <v>34</v>
      </c>
      <c r="E1551" s="76" t="s">
        <v>32</v>
      </c>
      <c r="F1551" s="76">
        <v>4.8</v>
      </c>
    </row>
    <row r="1552" spans="1:6">
      <c r="A1552">
        <v>1595</v>
      </c>
      <c r="B1552">
        <v>142019260</v>
      </c>
      <c r="C1552" s="76">
        <v>2019</v>
      </c>
      <c r="D1552" s="76" t="s">
        <v>34</v>
      </c>
      <c r="E1552" s="76" t="s">
        <v>32</v>
      </c>
      <c r="F1552" s="76">
        <v>4.95</v>
      </c>
    </row>
    <row r="1553" spans="1:6">
      <c r="A1553">
        <v>1588</v>
      </c>
      <c r="B1553">
        <v>142019260</v>
      </c>
      <c r="C1553" s="76">
        <v>2019</v>
      </c>
      <c r="D1553" s="76" t="s">
        <v>34</v>
      </c>
      <c r="E1553" s="76">
        <v>50</v>
      </c>
      <c r="F1553" s="76">
        <v>10</v>
      </c>
    </row>
    <row r="1554" spans="1:6">
      <c r="A1554">
        <v>1585</v>
      </c>
      <c r="B1554">
        <v>142019260</v>
      </c>
      <c r="C1554" s="76">
        <v>2019</v>
      </c>
      <c r="D1554" s="76" t="s">
        <v>34</v>
      </c>
      <c r="E1554" s="76">
        <v>17</v>
      </c>
      <c r="F1554" s="76">
        <v>3.4</v>
      </c>
    </row>
    <row r="1555" spans="1:6">
      <c r="A1555">
        <v>1592</v>
      </c>
      <c r="B1555">
        <v>142019260</v>
      </c>
      <c r="C1555" s="76">
        <v>2019</v>
      </c>
      <c r="D1555" s="76" t="s">
        <v>34</v>
      </c>
      <c r="E1555" s="76">
        <v>22</v>
      </c>
      <c r="F1555" s="76">
        <v>4.35</v>
      </c>
    </row>
    <row r="1556" spans="1:6">
      <c r="A1556">
        <v>1589</v>
      </c>
      <c r="B1556">
        <v>142019260</v>
      </c>
      <c r="C1556" s="76">
        <v>2019</v>
      </c>
      <c r="D1556" s="76" t="s">
        <v>34</v>
      </c>
      <c r="E1556" s="76">
        <v>30</v>
      </c>
      <c r="F1556" s="76">
        <v>6</v>
      </c>
    </row>
    <row r="1557" spans="1:6">
      <c r="A1557">
        <v>1590</v>
      </c>
      <c r="B1557">
        <v>142019260</v>
      </c>
      <c r="C1557" s="76">
        <v>2019</v>
      </c>
      <c r="D1557" s="76" t="s">
        <v>34</v>
      </c>
      <c r="E1557" s="76">
        <v>25</v>
      </c>
      <c r="F1557" s="76">
        <v>4.95</v>
      </c>
    </row>
    <row r="1558" spans="1:6">
      <c r="A1558">
        <v>1584</v>
      </c>
      <c r="B1558">
        <v>142019260</v>
      </c>
      <c r="C1558" s="76">
        <v>2019</v>
      </c>
      <c r="D1558" s="76" t="s">
        <v>34</v>
      </c>
      <c r="E1558" s="76">
        <v>25</v>
      </c>
      <c r="F1558" s="76">
        <v>5</v>
      </c>
    </row>
    <row r="1559" spans="1:6">
      <c r="A1559">
        <v>1586</v>
      </c>
      <c r="B1559">
        <v>142019260</v>
      </c>
      <c r="C1559" s="76">
        <v>2019</v>
      </c>
      <c r="D1559" s="76" t="s">
        <v>34</v>
      </c>
      <c r="E1559" s="76">
        <v>36</v>
      </c>
      <c r="F1559" s="76">
        <v>9</v>
      </c>
    </row>
    <row r="1560" spans="1:6">
      <c r="A1560">
        <v>1587</v>
      </c>
      <c r="B1560">
        <v>142019260</v>
      </c>
      <c r="C1560" s="76">
        <v>2019</v>
      </c>
      <c r="D1560" s="76" t="s">
        <v>34</v>
      </c>
      <c r="E1560" s="76">
        <v>45</v>
      </c>
      <c r="F1560" s="76">
        <v>9.8</v>
      </c>
    </row>
    <row r="1561" spans="1:6">
      <c r="A1561">
        <v>1594</v>
      </c>
      <c r="B1561">
        <v>142019260</v>
      </c>
      <c r="C1561" s="76">
        <v>2019</v>
      </c>
      <c r="D1561" s="76" t="s">
        <v>34</v>
      </c>
      <c r="E1561" s="76" t="s">
        <v>32</v>
      </c>
      <c r="F1561" s="76">
        <v>2.4</v>
      </c>
    </row>
    <row r="1562" spans="1:6">
      <c r="A1562">
        <v>1610</v>
      </c>
      <c r="B1562">
        <v>142019260</v>
      </c>
      <c r="C1562" s="76">
        <v>2019</v>
      </c>
      <c r="D1562" s="76" t="s">
        <v>34</v>
      </c>
      <c r="E1562" s="76" t="s">
        <v>32</v>
      </c>
      <c r="F1562" s="76">
        <v>10</v>
      </c>
    </row>
    <row r="1563" spans="1:6">
      <c r="A1563">
        <v>1612</v>
      </c>
      <c r="B1563">
        <v>142019260</v>
      </c>
      <c r="C1563" s="76">
        <v>2019</v>
      </c>
      <c r="D1563" s="76" t="s">
        <v>34</v>
      </c>
      <c r="E1563" s="76" t="s">
        <v>32</v>
      </c>
      <c r="F1563" s="76">
        <v>10</v>
      </c>
    </row>
    <row r="1564" spans="1:6">
      <c r="A1564">
        <v>1611</v>
      </c>
      <c r="B1564">
        <v>142019260</v>
      </c>
      <c r="C1564" s="76">
        <v>2019</v>
      </c>
      <c r="D1564" s="76" t="s">
        <v>34</v>
      </c>
      <c r="E1564" s="76" t="s">
        <v>32</v>
      </c>
      <c r="F1564" s="76">
        <v>9.95</v>
      </c>
    </row>
    <row r="1565" spans="1:6">
      <c r="A1565">
        <v>1593</v>
      </c>
      <c r="B1565">
        <v>142019260</v>
      </c>
      <c r="C1565" s="76">
        <v>2019</v>
      </c>
      <c r="D1565" s="76" t="s">
        <v>34</v>
      </c>
      <c r="E1565" s="76">
        <v>45</v>
      </c>
      <c r="F1565" s="76">
        <v>9.9</v>
      </c>
    </row>
    <row r="1566" spans="1:6">
      <c r="A1566">
        <v>1609</v>
      </c>
      <c r="B1566">
        <v>142019260</v>
      </c>
      <c r="C1566" s="76">
        <v>2019</v>
      </c>
      <c r="D1566" s="76" t="s">
        <v>34</v>
      </c>
      <c r="E1566" s="76" t="s">
        <v>32</v>
      </c>
      <c r="F1566" s="76">
        <v>4.9</v>
      </c>
    </row>
    <row r="1567" spans="1:6">
      <c r="A1567">
        <v>1613</v>
      </c>
      <c r="B1567">
        <v>142019260</v>
      </c>
      <c r="C1567" s="76">
        <v>2019</v>
      </c>
      <c r="D1567" s="76" t="s">
        <v>34</v>
      </c>
      <c r="E1567" s="76" t="s">
        <v>32</v>
      </c>
      <c r="F1567" s="76">
        <v>9.8</v>
      </c>
    </row>
    <row r="1568" spans="1:6">
      <c r="A1568">
        <v>1619</v>
      </c>
      <c r="B1568">
        <v>142019270</v>
      </c>
      <c r="C1568" s="76">
        <v>2019</v>
      </c>
      <c r="D1568" s="76" t="s">
        <v>31</v>
      </c>
      <c r="E1568" s="76" t="s">
        <v>32</v>
      </c>
      <c r="F1568" s="76">
        <v>1</v>
      </c>
    </row>
    <row r="1569" spans="1:6">
      <c r="A1569">
        <v>1621</v>
      </c>
      <c r="B1569">
        <v>142019270</v>
      </c>
      <c r="C1569" s="76">
        <v>2019</v>
      </c>
      <c r="D1569" s="76" t="s">
        <v>31</v>
      </c>
      <c r="E1569" s="76" t="s">
        <v>32</v>
      </c>
      <c r="F1569" s="76">
        <v>10</v>
      </c>
    </row>
    <row r="1570" spans="1:6">
      <c r="A1570">
        <v>1620</v>
      </c>
      <c r="B1570">
        <v>142019270</v>
      </c>
      <c r="C1570" s="76">
        <v>2019</v>
      </c>
      <c r="D1570" s="76" t="s">
        <v>31</v>
      </c>
      <c r="E1570" s="76" t="s">
        <v>32</v>
      </c>
      <c r="F1570" s="76">
        <v>10</v>
      </c>
    </row>
    <row r="1571" spans="1:6">
      <c r="A1571">
        <v>1617</v>
      </c>
      <c r="B1571">
        <v>142019270</v>
      </c>
      <c r="C1571" s="76">
        <v>2019</v>
      </c>
      <c r="D1571" s="76" t="s">
        <v>31</v>
      </c>
      <c r="E1571" s="76" t="s">
        <v>32</v>
      </c>
      <c r="F1571" s="76">
        <v>10</v>
      </c>
    </row>
    <row r="1572" spans="1:6">
      <c r="A1572">
        <v>1616</v>
      </c>
      <c r="B1572">
        <v>142019270</v>
      </c>
      <c r="C1572" s="76">
        <v>2019</v>
      </c>
      <c r="D1572" s="76" t="s">
        <v>31</v>
      </c>
      <c r="E1572" s="76" t="s">
        <v>32</v>
      </c>
      <c r="F1572" s="76">
        <v>15</v>
      </c>
    </row>
    <row r="1573" spans="1:6">
      <c r="A1573">
        <v>1618</v>
      </c>
      <c r="B1573">
        <v>142019270</v>
      </c>
      <c r="C1573" s="76">
        <v>2019</v>
      </c>
      <c r="D1573" s="76" t="s">
        <v>31</v>
      </c>
      <c r="E1573" s="76" t="s">
        <v>32</v>
      </c>
      <c r="F1573" s="76">
        <v>3</v>
      </c>
    </row>
    <row r="1574" spans="1:6">
      <c r="A1574">
        <v>1614</v>
      </c>
      <c r="B1574">
        <v>142019270</v>
      </c>
      <c r="C1574" s="76">
        <v>2019</v>
      </c>
      <c r="D1574" s="76" t="s">
        <v>31</v>
      </c>
      <c r="E1574" s="76" t="s">
        <v>32</v>
      </c>
      <c r="F1574" s="76">
        <v>25</v>
      </c>
    </row>
    <row r="1575" spans="1:6">
      <c r="A1575">
        <v>1624</v>
      </c>
      <c r="B1575">
        <v>142020211</v>
      </c>
      <c r="C1575" s="76">
        <v>2020</v>
      </c>
      <c r="D1575" s="76" t="s">
        <v>37</v>
      </c>
      <c r="E1575" s="76" t="s">
        <v>32</v>
      </c>
      <c r="F1575" s="76">
        <v>2.8</v>
      </c>
    </row>
    <row r="1576" spans="1:6">
      <c r="A1576">
        <v>1625</v>
      </c>
      <c r="B1576">
        <v>142020211</v>
      </c>
      <c r="C1576" s="76">
        <v>2020</v>
      </c>
      <c r="D1576" s="76" t="s">
        <v>37</v>
      </c>
      <c r="E1576" s="76" t="s">
        <v>32</v>
      </c>
      <c r="F1576" s="76">
        <v>35</v>
      </c>
    </row>
    <row r="1577" spans="1:6">
      <c r="A1577">
        <v>1623</v>
      </c>
      <c r="B1577">
        <v>142020211</v>
      </c>
      <c r="C1577" s="76">
        <v>2020</v>
      </c>
      <c r="D1577" s="76" t="s">
        <v>37</v>
      </c>
      <c r="E1577" s="76">
        <v>1</v>
      </c>
      <c r="F1577" s="76">
        <v>66</v>
      </c>
    </row>
    <row r="1578" spans="1:6">
      <c r="A1578">
        <v>1627</v>
      </c>
      <c r="B1578">
        <v>142020212</v>
      </c>
      <c r="C1578" s="76">
        <v>2020</v>
      </c>
      <c r="D1578" s="76" t="s">
        <v>39</v>
      </c>
      <c r="E1578" s="76" t="s">
        <v>32</v>
      </c>
      <c r="F1578" s="76">
        <v>35</v>
      </c>
    </row>
    <row r="1579" spans="1:6">
      <c r="A1579">
        <v>1626</v>
      </c>
      <c r="B1579">
        <v>142020212</v>
      </c>
      <c r="C1579" s="76">
        <v>2020</v>
      </c>
      <c r="D1579" s="76" t="s">
        <v>39</v>
      </c>
      <c r="E1579" s="76">
        <v>2</v>
      </c>
      <c r="F1579" s="76">
        <v>132</v>
      </c>
    </row>
    <row r="1580" spans="1:6">
      <c r="A1580">
        <v>1632</v>
      </c>
      <c r="B1580">
        <v>142020222</v>
      </c>
      <c r="C1580" s="76">
        <v>2020</v>
      </c>
      <c r="D1580" s="76" t="s">
        <v>43</v>
      </c>
      <c r="E1580" s="76" t="s">
        <v>32</v>
      </c>
      <c r="F1580" s="76">
        <v>2.8</v>
      </c>
    </row>
    <row r="1581" spans="1:6">
      <c r="A1581">
        <v>1633</v>
      </c>
      <c r="B1581">
        <v>142020222</v>
      </c>
      <c r="C1581" s="76">
        <v>2020</v>
      </c>
      <c r="D1581" s="76" t="s">
        <v>43</v>
      </c>
      <c r="E1581" s="76" t="s">
        <v>32</v>
      </c>
      <c r="F1581" s="76">
        <v>3.3</v>
      </c>
    </row>
    <row r="1582" spans="1:6">
      <c r="A1582">
        <v>1628</v>
      </c>
      <c r="B1582">
        <v>142020222</v>
      </c>
      <c r="C1582" s="76">
        <v>2020</v>
      </c>
      <c r="D1582" s="76" t="s">
        <v>43</v>
      </c>
      <c r="E1582" s="76" t="s">
        <v>32</v>
      </c>
      <c r="F1582" s="76">
        <v>0.8</v>
      </c>
    </row>
    <row r="1583" spans="1:6">
      <c r="A1583">
        <v>1631</v>
      </c>
      <c r="B1583">
        <v>142020222</v>
      </c>
      <c r="C1583" s="76">
        <v>2020</v>
      </c>
      <c r="D1583" s="76" t="s">
        <v>43</v>
      </c>
      <c r="E1583" s="76" t="s">
        <v>32</v>
      </c>
      <c r="F1583" s="76">
        <v>1</v>
      </c>
    </row>
    <row r="1584" spans="1:6">
      <c r="A1584">
        <v>1630</v>
      </c>
      <c r="B1584">
        <v>142020222</v>
      </c>
      <c r="C1584" s="76">
        <v>2020</v>
      </c>
      <c r="D1584" s="76" t="s">
        <v>43</v>
      </c>
      <c r="E1584" s="76" t="s">
        <v>32</v>
      </c>
      <c r="F1584" s="76">
        <v>0.96</v>
      </c>
    </row>
    <row r="1585" spans="1:6">
      <c r="A1585">
        <v>1629</v>
      </c>
      <c r="B1585">
        <v>142020222</v>
      </c>
      <c r="C1585" s="76">
        <v>2020</v>
      </c>
      <c r="D1585" s="76" t="s">
        <v>43</v>
      </c>
      <c r="E1585" s="76" t="s">
        <v>32</v>
      </c>
      <c r="F1585" s="76">
        <v>0.84</v>
      </c>
    </row>
    <row r="1586" spans="1:6">
      <c r="A1586">
        <v>1634</v>
      </c>
      <c r="B1586">
        <v>142020241</v>
      </c>
      <c r="C1586" s="76">
        <v>2020</v>
      </c>
      <c r="D1586" s="76" t="s">
        <v>33</v>
      </c>
      <c r="E1586" s="76" t="s">
        <v>32</v>
      </c>
      <c r="F1586" s="76">
        <v>1.5</v>
      </c>
    </row>
    <row r="1587" spans="1:6">
      <c r="A1587">
        <v>1636</v>
      </c>
      <c r="B1587">
        <v>142020243</v>
      </c>
      <c r="C1587" s="76">
        <v>2020</v>
      </c>
      <c r="D1587" s="76" t="s">
        <v>38</v>
      </c>
      <c r="E1587" s="76" t="s">
        <v>32</v>
      </c>
      <c r="F1587" s="76">
        <v>1.8</v>
      </c>
    </row>
    <row r="1588" spans="1:6">
      <c r="A1588">
        <v>1655</v>
      </c>
      <c r="B1588">
        <v>142020260</v>
      </c>
      <c r="C1588" s="76">
        <v>2020</v>
      </c>
      <c r="D1588" s="76" t="s">
        <v>34</v>
      </c>
      <c r="E1588" s="76">
        <v>20</v>
      </c>
      <c r="F1588" s="76">
        <v>3.95</v>
      </c>
    </row>
    <row r="1589" spans="1:6">
      <c r="A1589">
        <v>1707</v>
      </c>
      <c r="B1589">
        <v>142020260</v>
      </c>
      <c r="C1589" s="76">
        <v>2020</v>
      </c>
      <c r="D1589" s="76" t="s">
        <v>34</v>
      </c>
      <c r="E1589" s="76" t="s">
        <v>32</v>
      </c>
      <c r="F1589" s="76">
        <v>2.88</v>
      </c>
    </row>
    <row r="1590" spans="1:6">
      <c r="A1590">
        <v>1729</v>
      </c>
      <c r="B1590">
        <v>142020260</v>
      </c>
      <c r="C1590" s="76">
        <v>2020</v>
      </c>
      <c r="D1590" s="76" t="s">
        <v>34</v>
      </c>
      <c r="E1590" s="76" t="s">
        <v>32</v>
      </c>
      <c r="F1590" s="76">
        <v>4.2</v>
      </c>
    </row>
    <row r="1591" spans="1:6">
      <c r="A1591">
        <v>1714</v>
      </c>
      <c r="B1591">
        <v>142020260</v>
      </c>
      <c r="C1591" s="76">
        <v>2020</v>
      </c>
      <c r="D1591" s="76" t="s">
        <v>34</v>
      </c>
      <c r="E1591" s="76" t="s">
        <v>32</v>
      </c>
      <c r="F1591" s="76">
        <v>1.34</v>
      </c>
    </row>
    <row r="1592" spans="1:6">
      <c r="A1592">
        <v>1734</v>
      </c>
      <c r="B1592">
        <v>142020260</v>
      </c>
      <c r="C1592" s="76">
        <v>2020</v>
      </c>
      <c r="D1592" s="76" t="s">
        <v>34</v>
      </c>
      <c r="E1592" s="76" t="s">
        <v>32</v>
      </c>
      <c r="F1592" s="76">
        <v>19.21</v>
      </c>
    </row>
    <row r="1593" spans="1:6">
      <c r="A1593">
        <v>1744</v>
      </c>
      <c r="B1593">
        <v>142020260</v>
      </c>
      <c r="C1593" s="76">
        <v>2020</v>
      </c>
      <c r="D1593" s="76" t="s">
        <v>34</v>
      </c>
      <c r="E1593" s="76" t="s">
        <v>32</v>
      </c>
      <c r="F1593" s="76">
        <v>2.5</v>
      </c>
    </row>
    <row r="1594" spans="1:6">
      <c r="A1594">
        <v>1746</v>
      </c>
      <c r="B1594">
        <v>142020260</v>
      </c>
      <c r="C1594" s="76">
        <v>2020</v>
      </c>
      <c r="D1594" s="76" t="s">
        <v>34</v>
      </c>
      <c r="E1594" s="76" t="s">
        <v>32</v>
      </c>
      <c r="F1594" s="76">
        <v>5</v>
      </c>
    </row>
    <row r="1595" spans="1:6">
      <c r="A1595">
        <v>1725</v>
      </c>
      <c r="B1595">
        <v>142020260</v>
      </c>
      <c r="C1595" s="76">
        <v>2020</v>
      </c>
      <c r="D1595" s="76" t="s">
        <v>34</v>
      </c>
      <c r="E1595" s="76" t="s">
        <v>32</v>
      </c>
      <c r="F1595" s="76">
        <v>8.75</v>
      </c>
    </row>
    <row r="1596" spans="1:6">
      <c r="A1596">
        <v>1749</v>
      </c>
      <c r="B1596">
        <v>142020260</v>
      </c>
      <c r="C1596" s="76">
        <v>2020</v>
      </c>
      <c r="D1596" s="76" t="s">
        <v>34</v>
      </c>
      <c r="E1596" s="76" t="s">
        <v>32</v>
      </c>
      <c r="F1596" s="76">
        <v>1.54</v>
      </c>
    </row>
    <row r="1597" spans="1:6">
      <c r="A1597">
        <v>1664</v>
      </c>
      <c r="B1597">
        <v>142020260</v>
      </c>
      <c r="C1597" s="76">
        <v>2020</v>
      </c>
      <c r="D1597" s="76" t="s">
        <v>34</v>
      </c>
      <c r="E1597" s="76">
        <v>12</v>
      </c>
      <c r="F1597" s="76">
        <v>3.6</v>
      </c>
    </row>
    <row r="1598" spans="1:6">
      <c r="A1598">
        <v>1648</v>
      </c>
      <c r="B1598">
        <v>142020260</v>
      </c>
      <c r="C1598" s="76">
        <v>2020</v>
      </c>
      <c r="D1598" s="76" t="s">
        <v>34</v>
      </c>
      <c r="E1598" s="76" t="s">
        <v>32</v>
      </c>
      <c r="F1598" s="76">
        <v>5</v>
      </c>
    </row>
    <row r="1599" spans="1:6">
      <c r="A1599">
        <v>1730</v>
      </c>
      <c r="B1599">
        <v>142020260</v>
      </c>
      <c r="C1599" s="76">
        <v>2020</v>
      </c>
      <c r="D1599" s="76" t="s">
        <v>34</v>
      </c>
      <c r="E1599" s="76" t="s">
        <v>32</v>
      </c>
      <c r="F1599" s="76">
        <v>8.8</v>
      </c>
    </row>
    <row r="1600" spans="1:6">
      <c r="A1600">
        <v>1722</v>
      </c>
      <c r="B1600">
        <v>142020260</v>
      </c>
      <c r="C1600" s="76">
        <v>2020</v>
      </c>
      <c r="D1600" s="76" t="s">
        <v>34</v>
      </c>
      <c r="E1600" s="76" t="s">
        <v>32</v>
      </c>
      <c r="F1600" s="76">
        <v>1.55</v>
      </c>
    </row>
    <row r="1601" spans="1:6">
      <c r="A1601">
        <v>1676</v>
      </c>
      <c r="B1601">
        <v>142020260</v>
      </c>
      <c r="C1601" s="76">
        <v>2020</v>
      </c>
      <c r="D1601" s="76" t="s">
        <v>34</v>
      </c>
      <c r="E1601" s="76">
        <v>11</v>
      </c>
      <c r="F1601" s="76">
        <v>2.51</v>
      </c>
    </row>
    <row r="1602" spans="1:6">
      <c r="A1602">
        <v>1681</v>
      </c>
      <c r="B1602">
        <v>142020260</v>
      </c>
      <c r="C1602" s="76">
        <v>2020</v>
      </c>
      <c r="D1602" s="76" t="s">
        <v>34</v>
      </c>
      <c r="E1602" s="76" t="s">
        <v>32</v>
      </c>
      <c r="F1602" s="76">
        <v>3</v>
      </c>
    </row>
    <row r="1603" spans="1:6">
      <c r="A1603">
        <v>1742</v>
      </c>
      <c r="B1603">
        <v>142020260</v>
      </c>
      <c r="C1603" s="76">
        <v>2020</v>
      </c>
      <c r="D1603" s="76" t="s">
        <v>34</v>
      </c>
      <c r="E1603" s="76" t="s">
        <v>32</v>
      </c>
      <c r="F1603" s="76">
        <v>3.25</v>
      </c>
    </row>
    <row r="1604" spans="1:6">
      <c r="A1604">
        <v>1705</v>
      </c>
      <c r="B1604">
        <v>142020260</v>
      </c>
      <c r="C1604" s="76">
        <v>2020</v>
      </c>
      <c r="D1604" s="76" t="s">
        <v>34</v>
      </c>
      <c r="E1604" s="76" t="s">
        <v>32</v>
      </c>
      <c r="F1604" s="76">
        <v>1</v>
      </c>
    </row>
    <row r="1605" spans="1:6">
      <c r="A1605">
        <v>1709</v>
      </c>
      <c r="B1605">
        <v>142020260</v>
      </c>
      <c r="C1605" s="76">
        <v>2020</v>
      </c>
      <c r="D1605" s="76" t="s">
        <v>34</v>
      </c>
      <c r="E1605" s="76" t="s">
        <v>32</v>
      </c>
      <c r="F1605" s="76">
        <v>7.95</v>
      </c>
    </row>
    <row r="1606" spans="1:6">
      <c r="A1606">
        <v>1700</v>
      </c>
      <c r="B1606">
        <v>142020260</v>
      </c>
      <c r="C1606" s="76">
        <v>2020</v>
      </c>
      <c r="D1606" s="76" t="s">
        <v>34</v>
      </c>
      <c r="E1606" s="76" t="s">
        <v>32</v>
      </c>
      <c r="F1606" s="76">
        <v>4.08</v>
      </c>
    </row>
    <row r="1607" spans="1:6">
      <c r="A1607">
        <v>1671</v>
      </c>
      <c r="B1607">
        <v>142020260</v>
      </c>
      <c r="C1607" s="76">
        <v>2020</v>
      </c>
      <c r="D1607" s="76" t="s">
        <v>34</v>
      </c>
      <c r="E1607" s="76" t="s">
        <v>32</v>
      </c>
      <c r="F1607" s="76">
        <v>1.67</v>
      </c>
    </row>
    <row r="1608" spans="1:6">
      <c r="A1608">
        <v>1708</v>
      </c>
      <c r="B1608">
        <v>142020260</v>
      </c>
      <c r="C1608" s="76">
        <v>2020</v>
      </c>
      <c r="D1608" s="76" t="s">
        <v>34</v>
      </c>
      <c r="E1608" s="76" t="s">
        <v>32</v>
      </c>
      <c r="F1608" s="76">
        <v>10</v>
      </c>
    </row>
    <row r="1609" spans="1:6">
      <c r="A1609">
        <v>1738</v>
      </c>
      <c r="B1609">
        <v>142020260</v>
      </c>
      <c r="C1609" s="76">
        <v>2020</v>
      </c>
      <c r="D1609" s="76" t="s">
        <v>34</v>
      </c>
      <c r="E1609" s="76" t="s">
        <v>32</v>
      </c>
      <c r="F1609" s="76">
        <v>7.4</v>
      </c>
    </row>
    <row r="1610" spans="1:6">
      <c r="A1610">
        <v>1684</v>
      </c>
      <c r="B1610">
        <v>142020260</v>
      </c>
      <c r="C1610" s="76">
        <v>2020</v>
      </c>
      <c r="D1610" s="76" t="s">
        <v>34</v>
      </c>
      <c r="E1610" s="76" t="s">
        <v>32</v>
      </c>
      <c r="F1610" s="76">
        <v>4.8</v>
      </c>
    </row>
    <row r="1611" spans="1:6">
      <c r="A1611">
        <v>1701</v>
      </c>
      <c r="B1611">
        <v>142020260</v>
      </c>
      <c r="C1611" s="76">
        <v>2020</v>
      </c>
      <c r="D1611" s="76" t="s">
        <v>34</v>
      </c>
      <c r="E1611" s="76" t="s">
        <v>32</v>
      </c>
      <c r="F1611" s="76">
        <v>0.75</v>
      </c>
    </row>
    <row r="1612" spans="1:6">
      <c r="A1612">
        <v>1735</v>
      </c>
      <c r="B1612">
        <v>142020260</v>
      </c>
      <c r="C1612" s="76">
        <v>2020</v>
      </c>
      <c r="D1612" s="76" t="s">
        <v>34</v>
      </c>
      <c r="E1612" s="76" t="s">
        <v>32</v>
      </c>
      <c r="F1612" s="76">
        <v>9.76</v>
      </c>
    </row>
    <row r="1613" spans="1:6">
      <c r="A1613">
        <v>1748</v>
      </c>
      <c r="B1613">
        <v>142020260</v>
      </c>
      <c r="C1613" s="76">
        <v>2020</v>
      </c>
      <c r="D1613" s="76" t="s">
        <v>34</v>
      </c>
      <c r="E1613" s="76" t="s">
        <v>32</v>
      </c>
      <c r="F1613" s="76">
        <v>5</v>
      </c>
    </row>
    <row r="1614" spans="1:6">
      <c r="A1614">
        <v>1721</v>
      </c>
      <c r="B1614">
        <v>142020260</v>
      </c>
      <c r="C1614" s="76">
        <v>2020</v>
      </c>
      <c r="D1614" s="76" t="s">
        <v>34</v>
      </c>
      <c r="E1614" s="76" t="s">
        <v>32</v>
      </c>
      <c r="F1614" s="76">
        <v>4</v>
      </c>
    </row>
    <row r="1615" spans="1:6">
      <c r="A1615">
        <v>1678</v>
      </c>
      <c r="B1615">
        <v>142020260</v>
      </c>
      <c r="C1615" s="76">
        <v>2020</v>
      </c>
      <c r="D1615" s="76" t="s">
        <v>34</v>
      </c>
      <c r="E1615" s="76" t="s">
        <v>32</v>
      </c>
      <c r="F1615" s="76">
        <v>3</v>
      </c>
    </row>
    <row r="1616" spans="1:6">
      <c r="A1616">
        <v>1718</v>
      </c>
      <c r="B1616">
        <v>142020260</v>
      </c>
      <c r="C1616" s="76">
        <v>2020</v>
      </c>
      <c r="D1616" s="76" t="s">
        <v>34</v>
      </c>
      <c r="E1616" s="76" t="s">
        <v>32</v>
      </c>
      <c r="F1616" s="76">
        <v>4.25</v>
      </c>
    </row>
    <row r="1617" spans="1:6">
      <c r="A1617">
        <v>1747</v>
      </c>
      <c r="B1617">
        <v>142020260</v>
      </c>
      <c r="C1617" s="76">
        <v>2020</v>
      </c>
      <c r="D1617" s="76" t="s">
        <v>34</v>
      </c>
      <c r="E1617" s="76" t="s">
        <v>32</v>
      </c>
      <c r="F1617" s="76">
        <v>9.9</v>
      </c>
    </row>
    <row r="1618" spans="1:6">
      <c r="A1618">
        <v>1741</v>
      </c>
      <c r="B1618">
        <v>142020260</v>
      </c>
      <c r="C1618" s="76">
        <v>2020</v>
      </c>
      <c r="D1618" s="76" t="s">
        <v>34</v>
      </c>
      <c r="E1618" s="76" t="s">
        <v>32</v>
      </c>
      <c r="F1618" s="76">
        <v>1.75</v>
      </c>
    </row>
    <row r="1619" spans="1:6">
      <c r="A1619">
        <v>1654</v>
      </c>
      <c r="B1619">
        <v>142020260</v>
      </c>
      <c r="C1619" s="76">
        <v>2020</v>
      </c>
      <c r="D1619" s="76" t="s">
        <v>34</v>
      </c>
      <c r="E1619" s="76">
        <v>17</v>
      </c>
      <c r="F1619" s="76">
        <v>4.8</v>
      </c>
    </row>
    <row r="1620" spans="1:6">
      <c r="A1620">
        <v>1656</v>
      </c>
      <c r="B1620">
        <v>142020260</v>
      </c>
      <c r="C1620" s="76">
        <v>2020</v>
      </c>
      <c r="D1620" s="76" t="s">
        <v>34</v>
      </c>
      <c r="E1620" s="76">
        <v>9</v>
      </c>
      <c r="F1620" s="76">
        <v>2.85</v>
      </c>
    </row>
    <row r="1621" spans="1:6">
      <c r="A1621">
        <v>1642</v>
      </c>
      <c r="B1621">
        <v>142020260</v>
      </c>
      <c r="C1621" s="76">
        <v>2020</v>
      </c>
      <c r="D1621" s="76" t="s">
        <v>34</v>
      </c>
      <c r="E1621" s="76">
        <v>24</v>
      </c>
      <c r="F1621" s="76">
        <v>5</v>
      </c>
    </row>
    <row r="1622" spans="1:6">
      <c r="A1622">
        <v>1682</v>
      </c>
      <c r="B1622">
        <v>142020260</v>
      </c>
      <c r="C1622" s="76">
        <v>2020</v>
      </c>
      <c r="D1622" s="76" t="s">
        <v>34</v>
      </c>
      <c r="E1622" s="76" t="s">
        <v>32</v>
      </c>
      <c r="F1622" s="76">
        <v>4.98</v>
      </c>
    </row>
    <row r="1623" spans="1:6">
      <c r="A1623">
        <v>1641</v>
      </c>
      <c r="B1623">
        <v>142020260</v>
      </c>
      <c r="C1623" s="76">
        <v>2020</v>
      </c>
      <c r="D1623" s="76" t="s">
        <v>34</v>
      </c>
      <c r="E1623" s="76">
        <v>39</v>
      </c>
      <c r="F1623" s="76">
        <v>7.8</v>
      </c>
    </row>
    <row r="1624" spans="1:6">
      <c r="A1624">
        <v>1680</v>
      </c>
      <c r="B1624">
        <v>142020260</v>
      </c>
      <c r="C1624" s="76">
        <v>2020</v>
      </c>
      <c r="D1624" s="76" t="s">
        <v>34</v>
      </c>
      <c r="E1624" s="76" t="s">
        <v>32</v>
      </c>
      <c r="F1624" s="76">
        <v>4.2</v>
      </c>
    </row>
    <row r="1625" spans="1:6">
      <c r="A1625">
        <v>1706</v>
      </c>
      <c r="B1625">
        <v>142020260</v>
      </c>
      <c r="C1625" s="76">
        <v>2020</v>
      </c>
      <c r="D1625" s="76" t="s">
        <v>34</v>
      </c>
      <c r="E1625" s="76" t="s">
        <v>32</v>
      </c>
      <c r="F1625" s="76">
        <v>4</v>
      </c>
    </row>
    <row r="1626" spans="1:6">
      <c r="A1626">
        <v>1649</v>
      </c>
      <c r="B1626">
        <v>142020260</v>
      </c>
      <c r="C1626" s="76">
        <v>2020</v>
      </c>
      <c r="D1626" s="76" t="s">
        <v>34</v>
      </c>
      <c r="E1626" s="76">
        <v>25</v>
      </c>
      <c r="F1626" s="76">
        <v>5</v>
      </c>
    </row>
    <row r="1627" spans="1:6">
      <c r="A1627">
        <v>1639</v>
      </c>
      <c r="B1627">
        <v>142020260</v>
      </c>
      <c r="C1627" s="76">
        <v>2020</v>
      </c>
      <c r="D1627" s="76" t="s">
        <v>34</v>
      </c>
      <c r="E1627" s="76">
        <v>24</v>
      </c>
      <c r="F1627" s="76">
        <v>4.8</v>
      </c>
    </row>
    <row r="1628" spans="1:6">
      <c r="A1628">
        <v>1637</v>
      </c>
      <c r="B1628">
        <v>142020260</v>
      </c>
      <c r="C1628" s="76">
        <v>2020</v>
      </c>
      <c r="D1628" s="76" t="s">
        <v>34</v>
      </c>
      <c r="E1628" s="76">
        <v>9</v>
      </c>
      <c r="F1628" s="76">
        <v>2.7</v>
      </c>
    </row>
    <row r="1629" spans="1:6">
      <c r="A1629">
        <v>1640</v>
      </c>
      <c r="B1629">
        <v>142020260</v>
      </c>
      <c r="C1629" s="76">
        <v>2020</v>
      </c>
      <c r="D1629" s="76" t="s">
        <v>34</v>
      </c>
      <c r="E1629" s="76">
        <v>24</v>
      </c>
      <c r="F1629" s="76">
        <v>4.2</v>
      </c>
    </row>
    <row r="1630" spans="1:6">
      <c r="A1630">
        <v>1731</v>
      </c>
      <c r="B1630">
        <v>142020260</v>
      </c>
      <c r="C1630" s="76">
        <v>2020</v>
      </c>
      <c r="D1630" s="76" t="s">
        <v>34</v>
      </c>
      <c r="E1630" s="76" t="s">
        <v>32</v>
      </c>
      <c r="F1630" s="76">
        <v>1.05</v>
      </c>
    </row>
    <row r="1631" spans="1:6">
      <c r="A1631">
        <v>1750</v>
      </c>
      <c r="B1631">
        <v>142020260</v>
      </c>
      <c r="C1631" s="76">
        <v>2020</v>
      </c>
      <c r="D1631" s="76" t="s">
        <v>34</v>
      </c>
      <c r="E1631" s="76" t="s">
        <v>32</v>
      </c>
      <c r="F1631" s="76">
        <v>5</v>
      </c>
    </row>
    <row r="1632" spans="1:6">
      <c r="A1632">
        <v>1698</v>
      </c>
      <c r="B1632">
        <v>142020260</v>
      </c>
      <c r="C1632" s="76">
        <v>2020</v>
      </c>
      <c r="D1632" s="76" t="s">
        <v>34</v>
      </c>
      <c r="E1632" s="76" t="s">
        <v>32</v>
      </c>
      <c r="F1632" s="76">
        <v>9.94</v>
      </c>
    </row>
    <row r="1633" spans="1:6">
      <c r="A1633">
        <v>1690</v>
      </c>
      <c r="B1633">
        <v>142020260</v>
      </c>
      <c r="C1633" s="76">
        <v>2020</v>
      </c>
      <c r="D1633" s="76" t="s">
        <v>34</v>
      </c>
      <c r="E1633" s="76" t="s">
        <v>32</v>
      </c>
      <c r="F1633" s="76">
        <v>5</v>
      </c>
    </row>
    <row r="1634" spans="1:6">
      <c r="A1634">
        <v>1736</v>
      </c>
      <c r="B1634">
        <v>142020260</v>
      </c>
      <c r="C1634" s="76">
        <v>2020</v>
      </c>
      <c r="D1634" s="76" t="s">
        <v>34</v>
      </c>
      <c r="E1634" s="76" t="s">
        <v>32</v>
      </c>
      <c r="F1634" s="76">
        <v>5</v>
      </c>
    </row>
    <row r="1635" spans="1:6">
      <c r="A1635">
        <v>1752</v>
      </c>
      <c r="B1635">
        <v>142020260</v>
      </c>
      <c r="C1635" s="76">
        <v>2020</v>
      </c>
      <c r="D1635" s="76" t="s">
        <v>34</v>
      </c>
      <c r="E1635" s="76" t="s">
        <v>32</v>
      </c>
      <c r="F1635" s="76">
        <v>2</v>
      </c>
    </row>
    <row r="1636" spans="1:6">
      <c r="A1636">
        <v>1753</v>
      </c>
      <c r="B1636">
        <v>142020260</v>
      </c>
      <c r="C1636" s="76">
        <v>2020</v>
      </c>
      <c r="D1636" s="76" t="s">
        <v>34</v>
      </c>
      <c r="E1636" s="76" t="s">
        <v>32</v>
      </c>
      <c r="F1636" s="76">
        <v>2</v>
      </c>
    </row>
    <row r="1637" spans="1:6">
      <c r="A1637">
        <v>1716</v>
      </c>
      <c r="B1637">
        <v>142020260</v>
      </c>
      <c r="C1637" s="76">
        <v>2020</v>
      </c>
      <c r="D1637" s="76" t="s">
        <v>34</v>
      </c>
      <c r="E1637" s="76" t="s">
        <v>32</v>
      </c>
      <c r="F1637" s="76">
        <v>5</v>
      </c>
    </row>
    <row r="1638" spans="1:6">
      <c r="A1638">
        <v>1715</v>
      </c>
      <c r="B1638">
        <v>142020260</v>
      </c>
      <c r="C1638" s="76">
        <v>2020</v>
      </c>
      <c r="D1638" s="76" t="s">
        <v>34</v>
      </c>
      <c r="E1638" s="76" t="s">
        <v>32</v>
      </c>
      <c r="F1638" s="76">
        <v>9.9</v>
      </c>
    </row>
    <row r="1639" spans="1:6">
      <c r="A1639">
        <v>1702</v>
      </c>
      <c r="B1639">
        <v>142020260</v>
      </c>
      <c r="C1639" s="76">
        <v>2020</v>
      </c>
      <c r="D1639" s="76" t="s">
        <v>34</v>
      </c>
      <c r="E1639" s="76" t="s">
        <v>32</v>
      </c>
      <c r="F1639" s="76">
        <v>10</v>
      </c>
    </row>
    <row r="1640" spans="1:6">
      <c r="A1640">
        <v>1723</v>
      </c>
      <c r="B1640">
        <v>142020260</v>
      </c>
      <c r="C1640" s="76">
        <v>2020</v>
      </c>
      <c r="D1640" s="76" t="s">
        <v>34</v>
      </c>
      <c r="E1640" s="76" t="s">
        <v>32</v>
      </c>
      <c r="F1640" s="76">
        <v>1.75</v>
      </c>
    </row>
    <row r="1641" spans="1:6">
      <c r="A1641">
        <v>1647</v>
      </c>
      <c r="B1641">
        <v>142020260</v>
      </c>
      <c r="C1641" s="76">
        <v>2020</v>
      </c>
      <c r="D1641" s="76" t="s">
        <v>34</v>
      </c>
      <c r="E1641" s="76" t="s">
        <v>32</v>
      </c>
      <c r="F1641" s="76">
        <v>10</v>
      </c>
    </row>
    <row r="1642" spans="1:6">
      <c r="A1642">
        <v>1691</v>
      </c>
      <c r="B1642">
        <v>142020260</v>
      </c>
      <c r="C1642" s="76">
        <v>2020</v>
      </c>
      <c r="D1642" s="76" t="s">
        <v>34</v>
      </c>
      <c r="E1642" s="76" t="s">
        <v>32</v>
      </c>
      <c r="F1642" s="76">
        <v>10</v>
      </c>
    </row>
    <row r="1643" spans="1:6">
      <c r="A1643">
        <v>1646</v>
      </c>
      <c r="B1643">
        <v>142020260</v>
      </c>
      <c r="C1643" s="76">
        <v>2020</v>
      </c>
      <c r="D1643" s="76" t="s">
        <v>34</v>
      </c>
      <c r="E1643" s="76" t="s">
        <v>32</v>
      </c>
      <c r="F1643" s="76">
        <v>5</v>
      </c>
    </row>
    <row r="1644" spans="1:6">
      <c r="A1644">
        <v>1645</v>
      </c>
      <c r="B1644">
        <v>142020260</v>
      </c>
      <c r="C1644" s="76">
        <v>2020</v>
      </c>
      <c r="D1644" s="76" t="s">
        <v>34</v>
      </c>
      <c r="E1644" s="76" t="s">
        <v>32</v>
      </c>
      <c r="F1644" s="76">
        <v>4.95</v>
      </c>
    </row>
    <row r="1645" spans="1:6">
      <c r="A1645">
        <v>1692</v>
      </c>
      <c r="B1645">
        <v>142020260</v>
      </c>
      <c r="C1645" s="76">
        <v>2020</v>
      </c>
      <c r="D1645" s="76" t="s">
        <v>34</v>
      </c>
      <c r="E1645" s="76" t="s">
        <v>32</v>
      </c>
      <c r="F1645" s="76">
        <v>5</v>
      </c>
    </row>
    <row r="1646" spans="1:6">
      <c r="A1646">
        <v>1668</v>
      </c>
      <c r="B1646">
        <v>142020260</v>
      </c>
      <c r="C1646" s="76">
        <v>2020</v>
      </c>
      <c r="D1646" s="76" t="s">
        <v>34</v>
      </c>
      <c r="E1646" s="76">
        <v>15</v>
      </c>
      <c r="F1646" s="76">
        <v>5</v>
      </c>
    </row>
    <row r="1647" spans="1:6">
      <c r="A1647">
        <v>1697</v>
      </c>
      <c r="B1647">
        <v>142020260</v>
      </c>
      <c r="C1647" s="76">
        <v>2020</v>
      </c>
      <c r="D1647" s="76" t="s">
        <v>34</v>
      </c>
      <c r="E1647" s="76" t="s">
        <v>32</v>
      </c>
      <c r="F1647" s="76">
        <v>5</v>
      </c>
    </row>
    <row r="1648" spans="1:6">
      <c r="A1648">
        <v>1745</v>
      </c>
      <c r="B1648">
        <v>142020260</v>
      </c>
      <c r="C1648" s="76">
        <v>2020</v>
      </c>
      <c r="D1648" s="76" t="s">
        <v>34</v>
      </c>
      <c r="E1648" s="76" t="s">
        <v>32</v>
      </c>
      <c r="F1648" s="76">
        <v>4.8</v>
      </c>
    </row>
    <row r="1649" spans="1:6">
      <c r="A1649">
        <v>1687</v>
      </c>
      <c r="B1649">
        <v>142020260</v>
      </c>
      <c r="C1649" s="76">
        <v>2020</v>
      </c>
      <c r="D1649" s="76" t="s">
        <v>34</v>
      </c>
      <c r="E1649" s="76" t="s">
        <v>32</v>
      </c>
      <c r="F1649" s="76">
        <v>18.45</v>
      </c>
    </row>
    <row r="1650" spans="1:6">
      <c r="A1650">
        <v>1688</v>
      </c>
      <c r="B1650">
        <v>142020260</v>
      </c>
      <c r="C1650" s="76">
        <v>2020</v>
      </c>
      <c r="D1650" s="76" t="s">
        <v>34</v>
      </c>
      <c r="E1650" s="76" t="s">
        <v>32</v>
      </c>
      <c r="F1650" s="76">
        <v>2.5</v>
      </c>
    </row>
    <row r="1651" spans="1:6">
      <c r="A1651">
        <v>1666</v>
      </c>
      <c r="B1651">
        <v>142020260</v>
      </c>
      <c r="C1651" s="76">
        <v>2020</v>
      </c>
      <c r="D1651" s="76" t="s">
        <v>34</v>
      </c>
      <c r="E1651" s="76">
        <v>16</v>
      </c>
      <c r="F1651" s="76">
        <v>5</v>
      </c>
    </row>
    <row r="1652" spans="1:6">
      <c r="A1652">
        <v>1739</v>
      </c>
      <c r="B1652">
        <v>142020260</v>
      </c>
      <c r="C1652" s="76">
        <v>2020</v>
      </c>
      <c r="D1652" s="76" t="s">
        <v>34</v>
      </c>
      <c r="E1652" s="76" t="s">
        <v>32</v>
      </c>
      <c r="F1652" s="76">
        <v>10</v>
      </c>
    </row>
    <row r="1653" spans="1:6">
      <c r="A1653">
        <v>1658</v>
      </c>
      <c r="B1653">
        <v>142020260</v>
      </c>
      <c r="C1653" s="76">
        <v>2020</v>
      </c>
      <c r="D1653" s="76" t="s">
        <v>34</v>
      </c>
      <c r="E1653" s="76">
        <v>21</v>
      </c>
      <c r="F1653" s="76">
        <v>5</v>
      </c>
    </row>
    <row r="1654" spans="1:6">
      <c r="A1654">
        <v>1638</v>
      </c>
      <c r="B1654">
        <v>142020260</v>
      </c>
      <c r="C1654" s="76">
        <v>2020</v>
      </c>
      <c r="D1654" s="76" t="s">
        <v>34</v>
      </c>
      <c r="E1654" s="76">
        <v>50</v>
      </c>
      <c r="F1654" s="76">
        <v>10</v>
      </c>
    </row>
    <row r="1655" spans="1:6">
      <c r="A1655">
        <v>1657</v>
      </c>
      <c r="B1655">
        <v>142020260</v>
      </c>
      <c r="C1655" s="76">
        <v>2020</v>
      </c>
      <c r="D1655" s="76" t="s">
        <v>34</v>
      </c>
      <c r="E1655" s="76">
        <v>35</v>
      </c>
      <c r="F1655" s="76">
        <v>10.5</v>
      </c>
    </row>
    <row r="1656" spans="1:6">
      <c r="A1656">
        <v>1677</v>
      </c>
      <c r="B1656">
        <v>142020260</v>
      </c>
      <c r="C1656" s="76">
        <v>2020</v>
      </c>
      <c r="D1656" s="76" t="s">
        <v>34</v>
      </c>
      <c r="E1656" s="76">
        <v>10</v>
      </c>
      <c r="F1656" s="76">
        <v>3.2</v>
      </c>
    </row>
    <row r="1657" spans="1:6">
      <c r="A1657">
        <v>1643</v>
      </c>
      <c r="B1657">
        <v>142020260</v>
      </c>
      <c r="C1657" s="76">
        <v>2020</v>
      </c>
      <c r="D1657" s="76" t="s">
        <v>34</v>
      </c>
      <c r="E1657" s="76">
        <v>14</v>
      </c>
      <c r="F1657" s="76">
        <v>3</v>
      </c>
    </row>
    <row r="1658" spans="1:6">
      <c r="A1658">
        <v>1659</v>
      </c>
      <c r="B1658">
        <v>142020260</v>
      </c>
      <c r="C1658" s="76">
        <v>2020</v>
      </c>
      <c r="D1658" s="76" t="s">
        <v>34</v>
      </c>
      <c r="E1658" s="76">
        <v>31</v>
      </c>
      <c r="F1658" s="76">
        <v>9.92</v>
      </c>
    </row>
    <row r="1659" spans="1:6">
      <c r="A1659">
        <v>1651</v>
      </c>
      <c r="B1659">
        <v>142020260</v>
      </c>
      <c r="C1659" s="76">
        <v>2020</v>
      </c>
      <c r="D1659" s="76" t="s">
        <v>34</v>
      </c>
      <c r="E1659" s="76">
        <v>25</v>
      </c>
      <c r="F1659" s="76">
        <v>5.24</v>
      </c>
    </row>
    <row r="1660" spans="1:6">
      <c r="A1660">
        <v>1644</v>
      </c>
      <c r="B1660">
        <v>142020260</v>
      </c>
      <c r="C1660" s="76">
        <v>2020</v>
      </c>
      <c r="D1660" s="76" t="s">
        <v>34</v>
      </c>
      <c r="E1660" s="76">
        <v>20</v>
      </c>
      <c r="F1660" s="76">
        <v>5</v>
      </c>
    </row>
    <row r="1661" spans="1:6">
      <c r="A1661">
        <v>1662</v>
      </c>
      <c r="B1661">
        <v>142020260</v>
      </c>
      <c r="C1661" s="76">
        <v>2020</v>
      </c>
      <c r="D1661" s="76" t="s">
        <v>34</v>
      </c>
      <c r="E1661" s="76">
        <v>15</v>
      </c>
      <c r="F1661" s="76">
        <v>5</v>
      </c>
    </row>
    <row r="1662" spans="1:6">
      <c r="A1662">
        <v>1661</v>
      </c>
      <c r="B1662">
        <v>142020260</v>
      </c>
      <c r="C1662" s="76">
        <v>2020</v>
      </c>
      <c r="D1662" s="76" t="s">
        <v>34</v>
      </c>
      <c r="E1662" s="76">
        <v>23</v>
      </c>
      <c r="F1662" s="76">
        <v>5</v>
      </c>
    </row>
    <row r="1663" spans="1:6">
      <c r="A1663">
        <v>1665</v>
      </c>
      <c r="B1663">
        <v>142020260</v>
      </c>
      <c r="C1663" s="76">
        <v>2020</v>
      </c>
      <c r="D1663" s="76" t="s">
        <v>34</v>
      </c>
      <c r="E1663" s="76">
        <v>40</v>
      </c>
      <c r="F1663" s="76">
        <v>10</v>
      </c>
    </row>
    <row r="1664" spans="1:6">
      <c r="A1664">
        <v>1653</v>
      </c>
      <c r="B1664">
        <v>142020260</v>
      </c>
      <c r="C1664" s="76">
        <v>2020</v>
      </c>
      <c r="D1664" s="76" t="s">
        <v>34</v>
      </c>
      <c r="E1664" s="76">
        <v>17</v>
      </c>
      <c r="F1664" s="76">
        <v>5</v>
      </c>
    </row>
    <row r="1665" spans="1:6">
      <c r="A1665">
        <v>1652</v>
      </c>
      <c r="B1665">
        <v>142020260</v>
      </c>
      <c r="C1665" s="76">
        <v>2020</v>
      </c>
      <c r="D1665" s="76" t="s">
        <v>34</v>
      </c>
      <c r="E1665" s="76">
        <v>22</v>
      </c>
      <c r="F1665" s="76">
        <v>5.5</v>
      </c>
    </row>
    <row r="1666" spans="1:6">
      <c r="A1666">
        <v>1667</v>
      </c>
      <c r="B1666">
        <v>142020260</v>
      </c>
      <c r="C1666" s="76">
        <v>2020</v>
      </c>
      <c r="D1666" s="76" t="s">
        <v>34</v>
      </c>
      <c r="E1666" s="76">
        <v>13</v>
      </c>
      <c r="F1666" s="76">
        <v>5</v>
      </c>
    </row>
    <row r="1667" spans="1:6">
      <c r="A1667">
        <v>1670</v>
      </c>
      <c r="B1667">
        <v>142020260</v>
      </c>
      <c r="C1667" s="76">
        <v>2020</v>
      </c>
      <c r="D1667" s="76" t="s">
        <v>34</v>
      </c>
      <c r="E1667" s="76">
        <v>31</v>
      </c>
      <c r="F1667" s="76">
        <v>10</v>
      </c>
    </row>
    <row r="1668" spans="1:6">
      <c r="A1668">
        <v>1650</v>
      </c>
      <c r="B1668">
        <v>142020260</v>
      </c>
      <c r="C1668" s="76">
        <v>2020</v>
      </c>
      <c r="D1668" s="76" t="s">
        <v>34</v>
      </c>
      <c r="E1668" s="76">
        <v>23</v>
      </c>
      <c r="F1668" s="76">
        <v>4.6</v>
      </c>
    </row>
    <row r="1669" spans="1:6">
      <c r="A1669">
        <v>1663</v>
      </c>
      <c r="B1669">
        <v>142020260</v>
      </c>
      <c r="C1669" s="76">
        <v>2020</v>
      </c>
      <c r="D1669" s="76" t="s">
        <v>34</v>
      </c>
      <c r="E1669" s="76">
        <v>40</v>
      </c>
      <c r="F1669" s="76">
        <v>9.97</v>
      </c>
    </row>
    <row r="1670" spans="1:6">
      <c r="A1670">
        <v>1672</v>
      </c>
      <c r="B1670">
        <v>142020260</v>
      </c>
      <c r="C1670" s="76">
        <v>2020</v>
      </c>
      <c r="D1670" s="76" t="s">
        <v>34</v>
      </c>
      <c r="E1670" s="76" t="s">
        <v>32</v>
      </c>
      <c r="F1670" s="76">
        <v>5</v>
      </c>
    </row>
    <row r="1671" spans="1:6">
      <c r="A1671">
        <v>1699</v>
      </c>
      <c r="B1671">
        <v>142020260</v>
      </c>
      <c r="C1671" s="76">
        <v>2020</v>
      </c>
      <c r="D1671" s="76" t="s">
        <v>34</v>
      </c>
      <c r="E1671" s="76" t="s">
        <v>32</v>
      </c>
      <c r="F1671" s="76">
        <v>7</v>
      </c>
    </row>
    <row r="1672" spans="1:6">
      <c r="A1672">
        <v>1755</v>
      </c>
      <c r="B1672">
        <v>142020260</v>
      </c>
      <c r="C1672" s="76">
        <v>2020</v>
      </c>
      <c r="D1672" s="76" t="s">
        <v>34</v>
      </c>
      <c r="E1672" s="76" t="s">
        <v>32</v>
      </c>
      <c r="F1672" s="76">
        <v>10</v>
      </c>
    </row>
    <row r="1673" spans="1:6">
      <c r="A1673">
        <v>1720</v>
      </c>
      <c r="B1673">
        <v>142020260</v>
      </c>
      <c r="C1673" s="76">
        <v>2020</v>
      </c>
      <c r="D1673" s="76" t="s">
        <v>34</v>
      </c>
      <c r="E1673" s="76" t="s">
        <v>32</v>
      </c>
      <c r="F1673" s="76">
        <v>15</v>
      </c>
    </row>
    <row r="1674" spans="1:6">
      <c r="A1674">
        <v>1669</v>
      </c>
      <c r="B1674">
        <v>142020260</v>
      </c>
      <c r="C1674" s="76">
        <v>2020</v>
      </c>
      <c r="D1674" s="76" t="s">
        <v>34</v>
      </c>
      <c r="E1674" s="76">
        <v>35</v>
      </c>
      <c r="F1674" s="76">
        <v>7</v>
      </c>
    </row>
    <row r="1675" spans="1:6">
      <c r="A1675">
        <v>1719</v>
      </c>
      <c r="B1675">
        <v>142020260</v>
      </c>
      <c r="C1675" s="76">
        <v>2020</v>
      </c>
      <c r="D1675" s="76" t="s">
        <v>34</v>
      </c>
      <c r="E1675" s="76" t="s">
        <v>32</v>
      </c>
      <c r="F1675" s="76">
        <v>10</v>
      </c>
    </row>
    <row r="1676" spans="1:6">
      <c r="A1676">
        <v>1673</v>
      </c>
      <c r="B1676">
        <v>142020260</v>
      </c>
      <c r="C1676" s="76">
        <v>2020</v>
      </c>
      <c r="D1676" s="76" t="s">
        <v>34</v>
      </c>
      <c r="E1676" s="76">
        <v>33</v>
      </c>
      <c r="F1676" s="76">
        <v>9.8</v>
      </c>
    </row>
    <row r="1677" spans="1:6">
      <c r="A1677">
        <v>1674</v>
      </c>
      <c r="B1677">
        <v>142020260</v>
      </c>
      <c r="C1677" s="76">
        <v>2020</v>
      </c>
      <c r="D1677" s="76" t="s">
        <v>34</v>
      </c>
      <c r="E1677" s="76">
        <v>18</v>
      </c>
      <c r="F1677" s="76">
        <v>5</v>
      </c>
    </row>
    <row r="1678" spans="1:6">
      <c r="A1678">
        <v>1675</v>
      </c>
      <c r="B1678">
        <v>142020260</v>
      </c>
      <c r="C1678" s="76">
        <v>2020</v>
      </c>
      <c r="D1678" s="76" t="s">
        <v>34</v>
      </c>
      <c r="E1678" s="76">
        <v>19</v>
      </c>
      <c r="F1678" s="76">
        <v>6.76</v>
      </c>
    </row>
    <row r="1679" spans="1:6">
      <c r="A1679">
        <v>1717</v>
      </c>
      <c r="B1679">
        <v>142020260</v>
      </c>
      <c r="C1679" s="76">
        <v>2020</v>
      </c>
      <c r="D1679" s="76" t="s">
        <v>34</v>
      </c>
      <c r="E1679" s="76" t="s">
        <v>32</v>
      </c>
      <c r="F1679" s="76">
        <v>9.8</v>
      </c>
    </row>
    <row r="1680" spans="1:6">
      <c r="A1680">
        <v>1728</v>
      </c>
      <c r="B1680">
        <v>142020260</v>
      </c>
      <c r="C1680" s="76">
        <v>2020</v>
      </c>
      <c r="D1680" s="76" t="s">
        <v>34</v>
      </c>
      <c r="E1680" s="76" t="s">
        <v>32</v>
      </c>
      <c r="F1680" s="76">
        <v>6.2</v>
      </c>
    </row>
    <row r="1681" spans="1:6">
      <c r="A1681">
        <v>1686</v>
      </c>
      <c r="B1681">
        <v>142020260</v>
      </c>
      <c r="C1681" s="76">
        <v>2020</v>
      </c>
      <c r="D1681" s="76" t="s">
        <v>34</v>
      </c>
      <c r="E1681" s="76" t="s">
        <v>32</v>
      </c>
      <c r="F1681" s="76">
        <v>10</v>
      </c>
    </row>
    <row r="1682" spans="1:6">
      <c r="A1682">
        <v>1732</v>
      </c>
      <c r="B1682">
        <v>142020260</v>
      </c>
      <c r="C1682" s="76">
        <v>2020</v>
      </c>
      <c r="D1682" s="76" t="s">
        <v>34</v>
      </c>
      <c r="E1682" s="76" t="s">
        <v>32</v>
      </c>
      <c r="F1682" s="76">
        <v>5</v>
      </c>
    </row>
    <row r="1683" spans="1:6">
      <c r="A1683">
        <v>1740</v>
      </c>
      <c r="B1683">
        <v>142020260</v>
      </c>
      <c r="C1683" s="76">
        <v>2020</v>
      </c>
      <c r="D1683" s="76" t="s">
        <v>34</v>
      </c>
      <c r="E1683" s="76" t="s">
        <v>32</v>
      </c>
      <c r="F1683" s="76">
        <v>9.95</v>
      </c>
    </row>
    <row r="1684" spans="1:6">
      <c r="A1684">
        <v>1694</v>
      </c>
      <c r="B1684">
        <v>142020260</v>
      </c>
      <c r="C1684" s="76">
        <v>2020</v>
      </c>
      <c r="D1684" s="76" t="s">
        <v>34</v>
      </c>
      <c r="E1684" s="76" t="s">
        <v>32</v>
      </c>
      <c r="F1684" s="76">
        <v>5</v>
      </c>
    </row>
    <row r="1685" spans="1:6">
      <c r="A1685">
        <v>1696</v>
      </c>
      <c r="B1685">
        <v>142020260</v>
      </c>
      <c r="C1685" s="76">
        <v>2020</v>
      </c>
      <c r="D1685" s="76" t="s">
        <v>34</v>
      </c>
      <c r="E1685" s="76" t="s">
        <v>32</v>
      </c>
      <c r="F1685" s="76">
        <v>5</v>
      </c>
    </row>
    <row r="1686" spans="1:6">
      <c r="A1686">
        <v>1704</v>
      </c>
      <c r="B1686">
        <v>142020260</v>
      </c>
      <c r="C1686" s="76">
        <v>2020</v>
      </c>
      <c r="D1686" s="76" t="s">
        <v>34</v>
      </c>
      <c r="E1686" s="76" t="s">
        <v>32</v>
      </c>
      <c r="F1686" s="76">
        <v>4.5</v>
      </c>
    </row>
    <row r="1687" spans="1:6">
      <c r="A1687">
        <v>1703</v>
      </c>
      <c r="B1687">
        <v>142020260</v>
      </c>
      <c r="C1687" s="76">
        <v>2020</v>
      </c>
      <c r="D1687" s="76" t="s">
        <v>34</v>
      </c>
      <c r="E1687" s="76" t="s">
        <v>32</v>
      </c>
      <c r="F1687" s="76">
        <v>3.25</v>
      </c>
    </row>
    <row r="1688" spans="1:6">
      <c r="A1688">
        <v>1737</v>
      </c>
      <c r="B1688">
        <v>142020260</v>
      </c>
      <c r="C1688" s="76">
        <v>2020</v>
      </c>
      <c r="D1688" s="76" t="s">
        <v>34</v>
      </c>
      <c r="E1688" s="76" t="s">
        <v>32</v>
      </c>
      <c r="F1688" s="76">
        <v>7.55</v>
      </c>
    </row>
    <row r="1689" spans="1:6">
      <c r="A1689">
        <v>1733</v>
      </c>
      <c r="B1689">
        <v>142020260</v>
      </c>
      <c r="C1689" s="76">
        <v>2020</v>
      </c>
      <c r="D1689" s="76" t="s">
        <v>34</v>
      </c>
      <c r="E1689" s="76" t="s">
        <v>32</v>
      </c>
      <c r="F1689" s="76">
        <v>9.95</v>
      </c>
    </row>
    <row r="1690" spans="1:6">
      <c r="A1690">
        <v>1726</v>
      </c>
      <c r="B1690">
        <v>142020260</v>
      </c>
      <c r="C1690" s="76">
        <v>2020</v>
      </c>
      <c r="D1690" s="76" t="s">
        <v>34</v>
      </c>
      <c r="E1690" s="76" t="s">
        <v>32</v>
      </c>
      <c r="F1690" s="76">
        <v>4.95</v>
      </c>
    </row>
    <row r="1691" spans="1:6">
      <c r="A1691">
        <v>1710</v>
      </c>
      <c r="B1691">
        <v>142020260</v>
      </c>
      <c r="C1691" s="76">
        <v>2020</v>
      </c>
      <c r="D1691" s="76" t="s">
        <v>34</v>
      </c>
      <c r="E1691" s="76" t="s">
        <v>32</v>
      </c>
      <c r="F1691" s="76">
        <v>5</v>
      </c>
    </row>
    <row r="1692" spans="1:6">
      <c r="A1692">
        <v>1695</v>
      </c>
      <c r="B1692">
        <v>142020260</v>
      </c>
      <c r="C1692" s="76">
        <v>2020</v>
      </c>
      <c r="D1692" s="76" t="s">
        <v>34</v>
      </c>
      <c r="E1692" s="76" t="s">
        <v>32</v>
      </c>
      <c r="F1692" s="76">
        <v>10</v>
      </c>
    </row>
    <row r="1693" spans="1:6">
      <c r="A1693">
        <v>1743</v>
      </c>
      <c r="B1693">
        <v>142020260</v>
      </c>
      <c r="C1693" s="76">
        <v>2020</v>
      </c>
      <c r="D1693" s="76" t="s">
        <v>34</v>
      </c>
      <c r="E1693" s="76" t="s">
        <v>32</v>
      </c>
      <c r="F1693" s="76">
        <v>5</v>
      </c>
    </row>
    <row r="1694" spans="1:6">
      <c r="A1694">
        <v>1693</v>
      </c>
      <c r="B1694">
        <v>142020260</v>
      </c>
      <c r="C1694" s="76">
        <v>2020</v>
      </c>
      <c r="D1694" s="76" t="s">
        <v>34</v>
      </c>
      <c r="E1694" s="76" t="s">
        <v>32</v>
      </c>
      <c r="F1694" s="76">
        <v>5</v>
      </c>
    </row>
    <row r="1695" spans="1:6">
      <c r="A1695">
        <v>1683</v>
      </c>
      <c r="B1695">
        <v>142020260</v>
      </c>
      <c r="C1695" s="76">
        <v>2020</v>
      </c>
      <c r="D1695" s="76" t="s">
        <v>34</v>
      </c>
      <c r="E1695" s="76" t="s">
        <v>32</v>
      </c>
      <c r="F1695" s="76">
        <v>9.9</v>
      </c>
    </row>
    <row r="1696" spans="1:6">
      <c r="A1696">
        <v>1754</v>
      </c>
      <c r="B1696">
        <v>142020260</v>
      </c>
      <c r="C1696" s="76">
        <v>2020</v>
      </c>
      <c r="D1696" s="76" t="s">
        <v>34</v>
      </c>
      <c r="E1696" s="76" t="s">
        <v>32</v>
      </c>
      <c r="F1696" s="76">
        <v>1.2</v>
      </c>
    </row>
    <row r="1697" spans="1:6">
      <c r="A1697">
        <v>1685</v>
      </c>
      <c r="B1697">
        <v>142020260</v>
      </c>
      <c r="C1697" s="76">
        <v>2020</v>
      </c>
      <c r="D1697" s="76" t="s">
        <v>34</v>
      </c>
      <c r="E1697" s="76" t="s">
        <v>32</v>
      </c>
      <c r="F1697" s="76">
        <v>4.8</v>
      </c>
    </row>
    <row r="1698" spans="1:6">
      <c r="A1698">
        <v>1689</v>
      </c>
      <c r="B1698">
        <v>142020260</v>
      </c>
      <c r="C1698" s="76">
        <v>2020</v>
      </c>
      <c r="D1698" s="76" t="s">
        <v>34</v>
      </c>
      <c r="E1698" s="76" t="s">
        <v>32</v>
      </c>
      <c r="F1698" s="76">
        <v>5</v>
      </c>
    </row>
    <row r="1699" spans="1:6">
      <c r="A1699">
        <v>1713</v>
      </c>
      <c r="B1699">
        <v>142020260</v>
      </c>
      <c r="C1699" s="76">
        <v>2020</v>
      </c>
      <c r="D1699" s="76" t="s">
        <v>34</v>
      </c>
      <c r="E1699" s="76" t="s">
        <v>32</v>
      </c>
      <c r="F1699" s="76">
        <v>5</v>
      </c>
    </row>
    <row r="1700" spans="1:6">
      <c r="A1700">
        <v>1712</v>
      </c>
      <c r="B1700">
        <v>142020260</v>
      </c>
      <c r="C1700" s="76">
        <v>2020</v>
      </c>
      <c r="D1700" s="76" t="s">
        <v>34</v>
      </c>
      <c r="E1700" s="76" t="s">
        <v>32</v>
      </c>
      <c r="F1700" s="76">
        <v>9.1</v>
      </c>
    </row>
    <row r="1701" spans="1:6">
      <c r="A1701">
        <v>1724</v>
      </c>
      <c r="B1701">
        <v>142020260</v>
      </c>
      <c r="C1701" s="76">
        <v>2020</v>
      </c>
      <c r="D1701" s="76" t="s">
        <v>34</v>
      </c>
      <c r="E1701" s="76" t="s">
        <v>32</v>
      </c>
      <c r="F1701" s="76">
        <v>9.8</v>
      </c>
    </row>
    <row r="1702" spans="1:6">
      <c r="A1702">
        <v>1727</v>
      </c>
      <c r="B1702">
        <v>142020260</v>
      </c>
      <c r="C1702" s="76">
        <v>2020</v>
      </c>
      <c r="D1702" s="76" t="s">
        <v>34</v>
      </c>
      <c r="E1702" s="76" t="s">
        <v>32</v>
      </c>
      <c r="F1702" s="76">
        <v>10</v>
      </c>
    </row>
    <row r="1703" spans="1:6">
      <c r="A1703">
        <v>1711</v>
      </c>
      <c r="B1703">
        <v>142020260</v>
      </c>
      <c r="C1703" s="76">
        <v>2020</v>
      </c>
      <c r="D1703" s="76" t="s">
        <v>34</v>
      </c>
      <c r="E1703" s="76" t="s">
        <v>32</v>
      </c>
      <c r="F1703" s="76">
        <v>5</v>
      </c>
    </row>
    <row r="1704" spans="1:6">
      <c r="A1704">
        <v>1751</v>
      </c>
      <c r="B1704">
        <v>142020260</v>
      </c>
      <c r="C1704" s="76">
        <v>2020</v>
      </c>
      <c r="D1704" s="76" t="s">
        <v>34</v>
      </c>
      <c r="E1704" s="76" t="s">
        <v>32</v>
      </c>
      <c r="F1704" s="76">
        <v>1.4</v>
      </c>
    </row>
    <row r="1705" spans="1:6">
      <c r="A1705">
        <v>1756</v>
      </c>
      <c r="B1705">
        <v>142020260</v>
      </c>
      <c r="C1705" s="76">
        <v>2020</v>
      </c>
      <c r="D1705" s="76" t="s">
        <v>34</v>
      </c>
      <c r="E1705" s="76" t="s">
        <v>32</v>
      </c>
      <c r="F1705" s="76">
        <v>10</v>
      </c>
    </row>
    <row r="1706" spans="1:6">
      <c r="A1706">
        <v>1679</v>
      </c>
      <c r="B1706">
        <v>142020260</v>
      </c>
      <c r="C1706" s="76">
        <v>2020</v>
      </c>
      <c r="D1706" s="76" t="s">
        <v>34</v>
      </c>
      <c r="E1706" s="76">
        <v>21</v>
      </c>
      <c r="F1706" s="76">
        <v>5.1</v>
      </c>
    </row>
    <row r="1707" spans="1:6">
      <c r="A1707">
        <v>1660</v>
      </c>
      <c r="B1707">
        <v>142020260</v>
      </c>
      <c r="C1707" s="76">
        <v>2020</v>
      </c>
      <c r="D1707" s="76" t="s">
        <v>34</v>
      </c>
      <c r="E1707" s="76">
        <v>14</v>
      </c>
      <c r="F1707" s="76">
        <v>4.95</v>
      </c>
    </row>
    <row r="1708" spans="1:6">
      <c r="A1708">
        <v>1766</v>
      </c>
      <c r="B1708">
        <v>142020270</v>
      </c>
      <c r="C1708" s="76">
        <v>2020</v>
      </c>
      <c r="D1708" s="76" t="s">
        <v>31</v>
      </c>
      <c r="E1708" s="76" t="s">
        <v>32</v>
      </c>
      <c r="F1708" s="76">
        <v>4.42</v>
      </c>
    </row>
    <row r="1709" spans="1:6">
      <c r="A1709">
        <v>1774</v>
      </c>
      <c r="B1709">
        <v>142020270</v>
      </c>
      <c r="C1709" s="76">
        <v>2020</v>
      </c>
      <c r="D1709" s="76" t="s">
        <v>31</v>
      </c>
      <c r="E1709" s="76" t="s">
        <v>32</v>
      </c>
      <c r="F1709" s="76">
        <v>0.5</v>
      </c>
    </row>
    <row r="1710" spans="1:6">
      <c r="A1710">
        <v>1770</v>
      </c>
      <c r="B1710">
        <v>142020270</v>
      </c>
      <c r="C1710" s="76">
        <v>2020</v>
      </c>
      <c r="D1710" s="76" t="s">
        <v>31</v>
      </c>
      <c r="E1710" s="76" t="s">
        <v>32</v>
      </c>
      <c r="F1710" s="76">
        <v>2</v>
      </c>
    </row>
    <row r="1711" spans="1:6">
      <c r="A1711">
        <v>1777</v>
      </c>
      <c r="B1711">
        <v>142020270</v>
      </c>
      <c r="C1711" s="76">
        <v>2020</v>
      </c>
      <c r="D1711" s="76" t="s">
        <v>31</v>
      </c>
      <c r="E1711" s="76" t="s">
        <v>32</v>
      </c>
      <c r="F1711" s="76">
        <v>30</v>
      </c>
    </row>
    <row r="1712" spans="1:6">
      <c r="A1712">
        <v>1773</v>
      </c>
      <c r="B1712">
        <v>142020270</v>
      </c>
      <c r="C1712" s="76">
        <v>2020</v>
      </c>
      <c r="D1712" s="76" t="s">
        <v>31</v>
      </c>
      <c r="E1712" s="76" t="s">
        <v>32</v>
      </c>
      <c r="F1712" s="76">
        <v>9</v>
      </c>
    </row>
    <row r="1713" spans="1:6">
      <c r="A1713">
        <v>1768</v>
      </c>
      <c r="B1713">
        <v>142020270</v>
      </c>
      <c r="C1713" s="76">
        <v>2020</v>
      </c>
      <c r="D1713" s="76" t="s">
        <v>31</v>
      </c>
      <c r="E1713" s="76" t="s">
        <v>32</v>
      </c>
      <c r="F1713" s="76">
        <v>5</v>
      </c>
    </row>
    <row r="1714" spans="1:6">
      <c r="A1714">
        <v>1764</v>
      </c>
      <c r="B1714">
        <v>142020270</v>
      </c>
      <c r="C1714" s="76">
        <v>2020</v>
      </c>
      <c r="D1714" s="76" t="s">
        <v>31</v>
      </c>
      <c r="E1714" s="76" t="s">
        <v>32</v>
      </c>
      <c r="F1714" s="76">
        <v>3</v>
      </c>
    </row>
    <row r="1715" spans="1:6">
      <c r="A1715">
        <v>1776</v>
      </c>
      <c r="B1715">
        <v>142020270</v>
      </c>
      <c r="C1715" s="76">
        <v>2020</v>
      </c>
      <c r="D1715" s="76" t="s">
        <v>31</v>
      </c>
      <c r="E1715" s="76" t="s">
        <v>32</v>
      </c>
      <c r="F1715" s="76">
        <v>3</v>
      </c>
    </row>
    <row r="1716" spans="1:6">
      <c r="A1716">
        <v>1778</v>
      </c>
      <c r="B1716">
        <v>142020270</v>
      </c>
      <c r="C1716" s="76">
        <v>2020</v>
      </c>
      <c r="D1716" s="76" t="s">
        <v>31</v>
      </c>
      <c r="E1716" s="76" t="s">
        <v>32</v>
      </c>
      <c r="F1716" s="76">
        <v>5</v>
      </c>
    </row>
    <row r="1717" spans="1:6">
      <c r="A1717">
        <v>1767</v>
      </c>
      <c r="B1717">
        <v>142020270</v>
      </c>
      <c r="C1717" s="76">
        <v>2020</v>
      </c>
      <c r="D1717" s="76" t="s">
        <v>31</v>
      </c>
      <c r="E1717" s="76" t="s">
        <v>32</v>
      </c>
      <c r="F1717" s="76">
        <v>10</v>
      </c>
    </row>
    <row r="1718" spans="1:6">
      <c r="A1718">
        <v>1780</v>
      </c>
      <c r="B1718">
        <v>142020270</v>
      </c>
      <c r="C1718" s="76">
        <v>2020</v>
      </c>
      <c r="D1718" s="76" t="s">
        <v>31</v>
      </c>
      <c r="E1718" s="76" t="s">
        <v>32</v>
      </c>
      <c r="F1718" s="76">
        <v>1.2</v>
      </c>
    </row>
    <row r="1719" spans="1:6">
      <c r="A1719">
        <v>1760</v>
      </c>
      <c r="B1719">
        <v>142020270</v>
      </c>
      <c r="C1719" s="76">
        <v>2020</v>
      </c>
      <c r="D1719" s="76" t="s">
        <v>31</v>
      </c>
      <c r="E1719" s="76" t="s">
        <v>32</v>
      </c>
      <c r="F1719" s="76">
        <v>10</v>
      </c>
    </row>
    <row r="1720" spans="1:6">
      <c r="A1720">
        <v>1772</v>
      </c>
      <c r="B1720">
        <v>142020270</v>
      </c>
      <c r="C1720" s="76">
        <v>2020</v>
      </c>
      <c r="D1720" s="76" t="s">
        <v>31</v>
      </c>
      <c r="E1720" s="76" t="s">
        <v>32</v>
      </c>
      <c r="F1720" s="76">
        <v>10</v>
      </c>
    </row>
    <row r="1721" spans="1:6">
      <c r="A1721">
        <v>1762</v>
      </c>
      <c r="B1721">
        <v>142020270</v>
      </c>
      <c r="C1721" s="76">
        <v>2020</v>
      </c>
      <c r="D1721" s="76" t="s">
        <v>31</v>
      </c>
      <c r="E1721" s="76" t="s">
        <v>32</v>
      </c>
      <c r="F1721" s="76">
        <v>15</v>
      </c>
    </row>
    <row r="1722" spans="1:6">
      <c r="A1722">
        <v>1757</v>
      </c>
      <c r="B1722">
        <v>142020270</v>
      </c>
      <c r="C1722" s="76">
        <v>2020</v>
      </c>
      <c r="D1722" s="76" t="s">
        <v>31</v>
      </c>
      <c r="E1722" s="76" t="s">
        <v>32</v>
      </c>
      <c r="F1722" s="76">
        <v>9</v>
      </c>
    </row>
    <row r="1723" spans="1:6">
      <c r="A1723">
        <v>1761</v>
      </c>
      <c r="B1723">
        <v>142020270</v>
      </c>
      <c r="C1723" s="76">
        <v>2020</v>
      </c>
      <c r="D1723" s="76" t="s">
        <v>31</v>
      </c>
      <c r="E1723" s="76" t="s">
        <v>32</v>
      </c>
      <c r="F1723" s="76">
        <v>5</v>
      </c>
    </row>
    <row r="1724" spans="1:6">
      <c r="A1724">
        <v>1758</v>
      </c>
      <c r="B1724">
        <v>142020270</v>
      </c>
      <c r="C1724" s="76">
        <v>2020</v>
      </c>
      <c r="D1724" s="76" t="s">
        <v>31</v>
      </c>
      <c r="E1724" s="76" t="s">
        <v>32</v>
      </c>
      <c r="F1724" s="76">
        <v>5</v>
      </c>
    </row>
    <row r="1725" spans="1:6">
      <c r="A1725">
        <v>1765</v>
      </c>
      <c r="B1725">
        <v>142020270</v>
      </c>
      <c r="C1725" s="76">
        <v>2020</v>
      </c>
      <c r="D1725" s="76" t="s">
        <v>31</v>
      </c>
      <c r="E1725" s="76" t="s">
        <v>32</v>
      </c>
      <c r="F1725" s="76">
        <v>10</v>
      </c>
    </row>
    <row r="1726" spans="1:6">
      <c r="A1726">
        <v>1775</v>
      </c>
      <c r="B1726">
        <v>142020270</v>
      </c>
      <c r="C1726" s="76">
        <v>2020</v>
      </c>
      <c r="D1726" s="76" t="s">
        <v>31</v>
      </c>
      <c r="E1726" s="76" t="s">
        <v>32</v>
      </c>
      <c r="F1726" s="76">
        <v>3</v>
      </c>
    </row>
    <row r="1727" spans="1:6">
      <c r="A1727">
        <v>1771</v>
      </c>
      <c r="B1727">
        <v>142020270</v>
      </c>
      <c r="C1727" s="76">
        <v>2020</v>
      </c>
      <c r="D1727" s="76" t="s">
        <v>31</v>
      </c>
      <c r="E1727" s="76" t="s">
        <v>32</v>
      </c>
      <c r="F1727" s="76">
        <v>10</v>
      </c>
    </row>
    <row r="1728" spans="1:6">
      <c r="A1728">
        <v>1779</v>
      </c>
      <c r="B1728">
        <v>142020270</v>
      </c>
      <c r="C1728" s="76">
        <v>2020</v>
      </c>
      <c r="D1728" s="76" t="s">
        <v>31</v>
      </c>
      <c r="E1728" s="76" t="s">
        <v>32</v>
      </c>
      <c r="F1728" s="76">
        <v>5</v>
      </c>
    </row>
    <row r="1729" spans="1:6">
      <c r="A1729">
        <v>1769</v>
      </c>
      <c r="B1729">
        <v>142020270</v>
      </c>
      <c r="C1729" s="76">
        <v>2020</v>
      </c>
      <c r="D1729" s="76" t="s">
        <v>31</v>
      </c>
      <c r="E1729" s="76" t="s">
        <v>32</v>
      </c>
      <c r="F1729" s="76">
        <v>5</v>
      </c>
    </row>
    <row r="1730" spans="1:6">
      <c r="A1730">
        <v>1763</v>
      </c>
      <c r="B1730">
        <v>142020270</v>
      </c>
      <c r="C1730" s="76">
        <v>2020</v>
      </c>
      <c r="D1730" s="76" t="s">
        <v>31</v>
      </c>
      <c r="E1730" s="76" t="s">
        <v>32</v>
      </c>
      <c r="F1730" s="76">
        <v>10</v>
      </c>
    </row>
    <row r="1731" spans="1:6">
      <c r="A1731">
        <v>1782</v>
      </c>
      <c r="B1731">
        <v>142021211</v>
      </c>
      <c r="C1731" s="76">
        <v>2021</v>
      </c>
      <c r="D1731" s="76" t="s">
        <v>37</v>
      </c>
      <c r="E1731" s="76">
        <v>1</v>
      </c>
      <c r="F1731" s="76">
        <v>35</v>
      </c>
    </row>
    <row r="1732" spans="1:6">
      <c r="A1732">
        <v>1786</v>
      </c>
      <c r="B1732">
        <v>142021211</v>
      </c>
      <c r="C1732" s="76">
        <v>2021</v>
      </c>
      <c r="D1732" s="76" t="s">
        <v>37</v>
      </c>
      <c r="E1732" s="76">
        <v>2</v>
      </c>
      <c r="F1732" s="76">
        <v>200</v>
      </c>
    </row>
    <row r="1733" spans="1:6">
      <c r="A1733">
        <v>1785</v>
      </c>
      <c r="B1733">
        <v>142021211</v>
      </c>
      <c r="C1733" s="76">
        <v>2021</v>
      </c>
      <c r="D1733" s="76" t="s">
        <v>37</v>
      </c>
      <c r="E1733" s="76">
        <v>2</v>
      </c>
      <c r="F1733" s="76">
        <v>132</v>
      </c>
    </row>
    <row r="1734" spans="1:6">
      <c r="A1734">
        <v>1784</v>
      </c>
      <c r="B1734">
        <v>142021211</v>
      </c>
      <c r="C1734" s="76">
        <v>2021</v>
      </c>
      <c r="D1734" s="76" t="s">
        <v>37</v>
      </c>
      <c r="E1734" s="76">
        <v>2</v>
      </c>
      <c r="F1734" s="76">
        <v>200</v>
      </c>
    </row>
    <row r="1735" spans="1:6">
      <c r="A1735">
        <v>1783</v>
      </c>
      <c r="B1735">
        <v>142021211</v>
      </c>
      <c r="C1735" s="76">
        <v>2021</v>
      </c>
      <c r="D1735" s="76" t="s">
        <v>37</v>
      </c>
      <c r="E1735" s="76">
        <v>1</v>
      </c>
      <c r="F1735" s="76">
        <v>66</v>
      </c>
    </row>
    <row r="1736" spans="1:6">
      <c r="A1736">
        <v>1787</v>
      </c>
      <c r="B1736">
        <v>142021221</v>
      </c>
      <c r="C1736" s="76">
        <v>2021</v>
      </c>
      <c r="D1736" s="76" t="s">
        <v>30</v>
      </c>
      <c r="E1736" s="76" t="s">
        <v>32</v>
      </c>
      <c r="F1736" s="76">
        <v>0.98</v>
      </c>
    </row>
    <row r="1737" spans="1:6">
      <c r="A1737">
        <v>1792</v>
      </c>
      <c r="B1737">
        <v>142021242</v>
      </c>
      <c r="C1737" s="76">
        <v>2021</v>
      </c>
      <c r="D1737" s="76" t="s">
        <v>35</v>
      </c>
      <c r="E1737" s="76" t="s">
        <v>32</v>
      </c>
      <c r="F1737" s="76">
        <v>2.1</v>
      </c>
    </row>
    <row r="1738" spans="1:6">
      <c r="A1738">
        <v>1791</v>
      </c>
      <c r="B1738">
        <v>142021242</v>
      </c>
      <c r="C1738" s="76">
        <v>2021</v>
      </c>
      <c r="D1738" s="76" t="s">
        <v>35</v>
      </c>
      <c r="E1738" s="76" t="s">
        <v>32</v>
      </c>
      <c r="F1738" s="76">
        <v>1.2</v>
      </c>
    </row>
    <row r="1739" spans="1:6">
      <c r="A1739">
        <v>1789</v>
      </c>
      <c r="B1739">
        <v>142021242</v>
      </c>
      <c r="C1739" s="76">
        <v>2021</v>
      </c>
      <c r="D1739" s="76" t="s">
        <v>35</v>
      </c>
      <c r="E1739" s="76" t="s">
        <v>32</v>
      </c>
      <c r="F1739" s="76">
        <v>1.5</v>
      </c>
    </row>
    <row r="1740" spans="1:6">
      <c r="A1740">
        <v>1790</v>
      </c>
      <c r="B1740">
        <v>142021242</v>
      </c>
      <c r="C1740" s="76">
        <v>2021</v>
      </c>
      <c r="D1740" s="76" t="s">
        <v>35</v>
      </c>
      <c r="E1740" s="76" t="s">
        <v>32</v>
      </c>
      <c r="F1740" s="76">
        <v>1.5</v>
      </c>
    </row>
    <row r="1741" spans="1:6">
      <c r="A1741">
        <v>1798</v>
      </c>
      <c r="B1741">
        <v>142021243</v>
      </c>
      <c r="C1741" s="76">
        <v>2021</v>
      </c>
      <c r="D1741" s="76" t="s">
        <v>38</v>
      </c>
      <c r="E1741" s="76" t="s">
        <v>32</v>
      </c>
      <c r="F1741" s="76">
        <v>2.1</v>
      </c>
    </row>
    <row r="1742" spans="1:6">
      <c r="A1742">
        <v>1799</v>
      </c>
      <c r="B1742">
        <v>142021243</v>
      </c>
      <c r="C1742" s="76">
        <v>2021</v>
      </c>
      <c r="D1742" s="76" t="s">
        <v>38</v>
      </c>
      <c r="E1742" s="76" t="s">
        <v>32</v>
      </c>
      <c r="F1742" s="76">
        <v>1.2</v>
      </c>
    </row>
    <row r="1743" spans="1:6">
      <c r="A1743">
        <v>1795</v>
      </c>
      <c r="B1743">
        <v>142021243</v>
      </c>
      <c r="C1743" s="76">
        <v>2021</v>
      </c>
      <c r="D1743" s="76" t="s">
        <v>38</v>
      </c>
      <c r="E1743" s="76" t="s">
        <v>32</v>
      </c>
      <c r="F1743" s="76">
        <v>3</v>
      </c>
    </row>
    <row r="1744" spans="1:6">
      <c r="A1744">
        <v>1797</v>
      </c>
      <c r="B1744">
        <v>142021243</v>
      </c>
      <c r="C1744" s="76">
        <v>2021</v>
      </c>
      <c r="D1744" s="76" t="s">
        <v>38</v>
      </c>
      <c r="E1744" s="76" t="s">
        <v>32</v>
      </c>
      <c r="F1744" s="76">
        <v>0.6</v>
      </c>
    </row>
    <row r="1745" spans="1:6">
      <c r="A1745">
        <v>1796</v>
      </c>
      <c r="B1745">
        <v>142021243</v>
      </c>
      <c r="C1745" s="76">
        <v>2021</v>
      </c>
      <c r="D1745" s="76" t="s">
        <v>38</v>
      </c>
      <c r="E1745" s="76" t="s">
        <v>32</v>
      </c>
      <c r="F1745" s="76">
        <v>1.5</v>
      </c>
    </row>
    <row r="1746" spans="1:6">
      <c r="A1746">
        <v>1794</v>
      </c>
      <c r="B1746">
        <v>142021243</v>
      </c>
      <c r="C1746" s="76">
        <v>2021</v>
      </c>
      <c r="D1746" s="76" t="s">
        <v>38</v>
      </c>
      <c r="E1746" s="76" t="s">
        <v>32</v>
      </c>
      <c r="F1746" s="76">
        <v>3</v>
      </c>
    </row>
    <row r="1747" spans="1:6">
      <c r="A1747">
        <v>1793</v>
      </c>
      <c r="B1747">
        <v>142021243</v>
      </c>
      <c r="C1747" s="76">
        <v>2021</v>
      </c>
      <c r="D1747" s="76" t="s">
        <v>38</v>
      </c>
      <c r="E1747" s="76" t="s">
        <v>32</v>
      </c>
      <c r="F1747" s="76">
        <v>3</v>
      </c>
    </row>
    <row r="1748" spans="1:6">
      <c r="A1748">
        <v>1842</v>
      </c>
      <c r="B1748">
        <v>142021260</v>
      </c>
      <c r="C1748" s="76">
        <v>2021</v>
      </c>
      <c r="D1748" s="76" t="s">
        <v>34</v>
      </c>
      <c r="E1748" s="76" t="s">
        <v>32</v>
      </c>
      <c r="F1748" s="76">
        <v>2.08</v>
      </c>
    </row>
    <row r="1749" spans="1:6">
      <c r="A1749">
        <v>1824</v>
      </c>
      <c r="B1749">
        <v>142021260</v>
      </c>
      <c r="C1749" s="76">
        <v>2021</v>
      </c>
      <c r="D1749" s="76" t="s">
        <v>34</v>
      </c>
      <c r="E1749" s="76" t="s">
        <v>32</v>
      </c>
      <c r="F1749" s="76">
        <v>3.66</v>
      </c>
    </row>
    <row r="1750" spans="1:6">
      <c r="A1750">
        <v>1818</v>
      </c>
      <c r="B1750">
        <v>142021260</v>
      </c>
      <c r="C1750" s="76">
        <v>2021</v>
      </c>
      <c r="D1750" s="76" t="s">
        <v>34</v>
      </c>
      <c r="E1750" s="76" t="s">
        <v>32</v>
      </c>
      <c r="F1750" s="76">
        <v>0.8</v>
      </c>
    </row>
    <row r="1751" spans="1:6">
      <c r="A1751">
        <v>1833</v>
      </c>
      <c r="B1751">
        <v>142021260</v>
      </c>
      <c r="C1751" s="76">
        <v>2021</v>
      </c>
      <c r="D1751" s="76" t="s">
        <v>34</v>
      </c>
      <c r="E1751" s="76" t="s">
        <v>32</v>
      </c>
      <c r="F1751" s="76">
        <v>2.5</v>
      </c>
    </row>
    <row r="1752" spans="1:6">
      <c r="A1752">
        <v>1805</v>
      </c>
      <c r="B1752">
        <v>142021260</v>
      </c>
      <c r="C1752" s="76">
        <v>2021</v>
      </c>
      <c r="D1752" s="76" t="s">
        <v>34</v>
      </c>
      <c r="E1752" s="76" t="s">
        <v>32</v>
      </c>
      <c r="F1752" s="76">
        <v>1.26</v>
      </c>
    </row>
    <row r="1753" spans="1:6">
      <c r="A1753">
        <v>1814</v>
      </c>
      <c r="B1753">
        <v>142021260</v>
      </c>
      <c r="C1753" s="76">
        <v>2021</v>
      </c>
      <c r="D1753" s="76" t="s">
        <v>34</v>
      </c>
      <c r="E1753" s="76">
        <v>5</v>
      </c>
      <c r="F1753" s="76">
        <v>1.5</v>
      </c>
    </row>
    <row r="1754" spans="1:6">
      <c r="A1754">
        <v>1808</v>
      </c>
      <c r="B1754">
        <v>142021260</v>
      </c>
      <c r="C1754" s="76">
        <v>2021</v>
      </c>
      <c r="D1754" s="76" t="s">
        <v>34</v>
      </c>
      <c r="E1754" s="76" t="s">
        <v>32</v>
      </c>
      <c r="F1754" s="76">
        <v>1.2</v>
      </c>
    </row>
    <row r="1755" spans="1:6">
      <c r="A1755">
        <v>1804</v>
      </c>
      <c r="B1755">
        <v>142021260</v>
      </c>
      <c r="C1755" s="76">
        <v>2021</v>
      </c>
      <c r="D1755" s="76" t="s">
        <v>34</v>
      </c>
      <c r="E1755" s="76" t="s">
        <v>32</v>
      </c>
      <c r="F1755" s="76">
        <v>2.44</v>
      </c>
    </row>
    <row r="1756" spans="1:6">
      <c r="A1756">
        <v>1802</v>
      </c>
      <c r="B1756">
        <v>142021260</v>
      </c>
      <c r="C1756" s="76">
        <v>2021</v>
      </c>
      <c r="D1756" s="76" t="s">
        <v>34</v>
      </c>
      <c r="E1756" s="76" t="s">
        <v>32</v>
      </c>
      <c r="F1756" s="76">
        <v>1.75</v>
      </c>
    </row>
    <row r="1757" spans="1:6">
      <c r="A1757">
        <v>1800</v>
      </c>
      <c r="B1757">
        <v>142021260</v>
      </c>
      <c r="C1757" s="76">
        <v>2021</v>
      </c>
      <c r="D1757" s="76" t="s">
        <v>34</v>
      </c>
      <c r="E1757" s="76" t="s">
        <v>32</v>
      </c>
      <c r="F1757" s="76">
        <v>4</v>
      </c>
    </row>
    <row r="1758" spans="1:6">
      <c r="A1758">
        <v>1801</v>
      </c>
      <c r="B1758">
        <v>142021260</v>
      </c>
      <c r="C1758" s="76">
        <v>2021</v>
      </c>
      <c r="D1758" s="76" t="s">
        <v>34</v>
      </c>
      <c r="E1758" s="76" t="s">
        <v>32</v>
      </c>
      <c r="F1758" s="76">
        <v>1.05</v>
      </c>
    </row>
    <row r="1759" spans="1:6">
      <c r="A1759">
        <v>1803</v>
      </c>
      <c r="B1759">
        <v>142021260</v>
      </c>
      <c r="C1759" s="76">
        <v>2021</v>
      </c>
      <c r="D1759" s="76" t="s">
        <v>34</v>
      </c>
      <c r="E1759" s="76" t="s">
        <v>32</v>
      </c>
      <c r="F1759" s="76">
        <v>5</v>
      </c>
    </row>
    <row r="1760" spans="1:6">
      <c r="A1760">
        <v>1819</v>
      </c>
      <c r="B1760">
        <v>142021260</v>
      </c>
      <c r="C1760" s="76">
        <v>2021</v>
      </c>
      <c r="D1760" s="76" t="s">
        <v>34</v>
      </c>
      <c r="E1760" s="76" t="s">
        <v>32</v>
      </c>
      <c r="F1760" s="76">
        <v>0.6</v>
      </c>
    </row>
    <row r="1761" spans="1:6">
      <c r="A1761">
        <v>1823</v>
      </c>
      <c r="B1761">
        <v>142021260</v>
      </c>
      <c r="C1761" s="76">
        <v>2021</v>
      </c>
      <c r="D1761" s="76" t="s">
        <v>34</v>
      </c>
      <c r="E1761" s="76" t="s">
        <v>32</v>
      </c>
      <c r="F1761" s="76">
        <v>2</v>
      </c>
    </row>
    <row r="1762" spans="1:6">
      <c r="A1762">
        <v>1831</v>
      </c>
      <c r="B1762">
        <v>142021260</v>
      </c>
      <c r="C1762" s="76">
        <v>2021</v>
      </c>
      <c r="D1762" s="76" t="s">
        <v>34</v>
      </c>
      <c r="E1762" s="76" t="s">
        <v>32</v>
      </c>
      <c r="F1762" s="76">
        <v>2.17</v>
      </c>
    </row>
    <row r="1763" spans="1:6">
      <c r="A1763">
        <v>1832</v>
      </c>
      <c r="B1763">
        <v>142021260</v>
      </c>
      <c r="C1763" s="76">
        <v>2021</v>
      </c>
      <c r="D1763" s="76" t="s">
        <v>34</v>
      </c>
      <c r="E1763" s="76" t="s">
        <v>32</v>
      </c>
      <c r="F1763" s="76">
        <v>4.25</v>
      </c>
    </row>
    <row r="1764" spans="1:6">
      <c r="A1764">
        <v>1827</v>
      </c>
      <c r="B1764">
        <v>142021260</v>
      </c>
      <c r="C1764" s="76">
        <v>2021</v>
      </c>
      <c r="D1764" s="76" t="s">
        <v>34</v>
      </c>
      <c r="E1764" s="76" t="s">
        <v>32</v>
      </c>
      <c r="F1764" s="76">
        <v>0.24</v>
      </c>
    </row>
    <row r="1765" spans="1:6">
      <c r="A1765">
        <v>1821</v>
      </c>
      <c r="B1765">
        <v>142021260</v>
      </c>
      <c r="C1765" s="76">
        <v>2021</v>
      </c>
      <c r="D1765" s="76" t="s">
        <v>34</v>
      </c>
      <c r="E1765" s="76" t="s">
        <v>32</v>
      </c>
      <c r="F1765" s="76">
        <v>5.8</v>
      </c>
    </row>
    <row r="1766" spans="1:6">
      <c r="A1766">
        <v>1815</v>
      </c>
      <c r="B1766">
        <v>142021260</v>
      </c>
      <c r="C1766" s="76">
        <v>2021</v>
      </c>
      <c r="D1766" s="76" t="s">
        <v>34</v>
      </c>
      <c r="E1766" s="76" t="s">
        <v>32</v>
      </c>
      <c r="F1766" s="76">
        <v>0.75</v>
      </c>
    </row>
    <row r="1767" spans="1:6">
      <c r="A1767">
        <v>1825</v>
      </c>
      <c r="B1767">
        <v>142021260</v>
      </c>
      <c r="C1767" s="76">
        <v>2021</v>
      </c>
      <c r="D1767" s="76" t="s">
        <v>34</v>
      </c>
      <c r="E1767" s="76" t="s">
        <v>32</v>
      </c>
      <c r="F1767" s="76">
        <v>8.25</v>
      </c>
    </row>
    <row r="1768" spans="1:6">
      <c r="A1768">
        <v>1843</v>
      </c>
      <c r="B1768">
        <v>142021260</v>
      </c>
      <c r="C1768" s="76">
        <v>2021</v>
      </c>
      <c r="D1768" s="76" t="s">
        <v>34</v>
      </c>
      <c r="E1768" s="76" t="s">
        <v>32</v>
      </c>
      <c r="F1768" s="76">
        <v>4.96</v>
      </c>
    </row>
    <row r="1769" spans="1:6">
      <c r="A1769">
        <v>1812</v>
      </c>
      <c r="B1769">
        <v>142021260</v>
      </c>
      <c r="C1769" s="76">
        <v>2021</v>
      </c>
      <c r="D1769" s="76" t="s">
        <v>34</v>
      </c>
      <c r="E1769" s="76">
        <v>11</v>
      </c>
      <c r="F1769" s="76">
        <v>2.2</v>
      </c>
    </row>
    <row r="1770" spans="1:6">
      <c r="A1770">
        <v>1806</v>
      </c>
      <c r="B1770">
        <v>142021260</v>
      </c>
      <c r="C1770" s="76">
        <v>2021</v>
      </c>
      <c r="D1770" s="76" t="s">
        <v>34</v>
      </c>
      <c r="E1770" s="76">
        <v>24</v>
      </c>
      <c r="F1770" s="76">
        <v>4.8</v>
      </c>
    </row>
    <row r="1771" spans="1:6">
      <c r="A1771">
        <v>1829</v>
      </c>
      <c r="B1771">
        <v>142021260</v>
      </c>
      <c r="C1771" s="76">
        <v>2021</v>
      </c>
      <c r="D1771" s="76" t="s">
        <v>34</v>
      </c>
      <c r="E1771" s="76" t="s">
        <v>32</v>
      </c>
      <c r="F1771" s="76">
        <v>8.72</v>
      </c>
    </row>
    <row r="1772" spans="1:6">
      <c r="A1772">
        <v>1809</v>
      </c>
      <c r="B1772">
        <v>142021260</v>
      </c>
      <c r="C1772" s="76">
        <v>2021</v>
      </c>
      <c r="D1772" s="76" t="s">
        <v>34</v>
      </c>
      <c r="E1772" s="76" t="s">
        <v>32</v>
      </c>
      <c r="F1772" s="76">
        <v>8.95</v>
      </c>
    </row>
    <row r="1773" spans="1:6">
      <c r="A1773">
        <v>1807</v>
      </c>
      <c r="B1773">
        <v>142021260</v>
      </c>
      <c r="C1773" s="76">
        <v>2021</v>
      </c>
      <c r="D1773" s="76" t="s">
        <v>34</v>
      </c>
      <c r="E1773" s="76">
        <v>6</v>
      </c>
      <c r="F1773" s="76">
        <v>2</v>
      </c>
    </row>
    <row r="1774" spans="1:6">
      <c r="A1774">
        <v>1846</v>
      </c>
      <c r="B1774">
        <v>142021260</v>
      </c>
      <c r="C1774" s="76">
        <v>2021</v>
      </c>
      <c r="D1774" s="76" t="s">
        <v>34</v>
      </c>
      <c r="E1774" s="76" t="s">
        <v>32</v>
      </c>
      <c r="F1774" s="76">
        <v>0.6</v>
      </c>
    </row>
    <row r="1775" spans="1:6">
      <c r="A1775">
        <v>1844</v>
      </c>
      <c r="B1775">
        <v>142021260</v>
      </c>
      <c r="C1775" s="76">
        <v>2021</v>
      </c>
      <c r="D1775" s="76" t="s">
        <v>34</v>
      </c>
      <c r="E1775" s="76" t="s">
        <v>32</v>
      </c>
      <c r="F1775" s="76">
        <v>2</v>
      </c>
    </row>
    <row r="1776" spans="1:6">
      <c r="A1776">
        <v>1813</v>
      </c>
      <c r="B1776">
        <v>142021260</v>
      </c>
      <c r="C1776" s="76">
        <v>2021</v>
      </c>
      <c r="D1776" s="76" t="s">
        <v>34</v>
      </c>
      <c r="E1776" s="76">
        <v>3</v>
      </c>
      <c r="F1776" s="76">
        <v>1</v>
      </c>
    </row>
    <row r="1777" spans="1:6">
      <c r="A1777">
        <v>1850</v>
      </c>
      <c r="B1777">
        <v>142021260</v>
      </c>
      <c r="C1777" s="76">
        <v>2021</v>
      </c>
      <c r="D1777" s="76" t="s">
        <v>34</v>
      </c>
      <c r="E1777" s="76" t="s">
        <v>32</v>
      </c>
      <c r="F1777" s="76">
        <v>0.9</v>
      </c>
    </row>
    <row r="1778" spans="1:6">
      <c r="A1778">
        <v>1849</v>
      </c>
      <c r="B1778">
        <v>142021260</v>
      </c>
      <c r="C1778" s="76">
        <v>2021</v>
      </c>
      <c r="D1778" s="76" t="s">
        <v>34</v>
      </c>
      <c r="E1778" s="76" t="s">
        <v>32</v>
      </c>
      <c r="F1778" s="76">
        <v>1</v>
      </c>
    </row>
    <row r="1779" spans="1:6">
      <c r="A1779">
        <v>1847</v>
      </c>
      <c r="B1779">
        <v>142021260</v>
      </c>
      <c r="C1779" s="76">
        <v>2021</v>
      </c>
      <c r="D1779" s="76" t="s">
        <v>34</v>
      </c>
      <c r="E1779" s="76" t="s">
        <v>32</v>
      </c>
      <c r="F1779" s="76">
        <v>3</v>
      </c>
    </row>
    <row r="1780" spans="1:6">
      <c r="A1780">
        <v>1848</v>
      </c>
      <c r="B1780">
        <v>142021260</v>
      </c>
      <c r="C1780" s="76">
        <v>2021</v>
      </c>
      <c r="D1780" s="76" t="s">
        <v>34</v>
      </c>
      <c r="E1780" s="76" t="s">
        <v>32</v>
      </c>
      <c r="F1780" s="76">
        <v>1</v>
      </c>
    </row>
    <row r="1781" spans="1:6">
      <c r="A1781">
        <v>1851</v>
      </c>
      <c r="B1781">
        <v>142021260</v>
      </c>
      <c r="C1781" s="76">
        <v>2021</v>
      </c>
      <c r="D1781" s="76" t="s">
        <v>34</v>
      </c>
      <c r="E1781" s="76" t="s">
        <v>32</v>
      </c>
      <c r="F1781" s="76">
        <v>3</v>
      </c>
    </row>
    <row r="1782" spans="1:6">
      <c r="A1782">
        <v>1839</v>
      </c>
      <c r="B1782">
        <v>142021260</v>
      </c>
      <c r="C1782" s="76">
        <v>2021</v>
      </c>
      <c r="D1782" s="76" t="s">
        <v>34</v>
      </c>
      <c r="E1782" s="76" t="s">
        <v>32</v>
      </c>
      <c r="F1782" s="76">
        <v>5</v>
      </c>
    </row>
    <row r="1783" spans="1:6">
      <c r="A1783">
        <v>1840</v>
      </c>
      <c r="B1783">
        <v>142021260</v>
      </c>
      <c r="C1783" s="76">
        <v>2021</v>
      </c>
      <c r="D1783" s="76" t="s">
        <v>34</v>
      </c>
      <c r="E1783" s="76" t="s">
        <v>32</v>
      </c>
      <c r="F1783" s="76">
        <v>4.2</v>
      </c>
    </row>
    <row r="1784" spans="1:6">
      <c r="A1784">
        <v>1841</v>
      </c>
      <c r="B1784">
        <v>142021260</v>
      </c>
      <c r="C1784" s="76">
        <v>2021</v>
      </c>
      <c r="D1784" s="76" t="s">
        <v>34</v>
      </c>
      <c r="E1784" s="76" t="s">
        <v>32</v>
      </c>
      <c r="F1784" s="76">
        <v>4</v>
      </c>
    </row>
    <row r="1785" spans="1:6">
      <c r="A1785">
        <v>1835</v>
      </c>
      <c r="B1785">
        <v>142021260</v>
      </c>
      <c r="C1785" s="76">
        <v>2021</v>
      </c>
      <c r="D1785" s="76" t="s">
        <v>34</v>
      </c>
      <c r="E1785" s="76" t="s">
        <v>32</v>
      </c>
      <c r="F1785" s="76">
        <v>5.94</v>
      </c>
    </row>
    <row r="1786" spans="1:6">
      <c r="A1786">
        <v>1817</v>
      </c>
      <c r="B1786">
        <v>142021260</v>
      </c>
      <c r="C1786" s="76">
        <v>2021</v>
      </c>
      <c r="D1786" s="76" t="s">
        <v>34</v>
      </c>
      <c r="E1786" s="76">
        <v>3</v>
      </c>
      <c r="F1786" s="76">
        <v>1.5</v>
      </c>
    </row>
    <row r="1787" spans="1:6">
      <c r="A1787">
        <v>1816</v>
      </c>
      <c r="B1787">
        <v>142021260</v>
      </c>
      <c r="C1787" s="76">
        <v>2021</v>
      </c>
      <c r="D1787" s="76" t="s">
        <v>34</v>
      </c>
      <c r="E1787" s="76">
        <v>6</v>
      </c>
      <c r="F1787" s="76">
        <v>2</v>
      </c>
    </row>
    <row r="1788" spans="1:6">
      <c r="A1788">
        <v>1845</v>
      </c>
      <c r="B1788">
        <v>142021260</v>
      </c>
      <c r="C1788" s="76">
        <v>2021</v>
      </c>
      <c r="D1788" s="76" t="s">
        <v>34</v>
      </c>
      <c r="E1788" s="76" t="s">
        <v>32</v>
      </c>
      <c r="F1788" s="76">
        <v>1.5</v>
      </c>
    </row>
    <row r="1789" spans="1:6">
      <c r="A1789">
        <v>1836</v>
      </c>
      <c r="B1789">
        <v>142021260</v>
      </c>
      <c r="C1789" s="76">
        <v>2021</v>
      </c>
      <c r="D1789" s="76" t="s">
        <v>34</v>
      </c>
      <c r="E1789" s="76" t="s">
        <v>32</v>
      </c>
      <c r="F1789" s="76">
        <v>4.8</v>
      </c>
    </row>
    <row r="1790" spans="1:6">
      <c r="A1790">
        <v>1826</v>
      </c>
      <c r="B1790">
        <v>142021260</v>
      </c>
      <c r="C1790" s="76">
        <v>2021</v>
      </c>
      <c r="D1790" s="76" t="s">
        <v>34</v>
      </c>
      <c r="E1790" s="76" t="s">
        <v>32</v>
      </c>
      <c r="F1790" s="76">
        <v>2.81</v>
      </c>
    </row>
    <row r="1791" spans="1:6">
      <c r="A1791">
        <v>1830</v>
      </c>
      <c r="B1791">
        <v>142021260</v>
      </c>
      <c r="C1791" s="76">
        <v>2021</v>
      </c>
      <c r="D1791" s="76" t="s">
        <v>34</v>
      </c>
      <c r="E1791" s="76" t="s">
        <v>32</v>
      </c>
      <c r="F1791" s="76">
        <v>3.75</v>
      </c>
    </row>
    <row r="1792" spans="1:6">
      <c r="A1792">
        <v>1828</v>
      </c>
      <c r="B1792">
        <v>142021260</v>
      </c>
      <c r="C1792" s="76">
        <v>2021</v>
      </c>
      <c r="D1792" s="76" t="s">
        <v>34</v>
      </c>
      <c r="E1792" s="76" t="s">
        <v>32</v>
      </c>
      <c r="F1792" s="76">
        <v>1</v>
      </c>
    </row>
    <row r="1793" spans="1:6">
      <c r="A1793">
        <v>1820</v>
      </c>
      <c r="B1793">
        <v>142021260</v>
      </c>
      <c r="C1793" s="76">
        <v>2021</v>
      </c>
      <c r="D1793" s="76" t="s">
        <v>34</v>
      </c>
      <c r="E1793" s="76" t="s">
        <v>32</v>
      </c>
      <c r="F1793" s="76">
        <v>0.5</v>
      </c>
    </row>
    <row r="1794" spans="1:6">
      <c r="A1794">
        <v>1822</v>
      </c>
      <c r="B1794">
        <v>142021260</v>
      </c>
      <c r="C1794" s="76">
        <v>2021</v>
      </c>
      <c r="D1794" s="76" t="s">
        <v>34</v>
      </c>
      <c r="E1794" s="76" t="s">
        <v>32</v>
      </c>
      <c r="F1794" s="76">
        <v>1.75</v>
      </c>
    </row>
    <row r="1795" spans="1:6">
      <c r="A1795">
        <v>1834</v>
      </c>
      <c r="B1795">
        <v>142021260</v>
      </c>
      <c r="C1795" s="76">
        <v>2021</v>
      </c>
      <c r="D1795" s="76" t="s">
        <v>34</v>
      </c>
      <c r="E1795" s="76" t="s">
        <v>32</v>
      </c>
      <c r="F1795" s="76">
        <v>2.45</v>
      </c>
    </row>
    <row r="1796" spans="1:6">
      <c r="A1796">
        <v>1810</v>
      </c>
      <c r="B1796">
        <v>142021260</v>
      </c>
      <c r="C1796" s="76">
        <v>2021</v>
      </c>
      <c r="D1796" s="76" t="s">
        <v>34</v>
      </c>
      <c r="E1796" s="76" t="s">
        <v>32</v>
      </c>
      <c r="F1796" s="76">
        <v>0.7</v>
      </c>
    </row>
    <row r="1797" spans="1:6">
      <c r="A1797">
        <v>1838</v>
      </c>
      <c r="B1797">
        <v>142021260</v>
      </c>
      <c r="C1797" s="76">
        <v>2021</v>
      </c>
      <c r="D1797" s="76" t="s">
        <v>34</v>
      </c>
      <c r="E1797" s="76" t="s">
        <v>32</v>
      </c>
      <c r="F1797" s="76">
        <v>4.95</v>
      </c>
    </row>
    <row r="1798" spans="1:6">
      <c r="A1798">
        <v>1837</v>
      </c>
      <c r="B1798">
        <v>142021260</v>
      </c>
      <c r="C1798" s="76">
        <v>2021</v>
      </c>
      <c r="D1798" s="76" t="s">
        <v>34</v>
      </c>
      <c r="E1798" s="76" t="s">
        <v>32</v>
      </c>
      <c r="F1798" s="76">
        <v>4.98</v>
      </c>
    </row>
    <row r="1799" spans="1:6">
      <c r="A1799">
        <v>1811</v>
      </c>
      <c r="B1799">
        <v>142021260</v>
      </c>
      <c r="C1799" s="76">
        <v>2021</v>
      </c>
      <c r="D1799" s="76" t="s">
        <v>34</v>
      </c>
      <c r="E1799" s="76" t="s">
        <v>32</v>
      </c>
      <c r="F1799" s="76">
        <v>1.8</v>
      </c>
    </row>
    <row r="1800" spans="1:6">
      <c r="A1800">
        <v>1854</v>
      </c>
      <c r="B1800">
        <v>142021270</v>
      </c>
      <c r="C1800" s="76">
        <v>2021</v>
      </c>
      <c r="D1800" s="76" t="s">
        <v>31</v>
      </c>
      <c r="E1800" s="76" t="s">
        <v>32</v>
      </c>
      <c r="F1800" s="76">
        <v>0.09</v>
      </c>
    </row>
    <row r="1801" spans="1:6">
      <c r="A1801">
        <v>1862</v>
      </c>
      <c r="B1801">
        <v>142021270</v>
      </c>
      <c r="C1801" s="76">
        <v>2021</v>
      </c>
      <c r="D1801" s="76" t="s">
        <v>31</v>
      </c>
      <c r="E1801" s="76" t="s">
        <v>32</v>
      </c>
      <c r="F1801" s="76">
        <v>17</v>
      </c>
    </row>
    <row r="1802" spans="1:6">
      <c r="A1802">
        <v>1865</v>
      </c>
      <c r="B1802">
        <v>142021270</v>
      </c>
      <c r="C1802" s="76">
        <v>2021</v>
      </c>
      <c r="D1802" s="76" t="s">
        <v>31</v>
      </c>
      <c r="E1802" s="76" t="s">
        <v>32</v>
      </c>
      <c r="F1802" s="76">
        <v>0.5</v>
      </c>
    </row>
    <row r="1803" spans="1:6">
      <c r="A1803">
        <v>1855</v>
      </c>
      <c r="B1803">
        <v>142021270</v>
      </c>
      <c r="C1803" s="76">
        <v>2021</v>
      </c>
      <c r="D1803" s="76" t="s">
        <v>31</v>
      </c>
      <c r="E1803" s="76">
        <v>75</v>
      </c>
      <c r="F1803" s="76">
        <v>15</v>
      </c>
    </row>
    <row r="1804" spans="1:6">
      <c r="A1804">
        <v>1860</v>
      </c>
      <c r="B1804">
        <v>142021270</v>
      </c>
      <c r="C1804" s="76">
        <v>2021</v>
      </c>
      <c r="D1804" s="76" t="s">
        <v>31</v>
      </c>
      <c r="E1804" s="76" t="s">
        <v>32</v>
      </c>
      <c r="F1804" s="76">
        <v>13.49</v>
      </c>
    </row>
    <row r="1805" spans="1:6">
      <c r="A1805">
        <v>1859</v>
      </c>
      <c r="B1805">
        <v>142021270</v>
      </c>
      <c r="C1805" s="76">
        <v>2021</v>
      </c>
      <c r="D1805" s="76" t="s">
        <v>31</v>
      </c>
      <c r="E1805" s="76" t="s">
        <v>32</v>
      </c>
      <c r="F1805" s="76">
        <v>0.14</v>
      </c>
    </row>
    <row r="1806" spans="1:6">
      <c r="A1806">
        <v>1858</v>
      </c>
      <c r="B1806">
        <v>142021270</v>
      </c>
      <c r="C1806" s="76">
        <v>2021</v>
      </c>
      <c r="D1806" s="76" t="s">
        <v>31</v>
      </c>
      <c r="E1806" s="76" t="s">
        <v>32</v>
      </c>
      <c r="F1806" s="76">
        <v>0.12</v>
      </c>
    </row>
    <row r="1807" spans="1:6">
      <c r="A1807">
        <v>1857</v>
      </c>
      <c r="B1807">
        <v>142021270</v>
      </c>
      <c r="C1807" s="76">
        <v>2021</v>
      </c>
      <c r="D1807" s="76" t="s">
        <v>31</v>
      </c>
      <c r="E1807" s="76" t="s">
        <v>32</v>
      </c>
      <c r="F1807" s="76">
        <v>0.22</v>
      </c>
    </row>
    <row r="1808" spans="1:6">
      <c r="A1808">
        <v>1852</v>
      </c>
      <c r="B1808">
        <v>142021270</v>
      </c>
      <c r="C1808" s="76">
        <v>2021</v>
      </c>
      <c r="D1808" s="76" t="s">
        <v>31</v>
      </c>
      <c r="E1808" s="76" t="s">
        <v>32</v>
      </c>
      <c r="F1808" s="76">
        <v>1.1</v>
      </c>
    </row>
    <row r="1809" spans="1:6">
      <c r="A1809">
        <v>1864</v>
      </c>
      <c r="B1809">
        <v>142021270</v>
      </c>
      <c r="C1809" s="76">
        <v>2021</v>
      </c>
      <c r="D1809" s="76" t="s">
        <v>31</v>
      </c>
      <c r="E1809" s="76" t="s">
        <v>32</v>
      </c>
      <c r="F1809" s="76">
        <v>0.25</v>
      </c>
    </row>
    <row r="1810" spans="1:6">
      <c r="A1810">
        <v>1856</v>
      </c>
      <c r="B1810">
        <v>142021270</v>
      </c>
      <c r="C1810" s="76">
        <v>2021</v>
      </c>
      <c r="D1810" s="76" t="s">
        <v>31</v>
      </c>
      <c r="E1810" s="76">
        <v>48</v>
      </c>
      <c r="F1810" s="76">
        <v>10</v>
      </c>
    </row>
    <row r="1811" spans="1:6">
      <c r="A1811">
        <v>1861</v>
      </c>
      <c r="B1811">
        <v>142021270</v>
      </c>
      <c r="C1811" s="76">
        <v>2021</v>
      </c>
      <c r="D1811" s="76" t="s">
        <v>31</v>
      </c>
      <c r="E1811" s="76" t="s">
        <v>32</v>
      </c>
      <c r="F1811" s="76">
        <v>8.25</v>
      </c>
    </row>
    <row r="1812" spans="1:6">
      <c r="A1812">
        <v>1863</v>
      </c>
      <c r="B1812">
        <v>142021270</v>
      </c>
      <c r="C1812" s="76">
        <v>2021</v>
      </c>
      <c r="D1812" s="76" t="s">
        <v>31</v>
      </c>
      <c r="E1812" s="76" t="s">
        <v>32</v>
      </c>
      <c r="F1812" s="76">
        <v>8</v>
      </c>
    </row>
    <row r="1813" spans="1:6">
      <c r="A1813">
        <v>1866</v>
      </c>
      <c r="B1813">
        <v>152012110</v>
      </c>
      <c r="C1813">
        <v>2012</v>
      </c>
      <c r="D1813" t="s">
        <v>40</v>
      </c>
      <c r="E1813">
        <v>4</v>
      </c>
      <c r="F1813">
        <v>1.05</v>
      </c>
    </row>
    <row r="1814" spans="1:6">
      <c r="A1814">
        <v>1867</v>
      </c>
      <c r="B1814">
        <v>152012211</v>
      </c>
      <c r="C1814">
        <v>2012</v>
      </c>
      <c r="D1814" t="s">
        <v>37</v>
      </c>
      <c r="E1814">
        <v>1</v>
      </c>
      <c r="F1814">
        <v>66</v>
      </c>
    </row>
    <row r="1815" spans="1:6">
      <c r="A1815">
        <v>1868</v>
      </c>
      <c r="B1815">
        <v>152012211</v>
      </c>
      <c r="C1815">
        <v>2012</v>
      </c>
      <c r="D1815" t="s">
        <v>37</v>
      </c>
      <c r="E1815">
        <v>1</v>
      </c>
      <c r="F1815">
        <v>1.2</v>
      </c>
    </row>
    <row r="1816" spans="1:6">
      <c r="A1816">
        <v>1870</v>
      </c>
      <c r="B1816">
        <v>152012211</v>
      </c>
      <c r="C1816">
        <v>2012</v>
      </c>
      <c r="D1816" t="s">
        <v>37</v>
      </c>
      <c r="E1816">
        <v>2</v>
      </c>
      <c r="F1816">
        <v>2.4</v>
      </c>
    </row>
    <row r="1817" spans="1:6">
      <c r="A1817">
        <v>1869</v>
      </c>
      <c r="B1817">
        <v>152012211</v>
      </c>
      <c r="C1817">
        <v>2012</v>
      </c>
      <c r="D1817" t="s">
        <v>37</v>
      </c>
      <c r="E1817">
        <v>1</v>
      </c>
      <c r="F1817">
        <v>1.2</v>
      </c>
    </row>
    <row r="1818" spans="1:6">
      <c r="A1818">
        <v>1878</v>
      </c>
      <c r="B1818">
        <v>152012260</v>
      </c>
      <c r="C1818">
        <v>2012</v>
      </c>
      <c r="D1818" t="s">
        <v>34</v>
      </c>
      <c r="E1818">
        <v>3</v>
      </c>
      <c r="F1818">
        <v>0.45</v>
      </c>
    </row>
    <row r="1819" spans="1:6">
      <c r="A1819">
        <v>1879</v>
      </c>
      <c r="B1819">
        <v>152012260</v>
      </c>
      <c r="C1819">
        <v>2012</v>
      </c>
      <c r="D1819" t="s">
        <v>34</v>
      </c>
      <c r="E1819">
        <v>5</v>
      </c>
      <c r="F1819">
        <v>0.75</v>
      </c>
    </row>
    <row r="1820" spans="1:6">
      <c r="A1820">
        <v>1881</v>
      </c>
      <c r="B1820">
        <v>152012260</v>
      </c>
      <c r="C1820">
        <v>2012</v>
      </c>
      <c r="D1820" t="s">
        <v>34</v>
      </c>
      <c r="E1820">
        <v>30</v>
      </c>
      <c r="F1820">
        <v>4.5</v>
      </c>
    </row>
    <row r="1821" spans="1:6">
      <c r="A1821">
        <v>1876</v>
      </c>
      <c r="B1821">
        <v>152012260</v>
      </c>
      <c r="C1821">
        <v>2012</v>
      </c>
      <c r="D1821" t="s">
        <v>34</v>
      </c>
      <c r="E1821">
        <v>25</v>
      </c>
      <c r="F1821">
        <v>5</v>
      </c>
    </row>
    <row r="1822" spans="1:6">
      <c r="A1822">
        <v>1880</v>
      </c>
      <c r="B1822">
        <v>152012260</v>
      </c>
      <c r="C1822">
        <v>2012</v>
      </c>
      <c r="D1822" t="s">
        <v>34</v>
      </c>
      <c r="E1822">
        <v>58</v>
      </c>
      <c r="F1822">
        <v>4.93</v>
      </c>
    </row>
    <row r="1823" spans="1:6">
      <c r="A1823">
        <v>1890</v>
      </c>
      <c r="B1823">
        <v>152012260</v>
      </c>
      <c r="C1823">
        <v>2012</v>
      </c>
      <c r="D1823" t="s">
        <v>34</v>
      </c>
      <c r="E1823">
        <v>58</v>
      </c>
      <c r="F1823">
        <v>4.93</v>
      </c>
    </row>
    <row r="1824" spans="1:6">
      <c r="A1824">
        <v>1896</v>
      </c>
      <c r="B1824">
        <v>152012260</v>
      </c>
      <c r="C1824">
        <v>2012</v>
      </c>
      <c r="D1824" t="s">
        <v>34</v>
      </c>
      <c r="E1824">
        <v>25</v>
      </c>
      <c r="F1824">
        <v>4.95</v>
      </c>
    </row>
    <row r="1825" spans="1:6">
      <c r="A1825">
        <v>1891</v>
      </c>
      <c r="B1825">
        <v>152012260</v>
      </c>
      <c r="C1825">
        <v>2012</v>
      </c>
      <c r="D1825" t="s">
        <v>34</v>
      </c>
      <c r="E1825">
        <v>66</v>
      </c>
      <c r="F1825">
        <v>9.9</v>
      </c>
    </row>
    <row r="1826" spans="1:6">
      <c r="A1826">
        <v>1898</v>
      </c>
      <c r="B1826">
        <v>152012260</v>
      </c>
      <c r="C1826">
        <v>2012</v>
      </c>
      <c r="D1826" t="s">
        <v>34</v>
      </c>
      <c r="E1826">
        <v>33</v>
      </c>
      <c r="F1826">
        <v>4.95</v>
      </c>
    </row>
    <row r="1827" spans="1:6">
      <c r="A1827">
        <v>1893</v>
      </c>
      <c r="B1827">
        <v>152012260</v>
      </c>
      <c r="C1827">
        <v>2012</v>
      </c>
      <c r="D1827" t="s">
        <v>34</v>
      </c>
      <c r="E1827">
        <v>33</v>
      </c>
      <c r="F1827">
        <v>4.95</v>
      </c>
    </row>
    <row r="1828" spans="1:6">
      <c r="A1828">
        <v>1888</v>
      </c>
      <c r="B1828">
        <v>152012260</v>
      </c>
      <c r="C1828">
        <v>2012</v>
      </c>
      <c r="D1828" t="s">
        <v>34</v>
      </c>
      <c r="E1828">
        <v>33</v>
      </c>
      <c r="F1828">
        <v>4.95</v>
      </c>
    </row>
    <row r="1829" spans="1:6">
      <c r="A1829">
        <v>1877</v>
      </c>
      <c r="B1829">
        <v>152012260</v>
      </c>
      <c r="C1829">
        <v>2012</v>
      </c>
      <c r="D1829" t="s">
        <v>34</v>
      </c>
      <c r="E1829">
        <v>32</v>
      </c>
      <c r="F1829">
        <v>4.9</v>
      </c>
    </row>
    <row r="1830" spans="1:6">
      <c r="A1830">
        <v>1882</v>
      </c>
      <c r="B1830">
        <v>152012260</v>
      </c>
      <c r="C1830">
        <v>2012</v>
      </c>
      <c r="D1830" t="s">
        <v>34</v>
      </c>
      <c r="E1830">
        <v>25</v>
      </c>
      <c r="F1830">
        <v>4.95</v>
      </c>
    </row>
    <row r="1831" spans="1:6">
      <c r="A1831">
        <v>1899</v>
      </c>
      <c r="B1831">
        <v>152012260</v>
      </c>
      <c r="C1831">
        <v>2012</v>
      </c>
      <c r="D1831" t="s">
        <v>34</v>
      </c>
      <c r="E1831">
        <v>33</v>
      </c>
      <c r="F1831">
        <v>4.95</v>
      </c>
    </row>
    <row r="1832" spans="1:6">
      <c r="A1832">
        <v>1885</v>
      </c>
      <c r="B1832">
        <v>152012260</v>
      </c>
      <c r="C1832">
        <v>2012</v>
      </c>
      <c r="D1832" t="s">
        <v>34</v>
      </c>
      <c r="E1832">
        <v>24</v>
      </c>
      <c r="F1832">
        <v>4.8</v>
      </c>
    </row>
    <row r="1833" spans="1:6">
      <c r="A1833">
        <v>1875</v>
      </c>
      <c r="B1833">
        <v>152012260</v>
      </c>
      <c r="C1833">
        <v>2012</v>
      </c>
      <c r="D1833" t="s">
        <v>34</v>
      </c>
      <c r="E1833">
        <v>30</v>
      </c>
      <c r="F1833">
        <v>2.43</v>
      </c>
    </row>
    <row r="1834" spans="1:6">
      <c r="A1834">
        <v>1871</v>
      </c>
      <c r="B1834">
        <v>152012260</v>
      </c>
      <c r="C1834">
        <v>2012</v>
      </c>
      <c r="D1834" t="s">
        <v>34</v>
      </c>
      <c r="E1834">
        <v>30</v>
      </c>
      <c r="F1834">
        <v>4.95</v>
      </c>
    </row>
    <row r="1835" spans="1:6">
      <c r="A1835">
        <v>1872</v>
      </c>
      <c r="B1835">
        <v>152012260</v>
      </c>
      <c r="C1835">
        <v>2012</v>
      </c>
      <c r="D1835" t="s">
        <v>34</v>
      </c>
      <c r="E1835">
        <v>33</v>
      </c>
      <c r="F1835">
        <v>4.95</v>
      </c>
    </row>
    <row r="1836" spans="1:6">
      <c r="A1836">
        <v>1889</v>
      </c>
      <c r="B1836">
        <v>152012260</v>
      </c>
      <c r="C1836">
        <v>2012</v>
      </c>
      <c r="D1836" t="s">
        <v>34</v>
      </c>
      <c r="E1836">
        <v>33</v>
      </c>
      <c r="F1836">
        <v>4.95</v>
      </c>
    </row>
    <row r="1837" spans="1:6">
      <c r="A1837">
        <v>1894</v>
      </c>
      <c r="B1837">
        <v>152012260</v>
      </c>
      <c r="C1837">
        <v>2012</v>
      </c>
      <c r="D1837" t="s">
        <v>34</v>
      </c>
      <c r="E1837">
        <v>33</v>
      </c>
      <c r="F1837">
        <v>4.95</v>
      </c>
    </row>
    <row r="1838" spans="1:6">
      <c r="A1838">
        <v>1886</v>
      </c>
      <c r="B1838">
        <v>152012260</v>
      </c>
      <c r="C1838">
        <v>2012</v>
      </c>
      <c r="D1838" t="s">
        <v>34</v>
      </c>
      <c r="E1838">
        <v>33</v>
      </c>
      <c r="F1838">
        <v>4.95</v>
      </c>
    </row>
    <row r="1839" spans="1:6">
      <c r="A1839">
        <v>1887</v>
      </c>
      <c r="B1839">
        <v>152012260</v>
      </c>
      <c r="C1839">
        <v>2012</v>
      </c>
      <c r="D1839" t="s">
        <v>34</v>
      </c>
      <c r="E1839">
        <v>33</v>
      </c>
      <c r="F1839">
        <v>4.95</v>
      </c>
    </row>
    <row r="1840" spans="1:6">
      <c r="A1840">
        <v>1873</v>
      </c>
      <c r="B1840">
        <v>152012260</v>
      </c>
      <c r="C1840">
        <v>2012</v>
      </c>
      <c r="D1840" t="s">
        <v>34</v>
      </c>
      <c r="E1840">
        <v>50</v>
      </c>
      <c r="F1840">
        <v>10</v>
      </c>
    </row>
    <row r="1841" spans="1:6">
      <c r="A1841">
        <v>1884</v>
      </c>
      <c r="B1841">
        <v>152012260</v>
      </c>
      <c r="C1841">
        <v>2012</v>
      </c>
      <c r="D1841" t="s">
        <v>34</v>
      </c>
      <c r="E1841">
        <v>33</v>
      </c>
      <c r="F1841">
        <v>4.95</v>
      </c>
    </row>
    <row r="1842" spans="1:6">
      <c r="A1842">
        <v>1883</v>
      </c>
      <c r="B1842">
        <v>152012260</v>
      </c>
      <c r="C1842">
        <v>2012</v>
      </c>
      <c r="D1842" t="s">
        <v>34</v>
      </c>
      <c r="E1842">
        <v>20</v>
      </c>
      <c r="F1842">
        <v>4.95</v>
      </c>
    </row>
    <row r="1843" spans="1:6">
      <c r="A1843">
        <v>1874</v>
      </c>
      <c r="B1843">
        <v>152012260</v>
      </c>
      <c r="C1843">
        <v>2012</v>
      </c>
      <c r="D1843" t="s">
        <v>34</v>
      </c>
      <c r="E1843">
        <v>33</v>
      </c>
      <c r="F1843">
        <v>4.95</v>
      </c>
    </row>
    <row r="1844" spans="1:6">
      <c r="A1844">
        <v>1900</v>
      </c>
      <c r="B1844">
        <v>152012260</v>
      </c>
      <c r="C1844">
        <v>2012</v>
      </c>
      <c r="D1844" t="s">
        <v>34</v>
      </c>
      <c r="E1844">
        <v>33</v>
      </c>
      <c r="F1844">
        <v>4.95</v>
      </c>
    </row>
    <row r="1845" spans="1:6">
      <c r="A1845">
        <v>1897</v>
      </c>
      <c r="B1845">
        <v>152012260</v>
      </c>
      <c r="C1845">
        <v>2012</v>
      </c>
      <c r="D1845" t="s">
        <v>34</v>
      </c>
      <c r="E1845">
        <v>33</v>
      </c>
      <c r="F1845">
        <v>4.95</v>
      </c>
    </row>
    <row r="1846" spans="1:6">
      <c r="A1846">
        <v>1892</v>
      </c>
      <c r="B1846">
        <v>152012260</v>
      </c>
      <c r="C1846">
        <v>2012</v>
      </c>
      <c r="D1846" t="s">
        <v>34</v>
      </c>
      <c r="E1846">
        <v>66</v>
      </c>
      <c r="F1846">
        <v>9.9</v>
      </c>
    </row>
    <row r="1847" spans="1:6">
      <c r="A1847">
        <v>1895</v>
      </c>
      <c r="B1847">
        <v>152012260</v>
      </c>
      <c r="C1847">
        <v>2012</v>
      </c>
      <c r="D1847" t="s">
        <v>34</v>
      </c>
      <c r="E1847">
        <v>33</v>
      </c>
      <c r="F1847">
        <v>4.95</v>
      </c>
    </row>
    <row r="1848" spans="1:6">
      <c r="A1848">
        <v>1901</v>
      </c>
      <c r="B1848">
        <v>152012270</v>
      </c>
      <c r="C1848">
        <v>2012</v>
      </c>
      <c r="D1848" t="s">
        <v>31</v>
      </c>
      <c r="E1848" t="s">
        <v>32</v>
      </c>
      <c r="F1848">
        <v>2</v>
      </c>
    </row>
    <row r="1849" spans="1:6">
      <c r="A1849">
        <v>1902</v>
      </c>
      <c r="B1849">
        <v>152012270</v>
      </c>
      <c r="C1849">
        <v>2012</v>
      </c>
      <c r="D1849" t="s">
        <v>31</v>
      </c>
      <c r="E1849" t="s">
        <v>32</v>
      </c>
      <c r="F1849">
        <v>2</v>
      </c>
    </row>
    <row r="1850" spans="1:6">
      <c r="A1850">
        <v>1903</v>
      </c>
      <c r="B1850">
        <v>152012270</v>
      </c>
      <c r="C1850">
        <v>2012</v>
      </c>
      <c r="D1850" t="s">
        <v>31</v>
      </c>
      <c r="E1850" t="s">
        <v>32</v>
      </c>
      <c r="F1850">
        <v>1</v>
      </c>
    </row>
    <row r="1851" spans="1:6">
      <c r="A1851">
        <v>1904</v>
      </c>
      <c r="B1851">
        <v>152012270</v>
      </c>
      <c r="C1851">
        <v>2012</v>
      </c>
      <c r="D1851" t="s">
        <v>31</v>
      </c>
      <c r="E1851" t="s">
        <v>32</v>
      </c>
      <c r="F1851">
        <v>6</v>
      </c>
    </row>
    <row r="1852" spans="1:6">
      <c r="A1852">
        <v>1906</v>
      </c>
      <c r="B1852">
        <v>152013211</v>
      </c>
      <c r="C1852">
        <v>2013</v>
      </c>
      <c r="D1852" t="s">
        <v>37</v>
      </c>
      <c r="E1852">
        <v>1</v>
      </c>
      <c r="F1852">
        <v>66</v>
      </c>
    </row>
    <row r="1853" spans="1:6">
      <c r="A1853">
        <v>1905</v>
      </c>
      <c r="B1853">
        <v>152013211</v>
      </c>
      <c r="C1853">
        <v>2013</v>
      </c>
      <c r="D1853" t="s">
        <v>37</v>
      </c>
      <c r="E1853">
        <v>1</v>
      </c>
      <c r="F1853">
        <v>5</v>
      </c>
    </row>
    <row r="1854" spans="1:6">
      <c r="A1854">
        <v>1908</v>
      </c>
      <c r="B1854">
        <v>152013211</v>
      </c>
      <c r="C1854">
        <v>2013</v>
      </c>
      <c r="D1854" t="s">
        <v>37</v>
      </c>
      <c r="E1854">
        <v>2</v>
      </c>
      <c r="F1854">
        <v>2.1</v>
      </c>
    </row>
    <row r="1855" spans="1:6">
      <c r="A1855">
        <v>1909</v>
      </c>
      <c r="B1855">
        <v>152013211</v>
      </c>
      <c r="C1855">
        <v>2013</v>
      </c>
      <c r="D1855" t="s">
        <v>37</v>
      </c>
      <c r="E1855">
        <v>2</v>
      </c>
      <c r="F1855">
        <v>120</v>
      </c>
    </row>
    <row r="1856" spans="1:6">
      <c r="A1856">
        <v>1910</v>
      </c>
      <c r="B1856">
        <v>152013211</v>
      </c>
      <c r="C1856">
        <v>2013</v>
      </c>
      <c r="D1856" t="s">
        <v>37</v>
      </c>
      <c r="E1856">
        <v>1</v>
      </c>
      <c r="F1856">
        <v>35</v>
      </c>
    </row>
    <row r="1857" spans="1:6">
      <c r="A1857">
        <v>1907</v>
      </c>
      <c r="B1857">
        <v>152013211</v>
      </c>
      <c r="C1857">
        <v>2013</v>
      </c>
      <c r="D1857" t="s">
        <v>37</v>
      </c>
      <c r="E1857">
        <v>2</v>
      </c>
      <c r="F1857">
        <v>1</v>
      </c>
    </row>
    <row r="1858" spans="1:6">
      <c r="A1858">
        <v>1912</v>
      </c>
      <c r="B1858">
        <v>152013241</v>
      </c>
      <c r="C1858">
        <v>2013</v>
      </c>
      <c r="D1858" t="s">
        <v>33</v>
      </c>
      <c r="E1858">
        <v>2</v>
      </c>
      <c r="F1858">
        <v>3</v>
      </c>
    </row>
    <row r="1859" spans="1:6">
      <c r="A1859">
        <v>1913</v>
      </c>
      <c r="B1859">
        <v>152013241</v>
      </c>
      <c r="C1859">
        <v>2013</v>
      </c>
      <c r="D1859" t="s">
        <v>33</v>
      </c>
      <c r="E1859">
        <v>3</v>
      </c>
      <c r="F1859">
        <v>4.05</v>
      </c>
    </row>
    <row r="1860" spans="1:6">
      <c r="A1860">
        <v>1911</v>
      </c>
      <c r="B1860">
        <v>152013241</v>
      </c>
      <c r="C1860">
        <v>2013</v>
      </c>
      <c r="D1860" t="s">
        <v>33</v>
      </c>
      <c r="E1860">
        <v>1</v>
      </c>
      <c r="F1860">
        <v>1.2</v>
      </c>
    </row>
    <row r="1861" spans="1:6">
      <c r="A1861">
        <v>1914</v>
      </c>
      <c r="B1861">
        <v>152013242</v>
      </c>
      <c r="C1861">
        <v>2013</v>
      </c>
      <c r="D1861" t="s">
        <v>35</v>
      </c>
      <c r="E1861">
        <v>3</v>
      </c>
      <c r="F1861">
        <v>3.6</v>
      </c>
    </row>
    <row r="1862" spans="1:6">
      <c r="A1862">
        <v>1920</v>
      </c>
      <c r="B1862">
        <v>152013260</v>
      </c>
      <c r="C1862">
        <v>2013</v>
      </c>
      <c r="D1862" t="s">
        <v>34</v>
      </c>
      <c r="E1862">
        <v>30</v>
      </c>
      <c r="F1862">
        <v>4.5</v>
      </c>
    </row>
    <row r="1863" spans="1:6">
      <c r="A1863">
        <v>1921</v>
      </c>
      <c r="B1863">
        <v>152013260</v>
      </c>
      <c r="C1863">
        <v>2013</v>
      </c>
      <c r="D1863" t="s">
        <v>34</v>
      </c>
      <c r="E1863">
        <v>28</v>
      </c>
      <c r="F1863">
        <v>4.2</v>
      </c>
    </row>
    <row r="1864" spans="1:6">
      <c r="A1864">
        <v>1947</v>
      </c>
      <c r="B1864">
        <v>152013260</v>
      </c>
      <c r="C1864">
        <v>2013</v>
      </c>
      <c r="D1864" t="s">
        <v>34</v>
      </c>
      <c r="E1864">
        <v>33</v>
      </c>
      <c r="F1864">
        <v>4.95</v>
      </c>
    </row>
    <row r="1865" spans="1:6">
      <c r="A1865">
        <v>1930</v>
      </c>
      <c r="B1865">
        <v>152013260</v>
      </c>
      <c r="C1865">
        <v>2013</v>
      </c>
      <c r="D1865" t="s">
        <v>34</v>
      </c>
      <c r="E1865">
        <v>33</v>
      </c>
      <c r="F1865">
        <v>4.95</v>
      </c>
    </row>
    <row r="1866" spans="1:6">
      <c r="A1866">
        <v>1940</v>
      </c>
      <c r="B1866">
        <v>152013260</v>
      </c>
      <c r="C1866">
        <v>2013</v>
      </c>
      <c r="D1866" t="s">
        <v>34</v>
      </c>
      <c r="E1866">
        <v>25</v>
      </c>
      <c r="F1866">
        <v>5</v>
      </c>
    </row>
    <row r="1867" spans="1:6">
      <c r="A1867">
        <v>1944</v>
      </c>
      <c r="B1867">
        <v>152013260</v>
      </c>
      <c r="C1867">
        <v>2013</v>
      </c>
      <c r="D1867" t="s">
        <v>34</v>
      </c>
      <c r="E1867" t="s">
        <v>32</v>
      </c>
      <c r="F1867">
        <v>9.8</v>
      </c>
    </row>
    <row r="1868" spans="1:6">
      <c r="A1868">
        <v>1929</v>
      </c>
      <c r="B1868">
        <v>152013260</v>
      </c>
      <c r="C1868">
        <v>2013</v>
      </c>
      <c r="D1868" t="s">
        <v>34</v>
      </c>
      <c r="E1868">
        <v>33</v>
      </c>
      <c r="F1868">
        <v>4.95</v>
      </c>
    </row>
    <row r="1869" spans="1:6">
      <c r="A1869">
        <v>1938</v>
      </c>
      <c r="B1869">
        <v>152013260</v>
      </c>
      <c r="C1869">
        <v>2013</v>
      </c>
      <c r="D1869" t="s">
        <v>34</v>
      </c>
      <c r="E1869">
        <v>33</v>
      </c>
      <c r="F1869">
        <v>4.95</v>
      </c>
    </row>
    <row r="1870" spans="1:6">
      <c r="A1870">
        <v>1919</v>
      </c>
      <c r="B1870">
        <v>152013260</v>
      </c>
      <c r="C1870">
        <v>2013</v>
      </c>
      <c r="D1870" t="s">
        <v>34</v>
      </c>
      <c r="E1870">
        <v>24</v>
      </c>
      <c r="F1870">
        <v>3.6</v>
      </c>
    </row>
    <row r="1871" spans="1:6">
      <c r="A1871">
        <v>1939</v>
      </c>
      <c r="B1871">
        <v>152013260</v>
      </c>
      <c r="C1871">
        <v>2013</v>
      </c>
      <c r="D1871" t="s">
        <v>34</v>
      </c>
      <c r="E1871">
        <v>33</v>
      </c>
      <c r="F1871">
        <v>4.95</v>
      </c>
    </row>
    <row r="1872" spans="1:6">
      <c r="A1872">
        <v>1936</v>
      </c>
      <c r="B1872">
        <v>152013260</v>
      </c>
      <c r="C1872">
        <v>2013</v>
      </c>
      <c r="D1872" t="s">
        <v>34</v>
      </c>
      <c r="E1872">
        <v>33</v>
      </c>
      <c r="F1872">
        <v>4.95</v>
      </c>
    </row>
    <row r="1873" spans="1:6">
      <c r="A1873">
        <v>1948</v>
      </c>
      <c r="B1873">
        <v>152013260</v>
      </c>
      <c r="C1873">
        <v>2013</v>
      </c>
      <c r="D1873" t="s">
        <v>34</v>
      </c>
      <c r="E1873">
        <v>33</v>
      </c>
      <c r="F1873">
        <v>4.95</v>
      </c>
    </row>
    <row r="1874" spans="1:6">
      <c r="A1874">
        <v>1924</v>
      </c>
      <c r="B1874">
        <v>152013260</v>
      </c>
      <c r="C1874">
        <v>2013</v>
      </c>
      <c r="D1874" t="s">
        <v>34</v>
      </c>
      <c r="E1874">
        <v>50</v>
      </c>
      <c r="F1874">
        <v>10</v>
      </c>
    </row>
    <row r="1875" spans="1:6">
      <c r="A1875">
        <v>1923</v>
      </c>
      <c r="B1875">
        <v>152013260</v>
      </c>
      <c r="C1875">
        <v>2013</v>
      </c>
      <c r="D1875" t="s">
        <v>34</v>
      </c>
      <c r="E1875">
        <v>33</v>
      </c>
      <c r="F1875">
        <v>4.95</v>
      </c>
    </row>
    <row r="1876" spans="1:6">
      <c r="A1876">
        <v>1915</v>
      </c>
      <c r="B1876">
        <v>152013260</v>
      </c>
      <c r="C1876">
        <v>2013</v>
      </c>
      <c r="D1876" t="s">
        <v>34</v>
      </c>
      <c r="E1876">
        <v>33</v>
      </c>
      <c r="F1876">
        <v>4.95</v>
      </c>
    </row>
    <row r="1877" spans="1:6">
      <c r="A1877">
        <v>1943</v>
      </c>
      <c r="B1877">
        <v>152013260</v>
      </c>
      <c r="C1877">
        <v>2013</v>
      </c>
      <c r="D1877" t="s">
        <v>34</v>
      </c>
      <c r="E1877">
        <v>100</v>
      </c>
      <c r="F1877">
        <v>20</v>
      </c>
    </row>
    <row r="1878" spans="1:6">
      <c r="A1878">
        <v>1937</v>
      </c>
      <c r="B1878">
        <v>152013260</v>
      </c>
      <c r="C1878">
        <v>2013</v>
      </c>
      <c r="D1878" t="s">
        <v>34</v>
      </c>
      <c r="E1878">
        <v>33</v>
      </c>
      <c r="F1878">
        <v>4.95</v>
      </c>
    </row>
    <row r="1879" spans="1:6">
      <c r="A1879">
        <v>1925</v>
      </c>
      <c r="B1879">
        <v>152013260</v>
      </c>
      <c r="C1879">
        <v>2013</v>
      </c>
      <c r="D1879" t="s">
        <v>34</v>
      </c>
      <c r="E1879">
        <v>7</v>
      </c>
      <c r="F1879">
        <v>1.05</v>
      </c>
    </row>
    <row r="1880" spans="1:6">
      <c r="A1880">
        <v>1917</v>
      </c>
      <c r="B1880">
        <v>152013260</v>
      </c>
      <c r="C1880">
        <v>2013</v>
      </c>
      <c r="D1880" t="s">
        <v>34</v>
      </c>
      <c r="E1880">
        <v>50</v>
      </c>
      <c r="F1880">
        <v>10</v>
      </c>
    </row>
    <row r="1881" spans="1:6">
      <c r="A1881">
        <v>1916</v>
      </c>
      <c r="B1881">
        <v>152013260</v>
      </c>
      <c r="C1881">
        <v>2013</v>
      </c>
      <c r="D1881" t="s">
        <v>34</v>
      </c>
      <c r="E1881">
        <v>33</v>
      </c>
      <c r="F1881">
        <v>4.95</v>
      </c>
    </row>
    <row r="1882" spans="1:6">
      <c r="A1882">
        <v>1926</v>
      </c>
      <c r="B1882">
        <v>152013260</v>
      </c>
      <c r="C1882">
        <v>2013</v>
      </c>
      <c r="D1882" t="s">
        <v>34</v>
      </c>
      <c r="E1882">
        <v>33</v>
      </c>
      <c r="F1882">
        <v>4.95</v>
      </c>
    </row>
    <row r="1883" spans="1:6">
      <c r="A1883">
        <v>1927</v>
      </c>
      <c r="B1883">
        <v>152013260</v>
      </c>
      <c r="C1883">
        <v>2013</v>
      </c>
      <c r="D1883" t="s">
        <v>34</v>
      </c>
      <c r="E1883">
        <v>33</v>
      </c>
      <c r="F1883">
        <v>4.95</v>
      </c>
    </row>
    <row r="1884" spans="1:6">
      <c r="A1884">
        <v>1928</v>
      </c>
      <c r="B1884">
        <v>152013260</v>
      </c>
      <c r="C1884">
        <v>2013</v>
      </c>
      <c r="D1884" t="s">
        <v>34</v>
      </c>
      <c r="E1884">
        <v>33</v>
      </c>
      <c r="F1884">
        <v>4.95</v>
      </c>
    </row>
    <row r="1885" spans="1:6">
      <c r="A1885">
        <v>1931</v>
      </c>
      <c r="B1885">
        <v>152013260</v>
      </c>
      <c r="C1885">
        <v>2013</v>
      </c>
      <c r="D1885" t="s">
        <v>34</v>
      </c>
      <c r="E1885">
        <v>100</v>
      </c>
      <c r="F1885">
        <v>20</v>
      </c>
    </row>
    <row r="1886" spans="1:6">
      <c r="A1886">
        <v>1918</v>
      </c>
      <c r="B1886">
        <v>152013260</v>
      </c>
      <c r="C1886">
        <v>2013</v>
      </c>
      <c r="D1886" t="s">
        <v>34</v>
      </c>
      <c r="E1886">
        <v>33</v>
      </c>
      <c r="F1886">
        <v>4.95</v>
      </c>
    </row>
    <row r="1887" spans="1:6">
      <c r="A1887">
        <v>1945</v>
      </c>
      <c r="B1887">
        <v>152013260</v>
      </c>
      <c r="C1887">
        <v>2013</v>
      </c>
      <c r="D1887" t="s">
        <v>34</v>
      </c>
      <c r="E1887">
        <v>33</v>
      </c>
      <c r="F1887">
        <v>4.95</v>
      </c>
    </row>
    <row r="1888" spans="1:6">
      <c r="A1888">
        <v>1933</v>
      </c>
      <c r="B1888">
        <v>152013260</v>
      </c>
      <c r="C1888">
        <v>2013</v>
      </c>
      <c r="D1888" t="s">
        <v>34</v>
      </c>
      <c r="E1888">
        <v>33</v>
      </c>
      <c r="F1888">
        <v>4.95</v>
      </c>
    </row>
    <row r="1889" spans="1:6">
      <c r="A1889">
        <v>1935</v>
      </c>
      <c r="B1889">
        <v>152013260</v>
      </c>
      <c r="C1889">
        <v>2013</v>
      </c>
      <c r="D1889" t="s">
        <v>34</v>
      </c>
      <c r="E1889">
        <v>33</v>
      </c>
      <c r="F1889">
        <v>4.95</v>
      </c>
    </row>
    <row r="1890" spans="1:6">
      <c r="A1890">
        <v>1932</v>
      </c>
      <c r="B1890">
        <v>152013260</v>
      </c>
      <c r="C1890">
        <v>2013</v>
      </c>
      <c r="D1890" t="s">
        <v>34</v>
      </c>
      <c r="E1890">
        <v>33</v>
      </c>
      <c r="F1890">
        <v>4.95</v>
      </c>
    </row>
    <row r="1891" spans="1:6">
      <c r="A1891">
        <v>1942</v>
      </c>
      <c r="B1891">
        <v>152013260</v>
      </c>
      <c r="C1891">
        <v>2013</v>
      </c>
      <c r="D1891" t="s">
        <v>34</v>
      </c>
      <c r="E1891">
        <v>25</v>
      </c>
      <c r="F1891">
        <v>5</v>
      </c>
    </row>
    <row r="1892" spans="1:6">
      <c r="A1892">
        <v>1922</v>
      </c>
      <c r="B1892">
        <v>152013260</v>
      </c>
      <c r="C1892">
        <v>2013</v>
      </c>
      <c r="D1892" t="s">
        <v>34</v>
      </c>
      <c r="E1892">
        <v>33</v>
      </c>
      <c r="F1892">
        <v>4.95</v>
      </c>
    </row>
    <row r="1893" spans="1:6">
      <c r="A1893">
        <v>1934</v>
      </c>
      <c r="B1893">
        <v>152013260</v>
      </c>
      <c r="C1893">
        <v>2013</v>
      </c>
      <c r="D1893" t="s">
        <v>34</v>
      </c>
      <c r="E1893">
        <v>48</v>
      </c>
      <c r="F1893">
        <v>4.95</v>
      </c>
    </row>
    <row r="1894" spans="1:6">
      <c r="A1894">
        <v>1946</v>
      </c>
      <c r="B1894">
        <v>152013260</v>
      </c>
      <c r="C1894">
        <v>2013</v>
      </c>
      <c r="D1894" t="s">
        <v>34</v>
      </c>
      <c r="E1894" t="s">
        <v>32</v>
      </c>
      <c r="F1894">
        <v>4.95</v>
      </c>
    </row>
    <row r="1895" spans="1:6">
      <c r="A1895">
        <v>1941</v>
      </c>
      <c r="B1895">
        <v>152013260</v>
      </c>
      <c r="C1895">
        <v>2013</v>
      </c>
      <c r="D1895" t="s">
        <v>34</v>
      </c>
      <c r="E1895">
        <v>33</v>
      </c>
      <c r="F1895">
        <v>4.95</v>
      </c>
    </row>
    <row r="1896" spans="1:6">
      <c r="A1896">
        <v>1980</v>
      </c>
      <c r="B1896">
        <v>152013270</v>
      </c>
      <c r="C1896">
        <v>2013</v>
      </c>
      <c r="D1896" t="s">
        <v>31</v>
      </c>
      <c r="E1896" t="s">
        <v>32</v>
      </c>
      <c r="F1896">
        <v>2</v>
      </c>
    </row>
    <row r="1897" spans="1:6">
      <c r="A1897">
        <v>1969</v>
      </c>
      <c r="B1897">
        <v>152013270</v>
      </c>
      <c r="C1897">
        <v>2013</v>
      </c>
      <c r="D1897" t="s">
        <v>31</v>
      </c>
      <c r="E1897" t="s">
        <v>32</v>
      </c>
      <c r="F1897">
        <v>1</v>
      </c>
    </row>
    <row r="1898" spans="1:6">
      <c r="A1898">
        <v>1983</v>
      </c>
      <c r="B1898">
        <v>152013270</v>
      </c>
      <c r="C1898">
        <v>2013</v>
      </c>
      <c r="D1898" t="s">
        <v>31</v>
      </c>
      <c r="E1898" t="s">
        <v>32</v>
      </c>
      <c r="F1898">
        <v>0.9</v>
      </c>
    </row>
    <row r="1899" spans="1:6">
      <c r="A1899">
        <v>1952</v>
      </c>
      <c r="B1899">
        <v>152013270</v>
      </c>
      <c r="C1899">
        <v>2013</v>
      </c>
      <c r="D1899" t="s">
        <v>31</v>
      </c>
      <c r="E1899" t="s">
        <v>32</v>
      </c>
      <c r="F1899">
        <v>1</v>
      </c>
    </row>
    <row r="1900" spans="1:6">
      <c r="A1900">
        <v>1960</v>
      </c>
      <c r="B1900">
        <v>152013270</v>
      </c>
      <c r="C1900">
        <v>2013</v>
      </c>
      <c r="D1900" t="s">
        <v>31</v>
      </c>
      <c r="E1900" t="s">
        <v>32</v>
      </c>
      <c r="F1900">
        <v>2</v>
      </c>
    </row>
    <row r="1901" spans="1:6">
      <c r="A1901">
        <v>1978</v>
      </c>
      <c r="B1901">
        <v>152013270</v>
      </c>
      <c r="C1901">
        <v>2013</v>
      </c>
      <c r="D1901" t="s">
        <v>31</v>
      </c>
      <c r="E1901" t="s">
        <v>32</v>
      </c>
      <c r="F1901">
        <v>3</v>
      </c>
    </row>
    <row r="1902" spans="1:6">
      <c r="A1902">
        <v>1979</v>
      </c>
      <c r="B1902">
        <v>152013270</v>
      </c>
      <c r="C1902">
        <v>2013</v>
      </c>
      <c r="D1902" t="s">
        <v>31</v>
      </c>
      <c r="E1902" t="s">
        <v>32</v>
      </c>
      <c r="F1902">
        <v>3</v>
      </c>
    </row>
    <row r="1903" spans="1:6">
      <c r="A1903">
        <v>1953</v>
      </c>
      <c r="B1903">
        <v>152013270</v>
      </c>
      <c r="C1903">
        <v>2013</v>
      </c>
      <c r="D1903" t="s">
        <v>31</v>
      </c>
      <c r="E1903" t="s">
        <v>32</v>
      </c>
      <c r="F1903">
        <v>1</v>
      </c>
    </row>
    <row r="1904" spans="1:6">
      <c r="A1904">
        <v>1950</v>
      </c>
      <c r="B1904">
        <v>152013270</v>
      </c>
      <c r="C1904">
        <v>2013</v>
      </c>
      <c r="D1904" t="s">
        <v>31</v>
      </c>
      <c r="E1904" t="s">
        <v>32</v>
      </c>
      <c r="F1904">
        <v>3</v>
      </c>
    </row>
    <row r="1905" spans="1:6">
      <c r="A1905">
        <v>1981</v>
      </c>
      <c r="B1905">
        <v>152013270</v>
      </c>
      <c r="C1905">
        <v>2013</v>
      </c>
      <c r="D1905" t="s">
        <v>31</v>
      </c>
      <c r="E1905" t="s">
        <v>32</v>
      </c>
      <c r="F1905">
        <v>1</v>
      </c>
    </row>
    <row r="1906" spans="1:6">
      <c r="A1906">
        <v>1982</v>
      </c>
      <c r="B1906">
        <v>152013270</v>
      </c>
      <c r="C1906">
        <v>2013</v>
      </c>
      <c r="D1906" t="s">
        <v>31</v>
      </c>
      <c r="E1906" t="s">
        <v>32</v>
      </c>
      <c r="F1906">
        <v>3</v>
      </c>
    </row>
    <row r="1907" spans="1:6">
      <c r="A1907">
        <v>1962</v>
      </c>
      <c r="B1907">
        <v>152013270</v>
      </c>
      <c r="C1907">
        <v>2013</v>
      </c>
      <c r="D1907" t="s">
        <v>31</v>
      </c>
      <c r="E1907" t="s">
        <v>32</v>
      </c>
      <c r="F1907">
        <v>2</v>
      </c>
    </row>
    <row r="1908" spans="1:6">
      <c r="A1908">
        <v>1959</v>
      </c>
      <c r="B1908">
        <v>152013270</v>
      </c>
      <c r="C1908">
        <v>2013</v>
      </c>
      <c r="D1908" t="s">
        <v>31</v>
      </c>
      <c r="E1908" t="s">
        <v>32</v>
      </c>
      <c r="F1908">
        <v>2</v>
      </c>
    </row>
    <row r="1909" spans="1:6">
      <c r="A1909">
        <v>1954</v>
      </c>
      <c r="B1909">
        <v>152013270</v>
      </c>
      <c r="C1909">
        <v>2013</v>
      </c>
      <c r="D1909" t="s">
        <v>31</v>
      </c>
      <c r="E1909" t="s">
        <v>32</v>
      </c>
      <c r="F1909">
        <v>2</v>
      </c>
    </row>
    <row r="1910" spans="1:6">
      <c r="A1910">
        <v>1966</v>
      </c>
      <c r="B1910">
        <v>152013270</v>
      </c>
      <c r="C1910">
        <v>2013</v>
      </c>
      <c r="D1910" t="s">
        <v>31</v>
      </c>
      <c r="E1910" t="s">
        <v>32</v>
      </c>
      <c r="F1910">
        <v>3</v>
      </c>
    </row>
    <row r="1911" spans="1:6">
      <c r="A1911">
        <v>1967</v>
      </c>
      <c r="B1911">
        <v>152013270</v>
      </c>
      <c r="C1911">
        <v>2013</v>
      </c>
      <c r="D1911" t="s">
        <v>31</v>
      </c>
      <c r="E1911" t="s">
        <v>32</v>
      </c>
      <c r="F1911">
        <v>5</v>
      </c>
    </row>
    <row r="1912" spans="1:6">
      <c r="A1912">
        <v>1951</v>
      </c>
      <c r="B1912">
        <v>152013270</v>
      </c>
      <c r="C1912">
        <v>2013</v>
      </c>
      <c r="D1912" t="s">
        <v>31</v>
      </c>
      <c r="E1912" t="s">
        <v>32</v>
      </c>
      <c r="F1912">
        <v>2</v>
      </c>
    </row>
    <row r="1913" spans="1:6">
      <c r="A1913">
        <v>1971</v>
      </c>
      <c r="B1913">
        <v>152013270</v>
      </c>
      <c r="C1913">
        <v>2013</v>
      </c>
      <c r="D1913" t="s">
        <v>31</v>
      </c>
      <c r="E1913" t="s">
        <v>32</v>
      </c>
      <c r="F1913">
        <v>4.8</v>
      </c>
    </row>
    <row r="1914" spans="1:6">
      <c r="A1914">
        <v>1955</v>
      </c>
      <c r="B1914">
        <v>152013270</v>
      </c>
      <c r="C1914">
        <v>2013</v>
      </c>
      <c r="D1914" t="s">
        <v>31</v>
      </c>
      <c r="E1914" t="s">
        <v>32</v>
      </c>
      <c r="F1914">
        <v>5</v>
      </c>
    </row>
    <row r="1915" spans="1:6">
      <c r="A1915">
        <v>1963</v>
      </c>
      <c r="B1915">
        <v>152013270</v>
      </c>
      <c r="C1915">
        <v>2013</v>
      </c>
      <c r="D1915" t="s">
        <v>31</v>
      </c>
      <c r="E1915" t="s">
        <v>32</v>
      </c>
      <c r="F1915">
        <v>2</v>
      </c>
    </row>
    <row r="1916" spans="1:6">
      <c r="A1916">
        <v>1968</v>
      </c>
      <c r="B1916">
        <v>152013270</v>
      </c>
      <c r="C1916">
        <v>2013</v>
      </c>
      <c r="D1916" t="s">
        <v>31</v>
      </c>
      <c r="E1916" t="s">
        <v>32</v>
      </c>
      <c r="F1916">
        <v>2</v>
      </c>
    </row>
    <row r="1917" spans="1:6">
      <c r="A1917">
        <v>1957</v>
      </c>
      <c r="B1917">
        <v>152013270</v>
      </c>
      <c r="C1917">
        <v>2013</v>
      </c>
      <c r="D1917" t="s">
        <v>31</v>
      </c>
      <c r="E1917" t="s">
        <v>32</v>
      </c>
      <c r="F1917">
        <v>2</v>
      </c>
    </row>
    <row r="1918" spans="1:6">
      <c r="A1918">
        <v>1972</v>
      </c>
      <c r="B1918">
        <v>152013270</v>
      </c>
      <c r="C1918">
        <v>2013</v>
      </c>
      <c r="D1918" t="s">
        <v>31</v>
      </c>
      <c r="E1918" t="s">
        <v>32</v>
      </c>
      <c r="F1918">
        <v>1</v>
      </c>
    </row>
    <row r="1919" spans="1:6">
      <c r="A1919">
        <v>1970</v>
      </c>
      <c r="B1919">
        <v>152013270</v>
      </c>
      <c r="C1919">
        <v>2013</v>
      </c>
      <c r="D1919" t="s">
        <v>31</v>
      </c>
      <c r="E1919" t="s">
        <v>32</v>
      </c>
      <c r="F1919">
        <v>5</v>
      </c>
    </row>
    <row r="1920" spans="1:6">
      <c r="A1920">
        <v>1964</v>
      </c>
      <c r="B1920">
        <v>152013270</v>
      </c>
      <c r="C1920">
        <v>2013</v>
      </c>
      <c r="D1920" t="s">
        <v>31</v>
      </c>
      <c r="E1920" t="s">
        <v>32</v>
      </c>
      <c r="F1920">
        <v>2</v>
      </c>
    </row>
    <row r="1921" spans="1:6">
      <c r="A1921">
        <v>1984</v>
      </c>
      <c r="B1921">
        <v>152013270</v>
      </c>
      <c r="C1921">
        <v>2013</v>
      </c>
      <c r="D1921" t="s">
        <v>31</v>
      </c>
      <c r="E1921" t="s">
        <v>32</v>
      </c>
      <c r="F1921">
        <v>2</v>
      </c>
    </row>
    <row r="1922" spans="1:6">
      <c r="A1922">
        <v>1973</v>
      </c>
      <c r="B1922">
        <v>152013270</v>
      </c>
      <c r="C1922">
        <v>2013</v>
      </c>
      <c r="D1922" t="s">
        <v>31</v>
      </c>
      <c r="E1922" t="s">
        <v>32</v>
      </c>
      <c r="F1922">
        <v>5</v>
      </c>
    </row>
    <row r="1923" spans="1:6">
      <c r="A1923">
        <v>1949</v>
      </c>
      <c r="B1923">
        <v>152013270</v>
      </c>
      <c r="C1923">
        <v>2013</v>
      </c>
      <c r="D1923" t="s">
        <v>31</v>
      </c>
      <c r="E1923" t="s">
        <v>32</v>
      </c>
      <c r="F1923">
        <v>1</v>
      </c>
    </row>
    <row r="1924" spans="1:6">
      <c r="A1924">
        <v>1961</v>
      </c>
      <c r="B1924">
        <v>152013270</v>
      </c>
      <c r="C1924">
        <v>2013</v>
      </c>
      <c r="D1924" t="s">
        <v>31</v>
      </c>
      <c r="E1924" t="s">
        <v>32</v>
      </c>
      <c r="F1924">
        <v>2</v>
      </c>
    </row>
    <row r="1925" spans="1:6">
      <c r="A1925">
        <v>1974</v>
      </c>
      <c r="B1925">
        <v>152013270</v>
      </c>
      <c r="C1925">
        <v>2013</v>
      </c>
      <c r="D1925" t="s">
        <v>31</v>
      </c>
      <c r="E1925" t="s">
        <v>32</v>
      </c>
      <c r="F1925">
        <v>4</v>
      </c>
    </row>
    <row r="1926" spans="1:6">
      <c r="A1926">
        <v>1956</v>
      </c>
      <c r="B1926">
        <v>152013270</v>
      </c>
      <c r="C1926">
        <v>2013</v>
      </c>
      <c r="D1926" t="s">
        <v>31</v>
      </c>
      <c r="E1926" t="s">
        <v>32</v>
      </c>
      <c r="F1926">
        <v>1</v>
      </c>
    </row>
    <row r="1927" spans="1:6">
      <c r="A1927">
        <v>1977</v>
      </c>
      <c r="B1927">
        <v>152013270</v>
      </c>
      <c r="C1927">
        <v>2013</v>
      </c>
      <c r="D1927" t="s">
        <v>31</v>
      </c>
      <c r="E1927" t="s">
        <v>32</v>
      </c>
      <c r="F1927">
        <v>8</v>
      </c>
    </row>
    <row r="1928" spans="1:6">
      <c r="A1928">
        <v>1976</v>
      </c>
      <c r="B1928">
        <v>152013270</v>
      </c>
      <c r="C1928">
        <v>2013</v>
      </c>
      <c r="D1928" t="s">
        <v>31</v>
      </c>
      <c r="E1928" t="s">
        <v>32</v>
      </c>
      <c r="F1928">
        <v>4</v>
      </c>
    </row>
    <row r="1929" spans="1:6">
      <c r="A1929">
        <v>1965</v>
      </c>
      <c r="B1929">
        <v>152013270</v>
      </c>
      <c r="C1929">
        <v>2013</v>
      </c>
      <c r="D1929" t="s">
        <v>31</v>
      </c>
      <c r="E1929" t="s">
        <v>32</v>
      </c>
      <c r="F1929">
        <v>2</v>
      </c>
    </row>
    <row r="1930" spans="1:6">
      <c r="A1930">
        <v>1958</v>
      </c>
      <c r="B1930">
        <v>152013270</v>
      </c>
      <c r="C1930">
        <v>2013</v>
      </c>
      <c r="D1930" t="s">
        <v>31</v>
      </c>
      <c r="E1930" t="s">
        <v>32</v>
      </c>
      <c r="F1930">
        <v>5</v>
      </c>
    </row>
    <row r="1931" spans="1:6">
      <c r="A1931">
        <v>1975</v>
      </c>
      <c r="B1931">
        <v>152013270</v>
      </c>
      <c r="C1931">
        <v>2013</v>
      </c>
      <c r="D1931" t="s">
        <v>31</v>
      </c>
      <c r="E1931" t="s">
        <v>32</v>
      </c>
      <c r="F1931">
        <v>5</v>
      </c>
    </row>
    <row r="1932" spans="1:6">
      <c r="A1932">
        <v>1985</v>
      </c>
      <c r="B1932">
        <v>152014110</v>
      </c>
      <c r="C1932">
        <v>2014</v>
      </c>
      <c r="D1932" t="s">
        <v>40</v>
      </c>
      <c r="E1932">
        <v>4</v>
      </c>
      <c r="F1932">
        <v>9</v>
      </c>
    </row>
    <row r="1933" spans="1:6">
      <c r="A1933">
        <v>1986</v>
      </c>
      <c r="B1933">
        <v>152014120</v>
      </c>
      <c r="C1933">
        <v>2014</v>
      </c>
      <c r="D1933" t="s">
        <v>42</v>
      </c>
      <c r="E1933">
        <v>2</v>
      </c>
      <c r="F1933">
        <v>60</v>
      </c>
    </row>
    <row r="1934" spans="1:6">
      <c r="A1934">
        <v>1989</v>
      </c>
      <c r="B1934">
        <v>152014211</v>
      </c>
      <c r="C1934">
        <v>2014</v>
      </c>
      <c r="D1934" t="s">
        <v>37</v>
      </c>
      <c r="E1934">
        <v>1</v>
      </c>
      <c r="F1934">
        <v>33</v>
      </c>
    </row>
    <row r="1935" spans="1:6">
      <c r="A1935">
        <v>1988</v>
      </c>
      <c r="B1935">
        <v>152014211</v>
      </c>
      <c r="C1935">
        <v>2014</v>
      </c>
      <c r="D1935" t="s">
        <v>37</v>
      </c>
      <c r="E1935">
        <v>1</v>
      </c>
      <c r="F1935">
        <v>1.2</v>
      </c>
    </row>
    <row r="1936" spans="1:6">
      <c r="A1936">
        <v>1987</v>
      </c>
      <c r="B1936">
        <v>152014211</v>
      </c>
      <c r="C1936">
        <v>2014</v>
      </c>
      <c r="D1936" t="s">
        <v>37</v>
      </c>
      <c r="E1936">
        <v>1</v>
      </c>
      <c r="F1936">
        <v>35</v>
      </c>
    </row>
    <row r="1937" spans="1:6">
      <c r="A1937">
        <v>1990</v>
      </c>
      <c r="B1937">
        <v>152014211</v>
      </c>
      <c r="C1937">
        <v>2014</v>
      </c>
      <c r="D1937" t="s">
        <v>37</v>
      </c>
      <c r="E1937">
        <v>1</v>
      </c>
      <c r="F1937">
        <v>20</v>
      </c>
    </row>
    <row r="1938" spans="1:6">
      <c r="A1938">
        <v>1991</v>
      </c>
      <c r="B1938">
        <v>152014211</v>
      </c>
      <c r="C1938">
        <v>2014</v>
      </c>
      <c r="D1938" t="s">
        <v>37</v>
      </c>
      <c r="E1938">
        <v>2</v>
      </c>
      <c r="F1938">
        <v>10</v>
      </c>
    </row>
    <row r="1939" spans="1:6">
      <c r="A1939">
        <v>1993</v>
      </c>
      <c r="B1939">
        <v>152014241</v>
      </c>
      <c r="C1939">
        <v>2014</v>
      </c>
      <c r="D1939" t="s">
        <v>33</v>
      </c>
      <c r="E1939">
        <v>2</v>
      </c>
      <c r="F1939">
        <v>9</v>
      </c>
    </row>
    <row r="1940" spans="1:6">
      <c r="A1940">
        <v>1994</v>
      </c>
      <c r="B1940">
        <v>152014241</v>
      </c>
      <c r="C1940">
        <v>2014</v>
      </c>
      <c r="D1940" t="s">
        <v>33</v>
      </c>
      <c r="E1940">
        <v>1</v>
      </c>
      <c r="F1940">
        <v>5</v>
      </c>
    </row>
    <row r="1941" spans="1:6">
      <c r="A1941">
        <v>1995</v>
      </c>
      <c r="B1941">
        <v>152014241</v>
      </c>
      <c r="C1941">
        <v>2014</v>
      </c>
      <c r="D1941" t="s">
        <v>33</v>
      </c>
      <c r="E1941">
        <v>1</v>
      </c>
      <c r="F1941">
        <v>5</v>
      </c>
    </row>
    <row r="1942" spans="1:6">
      <c r="A1942">
        <v>1996</v>
      </c>
      <c r="B1942">
        <v>152014241</v>
      </c>
      <c r="C1942">
        <v>2014</v>
      </c>
      <c r="D1942" t="s">
        <v>33</v>
      </c>
      <c r="E1942">
        <v>1</v>
      </c>
      <c r="F1942">
        <v>3</v>
      </c>
    </row>
    <row r="1943" spans="1:6">
      <c r="A1943">
        <v>2001</v>
      </c>
      <c r="B1943">
        <v>152014241</v>
      </c>
      <c r="C1943">
        <v>2014</v>
      </c>
      <c r="D1943" t="s">
        <v>33</v>
      </c>
      <c r="E1943">
        <v>1</v>
      </c>
      <c r="F1943">
        <v>0.75</v>
      </c>
    </row>
    <row r="1944" spans="1:6">
      <c r="A1944">
        <v>1999</v>
      </c>
      <c r="B1944">
        <v>152014241</v>
      </c>
      <c r="C1944">
        <v>2014</v>
      </c>
      <c r="D1944" t="s">
        <v>33</v>
      </c>
      <c r="E1944">
        <v>1</v>
      </c>
      <c r="F1944">
        <v>0.9</v>
      </c>
    </row>
    <row r="1945" spans="1:6">
      <c r="A1945">
        <v>1992</v>
      </c>
      <c r="B1945">
        <v>152014241</v>
      </c>
      <c r="C1945">
        <v>2014</v>
      </c>
      <c r="D1945" t="s">
        <v>33</v>
      </c>
      <c r="E1945">
        <v>1</v>
      </c>
      <c r="F1945">
        <v>0.45</v>
      </c>
    </row>
    <row r="1946" spans="1:6">
      <c r="A1946">
        <v>2000</v>
      </c>
      <c r="B1946">
        <v>152014241</v>
      </c>
      <c r="C1946">
        <v>2014</v>
      </c>
      <c r="D1946" t="s">
        <v>33</v>
      </c>
      <c r="E1946">
        <v>1</v>
      </c>
      <c r="F1946">
        <v>0.75</v>
      </c>
    </row>
    <row r="1947" spans="1:6">
      <c r="A1947">
        <v>1997</v>
      </c>
      <c r="B1947">
        <v>152014241</v>
      </c>
      <c r="C1947">
        <v>2014</v>
      </c>
      <c r="D1947" t="s">
        <v>33</v>
      </c>
      <c r="E1947">
        <v>2</v>
      </c>
      <c r="F1947">
        <v>1.65</v>
      </c>
    </row>
    <row r="1948" spans="1:6">
      <c r="A1948">
        <v>1998</v>
      </c>
      <c r="B1948">
        <v>152014241</v>
      </c>
      <c r="C1948">
        <v>2014</v>
      </c>
      <c r="D1948" t="s">
        <v>33</v>
      </c>
      <c r="E1948">
        <v>1</v>
      </c>
      <c r="F1948">
        <v>1.09</v>
      </c>
    </row>
    <row r="1949" spans="1:6">
      <c r="A1949">
        <v>2002</v>
      </c>
      <c r="B1949">
        <v>152014260</v>
      </c>
      <c r="C1949">
        <v>2014</v>
      </c>
      <c r="D1949" t="s">
        <v>34</v>
      </c>
      <c r="E1949">
        <v>99</v>
      </c>
      <c r="F1949">
        <v>14.85</v>
      </c>
    </row>
    <row r="1950" spans="1:6">
      <c r="A1950">
        <v>2004</v>
      </c>
      <c r="B1950">
        <v>152014260</v>
      </c>
      <c r="C1950">
        <v>2014</v>
      </c>
      <c r="D1950" t="s">
        <v>34</v>
      </c>
      <c r="E1950">
        <v>86</v>
      </c>
      <c r="F1950">
        <v>12.9</v>
      </c>
    </row>
    <row r="1951" spans="1:6">
      <c r="A1951">
        <v>2005</v>
      </c>
      <c r="B1951">
        <v>152014260</v>
      </c>
      <c r="C1951">
        <v>2014</v>
      </c>
      <c r="D1951" t="s">
        <v>34</v>
      </c>
      <c r="E1951">
        <v>163</v>
      </c>
      <c r="F1951">
        <v>25</v>
      </c>
    </row>
    <row r="1952" spans="1:6">
      <c r="A1952">
        <v>2025</v>
      </c>
      <c r="B1952">
        <v>152014260</v>
      </c>
      <c r="C1952">
        <v>2014</v>
      </c>
      <c r="D1952" t="s">
        <v>34</v>
      </c>
      <c r="F1952">
        <v>4.8</v>
      </c>
    </row>
    <row r="1953" spans="1:6">
      <c r="A1953">
        <v>2014</v>
      </c>
      <c r="B1953">
        <v>152014260</v>
      </c>
      <c r="C1953">
        <v>2014</v>
      </c>
      <c r="D1953" t="s">
        <v>34</v>
      </c>
      <c r="E1953">
        <v>33</v>
      </c>
      <c r="F1953">
        <v>4.95</v>
      </c>
    </row>
    <row r="1954" spans="1:6">
      <c r="A1954">
        <v>2011</v>
      </c>
      <c r="B1954">
        <v>152014260</v>
      </c>
      <c r="C1954">
        <v>2014</v>
      </c>
      <c r="D1954" t="s">
        <v>34</v>
      </c>
      <c r="E1954">
        <v>40</v>
      </c>
      <c r="F1954">
        <v>6</v>
      </c>
    </row>
    <row r="1955" spans="1:6">
      <c r="A1955">
        <v>2010</v>
      </c>
      <c r="B1955">
        <v>152014260</v>
      </c>
      <c r="C1955">
        <v>2014</v>
      </c>
      <c r="D1955" t="s">
        <v>34</v>
      </c>
      <c r="F1955">
        <v>6</v>
      </c>
    </row>
    <row r="1956" spans="1:6">
      <c r="A1956">
        <v>2016</v>
      </c>
      <c r="B1956">
        <v>152014260</v>
      </c>
      <c r="C1956">
        <v>2014</v>
      </c>
      <c r="D1956" t="s">
        <v>34</v>
      </c>
      <c r="F1956">
        <v>4.95</v>
      </c>
    </row>
    <row r="1957" spans="1:6">
      <c r="A1957">
        <v>2018</v>
      </c>
      <c r="B1957">
        <v>152014260</v>
      </c>
      <c r="C1957">
        <v>2014</v>
      </c>
      <c r="D1957" t="s">
        <v>34</v>
      </c>
      <c r="E1957">
        <v>33</v>
      </c>
      <c r="F1957">
        <v>4.95</v>
      </c>
    </row>
    <row r="1958" spans="1:6">
      <c r="A1958">
        <v>2007</v>
      </c>
      <c r="B1958">
        <v>152014260</v>
      </c>
      <c r="C1958">
        <v>2014</v>
      </c>
      <c r="D1958" t="s">
        <v>34</v>
      </c>
      <c r="E1958">
        <v>33</v>
      </c>
      <c r="F1958">
        <v>4.95</v>
      </c>
    </row>
    <row r="1959" spans="1:6">
      <c r="A1959">
        <v>2022</v>
      </c>
      <c r="B1959">
        <v>152014260</v>
      </c>
      <c r="C1959">
        <v>2014</v>
      </c>
      <c r="D1959" t="s">
        <v>34</v>
      </c>
      <c r="E1959">
        <v>33</v>
      </c>
      <c r="F1959">
        <v>4.95</v>
      </c>
    </row>
    <row r="1960" spans="1:6">
      <c r="A1960">
        <v>2008</v>
      </c>
      <c r="B1960">
        <v>152014260</v>
      </c>
      <c r="C1960">
        <v>2014</v>
      </c>
      <c r="D1960" t="s">
        <v>34</v>
      </c>
      <c r="E1960">
        <v>24</v>
      </c>
      <c r="F1960">
        <v>4.8</v>
      </c>
    </row>
    <row r="1961" spans="1:6">
      <c r="A1961">
        <v>2020</v>
      </c>
      <c r="B1961">
        <v>152014260</v>
      </c>
      <c r="C1961">
        <v>2014</v>
      </c>
      <c r="D1961" t="s">
        <v>34</v>
      </c>
      <c r="E1961">
        <v>41</v>
      </c>
      <c r="F1961">
        <v>6.15</v>
      </c>
    </row>
    <row r="1962" spans="1:6">
      <c r="A1962">
        <v>2021</v>
      </c>
      <c r="B1962">
        <v>152014260</v>
      </c>
      <c r="C1962">
        <v>2014</v>
      </c>
      <c r="D1962" t="s">
        <v>34</v>
      </c>
      <c r="E1962">
        <v>33</v>
      </c>
      <c r="F1962">
        <v>4.95</v>
      </c>
    </row>
    <row r="1963" spans="1:6">
      <c r="A1963">
        <v>2017</v>
      </c>
      <c r="B1963">
        <v>152014260</v>
      </c>
      <c r="C1963">
        <v>2014</v>
      </c>
      <c r="D1963" t="s">
        <v>34</v>
      </c>
      <c r="E1963">
        <v>33</v>
      </c>
      <c r="F1963">
        <v>4.95</v>
      </c>
    </row>
    <row r="1964" spans="1:6">
      <c r="A1964">
        <v>2009</v>
      </c>
      <c r="B1964">
        <v>152014260</v>
      </c>
      <c r="C1964">
        <v>2014</v>
      </c>
      <c r="D1964" t="s">
        <v>34</v>
      </c>
      <c r="E1964">
        <v>17</v>
      </c>
      <c r="F1964">
        <v>5.1</v>
      </c>
    </row>
    <row r="1965" spans="1:6">
      <c r="A1965">
        <v>2013</v>
      </c>
      <c r="B1965">
        <v>152014260</v>
      </c>
      <c r="C1965">
        <v>2014</v>
      </c>
      <c r="D1965" t="s">
        <v>34</v>
      </c>
      <c r="E1965">
        <v>33</v>
      </c>
      <c r="F1965">
        <v>4.95</v>
      </c>
    </row>
    <row r="1966" spans="1:6">
      <c r="A1966">
        <v>2015</v>
      </c>
      <c r="B1966">
        <v>152014260</v>
      </c>
      <c r="C1966">
        <v>2014</v>
      </c>
      <c r="D1966" t="s">
        <v>34</v>
      </c>
      <c r="F1966">
        <v>4.95</v>
      </c>
    </row>
    <row r="1967" spans="1:6">
      <c r="A1967">
        <v>2023</v>
      </c>
      <c r="B1967">
        <v>152014260</v>
      </c>
      <c r="C1967">
        <v>2014</v>
      </c>
      <c r="D1967" t="s">
        <v>34</v>
      </c>
      <c r="E1967">
        <v>24</v>
      </c>
      <c r="F1967">
        <v>4.8</v>
      </c>
    </row>
    <row r="1968" spans="1:6">
      <c r="A1968">
        <v>2024</v>
      </c>
      <c r="B1968">
        <v>152014260</v>
      </c>
      <c r="C1968">
        <v>2014</v>
      </c>
      <c r="D1968" t="s">
        <v>34</v>
      </c>
      <c r="E1968">
        <v>20</v>
      </c>
      <c r="F1968">
        <v>5</v>
      </c>
    </row>
    <row r="1969" spans="1:6">
      <c r="A1969">
        <v>2012</v>
      </c>
      <c r="B1969">
        <v>152014260</v>
      </c>
      <c r="C1969">
        <v>2014</v>
      </c>
      <c r="D1969" t="s">
        <v>34</v>
      </c>
      <c r="E1969">
        <v>33</v>
      </c>
      <c r="F1969">
        <v>4.95</v>
      </c>
    </row>
    <row r="1970" spans="1:6">
      <c r="A1970">
        <v>2006</v>
      </c>
      <c r="B1970">
        <v>152014260</v>
      </c>
      <c r="C1970">
        <v>2014</v>
      </c>
      <c r="D1970" t="s">
        <v>34</v>
      </c>
      <c r="F1970">
        <v>19.95</v>
      </c>
    </row>
    <row r="1971" spans="1:6">
      <c r="A1971">
        <v>2003</v>
      </c>
      <c r="B1971">
        <v>152014260</v>
      </c>
      <c r="C1971">
        <v>2014</v>
      </c>
      <c r="D1971" t="s">
        <v>34</v>
      </c>
      <c r="E1971">
        <v>33</v>
      </c>
      <c r="F1971">
        <v>4.95</v>
      </c>
    </row>
    <row r="1972" spans="1:6">
      <c r="A1972">
        <v>2019</v>
      </c>
      <c r="B1972">
        <v>152014260</v>
      </c>
      <c r="C1972">
        <v>2014</v>
      </c>
      <c r="D1972" t="s">
        <v>34</v>
      </c>
      <c r="E1972">
        <v>33</v>
      </c>
      <c r="F1972">
        <v>4.95</v>
      </c>
    </row>
    <row r="1973" spans="1:6">
      <c r="A1973">
        <v>2026</v>
      </c>
      <c r="B1973">
        <v>152014260</v>
      </c>
      <c r="C1973">
        <v>2014</v>
      </c>
      <c r="D1973" t="s">
        <v>34</v>
      </c>
      <c r="F1973">
        <v>1.95</v>
      </c>
    </row>
    <row r="1974" spans="1:6">
      <c r="A1974">
        <v>2046</v>
      </c>
      <c r="B1974">
        <v>152014270</v>
      </c>
      <c r="C1974">
        <v>2014</v>
      </c>
      <c r="D1974" t="s">
        <v>31</v>
      </c>
      <c r="F1974">
        <v>0.4</v>
      </c>
    </row>
    <row r="1975" spans="1:6">
      <c r="A1975">
        <v>2042</v>
      </c>
      <c r="B1975">
        <v>152014270</v>
      </c>
      <c r="C1975">
        <v>2014</v>
      </c>
      <c r="D1975" t="s">
        <v>31</v>
      </c>
      <c r="E1975">
        <v>70</v>
      </c>
      <c r="F1975">
        <v>7</v>
      </c>
    </row>
    <row r="1976" spans="1:6">
      <c r="A1976">
        <v>2045</v>
      </c>
      <c r="B1976">
        <v>152014270</v>
      </c>
      <c r="C1976">
        <v>2014</v>
      </c>
      <c r="D1976" t="s">
        <v>31</v>
      </c>
      <c r="F1976">
        <v>2</v>
      </c>
    </row>
    <row r="1977" spans="1:6">
      <c r="A1977">
        <v>2033</v>
      </c>
      <c r="B1977">
        <v>152014270</v>
      </c>
      <c r="C1977">
        <v>2014</v>
      </c>
      <c r="D1977" t="s">
        <v>31</v>
      </c>
      <c r="F1977">
        <v>1</v>
      </c>
    </row>
    <row r="1978" spans="1:6">
      <c r="A1978">
        <v>2049</v>
      </c>
      <c r="B1978">
        <v>152014270</v>
      </c>
      <c r="C1978">
        <v>2014</v>
      </c>
      <c r="D1978" t="s">
        <v>31</v>
      </c>
      <c r="F1978">
        <v>5</v>
      </c>
    </row>
    <row r="1979" spans="1:6">
      <c r="A1979">
        <v>2052</v>
      </c>
      <c r="B1979">
        <v>152014270</v>
      </c>
      <c r="C1979">
        <v>2014</v>
      </c>
      <c r="D1979" t="s">
        <v>31</v>
      </c>
      <c r="F1979">
        <v>2</v>
      </c>
    </row>
    <row r="1980" spans="1:6">
      <c r="A1980">
        <v>2058</v>
      </c>
      <c r="B1980">
        <v>152014270</v>
      </c>
      <c r="C1980">
        <v>2014</v>
      </c>
      <c r="D1980" t="s">
        <v>31</v>
      </c>
      <c r="F1980">
        <v>1</v>
      </c>
    </row>
    <row r="1981" spans="1:6">
      <c r="A1981">
        <v>2032</v>
      </c>
      <c r="B1981">
        <v>152014270</v>
      </c>
      <c r="C1981">
        <v>2014</v>
      </c>
      <c r="D1981" t="s">
        <v>31</v>
      </c>
      <c r="E1981">
        <v>1</v>
      </c>
      <c r="F1981">
        <v>2</v>
      </c>
    </row>
    <row r="1982" spans="1:6">
      <c r="A1982">
        <v>2054</v>
      </c>
      <c r="B1982">
        <v>152014270</v>
      </c>
      <c r="C1982">
        <v>2014</v>
      </c>
      <c r="D1982" t="s">
        <v>31</v>
      </c>
      <c r="F1982">
        <v>2</v>
      </c>
    </row>
    <row r="1983" spans="1:6">
      <c r="A1983">
        <v>2056</v>
      </c>
      <c r="B1983">
        <v>152014270</v>
      </c>
      <c r="C1983">
        <v>2014</v>
      </c>
      <c r="D1983" t="s">
        <v>31</v>
      </c>
      <c r="F1983">
        <v>2</v>
      </c>
    </row>
    <row r="1984" spans="1:6">
      <c r="A1984">
        <v>2047</v>
      </c>
      <c r="B1984">
        <v>152014270</v>
      </c>
      <c r="C1984">
        <v>2014</v>
      </c>
      <c r="D1984" t="s">
        <v>31</v>
      </c>
      <c r="F1984">
        <v>5</v>
      </c>
    </row>
    <row r="1985" spans="1:6">
      <c r="A1985">
        <v>2027</v>
      </c>
      <c r="B1985">
        <v>152014270</v>
      </c>
      <c r="C1985">
        <v>2014</v>
      </c>
      <c r="D1985" t="s">
        <v>31</v>
      </c>
      <c r="E1985">
        <v>1</v>
      </c>
      <c r="F1985">
        <v>2</v>
      </c>
    </row>
    <row r="1986" spans="1:6">
      <c r="A1986">
        <v>2057</v>
      </c>
      <c r="B1986">
        <v>152014270</v>
      </c>
      <c r="C1986">
        <v>2014</v>
      </c>
      <c r="D1986" t="s">
        <v>31</v>
      </c>
      <c r="F1986">
        <v>1</v>
      </c>
    </row>
    <row r="1987" spans="1:6">
      <c r="A1987">
        <v>2048</v>
      </c>
      <c r="B1987">
        <v>152014270</v>
      </c>
      <c r="C1987">
        <v>2014</v>
      </c>
      <c r="D1987" t="s">
        <v>31</v>
      </c>
      <c r="F1987">
        <v>5</v>
      </c>
    </row>
    <row r="1988" spans="1:6">
      <c r="A1988">
        <v>2028</v>
      </c>
      <c r="B1988">
        <v>152014270</v>
      </c>
      <c r="C1988">
        <v>2014</v>
      </c>
      <c r="D1988" t="s">
        <v>31</v>
      </c>
      <c r="F1988">
        <v>2</v>
      </c>
    </row>
    <row r="1989" spans="1:6">
      <c r="A1989">
        <v>2039</v>
      </c>
      <c r="B1989">
        <v>152014270</v>
      </c>
      <c r="C1989">
        <v>2014</v>
      </c>
      <c r="D1989" t="s">
        <v>31</v>
      </c>
      <c r="F1989">
        <v>2</v>
      </c>
    </row>
    <row r="1990" spans="1:6">
      <c r="A1990">
        <v>2041</v>
      </c>
      <c r="B1990">
        <v>152014270</v>
      </c>
      <c r="C1990">
        <v>2014</v>
      </c>
      <c r="D1990" t="s">
        <v>31</v>
      </c>
      <c r="F1990">
        <v>2</v>
      </c>
    </row>
    <row r="1991" spans="1:6">
      <c r="A1991">
        <v>2035</v>
      </c>
      <c r="B1991">
        <v>152014270</v>
      </c>
      <c r="C1991">
        <v>2014</v>
      </c>
      <c r="D1991" t="s">
        <v>31</v>
      </c>
      <c r="F1991">
        <v>5</v>
      </c>
    </row>
    <row r="1992" spans="1:6">
      <c r="A1992">
        <v>2040</v>
      </c>
      <c r="B1992">
        <v>152014270</v>
      </c>
      <c r="C1992">
        <v>2014</v>
      </c>
      <c r="D1992" t="s">
        <v>31</v>
      </c>
      <c r="F1992">
        <v>1</v>
      </c>
    </row>
    <row r="1993" spans="1:6">
      <c r="A1993">
        <v>2036</v>
      </c>
      <c r="B1993">
        <v>152014270</v>
      </c>
      <c r="C1993">
        <v>2014</v>
      </c>
      <c r="D1993" t="s">
        <v>31</v>
      </c>
      <c r="F1993">
        <v>2</v>
      </c>
    </row>
    <row r="1994" spans="1:6">
      <c r="A1994">
        <v>2037</v>
      </c>
      <c r="B1994">
        <v>152014270</v>
      </c>
      <c r="C1994">
        <v>2014</v>
      </c>
      <c r="D1994" t="s">
        <v>31</v>
      </c>
      <c r="F1994">
        <v>2</v>
      </c>
    </row>
    <row r="1995" spans="1:6">
      <c r="A1995">
        <v>2029</v>
      </c>
      <c r="B1995">
        <v>152014270</v>
      </c>
      <c r="C1995">
        <v>2014</v>
      </c>
      <c r="D1995" t="s">
        <v>31</v>
      </c>
      <c r="F1995">
        <v>2</v>
      </c>
    </row>
    <row r="1996" spans="1:6">
      <c r="A1996">
        <v>2031</v>
      </c>
      <c r="B1996">
        <v>152014270</v>
      </c>
      <c r="C1996">
        <v>2014</v>
      </c>
      <c r="D1996" t="s">
        <v>31</v>
      </c>
      <c r="F1996">
        <v>10</v>
      </c>
    </row>
    <row r="1997" spans="1:6">
      <c r="A1997">
        <v>2034</v>
      </c>
      <c r="B1997">
        <v>152014270</v>
      </c>
      <c r="C1997">
        <v>2014</v>
      </c>
      <c r="D1997" t="s">
        <v>31</v>
      </c>
      <c r="F1997">
        <v>10</v>
      </c>
    </row>
    <row r="1998" spans="1:6">
      <c r="A1998">
        <v>2044</v>
      </c>
      <c r="B1998">
        <v>152014270</v>
      </c>
      <c r="C1998">
        <v>2014</v>
      </c>
      <c r="D1998" t="s">
        <v>31</v>
      </c>
      <c r="F1998">
        <v>6</v>
      </c>
    </row>
    <row r="1999" spans="1:6">
      <c r="A1999">
        <v>2051</v>
      </c>
      <c r="B1999">
        <v>152014270</v>
      </c>
      <c r="C1999">
        <v>2014</v>
      </c>
      <c r="D1999" t="s">
        <v>31</v>
      </c>
      <c r="F1999">
        <v>2</v>
      </c>
    </row>
    <row r="2000" spans="1:6">
      <c r="A2000">
        <v>2053</v>
      </c>
      <c r="B2000">
        <v>152014270</v>
      </c>
      <c r="C2000">
        <v>2014</v>
      </c>
      <c r="D2000" t="s">
        <v>31</v>
      </c>
      <c r="F2000">
        <v>2</v>
      </c>
    </row>
    <row r="2001" spans="1:6">
      <c r="A2001">
        <v>2038</v>
      </c>
      <c r="B2001">
        <v>152014270</v>
      </c>
      <c r="C2001">
        <v>2014</v>
      </c>
      <c r="D2001" t="s">
        <v>31</v>
      </c>
      <c r="F2001">
        <v>2.07</v>
      </c>
    </row>
    <row r="2002" spans="1:6">
      <c r="A2002">
        <v>2030</v>
      </c>
      <c r="B2002">
        <v>152014270</v>
      </c>
      <c r="C2002">
        <v>2014</v>
      </c>
      <c r="D2002" t="s">
        <v>31</v>
      </c>
      <c r="F2002">
        <v>13</v>
      </c>
    </row>
    <row r="2003" spans="1:6">
      <c r="A2003">
        <v>2043</v>
      </c>
      <c r="B2003">
        <v>152014270</v>
      </c>
      <c r="C2003">
        <v>2014</v>
      </c>
      <c r="D2003" t="s">
        <v>31</v>
      </c>
      <c r="F2003">
        <v>6.5</v>
      </c>
    </row>
    <row r="2004" spans="1:6">
      <c r="A2004">
        <v>2055</v>
      </c>
      <c r="B2004">
        <v>152014270</v>
      </c>
      <c r="C2004">
        <v>2014</v>
      </c>
      <c r="D2004" t="s">
        <v>31</v>
      </c>
      <c r="F2004">
        <v>2</v>
      </c>
    </row>
    <row r="2005" spans="1:6">
      <c r="A2005">
        <v>2050</v>
      </c>
      <c r="B2005">
        <v>152014270</v>
      </c>
      <c r="C2005">
        <v>2014</v>
      </c>
      <c r="D2005" t="s">
        <v>31</v>
      </c>
      <c r="E2005">
        <v>50</v>
      </c>
      <c r="F2005">
        <v>5</v>
      </c>
    </row>
    <row r="2006" spans="1:6">
      <c r="A2006">
        <v>2059</v>
      </c>
      <c r="B2006">
        <v>152014270</v>
      </c>
      <c r="C2006">
        <v>2014</v>
      </c>
      <c r="D2006" t="s">
        <v>31</v>
      </c>
      <c r="F2006">
        <v>1</v>
      </c>
    </row>
    <row r="2007" spans="1:6">
      <c r="A2007">
        <v>2060</v>
      </c>
      <c r="B2007">
        <v>152015120</v>
      </c>
      <c r="C2007">
        <v>2015</v>
      </c>
      <c r="D2007" t="s">
        <v>42</v>
      </c>
      <c r="E2007">
        <v>2</v>
      </c>
      <c r="F2007">
        <v>60</v>
      </c>
    </row>
    <row r="2008" spans="1:6">
      <c r="A2008">
        <v>2061</v>
      </c>
      <c r="B2008">
        <v>152015211</v>
      </c>
      <c r="C2008">
        <v>2015</v>
      </c>
      <c r="D2008" t="s">
        <v>37</v>
      </c>
      <c r="E2008">
        <v>1</v>
      </c>
      <c r="F2008">
        <v>35</v>
      </c>
    </row>
    <row r="2009" spans="1:6">
      <c r="A2009">
        <v>2062</v>
      </c>
      <c r="B2009">
        <v>152015211</v>
      </c>
      <c r="C2009">
        <v>2015</v>
      </c>
      <c r="D2009" t="s">
        <v>37</v>
      </c>
      <c r="E2009">
        <v>1</v>
      </c>
      <c r="F2009">
        <v>2.5</v>
      </c>
    </row>
    <row r="2010" spans="1:6">
      <c r="A2010">
        <v>2063</v>
      </c>
      <c r="B2010">
        <v>152015211</v>
      </c>
      <c r="C2010">
        <v>2015</v>
      </c>
      <c r="D2010" t="s">
        <v>37</v>
      </c>
      <c r="E2010" t="s">
        <v>32</v>
      </c>
      <c r="F2010">
        <v>68</v>
      </c>
    </row>
    <row r="2011" spans="1:6">
      <c r="A2011">
        <v>2069</v>
      </c>
      <c r="B2011">
        <v>152015241</v>
      </c>
      <c r="C2011">
        <v>2015</v>
      </c>
      <c r="D2011" t="s">
        <v>33</v>
      </c>
      <c r="E2011" t="s">
        <v>32</v>
      </c>
      <c r="F2011">
        <v>0.6</v>
      </c>
    </row>
    <row r="2012" spans="1:6">
      <c r="A2012">
        <v>2068</v>
      </c>
      <c r="B2012">
        <v>152015241</v>
      </c>
      <c r="C2012">
        <v>2015</v>
      </c>
      <c r="D2012" t="s">
        <v>33</v>
      </c>
      <c r="E2012" t="s">
        <v>32</v>
      </c>
      <c r="F2012">
        <v>0.7</v>
      </c>
    </row>
    <row r="2013" spans="1:6">
      <c r="A2013">
        <v>2064</v>
      </c>
      <c r="B2013">
        <v>152015241</v>
      </c>
      <c r="C2013">
        <v>2015</v>
      </c>
      <c r="D2013" t="s">
        <v>33</v>
      </c>
      <c r="E2013">
        <v>1</v>
      </c>
      <c r="F2013">
        <v>2</v>
      </c>
    </row>
    <row r="2014" spans="1:6">
      <c r="A2014">
        <v>2070</v>
      </c>
      <c r="B2014">
        <v>152015241</v>
      </c>
      <c r="C2014">
        <v>2015</v>
      </c>
      <c r="D2014" t="s">
        <v>33</v>
      </c>
      <c r="E2014" t="s">
        <v>32</v>
      </c>
      <c r="F2014">
        <v>0.6</v>
      </c>
    </row>
    <row r="2015" spans="1:6">
      <c r="A2015">
        <v>2067</v>
      </c>
      <c r="B2015">
        <v>152015241</v>
      </c>
      <c r="C2015">
        <v>2015</v>
      </c>
      <c r="D2015" t="s">
        <v>33</v>
      </c>
      <c r="E2015" t="s">
        <v>32</v>
      </c>
      <c r="F2015">
        <v>3</v>
      </c>
    </row>
    <row r="2016" spans="1:6">
      <c r="A2016">
        <v>2065</v>
      </c>
      <c r="B2016">
        <v>152015241</v>
      </c>
      <c r="C2016">
        <v>2015</v>
      </c>
      <c r="D2016" t="s">
        <v>33</v>
      </c>
      <c r="E2016">
        <v>1</v>
      </c>
      <c r="F2016">
        <v>0.6</v>
      </c>
    </row>
    <row r="2017" spans="1:6">
      <c r="A2017">
        <v>2066</v>
      </c>
      <c r="B2017">
        <v>152015241</v>
      </c>
      <c r="C2017">
        <v>2015</v>
      </c>
      <c r="D2017" t="s">
        <v>33</v>
      </c>
      <c r="E2017">
        <v>1</v>
      </c>
      <c r="F2017">
        <v>0.75</v>
      </c>
    </row>
    <row r="2018" spans="1:6">
      <c r="A2018">
        <v>2094</v>
      </c>
      <c r="B2018">
        <v>152015260</v>
      </c>
      <c r="C2018">
        <v>2015</v>
      </c>
      <c r="D2018" t="s">
        <v>34</v>
      </c>
      <c r="E2018" t="s">
        <v>32</v>
      </c>
      <c r="F2018">
        <v>3.4</v>
      </c>
    </row>
    <row r="2019" spans="1:6">
      <c r="A2019">
        <v>2071</v>
      </c>
      <c r="B2019">
        <v>152015260</v>
      </c>
      <c r="C2019">
        <v>2015</v>
      </c>
      <c r="D2019" t="s">
        <v>34</v>
      </c>
      <c r="E2019">
        <v>34</v>
      </c>
      <c r="F2019">
        <v>5.15</v>
      </c>
    </row>
    <row r="2020" spans="1:6">
      <c r="A2020">
        <v>2085</v>
      </c>
      <c r="B2020">
        <v>152015260</v>
      </c>
      <c r="C2020">
        <v>2015</v>
      </c>
      <c r="D2020" t="s">
        <v>34</v>
      </c>
      <c r="E2020">
        <v>66</v>
      </c>
      <c r="F2020">
        <v>9.9</v>
      </c>
    </row>
    <row r="2021" spans="1:6">
      <c r="A2021">
        <v>2075</v>
      </c>
      <c r="B2021">
        <v>152015260</v>
      </c>
      <c r="C2021">
        <v>2015</v>
      </c>
      <c r="D2021" t="s">
        <v>34</v>
      </c>
      <c r="E2021">
        <v>133</v>
      </c>
      <c r="F2021">
        <v>7.05</v>
      </c>
    </row>
    <row r="2022" spans="1:6">
      <c r="A2022">
        <v>2076</v>
      </c>
      <c r="B2022">
        <v>152015260</v>
      </c>
      <c r="C2022">
        <v>2015</v>
      </c>
      <c r="D2022" t="s">
        <v>34</v>
      </c>
      <c r="E2022">
        <v>98</v>
      </c>
      <c r="F2022">
        <v>15</v>
      </c>
    </row>
    <row r="2023" spans="1:6">
      <c r="A2023">
        <v>2095</v>
      </c>
      <c r="B2023">
        <v>152015260</v>
      </c>
      <c r="C2023">
        <v>2015</v>
      </c>
      <c r="D2023" t="s">
        <v>34</v>
      </c>
      <c r="E2023" t="s">
        <v>32</v>
      </c>
      <c r="F2023">
        <v>9.9</v>
      </c>
    </row>
    <row r="2024" spans="1:6">
      <c r="A2024">
        <v>2092</v>
      </c>
      <c r="B2024">
        <v>152015260</v>
      </c>
      <c r="C2024">
        <v>2015</v>
      </c>
      <c r="D2024" t="s">
        <v>34</v>
      </c>
      <c r="E2024">
        <v>1</v>
      </c>
      <c r="F2024">
        <v>20.6</v>
      </c>
    </row>
    <row r="2025" spans="1:6">
      <c r="A2025">
        <v>2093</v>
      </c>
      <c r="B2025">
        <v>152015260</v>
      </c>
      <c r="C2025">
        <v>2015</v>
      </c>
      <c r="D2025" t="s">
        <v>34</v>
      </c>
      <c r="E2025" t="s">
        <v>32</v>
      </c>
      <c r="F2025">
        <v>9.9</v>
      </c>
    </row>
    <row r="2026" spans="1:6">
      <c r="A2026">
        <v>2074</v>
      </c>
      <c r="B2026">
        <v>152015260</v>
      </c>
      <c r="C2026">
        <v>2015</v>
      </c>
      <c r="D2026" t="s">
        <v>34</v>
      </c>
      <c r="E2026">
        <v>25</v>
      </c>
      <c r="F2026">
        <v>5</v>
      </c>
    </row>
    <row r="2027" spans="1:6">
      <c r="A2027">
        <v>2086</v>
      </c>
      <c r="B2027">
        <v>152015260</v>
      </c>
      <c r="C2027">
        <v>2015</v>
      </c>
      <c r="D2027" t="s">
        <v>34</v>
      </c>
      <c r="E2027">
        <v>25</v>
      </c>
      <c r="F2027">
        <v>5</v>
      </c>
    </row>
    <row r="2028" spans="1:6">
      <c r="A2028">
        <v>2080</v>
      </c>
      <c r="B2028">
        <v>152015260</v>
      </c>
      <c r="C2028">
        <v>2015</v>
      </c>
      <c r="D2028" t="s">
        <v>34</v>
      </c>
      <c r="E2028">
        <v>33</v>
      </c>
      <c r="F2028">
        <v>4.95</v>
      </c>
    </row>
    <row r="2029" spans="1:6">
      <c r="A2029">
        <v>2077</v>
      </c>
      <c r="B2029">
        <v>152015260</v>
      </c>
      <c r="C2029">
        <v>2015</v>
      </c>
      <c r="D2029" t="s">
        <v>34</v>
      </c>
      <c r="E2029">
        <v>133</v>
      </c>
      <c r="F2029">
        <v>19.95</v>
      </c>
    </row>
    <row r="2030" spans="1:6">
      <c r="A2030">
        <v>2090</v>
      </c>
      <c r="B2030">
        <v>152015260</v>
      </c>
      <c r="C2030">
        <v>2015</v>
      </c>
      <c r="D2030" t="s">
        <v>34</v>
      </c>
      <c r="E2030">
        <v>33</v>
      </c>
      <c r="F2030">
        <v>4.95</v>
      </c>
    </row>
    <row r="2031" spans="1:6">
      <c r="A2031">
        <v>2087</v>
      </c>
      <c r="B2031">
        <v>152015260</v>
      </c>
      <c r="C2031">
        <v>2015</v>
      </c>
      <c r="D2031" t="s">
        <v>34</v>
      </c>
      <c r="E2031">
        <v>150</v>
      </c>
      <c r="F2031">
        <v>30</v>
      </c>
    </row>
    <row r="2032" spans="1:6">
      <c r="A2032">
        <v>2088</v>
      </c>
      <c r="B2032">
        <v>152015260</v>
      </c>
      <c r="C2032">
        <v>2015</v>
      </c>
      <c r="D2032" t="s">
        <v>34</v>
      </c>
      <c r="E2032">
        <v>134</v>
      </c>
      <c r="F2032">
        <v>20.1</v>
      </c>
    </row>
    <row r="2033" spans="1:6">
      <c r="A2033">
        <v>2091</v>
      </c>
      <c r="B2033">
        <v>152015260</v>
      </c>
      <c r="C2033">
        <v>2015</v>
      </c>
      <c r="D2033" t="s">
        <v>34</v>
      </c>
      <c r="E2033">
        <v>75</v>
      </c>
      <c r="F2033">
        <v>15.12</v>
      </c>
    </row>
    <row r="2034" spans="1:6">
      <c r="A2034">
        <v>2084</v>
      </c>
      <c r="B2034">
        <v>152015260</v>
      </c>
      <c r="C2034">
        <v>2015</v>
      </c>
      <c r="D2034" t="s">
        <v>34</v>
      </c>
      <c r="E2034">
        <v>134</v>
      </c>
      <c r="F2034">
        <v>20.1</v>
      </c>
    </row>
    <row r="2035" spans="1:6">
      <c r="A2035">
        <v>2079</v>
      </c>
      <c r="B2035">
        <v>152015260</v>
      </c>
      <c r="C2035">
        <v>2015</v>
      </c>
      <c r="D2035" t="s">
        <v>34</v>
      </c>
      <c r="E2035">
        <v>133</v>
      </c>
      <c r="F2035">
        <v>19.95</v>
      </c>
    </row>
    <row r="2036" spans="1:6">
      <c r="A2036">
        <v>2082</v>
      </c>
      <c r="B2036">
        <v>152015260</v>
      </c>
      <c r="C2036">
        <v>2015</v>
      </c>
      <c r="D2036" t="s">
        <v>34</v>
      </c>
      <c r="E2036">
        <v>33</v>
      </c>
      <c r="F2036">
        <v>4.95</v>
      </c>
    </row>
    <row r="2037" spans="1:6">
      <c r="A2037">
        <v>2078</v>
      </c>
      <c r="B2037">
        <v>152015260</v>
      </c>
      <c r="C2037">
        <v>2015</v>
      </c>
      <c r="D2037" t="s">
        <v>34</v>
      </c>
      <c r="E2037">
        <v>33</v>
      </c>
      <c r="F2037">
        <v>4.95</v>
      </c>
    </row>
    <row r="2038" spans="1:6">
      <c r="A2038">
        <v>2072</v>
      </c>
      <c r="B2038">
        <v>152015260</v>
      </c>
      <c r="C2038">
        <v>2015</v>
      </c>
      <c r="D2038" t="s">
        <v>34</v>
      </c>
      <c r="E2038">
        <v>150</v>
      </c>
      <c r="F2038">
        <v>30</v>
      </c>
    </row>
    <row r="2039" spans="1:6">
      <c r="A2039">
        <v>2083</v>
      </c>
      <c r="B2039">
        <v>152015260</v>
      </c>
      <c r="C2039">
        <v>2015</v>
      </c>
      <c r="D2039" t="s">
        <v>34</v>
      </c>
      <c r="E2039">
        <v>33</v>
      </c>
      <c r="F2039">
        <v>4.95</v>
      </c>
    </row>
    <row r="2040" spans="1:6">
      <c r="A2040">
        <v>2089</v>
      </c>
      <c r="B2040">
        <v>152015260</v>
      </c>
      <c r="C2040">
        <v>2015</v>
      </c>
      <c r="D2040" t="s">
        <v>34</v>
      </c>
      <c r="E2040">
        <v>134</v>
      </c>
      <c r="F2040">
        <v>20.1</v>
      </c>
    </row>
    <row r="2041" spans="1:6">
      <c r="A2041">
        <v>2081</v>
      </c>
      <c r="B2041">
        <v>152015260</v>
      </c>
      <c r="C2041">
        <v>2015</v>
      </c>
      <c r="D2041" t="s">
        <v>34</v>
      </c>
      <c r="E2041">
        <v>143</v>
      </c>
      <c r="F2041">
        <v>23.85</v>
      </c>
    </row>
    <row r="2042" spans="1:6">
      <c r="A2042">
        <v>2073</v>
      </c>
      <c r="B2042">
        <v>152015260</v>
      </c>
      <c r="C2042">
        <v>2015</v>
      </c>
      <c r="D2042" t="s">
        <v>34</v>
      </c>
      <c r="E2042">
        <v>148</v>
      </c>
      <c r="F2042">
        <v>19.93</v>
      </c>
    </row>
    <row r="2043" spans="1:6">
      <c r="A2043">
        <v>2103</v>
      </c>
      <c r="B2043">
        <v>152015270</v>
      </c>
      <c r="C2043">
        <v>2015</v>
      </c>
      <c r="D2043" t="s">
        <v>31</v>
      </c>
      <c r="E2043" t="s">
        <v>32</v>
      </c>
      <c r="F2043">
        <v>1</v>
      </c>
    </row>
    <row r="2044" spans="1:6">
      <c r="A2044">
        <v>2108</v>
      </c>
      <c r="B2044">
        <v>152015270</v>
      </c>
      <c r="C2044">
        <v>2015</v>
      </c>
      <c r="D2044" t="s">
        <v>31</v>
      </c>
      <c r="E2044" t="s">
        <v>32</v>
      </c>
      <c r="F2044">
        <v>1.6</v>
      </c>
    </row>
    <row r="2045" spans="1:6">
      <c r="A2045">
        <v>2109</v>
      </c>
      <c r="B2045">
        <v>152015270</v>
      </c>
      <c r="C2045">
        <v>2015</v>
      </c>
      <c r="D2045" t="s">
        <v>31</v>
      </c>
      <c r="E2045">
        <v>20</v>
      </c>
      <c r="F2045">
        <v>2</v>
      </c>
    </row>
    <row r="2046" spans="1:6">
      <c r="A2046">
        <v>2098</v>
      </c>
      <c r="B2046">
        <v>152015270</v>
      </c>
      <c r="C2046">
        <v>2015</v>
      </c>
      <c r="D2046" t="s">
        <v>31</v>
      </c>
      <c r="E2046" t="s">
        <v>32</v>
      </c>
      <c r="F2046">
        <v>2</v>
      </c>
    </row>
    <row r="2047" spans="1:6">
      <c r="A2047">
        <v>2096</v>
      </c>
      <c r="B2047">
        <v>152015270</v>
      </c>
      <c r="C2047">
        <v>2015</v>
      </c>
      <c r="D2047" t="s">
        <v>31</v>
      </c>
      <c r="E2047" t="s">
        <v>32</v>
      </c>
      <c r="F2047">
        <v>2</v>
      </c>
    </row>
    <row r="2048" spans="1:6">
      <c r="A2048">
        <v>2110</v>
      </c>
      <c r="B2048">
        <v>152015270</v>
      </c>
      <c r="C2048">
        <v>2015</v>
      </c>
      <c r="D2048" t="s">
        <v>31</v>
      </c>
      <c r="E2048">
        <v>20</v>
      </c>
      <c r="F2048">
        <v>3</v>
      </c>
    </row>
    <row r="2049" spans="1:6">
      <c r="A2049">
        <v>2112</v>
      </c>
      <c r="B2049">
        <v>152015270</v>
      </c>
      <c r="C2049">
        <v>2015</v>
      </c>
      <c r="D2049" t="s">
        <v>31</v>
      </c>
      <c r="E2049" t="s">
        <v>32</v>
      </c>
      <c r="F2049">
        <v>2</v>
      </c>
    </row>
    <row r="2050" spans="1:6">
      <c r="A2050">
        <v>2113</v>
      </c>
      <c r="B2050">
        <v>152015270</v>
      </c>
      <c r="C2050">
        <v>2015</v>
      </c>
      <c r="D2050" t="s">
        <v>31</v>
      </c>
      <c r="E2050" t="s">
        <v>32</v>
      </c>
      <c r="F2050">
        <v>3</v>
      </c>
    </row>
    <row r="2051" spans="1:6">
      <c r="A2051">
        <v>2114</v>
      </c>
      <c r="B2051">
        <v>152015270</v>
      </c>
      <c r="C2051">
        <v>2015</v>
      </c>
      <c r="D2051" t="s">
        <v>31</v>
      </c>
      <c r="E2051" t="s">
        <v>32</v>
      </c>
      <c r="F2051">
        <v>2</v>
      </c>
    </row>
    <row r="2052" spans="1:6">
      <c r="A2052">
        <v>2111</v>
      </c>
      <c r="B2052">
        <v>152015270</v>
      </c>
      <c r="C2052">
        <v>2015</v>
      </c>
      <c r="D2052" t="s">
        <v>31</v>
      </c>
      <c r="E2052">
        <v>1</v>
      </c>
      <c r="F2052">
        <v>4</v>
      </c>
    </row>
    <row r="2053" spans="1:6">
      <c r="A2053">
        <v>2105</v>
      </c>
      <c r="B2053">
        <v>152015270</v>
      </c>
      <c r="C2053">
        <v>2015</v>
      </c>
      <c r="D2053" t="s">
        <v>31</v>
      </c>
      <c r="E2053" t="s">
        <v>32</v>
      </c>
      <c r="F2053">
        <v>1</v>
      </c>
    </row>
    <row r="2054" spans="1:6">
      <c r="A2054">
        <v>2101</v>
      </c>
      <c r="B2054">
        <v>152015270</v>
      </c>
      <c r="C2054">
        <v>2015</v>
      </c>
      <c r="D2054" t="s">
        <v>31</v>
      </c>
      <c r="E2054" t="s">
        <v>32</v>
      </c>
      <c r="F2054">
        <v>2</v>
      </c>
    </row>
    <row r="2055" spans="1:6">
      <c r="A2055">
        <v>2106</v>
      </c>
      <c r="B2055">
        <v>152015270</v>
      </c>
      <c r="C2055">
        <v>2015</v>
      </c>
      <c r="D2055" t="s">
        <v>31</v>
      </c>
      <c r="E2055" t="s">
        <v>32</v>
      </c>
      <c r="F2055">
        <v>0.9</v>
      </c>
    </row>
    <row r="2056" spans="1:6">
      <c r="A2056">
        <v>2099</v>
      </c>
      <c r="B2056">
        <v>152015270</v>
      </c>
      <c r="C2056">
        <v>2015</v>
      </c>
      <c r="D2056" t="s">
        <v>31</v>
      </c>
      <c r="E2056" t="s">
        <v>32</v>
      </c>
      <c r="F2056">
        <v>5</v>
      </c>
    </row>
    <row r="2057" spans="1:6">
      <c r="A2057">
        <v>2107</v>
      </c>
      <c r="B2057">
        <v>152015270</v>
      </c>
      <c r="C2057">
        <v>2015</v>
      </c>
      <c r="D2057" t="s">
        <v>31</v>
      </c>
      <c r="E2057" t="s">
        <v>32</v>
      </c>
      <c r="F2057">
        <v>4</v>
      </c>
    </row>
    <row r="2058" spans="1:6">
      <c r="A2058">
        <v>2104</v>
      </c>
      <c r="B2058">
        <v>152015270</v>
      </c>
      <c r="C2058">
        <v>2015</v>
      </c>
      <c r="D2058" t="s">
        <v>31</v>
      </c>
      <c r="E2058" t="s">
        <v>32</v>
      </c>
      <c r="F2058">
        <v>1</v>
      </c>
    </row>
    <row r="2059" spans="1:6">
      <c r="A2059">
        <v>2097</v>
      </c>
      <c r="B2059">
        <v>152015270</v>
      </c>
      <c r="C2059">
        <v>2015</v>
      </c>
      <c r="D2059" t="s">
        <v>31</v>
      </c>
      <c r="E2059" t="s">
        <v>32</v>
      </c>
      <c r="F2059">
        <v>1</v>
      </c>
    </row>
    <row r="2060" spans="1:6">
      <c r="A2060">
        <v>2102</v>
      </c>
      <c r="B2060">
        <v>152015270</v>
      </c>
      <c r="C2060">
        <v>2015</v>
      </c>
      <c r="D2060" t="s">
        <v>31</v>
      </c>
      <c r="E2060" t="s">
        <v>32</v>
      </c>
      <c r="F2060">
        <v>3</v>
      </c>
    </row>
    <row r="2061" spans="1:6">
      <c r="A2061">
        <v>2100</v>
      </c>
      <c r="B2061">
        <v>152015270</v>
      </c>
      <c r="C2061">
        <v>2015</v>
      </c>
      <c r="D2061" t="s">
        <v>31</v>
      </c>
      <c r="E2061" t="s">
        <v>32</v>
      </c>
      <c r="F2061">
        <v>2</v>
      </c>
    </row>
    <row r="2062" spans="1:6">
      <c r="A2062">
        <v>2115</v>
      </c>
      <c r="B2062">
        <v>152015270</v>
      </c>
      <c r="C2062">
        <v>2015</v>
      </c>
      <c r="D2062" t="s">
        <v>31</v>
      </c>
      <c r="E2062" t="s">
        <v>32</v>
      </c>
      <c r="F2062">
        <v>2</v>
      </c>
    </row>
    <row r="2063" spans="1:6">
      <c r="A2063">
        <v>2116</v>
      </c>
      <c r="B2063">
        <v>152015270</v>
      </c>
      <c r="C2063">
        <v>2015</v>
      </c>
      <c r="D2063" t="s">
        <v>31</v>
      </c>
      <c r="E2063" t="s">
        <v>32</v>
      </c>
      <c r="F2063">
        <v>4</v>
      </c>
    </row>
    <row r="2064" spans="1:6">
      <c r="A2064">
        <v>2117</v>
      </c>
      <c r="B2064">
        <v>152016110</v>
      </c>
      <c r="C2064" s="76">
        <v>2016</v>
      </c>
      <c r="D2064" s="76" t="s">
        <v>40</v>
      </c>
      <c r="E2064" s="76" t="s">
        <v>32</v>
      </c>
      <c r="F2064" s="76">
        <v>0.16</v>
      </c>
    </row>
    <row r="2065" spans="1:6">
      <c r="A2065">
        <v>2122</v>
      </c>
      <c r="B2065">
        <v>152016211</v>
      </c>
      <c r="C2065" s="76">
        <v>2016</v>
      </c>
      <c r="D2065" s="76" t="s">
        <v>37</v>
      </c>
      <c r="E2065" s="76">
        <v>1</v>
      </c>
      <c r="F2065" s="76">
        <v>66</v>
      </c>
    </row>
    <row r="2066" spans="1:6">
      <c r="A2066">
        <v>2120</v>
      </c>
      <c r="B2066">
        <v>152016211</v>
      </c>
      <c r="C2066" s="76">
        <v>2016</v>
      </c>
      <c r="D2066" s="76" t="s">
        <v>37</v>
      </c>
      <c r="E2066" s="76">
        <v>2</v>
      </c>
      <c r="F2066" s="76">
        <v>60</v>
      </c>
    </row>
    <row r="2067" spans="1:6">
      <c r="A2067">
        <v>2119</v>
      </c>
      <c r="B2067">
        <v>152016211</v>
      </c>
      <c r="C2067" s="76">
        <v>2016</v>
      </c>
      <c r="D2067" s="76" t="s">
        <v>37</v>
      </c>
      <c r="E2067" s="76">
        <v>2</v>
      </c>
      <c r="F2067" s="76">
        <v>70</v>
      </c>
    </row>
    <row r="2068" spans="1:6">
      <c r="A2068">
        <v>2121</v>
      </c>
      <c r="B2068">
        <v>152016211</v>
      </c>
      <c r="C2068" s="76">
        <v>2016</v>
      </c>
      <c r="D2068" s="76" t="s">
        <v>37</v>
      </c>
      <c r="E2068" s="76">
        <v>1</v>
      </c>
      <c r="F2068" s="76">
        <v>35</v>
      </c>
    </row>
    <row r="2069" spans="1:6">
      <c r="A2069">
        <v>2118</v>
      </c>
      <c r="B2069">
        <v>152016211</v>
      </c>
      <c r="C2069" s="76">
        <v>2016</v>
      </c>
      <c r="D2069" s="76" t="s">
        <v>37</v>
      </c>
      <c r="E2069" s="76">
        <v>2</v>
      </c>
      <c r="F2069" s="76">
        <v>132</v>
      </c>
    </row>
    <row r="2070" spans="1:6">
      <c r="A2070">
        <v>2123</v>
      </c>
      <c r="B2070">
        <v>152016241</v>
      </c>
      <c r="C2070" s="76">
        <v>2016</v>
      </c>
      <c r="D2070" s="76" t="s">
        <v>33</v>
      </c>
      <c r="E2070" s="76" t="s">
        <v>32</v>
      </c>
      <c r="F2070" s="76">
        <v>0.6</v>
      </c>
    </row>
    <row r="2071" spans="1:6">
      <c r="A2071">
        <v>2124</v>
      </c>
      <c r="B2071">
        <v>152016241</v>
      </c>
      <c r="C2071" s="76">
        <v>2016</v>
      </c>
      <c r="D2071" s="76" t="s">
        <v>33</v>
      </c>
      <c r="E2071" s="76" t="s">
        <v>32</v>
      </c>
      <c r="F2071" s="76">
        <v>0.9</v>
      </c>
    </row>
    <row r="2072" spans="1:6">
      <c r="A2072">
        <v>2125</v>
      </c>
      <c r="B2072">
        <v>152016241</v>
      </c>
      <c r="C2072" s="76">
        <v>2016</v>
      </c>
      <c r="D2072" s="76" t="s">
        <v>33</v>
      </c>
      <c r="E2072" s="76" t="s">
        <v>32</v>
      </c>
      <c r="F2072" s="76">
        <v>1.2</v>
      </c>
    </row>
    <row r="2073" spans="1:6">
      <c r="A2073">
        <v>2130</v>
      </c>
      <c r="B2073">
        <v>152016260</v>
      </c>
      <c r="C2073" s="76">
        <v>2016</v>
      </c>
      <c r="D2073" s="76" t="s">
        <v>34</v>
      </c>
      <c r="E2073" s="76" t="s">
        <v>32</v>
      </c>
      <c r="F2073" s="76">
        <v>0.15</v>
      </c>
    </row>
    <row r="2074" spans="1:6">
      <c r="A2074">
        <v>2139</v>
      </c>
      <c r="B2074">
        <v>152016260</v>
      </c>
      <c r="C2074" s="76">
        <v>2016</v>
      </c>
      <c r="D2074" s="76" t="s">
        <v>34</v>
      </c>
      <c r="E2074" s="76" t="s">
        <v>32</v>
      </c>
      <c r="F2074" s="76">
        <v>30</v>
      </c>
    </row>
    <row r="2075" spans="1:6">
      <c r="A2075">
        <v>2136</v>
      </c>
      <c r="B2075">
        <v>152016260</v>
      </c>
      <c r="C2075" s="76">
        <v>2016</v>
      </c>
      <c r="D2075" s="76" t="s">
        <v>34</v>
      </c>
      <c r="E2075" s="76">
        <v>67</v>
      </c>
      <c r="F2075" s="76">
        <v>10.05</v>
      </c>
    </row>
    <row r="2076" spans="1:6">
      <c r="A2076">
        <v>2132</v>
      </c>
      <c r="B2076">
        <v>152016260</v>
      </c>
      <c r="C2076" s="76">
        <v>2016</v>
      </c>
      <c r="D2076" s="76" t="s">
        <v>34</v>
      </c>
      <c r="E2076" s="76" t="s">
        <v>32</v>
      </c>
      <c r="F2076" s="76">
        <v>0.04</v>
      </c>
    </row>
    <row r="2077" spans="1:6">
      <c r="A2077">
        <v>2138</v>
      </c>
      <c r="B2077">
        <v>152016260</v>
      </c>
      <c r="C2077" s="76">
        <v>2016</v>
      </c>
      <c r="D2077" s="76" t="s">
        <v>34</v>
      </c>
      <c r="E2077" s="76" t="s">
        <v>32</v>
      </c>
      <c r="F2077" s="76">
        <v>10.03</v>
      </c>
    </row>
    <row r="2078" spans="1:6">
      <c r="A2078">
        <v>2133</v>
      </c>
      <c r="B2078">
        <v>152016260</v>
      </c>
      <c r="C2078" s="76">
        <v>2016</v>
      </c>
      <c r="D2078" s="76" t="s">
        <v>34</v>
      </c>
      <c r="E2078" s="76">
        <v>23</v>
      </c>
      <c r="F2078" s="76">
        <v>5.05</v>
      </c>
    </row>
    <row r="2079" spans="1:6">
      <c r="A2079">
        <v>2137</v>
      </c>
      <c r="B2079">
        <v>152016260</v>
      </c>
      <c r="C2079" s="76">
        <v>2016</v>
      </c>
      <c r="D2079" s="76" t="s">
        <v>34</v>
      </c>
      <c r="E2079" s="76">
        <v>24</v>
      </c>
      <c r="F2079" s="76">
        <v>4.8</v>
      </c>
    </row>
    <row r="2080" spans="1:6">
      <c r="A2080">
        <v>2126</v>
      </c>
      <c r="B2080">
        <v>152016260</v>
      </c>
      <c r="C2080" s="76">
        <v>2016</v>
      </c>
      <c r="D2080" s="76" t="s">
        <v>34</v>
      </c>
      <c r="E2080" s="76">
        <v>33</v>
      </c>
      <c r="F2080" s="76">
        <v>4.95</v>
      </c>
    </row>
    <row r="2081" spans="1:6">
      <c r="A2081">
        <v>2127</v>
      </c>
      <c r="B2081">
        <v>152016260</v>
      </c>
      <c r="C2081" s="76">
        <v>2016</v>
      </c>
      <c r="D2081" s="76" t="s">
        <v>34</v>
      </c>
      <c r="E2081" s="76">
        <v>33</v>
      </c>
      <c r="F2081" s="76">
        <v>4.95</v>
      </c>
    </row>
    <row r="2082" spans="1:6">
      <c r="A2082">
        <v>2135</v>
      </c>
      <c r="B2082">
        <v>152016260</v>
      </c>
      <c r="C2082" s="76">
        <v>2016</v>
      </c>
      <c r="D2082" s="76" t="s">
        <v>34</v>
      </c>
      <c r="E2082" s="76">
        <v>25</v>
      </c>
      <c r="F2082" s="76">
        <v>5</v>
      </c>
    </row>
    <row r="2083" spans="1:6">
      <c r="A2083">
        <v>2131</v>
      </c>
      <c r="B2083">
        <v>152016260</v>
      </c>
      <c r="C2083" s="76">
        <v>2016</v>
      </c>
      <c r="D2083" s="76" t="s">
        <v>34</v>
      </c>
      <c r="E2083" s="76" t="s">
        <v>32</v>
      </c>
      <c r="F2083" s="76">
        <v>0.15</v>
      </c>
    </row>
    <row r="2084" spans="1:6">
      <c r="A2084">
        <v>2134</v>
      </c>
      <c r="B2084">
        <v>152016260</v>
      </c>
      <c r="C2084" s="76">
        <v>2016</v>
      </c>
      <c r="D2084" s="76" t="s">
        <v>34</v>
      </c>
      <c r="E2084" s="76" t="s">
        <v>32</v>
      </c>
      <c r="F2084" s="76">
        <v>4.95</v>
      </c>
    </row>
    <row r="2085" spans="1:6">
      <c r="A2085">
        <v>2128</v>
      </c>
      <c r="B2085">
        <v>152016260</v>
      </c>
      <c r="C2085" s="76">
        <v>2016</v>
      </c>
      <c r="D2085" s="76" t="s">
        <v>34</v>
      </c>
      <c r="E2085" s="76" t="s">
        <v>32</v>
      </c>
      <c r="F2085" s="76">
        <v>0.15</v>
      </c>
    </row>
    <row r="2086" spans="1:6">
      <c r="A2086">
        <v>2129</v>
      </c>
      <c r="B2086">
        <v>152016260</v>
      </c>
      <c r="C2086" s="76">
        <v>2016</v>
      </c>
      <c r="D2086" s="76" t="s">
        <v>34</v>
      </c>
      <c r="E2086" s="76" t="s">
        <v>32</v>
      </c>
      <c r="F2086" s="76">
        <v>0.15</v>
      </c>
    </row>
    <row r="2087" spans="1:6">
      <c r="A2087">
        <v>2156</v>
      </c>
      <c r="B2087">
        <v>152016270</v>
      </c>
      <c r="C2087" s="76">
        <v>2016</v>
      </c>
      <c r="D2087" s="76" t="s">
        <v>31</v>
      </c>
      <c r="E2087" s="76" t="s">
        <v>32</v>
      </c>
      <c r="F2087" s="76">
        <v>1</v>
      </c>
    </row>
    <row r="2088" spans="1:6">
      <c r="A2088">
        <v>2150</v>
      </c>
      <c r="B2088">
        <v>152016270</v>
      </c>
      <c r="C2088" s="76">
        <v>2016</v>
      </c>
      <c r="D2088" s="76" t="s">
        <v>31</v>
      </c>
      <c r="E2088" s="76" t="s">
        <v>32</v>
      </c>
      <c r="F2088" s="76">
        <v>1</v>
      </c>
    </row>
    <row r="2089" spans="1:6">
      <c r="A2089">
        <v>2151</v>
      </c>
      <c r="B2089">
        <v>152016270</v>
      </c>
      <c r="C2089" s="76">
        <v>2016</v>
      </c>
      <c r="D2089" s="76" t="s">
        <v>31</v>
      </c>
      <c r="E2089" s="76" t="s">
        <v>32</v>
      </c>
      <c r="F2089" s="76">
        <v>1</v>
      </c>
    </row>
    <row r="2090" spans="1:6">
      <c r="A2090">
        <v>2153</v>
      </c>
      <c r="B2090">
        <v>152016270</v>
      </c>
      <c r="C2090" s="76">
        <v>2016</v>
      </c>
      <c r="D2090" s="76" t="s">
        <v>31</v>
      </c>
      <c r="E2090" s="76" t="s">
        <v>32</v>
      </c>
      <c r="F2090" s="76">
        <v>1</v>
      </c>
    </row>
    <row r="2091" spans="1:6">
      <c r="A2091">
        <v>2155</v>
      </c>
      <c r="B2091">
        <v>152016270</v>
      </c>
      <c r="C2091" s="76">
        <v>2016</v>
      </c>
      <c r="D2091" s="76" t="s">
        <v>31</v>
      </c>
      <c r="E2091" s="76" t="s">
        <v>32</v>
      </c>
      <c r="F2091" s="76">
        <v>3</v>
      </c>
    </row>
    <row r="2092" spans="1:6">
      <c r="A2092">
        <v>2141</v>
      </c>
      <c r="B2092">
        <v>152016270</v>
      </c>
      <c r="C2092" s="76">
        <v>2016</v>
      </c>
      <c r="D2092" s="76" t="s">
        <v>31</v>
      </c>
      <c r="E2092" s="76" t="s">
        <v>32</v>
      </c>
      <c r="F2092" s="76">
        <v>3</v>
      </c>
    </row>
    <row r="2093" spans="1:6">
      <c r="A2093">
        <v>2148</v>
      </c>
      <c r="B2093">
        <v>152016270</v>
      </c>
      <c r="C2093" s="76">
        <v>2016</v>
      </c>
      <c r="D2093" s="76" t="s">
        <v>31</v>
      </c>
      <c r="E2093" s="76" t="s">
        <v>32</v>
      </c>
      <c r="F2093" s="76">
        <v>1.1</v>
      </c>
    </row>
    <row r="2094" spans="1:6">
      <c r="A2094">
        <v>2143</v>
      </c>
      <c r="B2094">
        <v>152016270</v>
      </c>
      <c r="C2094" s="76">
        <v>2016</v>
      </c>
      <c r="D2094" s="76" t="s">
        <v>31</v>
      </c>
      <c r="E2094" s="76" t="s">
        <v>32</v>
      </c>
      <c r="F2094" s="76">
        <v>2</v>
      </c>
    </row>
    <row r="2095" spans="1:6">
      <c r="A2095">
        <v>2144</v>
      </c>
      <c r="B2095">
        <v>152016270</v>
      </c>
      <c r="C2095" s="76">
        <v>2016</v>
      </c>
      <c r="D2095" s="76" t="s">
        <v>31</v>
      </c>
      <c r="E2095" s="76" t="s">
        <v>32</v>
      </c>
      <c r="F2095" s="76">
        <v>1</v>
      </c>
    </row>
    <row r="2096" spans="1:6">
      <c r="A2096">
        <v>2146</v>
      </c>
      <c r="B2096">
        <v>152016270</v>
      </c>
      <c r="C2096" s="76">
        <v>2016</v>
      </c>
      <c r="D2096" s="76" t="s">
        <v>31</v>
      </c>
      <c r="E2096" s="76" t="s">
        <v>32</v>
      </c>
      <c r="F2096" s="76">
        <v>3</v>
      </c>
    </row>
    <row r="2097" spans="1:6">
      <c r="A2097">
        <v>2142</v>
      </c>
      <c r="B2097">
        <v>152016270</v>
      </c>
      <c r="C2097" s="76">
        <v>2016</v>
      </c>
      <c r="D2097" s="76" t="s">
        <v>31</v>
      </c>
      <c r="E2097" s="76" t="s">
        <v>32</v>
      </c>
      <c r="F2097" s="76">
        <v>1</v>
      </c>
    </row>
    <row r="2098" spans="1:6">
      <c r="A2098">
        <v>2157</v>
      </c>
      <c r="B2098">
        <v>152016270</v>
      </c>
      <c r="C2098" s="76">
        <v>2016</v>
      </c>
      <c r="D2098" s="76" t="s">
        <v>31</v>
      </c>
      <c r="E2098" s="76" t="s">
        <v>32</v>
      </c>
      <c r="F2098" s="76">
        <v>0.9</v>
      </c>
    </row>
    <row r="2099" spans="1:6">
      <c r="A2099">
        <v>2145</v>
      </c>
      <c r="B2099">
        <v>152016270</v>
      </c>
      <c r="C2099" s="76">
        <v>2016</v>
      </c>
      <c r="D2099" s="76" t="s">
        <v>31</v>
      </c>
      <c r="E2099" s="76" t="s">
        <v>32</v>
      </c>
      <c r="F2099" s="76">
        <v>1</v>
      </c>
    </row>
    <row r="2100" spans="1:6">
      <c r="A2100">
        <v>2149</v>
      </c>
      <c r="B2100">
        <v>152016270</v>
      </c>
      <c r="C2100" s="76">
        <v>2016</v>
      </c>
      <c r="D2100" s="76" t="s">
        <v>31</v>
      </c>
      <c r="E2100" s="76" t="s">
        <v>32</v>
      </c>
      <c r="F2100" s="76">
        <v>1</v>
      </c>
    </row>
    <row r="2101" spans="1:6">
      <c r="A2101">
        <v>2147</v>
      </c>
      <c r="B2101">
        <v>152016270</v>
      </c>
      <c r="C2101" s="76">
        <v>2016</v>
      </c>
      <c r="D2101" s="76" t="s">
        <v>31</v>
      </c>
      <c r="E2101" s="76" t="s">
        <v>32</v>
      </c>
      <c r="F2101" s="76">
        <v>2</v>
      </c>
    </row>
    <row r="2102" spans="1:6">
      <c r="A2102">
        <v>2152</v>
      </c>
      <c r="B2102">
        <v>152016270</v>
      </c>
      <c r="C2102" s="76">
        <v>2016</v>
      </c>
      <c r="D2102" s="76" t="s">
        <v>31</v>
      </c>
      <c r="E2102" s="76" t="s">
        <v>32</v>
      </c>
      <c r="F2102" s="76">
        <v>2</v>
      </c>
    </row>
    <row r="2103" spans="1:6">
      <c r="A2103">
        <v>2154</v>
      </c>
      <c r="B2103">
        <v>152016270</v>
      </c>
      <c r="C2103" s="76">
        <v>2016</v>
      </c>
      <c r="D2103" s="76" t="s">
        <v>31</v>
      </c>
      <c r="E2103" s="76" t="s">
        <v>32</v>
      </c>
      <c r="F2103" s="76">
        <v>1</v>
      </c>
    </row>
    <row r="2104" spans="1:6">
      <c r="A2104">
        <v>2159</v>
      </c>
      <c r="B2104">
        <v>152017110</v>
      </c>
      <c r="C2104" s="76">
        <v>2017</v>
      </c>
      <c r="D2104" s="76" t="s">
        <v>40</v>
      </c>
      <c r="E2104" s="76" t="s">
        <v>32</v>
      </c>
      <c r="F2104" s="76">
        <v>0.6</v>
      </c>
    </row>
    <row r="2105" spans="1:6">
      <c r="A2105">
        <v>2160</v>
      </c>
      <c r="B2105">
        <v>152017211</v>
      </c>
      <c r="C2105" s="76">
        <v>2017</v>
      </c>
      <c r="D2105" s="76" t="s">
        <v>37</v>
      </c>
      <c r="E2105" s="76">
        <v>1</v>
      </c>
      <c r="F2105" s="76">
        <v>66</v>
      </c>
    </row>
    <row r="2106" spans="1:6">
      <c r="A2106">
        <v>2162</v>
      </c>
      <c r="B2106">
        <v>152017211</v>
      </c>
      <c r="C2106" s="76">
        <v>2017</v>
      </c>
      <c r="D2106" s="76" t="s">
        <v>37</v>
      </c>
      <c r="E2106" s="76">
        <v>1</v>
      </c>
      <c r="F2106" s="76">
        <v>30</v>
      </c>
    </row>
    <row r="2107" spans="1:6">
      <c r="A2107">
        <v>2161</v>
      </c>
      <c r="B2107">
        <v>152017211</v>
      </c>
      <c r="C2107" s="76">
        <v>2017</v>
      </c>
      <c r="D2107" s="76" t="s">
        <v>37</v>
      </c>
      <c r="E2107" s="76">
        <v>2</v>
      </c>
      <c r="F2107" s="76">
        <v>132</v>
      </c>
    </row>
    <row r="2108" spans="1:6">
      <c r="A2108">
        <v>2163</v>
      </c>
      <c r="B2108">
        <v>152017241</v>
      </c>
      <c r="C2108" s="76">
        <v>2017</v>
      </c>
      <c r="D2108" s="76" t="s">
        <v>33</v>
      </c>
      <c r="E2108" s="76" t="s">
        <v>32</v>
      </c>
      <c r="F2108" s="76">
        <v>1.05</v>
      </c>
    </row>
    <row r="2109" spans="1:6">
      <c r="A2109">
        <v>2171</v>
      </c>
      <c r="B2109">
        <v>152017260</v>
      </c>
      <c r="C2109" s="76">
        <v>2017</v>
      </c>
      <c r="D2109" s="76" t="s">
        <v>34</v>
      </c>
      <c r="E2109" s="76">
        <v>134</v>
      </c>
      <c r="F2109" s="76">
        <v>20.1</v>
      </c>
    </row>
    <row r="2110" spans="1:6">
      <c r="A2110">
        <v>2175</v>
      </c>
      <c r="B2110">
        <v>152017260</v>
      </c>
      <c r="C2110" s="76">
        <v>2017</v>
      </c>
      <c r="D2110" s="76" t="s">
        <v>34</v>
      </c>
      <c r="E2110" s="76" t="s">
        <v>32</v>
      </c>
      <c r="F2110" s="76">
        <v>20.12</v>
      </c>
    </row>
    <row r="2111" spans="1:6">
      <c r="A2111">
        <v>2174</v>
      </c>
      <c r="B2111">
        <v>152017260</v>
      </c>
      <c r="C2111" s="76">
        <v>2017</v>
      </c>
      <c r="D2111" s="76" t="s">
        <v>34</v>
      </c>
      <c r="E2111" s="76">
        <v>67</v>
      </c>
      <c r="F2111" s="76">
        <v>10</v>
      </c>
    </row>
    <row r="2112" spans="1:6">
      <c r="A2112">
        <v>2168</v>
      </c>
      <c r="B2112">
        <v>152017260</v>
      </c>
      <c r="C2112" s="76">
        <v>2017</v>
      </c>
      <c r="D2112" s="76" t="s">
        <v>34</v>
      </c>
      <c r="E2112" s="76" t="s">
        <v>32</v>
      </c>
      <c r="F2112" s="76">
        <v>0.9</v>
      </c>
    </row>
    <row r="2113" spans="1:6">
      <c r="A2113">
        <v>2173</v>
      </c>
      <c r="B2113">
        <v>152017260</v>
      </c>
      <c r="C2113" s="76">
        <v>2017</v>
      </c>
      <c r="D2113" s="76" t="s">
        <v>34</v>
      </c>
      <c r="E2113" s="76">
        <v>16</v>
      </c>
      <c r="F2113" s="76">
        <v>4</v>
      </c>
    </row>
    <row r="2114" spans="1:6">
      <c r="A2114">
        <v>2169</v>
      </c>
      <c r="B2114">
        <v>152017260</v>
      </c>
      <c r="C2114" s="76">
        <v>2017</v>
      </c>
      <c r="D2114" s="76" t="s">
        <v>34</v>
      </c>
      <c r="E2114" s="76" t="s">
        <v>32</v>
      </c>
      <c r="F2114" s="76">
        <v>1.2</v>
      </c>
    </row>
    <row r="2115" spans="1:6">
      <c r="A2115">
        <v>2165</v>
      </c>
      <c r="B2115">
        <v>152017260</v>
      </c>
      <c r="C2115" s="76">
        <v>2017</v>
      </c>
      <c r="D2115" s="76" t="s">
        <v>34</v>
      </c>
      <c r="E2115" s="76">
        <v>25</v>
      </c>
      <c r="F2115" s="76">
        <v>10</v>
      </c>
    </row>
    <row r="2116" spans="1:6">
      <c r="A2116">
        <v>2164</v>
      </c>
      <c r="B2116">
        <v>152017260</v>
      </c>
      <c r="C2116" s="76">
        <v>2017</v>
      </c>
      <c r="D2116" s="76" t="s">
        <v>34</v>
      </c>
      <c r="E2116" s="76">
        <v>33</v>
      </c>
      <c r="F2116" s="76">
        <v>4.95</v>
      </c>
    </row>
    <row r="2117" spans="1:6">
      <c r="A2117">
        <v>2170</v>
      </c>
      <c r="B2117">
        <v>152017260</v>
      </c>
      <c r="C2117" s="76">
        <v>2017</v>
      </c>
      <c r="D2117" s="76" t="s">
        <v>34</v>
      </c>
      <c r="E2117" s="76" t="s">
        <v>32</v>
      </c>
      <c r="F2117" s="76">
        <v>1.35</v>
      </c>
    </row>
    <row r="2118" spans="1:6">
      <c r="A2118">
        <v>2172</v>
      </c>
      <c r="B2118">
        <v>152017260</v>
      </c>
      <c r="C2118" s="76">
        <v>2017</v>
      </c>
      <c r="D2118" s="76" t="s">
        <v>34</v>
      </c>
      <c r="E2118" s="76" t="s">
        <v>32</v>
      </c>
      <c r="F2118" s="76">
        <v>0.9</v>
      </c>
    </row>
    <row r="2119" spans="1:6">
      <c r="A2119">
        <v>2167</v>
      </c>
      <c r="B2119">
        <v>152017260</v>
      </c>
      <c r="C2119" s="76">
        <v>2017</v>
      </c>
      <c r="D2119" s="76" t="s">
        <v>34</v>
      </c>
      <c r="E2119" s="76" t="s">
        <v>32</v>
      </c>
      <c r="F2119" s="76">
        <v>4.95</v>
      </c>
    </row>
    <row r="2120" spans="1:6">
      <c r="A2120">
        <v>2166</v>
      </c>
      <c r="B2120">
        <v>152017260</v>
      </c>
      <c r="C2120" s="76">
        <v>2017</v>
      </c>
      <c r="D2120" s="76" t="s">
        <v>34</v>
      </c>
      <c r="E2120" s="76">
        <v>50</v>
      </c>
      <c r="F2120" s="76">
        <v>10</v>
      </c>
    </row>
    <row r="2121" spans="1:6">
      <c r="A2121">
        <v>2178</v>
      </c>
      <c r="B2121">
        <v>152017270</v>
      </c>
      <c r="C2121" s="76">
        <v>2017</v>
      </c>
      <c r="D2121" s="76" t="s">
        <v>31</v>
      </c>
      <c r="E2121" s="76">
        <v>1</v>
      </c>
      <c r="F2121" s="76">
        <v>1</v>
      </c>
    </row>
    <row r="2122" spans="1:6">
      <c r="A2122">
        <v>2199</v>
      </c>
      <c r="B2122">
        <v>152017270</v>
      </c>
      <c r="C2122" s="76">
        <v>2017</v>
      </c>
      <c r="D2122" s="76" t="s">
        <v>31</v>
      </c>
      <c r="E2122" s="76" t="s">
        <v>32</v>
      </c>
      <c r="F2122" s="76">
        <v>3</v>
      </c>
    </row>
    <row r="2123" spans="1:6">
      <c r="A2123">
        <v>2194</v>
      </c>
      <c r="B2123">
        <v>152017270</v>
      </c>
      <c r="C2123" s="76">
        <v>2017</v>
      </c>
      <c r="D2123" s="76" t="s">
        <v>31</v>
      </c>
      <c r="E2123" s="76" t="s">
        <v>32</v>
      </c>
      <c r="F2123" s="76">
        <v>2</v>
      </c>
    </row>
    <row r="2124" spans="1:6">
      <c r="A2124">
        <v>2181</v>
      </c>
      <c r="B2124">
        <v>152017270</v>
      </c>
      <c r="C2124" s="76">
        <v>2017</v>
      </c>
      <c r="D2124" s="76" t="s">
        <v>31</v>
      </c>
      <c r="E2124" s="76" t="s">
        <v>32</v>
      </c>
      <c r="F2124" s="76">
        <v>1</v>
      </c>
    </row>
    <row r="2125" spans="1:6">
      <c r="A2125">
        <v>2182</v>
      </c>
      <c r="B2125">
        <v>152017270</v>
      </c>
      <c r="C2125" s="76">
        <v>2017</v>
      </c>
      <c r="D2125" s="76" t="s">
        <v>31</v>
      </c>
      <c r="E2125" s="76" t="s">
        <v>32</v>
      </c>
      <c r="F2125" s="76">
        <v>1</v>
      </c>
    </row>
    <row r="2126" spans="1:6">
      <c r="A2126">
        <v>2207</v>
      </c>
      <c r="B2126">
        <v>152017270</v>
      </c>
      <c r="C2126" s="76">
        <v>2017</v>
      </c>
      <c r="D2126" s="76" t="s">
        <v>31</v>
      </c>
      <c r="E2126" s="76" t="s">
        <v>32</v>
      </c>
      <c r="F2126" s="76">
        <v>1</v>
      </c>
    </row>
    <row r="2127" spans="1:6">
      <c r="A2127">
        <v>2190</v>
      </c>
      <c r="B2127">
        <v>152017270</v>
      </c>
      <c r="C2127" s="76">
        <v>2017</v>
      </c>
      <c r="D2127" s="76" t="s">
        <v>31</v>
      </c>
      <c r="E2127" s="76" t="s">
        <v>32</v>
      </c>
      <c r="F2127" s="76">
        <v>2</v>
      </c>
    </row>
    <row r="2128" spans="1:6">
      <c r="A2128">
        <v>2195</v>
      </c>
      <c r="B2128">
        <v>152017270</v>
      </c>
      <c r="C2128" s="76">
        <v>2017</v>
      </c>
      <c r="D2128" s="76" t="s">
        <v>31</v>
      </c>
      <c r="E2128" s="76" t="s">
        <v>32</v>
      </c>
      <c r="F2128" s="76">
        <v>2</v>
      </c>
    </row>
    <row r="2129" spans="1:6">
      <c r="A2129">
        <v>2191</v>
      </c>
      <c r="B2129">
        <v>152017270</v>
      </c>
      <c r="C2129" s="76">
        <v>2017</v>
      </c>
      <c r="D2129" s="76" t="s">
        <v>31</v>
      </c>
      <c r="E2129" s="76" t="s">
        <v>32</v>
      </c>
      <c r="F2129" s="76">
        <v>4</v>
      </c>
    </row>
    <row r="2130" spans="1:6">
      <c r="A2130">
        <v>2196</v>
      </c>
      <c r="B2130">
        <v>152017270</v>
      </c>
      <c r="C2130" s="76">
        <v>2017</v>
      </c>
      <c r="D2130" s="76" t="s">
        <v>31</v>
      </c>
      <c r="E2130" s="76" t="s">
        <v>32</v>
      </c>
      <c r="F2130" s="76">
        <v>4</v>
      </c>
    </row>
    <row r="2131" spans="1:6">
      <c r="A2131">
        <v>2208</v>
      </c>
      <c r="B2131">
        <v>152017270</v>
      </c>
      <c r="C2131" s="76">
        <v>2017</v>
      </c>
      <c r="D2131" s="76" t="s">
        <v>31</v>
      </c>
      <c r="E2131" s="76" t="s">
        <v>32</v>
      </c>
      <c r="F2131" s="76">
        <v>1</v>
      </c>
    </row>
    <row r="2132" spans="1:6">
      <c r="A2132">
        <v>2184</v>
      </c>
      <c r="B2132">
        <v>152017270</v>
      </c>
      <c r="C2132" s="76">
        <v>2017</v>
      </c>
      <c r="D2132" s="76" t="s">
        <v>31</v>
      </c>
      <c r="E2132" s="76" t="s">
        <v>32</v>
      </c>
      <c r="F2132" s="76">
        <v>2</v>
      </c>
    </row>
    <row r="2133" spans="1:6">
      <c r="A2133">
        <v>2187</v>
      </c>
      <c r="B2133">
        <v>152017270</v>
      </c>
      <c r="C2133" s="76">
        <v>2017</v>
      </c>
      <c r="D2133" s="76" t="s">
        <v>31</v>
      </c>
      <c r="E2133" s="76" t="s">
        <v>32</v>
      </c>
      <c r="F2133" s="76">
        <v>2</v>
      </c>
    </row>
    <row r="2134" spans="1:6">
      <c r="A2134">
        <v>2203</v>
      </c>
      <c r="B2134">
        <v>152017270</v>
      </c>
      <c r="C2134" s="76">
        <v>2017</v>
      </c>
      <c r="D2134" s="76" t="s">
        <v>31</v>
      </c>
      <c r="E2134" s="76" t="s">
        <v>32</v>
      </c>
      <c r="F2134" s="76">
        <v>1</v>
      </c>
    </row>
    <row r="2135" spans="1:6">
      <c r="A2135">
        <v>2201</v>
      </c>
      <c r="B2135">
        <v>152017270</v>
      </c>
      <c r="C2135" s="76">
        <v>2017</v>
      </c>
      <c r="D2135" s="76" t="s">
        <v>31</v>
      </c>
      <c r="E2135" s="76" t="s">
        <v>32</v>
      </c>
      <c r="F2135" s="76">
        <v>1</v>
      </c>
    </row>
    <row r="2136" spans="1:6">
      <c r="A2136">
        <v>2185</v>
      </c>
      <c r="B2136">
        <v>152017270</v>
      </c>
      <c r="C2136" s="76">
        <v>2017</v>
      </c>
      <c r="D2136" s="76" t="s">
        <v>31</v>
      </c>
      <c r="E2136" s="76" t="s">
        <v>32</v>
      </c>
      <c r="F2136" s="76">
        <v>2</v>
      </c>
    </row>
    <row r="2137" spans="1:6">
      <c r="A2137">
        <v>2193</v>
      </c>
      <c r="B2137">
        <v>152017270</v>
      </c>
      <c r="C2137" s="76">
        <v>2017</v>
      </c>
      <c r="D2137" s="76" t="s">
        <v>31</v>
      </c>
      <c r="E2137" s="76" t="s">
        <v>32</v>
      </c>
      <c r="F2137" s="76">
        <v>2</v>
      </c>
    </row>
    <row r="2138" spans="1:6">
      <c r="A2138">
        <v>2206</v>
      </c>
      <c r="B2138">
        <v>152017270</v>
      </c>
      <c r="C2138" s="76">
        <v>2017</v>
      </c>
      <c r="D2138" s="76" t="s">
        <v>31</v>
      </c>
      <c r="E2138" s="76" t="s">
        <v>32</v>
      </c>
      <c r="F2138" s="76">
        <v>2</v>
      </c>
    </row>
    <row r="2139" spans="1:6">
      <c r="A2139">
        <v>2202</v>
      </c>
      <c r="B2139">
        <v>152017270</v>
      </c>
      <c r="C2139" s="76">
        <v>2017</v>
      </c>
      <c r="D2139" s="76" t="s">
        <v>31</v>
      </c>
      <c r="E2139" s="76" t="s">
        <v>32</v>
      </c>
      <c r="F2139" s="76">
        <v>2</v>
      </c>
    </row>
    <row r="2140" spans="1:6">
      <c r="A2140">
        <v>2198</v>
      </c>
      <c r="B2140">
        <v>152017270</v>
      </c>
      <c r="C2140" s="76">
        <v>2017</v>
      </c>
      <c r="D2140" s="76" t="s">
        <v>31</v>
      </c>
      <c r="E2140" s="76" t="s">
        <v>32</v>
      </c>
      <c r="F2140" s="76">
        <v>5</v>
      </c>
    </row>
    <row r="2141" spans="1:6">
      <c r="A2141">
        <v>2205</v>
      </c>
      <c r="B2141">
        <v>152017270</v>
      </c>
      <c r="C2141" s="76">
        <v>2017</v>
      </c>
      <c r="D2141" s="76" t="s">
        <v>31</v>
      </c>
      <c r="E2141" s="76" t="s">
        <v>32</v>
      </c>
      <c r="F2141" s="76">
        <v>6</v>
      </c>
    </row>
    <row r="2142" spans="1:6">
      <c r="A2142">
        <v>2188</v>
      </c>
      <c r="B2142">
        <v>152017270</v>
      </c>
      <c r="C2142" s="76">
        <v>2017</v>
      </c>
      <c r="D2142" s="76" t="s">
        <v>31</v>
      </c>
      <c r="E2142" s="76" t="s">
        <v>32</v>
      </c>
      <c r="F2142" s="76">
        <v>3</v>
      </c>
    </row>
    <row r="2143" spans="1:6">
      <c r="A2143">
        <v>2204</v>
      </c>
      <c r="B2143">
        <v>152017270</v>
      </c>
      <c r="C2143" s="76">
        <v>2017</v>
      </c>
      <c r="D2143" s="76" t="s">
        <v>31</v>
      </c>
      <c r="E2143" s="76" t="s">
        <v>32</v>
      </c>
      <c r="F2143" s="76">
        <v>2</v>
      </c>
    </row>
    <row r="2144" spans="1:6">
      <c r="A2144">
        <v>2200</v>
      </c>
      <c r="B2144">
        <v>152017270</v>
      </c>
      <c r="C2144" s="76">
        <v>2017</v>
      </c>
      <c r="D2144" s="76" t="s">
        <v>31</v>
      </c>
      <c r="E2144" s="76" t="s">
        <v>32</v>
      </c>
      <c r="F2144" s="76">
        <v>1</v>
      </c>
    </row>
    <row r="2145" spans="1:6">
      <c r="A2145">
        <v>2192</v>
      </c>
      <c r="B2145">
        <v>152017270</v>
      </c>
      <c r="C2145" s="76">
        <v>2017</v>
      </c>
      <c r="D2145" s="76" t="s">
        <v>31</v>
      </c>
      <c r="E2145" s="76" t="s">
        <v>32</v>
      </c>
      <c r="F2145" s="76">
        <v>2</v>
      </c>
    </row>
    <row r="2146" spans="1:6">
      <c r="A2146">
        <v>2176</v>
      </c>
      <c r="B2146">
        <v>152017270</v>
      </c>
      <c r="C2146" s="76">
        <v>2017</v>
      </c>
      <c r="D2146" s="76" t="s">
        <v>31</v>
      </c>
      <c r="E2146" s="76" t="s">
        <v>32</v>
      </c>
      <c r="F2146" s="76">
        <v>1</v>
      </c>
    </row>
    <row r="2147" spans="1:6">
      <c r="A2147">
        <v>2180</v>
      </c>
      <c r="B2147">
        <v>152017270</v>
      </c>
      <c r="C2147" s="76">
        <v>2017</v>
      </c>
      <c r="D2147" s="76" t="s">
        <v>31</v>
      </c>
      <c r="E2147" s="76" t="s">
        <v>32</v>
      </c>
      <c r="F2147" s="76">
        <v>5</v>
      </c>
    </row>
    <row r="2148" spans="1:6">
      <c r="A2148">
        <v>2179</v>
      </c>
      <c r="B2148">
        <v>152017270</v>
      </c>
      <c r="C2148" s="76">
        <v>2017</v>
      </c>
      <c r="D2148" s="76" t="s">
        <v>31</v>
      </c>
      <c r="E2148" s="76">
        <v>1</v>
      </c>
      <c r="F2148" s="76">
        <v>3</v>
      </c>
    </row>
    <row r="2149" spans="1:6">
      <c r="A2149">
        <v>2197</v>
      </c>
      <c r="B2149">
        <v>152017270</v>
      </c>
      <c r="C2149" s="76">
        <v>2017</v>
      </c>
      <c r="D2149" s="76" t="s">
        <v>31</v>
      </c>
      <c r="E2149" s="76" t="s">
        <v>32</v>
      </c>
      <c r="F2149" s="76">
        <v>2</v>
      </c>
    </row>
    <row r="2150" spans="1:6">
      <c r="A2150">
        <v>2186</v>
      </c>
      <c r="B2150">
        <v>152017270</v>
      </c>
      <c r="C2150" s="76">
        <v>2017</v>
      </c>
      <c r="D2150" s="76" t="s">
        <v>31</v>
      </c>
      <c r="E2150" s="76" t="s">
        <v>32</v>
      </c>
      <c r="F2150" s="76">
        <v>3</v>
      </c>
    </row>
    <row r="2151" spans="1:6">
      <c r="A2151">
        <v>2177</v>
      </c>
      <c r="B2151">
        <v>152017270</v>
      </c>
      <c r="C2151" s="76">
        <v>2017</v>
      </c>
      <c r="D2151" s="76" t="s">
        <v>31</v>
      </c>
      <c r="E2151" s="76" t="s">
        <v>32</v>
      </c>
      <c r="F2151" s="76">
        <v>2</v>
      </c>
    </row>
    <row r="2152" spans="1:6">
      <c r="A2152">
        <v>2183</v>
      </c>
      <c r="B2152">
        <v>152017270</v>
      </c>
      <c r="C2152" s="76">
        <v>2017</v>
      </c>
      <c r="D2152" s="76" t="s">
        <v>31</v>
      </c>
      <c r="E2152" s="76" t="s">
        <v>32</v>
      </c>
      <c r="F2152" s="76">
        <v>1</v>
      </c>
    </row>
    <row r="2153" spans="1:6">
      <c r="A2153">
        <v>2209</v>
      </c>
      <c r="B2153">
        <v>152018211</v>
      </c>
      <c r="C2153" s="76">
        <v>2018</v>
      </c>
      <c r="D2153" s="76" t="s">
        <v>37</v>
      </c>
      <c r="E2153" s="76">
        <v>1</v>
      </c>
      <c r="F2153" s="76">
        <v>66</v>
      </c>
    </row>
    <row r="2154" spans="1:6">
      <c r="A2154">
        <v>2214</v>
      </c>
      <c r="B2154">
        <v>152018260</v>
      </c>
      <c r="C2154" s="76">
        <v>2018</v>
      </c>
      <c r="D2154" s="76" t="s">
        <v>34</v>
      </c>
      <c r="E2154" s="76">
        <v>46</v>
      </c>
      <c r="F2154" s="76">
        <v>11.5</v>
      </c>
    </row>
    <row r="2155" spans="1:6">
      <c r="A2155">
        <v>2234</v>
      </c>
      <c r="B2155">
        <v>152018260</v>
      </c>
      <c r="C2155" s="76">
        <v>2018</v>
      </c>
      <c r="D2155" s="76" t="s">
        <v>34</v>
      </c>
      <c r="E2155" s="76" t="s">
        <v>32</v>
      </c>
      <c r="F2155" s="76">
        <v>4.93</v>
      </c>
    </row>
    <row r="2156" spans="1:6">
      <c r="A2156">
        <v>2213</v>
      </c>
      <c r="B2156">
        <v>152018260</v>
      </c>
      <c r="C2156" s="76">
        <v>2018</v>
      </c>
      <c r="D2156" s="76" t="s">
        <v>34</v>
      </c>
      <c r="E2156" s="76">
        <v>160</v>
      </c>
      <c r="F2156" s="76">
        <v>40</v>
      </c>
    </row>
    <row r="2157" spans="1:6">
      <c r="A2157">
        <v>2217</v>
      </c>
      <c r="B2157">
        <v>152018260</v>
      </c>
      <c r="C2157" s="76">
        <v>2018</v>
      </c>
      <c r="D2157" s="76" t="s">
        <v>34</v>
      </c>
      <c r="E2157" s="76" t="s">
        <v>32</v>
      </c>
      <c r="F2157" s="76">
        <v>19.8</v>
      </c>
    </row>
    <row r="2158" spans="1:6">
      <c r="A2158">
        <v>2224</v>
      </c>
      <c r="B2158">
        <v>152018260</v>
      </c>
      <c r="C2158" s="76">
        <v>2018</v>
      </c>
      <c r="D2158" s="76" t="s">
        <v>34</v>
      </c>
      <c r="E2158" s="76" t="s">
        <v>32</v>
      </c>
      <c r="F2158" s="76">
        <v>1.13</v>
      </c>
    </row>
    <row r="2159" spans="1:6">
      <c r="A2159">
        <v>2229</v>
      </c>
      <c r="B2159">
        <v>152018260</v>
      </c>
      <c r="C2159" s="76">
        <v>2018</v>
      </c>
      <c r="D2159" s="76" t="s">
        <v>34</v>
      </c>
      <c r="E2159" s="76" t="s">
        <v>32</v>
      </c>
      <c r="F2159" s="76">
        <v>4.95</v>
      </c>
    </row>
    <row r="2160" spans="1:6">
      <c r="A2160">
        <v>2233</v>
      </c>
      <c r="B2160">
        <v>152018260</v>
      </c>
      <c r="C2160" s="76">
        <v>2018</v>
      </c>
      <c r="D2160" s="76" t="s">
        <v>34</v>
      </c>
      <c r="E2160" s="76" t="s">
        <v>32</v>
      </c>
      <c r="F2160" s="76">
        <v>4.8</v>
      </c>
    </row>
    <row r="2161" spans="1:6">
      <c r="A2161">
        <v>2212</v>
      </c>
      <c r="B2161">
        <v>152018260</v>
      </c>
      <c r="C2161" s="76">
        <v>2018</v>
      </c>
      <c r="D2161" s="76" t="s">
        <v>34</v>
      </c>
      <c r="E2161" s="76">
        <v>33</v>
      </c>
      <c r="F2161" s="76">
        <v>4.95</v>
      </c>
    </row>
    <row r="2162" spans="1:6">
      <c r="A2162">
        <v>2219</v>
      </c>
      <c r="B2162">
        <v>152018260</v>
      </c>
      <c r="C2162" s="76">
        <v>2018</v>
      </c>
      <c r="D2162" s="76" t="s">
        <v>34</v>
      </c>
      <c r="E2162" s="76" t="s">
        <v>32</v>
      </c>
      <c r="F2162" s="76">
        <v>20.1</v>
      </c>
    </row>
    <row r="2163" spans="1:6">
      <c r="A2163">
        <v>2232</v>
      </c>
      <c r="B2163">
        <v>152018260</v>
      </c>
      <c r="C2163" s="76">
        <v>2018</v>
      </c>
      <c r="D2163" s="76" t="s">
        <v>34</v>
      </c>
      <c r="E2163" s="76" t="s">
        <v>32</v>
      </c>
      <c r="F2163" s="76">
        <v>3</v>
      </c>
    </row>
    <row r="2164" spans="1:6">
      <c r="A2164">
        <v>2228</v>
      </c>
      <c r="B2164">
        <v>152018260</v>
      </c>
      <c r="C2164" s="76">
        <v>2018</v>
      </c>
      <c r="D2164" s="76" t="s">
        <v>34</v>
      </c>
      <c r="E2164" s="76" t="s">
        <v>32</v>
      </c>
      <c r="F2164" s="76">
        <v>5</v>
      </c>
    </row>
    <row r="2165" spans="1:6">
      <c r="A2165">
        <v>2211</v>
      </c>
      <c r="B2165">
        <v>152018260</v>
      </c>
      <c r="C2165" s="76">
        <v>2018</v>
      </c>
      <c r="D2165" s="76" t="s">
        <v>34</v>
      </c>
      <c r="E2165" s="76">
        <v>25</v>
      </c>
      <c r="F2165" s="76">
        <v>5</v>
      </c>
    </row>
    <row r="2166" spans="1:6">
      <c r="A2166">
        <v>2225</v>
      </c>
      <c r="B2166">
        <v>152018260</v>
      </c>
      <c r="C2166" s="76">
        <v>2018</v>
      </c>
      <c r="D2166" s="76" t="s">
        <v>34</v>
      </c>
      <c r="E2166" s="76" t="s">
        <v>32</v>
      </c>
      <c r="F2166" s="76">
        <v>4.95</v>
      </c>
    </row>
    <row r="2167" spans="1:6">
      <c r="A2167">
        <v>2220</v>
      </c>
      <c r="B2167">
        <v>152018260</v>
      </c>
      <c r="C2167" s="76">
        <v>2018</v>
      </c>
      <c r="D2167" s="76" t="s">
        <v>34</v>
      </c>
      <c r="E2167" s="76" t="s">
        <v>32</v>
      </c>
      <c r="F2167" s="76">
        <v>15</v>
      </c>
    </row>
    <row r="2168" spans="1:6">
      <c r="A2168">
        <v>2218</v>
      </c>
      <c r="B2168">
        <v>152018260</v>
      </c>
      <c r="C2168" s="76">
        <v>2018</v>
      </c>
      <c r="D2168" s="76" t="s">
        <v>34</v>
      </c>
      <c r="E2168" s="76" t="s">
        <v>32</v>
      </c>
      <c r="F2168" s="76">
        <v>4.95</v>
      </c>
    </row>
    <row r="2169" spans="1:6">
      <c r="A2169">
        <v>2227</v>
      </c>
      <c r="B2169">
        <v>152018260</v>
      </c>
      <c r="C2169" s="76">
        <v>2018</v>
      </c>
      <c r="D2169" s="76" t="s">
        <v>34</v>
      </c>
      <c r="E2169" s="76" t="s">
        <v>32</v>
      </c>
      <c r="F2169" s="76">
        <v>4.95</v>
      </c>
    </row>
    <row r="2170" spans="1:6">
      <c r="A2170">
        <v>2226</v>
      </c>
      <c r="B2170">
        <v>152018260</v>
      </c>
      <c r="C2170" s="76">
        <v>2018</v>
      </c>
      <c r="D2170" s="76" t="s">
        <v>34</v>
      </c>
      <c r="E2170" s="76" t="s">
        <v>32</v>
      </c>
      <c r="F2170" s="76">
        <v>5</v>
      </c>
    </row>
    <row r="2171" spans="1:6">
      <c r="A2171">
        <v>2230</v>
      </c>
      <c r="B2171">
        <v>152018260</v>
      </c>
      <c r="C2171" s="76">
        <v>2018</v>
      </c>
      <c r="D2171" s="76" t="s">
        <v>34</v>
      </c>
      <c r="E2171" s="76" t="s">
        <v>32</v>
      </c>
      <c r="F2171" s="76">
        <v>5</v>
      </c>
    </row>
    <row r="2172" spans="1:6">
      <c r="A2172">
        <v>2231</v>
      </c>
      <c r="B2172">
        <v>152018260</v>
      </c>
      <c r="C2172" s="76">
        <v>2018</v>
      </c>
      <c r="D2172" s="76" t="s">
        <v>34</v>
      </c>
      <c r="E2172" s="76" t="s">
        <v>32</v>
      </c>
      <c r="F2172" s="76">
        <v>4.8</v>
      </c>
    </row>
    <row r="2173" spans="1:6">
      <c r="A2173">
        <v>2216</v>
      </c>
      <c r="B2173">
        <v>152018260</v>
      </c>
      <c r="C2173" s="76">
        <v>2018</v>
      </c>
      <c r="D2173" s="76" t="s">
        <v>34</v>
      </c>
      <c r="E2173" s="76" t="s">
        <v>32</v>
      </c>
      <c r="F2173" s="76">
        <v>4.95</v>
      </c>
    </row>
    <row r="2174" spans="1:6">
      <c r="A2174">
        <v>2221</v>
      </c>
      <c r="B2174">
        <v>152018260</v>
      </c>
      <c r="C2174" s="76">
        <v>2018</v>
      </c>
      <c r="D2174" s="76" t="s">
        <v>34</v>
      </c>
      <c r="E2174" s="76" t="s">
        <v>32</v>
      </c>
      <c r="F2174" s="76">
        <v>4.8</v>
      </c>
    </row>
    <row r="2175" spans="1:6">
      <c r="A2175">
        <v>2222</v>
      </c>
      <c r="B2175">
        <v>152018260</v>
      </c>
      <c r="C2175" s="76">
        <v>2018</v>
      </c>
      <c r="D2175" s="76" t="s">
        <v>34</v>
      </c>
      <c r="E2175" s="76" t="s">
        <v>32</v>
      </c>
      <c r="F2175" s="76">
        <v>10</v>
      </c>
    </row>
    <row r="2176" spans="1:6">
      <c r="A2176">
        <v>2223</v>
      </c>
      <c r="B2176">
        <v>152018260</v>
      </c>
      <c r="C2176" s="76">
        <v>2018</v>
      </c>
      <c r="D2176" s="76" t="s">
        <v>34</v>
      </c>
      <c r="E2176" s="76" t="s">
        <v>32</v>
      </c>
      <c r="F2176" s="76">
        <v>20</v>
      </c>
    </row>
    <row r="2177" spans="1:6">
      <c r="A2177">
        <v>2215</v>
      </c>
      <c r="B2177">
        <v>152018260</v>
      </c>
      <c r="C2177" s="76">
        <v>2018</v>
      </c>
      <c r="D2177" s="76" t="s">
        <v>34</v>
      </c>
      <c r="E2177" s="76" t="s">
        <v>32</v>
      </c>
      <c r="F2177" s="76">
        <v>5</v>
      </c>
    </row>
    <row r="2178" spans="1:6">
      <c r="A2178">
        <v>2248</v>
      </c>
      <c r="B2178">
        <v>152018270</v>
      </c>
      <c r="C2178" s="76">
        <v>2018</v>
      </c>
      <c r="D2178" s="76" t="s">
        <v>31</v>
      </c>
      <c r="E2178" s="76" t="s">
        <v>32</v>
      </c>
      <c r="F2178" s="76">
        <v>1.44</v>
      </c>
    </row>
    <row r="2179" spans="1:6">
      <c r="A2179">
        <v>2252</v>
      </c>
      <c r="B2179">
        <v>152018270</v>
      </c>
      <c r="C2179" s="76">
        <v>2018</v>
      </c>
      <c r="D2179" s="76" t="s">
        <v>31</v>
      </c>
      <c r="E2179" s="76" t="s">
        <v>32</v>
      </c>
      <c r="F2179" s="76">
        <v>6.73</v>
      </c>
    </row>
    <row r="2180" spans="1:6">
      <c r="A2180">
        <v>2235</v>
      </c>
      <c r="B2180">
        <v>152018270</v>
      </c>
      <c r="C2180" s="76">
        <v>2018</v>
      </c>
      <c r="D2180" s="76" t="s">
        <v>31</v>
      </c>
      <c r="E2180" s="76" t="s">
        <v>32</v>
      </c>
      <c r="F2180" s="76">
        <v>4</v>
      </c>
    </row>
    <row r="2181" spans="1:6">
      <c r="A2181">
        <v>2236</v>
      </c>
      <c r="B2181">
        <v>152018270</v>
      </c>
      <c r="C2181" s="76">
        <v>2018</v>
      </c>
      <c r="D2181" s="76" t="s">
        <v>31</v>
      </c>
      <c r="E2181" s="76" t="s">
        <v>32</v>
      </c>
      <c r="F2181" s="76">
        <v>10.13</v>
      </c>
    </row>
    <row r="2182" spans="1:6">
      <c r="A2182">
        <v>2238</v>
      </c>
      <c r="B2182">
        <v>152018270</v>
      </c>
      <c r="C2182" s="76">
        <v>2018</v>
      </c>
      <c r="D2182" s="76" t="s">
        <v>31</v>
      </c>
      <c r="E2182" s="76" t="s">
        <v>32</v>
      </c>
      <c r="F2182" s="76">
        <v>3.27</v>
      </c>
    </row>
    <row r="2183" spans="1:6">
      <c r="A2183">
        <v>2246</v>
      </c>
      <c r="B2183">
        <v>152018270</v>
      </c>
      <c r="C2183" s="76">
        <v>2018</v>
      </c>
      <c r="D2183" s="76" t="s">
        <v>31</v>
      </c>
      <c r="E2183" s="76" t="s">
        <v>32</v>
      </c>
      <c r="F2183" s="76">
        <v>5.62</v>
      </c>
    </row>
    <row r="2184" spans="1:6">
      <c r="A2184">
        <v>2240</v>
      </c>
      <c r="B2184">
        <v>152018270</v>
      </c>
      <c r="C2184" s="76">
        <v>2018</v>
      </c>
      <c r="D2184" s="76" t="s">
        <v>31</v>
      </c>
      <c r="E2184" s="76" t="s">
        <v>32</v>
      </c>
      <c r="F2184" s="76">
        <v>10</v>
      </c>
    </row>
    <row r="2185" spans="1:6">
      <c r="A2185">
        <v>2247</v>
      </c>
      <c r="B2185">
        <v>152018270</v>
      </c>
      <c r="C2185" s="76">
        <v>2018</v>
      </c>
      <c r="D2185" s="76" t="s">
        <v>31</v>
      </c>
      <c r="E2185" s="76" t="s">
        <v>32</v>
      </c>
      <c r="F2185" s="76">
        <v>3.93</v>
      </c>
    </row>
    <row r="2186" spans="1:6">
      <c r="A2186">
        <v>2254</v>
      </c>
      <c r="B2186">
        <v>152018270</v>
      </c>
      <c r="C2186" s="76">
        <v>2018</v>
      </c>
      <c r="D2186" s="76" t="s">
        <v>31</v>
      </c>
      <c r="E2186" s="76" t="s">
        <v>32</v>
      </c>
      <c r="F2186" s="76">
        <v>4</v>
      </c>
    </row>
    <row r="2187" spans="1:6">
      <c r="A2187">
        <v>2250</v>
      </c>
      <c r="B2187">
        <v>152018270</v>
      </c>
      <c r="C2187" s="76">
        <v>2018</v>
      </c>
      <c r="D2187" s="76" t="s">
        <v>31</v>
      </c>
      <c r="E2187" s="76" t="s">
        <v>32</v>
      </c>
      <c r="F2187" s="76">
        <v>1</v>
      </c>
    </row>
    <row r="2188" spans="1:6">
      <c r="A2188">
        <v>2261</v>
      </c>
      <c r="B2188">
        <v>152018270</v>
      </c>
      <c r="C2188" s="76">
        <v>2018</v>
      </c>
      <c r="D2188" s="76" t="s">
        <v>31</v>
      </c>
      <c r="E2188" s="76" t="s">
        <v>32</v>
      </c>
      <c r="F2188" s="76">
        <v>1</v>
      </c>
    </row>
    <row r="2189" spans="1:6">
      <c r="A2189">
        <v>2260</v>
      </c>
      <c r="B2189">
        <v>152018270</v>
      </c>
      <c r="C2189" s="76">
        <v>2018</v>
      </c>
      <c r="D2189" s="76" t="s">
        <v>31</v>
      </c>
      <c r="E2189" s="76" t="s">
        <v>32</v>
      </c>
      <c r="F2189" s="76">
        <v>3.93</v>
      </c>
    </row>
    <row r="2190" spans="1:6">
      <c r="A2190">
        <v>2259</v>
      </c>
      <c r="B2190">
        <v>152018270</v>
      </c>
      <c r="C2190" s="76">
        <v>2018</v>
      </c>
      <c r="D2190" s="76" t="s">
        <v>31</v>
      </c>
      <c r="E2190" s="76" t="s">
        <v>32</v>
      </c>
      <c r="F2190" s="76">
        <v>2.3</v>
      </c>
    </row>
    <row r="2191" spans="1:6">
      <c r="A2191">
        <v>2242</v>
      </c>
      <c r="B2191">
        <v>152018270</v>
      </c>
      <c r="C2191" s="76">
        <v>2018</v>
      </c>
      <c r="D2191" s="76" t="s">
        <v>31</v>
      </c>
      <c r="E2191" s="76" t="s">
        <v>32</v>
      </c>
      <c r="F2191" s="76">
        <v>2.33</v>
      </c>
    </row>
    <row r="2192" spans="1:6">
      <c r="A2192">
        <v>2256</v>
      </c>
      <c r="B2192">
        <v>152018270</v>
      </c>
      <c r="C2192" s="76">
        <v>2018</v>
      </c>
      <c r="D2192" s="76" t="s">
        <v>31</v>
      </c>
      <c r="E2192" s="76" t="s">
        <v>32</v>
      </c>
      <c r="F2192" s="76">
        <v>2.29</v>
      </c>
    </row>
    <row r="2193" spans="1:6">
      <c r="A2193">
        <v>2257</v>
      </c>
      <c r="B2193">
        <v>152018270</v>
      </c>
      <c r="C2193" s="76">
        <v>2018</v>
      </c>
      <c r="D2193" s="76" t="s">
        <v>31</v>
      </c>
      <c r="E2193" s="76" t="s">
        <v>32</v>
      </c>
      <c r="F2193" s="76">
        <v>2.32</v>
      </c>
    </row>
    <row r="2194" spans="1:6">
      <c r="A2194">
        <v>2258</v>
      </c>
      <c r="B2194">
        <v>152018270</v>
      </c>
      <c r="C2194" s="76">
        <v>2018</v>
      </c>
      <c r="D2194" s="76" t="s">
        <v>31</v>
      </c>
      <c r="E2194" s="76" t="s">
        <v>32</v>
      </c>
      <c r="F2194" s="76">
        <v>5.5</v>
      </c>
    </row>
    <row r="2195" spans="1:6">
      <c r="A2195">
        <v>2244</v>
      </c>
      <c r="B2195">
        <v>152018270</v>
      </c>
      <c r="C2195" s="76">
        <v>2018</v>
      </c>
      <c r="D2195" s="76" t="s">
        <v>31</v>
      </c>
      <c r="E2195" s="76" t="s">
        <v>32</v>
      </c>
      <c r="F2195" s="76">
        <v>6</v>
      </c>
    </row>
    <row r="2196" spans="1:6">
      <c r="A2196">
        <v>2243</v>
      </c>
      <c r="B2196">
        <v>152018270</v>
      </c>
      <c r="C2196" s="76">
        <v>2018</v>
      </c>
      <c r="D2196" s="76" t="s">
        <v>31</v>
      </c>
      <c r="E2196" s="76" t="s">
        <v>32</v>
      </c>
      <c r="F2196" s="76">
        <v>20</v>
      </c>
    </row>
    <row r="2197" spans="1:6">
      <c r="A2197">
        <v>2237</v>
      </c>
      <c r="B2197">
        <v>152018270</v>
      </c>
      <c r="C2197" s="76">
        <v>2018</v>
      </c>
      <c r="D2197" s="76" t="s">
        <v>31</v>
      </c>
      <c r="E2197" s="76" t="s">
        <v>32</v>
      </c>
      <c r="F2197" s="76">
        <v>4.8</v>
      </c>
    </row>
    <row r="2198" spans="1:6">
      <c r="A2198">
        <v>2249</v>
      </c>
      <c r="B2198">
        <v>152018270</v>
      </c>
      <c r="C2198" s="76">
        <v>2018</v>
      </c>
      <c r="D2198" s="76" t="s">
        <v>31</v>
      </c>
      <c r="E2198" s="76" t="s">
        <v>32</v>
      </c>
      <c r="F2198" s="76">
        <v>6</v>
      </c>
    </row>
    <row r="2199" spans="1:6">
      <c r="A2199">
        <v>2251</v>
      </c>
      <c r="B2199">
        <v>152018270</v>
      </c>
      <c r="C2199" s="76">
        <v>2018</v>
      </c>
      <c r="D2199" s="76" t="s">
        <v>31</v>
      </c>
      <c r="E2199" s="76" t="s">
        <v>32</v>
      </c>
      <c r="F2199" s="76">
        <v>10</v>
      </c>
    </row>
    <row r="2200" spans="1:6">
      <c r="A2200">
        <v>2239</v>
      </c>
      <c r="B2200">
        <v>152018270</v>
      </c>
      <c r="C2200" s="76">
        <v>2018</v>
      </c>
      <c r="D2200" s="76" t="s">
        <v>31</v>
      </c>
      <c r="E2200" s="76" t="s">
        <v>32</v>
      </c>
      <c r="F2200" s="76">
        <v>1</v>
      </c>
    </row>
    <row r="2201" spans="1:6">
      <c r="A2201">
        <v>2253</v>
      </c>
      <c r="B2201">
        <v>152018270</v>
      </c>
      <c r="C2201" s="76">
        <v>2018</v>
      </c>
      <c r="D2201" s="76" t="s">
        <v>31</v>
      </c>
      <c r="E2201" s="76" t="s">
        <v>32</v>
      </c>
      <c r="F2201" s="76">
        <v>2.95</v>
      </c>
    </row>
    <row r="2202" spans="1:6">
      <c r="A2202">
        <v>2241</v>
      </c>
      <c r="B2202">
        <v>152018270</v>
      </c>
      <c r="C2202" s="76">
        <v>2018</v>
      </c>
      <c r="D2202" s="76" t="s">
        <v>31</v>
      </c>
      <c r="E2202" s="76" t="s">
        <v>32</v>
      </c>
      <c r="F2202" s="76">
        <v>4.24</v>
      </c>
    </row>
    <row r="2203" spans="1:6">
      <c r="A2203">
        <v>2255</v>
      </c>
      <c r="B2203">
        <v>152018270</v>
      </c>
      <c r="C2203" s="76">
        <v>2018</v>
      </c>
      <c r="D2203" s="76" t="s">
        <v>31</v>
      </c>
      <c r="E2203" s="76" t="s">
        <v>32</v>
      </c>
      <c r="F2203" s="76">
        <v>2</v>
      </c>
    </row>
    <row r="2204" spans="1:6">
      <c r="A2204">
        <v>2263</v>
      </c>
      <c r="B2204">
        <v>152019211</v>
      </c>
      <c r="C2204" s="76">
        <v>2019</v>
      </c>
      <c r="D2204" s="76" t="s">
        <v>37</v>
      </c>
      <c r="E2204" s="76">
        <v>2</v>
      </c>
      <c r="F2204" s="76">
        <v>132</v>
      </c>
    </row>
    <row r="2205" spans="1:6">
      <c r="A2205">
        <v>2262</v>
      </c>
      <c r="B2205">
        <v>152019211</v>
      </c>
      <c r="C2205" s="76">
        <v>2019</v>
      </c>
      <c r="D2205" s="76" t="s">
        <v>37</v>
      </c>
      <c r="E2205" s="76">
        <v>1</v>
      </c>
      <c r="F2205" s="76">
        <v>66</v>
      </c>
    </row>
    <row r="2206" spans="1:6">
      <c r="A2206">
        <v>2265</v>
      </c>
      <c r="B2206">
        <v>152019211</v>
      </c>
      <c r="C2206" s="76">
        <v>2019</v>
      </c>
      <c r="D2206" s="76" t="s">
        <v>37</v>
      </c>
      <c r="E2206" s="76" t="s">
        <v>32</v>
      </c>
      <c r="F2206" s="76">
        <v>10</v>
      </c>
    </row>
    <row r="2207" spans="1:6">
      <c r="A2207">
        <v>2264</v>
      </c>
      <c r="B2207">
        <v>152019211</v>
      </c>
      <c r="C2207" s="76">
        <v>2019</v>
      </c>
      <c r="D2207" s="76" t="s">
        <v>37</v>
      </c>
      <c r="E2207" s="76">
        <v>2</v>
      </c>
      <c r="F2207" s="76">
        <v>132</v>
      </c>
    </row>
    <row r="2208" spans="1:6">
      <c r="A2208">
        <v>2266</v>
      </c>
      <c r="B2208">
        <v>152019212</v>
      </c>
      <c r="C2208" s="76">
        <v>2019</v>
      </c>
      <c r="D2208" s="76" t="s">
        <v>39</v>
      </c>
      <c r="E2208" s="76">
        <v>2</v>
      </c>
      <c r="F2208" s="76">
        <v>70</v>
      </c>
    </row>
    <row r="2209" spans="1:6">
      <c r="A2209">
        <v>2271</v>
      </c>
      <c r="B2209">
        <v>152019260</v>
      </c>
      <c r="C2209" s="76">
        <v>2019</v>
      </c>
      <c r="D2209" s="76" t="s">
        <v>34</v>
      </c>
      <c r="E2209" s="76">
        <v>46</v>
      </c>
      <c r="F2209" s="76">
        <v>8.5</v>
      </c>
    </row>
    <row r="2210" spans="1:6">
      <c r="A2210">
        <v>2284</v>
      </c>
      <c r="B2210">
        <v>152019260</v>
      </c>
      <c r="C2210" s="76">
        <v>2019</v>
      </c>
      <c r="D2210" s="76" t="s">
        <v>34</v>
      </c>
      <c r="E2210" s="76" t="s">
        <v>32</v>
      </c>
      <c r="F2210" s="76">
        <v>1.85</v>
      </c>
    </row>
    <row r="2211" spans="1:6">
      <c r="A2211">
        <v>2277</v>
      </c>
      <c r="B2211">
        <v>152019260</v>
      </c>
      <c r="C2211" s="76">
        <v>2019</v>
      </c>
      <c r="D2211" s="76" t="s">
        <v>34</v>
      </c>
      <c r="E2211" s="76" t="s">
        <v>32</v>
      </c>
      <c r="F2211" s="76">
        <v>4.95</v>
      </c>
    </row>
    <row r="2212" spans="1:6">
      <c r="A2212">
        <v>2287</v>
      </c>
      <c r="B2212">
        <v>152019260</v>
      </c>
      <c r="C2212" s="76">
        <v>2019</v>
      </c>
      <c r="D2212" s="76" t="s">
        <v>34</v>
      </c>
      <c r="E2212" s="76" t="s">
        <v>32</v>
      </c>
      <c r="F2212" s="76">
        <v>0.41</v>
      </c>
    </row>
    <row r="2213" spans="1:6">
      <c r="A2213">
        <v>2286</v>
      </c>
      <c r="B2213">
        <v>152019260</v>
      </c>
      <c r="C2213" s="76">
        <v>2019</v>
      </c>
      <c r="D2213" s="76" t="s">
        <v>34</v>
      </c>
      <c r="E2213" s="76" t="s">
        <v>32</v>
      </c>
      <c r="F2213" s="76">
        <v>0.3</v>
      </c>
    </row>
    <row r="2214" spans="1:6">
      <c r="A2214">
        <v>2272</v>
      </c>
      <c r="B2214">
        <v>152019260</v>
      </c>
      <c r="C2214" s="76">
        <v>2019</v>
      </c>
      <c r="D2214" s="76" t="s">
        <v>34</v>
      </c>
      <c r="E2214" s="76">
        <v>12</v>
      </c>
      <c r="F2214" s="76">
        <v>3</v>
      </c>
    </row>
    <row r="2215" spans="1:6">
      <c r="A2215">
        <v>2278</v>
      </c>
      <c r="B2215">
        <v>152019260</v>
      </c>
      <c r="C2215" s="76">
        <v>2019</v>
      </c>
      <c r="D2215" s="76" t="s">
        <v>34</v>
      </c>
      <c r="E2215" s="76" t="s">
        <v>32</v>
      </c>
      <c r="F2215" s="76">
        <v>4.95</v>
      </c>
    </row>
    <row r="2216" spans="1:6">
      <c r="A2216">
        <v>2285</v>
      </c>
      <c r="B2216">
        <v>152019260</v>
      </c>
      <c r="C2216" s="76">
        <v>2019</v>
      </c>
      <c r="D2216" s="76" t="s">
        <v>34</v>
      </c>
      <c r="E2216" s="76" t="s">
        <v>32</v>
      </c>
      <c r="F2216" s="76">
        <v>1.53</v>
      </c>
    </row>
    <row r="2217" spans="1:6">
      <c r="A2217">
        <v>2283</v>
      </c>
      <c r="B2217">
        <v>152019260</v>
      </c>
      <c r="C2217" s="76">
        <v>2019</v>
      </c>
      <c r="D2217" s="76" t="s">
        <v>34</v>
      </c>
      <c r="E2217" s="76" t="s">
        <v>32</v>
      </c>
      <c r="F2217" s="76">
        <v>12.31</v>
      </c>
    </row>
    <row r="2218" spans="1:6">
      <c r="A2218">
        <v>2267</v>
      </c>
      <c r="B2218">
        <v>152019260</v>
      </c>
      <c r="C2218" s="76">
        <v>2019</v>
      </c>
      <c r="D2218" s="76" t="s">
        <v>34</v>
      </c>
      <c r="E2218" s="76">
        <v>17</v>
      </c>
      <c r="F2218" s="76">
        <v>5</v>
      </c>
    </row>
    <row r="2219" spans="1:6">
      <c r="A2219">
        <v>2270</v>
      </c>
      <c r="B2219">
        <v>152019260</v>
      </c>
      <c r="C2219" s="76">
        <v>2019</v>
      </c>
      <c r="D2219" s="76" t="s">
        <v>34</v>
      </c>
      <c r="E2219" s="76" t="s">
        <v>32</v>
      </c>
      <c r="F2219" s="76">
        <v>2.73</v>
      </c>
    </row>
    <row r="2220" spans="1:6">
      <c r="A2220">
        <v>2268</v>
      </c>
      <c r="B2220">
        <v>152019260</v>
      </c>
      <c r="C2220" s="76">
        <v>2019</v>
      </c>
      <c r="D2220" s="76" t="s">
        <v>34</v>
      </c>
      <c r="E2220" s="76">
        <v>33</v>
      </c>
      <c r="F2220" s="76">
        <v>4.95</v>
      </c>
    </row>
    <row r="2221" spans="1:6">
      <c r="A2221">
        <v>2269</v>
      </c>
      <c r="B2221">
        <v>152019260</v>
      </c>
      <c r="C2221" s="76">
        <v>2019</v>
      </c>
      <c r="D2221" s="76" t="s">
        <v>34</v>
      </c>
      <c r="E2221" s="76" t="s">
        <v>32</v>
      </c>
      <c r="F2221" s="76">
        <v>2.6</v>
      </c>
    </row>
    <row r="2222" spans="1:6">
      <c r="A2222">
        <v>2275</v>
      </c>
      <c r="B2222">
        <v>152019260</v>
      </c>
      <c r="C2222" s="76">
        <v>2019</v>
      </c>
      <c r="D2222" s="76" t="s">
        <v>34</v>
      </c>
      <c r="E2222" s="76" t="s">
        <v>32</v>
      </c>
      <c r="F2222" s="76">
        <v>0.3</v>
      </c>
    </row>
    <row r="2223" spans="1:6">
      <c r="A2223">
        <v>2273</v>
      </c>
      <c r="B2223">
        <v>152019260</v>
      </c>
      <c r="C2223" s="76">
        <v>2019</v>
      </c>
      <c r="D2223" s="76" t="s">
        <v>34</v>
      </c>
      <c r="E2223" s="76" t="s">
        <v>32</v>
      </c>
      <c r="F2223" s="76">
        <v>5</v>
      </c>
    </row>
    <row r="2224" spans="1:6">
      <c r="A2224">
        <v>2279</v>
      </c>
      <c r="B2224">
        <v>152019260</v>
      </c>
      <c r="C2224" s="76">
        <v>2019</v>
      </c>
      <c r="D2224" s="76" t="s">
        <v>34</v>
      </c>
      <c r="E2224" s="76" t="s">
        <v>32</v>
      </c>
      <c r="F2224" s="76">
        <v>5</v>
      </c>
    </row>
    <row r="2225" spans="1:6">
      <c r="A2225">
        <v>2282</v>
      </c>
      <c r="B2225">
        <v>152019260</v>
      </c>
      <c r="C2225" s="76">
        <v>2019</v>
      </c>
      <c r="D2225" s="76" t="s">
        <v>34</v>
      </c>
      <c r="E2225" s="76" t="s">
        <v>32</v>
      </c>
      <c r="F2225" s="76">
        <v>20.01</v>
      </c>
    </row>
    <row r="2226" spans="1:6">
      <c r="A2226">
        <v>2281</v>
      </c>
      <c r="B2226">
        <v>152019260</v>
      </c>
      <c r="C2226" s="76">
        <v>2019</v>
      </c>
      <c r="D2226" s="76" t="s">
        <v>34</v>
      </c>
      <c r="E2226" s="76" t="s">
        <v>32</v>
      </c>
      <c r="F2226" s="76">
        <v>10</v>
      </c>
    </row>
    <row r="2227" spans="1:6">
      <c r="A2227">
        <v>2280</v>
      </c>
      <c r="B2227">
        <v>152019260</v>
      </c>
      <c r="C2227" s="76">
        <v>2019</v>
      </c>
      <c r="D2227" s="76" t="s">
        <v>34</v>
      </c>
      <c r="E2227" s="76" t="s">
        <v>32</v>
      </c>
      <c r="F2227" s="76">
        <v>25</v>
      </c>
    </row>
    <row r="2228" spans="1:6">
      <c r="A2228">
        <v>2276</v>
      </c>
      <c r="B2228">
        <v>152019260</v>
      </c>
      <c r="C2228" s="76">
        <v>2019</v>
      </c>
      <c r="D2228" s="76" t="s">
        <v>34</v>
      </c>
      <c r="E2228" s="76" t="s">
        <v>32</v>
      </c>
      <c r="F2228" s="76">
        <v>1</v>
      </c>
    </row>
    <row r="2229" spans="1:6">
      <c r="A2229">
        <v>2274</v>
      </c>
      <c r="B2229">
        <v>152019260</v>
      </c>
      <c r="C2229" s="76">
        <v>2019</v>
      </c>
      <c r="D2229" s="76" t="s">
        <v>34</v>
      </c>
      <c r="E2229" s="76" t="s">
        <v>32</v>
      </c>
      <c r="F2229" s="76">
        <v>1</v>
      </c>
    </row>
    <row r="2230" spans="1:6">
      <c r="A2230">
        <v>2323</v>
      </c>
      <c r="B2230">
        <v>152019270</v>
      </c>
      <c r="C2230" s="76">
        <v>2019</v>
      </c>
      <c r="D2230" s="76" t="s">
        <v>31</v>
      </c>
      <c r="E2230" s="76" t="s">
        <v>32</v>
      </c>
      <c r="F2230" s="76">
        <v>1.16</v>
      </c>
    </row>
    <row r="2231" spans="1:6">
      <c r="A2231">
        <v>2324</v>
      </c>
      <c r="B2231">
        <v>152019270</v>
      </c>
      <c r="C2231" s="76">
        <v>2019</v>
      </c>
      <c r="D2231" s="76" t="s">
        <v>31</v>
      </c>
      <c r="E2231" s="76" t="s">
        <v>32</v>
      </c>
      <c r="F2231" s="76">
        <v>0.82</v>
      </c>
    </row>
    <row r="2232" spans="1:6">
      <c r="A2232">
        <v>2326</v>
      </c>
      <c r="B2232">
        <v>152019270</v>
      </c>
      <c r="C2232" s="76">
        <v>2019</v>
      </c>
      <c r="D2232" s="76" t="s">
        <v>31</v>
      </c>
      <c r="E2232" s="76" t="s">
        <v>32</v>
      </c>
      <c r="F2232" s="76">
        <v>0.67</v>
      </c>
    </row>
    <row r="2233" spans="1:6">
      <c r="A2233">
        <v>2301</v>
      </c>
      <c r="B2233">
        <v>152019270</v>
      </c>
      <c r="C2233" s="76">
        <v>2019</v>
      </c>
      <c r="D2233" s="76" t="s">
        <v>31</v>
      </c>
      <c r="E2233" s="76" t="s">
        <v>32</v>
      </c>
      <c r="F2233" s="76">
        <v>4.5</v>
      </c>
    </row>
    <row r="2234" spans="1:6">
      <c r="A2234">
        <v>2311</v>
      </c>
      <c r="B2234">
        <v>152019270</v>
      </c>
      <c r="C2234" s="76">
        <v>2019</v>
      </c>
      <c r="D2234" s="76" t="s">
        <v>31</v>
      </c>
      <c r="E2234" s="76" t="s">
        <v>32</v>
      </c>
      <c r="F2234" s="76">
        <v>1.08</v>
      </c>
    </row>
    <row r="2235" spans="1:6">
      <c r="A2235">
        <v>2312</v>
      </c>
      <c r="B2235">
        <v>152019270</v>
      </c>
      <c r="C2235" s="76">
        <v>2019</v>
      </c>
      <c r="D2235" s="76" t="s">
        <v>31</v>
      </c>
      <c r="E2235" s="76" t="s">
        <v>32</v>
      </c>
      <c r="F2235" s="76">
        <v>0.19</v>
      </c>
    </row>
    <row r="2236" spans="1:6">
      <c r="A2236">
        <v>2325</v>
      </c>
      <c r="B2236">
        <v>152019270</v>
      </c>
      <c r="C2236" s="76">
        <v>2019</v>
      </c>
      <c r="D2236" s="76" t="s">
        <v>31</v>
      </c>
      <c r="E2236" s="76" t="s">
        <v>32</v>
      </c>
      <c r="F2236" s="76">
        <v>2.54</v>
      </c>
    </row>
    <row r="2237" spans="1:6">
      <c r="A2237">
        <v>2330</v>
      </c>
      <c r="B2237">
        <v>152019270</v>
      </c>
      <c r="C2237" s="76">
        <v>2019</v>
      </c>
      <c r="D2237" s="76" t="s">
        <v>31</v>
      </c>
      <c r="E2237" s="76" t="s">
        <v>32</v>
      </c>
      <c r="F2237" s="76">
        <v>5</v>
      </c>
    </row>
    <row r="2238" spans="1:6">
      <c r="A2238">
        <v>2328</v>
      </c>
      <c r="B2238">
        <v>152019270</v>
      </c>
      <c r="C2238" s="76">
        <v>2019</v>
      </c>
      <c r="D2238" s="76" t="s">
        <v>31</v>
      </c>
      <c r="E2238" s="76" t="s">
        <v>32</v>
      </c>
      <c r="F2238" s="76">
        <v>1.2</v>
      </c>
    </row>
    <row r="2239" spans="1:6">
      <c r="A2239">
        <v>2331</v>
      </c>
      <c r="B2239">
        <v>152019270</v>
      </c>
      <c r="C2239" s="76">
        <v>2019</v>
      </c>
      <c r="D2239" s="76" t="s">
        <v>31</v>
      </c>
      <c r="E2239" s="76" t="s">
        <v>32</v>
      </c>
      <c r="F2239" s="76">
        <v>5</v>
      </c>
    </row>
    <row r="2240" spans="1:6">
      <c r="A2240">
        <v>2327</v>
      </c>
      <c r="B2240">
        <v>152019270</v>
      </c>
      <c r="C2240" s="76">
        <v>2019</v>
      </c>
      <c r="D2240" s="76" t="s">
        <v>31</v>
      </c>
      <c r="E2240" s="76" t="s">
        <v>32</v>
      </c>
      <c r="F2240" s="76">
        <v>0.54</v>
      </c>
    </row>
    <row r="2241" spans="1:6">
      <c r="A2241">
        <v>2320</v>
      </c>
      <c r="B2241">
        <v>152019270</v>
      </c>
      <c r="C2241" s="76">
        <v>2019</v>
      </c>
      <c r="D2241" s="76" t="s">
        <v>31</v>
      </c>
      <c r="E2241" s="76" t="s">
        <v>32</v>
      </c>
      <c r="F2241" s="76">
        <v>1.15</v>
      </c>
    </row>
    <row r="2242" spans="1:6">
      <c r="A2242">
        <v>2318</v>
      </c>
      <c r="B2242">
        <v>152019270</v>
      </c>
      <c r="C2242" s="76">
        <v>2019</v>
      </c>
      <c r="D2242" s="76" t="s">
        <v>31</v>
      </c>
      <c r="E2242" s="76" t="s">
        <v>32</v>
      </c>
      <c r="F2242" s="76">
        <v>3.06</v>
      </c>
    </row>
    <row r="2243" spans="1:6">
      <c r="A2243">
        <v>2300</v>
      </c>
      <c r="B2243">
        <v>152019270</v>
      </c>
      <c r="C2243" s="76">
        <v>2019</v>
      </c>
      <c r="D2243" s="76" t="s">
        <v>31</v>
      </c>
      <c r="E2243" s="76" t="s">
        <v>32</v>
      </c>
      <c r="F2243" s="76">
        <v>1</v>
      </c>
    </row>
    <row r="2244" spans="1:6">
      <c r="A2244">
        <v>2321</v>
      </c>
      <c r="B2244">
        <v>152019270</v>
      </c>
      <c r="C2244" s="76">
        <v>2019</v>
      </c>
      <c r="D2244" s="76" t="s">
        <v>31</v>
      </c>
      <c r="E2244" s="76" t="s">
        <v>32</v>
      </c>
      <c r="F2244" s="76">
        <v>0.21</v>
      </c>
    </row>
    <row r="2245" spans="1:6">
      <c r="A2245">
        <v>2329</v>
      </c>
      <c r="B2245">
        <v>152019270</v>
      </c>
      <c r="C2245" s="76">
        <v>2019</v>
      </c>
      <c r="D2245" s="76" t="s">
        <v>31</v>
      </c>
      <c r="E2245" s="76" t="s">
        <v>32</v>
      </c>
      <c r="F2245" s="76">
        <v>4.04</v>
      </c>
    </row>
    <row r="2246" spans="1:6">
      <c r="A2246">
        <v>2294</v>
      </c>
      <c r="B2246">
        <v>152019270</v>
      </c>
      <c r="C2246" s="76">
        <v>2019</v>
      </c>
      <c r="D2246" s="76" t="s">
        <v>31</v>
      </c>
      <c r="E2246" s="76" t="s">
        <v>32</v>
      </c>
      <c r="F2246" s="76">
        <v>1</v>
      </c>
    </row>
    <row r="2247" spans="1:6">
      <c r="A2247">
        <v>2293</v>
      </c>
      <c r="B2247">
        <v>152019270</v>
      </c>
      <c r="C2247" s="76">
        <v>2019</v>
      </c>
      <c r="D2247" s="76" t="s">
        <v>31</v>
      </c>
      <c r="E2247" s="76" t="s">
        <v>32</v>
      </c>
      <c r="F2247" s="76">
        <v>0.76</v>
      </c>
    </row>
    <row r="2248" spans="1:6">
      <c r="A2248">
        <v>2316</v>
      </c>
      <c r="B2248">
        <v>152019270</v>
      </c>
      <c r="C2248" s="76">
        <v>2019</v>
      </c>
      <c r="D2248" s="76" t="s">
        <v>31</v>
      </c>
      <c r="E2248" s="76" t="s">
        <v>32</v>
      </c>
      <c r="F2248" s="76">
        <v>0.68</v>
      </c>
    </row>
    <row r="2249" spans="1:6">
      <c r="A2249">
        <v>2308</v>
      </c>
      <c r="B2249">
        <v>152019270</v>
      </c>
      <c r="C2249" s="76">
        <v>2019</v>
      </c>
      <c r="D2249" s="76" t="s">
        <v>31</v>
      </c>
      <c r="E2249" s="76" t="s">
        <v>32</v>
      </c>
      <c r="F2249" s="76">
        <v>0.33</v>
      </c>
    </row>
    <row r="2250" spans="1:6">
      <c r="A2250">
        <v>2309</v>
      </c>
      <c r="B2250">
        <v>152019270</v>
      </c>
      <c r="C2250" s="76">
        <v>2019</v>
      </c>
      <c r="D2250" s="76" t="s">
        <v>31</v>
      </c>
      <c r="E2250" s="76" t="s">
        <v>32</v>
      </c>
      <c r="F2250" s="76">
        <v>0</v>
      </c>
    </row>
    <row r="2251" spans="1:6">
      <c r="A2251">
        <v>2303</v>
      </c>
      <c r="B2251">
        <v>152019270</v>
      </c>
      <c r="C2251" s="76">
        <v>2019</v>
      </c>
      <c r="D2251" s="76" t="s">
        <v>31</v>
      </c>
      <c r="E2251" s="76" t="s">
        <v>32</v>
      </c>
      <c r="F2251" s="76">
        <v>2.32</v>
      </c>
    </row>
    <row r="2252" spans="1:6">
      <c r="A2252">
        <v>2305</v>
      </c>
      <c r="B2252">
        <v>152019270</v>
      </c>
      <c r="C2252" s="76">
        <v>2019</v>
      </c>
      <c r="D2252" s="76" t="s">
        <v>31</v>
      </c>
      <c r="E2252" s="76" t="s">
        <v>32</v>
      </c>
      <c r="F2252" s="76">
        <v>1.14</v>
      </c>
    </row>
    <row r="2253" spans="1:6">
      <c r="A2253">
        <v>2315</v>
      </c>
      <c r="B2253">
        <v>152019270</v>
      </c>
      <c r="C2253" s="76">
        <v>2019</v>
      </c>
      <c r="D2253" s="76" t="s">
        <v>31</v>
      </c>
      <c r="E2253" s="76" t="s">
        <v>32</v>
      </c>
      <c r="F2253" s="76">
        <v>1</v>
      </c>
    </row>
    <row r="2254" spans="1:6">
      <c r="A2254">
        <v>2307</v>
      </c>
      <c r="B2254">
        <v>152019270</v>
      </c>
      <c r="C2254" s="76">
        <v>2019</v>
      </c>
      <c r="D2254" s="76" t="s">
        <v>31</v>
      </c>
      <c r="E2254" s="76" t="s">
        <v>32</v>
      </c>
      <c r="F2254" s="76">
        <v>2.4</v>
      </c>
    </row>
    <row r="2255" spans="1:6">
      <c r="A2255">
        <v>2291</v>
      </c>
      <c r="B2255">
        <v>152019270</v>
      </c>
      <c r="C2255" s="76">
        <v>2019</v>
      </c>
      <c r="D2255" s="76" t="s">
        <v>31</v>
      </c>
      <c r="E2255" s="76" t="s">
        <v>32</v>
      </c>
      <c r="F2255" s="76">
        <v>20</v>
      </c>
    </row>
    <row r="2256" spans="1:6">
      <c r="A2256">
        <v>2290</v>
      </c>
      <c r="B2256">
        <v>152019270</v>
      </c>
      <c r="C2256" s="76">
        <v>2019</v>
      </c>
      <c r="D2256" s="76" t="s">
        <v>31</v>
      </c>
      <c r="E2256" s="76" t="s">
        <v>32</v>
      </c>
      <c r="F2256" s="76">
        <v>1</v>
      </c>
    </row>
    <row r="2257" spans="1:6">
      <c r="A2257">
        <v>2319</v>
      </c>
      <c r="B2257">
        <v>152019270</v>
      </c>
      <c r="C2257" s="76">
        <v>2019</v>
      </c>
      <c r="D2257" s="76" t="s">
        <v>31</v>
      </c>
      <c r="E2257" s="76" t="s">
        <v>32</v>
      </c>
      <c r="F2257" s="76">
        <v>0.16</v>
      </c>
    </row>
    <row r="2258" spans="1:6">
      <c r="A2258">
        <v>2299</v>
      </c>
      <c r="B2258">
        <v>152019270</v>
      </c>
      <c r="C2258" s="76">
        <v>2019</v>
      </c>
      <c r="D2258" s="76" t="s">
        <v>31</v>
      </c>
      <c r="E2258" s="76" t="s">
        <v>32</v>
      </c>
      <c r="F2258" s="76">
        <v>1</v>
      </c>
    </row>
    <row r="2259" spans="1:6">
      <c r="A2259">
        <v>2304</v>
      </c>
      <c r="B2259">
        <v>152019270</v>
      </c>
      <c r="C2259" s="76">
        <v>2019</v>
      </c>
      <c r="D2259" s="76" t="s">
        <v>31</v>
      </c>
      <c r="E2259" s="76" t="s">
        <v>32</v>
      </c>
      <c r="F2259" s="76">
        <v>2.51</v>
      </c>
    </row>
    <row r="2260" spans="1:6">
      <c r="A2260">
        <v>2317</v>
      </c>
      <c r="B2260">
        <v>152019270</v>
      </c>
      <c r="C2260" s="76">
        <v>2019</v>
      </c>
      <c r="D2260" s="76" t="s">
        <v>31</v>
      </c>
      <c r="E2260" s="76" t="s">
        <v>32</v>
      </c>
      <c r="F2260" s="76">
        <v>1.68</v>
      </c>
    </row>
    <row r="2261" spans="1:6">
      <c r="A2261">
        <v>2302</v>
      </c>
      <c r="B2261">
        <v>152019270</v>
      </c>
      <c r="C2261" s="76">
        <v>2019</v>
      </c>
      <c r="D2261" s="76" t="s">
        <v>31</v>
      </c>
      <c r="E2261" s="76" t="s">
        <v>32</v>
      </c>
      <c r="F2261" s="76">
        <v>1</v>
      </c>
    </row>
    <row r="2262" spans="1:6">
      <c r="A2262">
        <v>2289</v>
      </c>
      <c r="B2262">
        <v>152019270</v>
      </c>
      <c r="C2262" s="76">
        <v>2019</v>
      </c>
      <c r="D2262" s="76" t="s">
        <v>31</v>
      </c>
      <c r="E2262" s="76" t="s">
        <v>32</v>
      </c>
      <c r="F2262" s="76">
        <v>1</v>
      </c>
    </row>
    <row r="2263" spans="1:6">
      <c r="A2263">
        <v>2313</v>
      </c>
      <c r="B2263">
        <v>152019270</v>
      </c>
      <c r="C2263" s="76">
        <v>2019</v>
      </c>
      <c r="D2263" s="76" t="s">
        <v>31</v>
      </c>
      <c r="E2263" s="76" t="s">
        <v>32</v>
      </c>
      <c r="F2263" s="76">
        <v>0.21</v>
      </c>
    </row>
    <row r="2264" spans="1:6">
      <c r="A2264">
        <v>2322</v>
      </c>
      <c r="B2264">
        <v>152019270</v>
      </c>
      <c r="C2264" s="76">
        <v>2019</v>
      </c>
      <c r="D2264" s="76" t="s">
        <v>31</v>
      </c>
      <c r="E2264" s="76" t="s">
        <v>32</v>
      </c>
      <c r="F2264" s="76">
        <v>0</v>
      </c>
    </row>
    <row r="2265" spans="1:6">
      <c r="A2265">
        <v>2310</v>
      </c>
      <c r="B2265">
        <v>152019270</v>
      </c>
      <c r="C2265" s="76">
        <v>2019</v>
      </c>
      <c r="D2265" s="76" t="s">
        <v>31</v>
      </c>
      <c r="E2265" s="76" t="s">
        <v>32</v>
      </c>
      <c r="F2265" s="76">
        <v>0.01</v>
      </c>
    </row>
    <row r="2266" spans="1:6">
      <c r="A2266">
        <v>2306</v>
      </c>
      <c r="B2266">
        <v>152019270</v>
      </c>
      <c r="C2266" s="76">
        <v>2019</v>
      </c>
      <c r="D2266" s="76" t="s">
        <v>31</v>
      </c>
      <c r="E2266" s="76" t="s">
        <v>32</v>
      </c>
      <c r="F2266" s="76">
        <v>0.6</v>
      </c>
    </row>
    <row r="2267" spans="1:6">
      <c r="A2267">
        <v>2296</v>
      </c>
      <c r="B2267">
        <v>152019270</v>
      </c>
      <c r="C2267" s="76">
        <v>2019</v>
      </c>
      <c r="D2267" s="76" t="s">
        <v>31</v>
      </c>
      <c r="E2267" s="76" t="s">
        <v>32</v>
      </c>
      <c r="F2267" s="76">
        <v>7.38</v>
      </c>
    </row>
    <row r="2268" spans="1:6">
      <c r="A2268">
        <v>2297</v>
      </c>
      <c r="B2268">
        <v>152019270</v>
      </c>
      <c r="C2268" s="76">
        <v>2019</v>
      </c>
      <c r="D2268" s="76" t="s">
        <v>31</v>
      </c>
      <c r="E2268" s="76" t="s">
        <v>32</v>
      </c>
      <c r="F2268" s="76">
        <v>5.58</v>
      </c>
    </row>
    <row r="2269" spans="1:6">
      <c r="A2269">
        <v>2295</v>
      </c>
      <c r="B2269">
        <v>152019270</v>
      </c>
      <c r="C2269" s="76">
        <v>2019</v>
      </c>
      <c r="D2269" s="76" t="s">
        <v>31</v>
      </c>
      <c r="E2269" s="76" t="s">
        <v>32</v>
      </c>
      <c r="F2269" s="76">
        <v>13.5</v>
      </c>
    </row>
    <row r="2270" spans="1:6">
      <c r="A2270">
        <v>2298</v>
      </c>
      <c r="B2270">
        <v>152019270</v>
      </c>
      <c r="C2270" s="76">
        <v>2019</v>
      </c>
      <c r="D2270" s="76" t="s">
        <v>31</v>
      </c>
      <c r="E2270" s="76" t="s">
        <v>32</v>
      </c>
      <c r="F2270" s="76">
        <v>0.94</v>
      </c>
    </row>
    <row r="2271" spans="1:6">
      <c r="A2271">
        <v>2314</v>
      </c>
      <c r="B2271">
        <v>152019270</v>
      </c>
      <c r="C2271" s="76">
        <v>2019</v>
      </c>
      <c r="D2271" s="76" t="s">
        <v>31</v>
      </c>
      <c r="E2271" s="76" t="s">
        <v>32</v>
      </c>
      <c r="F2271" s="76">
        <v>1</v>
      </c>
    </row>
    <row r="2272" spans="1:6">
      <c r="A2272">
        <v>2335</v>
      </c>
      <c r="B2272">
        <v>152020211</v>
      </c>
      <c r="C2272" s="76">
        <v>2020</v>
      </c>
      <c r="D2272" s="76" t="s">
        <v>37</v>
      </c>
      <c r="E2272" s="76" t="s">
        <v>32</v>
      </c>
      <c r="F2272" s="76">
        <v>10</v>
      </c>
    </row>
    <row r="2273" spans="1:6">
      <c r="A2273">
        <v>2336</v>
      </c>
      <c r="B2273">
        <v>152020211</v>
      </c>
      <c r="C2273" s="76">
        <v>2020</v>
      </c>
      <c r="D2273" s="76" t="s">
        <v>37</v>
      </c>
      <c r="E2273" s="76" t="s">
        <v>32</v>
      </c>
      <c r="F2273" s="76">
        <v>3.6</v>
      </c>
    </row>
    <row r="2274" spans="1:6">
      <c r="A2274">
        <v>2334</v>
      </c>
      <c r="B2274">
        <v>152020211</v>
      </c>
      <c r="C2274" s="76">
        <v>2020</v>
      </c>
      <c r="D2274" s="76" t="s">
        <v>37</v>
      </c>
      <c r="E2274" s="76" t="s">
        <v>32</v>
      </c>
      <c r="F2274" s="76">
        <v>2.5</v>
      </c>
    </row>
    <row r="2275" spans="1:6">
      <c r="A2275">
        <v>2337</v>
      </c>
      <c r="B2275">
        <v>152020211</v>
      </c>
      <c r="C2275" s="76">
        <v>2020</v>
      </c>
      <c r="D2275" s="76" t="s">
        <v>37</v>
      </c>
      <c r="E2275" s="76">
        <v>2</v>
      </c>
      <c r="F2275" s="76">
        <v>200</v>
      </c>
    </row>
    <row r="2276" spans="1:6">
      <c r="A2276">
        <v>2332</v>
      </c>
      <c r="B2276">
        <v>152020211</v>
      </c>
      <c r="C2276" s="76">
        <v>2020</v>
      </c>
      <c r="D2276" s="76" t="s">
        <v>37</v>
      </c>
      <c r="E2276" s="76">
        <v>2</v>
      </c>
      <c r="F2276" s="76">
        <v>132</v>
      </c>
    </row>
    <row r="2277" spans="1:6">
      <c r="A2277">
        <v>2333</v>
      </c>
      <c r="B2277">
        <v>152020211</v>
      </c>
      <c r="C2277" s="76">
        <v>2020</v>
      </c>
      <c r="D2277" s="76" t="s">
        <v>37</v>
      </c>
      <c r="E2277" s="76">
        <v>1</v>
      </c>
      <c r="F2277" s="76">
        <v>66</v>
      </c>
    </row>
    <row r="2278" spans="1:6">
      <c r="A2278">
        <v>2339</v>
      </c>
      <c r="B2278">
        <v>152020242</v>
      </c>
      <c r="C2278" s="76">
        <v>2020</v>
      </c>
      <c r="D2278" s="76" t="s">
        <v>35</v>
      </c>
      <c r="E2278" s="76" t="s">
        <v>32</v>
      </c>
      <c r="F2278" s="76">
        <v>1.5</v>
      </c>
    </row>
    <row r="2279" spans="1:6">
      <c r="A2279">
        <v>2341</v>
      </c>
      <c r="B2279">
        <v>152020243</v>
      </c>
      <c r="C2279" s="76">
        <v>2020</v>
      </c>
      <c r="D2279" s="76" t="s">
        <v>38</v>
      </c>
      <c r="E2279" s="76" t="s">
        <v>32</v>
      </c>
      <c r="F2279" s="76">
        <v>3</v>
      </c>
    </row>
    <row r="2280" spans="1:6">
      <c r="A2280">
        <v>2340</v>
      </c>
      <c r="B2280">
        <v>152020243</v>
      </c>
      <c r="C2280" s="76">
        <v>2020</v>
      </c>
      <c r="D2280" s="76" t="s">
        <v>38</v>
      </c>
      <c r="E2280" s="76" t="s">
        <v>32</v>
      </c>
      <c r="F2280" s="76">
        <v>3</v>
      </c>
    </row>
    <row r="2281" spans="1:6">
      <c r="A2281">
        <v>2374</v>
      </c>
      <c r="B2281">
        <v>152020260</v>
      </c>
      <c r="C2281" s="76">
        <v>2020</v>
      </c>
      <c r="D2281" s="76" t="s">
        <v>34</v>
      </c>
      <c r="E2281" s="76" t="s">
        <v>32</v>
      </c>
      <c r="F2281" s="76">
        <v>12.17</v>
      </c>
    </row>
    <row r="2282" spans="1:6">
      <c r="A2282">
        <v>2373</v>
      </c>
      <c r="B2282">
        <v>152020260</v>
      </c>
      <c r="C2282" s="76">
        <v>2020</v>
      </c>
      <c r="D2282" s="76" t="s">
        <v>34</v>
      </c>
      <c r="E2282" s="76" t="s">
        <v>32</v>
      </c>
      <c r="F2282" s="76">
        <v>5</v>
      </c>
    </row>
    <row r="2283" spans="1:6">
      <c r="A2283">
        <v>2380</v>
      </c>
      <c r="B2283">
        <v>152020260</v>
      </c>
      <c r="C2283" s="76">
        <v>2020</v>
      </c>
      <c r="D2283" s="76" t="s">
        <v>34</v>
      </c>
      <c r="E2283" s="76" t="s">
        <v>32</v>
      </c>
      <c r="F2283" s="76">
        <v>4.87</v>
      </c>
    </row>
    <row r="2284" spans="1:6">
      <c r="A2284">
        <v>2362</v>
      </c>
      <c r="B2284">
        <v>152020260</v>
      </c>
      <c r="C2284" s="76">
        <v>2020</v>
      </c>
      <c r="D2284" s="76" t="s">
        <v>34</v>
      </c>
      <c r="E2284" s="76">
        <v>48</v>
      </c>
      <c r="F2284" s="76">
        <v>12</v>
      </c>
    </row>
    <row r="2285" spans="1:6">
      <c r="A2285">
        <v>2399</v>
      </c>
      <c r="B2285">
        <v>152020260</v>
      </c>
      <c r="C2285" s="76">
        <v>2020</v>
      </c>
      <c r="D2285" s="76" t="s">
        <v>34</v>
      </c>
      <c r="E2285" s="76" t="s">
        <v>32</v>
      </c>
      <c r="F2285" s="76">
        <v>3</v>
      </c>
    </row>
    <row r="2286" spans="1:6">
      <c r="A2286">
        <v>2400</v>
      </c>
      <c r="B2286">
        <v>152020260</v>
      </c>
      <c r="C2286" s="76">
        <v>2020</v>
      </c>
      <c r="D2286" s="76" t="s">
        <v>34</v>
      </c>
      <c r="E2286" s="76" t="s">
        <v>32</v>
      </c>
      <c r="F2286" s="76">
        <v>0.64</v>
      </c>
    </row>
    <row r="2287" spans="1:6">
      <c r="A2287">
        <v>2372</v>
      </c>
      <c r="B2287">
        <v>152020260</v>
      </c>
      <c r="C2287" s="76">
        <v>2020</v>
      </c>
      <c r="D2287" s="76" t="s">
        <v>34</v>
      </c>
      <c r="E2287" s="76" t="s">
        <v>32</v>
      </c>
      <c r="F2287" s="76">
        <v>9.97</v>
      </c>
    </row>
    <row r="2288" spans="1:6">
      <c r="A2288">
        <v>2398</v>
      </c>
      <c r="B2288">
        <v>152020260</v>
      </c>
      <c r="C2288" s="76">
        <v>2020</v>
      </c>
      <c r="D2288" s="76" t="s">
        <v>34</v>
      </c>
      <c r="E2288" s="76" t="s">
        <v>32</v>
      </c>
      <c r="F2288" s="76">
        <v>9.97</v>
      </c>
    </row>
    <row r="2289" spans="1:6">
      <c r="A2289">
        <v>2378</v>
      </c>
      <c r="B2289">
        <v>152020260</v>
      </c>
      <c r="C2289" s="76">
        <v>2020</v>
      </c>
      <c r="D2289" s="76" t="s">
        <v>34</v>
      </c>
      <c r="E2289" s="76" t="s">
        <v>32</v>
      </c>
      <c r="F2289" s="76">
        <v>5</v>
      </c>
    </row>
    <row r="2290" spans="1:6">
      <c r="A2290">
        <v>2377</v>
      </c>
      <c r="B2290">
        <v>152020260</v>
      </c>
      <c r="C2290" s="76">
        <v>2020</v>
      </c>
      <c r="D2290" s="76" t="s">
        <v>34</v>
      </c>
      <c r="E2290" s="76" t="s">
        <v>32</v>
      </c>
      <c r="F2290" s="76">
        <v>7.69</v>
      </c>
    </row>
    <row r="2291" spans="1:6">
      <c r="A2291">
        <v>2407</v>
      </c>
      <c r="B2291">
        <v>152020260</v>
      </c>
      <c r="C2291" s="76">
        <v>2020</v>
      </c>
      <c r="D2291" s="76" t="s">
        <v>34</v>
      </c>
      <c r="E2291" s="76" t="s">
        <v>32</v>
      </c>
      <c r="F2291" s="76">
        <v>15</v>
      </c>
    </row>
    <row r="2292" spans="1:6">
      <c r="A2292">
        <v>2343</v>
      </c>
      <c r="B2292">
        <v>152020260</v>
      </c>
      <c r="C2292" s="76">
        <v>2020</v>
      </c>
      <c r="D2292" s="76" t="s">
        <v>34</v>
      </c>
      <c r="E2292" s="76">
        <v>20</v>
      </c>
      <c r="F2292" s="76">
        <v>3</v>
      </c>
    </row>
    <row r="2293" spans="1:6">
      <c r="A2293">
        <v>2360</v>
      </c>
      <c r="B2293">
        <v>152020260</v>
      </c>
      <c r="C2293" s="76">
        <v>2020</v>
      </c>
      <c r="D2293" s="76" t="s">
        <v>34</v>
      </c>
      <c r="E2293" s="76">
        <v>19</v>
      </c>
      <c r="F2293" s="76">
        <v>4.31</v>
      </c>
    </row>
    <row r="2294" spans="1:6">
      <c r="A2294">
        <v>2358</v>
      </c>
      <c r="B2294">
        <v>152020260</v>
      </c>
      <c r="C2294" s="76">
        <v>2020</v>
      </c>
      <c r="D2294" s="76" t="s">
        <v>34</v>
      </c>
      <c r="E2294" s="76">
        <v>11</v>
      </c>
      <c r="F2294" s="76">
        <v>1.65</v>
      </c>
    </row>
    <row r="2295" spans="1:6">
      <c r="A2295">
        <v>2376</v>
      </c>
      <c r="B2295">
        <v>152020260</v>
      </c>
      <c r="C2295" s="76">
        <v>2020</v>
      </c>
      <c r="D2295" s="76" t="s">
        <v>34</v>
      </c>
      <c r="E2295" s="76" t="s">
        <v>32</v>
      </c>
      <c r="F2295" s="76">
        <v>4.95</v>
      </c>
    </row>
    <row r="2296" spans="1:6">
      <c r="A2296">
        <v>2383</v>
      </c>
      <c r="B2296">
        <v>152020260</v>
      </c>
      <c r="C2296" s="76">
        <v>2020</v>
      </c>
      <c r="D2296" s="76" t="s">
        <v>34</v>
      </c>
      <c r="E2296" s="76" t="s">
        <v>32</v>
      </c>
      <c r="F2296" s="76">
        <v>4.95</v>
      </c>
    </row>
    <row r="2297" spans="1:6">
      <c r="A2297">
        <v>2397</v>
      </c>
      <c r="B2297">
        <v>152020260</v>
      </c>
      <c r="C2297" s="76">
        <v>2020</v>
      </c>
      <c r="D2297" s="76" t="s">
        <v>34</v>
      </c>
      <c r="E2297" s="76" t="s">
        <v>32</v>
      </c>
      <c r="F2297" s="76">
        <v>4.76</v>
      </c>
    </row>
    <row r="2298" spans="1:6">
      <c r="A2298">
        <v>2388</v>
      </c>
      <c r="B2298">
        <v>152020260</v>
      </c>
      <c r="C2298" s="76">
        <v>2020</v>
      </c>
      <c r="D2298" s="76" t="s">
        <v>34</v>
      </c>
      <c r="E2298" s="76" t="s">
        <v>32</v>
      </c>
      <c r="F2298" s="76">
        <v>1.2</v>
      </c>
    </row>
    <row r="2299" spans="1:6">
      <c r="A2299">
        <v>2347</v>
      </c>
      <c r="B2299">
        <v>152020260</v>
      </c>
      <c r="C2299" s="76">
        <v>2020</v>
      </c>
      <c r="D2299" s="76" t="s">
        <v>34</v>
      </c>
      <c r="E2299" s="76">
        <v>20</v>
      </c>
      <c r="F2299" s="76">
        <v>4.95</v>
      </c>
    </row>
    <row r="2300" spans="1:6">
      <c r="A2300">
        <v>2354</v>
      </c>
      <c r="B2300">
        <v>152020260</v>
      </c>
      <c r="C2300" s="76">
        <v>2020</v>
      </c>
      <c r="D2300" s="76" t="s">
        <v>34</v>
      </c>
      <c r="E2300" s="76">
        <v>59</v>
      </c>
      <c r="F2300" s="76">
        <v>17.5</v>
      </c>
    </row>
    <row r="2301" spans="1:6">
      <c r="A2301">
        <v>2364</v>
      </c>
      <c r="B2301">
        <v>152020260</v>
      </c>
      <c r="C2301" s="76">
        <v>2020</v>
      </c>
      <c r="D2301" s="76" t="s">
        <v>34</v>
      </c>
      <c r="E2301" s="76">
        <v>75</v>
      </c>
      <c r="F2301" s="76">
        <v>22.5</v>
      </c>
    </row>
    <row r="2302" spans="1:6">
      <c r="A2302">
        <v>2401</v>
      </c>
      <c r="B2302">
        <v>152020260</v>
      </c>
      <c r="C2302" s="76">
        <v>2020</v>
      </c>
      <c r="D2302" s="76" t="s">
        <v>34</v>
      </c>
      <c r="E2302" s="76" t="s">
        <v>32</v>
      </c>
      <c r="F2302" s="76">
        <v>5.5</v>
      </c>
    </row>
    <row r="2303" spans="1:6">
      <c r="A2303">
        <v>2395</v>
      </c>
      <c r="B2303">
        <v>152020260</v>
      </c>
      <c r="C2303" s="76">
        <v>2020</v>
      </c>
      <c r="D2303" s="76" t="s">
        <v>34</v>
      </c>
      <c r="E2303" s="76" t="s">
        <v>32</v>
      </c>
      <c r="F2303" s="76">
        <v>4.8</v>
      </c>
    </row>
    <row r="2304" spans="1:6">
      <c r="A2304">
        <v>2393</v>
      </c>
      <c r="B2304">
        <v>152020260</v>
      </c>
      <c r="C2304" s="76">
        <v>2020</v>
      </c>
      <c r="D2304" s="76" t="s">
        <v>34</v>
      </c>
      <c r="E2304" s="76" t="s">
        <v>32</v>
      </c>
      <c r="F2304" s="76">
        <v>4.8</v>
      </c>
    </row>
    <row r="2305" spans="1:6">
      <c r="A2305">
        <v>2342</v>
      </c>
      <c r="B2305">
        <v>152020260</v>
      </c>
      <c r="C2305" s="76">
        <v>2020</v>
      </c>
      <c r="D2305" s="76" t="s">
        <v>34</v>
      </c>
      <c r="E2305" s="76">
        <v>87</v>
      </c>
      <c r="F2305" s="76">
        <v>20.01</v>
      </c>
    </row>
    <row r="2306" spans="1:6">
      <c r="A2306">
        <v>2359</v>
      </c>
      <c r="B2306">
        <v>152020260</v>
      </c>
      <c r="C2306" s="76">
        <v>2020</v>
      </c>
      <c r="D2306" s="76" t="s">
        <v>34</v>
      </c>
      <c r="E2306" s="76">
        <v>58</v>
      </c>
      <c r="F2306" s="76">
        <v>17.4</v>
      </c>
    </row>
    <row r="2307" spans="1:6">
      <c r="A2307">
        <v>2405</v>
      </c>
      <c r="B2307">
        <v>152020260</v>
      </c>
      <c r="C2307" s="76">
        <v>2020</v>
      </c>
      <c r="D2307" s="76" t="s">
        <v>34</v>
      </c>
      <c r="E2307" s="76" t="s">
        <v>32</v>
      </c>
      <c r="F2307" s="76">
        <v>20</v>
      </c>
    </row>
    <row r="2308" spans="1:6">
      <c r="A2308">
        <v>2412</v>
      </c>
      <c r="B2308">
        <v>152020260</v>
      </c>
      <c r="C2308" s="76">
        <v>2020</v>
      </c>
      <c r="D2308" s="76" t="s">
        <v>34</v>
      </c>
      <c r="E2308" s="76" t="s">
        <v>32</v>
      </c>
      <c r="F2308" s="76">
        <v>30</v>
      </c>
    </row>
    <row r="2309" spans="1:6">
      <c r="A2309">
        <v>2417</v>
      </c>
      <c r="B2309">
        <v>152020260</v>
      </c>
      <c r="C2309" s="76">
        <v>2020</v>
      </c>
      <c r="D2309" s="76" t="s">
        <v>34</v>
      </c>
      <c r="E2309" s="76" t="s">
        <v>32</v>
      </c>
      <c r="F2309" s="76">
        <v>22.5</v>
      </c>
    </row>
    <row r="2310" spans="1:6">
      <c r="A2310">
        <v>2367</v>
      </c>
      <c r="B2310">
        <v>152020260</v>
      </c>
      <c r="C2310" s="76">
        <v>2020</v>
      </c>
      <c r="D2310" s="76" t="s">
        <v>34</v>
      </c>
      <c r="E2310" s="76">
        <v>70</v>
      </c>
      <c r="F2310" s="76">
        <v>24.99</v>
      </c>
    </row>
    <row r="2311" spans="1:6">
      <c r="A2311">
        <v>2351</v>
      </c>
      <c r="B2311">
        <v>152020260</v>
      </c>
      <c r="C2311" s="76">
        <v>2020</v>
      </c>
      <c r="D2311" s="76" t="s">
        <v>34</v>
      </c>
      <c r="E2311" s="76">
        <v>42</v>
      </c>
      <c r="F2311" s="76">
        <v>10</v>
      </c>
    </row>
    <row r="2312" spans="1:6">
      <c r="A2312">
        <v>2389</v>
      </c>
      <c r="B2312">
        <v>152020260</v>
      </c>
      <c r="C2312" s="76">
        <v>2020</v>
      </c>
      <c r="D2312" s="76" t="s">
        <v>34</v>
      </c>
      <c r="E2312" s="76" t="s">
        <v>32</v>
      </c>
      <c r="F2312" s="76">
        <v>25</v>
      </c>
    </row>
    <row r="2313" spans="1:6">
      <c r="A2313">
        <v>2391</v>
      </c>
      <c r="B2313">
        <v>152020260</v>
      </c>
      <c r="C2313" s="76">
        <v>2020</v>
      </c>
      <c r="D2313" s="76" t="s">
        <v>34</v>
      </c>
      <c r="E2313" s="76" t="s">
        <v>32</v>
      </c>
      <c r="F2313" s="76">
        <v>10</v>
      </c>
    </row>
    <row r="2314" spans="1:6">
      <c r="A2314">
        <v>2390</v>
      </c>
      <c r="B2314">
        <v>152020260</v>
      </c>
      <c r="C2314" s="76">
        <v>2020</v>
      </c>
      <c r="D2314" s="76" t="s">
        <v>34</v>
      </c>
      <c r="E2314" s="76" t="s">
        <v>32</v>
      </c>
      <c r="F2314" s="76">
        <v>5</v>
      </c>
    </row>
    <row r="2315" spans="1:6">
      <c r="A2315">
        <v>2361</v>
      </c>
      <c r="B2315">
        <v>152020260</v>
      </c>
      <c r="C2315" s="76">
        <v>2020</v>
      </c>
      <c r="D2315" s="76" t="s">
        <v>34</v>
      </c>
      <c r="E2315" s="76">
        <v>67</v>
      </c>
      <c r="F2315" s="76">
        <v>20.1</v>
      </c>
    </row>
    <row r="2316" spans="1:6">
      <c r="A2316">
        <v>2406</v>
      </c>
      <c r="B2316">
        <v>152020260</v>
      </c>
      <c r="C2316" s="76">
        <v>2020</v>
      </c>
      <c r="D2316" s="76" t="s">
        <v>34</v>
      </c>
      <c r="E2316" s="76" t="s">
        <v>32</v>
      </c>
      <c r="F2316" s="76">
        <v>5</v>
      </c>
    </row>
    <row r="2317" spans="1:6">
      <c r="A2317">
        <v>2348</v>
      </c>
      <c r="B2317">
        <v>152020260</v>
      </c>
      <c r="C2317" s="76">
        <v>2020</v>
      </c>
      <c r="D2317" s="76" t="s">
        <v>34</v>
      </c>
      <c r="E2317" s="76">
        <v>25</v>
      </c>
      <c r="F2317" s="76">
        <v>4.95</v>
      </c>
    </row>
    <row r="2318" spans="1:6">
      <c r="A2318">
        <v>2411</v>
      </c>
      <c r="B2318">
        <v>152020260</v>
      </c>
      <c r="C2318" s="76">
        <v>2020</v>
      </c>
      <c r="D2318" s="76" t="s">
        <v>34</v>
      </c>
      <c r="E2318" s="76" t="s">
        <v>32</v>
      </c>
      <c r="F2318" s="76">
        <v>0.35</v>
      </c>
    </row>
    <row r="2319" spans="1:6">
      <c r="A2319">
        <v>2409</v>
      </c>
      <c r="B2319">
        <v>152020260</v>
      </c>
      <c r="C2319" s="76">
        <v>2020</v>
      </c>
      <c r="D2319" s="76" t="s">
        <v>34</v>
      </c>
      <c r="E2319" s="76" t="s">
        <v>32</v>
      </c>
      <c r="F2319" s="76">
        <v>3.06</v>
      </c>
    </row>
    <row r="2320" spans="1:6">
      <c r="A2320">
        <v>2382</v>
      </c>
      <c r="B2320">
        <v>152020260</v>
      </c>
      <c r="C2320" s="76">
        <v>2020</v>
      </c>
      <c r="D2320" s="76" t="s">
        <v>34</v>
      </c>
      <c r="E2320" s="76" t="s">
        <v>32</v>
      </c>
      <c r="F2320" s="76">
        <v>0.31</v>
      </c>
    </row>
    <row r="2321" spans="1:6">
      <c r="A2321">
        <v>2346</v>
      </c>
      <c r="B2321">
        <v>152020260</v>
      </c>
      <c r="C2321" s="76">
        <v>2020</v>
      </c>
      <c r="D2321" s="76" t="s">
        <v>34</v>
      </c>
      <c r="E2321" s="76">
        <v>50</v>
      </c>
      <c r="F2321" s="76">
        <v>15</v>
      </c>
    </row>
    <row r="2322" spans="1:6">
      <c r="A2322">
        <v>2352</v>
      </c>
      <c r="B2322">
        <v>152020260</v>
      </c>
      <c r="C2322" s="76">
        <v>2020</v>
      </c>
      <c r="D2322" s="76" t="s">
        <v>34</v>
      </c>
      <c r="E2322" s="76">
        <v>30</v>
      </c>
      <c r="F2322" s="76">
        <v>9.9</v>
      </c>
    </row>
    <row r="2323" spans="1:6">
      <c r="A2323">
        <v>2363</v>
      </c>
      <c r="B2323">
        <v>152020260</v>
      </c>
      <c r="C2323" s="76">
        <v>2020</v>
      </c>
      <c r="D2323" s="76" t="s">
        <v>34</v>
      </c>
      <c r="E2323" s="76">
        <v>238</v>
      </c>
      <c r="F2323" s="76">
        <v>47.6</v>
      </c>
    </row>
    <row r="2324" spans="1:6">
      <c r="A2324">
        <v>2370</v>
      </c>
      <c r="B2324">
        <v>152020260</v>
      </c>
      <c r="C2324" s="76">
        <v>2020</v>
      </c>
      <c r="D2324" s="76" t="s">
        <v>34</v>
      </c>
      <c r="E2324" s="76">
        <v>9</v>
      </c>
      <c r="F2324" s="76">
        <v>2.7</v>
      </c>
    </row>
    <row r="2325" spans="1:6">
      <c r="A2325">
        <v>2350</v>
      </c>
      <c r="B2325">
        <v>152020260</v>
      </c>
      <c r="C2325" s="76">
        <v>2020</v>
      </c>
      <c r="D2325" s="76" t="s">
        <v>34</v>
      </c>
      <c r="E2325" s="76">
        <v>75</v>
      </c>
      <c r="F2325" s="76">
        <v>22.5</v>
      </c>
    </row>
    <row r="2326" spans="1:6">
      <c r="A2326">
        <v>2345</v>
      </c>
      <c r="B2326">
        <v>152020260</v>
      </c>
      <c r="C2326" s="76">
        <v>2020</v>
      </c>
      <c r="D2326" s="76" t="s">
        <v>34</v>
      </c>
      <c r="E2326" s="76">
        <v>50</v>
      </c>
      <c r="F2326" s="76">
        <v>15</v>
      </c>
    </row>
    <row r="2327" spans="1:6">
      <c r="A2327">
        <v>2355</v>
      </c>
      <c r="B2327">
        <v>152020260</v>
      </c>
      <c r="C2327" s="76">
        <v>2020</v>
      </c>
      <c r="D2327" s="76" t="s">
        <v>34</v>
      </c>
      <c r="E2327" s="76">
        <v>17</v>
      </c>
      <c r="F2327" s="76">
        <v>4.95</v>
      </c>
    </row>
    <row r="2328" spans="1:6">
      <c r="A2328">
        <v>2356</v>
      </c>
      <c r="B2328">
        <v>152020260</v>
      </c>
      <c r="C2328" s="76">
        <v>2020</v>
      </c>
      <c r="D2328" s="76" t="s">
        <v>34</v>
      </c>
      <c r="E2328" s="76">
        <v>30</v>
      </c>
      <c r="F2328" s="76">
        <v>9.9</v>
      </c>
    </row>
    <row r="2329" spans="1:6">
      <c r="A2329">
        <v>2357</v>
      </c>
      <c r="B2329">
        <v>152020260</v>
      </c>
      <c r="C2329" s="76">
        <v>2020</v>
      </c>
      <c r="D2329" s="76" t="s">
        <v>34</v>
      </c>
      <c r="E2329" s="76">
        <v>30</v>
      </c>
      <c r="F2329" s="76">
        <v>9.9</v>
      </c>
    </row>
    <row r="2330" spans="1:6">
      <c r="A2330">
        <v>2369</v>
      </c>
      <c r="B2330">
        <v>152020260</v>
      </c>
      <c r="C2330" s="76">
        <v>2020</v>
      </c>
      <c r="D2330" s="76" t="s">
        <v>34</v>
      </c>
      <c r="E2330" s="76">
        <v>3</v>
      </c>
      <c r="F2330" s="76">
        <v>0.9</v>
      </c>
    </row>
    <row r="2331" spans="1:6">
      <c r="A2331">
        <v>2344</v>
      </c>
      <c r="B2331">
        <v>152020260</v>
      </c>
      <c r="C2331" s="76">
        <v>2020</v>
      </c>
      <c r="D2331" s="76" t="s">
        <v>34</v>
      </c>
      <c r="E2331" s="76">
        <v>44</v>
      </c>
      <c r="F2331" s="76">
        <v>15</v>
      </c>
    </row>
    <row r="2332" spans="1:6">
      <c r="A2332">
        <v>2381</v>
      </c>
      <c r="B2332">
        <v>152020260</v>
      </c>
      <c r="C2332" s="76">
        <v>2020</v>
      </c>
      <c r="D2332" s="76" t="s">
        <v>34</v>
      </c>
      <c r="E2332" s="76" t="s">
        <v>32</v>
      </c>
      <c r="F2332" s="76">
        <v>1.57</v>
      </c>
    </row>
    <row r="2333" spans="1:6">
      <c r="A2333">
        <v>2385</v>
      </c>
      <c r="B2333">
        <v>152020260</v>
      </c>
      <c r="C2333" s="76">
        <v>2020</v>
      </c>
      <c r="D2333" s="76" t="s">
        <v>34</v>
      </c>
      <c r="E2333" s="76" t="s">
        <v>32</v>
      </c>
      <c r="F2333" s="76">
        <v>4.95</v>
      </c>
    </row>
    <row r="2334" spans="1:6">
      <c r="A2334">
        <v>2415</v>
      </c>
      <c r="B2334">
        <v>152020260</v>
      </c>
      <c r="C2334" s="76">
        <v>2020</v>
      </c>
      <c r="D2334" s="76" t="s">
        <v>34</v>
      </c>
      <c r="E2334" s="76" t="s">
        <v>32</v>
      </c>
      <c r="F2334" s="76">
        <v>39.88</v>
      </c>
    </row>
    <row r="2335" spans="1:6">
      <c r="A2335">
        <v>2392</v>
      </c>
      <c r="B2335">
        <v>152020260</v>
      </c>
      <c r="C2335" s="76">
        <v>2020</v>
      </c>
      <c r="D2335" s="76" t="s">
        <v>34</v>
      </c>
      <c r="E2335" s="76" t="s">
        <v>32</v>
      </c>
      <c r="F2335" s="76">
        <v>29.94</v>
      </c>
    </row>
    <row r="2336" spans="1:6">
      <c r="A2336">
        <v>2387</v>
      </c>
      <c r="B2336">
        <v>152020260</v>
      </c>
      <c r="C2336" s="76">
        <v>2020</v>
      </c>
      <c r="D2336" s="76" t="s">
        <v>34</v>
      </c>
      <c r="E2336" s="76" t="s">
        <v>32</v>
      </c>
      <c r="F2336" s="76">
        <v>4.95</v>
      </c>
    </row>
    <row r="2337" spans="1:6">
      <c r="A2337">
        <v>2410</v>
      </c>
      <c r="B2337">
        <v>152020260</v>
      </c>
      <c r="C2337" s="76">
        <v>2020</v>
      </c>
      <c r="D2337" s="76" t="s">
        <v>34</v>
      </c>
      <c r="E2337" s="76" t="s">
        <v>32</v>
      </c>
      <c r="F2337" s="76">
        <v>30</v>
      </c>
    </row>
    <row r="2338" spans="1:6">
      <c r="A2338">
        <v>2413</v>
      </c>
      <c r="B2338">
        <v>152020260</v>
      </c>
      <c r="C2338" s="76">
        <v>2020</v>
      </c>
      <c r="D2338" s="76" t="s">
        <v>34</v>
      </c>
      <c r="E2338" s="76" t="s">
        <v>32</v>
      </c>
      <c r="F2338" s="76">
        <v>40</v>
      </c>
    </row>
    <row r="2339" spans="1:6">
      <c r="A2339">
        <v>2375</v>
      </c>
      <c r="B2339">
        <v>152020260</v>
      </c>
      <c r="C2339" s="76">
        <v>2020</v>
      </c>
      <c r="D2339" s="76" t="s">
        <v>34</v>
      </c>
      <c r="E2339" s="76" t="s">
        <v>32</v>
      </c>
      <c r="F2339" s="76">
        <v>1</v>
      </c>
    </row>
    <row r="2340" spans="1:6">
      <c r="A2340">
        <v>2402</v>
      </c>
      <c r="B2340">
        <v>152020260</v>
      </c>
      <c r="C2340" s="76">
        <v>2020</v>
      </c>
      <c r="D2340" s="76" t="s">
        <v>34</v>
      </c>
      <c r="E2340" s="76" t="s">
        <v>32</v>
      </c>
      <c r="F2340" s="76">
        <v>4</v>
      </c>
    </row>
    <row r="2341" spans="1:6">
      <c r="A2341">
        <v>2366</v>
      </c>
      <c r="B2341">
        <v>152020260</v>
      </c>
      <c r="C2341" s="76">
        <v>2020</v>
      </c>
      <c r="D2341" s="76" t="s">
        <v>34</v>
      </c>
      <c r="E2341" s="76">
        <v>33</v>
      </c>
      <c r="F2341" s="76">
        <v>4.95</v>
      </c>
    </row>
    <row r="2342" spans="1:6">
      <c r="A2342">
        <v>2396</v>
      </c>
      <c r="B2342">
        <v>152020260</v>
      </c>
      <c r="C2342" s="76">
        <v>2020</v>
      </c>
      <c r="D2342" s="76" t="s">
        <v>34</v>
      </c>
      <c r="E2342" s="76" t="s">
        <v>32</v>
      </c>
      <c r="F2342" s="76">
        <v>1</v>
      </c>
    </row>
    <row r="2343" spans="1:6">
      <c r="A2343">
        <v>2371</v>
      </c>
      <c r="B2343">
        <v>152020260</v>
      </c>
      <c r="C2343" s="76">
        <v>2020</v>
      </c>
      <c r="D2343" s="76" t="s">
        <v>34</v>
      </c>
      <c r="E2343" s="76">
        <v>4</v>
      </c>
      <c r="F2343" s="76">
        <v>1</v>
      </c>
    </row>
    <row r="2344" spans="1:6">
      <c r="A2344">
        <v>2394</v>
      </c>
      <c r="B2344">
        <v>152020260</v>
      </c>
      <c r="C2344" s="76">
        <v>2020</v>
      </c>
      <c r="D2344" s="76" t="s">
        <v>34</v>
      </c>
      <c r="E2344" s="76" t="s">
        <v>32</v>
      </c>
      <c r="F2344" s="76">
        <v>1</v>
      </c>
    </row>
    <row r="2345" spans="1:6">
      <c r="A2345">
        <v>2349</v>
      </c>
      <c r="B2345">
        <v>152020260</v>
      </c>
      <c r="C2345" s="76">
        <v>2020</v>
      </c>
      <c r="D2345" s="76" t="s">
        <v>34</v>
      </c>
      <c r="E2345" s="76">
        <v>20</v>
      </c>
      <c r="F2345" s="76">
        <v>5</v>
      </c>
    </row>
    <row r="2346" spans="1:6">
      <c r="A2346">
        <v>2353</v>
      </c>
      <c r="B2346">
        <v>152020260</v>
      </c>
      <c r="C2346" s="76">
        <v>2020</v>
      </c>
      <c r="D2346" s="76" t="s">
        <v>34</v>
      </c>
      <c r="E2346" s="76">
        <v>16</v>
      </c>
      <c r="F2346" s="76">
        <v>5</v>
      </c>
    </row>
    <row r="2347" spans="1:6">
      <c r="A2347">
        <v>2416</v>
      </c>
      <c r="B2347">
        <v>152020260</v>
      </c>
      <c r="C2347" s="76">
        <v>2020</v>
      </c>
      <c r="D2347" s="76" t="s">
        <v>34</v>
      </c>
      <c r="E2347" s="76" t="s">
        <v>32</v>
      </c>
      <c r="F2347" s="76">
        <v>20</v>
      </c>
    </row>
    <row r="2348" spans="1:6">
      <c r="A2348">
        <v>2404</v>
      </c>
      <c r="B2348">
        <v>152020260</v>
      </c>
      <c r="C2348" s="76">
        <v>2020</v>
      </c>
      <c r="D2348" s="76" t="s">
        <v>34</v>
      </c>
      <c r="E2348" s="76" t="s">
        <v>32</v>
      </c>
      <c r="F2348" s="76">
        <v>10</v>
      </c>
    </row>
    <row r="2349" spans="1:6">
      <c r="A2349">
        <v>2368</v>
      </c>
      <c r="B2349">
        <v>152020260</v>
      </c>
      <c r="C2349" s="76">
        <v>2020</v>
      </c>
      <c r="D2349" s="76" t="s">
        <v>34</v>
      </c>
      <c r="E2349" s="76">
        <v>71</v>
      </c>
      <c r="F2349" s="76">
        <v>22.5</v>
      </c>
    </row>
    <row r="2350" spans="1:6">
      <c r="A2350">
        <v>2379</v>
      </c>
      <c r="B2350">
        <v>152020260</v>
      </c>
      <c r="C2350" s="76">
        <v>2020</v>
      </c>
      <c r="D2350" s="76" t="s">
        <v>34</v>
      </c>
      <c r="E2350" s="76" t="s">
        <v>32</v>
      </c>
      <c r="F2350" s="76">
        <v>24.15</v>
      </c>
    </row>
    <row r="2351" spans="1:6">
      <c r="A2351">
        <v>2418</v>
      </c>
      <c r="B2351">
        <v>152020260</v>
      </c>
      <c r="C2351" s="76">
        <v>2020</v>
      </c>
      <c r="D2351" s="76" t="s">
        <v>34</v>
      </c>
      <c r="E2351" s="76" t="s">
        <v>32</v>
      </c>
      <c r="F2351" s="76">
        <v>20</v>
      </c>
    </row>
    <row r="2352" spans="1:6">
      <c r="A2352">
        <v>2403</v>
      </c>
      <c r="B2352">
        <v>152020260</v>
      </c>
      <c r="C2352" s="76">
        <v>2020</v>
      </c>
      <c r="D2352" s="76" t="s">
        <v>34</v>
      </c>
      <c r="E2352" s="76" t="s">
        <v>32</v>
      </c>
      <c r="F2352" s="76">
        <v>2</v>
      </c>
    </row>
    <row r="2353" spans="1:6">
      <c r="A2353">
        <v>2414</v>
      </c>
      <c r="B2353">
        <v>152020260</v>
      </c>
      <c r="C2353" s="76">
        <v>2020</v>
      </c>
      <c r="D2353" s="76" t="s">
        <v>34</v>
      </c>
      <c r="E2353" s="76" t="s">
        <v>32</v>
      </c>
      <c r="F2353" s="76">
        <v>5</v>
      </c>
    </row>
    <row r="2354" spans="1:6">
      <c r="A2354">
        <v>2365</v>
      </c>
      <c r="B2354">
        <v>152020260</v>
      </c>
      <c r="C2354" s="76">
        <v>2020</v>
      </c>
      <c r="D2354" s="76" t="s">
        <v>34</v>
      </c>
      <c r="E2354" s="76" t="s">
        <v>32</v>
      </c>
      <c r="F2354" s="76">
        <v>4.95</v>
      </c>
    </row>
    <row r="2355" spans="1:6">
      <c r="A2355">
        <v>2386</v>
      </c>
      <c r="B2355">
        <v>152020260</v>
      </c>
      <c r="C2355" s="76">
        <v>2020</v>
      </c>
      <c r="D2355" s="76" t="s">
        <v>34</v>
      </c>
      <c r="E2355" s="76" t="s">
        <v>32</v>
      </c>
      <c r="F2355" s="76">
        <v>5</v>
      </c>
    </row>
    <row r="2356" spans="1:6">
      <c r="A2356">
        <v>2408</v>
      </c>
      <c r="B2356">
        <v>152020260</v>
      </c>
      <c r="C2356" s="76">
        <v>2020</v>
      </c>
      <c r="D2356" s="76" t="s">
        <v>34</v>
      </c>
      <c r="E2356" s="76" t="s">
        <v>32</v>
      </c>
      <c r="F2356" s="76">
        <v>3.2</v>
      </c>
    </row>
    <row r="2357" spans="1:6">
      <c r="A2357">
        <v>2384</v>
      </c>
      <c r="B2357">
        <v>152020260</v>
      </c>
      <c r="C2357" s="76">
        <v>2020</v>
      </c>
      <c r="D2357" s="76" t="s">
        <v>34</v>
      </c>
      <c r="E2357" s="76" t="s">
        <v>32</v>
      </c>
      <c r="F2357" s="76">
        <v>10</v>
      </c>
    </row>
    <row r="2358" spans="1:6">
      <c r="A2358">
        <v>2435</v>
      </c>
      <c r="B2358">
        <v>152020270</v>
      </c>
      <c r="C2358" s="76">
        <v>2020</v>
      </c>
      <c r="D2358" s="76" t="s">
        <v>31</v>
      </c>
      <c r="E2358" s="76" t="s">
        <v>32</v>
      </c>
      <c r="F2358" s="76">
        <v>3.48</v>
      </c>
    </row>
    <row r="2359" spans="1:6">
      <c r="A2359">
        <v>2436</v>
      </c>
      <c r="B2359">
        <v>152020270</v>
      </c>
      <c r="C2359" s="76">
        <v>2020</v>
      </c>
      <c r="D2359" s="76" t="s">
        <v>31</v>
      </c>
      <c r="E2359" s="76" t="s">
        <v>32</v>
      </c>
      <c r="F2359" s="76">
        <v>3.73</v>
      </c>
    </row>
    <row r="2360" spans="1:6">
      <c r="A2360">
        <v>2439</v>
      </c>
      <c r="B2360">
        <v>152020270</v>
      </c>
      <c r="C2360" s="76">
        <v>2020</v>
      </c>
      <c r="D2360" s="76" t="s">
        <v>31</v>
      </c>
      <c r="E2360" s="76" t="s">
        <v>32</v>
      </c>
      <c r="F2360" s="76">
        <v>3.85</v>
      </c>
    </row>
    <row r="2361" spans="1:6">
      <c r="A2361">
        <v>2429</v>
      </c>
      <c r="B2361">
        <v>152020270</v>
      </c>
      <c r="C2361" s="76">
        <v>2020</v>
      </c>
      <c r="D2361" s="76" t="s">
        <v>31</v>
      </c>
      <c r="E2361" s="76" t="s">
        <v>32</v>
      </c>
      <c r="F2361" s="76">
        <v>1.82</v>
      </c>
    </row>
    <row r="2362" spans="1:6">
      <c r="A2362">
        <v>2430</v>
      </c>
      <c r="B2362">
        <v>152020270</v>
      </c>
      <c r="C2362" s="76">
        <v>2020</v>
      </c>
      <c r="D2362" s="76" t="s">
        <v>31</v>
      </c>
      <c r="E2362" s="76" t="s">
        <v>32</v>
      </c>
      <c r="F2362" s="76">
        <v>0.99</v>
      </c>
    </row>
    <row r="2363" spans="1:6">
      <c r="A2363">
        <v>2438</v>
      </c>
      <c r="B2363">
        <v>152020270</v>
      </c>
      <c r="C2363" s="76">
        <v>2020</v>
      </c>
      <c r="D2363" s="76" t="s">
        <v>31</v>
      </c>
      <c r="E2363" s="76" t="s">
        <v>32</v>
      </c>
      <c r="F2363" s="76">
        <v>4.47</v>
      </c>
    </row>
    <row r="2364" spans="1:6">
      <c r="A2364">
        <v>2443</v>
      </c>
      <c r="B2364">
        <v>152020270</v>
      </c>
      <c r="C2364" s="76">
        <v>2020</v>
      </c>
      <c r="D2364" s="76" t="s">
        <v>31</v>
      </c>
      <c r="E2364" s="76" t="s">
        <v>32</v>
      </c>
      <c r="F2364" s="76">
        <v>5</v>
      </c>
    </row>
    <row r="2365" spans="1:6">
      <c r="A2365">
        <v>2442</v>
      </c>
      <c r="B2365">
        <v>152020270</v>
      </c>
      <c r="C2365" s="76">
        <v>2020</v>
      </c>
      <c r="D2365" s="76" t="s">
        <v>31</v>
      </c>
      <c r="E2365" s="76" t="s">
        <v>32</v>
      </c>
      <c r="F2365" s="76">
        <v>1.2</v>
      </c>
    </row>
    <row r="2366" spans="1:6">
      <c r="A2366">
        <v>2444</v>
      </c>
      <c r="B2366">
        <v>152020270</v>
      </c>
      <c r="C2366" s="76">
        <v>2020</v>
      </c>
      <c r="D2366" s="76" t="s">
        <v>31</v>
      </c>
      <c r="E2366" s="76" t="s">
        <v>32</v>
      </c>
      <c r="F2366" s="76">
        <v>5</v>
      </c>
    </row>
    <row r="2367" spans="1:6">
      <c r="A2367">
        <v>2440</v>
      </c>
      <c r="B2367">
        <v>152020270</v>
      </c>
      <c r="C2367" s="76">
        <v>2020</v>
      </c>
      <c r="D2367" s="76" t="s">
        <v>31</v>
      </c>
      <c r="E2367" s="76" t="s">
        <v>32</v>
      </c>
      <c r="F2367" s="76">
        <v>3.09</v>
      </c>
    </row>
    <row r="2368" spans="1:6">
      <c r="A2368">
        <v>2421</v>
      </c>
      <c r="B2368">
        <v>152020270</v>
      </c>
      <c r="C2368" s="76">
        <v>2020</v>
      </c>
      <c r="D2368" s="76" t="s">
        <v>31</v>
      </c>
      <c r="E2368" s="76" t="s">
        <v>32</v>
      </c>
      <c r="F2368" s="76">
        <v>4</v>
      </c>
    </row>
    <row r="2369" spans="1:6">
      <c r="A2369">
        <v>2437</v>
      </c>
      <c r="B2369">
        <v>152020270</v>
      </c>
      <c r="C2369" s="76">
        <v>2020</v>
      </c>
      <c r="D2369" s="76" t="s">
        <v>31</v>
      </c>
      <c r="E2369" s="76" t="s">
        <v>32</v>
      </c>
      <c r="F2369" s="76">
        <v>2.9</v>
      </c>
    </row>
    <row r="2370" spans="1:6">
      <c r="A2370">
        <v>2420</v>
      </c>
      <c r="B2370">
        <v>152020270</v>
      </c>
      <c r="C2370" s="76">
        <v>2020</v>
      </c>
      <c r="D2370" s="76" t="s">
        <v>31</v>
      </c>
      <c r="E2370" s="76" t="s">
        <v>32</v>
      </c>
      <c r="F2370" s="76">
        <v>11.04</v>
      </c>
    </row>
    <row r="2371" spans="1:6">
      <c r="A2371">
        <v>2426</v>
      </c>
      <c r="B2371">
        <v>152020270</v>
      </c>
      <c r="C2371" s="76">
        <v>2020</v>
      </c>
      <c r="D2371" s="76" t="s">
        <v>31</v>
      </c>
      <c r="E2371" s="76" t="s">
        <v>32</v>
      </c>
      <c r="F2371" s="76">
        <v>10</v>
      </c>
    </row>
    <row r="2372" spans="1:6">
      <c r="A2372">
        <v>2432</v>
      </c>
      <c r="B2372">
        <v>152020270</v>
      </c>
      <c r="C2372" s="76">
        <v>2020</v>
      </c>
      <c r="D2372" s="76" t="s">
        <v>31</v>
      </c>
      <c r="E2372" s="76" t="s">
        <v>32</v>
      </c>
      <c r="F2372" s="76">
        <v>1</v>
      </c>
    </row>
    <row r="2373" spans="1:6">
      <c r="A2373">
        <v>2422</v>
      </c>
      <c r="B2373">
        <v>152020270</v>
      </c>
      <c r="C2373" s="76">
        <v>2020</v>
      </c>
      <c r="D2373" s="76" t="s">
        <v>31</v>
      </c>
      <c r="E2373" s="76" t="s">
        <v>32</v>
      </c>
      <c r="F2373" s="76">
        <v>10</v>
      </c>
    </row>
    <row r="2374" spans="1:6">
      <c r="A2374">
        <v>2433</v>
      </c>
      <c r="B2374">
        <v>152020270</v>
      </c>
      <c r="C2374" s="76">
        <v>2020</v>
      </c>
      <c r="D2374" s="76" t="s">
        <v>31</v>
      </c>
      <c r="E2374" s="76" t="s">
        <v>32</v>
      </c>
      <c r="F2374" s="76">
        <v>1.48</v>
      </c>
    </row>
    <row r="2375" spans="1:6">
      <c r="A2375">
        <v>2445</v>
      </c>
      <c r="B2375">
        <v>152020270</v>
      </c>
      <c r="C2375" s="76">
        <v>2020</v>
      </c>
      <c r="D2375" s="76" t="s">
        <v>31</v>
      </c>
      <c r="E2375" s="76" t="s">
        <v>32</v>
      </c>
      <c r="F2375" s="76">
        <v>8.21</v>
      </c>
    </row>
    <row r="2376" spans="1:6">
      <c r="A2376">
        <v>2431</v>
      </c>
      <c r="B2376">
        <v>152020270</v>
      </c>
      <c r="C2376" s="76">
        <v>2020</v>
      </c>
      <c r="D2376" s="76" t="s">
        <v>31</v>
      </c>
      <c r="E2376" s="76" t="s">
        <v>32</v>
      </c>
      <c r="F2376" s="76">
        <v>2.4</v>
      </c>
    </row>
    <row r="2377" spans="1:6">
      <c r="A2377">
        <v>2424</v>
      </c>
      <c r="B2377">
        <v>152020270</v>
      </c>
      <c r="C2377" s="76">
        <v>2020</v>
      </c>
      <c r="D2377" s="76" t="s">
        <v>31</v>
      </c>
      <c r="E2377" s="76" t="s">
        <v>32</v>
      </c>
      <c r="F2377" s="76">
        <v>2</v>
      </c>
    </row>
    <row r="2378" spans="1:6">
      <c r="A2378">
        <v>2423</v>
      </c>
      <c r="B2378">
        <v>152020270</v>
      </c>
      <c r="C2378" s="76">
        <v>2020</v>
      </c>
      <c r="D2378" s="76" t="s">
        <v>31</v>
      </c>
      <c r="E2378" s="76" t="s">
        <v>32</v>
      </c>
      <c r="F2378" s="76">
        <v>10</v>
      </c>
    </row>
    <row r="2379" spans="1:6">
      <c r="A2379">
        <v>2419</v>
      </c>
      <c r="B2379">
        <v>152020270</v>
      </c>
      <c r="C2379" s="76">
        <v>2020</v>
      </c>
      <c r="D2379" s="76" t="s">
        <v>31</v>
      </c>
      <c r="E2379" s="76" t="s">
        <v>32</v>
      </c>
      <c r="F2379" s="76">
        <v>5</v>
      </c>
    </row>
    <row r="2380" spans="1:6">
      <c r="A2380">
        <v>2434</v>
      </c>
      <c r="B2380">
        <v>152020270</v>
      </c>
      <c r="C2380" s="76">
        <v>2020</v>
      </c>
      <c r="D2380" s="76" t="s">
        <v>31</v>
      </c>
      <c r="E2380" s="76" t="s">
        <v>32</v>
      </c>
      <c r="F2380" s="76">
        <v>2.68</v>
      </c>
    </row>
    <row r="2381" spans="1:6">
      <c r="A2381">
        <v>2428</v>
      </c>
      <c r="B2381">
        <v>152020270</v>
      </c>
      <c r="C2381" s="76">
        <v>2020</v>
      </c>
      <c r="D2381" s="76" t="s">
        <v>31</v>
      </c>
      <c r="E2381" s="76" t="s">
        <v>32</v>
      </c>
      <c r="F2381" s="76">
        <v>15</v>
      </c>
    </row>
    <row r="2382" spans="1:6">
      <c r="A2382">
        <v>2446</v>
      </c>
      <c r="B2382">
        <v>152020270</v>
      </c>
      <c r="C2382" s="76">
        <v>2020</v>
      </c>
      <c r="D2382" s="76" t="s">
        <v>31</v>
      </c>
      <c r="E2382" s="76" t="s">
        <v>32</v>
      </c>
      <c r="F2382" s="76">
        <v>8.88</v>
      </c>
    </row>
    <row r="2383" spans="1:6">
      <c r="A2383">
        <v>2441</v>
      </c>
      <c r="B2383">
        <v>152020270</v>
      </c>
      <c r="C2383" s="76">
        <v>2020</v>
      </c>
      <c r="D2383" s="76" t="s">
        <v>31</v>
      </c>
      <c r="E2383" s="76" t="s">
        <v>32</v>
      </c>
      <c r="F2383" s="76">
        <v>5.09</v>
      </c>
    </row>
    <row r="2384" spans="1:6">
      <c r="A2384">
        <v>2427</v>
      </c>
      <c r="B2384">
        <v>152020270</v>
      </c>
      <c r="C2384" s="76">
        <v>2020</v>
      </c>
      <c r="D2384" s="76" t="s">
        <v>31</v>
      </c>
      <c r="E2384" s="76" t="s">
        <v>32</v>
      </c>
      <c r="F2384" s="76">
        <v>10</v>
      </c>
    </row>
    <row r="2385" spans="1:6">
      <c r="A2385">
        <v>2448</v>
      </c>
      <c r="B2385">
        <v>152021211</v>
      </c>
      <c r="C2385" s="76">
        <v>2021</v>
      </c>
      <c r="D2385" s="76" t="s">
        <v>37</v>
      </c>
      <c r="E2385" s="76">
        <v>1</v>
      </c>
      <c r="F2385" s="76">
        <v>100</v>
      </c>
    </row>
    <row r="2386" spans="1:6">
      <c r="A2386">
        <v>2447</v>
      </c>
      <c r="B2386">
        <v>152021211</v>
      </c>
      <c r="C2386" s="76">
        <v>2021</v>
      </c>
      <c r="D2386" s="76" t="s">
        <v>37</v>
      </c>
      <c r="E2386" s="76">
        <v>2</v>
      </c>
      <c r="F2386" s="76">
        <v>132</v>
      </c>
    </row>
    <row r="2387" spans="1:6">
      <c r="A2387">
        <v>2449</v>
      </c>
      <c r="B2387">
        <v>152021211</v>
      </c>
      <c r="C2387" s="76">
        <v>2021</v>
      </c>
      <c r="D2387" s="76" t="s">
        <v>37</v>
      </c>
      <c r="E2387" s="76">
        <v>2</v>
      </c>
      <c r="F2387" s="76">
        <v>70</v>
      </c>
    </row>
    <row r="2388" spans="1:6">
      <c r="A2388">
        <v>2460</v>
      </c>
      <c r="B2388">
        <v>152021241</v>
      </c>
      <c r="C2388" s="76">
        <v>2021</v>
      </c>
      <c r="D2388" s="76" t="s">
        <v>33</v>
      </c>
      <c r="E2388" s="76" t="s">
        <v>32</v>
      </c>
      <c r="F2388" s="76">
        <v>3</v>
      </c>
    </row>
    <row r="2389" spans="1:6">
      <c r="A2389">
        <v>2461</v>
      </c>
      <c r="B2389">
        <v>152021241</v>
      </c>
      <c r="C2389" s="76">
        <v>2021</v>
      </c>
      <c r="D2389" s="76" t="s">
        <v>33</v>
      </c>
      <c r="E2389" s="76" t="s">
        <v>32</v>
      </c>
      <c r="F2389" s="76">
        <v>1.4</v>
      </c>
    </row>
    <row r="2390" spans="1:6">
      <c r="A2390">
        <v>2457</v>
      </c>
      <c r="B2390">
        <v>152021241</v>
      </c>
      <c r="C2390" s="76">
        <v>2021</v>
      </c>
      <c r="D2390" s="76" t="s">
        <v>33</v>
      </c>
      <c r="E2390" s="76" t="s">
        <v>32</v>
      </c>
      <c r="F2390" s="76">
        <v>0.7</v>
      </c>
    </row>
    <row r="2391" spans="1:6">
      <c r="A2391">
        <v>2456</v>
      </c>
      <c r="B2391">
        <v>152021241</v>
      </c>
      <c r="C2391" s="76">
        <v>2021</v>
      </c>
      <c r="D2391" s="76" t="s">
        <v>33</v>
      </c>
      <c r="E2391" s="76" t="s">
        <v>32</v>
      </c>
      <c r="F2391" s="76">
        <v>1.2</v>
      </c>
    </row>
    <row r="2392" spans="1:6">
      <c r="A2392">
        <v>2452</v>
      </c>
      <c r="B2392">
        <v>152021241</v>
      </c>
      <c r="C2392" s="76">
        <v>2021</v>
      </c>
      <c r="D2392" s="76" t="s">
        <v>33</v>
      </c>
      <c r="E2392" s="76" t="s">
        <v>32</v>
      </c>
      <c r="F2392" s="76">
        <v>1.66</v>
      </c>
    </row>
    <row r="2393" spans="1:6">
      <c r="A2393">
        <v>2459</v>
      </c>
      <c r="B2393">
        <v>152021241</v>
      </c>
      <c r="C2393" s="76">
        <v>2021</v>
      </c>
      <c r="D2393" s="76" t="s">
        <v>33</v>
      </c>
      <c r="E2393" s="76" t="s">
        <v>32</v>
      </c>
      <c r="F2393" s="76">
        <v>2</v>
      </c>
    </row>
    <row r="2394" spans="1:6">
      <c r="A2394">
        <v>2454</v>
      </c>
      <c r="B2394">
        <v>152021241</v>
      </c>
      <c r="C2394" s="76">
        <v>2021</v>
      </c>
      <c r="D2394" s="76" t="s">
        <v>33</v>
      </c>
      <c r="E2394" s="76" t="s">
        <v>32</v>
      </c>
      <c r="F2394" s="76">
        <v>6</v>
      </c>
    </row>
    <row r="2395" spans="1:6">
      <c r="A2395">
        <v>2451</v>
      </c>
      <c r="B2395">
        <v>152021241</v>
      </c>
      <c r="C2395" s="76">
        <v>2021</v>
      </c>
      <c r="D2395" s="76" t="s">
        <v>33</v>
      </c>
      <c r="E2395" s="76" t="s">
        <v>32</v>
      </c>
      <c r="F2395" s="76">
        <v>0.9</v>
      </c>
    </row>
    <row r="2396" spans="1:6">
      <c r="A2396">
        <v>2464</v>
      </c>
      <c r="B2396">
        <v>152021241</v>
      </c>
      <c r="C2396" s="76">
        <v>2021</v>
      </c>
      <c r="D2396" s="76" t="s">
        <v>33</v>
      </c>
      <c r="E2396" s="76" t="s">
        <v>32</v>
      </c>
      <c r="F2396" s="76">
        <v>0.7</v>
      </c>
    </row>
    <row r="2397" spans="1:6">
      <c r="A2397">
        <v>2463</v>
      </c>
      <c r="B2397">
        <v>152021241</v>
      </c>
      <c r="C2397" s="76">
        <v>2021</v>
      </c>
      <c r="D2397" s="76" t="s">
        <v>33</v>
      </c>
      <c r="E2397" s="76" t="s">
        <v>32</v>
      </c>
      <c r="F2397" s="76">
        <v>1.8</v>
      </c>
    </row>
    <row r="2398" spans="1:6">
      <c r="A2398">
        <v>2462</v>
      </c>
      <c r="B2398">
        <v>152021241</v>
      </c>
      <c r="C2398" s="76">
        <v>2021</v>
      </c>
      <c r="D2398" s="76" t="s">
        <v>33</v>
      </c>
      <c r="E2398" s="76" t="s">
        <v>32</v>
      </c>
      <c r="F2398" s="76">
        <v>2.5</v>
      </c>
    </row>
    <row r="2399" spans="1:6">
      <c r="A2399">
        <v>2458</v>
      </c>
      <c r="B2399">
        <v>152021241</v>
      </c>
      <c r="C2399" s="76">
        <v>2021</v>
      </c>
      <c r="D2399" s="76" t="s">
        <v>33</v>
      </c>
      <c r="E2399" s="76" t="s">
        <v>32</v>
      </c>
      <c r="F2399" s="76">
        <v>2</v>
      </c>
    </row>
    <row r="2400" spans="1:6">
      <c r="A2400">
        <v>2465</v>
      </c>
      <c r="B2400">
        <v>152021241</v>
      </c>
      <c r="C2400" s="76">
        <v>2021</v>
      </c>
      <c r="D2400" s="76" t="s">
        <v>33</v>
      </c>
      <c r="E2400" s="76" t="s">
        <v>32</v>
      </c>
      <c r="F2400" s="76">
        <v>1.5</v>
      </c>
    </row>
    <row r="2401" spans="1:6">
      <c r="A2401">
        <v>2455</v>
      </c>
      <c r="B2401">
        <v>152021241</v>
      </c>
      <c r="C2401" s="76">
        <v>2021</v>
      </c>
      <c r="D2401" s="76" t="s">
        <v>33</v>
      </c>
      <c r="E2401" s="76" t="s">
        <v>32</v>
      </c>
      <c r="F2401" s="76">
        <v>5</v>
      </c>
    </row>
    <row r="2402" spans="1:6">
      <c r="A2402">
        <v>2453</v>
      </c>
      <c r="B2402">
        <v>152021241</v>
      </c>
      <c r="C2402" s="76">
        <v>2021</v>
      </c>
      <c r="D2402" s="76" t="s">
        <v>33</v>
      </c>
      <c r="E2402" s="76" t="s">
        <v>32</v>
      </c>
      <c r="F2402" s="76">
        <v>1.19</v>
      </c>
    </row>
    <row r="2403" spans="1:6">
      <c r="A2403">
        <v>2450</v>
      </c>
      <c r="B2403">
        <v>152021241</v>
      </c>
      <c r="C2403" s="76">
        <v>2021</v>
      </c>
      <c r="D2403" s="76" t="s">
        <v>33</v>
      </c>
      <c r="E2403" s="76" t="s">
        <v>32</v>
      </c>
      <c r="F2403" s="76">
        <v>0.7</v>
      </c>
    </row>
    <row r="2404" spans="1:6">
      <c r="A2404">
        <v>2466</v>
      </c>
      <c r="B2404">
        <v>152021242</v>
      </c>
      <c r="C2404" s="76">
        <v>2021</v>
      </c>
      <c r="D2404" s="76" t="s">
        <v>35</v>
      </c>
      <c r="E2404" s="76" t="s">
        <v>32</v>
      </c>
      <c r="F2404" s="76">
        <v>0.9</v>
      </c>
    </row>
    <row r="2405" spans="1:6">
      <c r="A2405">
        <v>2467</v>
      </c>
      <c r="B2405">
        <v>152021242</v>
      </c>
      <c r="C2405" s="76">
        <v>2021</v>
      </c>
      <c r="D2405" s="76" t="s">
        <v>35</v>
      </c>
      <c r="E2405" s="76" t="s">
        <v>32</v>
      </c>
      <c r="F2405" s="76">
        <v>3</v>
      </c>
    </row>
    <row r="2406" spans="1:6">
      <c r="A2406">
        <v>2469</v>
      </c>
      <c r="B2406">
        <v>152021243</v>
      </c>
      <c r="C2406" s="76">
        <v>2021</v>
      </c>
      <c r="D2406" s="76" t="s">
        <v>38</v>
      </c>
      <c r="E2406" s="76" t="s">
        <v>32</v>
      </c>
      <c r="F2406" s="76">
        <v>3</v>
      </c>
    </row>
    <row r="2407" spans="1:6">
      <c r="A2407">
        <v>2468</v>
      </c>
      <c r="B2407">
        <v>152021243</v>
      </c>
      <c r="C2407" s="76">
        <v>2021</v>
      </c>
      <c r="D2407" s="76" t="s">
        <v>38</v>
      </c>
      <c r="E2407" s="76" t="s">
        <v>32</v>
      </c>
      <c r="F2407" s="76">
        <v>4.25</v>
      </c>
    </row>
    <row r="2408" spans="1:6">
      <c r="A2408">
        <v>2470</v>
      </c>
      <c r="B2408">
        <v>152021243</v>
      </c>
      <c r="C2408" s="76">
        <v>2021</v>
      </c>
      <c r="D2408" s="76" t="s">
        <v>38</v>
      </c>
      <c r="E2408" s="76" t="s">
        <v>32</v>
      </c>
      <c r="F2408" s="76">
        <v>3</v>
      </c>
    </row>
    <row r="2409" spans="1:6">
      <c r="A2409">
        <v>2482</v>
      </c>
      <c r="B2409">
        <v>152021260</v>
      </c>
      <c r="C2409" s="76">
        <v>2021</v>
      </c>
      <c r="D2409" s="76" t="s">
        <v>34</v>
      </c>
      <c r="E2409" s="76">
        <v>20</v>
      </c>
      <c r="F2409" s="76">
        <v>5</v>
      </c>
    </row>
    <row r="2410" spans="1:6">
      <c r="A2410">
        <v>2480</v>
      </c>
      <c r="B2410">
        <v>152021260</v>
      </c>
      <c r="C2410" s="76">
        <v>2021</v>
      </c>
      <c r="D2410" s="76" t="s">
        <v>34</v>
      </c>
      <c r="E2410" s="76" t="s">
        <v>32</v>
      </c>
      <c r="F2410" s="76">
        <v>1.8</v>
      </c>
    </row>
    <row r="2411" spans="1:6">
      <c r="A2411">
        <v>2484</v>
      </c>
      <c r="B2411">
        <v>152021260</v>
      </c>
      <c r="C2411" s="76">
        <v>2021</v>
      </c>
      <c r="D2411" s="76" t="s">
        <v>34</v>
      </c>
      <c r="E2411" s="76" t="s">
        <v>32</v>
      </c>
      <c r="F2411" s="76">
        <v>2.56</v>
      </c>
    </row>
    <row r="2412" spans="1:6">
      <c r="A2412">
        <v>2479</v>
      </c>
      <c r="B2412">
        <v>152021260</v>
      </c>
      <c r="C2412" s="76">
        <v>2021</v>
      </c>
      <c r="D2412" s="76" t="s">
        <v>34</v>
      </c>
      <c r="E2412" s="76" t="s">
        <v>32</v>
      </c>
      <c r="F2412" s="76">
        <v>5</v>
      </c>
    </row>
    <row r="2413" spans="1:6">
      <c r="A2413">
        <v>2495</v>
      </c>
      <c r="B2413">
        <v>152021260</v>
      </c>
      <c r="C2413" s="76">
        <v>2021</v>
      </c>
      <c r="D2413" s="76" t="s">
        <v>34</v>
      </c>
      <c r="E2413" s="76" t="s">
        <v>32</v>
      </c>
      <c r="F2413" s="76">
        <v>1.5</v>
      </c>
    </row>
    <row r="2414" spans="1:6">
      <c r="A2414">
        <v>2486</v>
      </c>
      <c r="B2414">
        <v>152021260</v>
      </c>
      <c r="C2414" s="76">
        <v>2021</v>
      </c>
      <c r="D2414" s="76" t="s">
        <v>34</v>
      </c>
      <c r="E2414" s="76" t="s">
        <v>32</v>
      </c>
      <c r="F2414" s="76">
        <v>4.95</v>
      </c>
    </row>
    <row r="2415" spans="1:6">
      <c r="A2415">
        <v>2483</v>
      </c>
      <c r="B2415">
        <v>152021260</v>
      </c>
      <c r="C2415" s="76">
        <v>2021</v>
      </c>
      <c r="D2415" s="76" t="s">
        <v>34</v>
      </c>
      <c r="E2415" s="76">
        <v>10</v>
      </c>
      <c r="F2415" s="76">
        <v>3</v>
      </c>
    </row>
    <row r="2416" spans="1:6">
      <c r="A2416">
        <v>2499</v>
      </c>
      <c r="B2416">
        <v>152021260</v>
      </c>
      <c r="C2416" s="76">
        <v>2021</v>
      </c>
      <c r="D2416" s="76" t="s">
        <v>34</v>
      </c>
      <c r="E2416" s="76" t="s">
        <v>32</v>
      </c>
      <c r="F2416" s="76">
        <v>1</v>
      </c>
    </row>
    <row r="2417" spans="1:6">
      <c r="A2417">
        <v>2498</v>
      </c>
      <c r="B2417">
        <v>152021260</v>
      </c>
      <c r="C2417" s="76">
        <v>2021</v>
      </c>
      <c r="D2417" s="76" t="s">
        <v>34</v>
      </c>
      <c r="E2417" s="76" t="s">
        <v>32</v>
      </c>
      <c r="F2417" s="76">
        <v>1</v>
      </c>
    </row>
    <row r="2418" spans="1:6">
      <c r="A2418">
        <v>2496</v>
      </c>
      <c r="B2418">
        <v>152021260</v>
      </c>
      <c r="C2418" s="76">
        <v>2021</v>
      </c>
      <c r="D2418" s="76" t="s">
        <v>34</v>
      </c>
      <c r="E2418" s="76" t="s">
        <v>32</v>
      </c>
      <c r="F2418" s="76">
        <v>1.98</v>
      </c>
    </row>
    <row r="2419" spans="1:6">
      <c r="A2419">
        <v>2493</v>
      </c>
      <c r="B2419">
        <v>152021260</v>
      </c>
      <c r="C2419" s="76">
        <v>2021</v>
      </c>
      <c r="D2419" s="76" t="s">
        <v>34</v>
      </c>
      <c r="E2419" s="76" t="s">
        <v>32</v>
      </c>
      <c r="F2419" s="76">
        <v>1.5</v>
      </c>
    </row>
    <row r="2420" spans="1:6">
      <c r="A2420">
        <v>2502</v>
      </c>
      <c r="B2420">
        <v>152021260</v>
      </c>
      <c r="C2420" s="76">
        <v>2021</v>
      </c>
      <c r="D2420" s="76" t="s">
        <v>34</v>
      </c>
      <c r="E2420" s="76" t="s">
        <v>32</v>
      </c>
      <c r="F2420" s="76">
        <v>2</v>
      </c>
    </row>
    <row r="2421" spans="1:6">
      <c r="A2421">
        <v>2471</v>
      </c>
      <c r="B2421">
        <v>152021260</v>
      </c>
      <c r="C2421" s="76">
        <v>2021</v>
      </c>
      <c r="D2421" s="76" t="s">
        <v>34</v>
      </c>
      <c r="E2421" s="76">
        <v>132</v>
      </c>
      <c r="F2421" s="76">
        <v>30</v>
      </c>
    </row>
    <row r="2422" spans="1:6">
      <c r="A2422">
        <v>2473</v>
      </c>
      <c r="B2422">
        <v>152021260</v>
      </c>
      <c r="C2422" s="76">
        <v>2021</v>
      </c>
      <c r="D2422" s="76" t="s">
        <v>34</v>
      </c>
      <c r="E2422" s="76">
        <v>15</v>
      </c>
      <c r="F2422" s="76">
        <v>4.95</v>
      </c>
    </row>
    <row r="2423" spans="1:6">
      <c r="A2423">
        <v>2485</v>
      </c>
      <c r="B2423">
        <v>152021260</v>
      </c>
      <c r="C2423" s="76">
        <v>2021</v>
      </c>
      <c r="D2423" s="76" t="s">
        <v>34</v>
      </c>
      <c r="E2423" s="76" t="s">
        <v>32</v>
      </c>
      <c r="F2423" s="76">
        <v>5</v>
      </c>
    </row>
    <row r="2424" spans="1:6">
      <c r="A2424">
        <v>2489</v>
      </c>
      <c r="B2424">
        <v>152021260</v>
      </c>
      <c r="C2424" s="76">
        <v>2021</v>
      </c>
      <c r="D2424" s="76" t="s">
        <v>34</v>
      </c>
      <c r="E2424" s="76" t="s">
        <v>32</v>
      </c>
      <c r="F2424" s="76">
        <v>5</v>
      </c>
    </row>
    <row r="2425" spans="1:6">
      <c r="A2425">
        <v>2488</v>
      </c>
      <c r="B2425">
        <v>152021260</v>
      </c>
      <c r="C2425" s="76">
        <v>2021</v>
      </c>
      <c r="D2425" s="76" t="s">
        <v>34</v>
      </c>
      <c r="E2425" s="76" t="s">
        <v>32</v>
      </c>
      <c r="F2425" s="76">
        <v>3</v>
      </c>
    </row>
    <row r="2426" spans="1:6">
      <c r="A2426">
        <v>2491</v>
      </c>
      <c r="B2426">
        <v>152021260</v>
      </c>
      <c r="C2426" s="76">
        <v>2021</v>
      </c>
      <c r="D2426" s="76" t="s">
        <v>34</v>
      </c>
      <c r="E2426" s="76" t="s">
        <v>32</v>
      </c>
      <c r="F2426" s="76">
        <v>3.35</v>
      </c>
    </row>
    <row r="2427" spans="1:6">
      <c r="A2427">
        <v>2481</v>
      </c>
      <c r="B2427">
        <v>152021260</v>
      </c>
      <c r="C2427" s="76">
        <v>2021</v>
      </c>
      <c r="D2427" s="76" t="s">
        <v>34</v>
      </c>
      <c r="E2427" s="76">
        <v>15</v>
      </c>
      <c r="F2427" s="76">
        <v>4.94</v>
      </c>
    </row>
    <row r="2428" spans="1:6">
      <c r="A2428">
        <v>2492</v>
      </c>
      <c r="B2428">
        <v>152021260</v>
      </c>
      <c r="C2428" s="76">
        <v>2021</v>
      </c>
      <c r="D2428" s="76" t="s">
        <v>34</v>
      </c>
      <c r="E2428" s="76" t="s">
        <v>32</v>
      </c>
      <c r="F2428" s="76">
        <v>4.94</v>
      </c>
    </row>
    <row r="2429" spans="1:6">
      <c r="A2429">
        <v>2487</v>
      </c>
      <c r="B2429">
        <v>152021260</v>
      </c>
      <c r="C2429" s="76">
        <v>2021</v>
      </c>
      <c r="D2429" s="76" t="s">
        <v>34</v>
      </c>
      <c r="E2429" s="76" t="s">
        <v>32</v>
      </c>
      <c r="F2429" s="76">
        <v>1.32</v>
      </c>
    </row>
    <row r="2430" spans="1:6">
      <c r="A2430">
        <v>2500</v>
      </c>
      <c r="B2430">
        <v>152021260</v>
      </c>
      <c r="C2430" s="76">
        <v>2021</v>
      </c>
      <c r="D2430" s="76" t="s">
        <v>34</v>
      </c>
      <c r="E2430" s="76" t="s">
        <v>32</v>
      </c>
      <c r="F2430" s="76">
        <v>1</v>
      </c>
    </row>
    <row r="2431" spans="1:6">
      <c r="A2431">
        <v>2501</v>
      </c>
      <c r="B2431">
        <v>152021260</v>
      </c>
      <c r="C2431" s="76">
        <v>2021</v>
      </c>
      <c r="D2431" s="76" t="s">
        <v>34</v>
      </c>
      <c r="E2431" s="76" t="s">
        <v>32</v>
      </c>
      <c r="F2431" s="76">
        <v>0.96</v>
      </c>
    </row>
    <row r="2432" spans="1:6">
      <c r="A2432">
        <v>2490</v>
      </c>
      <c r="B2432">
        <v>152021260</v>
      </c>
      <c r="C2432" s="76">
        <v>2021</v>
      </c>
      <c r="D2432" s="76" t="s">
        <v>34</v>
      </c>
      <c r="E2432" s="76" t="s">
        <v>32</v>
      </c>
      <c r="F2432" s="76">
        <v>1.5</v>
      </c>
    </row>
    <row r="2433" spans="1:6">
      <c r="A2433">
        <v>2472</v>
      </c>
      <c r="B2433">
        <v>152021260</v>
      </c>
      <c r="C2433" s="76">
        <v>2021</v>
      </c>
      <c r="D2433" s="76" t="s">
        <v>34</v>
      </c>
      <c r="E2433" s="76">
        <v>12</v>
      </c>
      <c r="F2433" s="76">
        <v>4.8</v>
      </c>
    </row>
    <row r="2434" spans="1:6">
      <c r="A2434">
        <v>2474</v>
      </c>
      <c r="B2434">
        <v>152021260</v>
      </c>
      <c r="C2434" s="76">
        <v>2021</v>
      </c>
      <c r="D2434" s="76" t="s">
        <v>34</v>
      </c>
      <c r="E2434" s="76">
        <v>8</v>
      </c>
      <c r="F2434" s="76">
        <v>2.4</v>
      </c>
    </row>
    <row r="2435" spans="1:6">
      <c r="A2435">
        <v>2475</v>
      </c>
      <c r="B2435">
        <v>152021260</v>
      </c>
      <c r="C2435" s="76">
        <v>2021</v>
      </c>
      <c r="D2435" s="76" t="s">
        <v>34</v>
      </c>
      <c r="E2435" s="76">
        <v>8</v>
      </c>
      <c r="F2435" s="76">
        <v>2.4</v>
      </c>
    </row>
    <row r="2436" spans="1:6">
      <c r="A2436">
        <v>2504</v>
      </c>
      <c r="B2436">
        <v>152021260</v>
      </c>
      <c r="C2436" s="76">
        <v>2021</v>
      </c>
      <c r="D2436" s="76" t="s">
        <v>34</v>
      </c>
      <c r="E2436" s="76" t="s">
        <v>32</v>
      </c>
      <c r="F2436" s="76">
        <v>0.2</v>
      </c>
    </row>
    <row r="2437" spans="1:6">
      <c r="A2437">
        <v>2477</v>
      </c>
      <c r="B2437">
        <v>152021260</v>
      </c>
      <c r="C2437" s="76">
        <v>2021</v>
      </c>
      <c r="D2437" s="76" t="s">
        <v>34</v>
      </c>
      <c r="E2437" s="76" t="s">
        <v>32</v>
      </c>
      <c r="F2437" s="76">
        <v>1</v>
      </c>
    </row>
    <row r="2438" spans="1:6">
      <c r="A2438">
        <v>2476</v>
      </c>
      <c r="B2438">
        <v>152021260</v>
      </c>
      <c r="C2438" s="76">
        <v>2021</v>
      </c>
      <c r="D2438" s="76" t="s">
        <v>34</v>
      </c>
      <c r="E2438" s="76">
        <v>80</v>
      </c>
      <c r="F2438" s="76">
        <v>42.38</v>
      </c>
    </row>
    <row r="2439" spans="1:6">
      <c r="A2439">
        <v>2503</v>
      </c>
      <c r="B2439">
        <v>152021260</v>
      </c>
      <c r="C2439" s="76">
        <v>2021</v>
      </c>
      <c r="D2439" s="76" t="s">
        <v>34</v>
      </c>
      <c r="E2439" s="76" t="s">
        <v>32</v>
      </c>
      <c r="F2439" s="76">
        <v>0.6</v>
      </c>
    </row>
    <row r="2440" spans="1:6">
      <c r="A2440">
        <v>2497</v>
      </c>
      <c r="B2440">
        <v>152021260</v>
      </c>
      <c r="C2440" s="76">
        <v>2021</v>
      </c>
      <c r="D2440" s="76" t="s">
        <v>34</v>
      </c>
      <c r="E2440" s="76" t="s">
        <v>32</v>
      </c>
      <c r="F2440" s="76">
        <v>0.8</v>
      </c>
    </row>
    <row r="2441" spans="1:6">
      <c r="A2441">
        <v>2494</v>
      </c>
      <c r="B2441">
        <v>152021260</v>
      </c>
      <c r="C2441" s="76">
        <v>2021</v>
      </c>
      <c r="D2441" s="76" t="s">
        <v>34</v>
      </c>
      <c r="E2441" s="76" t="s">
        <v>32</v>
      </c>
      <c r="F2441" s="76">
        <v>0.99</v>
      </c>
    </row>
    <row r="2442" spans="1:6">
      <c r="A2442">
        <v>2478</v>
      </c>
      <c r="B2442">
        <v>152021260</v>
      </c>
      <c r="C2442" s="76">
        <v>2021</v>
      </c>
      <c r="D2442" s="76" t="s">
        <v>34</v>
      </c>
      <c r="E2442" s="76" t="s">
        <v>32</v>
      </c>
      <c r="F2442" s="76">
        <v>2.56</v>
      </c>
    </row>
    <row r="2443" spans="1:6">
      <c r="A2443">
        <v>2522</v>
      </c>
      <c r="B2443">
        <v>152021270</v>
      </c>
      <c r="C2443" s="76">
        <v>2021</v>
      </c>
      <c r="D2443" s="76" t="s">
        <v>31</v>
      </c>
      <c r="E2443" s="76" t="s">
        <v>32</v>
      </c>
      <c r="F2443" s="76">
        <v>3</v>
      </c>
    </row>
    <row r="2444" spans="1:6">
      <c r="A2444">
        <v>2521</v>
      </c>
      <c r="B2444">
        <v>152021270</v>
      </c>
      <c r="C2444" s="76">
        <v>2021</v>
      </c>
      <c r="D2444" s="76" t="s">
        <v>31</v>
      </c>
      <c r="E2444" s="76" t="s">
        <v>32</v>
      </c>
      <c r="F2444" s="76">
        <v>10</v>
      </c>
    </row>
    <row r="2445" spans="1:6">
      <c r="A2445">
        <v>2510</v>
      </c>
      <c r="B2445">
        <v>152021270</v>
      </c>
      <c r="C2445" s="76">
        <v>2021</v>
      </c>
      <c r="D2445" s="76" t="s">
        <v>31</v>
      </c>
      <c r="E2445" s="76" t="s">
        <v>32</v>
      </c>
      <c r="F2445" s="76">
        <v>10</v>
      </c>
    </row>
    <row r="2446" spans="1:6">
      <c r="A2446">
        <v>2511</v>
      </c>
      <c r="B2446">
        <v>152021270</v>
      </c>
      <c r="C2446" s="76">
        <v>2021</v>
      </c>
      <c r="D2446" s="76" t="s">
        <v>31</v>
      </c>
      <c r="E2446" s="76" t="s">
        <v>32</v>
      </c>
      <c r="F2446" s="76">
        <v>10</v>
      </c>
    </row>
    <row r="2447" spans="1:6">
      <c r="A2447">
        <v>2524</v>
      </c>
      <c r="B2447">
        <v>152021270</v>
      </c>
      <c r="C2447" s="76">
        <v>2021</v>
      </c>
      <c r="D2447" s="76" t="s">
        <v>31</v>
      </c>
      <c r="E2447" s="76" t="s">
        <v>32</v>
      </c>
      <c r="F2447" s="76">
        <v>4</v>
      </c>
    </row>
    <row r="2448" spans="1:6">
      <c r="A2448">
        <v>2509</v>
      </c>
      <c r="B2448">
        <v>152021270</v>
      </c>
      <c r="C2448" s="76">
        <v>2021</v>
      </c>
      <c r="D2448" s="76" t="s">
        <v>31</v>
      </c>
      <c r="E2448" s="76" t="s">
        <v>32</v>
      </c>
      <c r="F2448" s="76">
        <v>25</v>
      </c>
    </row>
    <row r="2449" spans="1:6">
      <c r="A2449">
        <v>2515</v>
      </c>
      <c r="B2449">
        <v>152021270</v>
      </c>
      <c r="C2449" s="76">
        <v>2021</v>
      </c>
      <c r="D2449" s="76" t="s">
        <v>31</v>
      </c>
      <c r="E2449" s="76" t="s">
        <v>32</v>
      </c>
      <c r="F2449" s="76">
        <v>1.2</v>
      </c>
    </row>
    <row r="2450" spans="1:6">
      <c r="A2450">
        <v>2529</v>
      </c>
      <c r="B2450">
        <v>152021270</v>
      </c>
      <c r="C2450" s="76">
        <v>2021</v>
      </c>
      <c r="D2450" s="76" t="s">
        <v>31</v>
      </c>
      <c r="E2450" s="76" t="s">
        <v>32</v>
      </c>
      <c r="F2450" s="76">
        <v>8</v>
      </c>
    </row>
    <row r="2451" spans="1:6">
      <c r="A2451">
        <v>2506</v>
      </c>
      <c r="B2451">
        <v>152021270</v>
      </c>
      <c r="C2451" s="76">
        <v>2021</v>
      </c>
      <c r="D2451" s="76" t="s">
        <v>31</v>
      </c>
      <c r="E2451" s="76" t="s">
        <v>32</v>
      </c>
      <c r="F2451" s="76">
        <v>2.16</v>
      </c>
    </row>
    <row r="2452" spans="1:6">
      <c r="A2452">
        <v>2512</v>
      </c>
      <c r="B2452">
        <v>152021270</v>
      </c>
      <c r="C2452" s="76">
        <v>2021</v>
      </c>
      <c r="D2452" s="76" t="s">
        <v>31</v>
      </c>
      <c r="E2452" s="76" t="s">
        <v>32</v>
      </c>
      <c r="F2452" s="76">
        <v>10</v>
      </c>
    </row>
    <row r="2453" spans="1:6">
      <c r="A2453">
        <v>2517</v>
      </c>
      <c r="B2453">
        <v>152021270</v>
      </c>
      <c r="C2453" s="76">
        <v>2021</v>
      </c>
      <c r="D2453" s="76" t="s">
        <v>31</v>
      </c>
      <c r="E2453" s="76" t="s">
        <v>32</v>
      </c>
      <c r="F2453" s="76">
        <v>0.62</v>
      </c>
    </row>
    <row r="2454" spans="1:6">
      <c r="A2454">
        <v>2518</v>
      </c>
      <c r="B2454">
        <v>152021270</v>
      </c>
      <c r="C2454" s="76">
        <v>2021</v>
      </c>
      <c r="D2454" s="76" t="s">
        <v>31</v>
      </c>
      <c r="E2454" s="76" t="s">
        <v>32</v>
      </c>
      <c r="F2454" s="76">
        <v>0.67</v>
      </c>
    </row>
    <row r="2455" spans="1:6">
      <c r="A2455">
        <v>2523</v>
      </c>
      <c r="B2455">
        <v>152021270</v>
      </c>
      <c r="C2455" s="76">
        <v>2021</v>
      </c>
      <c r="D2455" s="76" t="s">
        <v>31</v>
      </c>
      <c r="E2455" s="76" t="s">
        <v>32</v>
      </c>
      <c r="F2455" s="76">
        <v>3</v>
      </c>
    </row>
    <row r="2456" spans="1:6">
      <c r="A2456">
        <v>2532</v>
      </c>
      <c r="B2456">
        <v>152021270</v>
      </c>
      <c r="C2456" s="76">
        <v>2021</v>
      </c>
      <c r="D2456" s="76" t="s">
        <v>31</v>
      </c>
      <c r="E2456" s="76" t="s">
        <v>32</v>
      </c>
      <c r="F2456" s="76">
        <v>1</v>
      </c>
    </row>
    <row r="2457" spans="1:6">
      <c r="A2457">
        <v>2533</v>
      </c>
      <c r="B2457">
        <v>152021270</v>
      </c>
      <c r="C2457" s="76">
        <v>2021</v>
      </c>
      <c r="D2457" s="76" t="s">
        <v>31</v>
      </c>
      <c r="E2457" s="76" t="s">
        <v>32</v>
      </c>
      <c r="F2457" s="76">
        <v>1</v>
      </c>
    </row>
    <row r="2458" spans="1:6">
      <c r="A2458">
        <v>2516</v>
      </c>
      <c r="B2458">
        <v>152021270</v>
      </c>
      <c r="C2458" s="76">
        <v>2021</v>
      </c>
      <c r="D2458" s="76" t="s">
        <v>31</v>
      </c>
      <c r="E2458" s="76" t="s">
        <v>32</v>
      </c>
      <c r="F2458" s="76">
        <v>0.3</v>
      </c>
    </row>
    <row r="2459" spans="1:6">
      <c r="A2459">
        <v>2530</v>
      </c>
      <c r="B2459">
        <v>152021270</v>
      </c>
      <c r="C2459" s="76">
        <v>2021</v>
      </c>
      <c r="D2459" s="76" t="s">
        <v>31</v>
      </c>
      <c r="E2459" s="76" t="s">
        <v>32</v>
      </c>
      <c r="F2459" s="76">
        <v>5</v>
      </c>
    </row>
    <row r="2460" spans="1:6">
      <c r="A2460">
        <v>2508</v>
      </c>
      <c r="B2460">
        <v>152021270</v>
      </c>
      <c r="C2460" s="76">
        <v>2021</v>
      </c>
      <c r="D2460" s="76" t="s">
        <v>31</v>
      </c>
      <c r="E2460" s="76" t="s">
        <v>32</v>
      </c>
      <c r="F2460" s="76">
        <v>11.93</v>
      </c>
    </row>
    <row r="2461" spans="1:6">
      <c r="A2461">
        <v>2527</v>
      </c>
      <c r="B2461">
        <v>152021270</v>
      </c>
      <c r="C2461" s="76">
        <v>2021</v>
      </c>
      <c r="D2461" s="76" t="s">
        <v>31</v>
      </c>
      <c r="E2461" s="76" t="s">
        <v>32</v>
      </c>
      <c r="F2461" s="76">
        <v>2.6</v>
      </c>
    </row>
    <row r="2462" spans="1:6">
      <c r="A2462">
        <v>2528</v>
      </c>
      <c r="B2462">
        <v>152021270</v>
      </c>
      <c r="C2462" s="76">
        <v>2021</v>
      </c>
      <c r="D2462" s="76" t="s">
        <v>31</v>
      </c>
      <c r="E2462" s="76" t="s">
        <v>32</v>
      </c>
      <c r="F2462" s="76">
        <v>6</v>
      </c>
    </row>
    <row r="2463" spans="1:6">
      <c r="A2463">
        <v>2520</v>
      </c>
      <c r="B2463">
        <v>152021270</v>
      </c>
      <c r="C2463" s="76">
        <v>2021</v>
      </c>
      <c r="D2463" s="76" t="s">
        <v>31</v>
      </c>
      <c r="E2463" s="76" t="s">
        <v>32</v>
      </c>
      <c r="F2463" s="76">
        <v>1</v>
      </c>
    </row>
    <row r="2464" spans="1:6">
      <c r="A2464">
        <v>2507</v>
      </c>
      <c r="B2464">
        <v>152021270</v>
      </c>
      <c r="C2464" s="76">
        <v>2021</v>
      </c>
      <c r="D2464" s="76" t="s">
        <v>31</v>
      </c>
      <c r="E2464" s="76">
        <v>4</v>
      </c>
      <c r="F2464" s="76">
        <v>0.02</v>
      </c>
    </row>
    <row r="2465" spans="1:6">
      <c r="A2465">
        <v>2513</v>
      </c>
      <c r="B2465">
        <v>152021270</v>
      </c>
      <c r="C2465" s="76">
        <v>2021</v>
      </c>
      <c r="D2465" s="76" t="s">
        <v>31</v>
      </c>
      <c r="E2465" s="76" t="s">
        <v>32</v>
      </c>
      <c r="F2465" s="76">
        <v>7.5</v>
      </c>
    </row>
    <row r="2466" spans="1:6">
      <c r="A2466">
        <v>2519</v>
      </c>
      <c r="B2466">
        <v>152021270</v>
      </c>
      <c r="C2466" s="76">
        <v>2021</v>
      </c>
      <c r="D2466" s="76" t="s">
        <v>31</v>
      </c>
      <c r="E2466" s="76" t="s">
        <v>32</v>
      </c>
      <c r="F2466" s="76">
        <v>0.2</v>
      </c>
    </row>
    <row r="2467" spans="1:6">
      <c r="A2467">
        <v>2525</v>
      </c>
      <c r="B2467">
        <v>152021270</v>
      </c>
      <c r="C2467" s="76">
        <v>2021</v>
      </c>
      <c r="D2467" s="76" t="s">
        <v>31</v>
      </c>
      <c r="E2467" s="76" t="s">
        <v>32</v>
      </c>
      <c r="F2467" s="76">
        <v>0.64</v>
      </c>
    </row>
    <row r="2468" spans="1:6">
      <c r="A2468">
        <v>2531</v>
      </c>
      <c r="B2468">
        <v>152021270</v>
      </c>
      <c r="C2468" s="76">
        <v>2021</v>
      </c>
      <c r="D2468" s="76" t="s">
        <v>31</v>
      </c>
      <c r="E2468" s="76" t="s">
        <v>32</v>
      </c>
      <c r="F2468" s="76">
        <v>15</v>
      </c>
    </row>
    <row r="2469" spans="1:6">
      <c r="A2469">
        <v>2534</v>
      </c>
      <c r="B2469">
        <v>152021270</v>
      </c>
      <c r="C2469" s="76">
        <v>2021</v>
      </c>
      <c r="D2469" s="76" t="s">
        <v>31</v>
      </c>
      <c r="E2469" s="76" t="s">
        <v>32</v>
      </c>
      <c r="F2469" s="76">
        <v>4.6</v>
      </c>
    </row>
    <row r="2470" spans="1:6">
      <c r="A2470">
        <v>2526</v>
      </c>
      <c r="B2470">
        <v>152021270</v>
      </c>
      <c r="C2470" s="76">
        <v>2021</v>
      </c>
      <c r="D2470" s="76" t="s">
        <v>31</v>
      </c>
      <c r="E2470" s="76" t="s">
        <v>32</v>
      </c>
      <c r="F2470" s="76">
        <v>10</v>
      </c>
    </row>
    <row r="2471" spans="1:6">
      <c r="A2471">
        <v>2536</v>
      </c>
      <c r="B2471">
        <v>152021283</v>
      </c>
      <c r="C2471" s="76">
        <v>2021</v>
      </c>
      <c r="D2471" s="76" t="s">
        <v>41</v>
      </c>
      <c r="E2471" s="76" t="s">
        <v>32</v>
      </c>
      <c r="F2471" s="76">
        <v>10</v>
      </c>
    </row>
    <row r="2472" spans="1:6">
      <c r="A2472">
        <v>2538</v>
      </c>
      <c r="B2472">
        <v>152021283</v>
      </c>
      <c r="C2472" s="76">
        <v>2021</v>
      </c>
      <c r="D2472" s="76" t="s">
        <v>41</v>
      </c>
      <c r="E2472" s="76" t="s">
        <v>32</v>
      </c>
      <c r="F2472" s="76">
        <v>0.5</v>
      </c>
    </row>
    <row r="2473" spans="1:6">
      <c r="A2473">
        <v>2535</v>
      </c>
      <c r="B2473">
        <v>152021283</v>
      </c>
      <c r="C2473" s="76">
        <v>2021</v>
      </c>
      <c r="D2473" s="76" t="s">
        <v>41</v>
      </c>
      <c r="E2473" s="76" t="s">
        <v>32</v>
      </c>
      <c r="F2473" s="76">
        <v>7.7</v>
      </c>
    </row>
    <row r="2474" spans="1:6">
      <c r="A2474">
        <v>2537</v>
      </c>
      <c r="B2474">
        <v>152021283</v>
      </c>
      <c r="C2474" s="76">
        <v>2021</v>
      </c>
      <c r="D2474" s="76" t="s">
        <v>41</v>
      </c>
      <c r="E2474" s="76" t="s">
        <v>32</v>
      </c>
      <c r="F2474" s="76">
        <v>0.75</v>
      </c>
    </row>
    <row r="2475" spans="1:6">
      <c r="A2475">
        <v>2539</v>
      </c>
      <c r="B2475">
        <v>212012110</v>
      </c>
      <c r="C2475">
        <v>2012</v>
      </c>
      <c r="D2475" t="s">
        <v>40</v>
      </c>
      <c r="E2475">
        <v>1</v>
      </c>
      <c r="F2475">
        <v>0.88</v>
      </c>
    </row>
    <row r="2476" spans="1:6">
      <c r="A2476">
        <v>2540</v>
      </c>
      <c r="B2476">
        <v>212012110</v>
      </c>
      <c r="C2476">
        <v>2012</v>
      </c>
      <c r="D2476" t="s">
        <v>40</v>
      </c>
      <c r="E2476">
        <v>3</v>
      </c>
      <c r="F2476">
        <v>3.75</v>
      </c>
    </row>
    <row r="2477" spans="1:6">
      <c r="A2477">
        <v>2541</v>
      </c>
      <c r="B2477">
        <v>212012120</v>
      </c>
      <c r="C2477">
        <v>2012</v>
      </c>
      <c r="D2477" t="s">
        <v>42</v>
      </c>
      <c r="E2477">
        <v>3</v>
      </c>
      <c r="F2477">
        <v>90</v>
      </c>
    </row>
    <row r="2478" spans="1:6">
      <c r="A2478">
        <v>2545</v>
      </c>
      <c r="B2478">
        <v>212012211</v>
      </c>
      <c r="C2478">
        <v>2012</v>
      </c>
      <c r="D2478" t="s">
        <v>37</v>
      </c>
      <c r="E2478">
        <v>2</v>
      </c>
      <c r="F2478">
        <v>60</v>
      </c>
    </row>
    <row r="2479" spans="1:6">
      <c r="A2479">
        <v>2542</v>
      </c>
      <c r="B2479">
        <v>212012211</v>
      </c>
      <c r="C2479">
        <v>2012</v>
      </c>
      <c r="D2479" t="s">
        <v>37</v>
      </c>
      <c r="E2479">
        <v>1</v>
      </c>
      <c r="F2479">
        <v>35</v>
      </c>
    </row>
    <row r="2480" spans="1:6">
      <c r="A2480">
        <v>2543</v>
      </c>
      <c r="B2480">
        <v>212012211</v>
      </c>
      <c r="C2480">
        <v>2012</v>
      </c>
      <c r="D2480" t="s">
        <v>37</v>
      </c>
      <c r="E2480">
        <v>2</v>
      </c>
      <c r="F2480">
        <v>66</v>
      </c>
    </row>
    <row r="2481" spans="1:6">
      <c r="A2481">
        <v>2544</v>
      </c>
      <c r="B2481">
        <v>212012211</v>
      </c>
      <c r="C2481">
        <v>2012</v>
      </c>
      <c r="D2481" t="s">
        <v>37</v>
      </c>
      <c r="E2481">
        <v>1</v>
      </c>
      <c r="F2481">
        <v>60</v>
      </c>
    </row>
    <row r="2482" spans="1:6">
      <c r="A2482">
        <v>2546</v>
      </c>
      <c r="B2482">
        <v>212012241</v>
      </c>
      <c r="C2482">
        <v>2012</v>
      </c>
      <c r="D2482" t="s">
        <v>33</v>
      </c>
      <c r="E2482">
        <v>1</v>
      </c>
      <c r="F2482">
        <v>15</v>
      </c>
    </row>
    <row r="2483" spans="1:6">
      <c r="A2483">
        <v>2551</v>
      </c>
      <c r="B2483">
        <v>212012241</v>
      </c>
      <c r="C2483">
        <v>2012</v>
      </c>
      <c r="D2483" t="s">
        <v>33</v>
      </c>
      <c r="E2483">
        <v>1</v>
      </c>
      <c r="F2483">
        <v>0.75</v>
      </c>
    </row>
    <row r="2484" spans="1:6">
      <c r="A2484">
        <v>2547</v>
      </c>
      <c r="B2484">
        <v>212012241</v>
      </c>
      <c r="C2484">
        <v>2012</v>
      </c>
      <c r="D2484" t="s">
        <v>33</v>
      </c>
      <c r="E2484">
        <v>1</v>
      </c>
      <c r="F2484">
        <v>6</v>
      </c>
    </row>
    <row r="2485" spans="1:6">
      <c r="A2485">
        <v>2549</v>
      </c>
      <c r="B2485">
        <v>212012241</v>
      </c>
      <c r="C2485">
        <v>2012</v>
      </c>
      <c r="D2485" t="s">
        <v>33</v>
      </c>
      <c r="E2485">
        <v>1</v>
      </c>
      <c r="F2485">
        <v>0.9</v>
      </c>
    </row>
    <row r="2486" spans="1:6">
      <c r="A2486">
        <v>2550</v>
      </c>
      <c r="B2486">
        <v>212012241</v>
      </c>
      <c r="C2486">
        <v>2012</v>
      </c>
      <c r="D2486" t="s">
        <v>33</v>
      </c>
      <c r="E2486">
        <v>1</v>
      </c>
      <c r="F2486">
        <v>0.75</v>
      </c>
    </row>
    <row r="2487" spans="1:6">
      <c r="A2487">
        <v>2548</v>
      </c>
      <c r="B2487">
        <v>212012241</v>
      </c>
      <c r="C2487">
        <v>2012</v>
      </c>
      <c r="D2487" t="s">
        <v>33</v>
      </c>
      <c r="E2487">
        <v>1</v>
      </c>
      <c r="F2487">
        <v>1.2</v>
      </c>
    </row>
    <row r="2488" spans="1:6">
      <c r="A2488">
        <v>2553</v>
      </c>
      <c r="B2488">
        <v>212012243</v>
      </c>
      <c r="C2488">
        <v>2012</v>
      </c>
      <c r="D2488" t="s">
        <v>38</v>
      </c>
      <c r="E2488">
        <v>1</v>
      </c>
      <c r="F2488">
        <v>6</v>
      </c>
    </row>
    <row r="2489" spans="1:6">
      <c r="A2489">
        <v>2552</v>
      </c>
      <c r="B2489">
        <v>212012243</v>
      </c>
      <c r="C2489">
        <v>2012</v>
      </c>
      <c r="D2489" t="s">
        <v>38</v>
      </c>
      <c r="E2489">
        <v>1</v>
      </c>
      <c r="F2489">
        <v>2.4</v>
      </c>
    </row>
    <row r="2490" spans="1:6">
      <c r="A2490">
        <v>2554</v>
      </c>
      <c r="B2490">
        <v>212012243</v>
      </c>
      <c r="C2490">
        <v>2012</v>
      </c>
      <c r="D2490" t="s">
        <v>38</v>
      </c>
      <c r="E2490">
        <v>1</v>
      </c>
      <c r="F2490">
        <v>0.9</v>
      </c>
    </row>
    <row r="2491" spans="1:6">
      <c r="A2491">
        <v>2555</v>
      </c>
      <c r="B2491">
        <v>212012243</v>
      </c>
      <c r="C2491">
        <v>2012</v>
      </c>
      <c r="D2491" t="s">
        <v>38</v>
      </c>
      <c r="E2491">
        <v>1</v>
      </c>
      <c r="F2491">
        <v>1.8</v>
      </c>
    </row>
    <row r="2492" spans="1:6">
      <c r="A2492">
        <v>2560</v>
      </c>
      <c r="B2492">
        <v>212012260</v>
      </c>
      <c r="C2492">
        <v>2012</v>
      </c>
      <c r="D2492" t="s">
        <v>34</v>
      </c>
      <c r="E2492">
        <v>24</v>
      </c>
      <c r="F2492">
        <v>4.8</v>
      </c>
    </row>
    <row r="2493" spans="1:6">
      <c r="A2493">
        <v>2558</v>
      </c>
      <c r="B2493">
        <v>212012260</v>
      </c>
      <c r="C2493">
        <v>2012</v>
      </c>
      <c r="D2493" t="s">
        <v>34</v>
      </c>
      <c r="E2493">
        <v>33</v>
      </c>
      <c r="F2493">
        <v>4.95</v>
      </c>
    </row>
    <row r="2494" spans="1:6">
      <c r="A2494">
        <v>2563</v>
      </c>
      <c r="B2494">
        <v>212012260</v>
      </c>
      <c r="C2494">
        <v>2012</v>
      </c>
      <c r="D2494" t="s">
        <v>34</v>
      </c>
      <c r="E2494">
        <v>27</v>
      </c>
      <c r="F2494">
        <v>4.86</v>
      </c>
    </row>
    <row r="2495" spans="1:6">
      <c r="A2495">
        <v>2569</v>
      </c>
      <c r="B2495">
        <v>212012260</v>
      </c>
      <c r="C2495">
        <v>2012</v>
      </c>
      <c r="D2495" t="s">
        <v>34</v>
      </c>
      <c r="E2495">
        <v>33</v>
      </c>
      <c r="F2495">
        <v>4.95</v>
      </c>
    </row>
    <row r="2496" spans="1:6">
      <c r="A2496">
        <v>2570</v>
      </c>
      <c r="B2496">
        <v>212012260</v>
      </c>
      <c r="C2496">
        <v>2012</v>
      </c>
      <c r="D2496" t="s">
        <v>34</v>
      </c>
      <c r="E2496">
        <v>33</v>
      </c>
      <c r="F2496">
        <v>4.95</v>
      </c>
    </row>
    <row r="2497" spans="1:6">
      <c r="A2497">
        <v>2568</v>
      </c>
      <c r="B2497">
        <v>212012260</v>
      </c>
      <c r="C2497">
        <v>2012</v>
      </c>
      <c r="D2497" t="s">
        <v>34</v>
      </c>
      <c r="E2497">
        <v>33</v>
      </c>
      <c r="F2497">
        <v>4.95</v>
      </c>
    </row>
    <row r="2498" spans="1:6">
      <c r="A2498">
        <v>2565</v>
      </c>
      <c r="B2498">
        <v>212012260</v>
      </c>
      <c r="C2498">
        <v>2012</v>
      </c>
      <c r="D2498" t="s">
        <v>34</v>
      </c>
      <c r="E2498">
        <v>24</v>
      </c>
      <c r="F2498">
        <v>4.8</v>
      </c>
    </row>
    <row r="2499" spans="1:6">
      <c r="A2499">
        <v>2562</v>
      </c>
      <c r="B2499">
        <v>212012260</v>
      </c>
      <c r="C2499">
        <v>2012</v>
      </c>
      <c r="D2499" t="s">
        <v>34</v>
      </c>
      <c r="E2499">
        <v>24</v>
      </c>
      <c r="F2499">
        <v>4.8</v>
      </c>
    </row>
    <row r="2500" spans="1:6">
      <c r="A2500">
        <v>2556</v>
      </c>
      <c r="B2500">
        <v>212012260</v>
      </c>
      <c r="C2500">
        <v>2012</v>
      </c>
      <c r="D2500" t="s">
        <v>34</v>
      </c>
      <c r="E2500">
        <v>33</v>
      </c>
      <c r="F2500">
        <v>4.95</v>
      </c>
    </row>
    <row r="2501" spans="1:6">
      <c r="A2501">
        <v>2561</v>
      </c>
      <c r="B2501">
        <v>212012260</v>
      </c>
      <c r="C2501">
        <v>2012</v>
      </c>
      <c r="D2501" t="s">
        <v>34</v>
      </c>
      <c r="E2501">
        <v>33</v>
      </c>
      <c r="F2501">
        <v>4.95</v>
      </c>
    </row>
    <row r="2502" spans="1:6">
      <c r="A2502">
        <v>2564</v>
      </c>
      <c r="B2502">
        <v>212012260</v>
      </c>
      <c r="C2502">
        <v>2012</v>
      </c>
      <c r="D2502" t="s">
        <v>34</v>
      </c>
      <c r="E2502">
        <v>33</v>
      </c>
      <c r="F2502">
        <v>4.95</v>
      </c>
    </row>
    <row r="2503" spans="1:6">
      <c r="A2503">
        <v>2557</v>
      </c>
      <c r="B2503">
        <v>212012260</v>
      </c>
      <c r="C2503">
        <v>2012</v>
      </c>
      <c r="D2503" t="s">
        <v>34</v>
      </c>
      <c r="E2503">
        <v>33</v>
      </c>
      <c r="F2503">
        <v>4.95</v>
      </c>
    </row>
    <row r="2504" spans="1:6">
      <c r="A2504">
        <v>2567</v>
      </c>
      <c r="B2504">
        <v>212012260</v>
      </c>
      <c r="C2504">
        <v>2012</v>
      </c>
      <c r="D2504" t="s">
        <v>34</v>
      </c>
      <c r="E2504">
        <v>33</v>
      </c>
      <c r="F2504">
        <v>4.95</v>
      </c>
    </row>
    <row r="2505" spans="1:6">
      <c r="A2505">
        <v>2559</v>
      </c>
      <c r="B2505">
        <v>212012260</v>
      </c>
      <c r="C2505">
        <v>2012</v>
      </c>
      <c r="D2505" t="s">
        <v>34</v>
      </c>
      <c r="E2505">
        <v>24</v>
      </c>
      <c r="F2505">
        <v>4.8</v>
      </c>
    </row>
    <row r="2506" spans="1:6">
      <c r="A2506">
        <v>2566</v>
      </c>
      <c r="B2506">
        <v>212012260</v>
      </c>
      <c r="C2506">
        <v>2012</v>
      </c>
      <c r="D2506" t="s">
        <v>34</v>
      </c>
      <c r="E2506">
        <v>1</v>
      </c>
      <c r="F2506">
        <v>0.15</v>
      </c>
    </row>
    <row r="2507" spans="1:6">
      <c r="A2507">
        <v>2571</v>
      </c>
      <c r="B2507">
        <v>212012270</v>
      </c>
      <c r="C2507">
        <v>2012</v>
      </c>
      <c r="D2507" t="s">
        <v>31</v>
      </c>
      <c r="E2507" t="s">
        <v>32</v>
      </c>
      <c r="F2507">
        <v>1</v>
      </c>
    </row>
    <row r="2508" spans="1:6">
      <c r="A2508">
        <v>2572</v>
      </c>
      <c r="B2508">
        <v>212013241</v>
      </c>
      <c r="C2508">
        <v>2013</v>
      </c>
      <c r="D2508" t="s">
        <v>33</v>
      </c>
      <c r="E2508">
        <v>2</v>
      </c>
      <c r="F2508">
        <v>20</v>
      </c>
    </row>
    <row r="2509" spans="1:6">
      <c r="A2509">
        <v>2573</v>
      </c>
      <c r="B2509">
        <v>212013243</v>
      </c>
      <c r="C2509">
        <v>2013</v>
      </c>
      <c r="D2509" t="s">
        <v>38</v>
      </c>
      <c r="E2509">
        <v>1</v>
      </c>
      <c r="F2509">
        <v>6</v>
      </c>
    </row>
    <row r="2510" spans="1:6">
      <c r="A2510">
        <v>2574</v>
      </c>
      <c r="B2510">
        <v>212013250</v>
      </c>
      <c r="C2510">
        <v>2013</v>
      </c>
      <c r="D2510" t="s">
        <v>44</v>
      </c>
      <c r="E2510">
        <v>1</v>
      </c>
      <c r="F2510">
        <v>111.88</v>
      </c>
    </row>
    <row r="2511" spans="1:6">
      <c r="A2511">
        <v>2586</v>
      </c>
      <c r="B2511">
        <v>212013260</v>
      </c>
      <c r="C2511">
        <v>2013</v>
      </c>
      <c r="D2511" t="s">
        <v>34</v>
      </c>
      <c r="E2511">
        <v>10</v>
      </c>
      <c r="F2511">
        <v>1.5</v>
      </c>
    </row>
    <row r="2512" spans="1:6">
      <c r="A2512">
        <v>2590</v>
      </c>
      <c r="B2512">
        <v>212013260</v>
      </c>
      <c r="C2512">
        <v>2013</v>
      </c>
      <c r="D2512" t="s">
        <v>34</v>
      </c>
      <c r="E2512">
        <v>27</v>
      </c>
      <c r="F2512">
        <v>4.05</v>
      </c>
    </row>
    <row r="2513" spans="1:6">
      <c r="A2513">
        <v>2578</v>
      </c>
      <c r="B2513">
        <v>212013260</v>
      </c>
      <c r="C2513">
        <v>2013</v>
      </c>
      <c r="D2513" t="s">
        <v>34</v>
      </c>
      <c r="E2513">
        <v>19</v>
      </c>
      <c r="F2513">
        <v>3.8</v>
      </c>
    </row>
    <row r="2514" spans="1:6">
      <c r="A2514">
        <v>2576</v>
      </c>
      <c r="B2514">
        <v>212013260</v>
      </c>
      <c r="C2514">
        <v>2013</v>
      </c>
      <c r="D2514" t="s">
        <v>34</v>
      </c>
      <c r="E2514">
        <v>33</v>
      </c>
      <c r="F2514">
        <v>4.95</v>
      </c>
    </row>
    <row r="2515" spans="1:6">
      <c r="A2515">
        <v>2585</v>
      </c>
      <c r="B2515">
        <v>212013260</v>
      </c>
      <c r="C2515">
        <v>2013</v>
      </c>
      <c r="D2515" t="s">
        <v>34</v>
      </c>
      <c r="E2515">
        <v>11</v>
      </c>
      <c r="F2515">
        <v>1.65</v>
      </c>
    </row>
    <row r="2516" spans="1:6">
      <c r="A2516">
        <v>2587</v>
      </c>
      <c r="B2516">
        <v>212013260</v>
      </c>
      <c r="C2516">
        <v>2013</v>
      </c>
      <c r="D2516" t="s">
        <v>34</v>
      </c>
      <c r="E2516">
        <v>24</v>
      </c>
      <c r="F2516">
        <v>3.6</v>
      </c>
    </row>
    <row r="2517" spans="1:6">
      <c r="A2517">
        <v>2577</v>
      </c>
      <c r="B2517">
        <v>212013260</v>
      </c>
      <c r="C2517">
        <v>2013</v>
      </c>
      <c r="D2517" t="s">
        <v>34</v>
      </c>
      <c r="E2517">
        <v>33</v>
      </c>
      <c r="F2517">
        <v>4.95</v>
      </c>
    </row>
    <row r="2518" spans="1:6">
      <c r="A2518">
        <v>2582</v>
      </c>
      <c r="B2518">
        <v>212013260</v>
      </c>
      <c r="C2518">
        <v>2013</v>
      </c>
      <c r="D2518" t="s">
        <v>34</v>
      </c>
      <c r="E2518">
        <v>33</v>
      </c>
      <c r="F2518">
        <v>4.95</v>
      </c>
    </row>
    <row r="2519" spans="1:6">
      <c r="A2519">
        <v>2581</v>
      </c>
      <c r="B2519">
        <v>212013260</v>
      </c>
      <c r="C2519">
        <v>2013</v>
      </c>
      <c r="D2519" t="s">
        <v>34</v>
      </c>
      <c r="E2519">
        <v>33</v>
      </c>
      <c r="F2519">
        <v>4.95</v>
      </c>
    </row>
    <row r="2520" spans="1:6">
      <c r="A2520">
        <v>2584</v>
      </c>
      <c r="B2520">
        <v>212013260</v>
      </c>
      <c r="C2520">
        <v>2013</v>
      </c>
      <c r="D2520" t="s">
        <v>34</v>
      </c>
      <c r="E2520">
        <v>33</v>
      </c>
      <c r="F2520">
        <v>4.95</v>
      </c>
    </row>
    <row r="2521" spans="1:6">
      <c r="A2521">
        <v>2579</v>
      </c>
      <c r="B2521">
        <v>212013260</v>
      </c>
      <c r="C2521">
        <v>2013</v>
      </c>
      <c r="D2521" t="s">
        <v>34</v>
      </c>
      <c r="E2521">
        <v>30</v>
      </c>
      <c r="F2521">
        <v>4.95</v>
      </c>
    </row>
    <row r="2522" spans="1:6">
      <c r="A2522">
        <v>2575</v>
      </c>
      <c r="B2522">
        <v>212013260</v>
      </c>
      <c r="C2522">
        <v>2013</v>
      </c>
      <c r="D2522" t="s">
        <v>34</v>
      </c>
      <c r="E2522">
        <v>24</v>
      </c>
      <c r="F2522">
        <v>4.8</v>
      </c>
    </row>
    <row r="2523" spans="1:6">
      <c r="A2523">
        <v>2580</v>
      </c>
      <c r="B2523">
        <v>212013260</v>
      </c>
      <c r="C2523">
        <v>2013</v>
      </c>
      <c r="D2523" t="s">
        <v>34</v>
      </c>
      <c r="E2523">
        <v>30</v>
      </c>
      <c r="F2523">
        <v>4.95</v>
      </c>
    </row>
    <row r="2524" spans="1:6">
      <c r="A2524">
        <v>2588</v>
      </c>
      <c r="B2524">
        <v>212013260</v>
      </c>
      <c r="C2524">
        <v>2013</v>
      </c>
      <c r="D2524" t="s">
        <v>34</v>
      </c>
      <c r="E2524">
        <v>18</v>
      </c>
      <c r="F2524">
        <v>2.7</v>
      </c>
    </row>
    <row r="2525" spans="1:6">
      <c r="A2525">
        <v>2583</v>
      </c>
      <c r="B2525">
        <v>212013260</v>
      </c>
      <c r="C2525">
        <v>2013</v>
      </c>
      <c r="D2525" t="s">
        <v>34</v>
      </c>
      <c r="E2525">
        <v>32</v>
      </c>
      <c r="F2525">
        <v>4.8</v>
      </c>
    </row>
    <row r="2526" spans="1:6">
      <c r="A2526">
        <v>2589</v>
      </c>
      <c r="B2526">
        <v>212013260</v>
      </c>
      <c r="C2526">
        <v>2013</v>
      </c>
      <c r="D2526" t="s">
        <v>34</v>
      </c>
      <c r="E2526">
        <v>32</v>
      </c>
      <c r="F2526">
        <v>4.8</v>
      </c>
    </row>
    <row r="2527" spans="1:6">
      <c r="A2527">
        <v>2592</v>
      </c>
      <c r="B2527">
        <v>212013270</v>
      </c>
      <c r="C2527">
        <v>2013</v>
      </c>
      <c r="D2527" t="s">
        <v>31</v>
      </c>
      <c r="E2527" t="s">
        <v>32</v>
      </c>
      <c r="F2527">
        <v>1</v>
      </c>
    </row>
    <row r="2528" spans="1:6">
      <c r="A2528">
        <v>2591</v>
      </c>
      <c r="B2528">
        <v>212013270</v>
      </c>
      <c r="C2528">
        <v>2013</v>
      </c>
      <c r="D2528" t="s">
        <v>31</v>
      </c>
      <c r="E2528" t="s">
        <v>32</v>
      </c>
      <c r="F2528">
        <v>1</v>
      </c>
    </row>
    <row r="2529" spans="1:6">
      <c r="A2529">
        <v>2593</v>
      </c>
      <c r="B2529">
        <v>212014110</v>
      </c>
      <c r="C2529">
        <v>2014</v>
      </c>
      <c r="D2529" t="s">
        <v>40</v>
      </c>
      <c r="E2529">
        <v>2</v>
      </c>
      <c r="F2529">
        <v>20</v>
      </c>
    </row>
    <row r="2530" spans="1:6">
      <c r="A2530">
        <v>2594</v>
      </c>
      <c r="B2530">
        <v>212014211</v>
      </c>
      <c r="C2530">
        <v>2014</v>
      </c>
      <c r="D2530" t="s">
        <v>37</v>
      </c>
      <c r="E2530">
        <v>2</v>
      </c>
      <c r="F2530">
        <v>70</v>
      </c>
    </row>
    <row r="2531" spans="1:6">
      <c r="A2531">
        <v>2596</v>
      </c>
      <c r="B2531">
        <v>212014241</v>
      </c>
      <c r="C2531">
        <v>2014</v>
      </c>
      <c r="D2531" t="s">
        <v>33</v>
      </c>
      <c r="E2531">
        <v>1</v>
      </c>
      <c r="F2531">
        <v>1</v>
      </c>
    </row>
    <row r="2532" spans="1:6">
      <c r="A2532">
        <v>2595</v>
      </c>
      <c r="B2532">
        <v>212014241</v>
      </c>
      <c r="C2532">
        <v>2014</v>
      </c>
      <c r="D2532" t="s">
        <v>33</v>
      </c>
      <c r="E2532">
        <v>1</v>
      </c>
      <c r="F2532">
        <v>0.75</v>
      </c>
    </row>
    <row r="2533" spans="1:6">
      <c r="A2533">
        <v>2597</v>
      </c>
      <c r="B2533">
        <v>212014250</v>
      </c>
      <c r="C2533">
        <v>2014</v>
      </c>
      <c r="D2533" t="s">
        <v>44</v>
      </c>
      <c r="E2533">
        <v>1</v>
      </c>
      <c r="F2533">
        <v>111.88</v>
      </c>
    </row>
    <row r="2534" spans="1:6">
      <c r="A2534">
        <v>2609</v>
      </c>
      <c r="B2534">
        <v>212014260</v>
      </c>
      <c r="C2534">
        <v>2014</v>
      </c>
      <c r="D2534" t="s">
        <v>34</v>
      </c>
      <c r="E2534">
        <v>23</v>
      </c>
      <c r="F2534">
        <v>3.45</v>
      </c>
    </row>
    <row r="2535" spans="1:6">
      <c r="A2535">
        <v>2598</v>
      </c>
      <c r="B2535">
        <v>212014260</v>
      </c>
      <c r="C2535">
        <v>2014</v>
      </c>
      <c r="D2535" t="s">
        <v>34</v>
      </c>
      <c r="E2535">
        <v>20</v>
      </c>
      <c r="F2535">
        <v>3</v>
      </c>
    </row>
    <row r="2536" spans="1:6">
      <c r="A2536">
        <v>2604</v>
      </c>
      <c r="B2536">
        <v>212014260</v>
      </c>
      <c r="C2536">
        <v>2014</v>
      </c>
      <c r="D2536" t="s">
        <v>34</v>
      </c>
      <c r="E2536">
        <v>5</v>
      </c>
      <c r="F2536">
        <v>1</v>
      </c>
    </row>
    <row r="2537" spans="1:6">
      <c r="A2537">
        <v>2610</v>
      </c>
      <c r="B2537">
        <v>212014260</v>
      </c>
      <c r="C2537">
        <v>2014</v>
      </c>
      <c r="D2537" t="s">
        <v>34</v>
      </c>
      <c r="E2537">
        <v>19</v>
      </c>
      <c r="F2537">
        <v>2.85</v>
      </c>
    </row>
    <row r="2538" spans="1:6">
      <c r="A2538">
        <v>2611</v>
      </c>
      <c r="B2538">
        <v>212014260</v>
      </c>
      <c r="C2538">
        <v>2014</v>
      </c>
      <c r="D2538" t="s">
        <v>34</v>
      </c>
      <c r="E2538">
        <v>7</v>
      </c>
      <c r="F2538">
        <v>1.05</v>
      </c>
    </row>
    <row r="2539" spans="1:6">
      <c r="A2539">
        <v>2605</v>
      </c>
      <c r="B2539">
        <v>212014260</v>
      </c>
      <c r="C2539">
        <v>2014</v>
      </c>
      <c r="D2539" t="s">
        <v>34</v>
      </c>
      <c r="E2539">
        <v>24</v>
      </c>
      <c r="F2539">
        <v>4.8</v>
      </c>
    </row>
    <row r="2540" spans="1:6">
      <c r="A2540">
        <v>2608</v>
      </c>
      <c r="B2540">
        <v>212014260</v>
      </c>
      <c r="C2540">
        <v>2014</v>
      </c>
      <c r="D2540" t="s">
        <v>34</v>
      </c>
      <c r="E2540">
        <v>20</v>
      </c>
      <c r="F2540">
        <v>4</v>
      </c>
    </row>
    <row r="2541" spans="1:6">
      <c r="A2541">
        <v>2606</v>
      </c>
      <c r="B2541">
        <v>212014260</v>
      </c>
      <c r="C2541">
        <v>2014</v>
      </c>
      <c r="D2541" t="s">
        <v>34</v>
      </c>
      <c r="E2541">
        <v>24</v>
      </c>
      <c r="F2541">
        <v>4.8</v>
      </c>
    </row>
    <row r="2542" spans="1:6">
      <c r="A2542">
        <v>2601</v>
      </c>
      <c r="B2542">
        <v>212014260</v>
      </c>
      <c r="C2542">
        <v>2014</v>
      </c>
      <c r="D2542" t="s">
        <v>34</v>
      </c>
      <c r="E2542">
        <v>24</v>
      </c>
      <c r="F2542">
        <v>4.8</v>
      </c>
    </row>
    <row r="2543" spans="1:6">
      <c r="A2543">
        <v>2600</v>
      </c>
      <c r="B2543">
        <v>212014260</v>
      </c>
      <c r="C2543">
        <v>2014</v>
      </c>
      <c r="D2543" t="s">
        <v>34</v>
      </c>
      <c r="E2543">
        <v>17</v>
      </c>
      <c r="F2543">
        <v>2.55</v>
      </c>
    </row>
    <row r="2544" spans="1:6">
      <c r="A2544">
        <v>2599</v>
      </c>
      <c r="B2544">
        <v>212014260</v>
      </c>
      <c r="C2544">
        <v>2014</v>
      </c>
      <c r="D2544" t="s">
        <v>34</v>
      </c>
      <c r="E2544">
        <v>17</v>
      </c>
      <c r="F2544">
        <v>2.55</v>
      </c>
    </row>
    <row r="2545" spans="1:6">
      <c r="A2545">
        <v>2602</v>
      </c>
      <c r="B2545">
        <v>212014260</v>
      </c>
      <c r="C2545">
        <v>2014</v>
      </c>
      <c r="D2545" t="s">
        <v>34</v>
      </c>
      <c r="E2545">
        <v>24</v>
      </c>
      <c r="F2545">
        <v>4.8</v>
      </c>
    </row>
    <row r="2546" spans="1:6">
      <c r="A2546">
        <v>2607</v>
      </c>
      <c r="B2546">
        <v>212014260</v>
      </c>
      <c r="C2546">
        <v>2014</v>
      </c>
      <c r="D2546" t="s">
        <v>34</v>
      </c>
      <c r="E2546">
        <v>21</v>
      </c>
      <c r="F2546">
        <v>4.62</v>
      </c>
    </row>
    <row r="2547" spans="1:6">
      <c r="A2547">
        <v>2603</v>
      </c>
      <c r="B2547">
        <v>212014260</v>
      </c>
      <c r="C2547">
        <v>2014</v>
      </c>
      <c r="D2547" t="s">
        <v>34</v>
      </c>
      <c r="E2547">
        <v>33</v>
      </c>
      <c r="F2547">
        <v>4.95</v>
      </c>
    </row>
    <row r="2548" spans="1:6">
      <c r="A2548">
        <v>2612</v>
      </c>
      <c r="B2548">
        <v>212014260</v>
      </c>
      <c r="C2548">
        <v>2014</v>
      </c>
      <c r="D2548" t="s">
        <v>34</v>
      </c>
      <c r="E2548">
        <v>1</v>
      </c>
      <c r="F2548">
        <v>0.15</v>
      </c>
    </row>
    <row r="2549" spans="1:6">
      <c r="A2549">
        <v>2614</v>
      </c>
      <c r="B2549">
        <v>212014270</v>
      </c>
      <c r="C2549">
        <v>2014</v>
      </c>
      <c r="D2549" t="s">
        <v>31</v>
      </c>
      <c r="E2549">
        <v>38</v>
      </c>
      <c r="F2549">
        <v>2.08</v>
      </c>
    </row>
    <row r="2550" spans="1:6">
      <c r="A2550">
        <v>2615</v>
      </c>
      <c r="B2550">
        <v>212014270</v>
      </c>
      <c r="C2550">
        <v>2014</v>
      </c>
      <c r="D2550" t="s">
        <v>31</v>
      </c>
      <c r="E2550">
        <v>20</v>
      </c>
      <c r="F2550">
        <v>1</v>
      </c>
    </row>
    <row r="2551" spans="1:6">
      <c r="A2551">
        <v>2616</v>
      </c>
      <c r="B2551">
        <v>212014270</v>
      </c>
      <c r="C2551">
        <v>2014</v>
      </c>
      <c r="D2551" t="s">
        <v>31</v>
      </c>
      <c r="E2551">
        <v>10</v>
      </c>
      <c r="F2551">
        <v>0.26</v>
      </c>
    </row>
    <row r="2552" spans="1:6">
      <c r="A2552">
        <v>2613</v>
      </c>
      <c r="B2552">
        <v>212014270</v>
      </c>
      <c r="C2552">
        <v>2014</v>
      </c>
      <c r="D2552" t="s">
        <v>31</v>
      </c>
      <c r="F2552">
        <v>1</v>
      </c>
    </row>
    <row r="2553" spans="1:6">
      <c r="A2553">
        <v>2617</v>
      </c>
      <c r="B2553">
        <v>212015241</v>
      </c>
      <c r="C2553">
        <v>2015</v>
      </c>
      <c r="D2553" t="s">
        <v>33</v>
      </c>
      <c r="E2553">
        <v>1</v>
      </c>
      <c r="F2553">
        <v>1.2</v>
      </c>
    </row>
    <row r="2554" spans="1:6">
      <c r="A2554">
        <v>2618</v>
      </c>
      <c r="B2554">
        <v>212015250</v>
      </c>
      <c r="C2554">
        <v>2015</v>
      </c>
      <c r="D2554" t="s">
        <v>44</v>
      </c>
      <c r="E2554">
        <v>1</v>
      </c>
      <c r="F2554">
        <v>111.88</v>
      </c>
    </row>
    <row r="2555" spans="1:6">
      <c r="A2555">
        <v>2620</v>
      </c>
      <c r="B2555">
        <v>212015260</v>
      </c>
      <c r="C2555">
        <v>2015</v>
      </c>
      <c r="D2555" t="s">
        <v>34</v>
      </c>
      <c r="E2555">
        <v>22</v>
      </c>
      <c r="F2555">
        <v>4.4</v>
      </c>
    </row>
    <row r="2556" spans="1:6">
      <c r="A2556">
        <v>2625</v>
      </c>
      <c r="B2556">
        <v>212015260</v>
      </c>
      <c r="C2556">
        <v>2015</v>
      </c>
      <c r="D2556" t="s">
        <v>34</v>
      </c>
      <c r="E2556">
        <v>1</v>
      </c>
      <c r="F2556">
        <v>0.9</v>
      </c>
    </row>
    <row r="2557" spans="1:6">
      <c r="A2557">
        <v>2627</v>
      </c>
      <c r="B2557">
        <v>212015260</v>
      </c>
      <c r="C2557">
        <v>2015</v>
      </c>
      <c r="D2557" t="s">
        <v>34</v>
      </c>
      <c r="E2557" t="s">
        <v>32</v>
      </c>
      <c r="F2557">
        <v>4.95</v>
      </c>
    </row>
    <row r="2558" spans="1:6">
      <c r="A2558">
        <v>2619</v>
      </c>
      <c r="B2558">
        <v>212015260</v>
      </c>
      <c r="C2558">
        <v>2015</v>
      </c>
      <c r="D2558" t="s">
        <v>34</v>
      </c>
      <c r="E2558">
        <v>33</v>
      </c>
      <c r="F2558">
        <v>4.95</v>
      </c>
    </row>
    <row r="2559" spans="1:6">
      <c r="A2559">
        <v>2621</v>
      </c>
      <c r="B2559">
        <v>212015260</v>
      </c>
      <c r="C2559">
        <v>2015</v>
      </c>
      <c r="D2559" t="s">
        <v>34</v>
      </c>
      <c r="E2559">
        <v>1</v>
      </c>
      <c r="F2559">
        <v>0.15</v>
      </c>
    </row>
    <row r="2560" spans="1:6">
      <c r="A2560">
        <v>2623</v>
      </c>
      <c r="B2560">
        <v>212015260</v>
      </c>
      <c r="C2560">
        <v>2015</v>
      </c>
      <c r="D2560" t="s">
        <v>34</v>
      </c>
      <c r="E2560">
        <v>8</v>
      </c>
      <c r="F2560">
        <v>1.2</v>
      </c>
    </row>
    <row r="2561" spans="1:6">
      <c r="A2561">
        <v>2626</v>
      </c>
      <c r="B2561">
        <v>212015260</v>
      </c>
      <c r="C2561">
        <v>2015</v>
      </c>
      <c r="D2561" t="s">
        <v>34</v>
      </c>
      <c r="E2561" t="s">
        <v>32</v>
      </c>
      <c r="F2561">
        <v>4.95</v>
      </c>
    </row>
    <row r="2562" spans="1:6">
      <c r="A2562">
        <v>2624</v>
      </c>
      <c r="B2562">
        <v>212015260</v>
      </c>
      <c r="C2562">
        <v>2015</v>
      </c>
      <c r="D2562" t="s">
        <v>34</v>
      </c>
      <c r="E2562">
        <v>1</v>
      </c>
      <c r="F2562">
        <v>0.75</v>
      </c>
    </row>
    <row r="2563" spans="1:6">
      <c r="A2563">
        <v>2622</v>
      </c>
      <c r="B2563">
        <v>212015260</v>
      </c>
      <c r="C2563">
        <v>2015</v>
      </c>
      <c r="D2563" t="s">
        <v>34</v>
      </c>
      <c r="E2563">
        <v>61</v>
      </c>
      <c r="F2563">
        <v>11.4</v>
      </c>
    </row>
    <row r="2564" spans="1:6">
      <c r="A2564">
        <v>2632</v>
      </c>
      <c r="B2564">
        <v>212015270</v>
      </c>
      <c r="C2564">
        <v>2015</v>
      </c>
      <c r="D2564" t="s">
        <v>31</v>
      </c>
      <c r="E2564" t="s">
        <v>32</v>
      </c>
      <c r="F2564">
        <v>1.01</v>
      </c>
    </row>
    <row r="2565" spans="1:6">
      <c r="A2565">
        <v>2634</v>
      </c>
      <c r="B2565">
        <v>212015270</v>
      </c>
      <c r="C2565">
        <v>2015</v>
      </c>
      <c r="D2565" t="s">
        <v>31</v>
      </c>
      <c r="E2565" t="s">
        <v>32</v>
      </c>
      <c r="F2565">
        <v>1</v>
      </c>
    </row>
    <row r="2566" spans="1:6">
      <c r="A2566">
        <v>2630</v>
      </c>
      <c r="B2566">
        <v>212015270</v>
      </c>
      <c r="C2566">
        <v>2015</v>
      </c>
      <c r="D2566" t="s">
        <v>31</v>
      </c>
      <c r="E2566">
        <v>1</v>
      </c>
      <c r="F2566">
        <v>1</v>
      </c>
    </row>
    <row r="2567" spans="1:6">
      <c r="A2567">
        <v>2631</v>
      </c>
      <c r="B2567">
        <v>212015270</v>
      </c>
      <c r="C2567">
        <v>2015</v>
      </c>
      <c r="D2567" t="s">
        <v>31</v>
      </c>
      <c r="E2567">
        <v>1</v>
      </c>
      <c r="F2567">
        <v>0.6</v>
      </c>
    </row>
    <row r="2568" spans="1:6">
      <c r="A2568">
        <v>2633</v>
      </c>
      <c r="B2568">
        <v>212015270</v>
      </c>
      <c r="C2568">
        <v>2015</v>
      </c>
      <c r="D2568" t="s">
        <v>31</v>
      </c>
      <c r="E2568" t="s">
        <v>32</v>
      </c>
      <c r="F2568">
        <v>1</v>
      </c>
    </row>
    <row r="2569" spans="1:6">
      <c r="A2569">
        <v>2629</v>
      </c>
      <c r="B2569">
        <v>212015270</v>
      </c>
      <c r="C2569">
        <v>2015</v>
      </c>
      <c r="D2569" t="s">
        <v>31</v>
      </c>
      <c r="E2569" t="s">
        <v>32</v>
      </c>
      <c r="F2569">
        <v>1.4</v>
      </c>
    </row>
    <row r="2570" spans="1:6">
      <c r="A2570">
        <v>2628</v>
      </c>
      <c r="B2570">
        <v>212015270</v>
      </c>
      <c r="C2570">
        <v>2015</v>
      </c>
      <c r="D2570" t="s">
        <v>31</v>
      </c>
      <c r="E2570" t="s">
        <v>32</v>
      </c>
      <c r="F2570">
        <v>1</v>
      </c>
    </row>
    <row r="2571" spans="1:6">
      <c r="A2571">
        <v>2637</v>
      </c>
      <c r="B2571">
        <v>212016250</v>
      </c>
      <c r="C2571" s="76">
        <v>2016</v>
      </c>
      <c r="D2571" s="76" t="s">
        <v>44</v>
      </c>
      <c r="E2571" s="76">
        <v>1</v>
      </c>
      <c r="F2571" s="76">
        <v>111.88</v>
      </c>
    </row>
    <row r="2572" spans="1:6">
      <c r="A2572">
        <v>2638</v>
      </c>
      <c r="B2572">
        <v>212016260</v>
      </c>
      <c r="C2572" s="76">
        <v>2016</v>
      </c>
      <c r="D2572" s="76" t="s">
        <v>34</v>
      </c>
      <c r="E2572" s="76">
        <v>24</v>
      </c>
      <c r="F2572" s="76">
        <v>4.8</v>
      </c>
    </row>
    <row r="2573" spans="1:6">
      <c r="A2573">
        <v>2639</v>
      </c>
      <c r="B2573">
        <v>212016260</v>
      </c>
      <c r="C2573" s="76">
        <v>2016</v>
      </c>
      <c r="D2573" s="76" t="s">
        <v>34</v>
      </c>
      <c r="E2573" s="76">
        <v>19</v>
      </c>
      <c r="F2573" s="76">
        <v>4.75</v>
      </c>
    </row>
    <row r="2574" spans="1:6">
      <c r="A2574">
        <v>2640</v>
      </c>
      <c r="B2574">
        <v>212016260</v>
      </c>
      <c r="C2574" s="76">
        <v>2016</v>
      </c>
      <c r="D2574" s="76" t="s">
        <v>34</v>
      </c>
      <c r="E2574" s="76">
        <v>29</v>
      </c>
      <c r="F2574" s="76">
        <v>4.35</v>
      </c>
    </row>
    <row r="2575" spans="1:6">
      <c r="A2575">
        <v>2642</v>
      </c>
      <c r="B2575">
        <v>212016270</v>
      </c>
      <c r="C2575" s="76">
        <v>2016</v>
      </c>
      <c r="D2575" s="76" t="s">
        <v>31</v>
      </c>
      <c r="E2575" s="76" t="s">
        <v>32</v>
      </c>
      <c r="F2575" s="76">
        <v>1</v>
      </c>
    </row>
    <row r="2576" spans="1:6">
      <c r="A2576">
        <v>2643</v>
      </c>
      <c r="B2576">
        <v>212016270</v>
      </c>
      <c r="C2576" s="76">
        <v>2016</v>
      </c>
      <c r="D2576" s="76" t="s">
        <v>31</v>
      </c>
      <c r="E2576" s="76" t="s">
        <v>32</v>
      </c>
      <c r="F2576" s="76">
        <v>0.99</v>
      </c>
    </row>
    <row r="2577" spans="1:6">
      <c r="A2577">
        <v>2648</v>
      </c>
      <c r="B2577">
        <v>212016270</v>
      </c>
      <c r="C2577" s="76">
        <v>2016</v>
      </c>
      <c r="D2577" s="76" t="s">
        <v>31</v>
      </c>
      <c r="E2577" s="76" t="s">
        <v>32</v>
      </c>
      <c r="F2577" s="76">
        <v>0.97</v>
      </c>
    </row>
    <row r="2578" spans="1:6">
      <c r="A2578">
        <v>2647</v>
      </c>
      <c r="B2578">
        <v>212016270</v>
      </c>
      <c r="C2578" s="76">
        <v>2016</v>
      </c>
      <c r="D2578" s="76" t="s">
        <v>31</v>
      </c>
      <c r="E2578" s="76" t="s">
        <v>32</v>
      </c>
      <c r="F2578" s="76">
        <v>3</v>
      </c>
    </row>
    <row r="2579" spans="1:6">
      <c r="A2579">
        <v>2650</v>
      </c>
      <c r="B2579">
        <v>212016270</v>
      </c>
      <c r="C2579" s="76">
        <v>2016</v>
      </c>
      <c r="D2579" s="76" t="s">
        <v>31</v>
      </c>
      <c r="E2579" s="76" t="s">
        <v>32</v>
      </c>
      <c r="F2579" s="76">
        <v>2</v>
      </c>
    </row>
    <row r="2580" spans="1:6">
      <c r="A2580">
        <v>2649</v>
      </c>
      <c r="B2580">
        <v>212016270</v>
      </c>
      <c r="C2580" s="76">
        <v>2016</v>
      </c>
      <c r="D2580" s="76" t="s">
        <v>31</v>
      </c>
      <c r="E2580" s="76" t="s">
        <v>32</v>
      </c>
      <c r="F2580" s="76">
        <v>2</v>
      </c>
    </row>
    <row r="2581" spans="1:6">
      <c r="A2581">
        <v>2645</v>
      </c>
      <c r="B2581">
        <v>212016270</v>
      </c>
      <c r="C2581" s="76">
        <v>2016</v>
      </c>
      <c r="D2581" s="76" t="s">
        <v>31</v>
      </c>
      <c r="E2581" s="76" t="s">
        <v>32</v>
      </c>
      <c r="F2581" s="76">
        <v>2</v>
      </c>
    </row>
    <row r="2582" spans="1:6">
      <c r="A2582">
        <v>2644</v>
      </c>
      <c r="B2582">
        <v>212016270</v>
      </c>
      <c r="C2582" s="76">
        <v>2016</v>
      </c>
      <c r="D2582" s="76" t="s">
        <v>31</v>
      </c>
      <c r="E2582" s="76" t="s">
        <v>32</v>
      </c>
      <c r="F2582" s="76">
        <v>2.6</v>
      </c>
    </row>
    <row r="2583" spans="1:6">
      <c r="A2583">
        <v>2646</v>
      </c>
      <c r="B2583">
        <v>212016270</v>
      </c>
      <c r="C2583" s="76">
        <v>2016</v>
      </c>
      <c r="D2583" s="76" t="s">
        <v>31</v>
      </c>
      <c r="E2583" s="76" t="s">
        <v>32</v>
      </c>
      <c r="F2583" s="76">
        <v>1</v>
      </c>
    </row>
    <row r="2584" spans="1:6">
      <c r="A2584">
        <v>2641</v>
      </c>
      <c r="B2584">
        <v>212016270</v>
      </c>
      <c r="C2584" s="76">
        <v>2016</v>
      </c>
      <c r="D2584" s="76" t="s">
        <v>31</v>
      </c>
      <c r="E2584" s="76" t="s">
        <v>32</v>
      </c>
      <c r="F2584" s="76">
        <v>0.65</v>
      </c>
    </row>
    <row r="2585" spans="1:6">
      <c r="A2585">
        <v>2652</v>
      </c>
      <c r="B2585">
        <v>212017110</v>
      </c>
      <c r="C2585" s="76">
        <v>2017</v>
      </c>
      <c r="D2585" s="76" t="s">
        <v>40</v>
      </c>
      <c r="E2585" s="76" t="s">
        <v>32</v>
      </c>
      <c r="F2585" s="76">
        <v>0.19</v>
      </c>
    </row>
    <row r="2586" spans="1:6">
      <c r="A2586">
        <v>2653</v>
      </c>
      <c r="B2586">
        <v>212017211</v>
      </c>
      <c r="C2586" s="76">
        <v>2017</v>
      </c>
      <c r="D2586" s="76" t="s">
        <v>37</v>
      </c>
      <c r="E2586" s="76">
        <v>1</v>
      </c>
      <c r="F2586" s="76">
        <v>35</v>
      </c>
    </row>
    <row r="2587" spans="1:6">
      <c r="A2587">
        <v>2654</v>
      </c>
      <c r="B2587">
        <v>212017211</v>
      </c>
      <c r="C2587" s="76">
        <v>2017</v>
      </c>
      <c r="D2587" s="76" t="s">
        <v>37</v>
      </c>
      <c r="E2587" s="76">
        <v>2</v>
      </c>
      <c r="F2587" s="76">
        <v>10</v>
      </c>
    </row>
    <row r="2588" spans="1:6">
      <c r="A2588">
        <v>2658</v>
      </c>
      <c r="B2588">
        <v>212017260</v>
      </c>
      <c r="C2588" s="76">
        <v>2017</v>
      </c>
      <c r="D2588" s="76" t="s">
        <v>34</v>
      </c>
      <c r="E2588" s="76">
        <v>24</v>
      </c>
      <c r="F2588" s="76">
        <v>4.8</v>
      </c>
    </row>
    <row r="2589" spans="1:6">
      <c r="A2589">
        <v>2656</v>
      </c>
      <c r="B2589">
        <v>212017260</v>
      </c>
      <c r="C2589" s="76">
        <v>2017</v>
      </c>
      <c r="D2589" s="76" t="s">
        <v>34</v>
      </c>
      <c r="E2589" s="76">
        <v>33</v>
      </c>
      <c r="F2589" s="76">
        <v>4.95</v>
      </c>
    </row>
    <row r="2590" spans="1:6">
      <c r="A2590">
        <v>2659</v>
      </c>
      <c r="B2590">
        <v>212017260</v>
      </c>
      <c r="C2590" s="76">
        <v>2017</v>
      </c>
      <c r="D2590" s="76" t="s">
        <v>34</v>
      </c>
      <c r="E2590" s="76">
        <v>4</v>
      </c>
      <c r="F2590" s="76">
        <v>0.6</v>
      </c>
    </row>
    <row r="2591" spans="1:6">
      <c r="A2591">
        <v>2657</v>
      </c>
      <c r="B2591">
        <v>212017260</v>
      </c>
      <c r="C2591" s="76">
        <v>2017</v>
      </c>
      <c r="D2591" s="76" t="s">
        <v>34</v>
      </c>
      <c r="E2591" s="76">
        <v>24</v>
      </c>
      <c r="F2591" s="76">
        <v>4.8</v>
      </c>
    </row>
    <row r="2592" spans="1:6">
      <c r="A2592">
        <v>2660</v>
      </c>
      <c r="B2592">
        <v>212017260</v>
      </c>
      <c r="C2592" s="76">
        <v>2017</v>
      </c>
      <c r="D2592" s="76" t="s">
        <v>34</v>
      </c>
      <c r="E2592" s="76">
        <v>20</v>
      </c>
      <c r="F2592" s="76">
        <v>5</v>
      </c>
    </row>
    <row r="2593" spans="1:6">
      <c r="A2593">
        <v>2662</v>
      </c>
      <c r="B2593">
        <v>212017270</v>
      </c>
      <c r="C2593" s="76">
        <v>2017</v>
      </c>
      <c r="D2593" s="76" t="s">
        <v>31</v>
      </c>
      <c r="E2593" s="76" t="s">
        <v>32</v>
      </c>
      <c r="F2593" s="76">
        <v>1.88</v>
      </c>
    </row>
    <row r="2594" spans="1:6">
      <c r="A2594">
        <v>2669</v>
      </c>
      <c r="B2594">
        <v>212017270</v>
      </c>
      <c r="C2594" s="76">
        <v>2017</v>
      </c>
      <c r="D2594" s="76" t="s">
        <v>31</v>
      </c>
      <c r="E2594" s="76">
        <v>2</v>
      </c>
      <c r="F2594" s="76">
        <v>10.66</v>
      </c>
    </row>
    <row r="2595" spans="1:6">
      <c r="A2595">
        <v>2665</v>
      </c>
      <c r="B2595">
        <v>212017270</v>
      </c>
      <c r="C2595" s="76">
        <v>2017</v>
      </c>
      <c r="D2595" s="76" t="s">
        <v>31</v>
      </c>
      <c r="E2595" s="76" t="s">
        <v>32</v>
      </c>
      <c r="F2595" s="76">
        <v>2.2</v>
      </c>
    </row>
    <row r="2596" spans="1:6">
      <c r="A2596">
        <v>2666</v>
      </c>
      <c r="B2596">
        <v>212017270</v>
      </c>
      <c r="C2596" s="76">
        <v>2017</v>
      </c>
      <c r="D2596" s="76" t="s">
        <v>31</v>
      </c>
      <c r="E2596" s="76" t="s">
        <v>32</v>
      </c>
      <c r="F2596" s="76">
        <v>2.2</v>
      </c>
    </row>
    <row r="2597" spans="1:6">
      <c r="A2597">
        <v>2667</v>
      </c>
      <c r="B2597">
        <v>212017270</v>
      </c>
      <c r="C2597" s="76">
        <v>2017</v>
      </c>
      <c r="D2597" s="76" t="s">
        <v>31</v>
      </c>
      <c r="E2597" s="76" t="s">
        <v>32</v>
      </c>
      <c r="F2597" s="76">
        <v>1.56</v>
      </c>
    </row>
    <row r="2598" spans="1:6">
      <c r="A2598">
        <v>2661</v>
      </c>
      <c r="B2598">
        <v>212017270</v>
      </c>
      <c r="C2598" s="76">
        <v>2017</v>
      </c>
      <c r="D2598" s="76" t="s">
        <v>31</v>
      </c>
      <c r="E2598" s="76" t="s">
        <v>32</v>
      </c>
      <c r="F2598" s="76">
        <v>2</v>
      </c>
    </row>
    <row r="2599" spans="1:6">
      <c r="A2599">
        <v>2663</v>
      </c>
      <c r="B2599">
        <v>212017270</v>
      </c>
      <c r="C2599" s="76">
        <v>2017</v>
      </c>
      <c r="D2599" s="76" t="s">
        <v>31</v>
      </c>
      <c r="E2599" s="76" t="s">
        <v>32</v>
      </c>
      <c r="F2599" s="76">
        <v>0.95</v>
      </c>
    </row>
    <row r="2600" spans="1:6">
      <c r="A2600">
        <v>2664</v>
      </c>
      <c r="B2600">
        <v>212017270</v>
      </c>
      <c r="C2600" s="76">
        <v>2017</v>
      </c>
      <c r="D2600" s="76" t="s">
        <v>31</v>
      </c>
      <c r="E2600" s="76" t="s">
        <v>32</v>
      </c>
      <c r="F2600" s="76">
        <v>0.7</v>
      </c>
    </row>
    <row r="2601" spans="1:6">
      <c r="A2601">
        <v>2668</v>
      </c>
      <c r="B2601">
        <v>212017270</v>
      </c>
      <c r="C2601" s="76">
        <v>2017</v>
      </c>
      <c r="D2601" s="76" t="s">
        <v>31</v>
      </c>
      <c r="E2601" s="76" t="s">
        <v>32</v>
      </c>
      <c r="F2601" s="76">
        <v>2.6</v>
      </c>
    </row>
    <row r="2602" spans="1:6">
      <c r="A2602">
        <v>2672</v>
      </c>
      <c r="B2602">
        <v>212018211</v>
      </c>
      <c r="C2602" s="76">
        <v>2018</v>
      </c>
      <c r="D2602" s="76" t="s">
        <v>37</v>
      </c>
      <c r="E2602" s="76">
        <v>1</v>
      </c>
      <c r="F2602" s="76">
        <v>35</v>
      </c>
    </row>
    <row r="2603" spans="1:6">
      <c r="A2603">
        <v>2671</v>
      </c>
      <c r="B2603">
        <v>212018211</v>
      </c>
      <c r="C2603" s="76">
        <v>2018</v>
      </c>
      <c r="D2603" s="76" t="s">
        <v>37</v>
      </c>
      <c r="E2603" s="76">
        <v>2</v>
      </c>
      <c r="F2603" s="76">
        <v>70</v>
      </c>
    </row>
    <row r="2604" spans="1:6">
      <c r="A2604">
        <v>2678</v>
      </c>
      <c r="B2604">
        <v>212018260</v>
      </c>
      <c r="C2604" s="76">
        <v>2018</v>
      </c>
      <c r="D2604" s="76" t="s">
        <v>34</v>
      </c>
      <c r="E2604" s="76">
        <v>16</v>
      </c>
      <c r="F2604" s="76">
        <v>3.2</v>
      </c>
    </row>
    <row r="2605" spans="1:6">
      <c r="A2605">
        <v>2679</v>
      </c>
      <c r="B2605">
        <v>212018260</v>
      </c>
      <c r="C2605" s="76">
        <v>2018</v>
      </c>
      <c r="D2605" s="76" t="s">
        <v>34</v>
      </c>
      <c r="E2605" s="76">
        <v>16</v>
      </c>
      <c r="F2605" s="76">
        <v>3.2</v>
      </c>
    </row>
    <row r="2606" spans="1:6">
      <c r="A2606">
        <v>2685</v>
      </c>
      <c r="B2606">
        <v>212018260</v>
      </c>
      <c r="C2606" s="76">
        <v>2018</v>
      </c>
      <c r="D2606" s="76" t="s">
        <v>34</v>
      </c>
      <c r="E2606" s="76" t="s">
        <v>32</v>
      </c>
      <c r="F2606" s="76">
        <v>0.6</v>
      </c>
    </row>
    <row r="2607" spans="1:6">
      <c r="A2607">
        <v>2686</v>
      </c>
      <c r="B2607">
        <v>212018260</v>
      </c>
      <c r="C2607" s="76">
        <v>2018</v>
      </c>
      <c r="D2607" s="76" t="s">
        <v>34</v>
      </c>
      <c r="E2607" s="76" t="s">
        <v>32</v>
      </c>
      <c r="F2607" s="76">
        <v>4.75</v>
      </c>
    </row>
    <row r="2608" spans="1:6">
      <c r="A2608">
        <v>2682</v>
      </c>
      <c r="B2608">
        <v>212018260</v>
      </c>
      <c r="C2608" s="76">
        <v>2018</v>
      </c>
      <c r="D2608" s="76" t="s">
        <v>34</v>
      </c>
      <c r="E2608" s="76" t="s">
        <v>32</v>
      </c>
      <c r="F2608" s="76">
        <v>4.6</v>
      </c>
    </row>
    <row r="2609" spans="1:6">
      <c r="A2609">
        <v>2683</v>
      </c>
      <c r="B2609">
        <v>212018260</v>
      </c>
      <c r="C2609" s="76">
        <v>2018</v>
      </c>
      <c r="D2609" s="76" t="s">
        <v>34</v>
      </c>
      <c r="E2609" s="76" t="s">
        <v>32</v>
      </c>
      <c r="F2609" s="76">
        <v>0.75</v>
      </c>
    </row>
    <row r="2610" spans="1:6">
      <c r="A2610">
        <v>2681</v>
      </c>
      <c r="B2610">
        <v>212018260</v>
      </c>
      <c r="C2610" s="76">
        <v>2018</v>
      </c>
      <c r="D2610" s="76" t="s">
        <v>34</v>
      </c>
      <c r="E2610" s="76" t="s">
        <v>32</v>
      </c>
      <c r="F2610" s="76">
        <v>5</v>
      </c>
    </row>
    <row r="2611" spans="1:6">
      <c r="A2611">
        <v>2676</v>
      </c>
      <c r="B2611">
        <v>212018260</v>
      </c>
      <c r="C2611" s="76">
        <v>2018</v>
      </c>
      <c r="D2611" s="76" t="s">
        <v>34</v>
      </c>
      <c r="E2611" s="76">
        <v>24</v>
      </c>
      <c r="F2611" s="76">
        <v>4.8</v>
      </c>
    </row>
    <row r="2612" spans="1:6">
      <c r="A2612">
        <v>2677</v>
      </c>
      <c r="B2612">
        <v>212018260</v>
      </c>
      <c r="C2612" s="76">
        <v>2018</v>
      </c>
      <c r="D2612" s="76" t="s">
        <v>34</v>
      </c>
      <c r="E2612" s="76">
        <v>20</v>
      </c>
      <c r="F2612" s="76">
        <v>5</v>
      </c>
    </row>
    <row r="2613" spans="1:6">
      <c r="A2613">
        <v>2673</v>
      </c>
      <c r="B2613">
        <v>212018260</v>
      </c>
      <c r="C2613" s="76">
        <v>2018</v>
      </c>
      <c r="D2613" s="76" t="s">
        <v>34</v>
      </c>
      <c r="E2613" s="76">
        <v>2</v>
      </c>
      <c r="F2613" s="76">
        <v>0.66</v>
      </c>
    </row>
    <row r="2614" spans="1:6">
      <c r="A2614">
        <v>2674</v>
      </c>
      <c r="B2614">
        <v>212018260</v>
      </c>
      <c r="C2614" s="76">
        <v>2018</v>
      </c>
      <c r="D2614" s="76" t="s">
        <v>34</v>
      </c>
      <c r="E2614" s="76">
        <v>1</v>
      </c>
      <c r="F2614" s="76">
        <v>0.75</v>
      </c>
    </row>
    <row r="2615" spans="1:6">
      <c r="A2615">
        <v>2675</v>
      </c>
      <c r="B2615">
        <v>212018260</v>
      </c>
      <c r="C2615" s="76">
        <v>2018</v>
      </c>
      <c r="D2615" s="76" t="s">
        <v>34</v>
      </c>
      <c r="E2615" s="76">
        <v>23</v>
      </c>
      <c r="F2615" s="76">
        <v>5.06</v>
      </c>
    </row>
    <row r="2616" spans="1:6">
      <c r="A2616">
        <v>2680</v>
      </c>
      <c r="B2616">
        <v>212018260</v>
      </c>
      <c r="C2616" s="76">
        <v>2018</v>
      </c>
      <c r="D2616" s="76" t="s">
        <v>34</v>
      </c>
      <c r="E2616" s="76">
        <v>50</v>
      </c>
      <c r="F2616" s="76">
        <v>10</v>
      </c>
    </row>
    <row r="2617" spans="1:6">
      <c r="A2617">
        <v>2684</v>
      </c>
      <c r="B2617">
        <v>212018260</v>
      </c>
      <c r="C2617" s="76">
        <v>2018</v>
      </c>
      <c r="D2617" s="76" t="s">
        <v>34</v>
      </c>
      <c r="E2617" s="76" t="s">
        <v>32</v>
      </c>
      <c r="F2617" s="76">
        <v>2</v>
      </c>
    </row>
    <row r="2618" spans="1:6">
      <c r="A2618">
        <v>2688</v>
      </c>
      <c r="B2618">
        <v>212018270</v>
      </c>
      <c r="C2618" s="76">
        <v>2018</v>
      </c>
      <c r="D2618" s="76" t="s">
        <v>31</v>
      </c>
      <c r="E2618" s="76" t="s">
        <v>32</v>
      </c>
      <c r="F2618" s="76">
        <v>0.19</v>
      </c>
    </row>
    <row r="2619" spans="1:6">
      <c r="A2619">
        <v>2689</v>
      </c>
      <c r="B2619">
        <v>212018270</v>
      </c>
      <c r="C2619" s="76">
        <v>2018</v>
      </c>
      <c r="D2619" s="76" t="s">
        <v>31</v>
      </c>
      <c r="E2619" s="76" t="s">
        <v>32</v>
      </c>
      <c r="F2619" s="76">
        <v>0.39</v>
      </c>
    </row>
    <row r="2620" spans="1:6">
      <c r="A2620">
        <v>2687</v>
      </c>
      <c r="B2620">
        <v>212018270</v>
      </c>
      <c r="C2620" s="76">
        <v>2018</v>
      </c>
      <c r="D2620" s="76" t="s">
        <v>31</v>
      </c>
      <c r="E2620" s="76" t="s">
        <v>32</v>
      </c>
      <c r="F2620" s="76">
        <v>1.7</v>
      </c>
    </row>
    <row r="2621" spans="1:6">
      <c r="A2621">
        <v>2690</v>
      </c>
      <c r="B2621">
        <v>212018270</v>
      </c>
      <c r="C2621" s="76">
        <v>2018</v>
      </c>
      <c r="D2621" s="76" t="s">
        <v>31</v>
      </c>
      <c r="E2621" s="76" t="s">
        <v>32</v>
      </c>
      <c r="F2621" s="76">
        <v>0.9</v>
      </c>
    </row>
    <row r="2622" spans="1:6">
      <c r="A2622">
        <v>2705</v>
      </c>
      <c r="B2622">
        <v>212019260</v>
      </c>
      <c r="C2622" s="76">
        <v>2019</v>
      </c>
      <c r="D2622" s="76" t="s">
        <v>34</v>
      </c>
      <c r="E2622" s="76">
        <v>22</v>
      </c>
      <c r="F2622" s="76">
        <v>4.4</v>
      </c>
    </row>
    <row r="2623" spans="1:6">
      <c r="A2623">
        <v>2693</v>
      </c>
      <c r="B2623">
        <v>212019260</v>
      </c>
      <c r="C2623" s="76">
        <v>2019</v>
      </c>
      <c r="D2623" s="76" t="s">
        <v>34</v>
      </c>
      <c r="E2623" s="76">
        <v>8</v>
      </c>
      <c r="F2623" s="76">
        <v>1.6</v>
      </c>
    </row>
    <row r="2624" spans="1:6">
      <c r="A2624">
        <v>2694</v>
      </c>
      <c r="B2624">
        <v>212019260</v>
      </c>
      <c r="C2624" s="76">
        <v>2019</v>
      </c>
      <c r="D2624" s="76" t="s">
        <v>34</v>
      </c>
      <c r="E2624" s="76">
        <v>9</v>
      </c>
      <c r="F2624" s="76">
        <v>1.8</v>
      </c>
    </row>
    <row r="2625" spans="1:6">
      <c r="A2625">
        <v>2706</v>
      </c>
      <c r="B2625">
        <v>212019260</v>
      </c>
      <c r="C2625" s="76">
        <v>2019</v>
      </c>
      <c r="D2625" s="76" t="s">
        <v>34</v>
      </c>
      <c r="E2625" s="76">
        <v>12</v>
      </c>
      <c r="F2625" s="76">
        <v>2.8</v>
      </c>
    </row>
    <row r="2626" spans="1:6">
      <c r="A2626">
        <v>2709</v>
      </c>
      <c r="B2626">
        <v>212019260</v>
      </c>
      <c r="C2626" s="76">
        <v>2019</v>
      </c>
      <c r="D2626" s="76" t="s">
        <v>34</v>
      </c>
      <c r="E2626" s="76" t="s">
        <v>32</v>
      </c>
      <c r="F2626" s="76">
        <v>0.75</v>
      </c>
    </row>
    <row r="2627" spans="1:6">
      <c r="A2627">
        <v>2708</v>
      </c>
      <c r="B2627">
        <v>212019260</v>
      </c>
      <c r="C2627" s="76">
        <v>2019</v>
      </c>
      <c r="D2627" s="76" t="s">
        <v>34</v>
      </c>
      <c r="E2627" s="76" t="s">
        <v>32</v>
      </c>
      <c r="F2627" s="76">
        <v>5</v>
      </c>
    </row>
    <row r="2628" spans="1:6">
      <c r="A2628">
        <v>2696</v>
      </c>
      <c r="B2628">
        <v>212019260</v>
      </c>
      <c r="C2628" s="76">
        <v>2019</v>
      </c>
      <c r="D2628" s="76" t="s">
        <v>34</v>
      </c>
      <c r="E2628" s="76">
        <v>25</v>
      </c>
      <c r="F2628" s="76">
        <v>5</v>
      </c>
    </row>
    <row r="2629" spans="1:6">
      <c r="A2629">
        <v>2702</v>
      </c>
      <c r="B2629">
        <v>212019260</v>
      </c>
      <c r="C2629" s="76">
        <v>2019</v>
      </c>
      <c r="D2629" s="76" t="s">
        <v>34</v>
      </c>
      <c r="E2629" s="76" t="s">
        <v>32</v>
      </c>
      <c r="F2629" s="76">
        <v>4.2</v>
      </c>
    </row>
    <row r="2630" spans="1:6">
      <c r="A2630">
        <v>2695</v>
      </c>
      <c r="B2630">
        <v>212019260</v>
      </c>
      <c r="C2630" s="76">
        <v>2019</v>
      </c>
      <c r="D2630" s="76" t="s">
        <v>34</v>
      </c>
      <c r="E2630" s="76">
        <v>24</v>
      </c>
      <c r="F2630" s="76">
        <v>4.8</v>
      </c>
    </row>
    <row r="2631" spans="1:6">
      <c r="A2631">
        <v>2699</v>
      </c>
      <c r="B2631">
        <v>212019260</v>
      </c>
      <c r="C2631" s="76">
        <v>2019</v>
      </c>
      <c r="D2631" s="76" t="s">
        <v>34</v>
      </c>
      <c r="E2631" s="76">
        <v>21</v>
      </c>
      <c r="F2631" s="76">
        <v>3.15</v>
      </c>
    </row>
    <row r="2632" spans="1:6">
      <c r="A2632">
        <v>2703</v>
      </c>
      <c r="B2632">
        <v>212019260</v>
      </c>
      <c r="C2632" s="76">
        <v>2019</v>
      </c>
      <c r="D2632" s="76" t="s">
        <v>34</v>
      </c>
      <c r="E2632" s="76" t="s">
        <v>32</v>
      </c>
      <c r="F2632" s="76">
        <v>0.15</v>
      </c>
    </row>
    <row r="2633" spans="1:6">
      <c r="A2633">
        <v>2704</v>
      </c>
      <c r="B2633">
        <v>212019260</v>
      </c>
      <c r="C2633" s="76">
        <v>2019</v>
      </c>
      <c r="D2633" s="76" t="s">
        <v>34</v>
      </c>
      <c r="E2633" s="76">
        <v>24</v>
      </c>
      <c r="F2633" s="76">
        <v>4.8</v>
      </c>
    </row>
    <row r="2634" spans="1:6">
      <c r="A2634">
        <v>2698</v>
      </c>
      <c r="B2634">
        <v>212019260</v>
      </c>
      <c r="C2634" s="76">
        <v>2019</v>
      </c>
      <c r="D2634" s="76" t="s">
        <v>34</v>
      </c>
      <c r="E2634" s="76">
        <v>24</v>
      </c>
      <c r="F2634" s="76">
        <v>4.8</v>
      </c>
    </row>
    <row r="2635" spans="1:6">
      <c r="A2635">
        <v>2697</v>
      </c>
      <c r="B2635">
        <v>212019260</v>
      </c>
      <c r="C2635" s="76">
        <v>2019</v>
      </c>
      <c r="D2635" s="76" t="s">
        <v>34</v>
      </c>
      <c r="E2635" s="76">
        <v>59</v>
      </c>
      <c r="F2635" s="76">
        <v>22.88</v>
      </c>
    </row>
    <row r="2636" spans="1:6">
      <c r="A2636">
        <v>2701</v>
      </c>
      <c r="B2636">
        <v>212019260</v>
      </c>
      <c r="C2636" s="76">
        <v>2019</v>
      </c>
      <c r="D2636" s="76" t="s">
        <v>34</v>
      </c>
      <c r="E2636" s="76" t="s">
        <v>32</v>
      </c>
      <c r="F2636" s="76">
        <v>4.95</v>
      </c>
    </row>
    <row r="2637" spans="1:6">
      <c r="A2637">
        <v>2700</v>
      </c>
      <c r="B2637">
        <v>212019260</v>
      </c>
      <c r="C2637" s="76">
        <v>2019</v>
      </c>
      <c r="D2637" s="76" t="s">
        <v>34</v>
      </c>
      <c r="E2637" s="76" t="s">
        <v>32</v>
      </c>
      <c r="F2637" s="76">
        <v>4.8</v>
      </c>
    </row>
    <row r="2638" spans="1:6">
      <c r="A2638">
        <v>2707</v>
      </c>
      <c r="B2638">
        <v>212019260</v>
      </c>
      <c r="C2638" s="76">
        <v>2019</v>
      </c>
      <c r="D2638" s="76" t="s">
        <v>34</v>
      </c>
      <c r="E2638" s="76">
        <v>5</v>
      </c>
      <c r="F2638" s="76">
        <v>1.25</v>
      </c>
    </row>
    <row r="2639" spans="1:6">
      <c r="A2639">
        <v>2713</v>
      </c>
      <c r="B2639">
        <v>212019270</v>
      </c>
      <c r="C2639" s="76">
        <v>2019</v>
      </c>
      <c r="D2639" s="76" t="s">
        <v>31</v>
      </c>
      <c r="E2639" s="76" t="s">
        <v>32</v>
      </c>
      <c r="F2639" s="76">
        <v>1.8</v>
      </c>
    </row>
    <row r="2640" spans="1:6">
      <c r="A2640">
        <v>2712</v>
      </c>
      <c r="B2640">
        <v>212019270</v>
      </c>
      <c r="C2640" s="76">
        <v>2019</v>
      </c>
      <c r="D2640" s="76" t="s">
        <v>31</v>
      </c>
      <c r="E2640" s="76" t="s">
        <v>32</v>
      </c>
      <c r="F2640" s="76">
        <v>2</v>
      </c>
    </row>
    <row r="2641" spans="1:6">
      <c r="A2641">
        <v>2711</v>
      </c>
      <c r="B2641">
        <v>212019270</v>
      </c>
      <c r="C2641" s="76">
        <v>2019</v>
      </c>
      <c r="D2641" s="76" t="s">
        <v>31</v>
      </c>
      <c r="E2641" s="76" t="s">
        <v>32</v>
      </c>
      <c r="F2641" s="76">
        <v>1.85</v>
      </c>
    </row>
    <row r="2642" spans="1:6">
      <c r="A2642">
        <v>2716</v>
      </c>
      <c r="B2642">
        <v>212020211</v>
      </c>
      <c r="C2642" s="76">
        <v>2020</v>
      </c>
      <c r="D2642" s="76" t="s">
        <v>37</v>
      </c>
      <c r="E2642" s="76">
        <v>2</v>
      </c>
      <c r="F2642" s="76">
        <v>10</v>
      </c>
    </row>
    <row r="2643" spans="1:6">
      <c r="A2643">
        <v>2717</v>
      </c>
      <c r="B2643">
        <v>212020211</v>
      </c>
      <c r="C2643" s="76">
        <v>2020</v>
      </c>
      <c r="D2643" s="76" t="s">
        <v>37</v>
      </c>
      <c r="E2643" s="76">
        <v>2</v>
      </c>
      <c r="F2643" s="76">
        <v>70</v>
      </c>
    </row>
    <row r="2644" spans="1:6">
      <c r="A2644">
        <v>2718</v>
      </c>
      <c r="B2644">
        <v>212020221</v>
      </c>
      <c r="C2644" s="76">
        <v>2020</v>
      </c>
      <c r="D2644" s="76" t="s">
        <v>30</v>
      </c>
      <c r="E2644" s="76" t="s">
        <v>32</v>
      </c>
      <c r="F2644" s="76">
        <v>10</v>
      </c>
    </row>
    <row r="2645" spans="1:6">
      <c r="A2645">
        <v>2719</v>
      </c>
      <c r="B2645">
        <v>212020242</v>
      </c>
      <c r="C2645" s="76">
        <v>2020</v>
      </c>
      <c r="D2645" s="76" t="s">
        <v>35</v>
      </c>
      <c r="E2645" s="76">
        <v>1</v>
      </c>
      <c r="F2645" s="76">
        <v>1.8</v>
      </c>
    </row>
    <row r="2646" spans="1:6">
      <c r="A2646">
        <v>2720</v>
      </c>
      <c r="B2646">
        <v>212020243</v>
      </c>
      <c r="C2646" s="76">
        <v>2020</v>
      </c>
      <c r="D2646" s="76" t="s">
        <v>38</v>
      </c>
      <c r="E2646" s="76" t="s">
        <v>32</v>
      </c>
      <c r="F2646" s="76">
        <v>3</v>
      </c>
    </row>
    <row r="2647" spans="1:6">
      <c r="A2647">
        <v>2722</v>
      </c>
      <c r="B2647">
        <v>212020243</v>
      </c>
      <c r="C2647" s="76">
        <v>2020</v>
      </c>
      <c r="D2647" s="76" t="s">
        <v>38</v>
      </c>
      <c r="E2647" s="76" t="s">
        <v>32</v>
      </c>
      <c r="F2647" s="76">
        <v>3</v>
      </c>
    </row>
    <row r="2648" spans="1:6">
      <c r="A2648">
        <v>2721</v>
      </c>
      <c r="B2648">
        <v>212020243</v>
      </c>
      <c r="C2648" s="76">
        <v>2020</v>
      </c>
      <c r="D2648" s="76" t="s">
        <v>38</v>
      </c>
      <c r="E2648" s="76" t="s">
        <v>32</v>
      </c>
      <c r="F2648" s="76">
        <v>0.12</v>
      </c>
    </row>
    <row r="2649" spans="1:6">
      <c r="A2649">
        <v>2737</v>
      </c>
      <c r="B2649">
        <v>212020260</v>
      </c>
      <c r="C2649" s="76">
        <v>2020</v>
      </c>
      <c r="D2649" s="76" t="s">
        <v>34</v>
      </c>
      <c r="E2649" s="76">
        <v>2</v>
      </c>
      <c r="F2649" s="76">
        <v>0.4</v>
      </c>
    </row>
    <row r="2650" spans="1:6">
      <c r="A2650">
        <v>2760</v>
      </c>
      <c r="B2650">
        <v>212020260</v>
      </c>
      <c r="C2650" s="76">
        <v>2020</v>
      </c>
      <c r="D2650" s="76" t="s">
        <v>34</v>
      </c>
      <c r="E2650" s="76" t="s">
        <v>32</v>
      </c>
      <c r="F2650" s="76">
        <v>0.25</v>
      </c>
    </row>
    <row r="2651" spans="1:6">
      <c r="A2651">
        <v>2758</v>
      </c>
      <c r="B2651">
        <v>212020260</v>
      </c>
      <c r="C2651" s="76">
        <v>2020</v>
      </c>
      <c r="D2651" s="76" t="s">
        <v>34</v>
      </c>
      <c r="E2651" s="76" t="s">
        <v>32</v>
      </c>
      <c r="F2651" s="76">
        <v>0.25</v>
      </c>
    </row>
    <row r="2652" spans="1:6">
      <c r="A2652">
        <v>2739</v>
      </c>
      <c r="B2652">
        <v>212020260</v>
      </c>
      <c r="C2652" s="76">
        <v>2020</v>
      </c>
      <c r="D2652" s="76" t="s">
        <v>34</v>
      </c>
      <c r="E2652" s="76">
        <v>8</v>
      </c>
      <c r="F2652" s="76">
        <v>2</v>
      </c>
    </row>
    <row r="2653" spans="1:6">
      <c r="A2653">
        <v>2736</v>
      </c>
      <c r="B2653">
        <v>212020260</v>
      </c>
      <c r="C2653" s="76">
        <v>2020</v>
      </c>
      <c r="D2653" s="76" t="s">
        <v>34</v>
      </c>
      <c r="E2653" s="76" t="s">
        <v>32</v>
      </c>
      <c r="F2653" s="76">
        <v>3.75</v>
      </c>
    </row>
    <row r="2654" spans="1:6">
      <c r="A2654">
        <v>2754</v>
      </c>
      <c r="B2654">
        <v>212020260</v>
      </c>
      <c r="C2654" s="76">
        <v>2020</v>
      </c>
      <c r="D2654" s="76" t="s">
        <v>34</v>
      </c>
      <c r="E2654" s="76" t="s">
        <v>32</v>
      </c>
      <c r="F2654" s="76">
        <v>1.06</v>
      </c>
    </row>
    <row r="2655" spans="1:6">
      <c r="A2655">
        <v>2744</v>
      </c>
      <c r="B2655">
        <v>212020260</v>
      </c>
      <c r="C2655" s="76">
        <v>2020</v>
      </c>
      <c r="D2655" s="76" t="s">
        <v>34</v>
      </c>
      <c r="E2655" s="76">
        <v>8</v>
      </c>
      <c r="F2655" s="76">
        <v>2</v>
      </c>
    </row>
    <row r="2656" spans="1:6">
      <c r="A2656">
        <v>2755</v>
      </c>
      <c r="B2656">
        <v>212020260</v>
      </c>
      <c r="C2656" s="76">
        <v>2020</v>
      </c>
      <c r="D2656" s="76" t="s">
        <v>34</v>
      </c>
      <c r="E2656" s="76" t="s">
        <v>32</v>
      </c>
      <c r="F2656" s="76">
        <v>0.84</v>
      </c>
    </row>
    <row r="2657" spans="1:6">
      <c r="A2657">
        <v>2724</v>
      </c>
      <c r="B2657">
        <v>212020260</v>
      </c>
      <c r="C2657" s="76">
        <v>2020</v>
      </c>
      <c r="D2657" s="76" t="s">
        <v>34</v>
      </c>
      <c r="E2657" s="76">
        <v>13</v>
      </c>
      <c r="F2657" s="76">
        <v>1.95</v>
      </c>
    </row>
    <row r="2658" spans="1:6">
      <c r="A2658">
        <v>2740</v>
      </c>
      <c r="B2658">
        <v>212020260</v>
      </c>
      <c r="C2658" s="76">
        <v>2020</v>
      </c>
      <c r="D2658" s="76" t="s">
        <v>34</v>
      </c>
      <c r="E2658" s="76" t="s">
        <v>32</v>
      </c>
      <c r="F2658" s="76">
        <v>4.6</v>
      </c>
    </row>
    <row r="2659" spans="1:6">
      <c r="A2659">
        <v>2751</v>
      </c>
      <c r="B2659">
        <v>212020260</v>
      </c>
      <c r="C2659" s="76">
        <v>2020</v>
      </c>
      <c r="D2659" s="76" t="s">
        <v>34</v>
      </c>
      <c r="E2659" s="76" t="s">
        <v>32</v>
      </c>
      <c r="F2659" s="76">
        <v>4.99</v>
      </c>
    </row>
    <row r="2660" spans="1:6">
      <c r="A2660">
        <v>2738</v>
      </c>
      <c r="B2660">
        <v>212020260</v>
      </c>
      <c r="C2660" s="76">
        <v>2020</v>
      </c>
      <c r="D2660" s="76" t="s">
        <v>34</v>
      </c>
      <c r="E2660" s="76" t="s">
        <v>32</v>
      </c>
      <c r="F2660" s="76">
        <v>3.2</v>
      </c>
    </row>
    <row r="2661" spans="1:6">
      <c r="A2661">
        <v>2763</v>
      </c>
      <c r="B2661">
        <v>212020260</v>
      </c>
      <c r="C2661" s="76">
        <v>2020</v>
      </c>
      <c r="D2661" s="76" t="s">
        <v>34</v>
      </c>
      <c r="E2661" s="76" t="s">
        <v>32</v>
      </c>
      <c r="F2661" s="76">
        <v>4.95</v>
      </c>
    </row>
    <row r="2662" spans="1:6">
      <c r="A2662">
        <v>2746</v>
      </c>
      <c r="B2662">
        <v>212020260</v>
      </c>
      <c r="C2662" s="76">
        <v>2020</v>
      </c>
      <c r="D2662" s="76" t="s">
        <v>34</v>
      </c>
      <c r="E2662" s="76">
        <v>31</v>
      </c>
      <c r="F2662" s="76">
        <v>9.88</v>
      </c>
    </row>
    <row r="2663" spans="1:6">
      <c r="A2663">
        <v>2727</v>
      </c>
      <c r="B2663">
        <v>212020260</v>
      </c>
      <c r="C2663" s="76">
        <v>2020</v>
      </c>
      <c r="D2663" s="76" t="s">
        <v>34</v>
      </c>
      <c r="E2663" s="76">
        <v>11</v>
      </c>
      <c r="F2663" s="76">
        <v>6.78</v>
      </c>
    </row>
    <row r="2664" spans="1:6">
      <c r="A2664">
        <v>2734</v>
      </c>
      <c r="B2664">
        <v>212020260</v>
      </c>
      <c r="C2664" s="76">
        <v>2020</v>
      </c>
      <c r="D2664" s="76" t="s">
        <v>34</v>
      </c>
      <c r="E2664" s="76">
        <v>19</v>
      </c>
      <c r="F2664" s="76">
        <v>4.8</v>
      </c>
    </row>
    <row r="2665" spans="1:6">
      <c r="A2665">
        <v>2728</v>
      </c>
      <c r="B2665">
        <v>212020260</v>
      </c>
      <c r="C2665" s="76">
        <v>2020</v>
      </c>
      <c r="D2665" s="76" t="s">
        <v>34</v>
      </c>
      <c r="E2665" s="76">
        <v>4</v>
      </c>
      <c r="F2665" s="76">
        <v>1.2</v>
      </c>
    </row>
    <row r="2666" spans="1:6">
      <c r="A2666">
        <v>2753</v>
      </c>
      <c r="B2666">
        <v>212020260</v>
      </c>
      <c r="C2666" s="76">
        <v>2020</v>
      </c>
      <c r="D2666" s="76" t="s">
        <v>34</v>
      </c>
      <c r="E2666" s="76" t="s">
        <v>32</v>
      </c>
      <c r="F2666" s="76">
        <v>4.8</v>
      </c>
    </row>
    <row r="2667" spans="1:6">
      <c r="A2667">
        <v>2730</v>
      </c>
      <c r="B2667">
        <v>212020260</v>
      </c>
      <c r="C2667" s="76">
        <v>2020</v>
      </c>
      <c r="D2667" s="76" t="s">
        <v>34</v>
      </c>
      <c r="E2667" s="76">
        <v>24</v>
      </c>
      <c r="F2667" s="76">
        <v>4.8</v>
      </c>
    </row>
    <row r="2668" spans="1:6">
      <c r="A2668">
        <v>2761</v>
      </c>
      <c r="B2668">
        <v>212020260</v>
      </c>
      <c r="C2668" s="76">
        <v>2020</v>
      </c>
      <c r="D2668" s="76" t="s">
        <v>34</v>
      </c>
      <c r="E2668" s="76" t="s">
        <v>32</v>
      </c>
      <c r="F2668" s="76">
        <v>0.25</v>
      </c>
    </row>
    <row r="2669" spans="1:6">
      <c r="A2669">
        <v>2759</v>
      </c>
      <c r="B2669">
        <v>212020260</v>
      </c>
      <c r="C2669" s="76">
        <v>2020</v>
      </c>
      <c r="D2669" s="76" t="s">
        <v>34</v>
      </c>
      <c r="E2669" s="76" t="s">
        <v>32</v>
      </c>
      <c r="F2669" s="76">
        <v>0.25</v>
      </c>
    </row>
    <row r="2670" spans="1:6">
      <c r="A2670">
        <v>2732</v>
      </c>
      <c r="B2670">
        <v>212020260</v>
      </c>
      <c r="C2670" s="76">
        <v>2020</v>
      </c>
      <c r="D2670" s="76" t="s">
        <v>34</v>
      </c>
      <c r="E2670" s="76">
        <v>33</v>
      </c>
      <c r="F2670" s="76">
        <v>4.95</v>
      </c>
    </row>
    <row r="2671" spans="1:6">
      <c r="A2671">
        <v>2757</v>
      </c>
      <c r="B2671">
        <v>212020260</v>
      </c>
      <c r="C2671" s="76">
        <v>2020</v>
      </c>
      <c r="D2671" s="76" t="s">
        <v>34</v>
      </c>
      <c r="E2671" s="76" t="s">
        <v>32</v>
      </c>
      <c r="F2671" s="76">
        <v>0.75</v>
      </c>
    </row>
    <row r="2672" spans="1:6">
      <c r="A2672">
        <v>2756</v>
      </c>
      <c r="B2672">
        <v>212020260</v>
      </c>
      <c r="C2672" s="76">
        <v>2020</v>
      </c>
      <c r="D2672" s="76" t="s">
        <v>34</v>
      </c>
      <c r="E2672" s="76" t="s">
        <v>32</v>
      </c>
      <c r="F2672" s="76">
        <v>1.8</v>
      </c>
    </row>
    <row r="2673" spans="1:6">
      <c r="A2673">
        <v>2725</v>
      </c>
      <c r="B2673">
        <v>212020260</v>
      </c>
      <c r="C2673" s="76">
        <v>2020</v>
      </c>
      <c r="D2673" s="76" t="s">
        <v>34</v>
      </c>
      <c r="E2673" s="76">
        <v>47</v>
      </c>
      <c r="F2673" s="76">
        <v>8.35</v>
      </c>
    </row>
    <row r="2674" spans="1:6">
      <c r="A2674">
        <v>2743</v>
      </c>
      <c r="B2674">
        <v>212020260</v>
      </c>
      <c r="C2674" s="76">
        <v>2020</v>
      </c>
      <c r="D2674" s="76" t="s">
        <v>34</v>
      </c>
      <c r="E2674" s="76">
        <v>16</v>
      </c>
      <c r="F2674" s="76">
        <v>4.95</v>
      </c>
    </row>
    <row r="2675" spans="1:6">
      <c r="A2675">
        <v>2731</v>
      </c>
      <c r="B2675">
        <v>212020260</v>
      </c>
      <c r="C2675" s="76">
        <v>2020</v>
      </c>
      <c r="D2675" s="76" t="s">
        <v>34</v>
      </c>
      <c r="E2675" s="76">
        <v>20</v>
      </c>
      <c r="F2675" s="76">
        <v>4.95</v>
      </c>
    </row>
    <row r="2676" spans="1:6">
      <c r="A2676">
        <v>2723</v>
      </c>
      <c r="B2676">
        <v>212020260</v>
      </c>
      <c r="C2676" s="76">
        <v>2020</v>
      </c>
      <c r="D2676" s="76" t="s">
        <v>34</v>
      </c>
      <c r="E2676" s="76">
        <v>25</v>
      </c>
      <c r="F2676" s="76">
        <v>5</v>
      </c>
    </row>
    <row r="2677" spans="1:6">
      <c r="A2677">
        <v>2742</v>
      </c>
      <c r="B2677">
        <v>212020260</v>
      </c>
      <c r="C2677" s="76">
        <v>2020</v>
      </c>
      <c r="D2677" s="76" t="s">
        <v>34</v>
      </c>
      <c r="E2677" s="76">
        <v>24</v>
      </c>
      <c r="F2677" s="76">
        <v>4.8</v>
      </c>
    </row>
    <row r="2678" spans="1:6">
      <c r="A2678">
        <v>2733</v>
      </c>
      <c r="B2678">
        <v>212020260</v>
      </c>
      <c r="C2678" s="76">
        <v>2020</v>
      </c>
      <c r="D2678" s="76" t="s">
        <v>34</v>
      </c>
      <c r="E2678" s="76">
        <v>24</v>
      </c>
      <c r="F2678" s="76">
        <v>4.8</v>
      </c>
    </row>
    <row r="2679" spans="1:6">
      <c r="A2679">
        <v>2726</v>
      </c>
      <c r="B2679">
        <v>212020260</v>
      </c>
      <c r="C2679" s="76">
        <v>2020</v>
      </c>
      <c r="D2679" s="76" t="s">
        <v>34</v>
      </c>
      <c r="E2679" s="76">
        <v>18</v>
      </c>
      <c r="F2679" s="76">
        <v>3.6</v>
      </c>
    </row>
    <row r="2680" spans="1:6">
      <c r="A2680">
        <v>2748</v>
      </c>
      <c r="B2680">
        <v>212020260</v>
      </c>
      <c r="C2680" s="76">
        <v>2020</v>
      </c>
      <c r="D2680" s="76" t="s">
        <v>34</v>
      </c>
      <c r="E2680" s="76" t="s">
        <v>32</v>
      </c>
      <c r="F2680" s="76">
        <v>4.95</v>
      </c>
    </row>
    <row r="2681" spans="1:6">
      <c r="A2681">
        <v>2735</v>
      </c>
      <c r="B2681">
        <v>212020260</v>
      </c>
      <c r="C2681" s="76">
        <v>2020</v>
      </c>
      <c r="D2681" s="76" t="s">
        <v>34</v>
      </c>
      <c r="E2681" s="76">
        <v>22</v>
      </c>
      <c r="F2681" s="76">
        <v>4.84</v>
      </c>
    </row>
    <row r="2682" spans="1:6">
      <c r="A2682">
        <v>2741</v>
      </c>
      <c r="B2682">
        <v>212020260</v>
      </c>
      <c r="C2682" s="76">
        <v>2020</v>
      </c>
      <c r="D2682" s="76" t="s">
        <v>34</v>
      </c>
      <c r="E2682" s="76">
        <v>22</v>
      </c>
      <c r="F2682" s="76">
        <v>4.4</v>
      </c>
    </row>
    <row r="2683" spans="1:6">
      <c r="A2683">
        <v>2752</v>
      </c>
      <c r="B2683">
        <v>212020260</v>
      </c>
      <c r="C2683" s="76">
        <v>2020</v>
      </c>
      <c r="D2683" s="76" t="s">
        <v>34</v>
      </c>
      <c r="E2683" s="76" t="s">
        <v>32</v>
      </c>
      <c r="F2683" s="76">
        <v>4.4</v>
      </c>
    </row>
    <row r="2684" spans="1:6">
      <c r="A2684">
        <v>2747</v>
      </c>
      <c r="B2684">
        <v>212020260</v>
      </c>
      <c r="C2684" s="76">
        <v>2020</v>
      </c>
      <c r="D2684" s="76" t="s">
        <v>34</v>
      </c>
      <c r="E2684" s="76">
        <v>30</v>
      </c>
      <c r="F2684" s="76">
        <v>4.95</v>
      </c>
    </row>
    <row r="2685" spans="1:6">
      <c r="A2685">
        <v>2745</v>
      </c>
      <c r="B2685">
        <v>212020260</v>
      </c>
      <c r="C2685" s="76">
        <v>2020</v>
      </c>
      <c r="D2685" s="76" t="s">
        <v>34</v>
      </c>
      <c r="E2685" s="76">
        <v>3</v>
      </c>
      <c r="F2685" s="76">
        <v>0.6</v>
      </c>
    </row>
    <row r="2686" spans="1:6">
      <c r="A2686">
        <v>2762</v>
      </c>
      <c r="B2686">
        <v>212020260</v>
      </c>
      <c r="C2686" s="76">
        <v>2020</v>
      </c>
      <c r="D2686" s="76" t="s">
        <v>34</v>
      </c>
      <c r="E2686" s="76" t="s">
        <v>32</v>
      </c>
      <c r="F2686" s="76">
        <v>4.95</v>
      </c>
    </row>
    <row r="2687" spans="1:6">
      <c r="A2687">
        <v>2729</v>
      </c>
      <c r="B2687">
        <v>212020260</v>
      </c>
      <c r="C2687" s="76">
        <v>2020</v>
      </c>
      <c r="D2687" s="76" t="s">
        <v>34</v>
      </c>
      <c r="E2687" s="76">
        <v>46</v>
      </c>
      <c r="F2687" s="76">
        <v>10</v>
      </c>
    </row>
    <row r="2688" spans="1:6">
      <c r="A2688">
        <v>2749</v>
      </c>
      <c r="B2688">
        <v>212020260</v>
      </c>
      <c r="C2688" s="76">
        <v>2020</v>
      </c>
      <c r="D2688" s="76" t="s">
        <v>34</v>
      </c>
      <c r="E2688" s="76" t="s">
        <v>32</v>
      </c>
      <c r="F2688" s="76">
        <v>0.1</v>
      </c>
    </row>
    <row r="2689" spans="1:6">
      <c r="A2689">
        <v>2771</v>
      </c>
      <c r="B2689">
        <v>212020270</v>
      </c>
      <c r="C2689" s="76">
        <v>2020</v>
      </c>
      <c r="D2689" s="76" t="s">
        <v>31</v>
      </c>
      <c r="E2689" s="76" t="s">
        <v>32</v>
      </c>
      <c r="F2689" s="76">
        <v>0.35</v>
      </c>
    </row>
    <row r="2690" spans="1:6">
      <c r="A2690">
        <v>2769</v>
      </c>
      <c r="B2690">
        <v>212020270</v>
      </c>
      <c r="C2690" s="76">
        <v>2020</v>
      </c>
      <c r="D2690" s="76" t="s">
        <v>31</v>
      </c>
      <c r="E2690" s="76" t="s">
        <v>32</v>
      </c>
      <c r="F2690" s="76">
        <v>0.05</v>
      </c>
    </row>
    <row r="2691" spans="1:6">
      <c r="A2691">
        <v>2770</v>
      </c>
      <c r="B2691">
        <v>212020270</v>
      </c>
      <c r="C2691" s="76">
        <v>2020</v>
      </c>
      <c r="D2691" s="76" t="s">
        <v>31</v>
      </c>
      <c r="E2691" s="76" t="s">
        <v>32</v>
      </c>
      <c r="F2691" s="76">
        <v>0.5</v>
      </c>
    </row>
    <row r="2692" spans="1:6">
      <c r="A2692">
        <v>2767</v>
      </c>
      <c r="B2692">
        <v>212020270</v>
      </c>
      <c r="C2692" s="76">
        <v>2020</v>
      </c>
      <c r="D2692" s="76" t="s">
        <v>31</v>
      </c>
      <c r="E2692" s="76" t="s">
        <v>32</v>
      </c>
      <c r="F2692" s="76">
        <v>33.1</v>
      </c>
    </row>
    <row r="2693" spans="1:6">
      <c r="A2693">
        <v>2765</v>
      </c>
      <c r="B2693">
        <v>212020270</v>
      </c>
      <c r="C2693" s="76">
        <v>2020</v>
      </c>
      <c r="D2693" s="76" t="s">
        <v>31</v>
      </c>
      <c r="E2693" s="76" t="s">
        <v>32</v>
      </c>
      <c r="F2693" s="76">
        <v>1.07</v>
      </c>
    </row>
    <row r="2694" spans="1:6">
      <c r="A2694">
        <v>2768</v>
      </c>
      <c r="B2694">
        <v>212020270</v>
      </c>
      <c r="C2694" s="76">
        <v>2020</v>
      </c>
      <c r="D2694" s="76" t="s">
        <v>31</v>
      </c>
      <c r="E2694" s="76" t="s">
        <v>32</v>
      </c>
      <c r="F2694" s="76">
        <v>0.4</v>
      </c>
    </row>
    <row r="2695" spans="1:6">
      <c r="A2695">
        <v>2772</v>
      </c>
      <c r="B2695">
        <v>212020270</v>
      </c>
      <c r="C2695" s="76">
        <v>2020</v>
      </c>
      <c r="D2695" s="76" t="s">
        <v>31</v>
      </c>
      <c r="E2695" s="76" t="s">
        <v>32</v>
      </c>
      <c r="F2695" s="76">
        <v>1</v>
      </c>
    </row>
    <row r="2696" spans="1:6">
      <c r="A2696">
        <v>2766</v>
      </c>
      <c r="B2696">
        <v>212020270</v>
      </c>
      <c r="C2696" s="76">
        <v>2020</v>
      </c>
      <c r="D2696" s="76" t="s">
        <v>31</v>
      </c>
      <c r="E2696" s="76" t="s">
        <v>32</v>
      </c>
      <c r="F2696" s="76">
        <v>0.25</v>
      </c>
    </row>
    <row r="2697" spans="1:6">
      <c r="A2697">
        <v>2773</v>
      </c>
      <c r="B2697">
        <v>212021110</v>
      </c>
      <c r="C2697" s="76">
        <v>2021</v>
      </c>
      <c r="D2697" s="76" t="s">
        <v>40</v>
      </c>
      <c r="E2697" s="76" t="s">
        <v>32</v>
      </c>
      <c r="F2697" s="76">
        <v>0.42</v>
      </c>
    </row>
    <row r="2698" spans="1:6">
      <c r="A2698">
        <v>2774</v>
      </c>
      <c r="B2698">
        <v>212021211</v>
      </c>
      <c r="C2698" s="76">
        <v>2021</v>
      </c>
      <c r="D2698" s="76" t="s">
        <v>37</v>
      </c>
      <c r="E2698" s="76">
        <v>1</v>
      </c>
      <c r="F2698" s="76">
        <v>66</v>
      </c>
    </row>
    <row r="2699" spans="1:6">
      <c r="A2699">
        <v>2776</v>
      </c>
      <c r="B2699">
        <v>212021241</v>
      </c>
      <c r="C2699" s="76">
        <v>2021</v>
      </c>
      <c r="D2699" s="76" t="s">
        <v>33</v>
      </c>
      <c r="E2699" s="76" t="s">
        <v>32</v>
      </c>
      <c r="F2699" s="76">
        <v>0.9</v>
      </c>
    </row>
    <row r="2700" spans="1:6">
      <c r="A2700">
        <v>2777</v>
      </c>
      <c r="B2700">
        <v>212021241</v>
      </c>
      <c r="C2700" s="76">
        <v>2021</v>
      </c>
      <c r="D2700" s="76" t="s">
        <v>33</v>
      </c>
      <c r="E2700" s="76" t="s">
        <v>32</v>
      </c>
      <c r="F2700" s="76">
        <v>10</v>
      </c>
    </row>
    <row r="2701" spans="1:6">
      <c r="A2701">
        <v>2775</v>
      </c>
      <c r="B2701">
        <v>212021241</v>
      </c>
      <c r="C2701" s="76">
        <v>2021</v>
      </c>
      <c r="D2701" s="76" t="s">
        <v>33</v>
      </c>
      <c r="E2701" s="76" t="s">
        <v>32</v>
      </c>
      <c r="F2701" s="76">
        <v>0.75</v>
      </c>
    </row>
    <row r="2702" spans="1:6">
      <c r="A2702">
        <v>2785</v>
      </c>
      <c r="B2702">
        <v>212021242</v>
      </c>
      <c r="C2702" s="76">
        <v>2021</v>
      </c>
      <c r="D2702" s="76" t="s">
        <v>35</v>
      </c>
      <c r="E2702" s="76" t="s">
        <v>32</v>
      </c>
      <c r="F2702" s="76">
        <v>1.8</v>
      </c>
    </row>
    <row r="2703" spans="1:6">
      <c r="A2703">
        <v>2784</v>
      </c>
      <c r="B2703">
        <v>212021242</v>
      </c>
      <c r="C2703" s="76">
        <v>2021</v>
      </c>
      <c r="D2703" s="76" t="s">
        <v>35</v>
      </c>
      <c r="E2703" s="76" t="s">
        <v>32</v>
      </c>
      <c r="F2703" s="76">
        <v>3</v>
      </c>
    </row>
    <row r="2704" spans="1:6">
      <c r="A2704">
        <v>2781</v>
      </c>
      <c r="B2704">
        <v>212021242</v>
      </c>
      <c r="C2704" s="76">
        <v>2021</v>
      </c>
      <c r="D2704" s="76" t="s">
        <v>35</v>
      </c>
      <c r="E2704" s="76" t="s">
        <v>32</v>
      </c>
      <c r="F2704" s="76">
        <v>2.5</v>
      </c>
    </row>
    <row r="2705" spans="1:6">
      <c r="A2705">
        <v>2783</v>
      </c>
      <c r="B2705">
        <v>212021242</v>
      </c>
      <c r="C2705" s="76">
        <v>2021</v>
      </c>
      <c r="D2705" s="76" t="s">
        <v>35</v>
      </c>
      <c r="E2705" s="76" t="s">
        <v>32</v>
      </c>
      <c r="F2705" s="76">
        <v>1</v>
      </c>
    </row>
    <row r="2706" spans="1:6">
      <c r="A2706">
        <v>2782</v>
      </c>
      <c r="B2706">
        <v>212021242</v>
      </c>
      <c r="C2706" s="76">
        <v>2021</v>
      </c>
      <c r="D2706" s="76" t="s">
        <v>35</v>
      </c>
      <c r="E2706" s="76" t="s">
        <v>32</v>
      </c>
      <c r="F2706" s="76">
        <v>3</v>
      </c>
    </row>
    <row r="2707" spans="1:6">
      <c r="A2707">
        <v>2779</v>
      </c>
      <c r="B2707">
        <v>212021242</v>
      </c>
      <c r="C2707" s="76">
        <v>2021</v>
      </c>
      <c r="D2707" s="76" t="s">
        <v>35</v>
      </c>
      <c r="E2707" s="76" t="s">
        <v>32</v>
      </c>
      <c r="F2707" s="76">
        <v>6</v>
      </c>
    </row>
    <row r="2708" spans="1:6">
      <c r="A2708">
        <v>2780</v>
      </c>
      <c r="B2708">
        <v>212021242</v>
      </c>
      <c r="C2708" s="76">
        <v>2021</v>
      </c>
      <c r="D2708" s="76" t="s">
        <v>35</v>
      </c>
      <c r="E2708" s="76" t="s">
        <v>32</v>
      </c>
      <c r="F2708" s="76">
        <v>3</v>
      </c>
    </row>
    <row r="2709" spans="1:6">
      <c r="A2709">
        <v>2789</v>
      </c>
      <c r="B2709">
        <v>212021243</v>
      </c>
      <c r="C2709" s="76">
        <v>2021</v>
      </c>
      <c r="D2709" s="76" t="s">
        <v>38</v>
      </c>
      <c r="E2709" s="76" t="s">
        <v>32</v>
      </c>
      <c r="F2709" s="76">
        <v>3</v>
      </c>
    </row>
    <row r="2710" spans="1:6">
      <c r="A2710">
        <v>2786</v>
      </c>
      <c r="B2710">
        <v>212021243</v>
      </c>
      <c r="C2710" s="76">
        <v>2021</v>
      </c>
      <c r="D2710" s="76" t="s">
        <v>38</v>
      </c>
      <c r="E2710" s="76" t="s">
        <v>32</v>
      </c>
      <c r="F2710" s="76">
        <v>3</v>
      </c>
    </row>
    <row r="2711" spans="1:6">
      <c r="A2711">
        <v>2787</v>
      </c>
      <c r="B2711">
        <v>212021243</v>
      </c>
      <c r="C2711" s="76">
        <v>2021</v>
      </c>
      <c r="D2711" s="76" t="s">
        <v>38</v>
      </c>
      <c r="E2711" s="76" t="s">
        <v>32</v>
      </c>
      <c r="F2711" s="76">
        <v>0.9</v>
      </c>
    </row>
    <row r="2712" spans="1:6">
      <c r="A2712">
        <v>2788</v>
      </c>
      <c r="B2712">
        <v>212021243</v>
      </c>
      <c r="C2712" s="76">
        <v>2021</v>
      </c>
      <c r="D2712" s="76" t="s">
        <v>38</v>
      </c>
      <c r="E2712" s="76" t="s">
        <v>32</v>
      </c>
      <c r="F2712" s="76">
        <v>3.5</v>
      </c>
    </row>
    <row r="2713" spans="1:6">
      <c r="A2713">
        <v>2790</v>
      </c>
      <c r="B2713">
        <v>212021250</v>
      </c>
      <c r="C2713" s="76">
        <v>2021</v>
      </c>
      <c r="D2713" s="76" t="s">
        <v>44</v>
      </c>
      <c r="E2713" s="76">
        <v>1</v>
      </c>
      <c r="F2713" s="76">
        <v>111.88</v>
      </c>
    </row>
    <row r="2714" spans="1:6">
      <c r="A2714">
        <v>2805</v>
      </c>
      <c r="B2714">
        <v>212021260</v>
      </c>
      <c r="C2714" s="76">
        <v>2021</v>
      </c>
      <c r="D2714" s="76" t="s">
        <v>34</v>
      </c>
      <c r="E2714" s="76" t="s">
        <v>32</v>
      </c>
      <c r="F2714" s="76">
        <v>0.65</v>
      </c>
    </row>
    <row r="2715" spans="1:6">
      <c r="A2715">
        <v>2816</v>
      </c>
      <c r="B2715">
        <v>212021260</v>
      </c>
      <c r="C2715" s="76">
        <v>2021</v>
      </c>
      <c r="D2715" s="76" t="s">
        <v>34</v>
      </c>
      <c r="E2715" s="76" t="s">
        <v>32</v>
      </c>
      <c r="F2715" s="76">
        <v>0.65</v>
      </c>
    </row>
    <row r="2716" spans="1:6">
      <c r="A2716">
        <v>2804</v>
      </c>
      <c r="B2716">
        <v>212021260</v>
      </c>
      <c r="C2716" s="76">
        <v>2021</v>
      </c>
      <c r="D2716" s="76" t="s">
        <v>34</v>
      </c>
      <c r="E2716" s="76" t="s">
        <v>32</v>
      </c>
      <c r="F2716" s="76">
        <v>0.65</v>
      </c>
    </row>
    <row r="2717" spans="1:6">
      <c r="A2717">
        <v>2815</v>
      </c>
      <c r="B2717">
        <v>212021260</v>
      </c>
      <c r="C2717" s="76">
        <v>2021</v>
      </c>
      <c r="D2717" s="76" t="s">
        <v>34</v>
      </c>
      <c r="E2717" s="76" t="s">
        <v>32</v>
      </c>
      <c r="F2717" s="76">
        <v>0.65</v>
      </c>
    </row>
    <row r="2718" spans="1:6">
      <c r="A2718">
        <v>2794</v>
      </c>
      <c r="B2718">
        <v>212021260</v>
      </c>
      <c r="C2718" s="76">
        <v>2021</v>
      </c>
      <c r="D2718" s="76" t="s">
        <v>34</v>
      </c>
      <c r="E2718" s="76" t="s">
        <v>32</v>
      </c>
      <c r="F2718" s="76">
        <v>0.75</v>
      </c>
    </row>
    <row r="2719" spans="1:6">
      <c r="A2719">
        <v>2801</v>
      </c>
      <c r="B2719">
        <v>212021260</v>
      </c>
      <c r="C2719" s="76">
        <v>2021</v>
      </c>
      <c r="D2719" s="76" t="s">
        <v>34</v>
      </c>
      <c r="E2719" s="76" t="s">
        <v>32</v>
      </c>
      <c r="F2719" s="76">
        <v>0.5</v>
      </c>
    </row>
    <row r="2720" spans="1:6">
      <c r="A2720">
        <v>2817</v>
      </c>
      <c r="B2720">
        <v>212021260</v>
      </c>
      <c r="C2720" s="76">
        <v>2021</v>
      </c>
      <c r="D2720" s="76" t="s">
        <v>34</v>
      </c>
      <c r="E2720" s="76" t="s">
        <v>32</v>
      </c>
      <c r="F2720" s="76">
        <v>0.65</v>
      </c>
    </row>
    <row r="2721" spans="1:6">
      <c r="A2721">
        <v>2809</v>
      </c>
      <c r="B2721">
        <v>212021260</v>
      </c>
      <c r="C2721" s="76">
        <v>2021</v>
      </c>
      <c r="D2721" s="76" t="s">
        <v>34</v>
      </c>
      <c r="E2721" s="76" t="s">
        <v>32</v>
      </c>
      <c r="F2721" s="76">
        <v>1.25</v>
      </c>
    </row>
    <row r="2722" spans="1:6">
      <c r="A2722">
        <v>2810</v>
      </c>
      <c r="B2722">
        <v>212021260</v>
      </c>
      <c r="C2722" s="76">
        <v>2021</v>
      </c>
      <c r="D2722" s="76" t="s">
        <v>34</v>
      </c>
      <c r="E2722" s="76" t="s">
        <v>32</v>
      </c>
      <c r="F2722" s="76">
        <v>1.25</v>
      </c>
    </row>
    <row r="2723" spans="1:6">
      <c r="A2723">
        <v>2811</v>
      </c>
      <c r="B2723">
        <v>212021260</v>
      </c>
      <c r="C2723" s="76">
        <v>2021</v>
      </c>
      <c r="D2723" s="76" t="s">
        <v>34</v>
      </c>
      <c r="E2723" s="76" t="s">
        <v>32</v>
      </c>
      <c r="F2723" s="76">
        <v>1.25</v>
      </c>
    </row>
    <row r="2724" spans="1:6">
      <c r="A2724">
        <v>2812</v>
      </c>
      <c r="B2724">
        <v>212021260</v>
      </c>
      <c r="C2724" s="76">
        <v>2021</v>
      </c>
      <c r="D2724" s="76" t="s">
        <v>34</v>
      </c>
      <c r="E2724" s="76" t="s">
        <v>32</v>
      </c>
      <c r="F2724" s="76">
        <v>1.25</v>
      </c>
    </row>
    <row r="2725" spans="1:6">
      <c r="A2725">
        <v>2813</v>
      </c>
      <c r="B2725">
        <v>212021260</v>
      </c>
      <c r="C2725" s="76">
        <v>2021</v>
      </c>
      <c r="D2725" s="76" t="s">
        <v>34</v>
      </c>
      <c r="E2725" s="76" t="s">
        <v>32</v>
      </c>
      <c r="F2725" s="76">
        <v>1.25</v>
      </c>
    </row>
    <row r="2726" spans="1:6">
      <c r="A2726">
        <v>2818</v>
      </c>
      <c r="B2726">
        <v>212021260</v>
      </c>
      <c r="C2726" s="76">
        <v>2021</v>
      </c>
      <c r="D2726" s="76" t="s">
        <v>34</v>
      </c>
      <c r="E2726" s="76" t="s">
        <v>32</v>
      </c>
      <c r="F2726" s="76">
        <v>1</v>
      </c>
    </row>
    <row r="2727" spans="1:6">
      <c r="A2727">
        <v>2814</v>
      </c>
      <c r="B2727">
        <v>212021260</v>
      </c>
      <c r="C2727" s="76">
        <v>2021</v>
      </c>
      <c r="D2727" s="76" t="s">
        <v>34</v>
      </c>
      <c r="E2727" s="76" t="s">
        <v>32</v>
      </c>
      <c r="F2727" s="76">
        <v>1.25</v>
      </c>
    </row>
    <row r="2728" spans="1:6">
      <c r="A2728">
        <v>2824</v>
      </c>
      <c r="B2728">
        <v>212021260</v>
      </c>
      <c r="C2728" s="76">
        <v>2021</v>
      </c>
      <c r="D2728" s="76" t="s">
        <v>34</v>
      </c>
      <c r="E2728" s="76" t="s">
        <v>32</v>
      </c>
      <c r="F2728" s="76">
        <v>30</v>
      </c>
    </row>
    <row r="2729" spans="1:6">
      <c r="A2729">
        <v>2792</v>
      </c>
      <c r="B2729">
        <v>212021260</v>
      </c>
      <c r="C2729" s="76">
        <v>2021</v>
      </c>
      <c r="D2729" s="76" t="s">
        <v>34</v>
      </c>
      <c r="E2729" s="76">
        <v>5</v>
      </c>
      <c r="F2729" s="76">
        <v>1.5</v>
      </c>
    </row>
    <row r="2730" spans="1:6">
      <c r="A2730">
        <v>2823</v>
      </c>
      <c r="B2730">
        <v>212021260</v>
      </c>
      <c r="C2730" s="76">
        <v>2021</v>
      </c>
      <c r="D2730" s="76" t="s">
        <v>34</v>
      </c>
      <c r="E2730" s="76">
        <v>19</v>
      </c>
      <c r="F2730" s="76">
        <v>10</v>
      </c>
    </row>
    <row r="2731" spans="1:6">
      <c r="A2731">
        <v>2803</v>
      </c>
      <c r="B2731">
        <v>212021260</v>
      </c>
      <c r="C2731" s="76">
        <v>2021</v>
      </c>
      <c r="D2731" s="76" t="s">
        <v>34</v>
      </c>
      <c r="E2731" s="76" t="s">
        <v>32</v>
      </c>
      <c r="F2731" s="76">
        <v>0.99</v>
      </c>
    </row>
    <row r="2732" spans="1:6">
      <c r="A2732">
        <v>2796</v>
      </c>
      <c r="B2732">
        <v>212021260</v>
      </c>
      <c r="C2732" s="76">
        <v>2021</v>
      </c>
      <c r="D2732" s="76" t="s">
        <v>34</v>
      </c>
      <c r="E2732" s="76" t="s">
        <v>32</v>
      </c>
      <c r="F2732" s="76">
        <v>0.25</v>
      </c>
    </row>
    <row r="2733" spans="1:6">
      <c r="A2733">
        <v>2793</v>
      </c>
      <c r="B2733">
        <v>212021260</v>
      </c>
      <c r="C2733" s="76">
        <v>2021</v>
      </c>
      <c r="D2733" s="76" t="s">
        <v>34</v>
      </c>
      <c r="E2733" s="76" t="s">
        <v>32</v>
      </c>
      <c r="F2733" s="76">
        <v>0.75</v>
      </c>
    </row>
    <row r="2734" spans="1:6">
      <c r="A2734">
        <v>2802</v>
      </c>
      <c r="B2734">
        <v>212021260</v>
      </c>
      <c r="C2734" s="76">
        <v>2021</v>
      </c>
      <c r="D2734" s="76" t="s">
        <v>34</v>
      </c>
      <c r="E2734" s="76" t="s">
        <v>32</v>
      </c>
      <c r="F2734" s="76">
        <v>0.5</v>
      </c>
    </row>
    <row r="2735" spans="1:6">
      <c r="A2735">
        <v>2821</v>
      </c>
      <c r="B2735">
        <v>212021260</v>
      </c>
      <c r="C2735" s="76">
        <v>2021</v>
      </c>
      <c r="D2735" s="76" t="s">
        <v>34</v>
      </c>
      <c r="E2735" s="76" t="s">
        <v>32</v>
      </c>
      <c r="F2735" s="76">
        <v>1</v>
      </c>
    </row>
    <row r="2736" spans="1:6">
      <c r="A2736">
        <v>2800</v>
      </c>
      <c r="B2736">
        <v>212021260</v>
      </c>
      <c r="C2736" s="76">
        <v>2021</v>
      </c>
      <c r="D2736" s="76" t="s">
        <v>34</v>
      </c>
      <c r="E2736" s="76" t="s">
        <v>32</v>
      </c>
      <c r="F2736" s="76">
        <v>0.75</v>
      </c>
    </row>
    <row r="2737" spans="1:6">
      <c r="A2737">
        <v>2798</v>
      </c>
      <c r="B2737">
        <v>212021260</v>
      </c>
      <c r="C2737" s="76">
        <v>2021</v>
      </c>
      <c r="D2737" s="76" t="s">
        <v>34</v>
      </c>
      <c r="E2737" s="76" t="s">
        <v>32</v>
      </c>
      <c r="F2737" s="76">
        <v>0.75</v>
      </c>
    </row>
    <row r="2738" spans="1:6">
      <c r="A2738">
        <v>2819</v>
      </c>
      <c r="B2738">
        <v>212021260</v>
      </c>
      <c r="C2738" s="76">
        <v>2021</v>
      </c>
      <c r="D2738" s="76" t="s">
        <v>34</v>
      </c>
      <c r="E2738" s="76" t="s">
        <v>32</v>
      </c>
      <c r="F2738" s="76">
        <v>0.66</v>
      </c>
    </row>
    <row r="2739" spans="1:6">
      <c r="A2739">
        <v>2806</v>
      </c>
      <c r="B2739">
        <v>212021260</v>
      </c>
      <c r="C2739" s="76">
        <v>2021</v>
      </c>
      <c r="D2739" s="76" t="s">
        <v>34</v>
      </c>
      <c r="E2739" s="76" t="s">
        <v>32</v>
      </c>
      <c r="F2739" s="76">
        <v>1.5</v>
      </c>
    </row>
    <row r="2740" spans="1:6">
      <c r="A2740">
        <v>2807</v>
      </c>
      <c r="B2740">
        <v>212021260</v>
      </c>
      <c r="C2740" s="76">
        <v>2021</v>
      </c>
      <c r="D2740" s="76" t="s">
        <v>34</v>
      </c>
      <c r="E2740" s="76" t="s">
        <v>32</v>
      </c>
      <c r="F2740" s="76">
        <v>0.9</v>
      </c>
    </row>
    <row r="2741" spans="1:6">
      <c r="A2741">
        <v>2808</v>
      </c>
      <c r="B2741">
        <v>212021260</v>
      </c>
      <c r="C2741" s="76">
        <v>2021</v>
      </c>
      <c r="D2741" s="76" t="s">
        <v>34</v>
      </c>
      <c r="E2741" s="76" t="s">
        <v>32</v>
      </c>
      <c r="F2741" s="76">
        <v>0.4</v>
      </c>
    </row>
    <row r="2742" spans="1:6">
      <c r="A2742">
        <v>2797</v>
      </c>
      <c r="B2742">
        <v>212021260</v>
      </c>
      <c r="C2742" s="76">
        <v>2021</v>
      </c>
      <c r="D2742" s="76" t="s">
        <v>34</v>
      </c>
      <c r="E2742" s="76">
        <v>14</v>
      </c>
      <c r="F2742" s="76">
        <v>4.2</v>
      </c>
    </row>
    <row r="2743" spans="1:6">
      <c r="A2743">
        <v>2795</v>
      </c>
      <c r="B2743">
        <v>212021260</v>
      </c>
      <c r="C2743" s="76">
        <v>2021</v>
      </c>
      <c r="D2743" s="76" t="s">
        <v>34</v>
      </c>
      <c r="E2743" s="76">
        <v>14</v>
      </c>
      <c r="F2743" s="76">
        <v>2.8</v>
      </c>
    </row>
    <row r="2744" spans="1:6">
      <c r="A2744">
        <v>2791</v>
      </c>
      <c r="B2744">
        <v>212021260</v>
      </c>
      <c r="C2744" s="76">
        <v>2021</v>
      </c>
      <c r="D2744" s="76" t="s">
        <v>34</v>
      </c>
      <c r="E2744" s="76">
        <v>6</v>
      </c>
      <c r="F2744" s="76">
        <v>1.2</v>
      </c>
    </row>
    <row r="2745" spans="1:6">
      <c r="A2745">
        <v>2799</v>
      </c>
      <c r="B2745">
        <v>212021260</v>
      </c>
      <c r="C2745" s="76">
        <v>2021</v>
      </c>
      <c r="D2745" s="76" t="s">
        <v>34</v>
      </c>
      <c r="E2745" s="76">
        <v>15</v>
      </c>
      <c r="F2745" s="76">
        <v>4.95</v>
      </c>
    </row>
    <row r="2746" spans="1:6">
      <c r="A2746">
        <v>2820</v>
      </c>
      <c r="B2746">
        <v>212021260</v>
      </c>
      <c r="C2746" s="76">
        <v>2021</v>
      </c>
      <c r="D2746" s="76" t="s">
        <v>34</v>
      </c>
      <c r="E2746" s="76" t="s">
        <v>32</v>
      </c>
      <c r="F2746" s="76">
        <v>1</v>
      </c>
    </row>
    <row r="2747" spans="1:6">
      <c r="A2747">
        <v>2842</v>
      </c>
      <c r="B2747">
        <v>212021270</v>
      </c>
      <c r="C2747" s="76">
        <v>2021</v>
      </c>
      <c r="D2747" s="76" t="s">
        <v>31</v>
      </c>
      <c r="E2747" s="76" t="s">
        <v>32</v>
      </c>
      <c r="F2747" s="76">
        <v>1.07</v>
      </c>
    </row>
    <row r="2748" spans="1:6">
      <c r="A2748">
        <v>2841</v>
      </c>
      <c r="B2748">
        <v>212021270</v>
      </c>
      <c r="C2748" s="76">
        <v>2021</v>
      </c>
      <c r="D2748" s="76" t="s">
        <v>31</v>
      </c>
      <c r="E2748" s="76" t="s">
        <v>32</v>
      </c>
      <c r="F2748" s="76">
        <v>1.25</v>
      </c>
    </row>
    <row r="2749" spans="1:6">
      <c r="A2749">
        <v>2828</v>
      </c>
      <c r="B2749">
        <v>212021270</v>
      </c>
      <c r="C2749" s="76">
        <v>2021</v>
      </c>
      <c r="D2749" s="76" t="s">
        <v>31</v>
      </c>
      <c r="E2749" s="76" t="s">
        <v>32</v>
      </c>
      <c r="F2749" s="76">
        <v>0.01</v>
      </c>
    </row>
    <row r="2750" spans="1:6">
      <c r="A2750">
        <v>2831</v>
      </c>
      <c r="B2750">
        <v>212021270</v>
      </c>
      <c r="C2750" s="76">
        <v>2021</v>
      </c>
      <c r="D2750" s="76" t="s">
        <v>31</v>
      </c>
      <c r="E2750" s="76" t="s">
        <v>32</v>
      </c>
      <c r="F2750" s="76">
        <v>1.2</v>
      </c>
    </row>
    <row r="2751" spans="1:6">
      <c r="A2751">
        <v>2838</v>
      </c>
      <c r="B2751">
        <v>212021270</v>
      </c>
      <c r="C2751" s="76">
        <v>2021</v>
      </c>
      <c r="D2751" s="76" t="s">
        <v>31</v>
      </c>
      <c r="E2751" s="76" t="s">
        <v>32</v>
      </c>
      <c r="F2751" s="76">
        <v>10</v>
      </c>
    </row>
    <row r="2752" spans="1:6">
      <c r="A2752">
        <v>2837</v>
      </c>
      <c r="B2752">
        <v>212021270</v>
      </c>
      <c r="C2752" s="76">
        <v>2021</v>
      </c>
      <c r="D2752" s="76" t="s">
        <v>31</v>
      </c>
      <c r="E2752" s="76" t="s">
        <v>32</v>
      </c>
      <c r="F2752" s="76">
        <v>7</v>
      </c>
    </row>
    <row r="2753" spans="1:6">
      <c r="A2753">
        <v>2829</v>
      </c>
      <c r="B2753">
        <v>212021270</v>
      </c>
      <c r="C2753" s="76">
        <v>2021</v>
      </c>
      <c r="D2753" s="76" t="s">
        <v>31</v>
      </c>
      <c r="E2753" s="76" t="s">
        <v>32</v>
      </c>
      <c r="F2753" s="76">
        <v>0.9</v>
      </c>
    </row>
    <row r="2754" spans="1:6">
      <c r="A2754">
        <v>2836</v>
      </c>
      <c r="B2754">
        <v>212021270</v>
      </c>
      <c r="C2754" s="76">
        <v>2021</v>
      </c>
      <c r="D2754" s="76" t="s">
        <v>31</v>
      </c>
      <c r="E2754" s="76" t="s">
        <v>32</v>
      </c>
      <c r="F2754" s="76">
        <v>0.71</v>
      </c>
    </row>
    <row r="2755" spans="1:6">
      <c r="A2755">
        <v>2826</v>
      </c>
      <c r="B2755">
        <v>212021270</v>
      </c>
      <c r="C2755" s="76">
        <v>2021</v>
      </c>
      <c r="D2755" s="76" t="s">
        <v>31</v>
      </c>
      <c r="E2755" s="76" t="s">
        <v>32</v>
      </c>
      <c r="F2755" s="76">
        <v>7.5</v>
      </c>
    </row>
    <row r="2756" spans="1:6">
      <c r="A2756">
        <v>2825</v>
      </c>
      <c r="B2756">
        <v>212021270</v>
      </c>
      <c r="C2756" s="76">
        <v>2021</v>
      </c>
      <c r="D2756" s="76" t="s">
        <v>31</v>
      </c>
      <c r="E2756" s="76" t="s">
        <v>32</v>
      </c>
      <c r="F2756" s="76">
        <v>1</v>
      </c>
    </row>
    <row r="2757" spans="1:6">
      <c r="A2757">
        <v>2835</v>
      </c>
      <c r="B2757">
        <v>212021270</v>
      </c>
      <c r="C2757" s="76">
        <v>2021</v>
      </c>
      <c r="D2757" s="76" t="s">
        <v>31</v>
      </c>
      <c r="E2757" s="76" t="s">
        <v>32</v>
      </c>
      <c r="F2757" s="76">
        <v>0.6</v>
      </c>
    </row>
    <row r="2758" spans="1:6">
      <c r="A2758">
        <v>2830</v>
      </c>
      <c r="B2758">
        <v>212021270</v>
      </c>
      <c r="C2758" s="76">
        <v>2021</v>
      </c>
      <c r="D2758" s="76" t="s">
        <v>31</v>
      </c>
      <c r="E2758" s="76" t="s">
        <v>32</v>
      </c>
      <c r="F2758" s="76">
        <v>1</v>
      </c>
    </row>
    <row r="2759" spans="1:6">
      <c r="A2759">
        <v>2832</v>
      </c>
      <c r="B2759">
        <v>212021270</v>
      </c>
      <c r="C2759" s="76">
        <v>2021</v>
      </c>
      <c r="D2759" s="76" t="s">
        <v>31</v>
      </c>
      <c r="E2759" s="76" t="s">
        <v>32</v>
      </c>
      <c r="F2759" s="76">
        <v>0.6</v>
      </c>
    </row>
    <row r="2760" spans="1:6">
      <c r="A2760">
        <v>2833</v>
      </c>
      <c r="B2760">
        <v>212021270</v>
      </c>
      <c r="C2760" s="76">
        <v>2021</v>
      </c>
      <c r="D2760" s="76" t="s">
        <v>31</v>
      </c>
      <c r="E2760" s="76" t="s">
        <v>32</v>
      </c>
      <c r="F2760" s="76">
        <v>0.57</v>
      </c>
    </row>
    <row r="2761" spans="1:6">
      <c r="A2761">
        <v>2834</v>
      </c>
      <c r="B2761">
        <v>212021270</v>
      </c>
      <c r="C2761" s="76">
        <v>2021</v>
      </c>
      <c r="D2761" s="76" t="s">
        <v>31</v>
      </c>
      <c r="E2761" s="76" t="s">
        <v>32</v>
      </c>
      <c r="F2761" s="76">
        <v>0.57</v>
      </c>
    </row>
    <row r="2762" spans="1:6">
      <c r="A2762">
        <v>2840</v>
      </c>
      <c r="B2762">
        <v>212021270</v>
      </c>
      <c r="C2762" s="76">
        <v>2021</v>
      </c>
      <c r="D2762" s="76" t="s">
        <v>31</v>
      </c>
      <c r="E2762" s="76" t="s">
        <v>32</v>
      </c>
      <c r="F2762" s="76">
        <v>2.64</v>
      </c>
    </row>
    <row r="2763" spans="1:6">
      <c r="A2763">
        <v>2839</v>
      </c>
      <c r="B2763">
        <v>212021270</v>
      </c>
      <c r="C2763" s="76">
        <v>2021</v>
      </c>
      <c r="D2763" s="76" t="s">
        <v>31</v>
      </c>
      <c r="E2763" s="76" t="s">
        <v>32</v>
      </c>
      <c r="F2763" s="76">
        <v>4</v>
      </c>
    </row>
    <row r="2764" spans="1:6">
      <c r="A2764">
        <v>2845</v>
      </c>
      <c r="B2764">
        <v>222012110</v>
      </c>
      <c r="C2764">
        <v>2012</v>
      </c>
      <c r="D2764" t="s">
        <v>40</v>
      </c>
      <c r="E2764">
        <v>52</v>
      </c>
      <c r="F2764">
        <v>4.04</v>
      </c>
    </row>
    <row r="2765" spans="1:6">
      <c r="A2765">
        <v>2844</v>
      </c>
      <c r="B2765">
        <v>222012110</v>
      </c>
      <c r="C2765">
        <v>2012</v>
      </c>
      <c r="D2765" t="s">
        <v>40</v>
      </c>
      <c r="E2765">
        <v>1</v>
      </c>
      <c r="F2765">
        <v>0.3</v>
      </c>
    </row>
    <row r="2766" spans="1:6">
      <c r="A2766">
        <v>2848</v>
      </c>
      <c r="B2766">
        <v>222012110</v>
      </c>
      <c r="C2766">
        <v>2012</v>
      </c>
      <c r="D2766" t="s">
        <v>40</v>
      </c>
      <c r="E2766">
        <v>15</v>
      </c>
      <c r="F2766">
        <v>1</v>
      </c>
    </row>
    <row r="2767" spans="1:6">
      <c r="A2767">
        <v>2847</v>
      </c>
      <c r="B2767">
        <v>222012110</v>
      </c>
      <c r="C2767">
        <v>2012</v>
      </c>
      <c r="D2767" t="s">
        <v>40</v>
      </c>
      <c r="E2767">
        <v>4</v>
      </c>
      <c r="F2767">
        <v>1.2</v>
      </c>
    </row>
    <row r="2768" spans="1:6">
      <c r="A2768">
        <v>2843</v>
      </c>
      <c r="B2768">
        <v>222012110</v>
      </c>
      <c r="C2768">
        <v>2012</v>
      </c>
      <c r="D2768" t="s">
        <v>40</v>
      </c>
      <c r="E2768">
        <v>3</v>
      </c>
      <c r="F2768">
        <v>0.63</v>
      </c>
    </row>
    <row r="2769" spans="1:6">
      <c r="A2769">
        <v>2846</v>
      </c>
      <c r="B2769">
        <v>222012110</v>
      </c>
      <c r="C2769">
        <v>2012</v>
      </c>
      <c r="D2769" t="s">
        <v>40</v>
      </c>
      <c r="E2769">
        <v>19</v>
      </c>
      <c r="F2769">
        <v>1.35</v>
      </c>
    </row>
    <row r="2770" spans="1:6">
      <c r="A2770">
        <v>2850</v>
      </c>
      <c r="B2770">
        <v>222012211</v>
      </c>
      <c r="C2770">
        <v>2012</v>
      </c>
      <c r="D2770" t="s">
        <v>37</v>
      </c>
      <c r="E2770">
        <v>2</v>
      </c>
      <c r="F2770">
        <v>2.4</v>
      </c>
    </row>
    <row r="2771" spans="1:6">
      <c r="A2771">
        <v>2851</v>
      </c>
      <c r="B2771">
        <v>222012211</v>
      </c>
      <c r="C2771">
        <v>2012</v>
      </c>
      <c r="D2771" t="s">
        <v>37</v>
      </c>
      <c r="E2771">
        <v>1</v>
      </c>
      <c r="F2771">
        <v>0.3</v>
      </c>
    </row>
    <row r="2772" spans="1:6">
      <c r="A2772">
        <v>2849</v>
      </c>
      <c r="B2772">
        <v>222012211</v>
      </c>
      <c r="C2772">
        <v>2012</v>
      </c>
      <c r="D2772" t="s">
        <v>37</v>
      </c>
      <c r="E2772">
        <v>1</v>
      </c>
      <c r="F2772">
        <v>35</v>
      </c>
    </row>
    <row r="2773" spans="1:6">
      <c r="A2773">
        <v>2852</v>
      </c>
      <c r="B2773">
        <v>222012212</v>
      </c>
      <c r="C2773">
        <v>2012</v>
      </c>
      <c r="D2773" t="s">
        <v>39</v>
      </c>
      <c r="E2773">
        <v>2</v>
      </c>
      <c r="F2773">
        <v>66</v>
      </c>
    </row>
    <row r="2774" spans="1:6">
      <c r="A2774">
        <v>2854</v>
      </c>
      <c r="B2774">
        <v>222012241</v>
      </c>
      <c r="C2774">
        <v>2012</v>
      </c>
      <c r="D2774" t="s">
        <v>33</v>
      </c>
      <c r="E2774">
        <v>1</v>
      </c>
      <c r="F2774">
        <v>0.45</v>
      </c>
    </row>
    <row r="2775" spans="1:6">
      <c r="A2775">
        <v>2853</v>
      </c>
      <c r="B2775">
        <v>222012241</v>
      </c>
      <c r="C2775">
        <v>2012</v>
      </c>
      <c r="D2775" t="s">
        <v>33</v>
      </c>
      <c r="E2775">
        <v>2</v>
      </c>
      <c r="F2775">
        <v>5</v>
      </c>
    </row>
    <row r="2776" spans="1:6">
      <c r="A2776">
        <v>2855</v>
      </c>
      <c r="B2776">
        <v>222012241</v>
      </c>
      <c r="C2776">
        <v>2012</v>
      </c>
      <c r="D2776" t="s">
        <v>33</v>
      </c>
      <c r="E2776">
        <v>1</v>
      </c>
      <c r="F2776">
        <v>0.6</v>
      </c>
    </row>
    <row r="2777" spans="1:6">
      <c r="A2777">
        <v>2856</v>
      </c>
      <c r="B2777">
        <v>222012243</v>
      </c>
      <c r="C2777">
        <v>2012</v>
      </c>
      <c r="D2777" t="s">
        <v>38</v>
      </c>
      <c r="E2777">
        <v>1</v>
      </c>
      <c r="F2777">
        <v>1.5</v>
      </c>
    </row>
    <row r="2778" spans="1:6">
      <c r="A2778">
        <v>2861</v>
      </c>
      <c r="B2778">
        <v>222012260</v>
      </c>
      <c r="C2778">
        <v>2012</v>
      </c>
      <c r="D2778" t="s">
        <v>34</v>
      </c>
      <c r="E2778">
        <v>32</v>
      </c>
      <c r="F2778">
        <v>4.9</v>
      </c>
    </row>
    <row r="2779" spans="1:6">
      <c r="A2779">
        <v>2862</v>
      </c>
      <c r="B2779">
        <v>222012260</v>
      </c>
      <c r="C2779">
        <v>2012</v>
      </c>
      <c r="D2779" t="s">
        <v>34</v>
      </c>
      <c r="E2779">
        <v>25</v>
      </c>
      <c r="F2779">
        <v>4.95</v>
      </c>
    </row>
    <row r="2780" spans="1:6">
      <c r="A2780">
        <v>2863</v>
      </c>
      <c r="B2780">
        <v>222012260</v>
      </c>
      <c r="C2780">
        <v>2012</v>
      </c>
      <c r="D2780" t="s">
        <v>34</v>
      </c>
      <c r="E2780">
        <v>25</v>
      </c>
      <c r="F2780">
        <v>4.95</v>
      </c>
    </row>
    <row r="2781" spans="1:6">
      <c r="A2781">
        <v>2860</v>
      </c>
      <c r="B2781">
        <v>222012260</v>
      </c>
      <c r="C2781">
        <v>2012</v>
      </c>
      <c r="D2781" t="s">
        <v>34</v>
      </c>
      <c r="E2781">
        <v>33</v>
      </c>
      <c r="F2781">
        <v>4.95</v>
      </c>
    </row>
    <row r="2782" spans="1:6">
      <c r="A2782">
        <v>2858</v>
      </c>
      <c r="B2782">
        <v>222012260</v>
      </c>
      <c r="C2782">
        <v>2012</v>
      </c>
      <c r="D2782" t="s">
        <v>34</v>
      </c>
      <c r="E2782">
        <v>33</v>
      </c>
      <c r="F2782">
        <v>4.95</v>
      </c>
    </row>
    <row r="2783" spans="1:6">
      <c r="A2783">
        <v>2859</v>
      </c>
      <c r="B2783">
        <v>222012260</v>
      </c>
      <c r="C2783">
        <v>2012</v>
      </c>
      <c r="D2783" t="s">
        <v>34</v>
      </c>
      <c r="E2783">
        <v>33</v>
      </c>
      <c r="F2783">
        <v>4.95</v>
      </c>
    </row>
    <row r="2784" spans="1:6">
      <c r="A2784">
        <v>2864</v>
      </c>
      <c r="B2784">
        <v>222012260</v>
      </c>
      <c r="C2784">
        <v>2012</v>
      </c>
      <c r="D2784" t="s">
        <v>34</v>
      </c>
      <c r="E2784">
        <v>27</v>
      </c>
      <c r="F2784">
        <v>4.95</v>
      </c>
    </row>
    <row r="2785" spans="1:6">
      <c r="A2785">
        <v>2857</v>
      </c>
      <c r="B2785">
        <v>222012260</v>
      </c>
      <c r="C2785">
        <v>2012</v>
      </c>
      <c r="D2785" t="s">
        <v>34</v>
      </c>
      <c r="E2785">
        <v>49</v>
      </c>
      <c r="F2785">
        <v>4.8</v>
      </c>
    </row>
    <row r="2786" spans="1:6">
      <c r="A2786">
        <v>2865</v>
      </c>
      <c r="B2786">
        <v>222013110</v>
      </c>
      <c r="C2786">
        <v>2013</v>
      </c>
      <c r="D2786" t="s">
        <v>40</v>
      </c>
      <c r="E2786">
        <v>4</v>
      </c>
      <c r="F2786">
        <v>3.2</v>
      </c>
    </row>
    <row r="2787" spans="1:6">
      <c r="A2787">
        <v>2867</v>
      </c>
      <c r="B2787">
        <v>222013211</v>
      </c>
      <c r="C2787">
        <v>2013</v>
      </c>
      <c r="D2787" t="s">
        <v>37</v>
      </c>
      <c r="E2787">
        <v>2</v>
      </c>
      <c r="F2787">
        <v>5</v>
      </c>
    </row>
    <row r="2788" spans="1:6">
      <c r="A2788">
        <v>2868</v>
      </c>
      <c r="B2788">
        <v>222013211</v>
      </c>
      <c r="C2788">
        <v>2013</v>
      </c>
      <c r="D2788" t="s">
        <v>37</v>
      </c>
      <c r="E2788">
        <v>1</v>
      </c>
      <c r="F2788">
        <v>4</v>
      </c>
    </row>
    <row r="2789" spans="1:6">
      <c r="A2789">
        <v>2870</v>
      </c>
      <c r="B2789">
        <v>222013241</v>
      </c>
      <c r="C2789">
        <v>2013</v>
      </c>
      <c r="D2789" t="s">
        <v>33</v>
      </c>
      <c r="E2789">
        <v>1</v>
      </c>
      <c r="F2789">
        <v>0.75</v>
      </c>
    </row>
    <row r="2790" spans="1:6">
      <c r="A2790">
        <v>2869</v>
      </c>
      <c r="B2790">
        <v>222013241</v>
      </c>
      <c r="C2790">
        <v>2013</v>
      </c>
      <c r="D2790" t="s">
        <v>33</v>
      </c>
      <c r="E2790">
        <v>1</v>
      </c>
      <c r="F2790">
        <v>0.6</v>
      </c>
    </row>
    <row r="2791" spans="1:6">
      <c r="A2791">
        <v>2876</v>
      </c>
      <c r="B2791">
        <v>222013260</v>
      </c>
      <c r="C2791">
        <v>2013</v>
      </c>
      <c r="D2791" t="s">
        <v>34</v>
      </c>
      <c r="E2791">
        <v>33</v>
      </c>
      <c r="F2791">
        <v>4.95</v>
      </c>
    </row>
    <row r="2792" spans="1:6">
      <c r="A2792">
        <v>2878</v>
      </c>
      <c r="B2792">
        <v>222013260</v>
      </c>
      <c r="C2792">
        <v>2013</v>
      </c>
      <c r="D2792" t="s">
        <v>34</v>
      </c>
      <c r="E2792">
        <v>15</v>
      </c>
      <c r="F2792">
        <v>3</v>
      </c>
    </row>
    <row r="2793" spans="1:6">
      <c r="A2793">
        <v>2877</v>
      </c>
      <c r="B2793">
        <v>222013260</v>
      </c>
      <c r="C2793">
        <v>2013</v>
      </c>
      <c r="D2793" t="s">
        <v>34</v>
      </c>
      <c r="E2793">
        <v>33</v>
      </c>
      <c r="F2793">
        <v>4.95</v>
      </c>
    </row>
    <row r="2794" spans="1:6">
      <c r="A2794">
        <v>2879</v>
      </c>
      <c r="B2794">
        <v>222013260</v>
      </c>
      <c r="C2794">
        <v>2013</v>
      </c>
      <c r="D2794" t="s">
        <v>34</v>
      </c>
      <c r="E2794">
        <v>25</v>
      </c>
      <c r="F2794">
        <v>4.95</v>
      </c>
    </row>
    <row r="2795" spans="1:6">
      <c r="A2795">
        <v>2872</v>
      </c>
      <c r="B2795">
        <v>222013260</v>
      </c>
      <c r="C2795">
        <v>2013</v>
      </c>
      <c r="D2795" t="s">
        <v>34</v>
      </c>
      <c r="E2795">
        <v>25</v>
      </c>
      <c r="F2795">
        <v>4.95</v>
      </c>
    </row>
    <row r="2796" spans="1:6">
      <c r="A2796">
        <v>2873</v>
      </c>
      <c r="B2796">
        <v>222013260</v>
      </c>
      <c r="C2796">
        <v>2013</v>
      </c>
      <c r="D2796" t="s">
        <v>34</v>
      </c>
      <c r="E2796">
        <v>25</v>
      </c>
      <c r="F2796">
        <v>4.95</v>
      </c>
    </row>
    <row r="2797" spans="1:6">
      <c r="A2797">
        <v>2875</v>
      </c>
      <c r="B2797">
        <v>222013260</v>
      </c>
      <c r="C2797">
        <v>2013</v>
      </c>
      <c r="D2797" t="s">
        <v>34</v>
      </c>
      <c r="E2797">
        <v>33</v>
      </c>
      <c r="F2797">
        <v>4.95</v>
      </c>
    </row>
    <row r="2798" spans="1:6">
      <c r="A2798">
        <v>2874</v>
      </c>
      <c r="B2798">
        <v>222013260</v>
      </c>
      <c r="C2798">
        <v>2013</v>
      </c>
      <c r="D2798" t="s">
        <v>34</v>
      </c>
      <c r="E2798">
        <v>33</v>
      </c>
      <c r="F2798">
        <v>4.95</v>
      </c>
    </row>
    <row r="2799" spans="1:6">
      <c r="A2799">
        <v>2871</v>
      </c>
      <c r="B2799">
        <v>222013260</v>
      </c>
      <c r="C2799">
        <v>2013</v>
      </c>
      <c r="D2799" t="s">
        <v>34</v>
      </c>
      <c r="E2799">
        <v>25</v>
      </c>
      <c r="F2799">
        <v>5</v>
      </c>
    </row>
    <row r="2800" spans="1:6">
      <c r="A2800">
        <v>2880</v>
      </c>
      <c r="B2800">
        <v>222013270</v>
      </c>
      <c r="C2800">
        <v>2013</v>
      </c>
      <c r="D2800" t="s">
        <v>31</v>
      </c>
      <c r="E2800" t="s">
        <v>32</v>
      </c>
      <c r="F2800">
        <v>1</v>
      </c>
    </row>
    <row r="2801" spans="1:6">
      <c r="A2801">
        <v>2881</v>
      </c>
      <c r="B2801">
        <v>222014110</v>
      </c>
      <c r="C2801">
        <v>2014</v>
      </c>
      <c r="D2801" t="s">
        <v>40</v>
      </c>
      <c r="F2801">
        <v>6.45</v>
      </c>
    </row>
    <row r="2802" spans="1:6">
      <c r="A2802">
        <v>2883</v>
      </c>
      <c r="B2802">
        <v>222014211</v>
      </c>
      <c r="C2802">
        <v>2014</v>
      </c>
      <c r="D2802" t="s">
        <v>37</v>
      </c>
      <c r="E2802">
        <v>1</v>
      </c>
      <c r="F2802">
        <v>66</v>
      </c>
    </row>
    <row r="2803" spans="1:6">
      <c r="A2803">
        <v>2882</v>
      </c>
      <c r="B2803">
        <v>222014211</v>
      </c>
      <c r="C2803">
        <v>2014</v>
      </c>
      <c r="D2803" t="s">
        <v>37</v>
      </c>
      <c r="E2803">
        <v>1</v>
      </c>
      <c r="F2803">
        <v>4</v>
      </c>
    </row>
    <row r="2804" spans="1:6">
      <c r="A2804">
        <v>2886</v>
      </c>
      <c r="B2804">
        <v>222014241</v>
      </c>
      <c r="C2804">
        <v>2014</v>
      </c>
      <c r="D2804" t="s">
        <v>33</v>
      </c>
      <c r="E2804">
        <v>1</v>
      </c>
      <c r="F2804">
        <v>2.5</v>
      </c>
    </row>
    <row r="2805" spans="1:6">
      <c r="A2805">
        <v>2885</v>
      </c>
      <c r="B2805">
        <v>222014241</v>
      </c>
      <c r="C2805">
        <v>2014</v>
      </c>
      <c r="D2805" t="s">
        <v>33</v>
      </c>
      <c r="E2805">
        <v>1</v>
      </c>
      <c r="F2805">
        <v>3</v>
      </c>
    </row>
    <row r="2806" spans="1:6">
      <c r="A2806">
        <v>2884</v>
      </c>
      <c r="B2806">
        <v>222014241</v>
      </c>
      <c r="C2806">
        <v>2014</v>
      </c>
      <c r="D2806" t="s">
        <v>33</v>
      </c>
      <c r="E2806">
        <v>1</v>
      </c>
      <c r="F2806">
        <v>0.6</v>
      </c>
    </row>
    <row r="2807" spans="1:6">
      <c r="A2807">
        <v>2887</v>
      </c>
      <c r="B2807">
        <v>222014242</v>
      </c>
      <c r="C2807">
        <v>2014</v>
      </c>
      <c r="D2807" t="s">
        <v>35</v>
      </c>
      <c r="E2807">
        <v>1</v>
      </c>
      <c r="F2807">
        <v>1.5</v>
      </c>
    </row>
    <row r="2808" spans="1:6">
      <c r="A2808">
        <v>2890</v>
      </c>
      <c r="B2808">
        <v>222014243</v>
      </c>
      <c r="C2808">
        <v>2014</v>
      </c>
      <c r="D2808" t="s">
        <v>38</v>
      </c>
      <c r="E2808">
        <v>1</v>
      </c>
      <c r="F2808">
        <v>1.5</v>
      </c>
    </row>
    <row r="2809" spans="1:6">
      <c r="A2809">
        <v>2889</v>
      </c>
      <c r="B2809">
        <v>222014243</v>
      </c>
      <c r="C2809">
        <v>2014</v>
      </c>
      <c r="D2809" t="s">
        <v>38</v>
      </c>
      <c r="E2809">
        <v>3</v>
      </c>
      <c r="F2809">
        <v>3</v>
      </c>
    </row>
    <row r="2810" spans="1:6">
      <c r="A2810">
        <v>2888</v>
      </c>
      <c r="B2810">
        <v>222014243</v>
      </c>
      <c r="C2810">
        <v>2014</v>
      </c>
      <c r="D2810" t="s">
        <v>38</v>
      </c>
      <c r="E2810">
        <v>1</v>
      </c>
      <c r="F2810">
        <v>3</v>
      </c>
    </row>
    <row r="2811" spans="1:6">
      <c r="A2811">
        <v>2898</v>
      </c>
      <c r="B2811">
        <v>222014260</v>
      </c>
      <c r="C2811">
        <v>2014</v>
      </c>
      <c r="D2811" t="s">
        <v>34</v>
      </c>
      <c r="E2811">
        <v>10</v>
      </c>
      <c r="F2811">
        <v>1</v>
      </c>
    </row>
    <row r="2812" spans="1:6">
      <c r="A2812">
        <v>2893</v>
      </c>
      <c r="B2812">
        <v>222014260</v>
      </c>
      <c r="C2812">
        <v>2014</v>
      </c>
      <c r="D2812" t="s">
        <v>34</v>
      </c>
      <c r="E2812">
        <v>33</v>
      </c>
      <c r="F2812">
        <v>4.95</v>
      </c>
    </row>
    <row r="2813" spans="1:6">
      <c r="A2813">
        <v>2896</v>
      </c>
      <c r="B2813">
        <v>222014260</v>
      </c>
      <c r="C2813">
        <v>2014</v>
      </c>
      <c r="D2813" t="s">
        <v>34</v>
      </c>
      <c r="E2813">
        <v>26</v>
      </c>
      <c r="F2813">
        <v>4.95</v>
      </c>
    </row>
    <row r="2814" spans="1:6">
      <c r="A2814">
        <v>2894</v>
      </c>
      <c r="B2814">
        <v>222014260</v>
      </c>
      <c r="C2814">
        <v>2014</v>
      </c>
      <c r="D2814" t="s">
        <v>34</v>
      </c>
      <c r="E2814">
        <v>33</v>
      </c>
      <c r="F2814">
        <v>4.95</v>
      </c>
    </row>
    <row r="2815" spans="1:6">
      <c r="A2815">
        <v>2897</v>
      </c>
      <c r="B2815">
        <v>222014260</v>
      </c>
      <c r="C2815">
        <v>2014</v>
      </c>
      <c r="D2815" t="s">
        <v>34</v>
      </c>
      <c r="E2815">
        <v>24</v>
      </c>
      <c r="F2815">
        <v>4.8</v>
      </c>
    </row>
    <row r="2816" spans="1:6">
      <c r="A2816">
        <v>2892</v>
      </c>
      <c r="B2816">
        <v>222014260</v>
      </c>
      <c r="C2816">
        <v>2014</v>
      </c>
      <c r="D2816" t="s">
        <v>34</v>
      </c>
      <c r="E2816">
        <v>33</v>
      </c>
      <c r="F2816">
        <v>4.95</v>
      </c>
    </row>
    <row r="2817" spans="1:6">
      <c r="A2817">
        <v>2891</v>
      </c>
      <c r="B2817">
        <v>222014260</v>
      </c>
      <c r="C2817">
        <v>2014</v>
      </c>
      <c r="D2817" t="s">
        <v>34</v>
      </c>
      <c r="E2817">
        <v>25</v>
      </c>
      <c r="F2817">
        <v>5</v>
      </c>
    </row>
    <row r="2818" spans="1:6">
      <c r="A2818">
        <v>2895</v>
      </c>
      <c r="B2818">
        <v>222014260</v>
      </c>
      <c r="C2818">
        <v>2014</v>
      </c>
      <c r="D2818" t="s">
        <v>34</v>
      </c>
      <c r="E2818">
        <v>33</v>
      </c>
      <c r="F2818">
        <v>4.95</v>
      </c>
    </row>
    <row r="2819" spans="1:6">
      <c r="A2819">
        <v>2900</v>
      </c>
      <c r="B2819">
        <v>222014270</v>
      </c>
      <c r="C2819">
        <v>2014</v>
      </c>
      <c r="D2819" t="s">
        <v>31</v>
      </c>
      <c r="E2819">
        <v>9</v>
      </c>
      <c r="F2819">
        <v>0.96</v>
      </c>
    </row>
    <row r="2820" spans="1:6">
      <c r="A2820">
        <v>2899</v>
      </c>
      <c r="B2820">
        <v>222014270</v>
      </c>
      <c r="C2820">
        <v>2014</v>
      </c>
      <c r="D2820" t="s">
        <v>31</v>
      </c>
      <c r="E2820">
        <v>82</v>
      </c>
      <c r="F2820">
        <v>4.99</v>
      </c>
    </row>
    <row r="2821" spans="1:6">
      <c r="A2821">
        <v>2901</v>
      </c>
      <c r="B2821">
        <v>222015110</v>
      </c>
      <c r="C2821">
        <v>2015</v>
      </c>
      <c r="D2821" t="s">
        <v>40</v>
      </c>
      <c r="E2821" t="s">
        <v>32</v>
      </c>
      <c r="F2821">
        <v>0.04</v>
      </c>
    </row>
    <row r="2822" spans="1:6">
      <c r="A2822">
        <v>2906</v>
      </c>
      <c r="B2822">
        <v>222015241</v>
      </c>
      <c r="C2822">
        <v>2015</v>
      </c>
      <c r="D2822" t="s">
        <v>33</v>
      </c>
      <c r="E2822" t="s">
        <v>32</v>
      </c>
      <c r="F2822">
        <v>0.3</v>
      </c>
    </row>
    <row r="2823" spans="1:6">
      <c r="A2823">
        <v>2905</v>
      </c>
      <c r="B2823">
        <v>222015241</v>
      </c>
      <c r="C2823">
        <v>2015</v>
      </c>
      <c r="D2823" t="s">
        <v>33</v>
      </c>
      <c r="E2823" t="s">
        <v>32</v>
      </c>
      <c r="F2823">
        <v>0.6</v>
      </c>
    </row>
    <row r="2824" spans="1:6">
      <c r="A2824">
        <v>2904</v>
      </c>
      <c r="B2824">
        <v>222015241</v>
      </c>
      <c r="C2824">
        <v>2015</v>
      </c>
      <c r="D2824" t="s">
        <v>33</v>
      </c>
      <c r="E2824" t="s">
        <v>32</v>
      </c>
      <c r="F2824">
        <v>5</v>
      </c>
    </row>
    <row r="2825" spans="1:6">
      <c r="A2825">
        <v>2903</v>
      </c>
      <c r="B2825">
        <v>222015241</v>
      </c>
      <c r="C2825">
        <v>2015</v>
      </c>
      <c r="D2825" t="s">
        <v>33</v>
      </c>
      <c r="E2825">
        <v>1</v>
      </c>
      <c r="F2825">
        <v>0.6</v>
      </c>
    </row>
    <row r="2826" spans="1:6">
      <c r="A2826">
        <v>2907</v>
      </c>
      <c r="B2826">
        <v>222015241</v>
      </c>
      <c r="C2826">
        <v>2015</v>
      </c>
      <c r="D2826" t="s">
        <v>33</v>
      </c>
      <c r="E2826" t="s">
        <v>32</v>
      </c>
      <c r="F2826">
        <v>1.5</v>
      </c>
    </row>
    <row r="2827" spans="1:6">
      <c r="A2827">
        <v>2902</v>
      </c>
      <c r="B2827">
        <v>222015241</v>
      </c>
      <c r="C2827">
        <v>2015</v>
      </c>
      <c r="D2827" t="s">
        <v>33</v>
      </c>
      <c r="E2827">
        <v>1</v>
      </c>
      <c r="F2827">
        <v>0.2</v>
      </c>
    </row>
    <row r="2828" spans="1:6">
      <c r="A2828">
        <v>2909</v>
      </c>
      <c r="B2828">
        <v>222015243</v>
      </c>
      <c r="C2828">
        <v>2015</v>
      </c>
      <c r="D2828" t="s">
        <v>38</v>
      </c>
      <c r="E2828" t="s">
        <v>32</v>
      </c>
      <c r="F2828">
        <v>3</v>
      </c>
    </row>
    <row r="2829" spans="1:6">
      <c r="A2829">
        <v>2908</v>
      </c>
      <c r="B2829">
        <v>222015243</v>
      </c>
      <c r="C2829">
        <v>2015</v>
      </c>
      <c r="D2829" t="s">
        <v>38</v>
      </c>
      <c r="E2829">
        <v>1</v>
      </c>
      <c r="F2829">
        <v>3</v>
      </c>
    </row>
    <row r="2830" spans="1:6">
      <c r="A2830">
        <v>2926</v>
      </c>
      <c r="B2830">
        <v>222015260</v>
      </c>
      <c r="C2830">
        <v>2015</v>
      </c>
      <c r="D2830" t="s">
        <v>34</v>
      </c>
      <c r="E2830" t="s">
        <v>32</v>
      </c>
      <c r="F2830">
        <v>1</v>
      </c>
    </row>
    <row r="2831" spans="1:6">
      <c r="A2831">
        <v>2912</v>
      </c>
      <c r="B2831">
        <v>222015260</v>
      </c>
      <c r="C2831">
        <v>2015</v>
      </c>
      <c r="D2831" t="s">
        <v>34</v>
      </c>
      <c r="E2831" t="s">
        <v>32</v>
      </c>
      <c r="F2831">
        <v>0.01</v>
      </c>
    </row>
    <row r="2832" spans="1:6">
      <c r="A2832">
        <v>2924</v>
      </c>
      <c r="B2832">
        <v>222015260</v>
      </c>
      <c r="C2832">
        <v>2015</v>
      </c>
      <c r="D2832" t="s">
        <v>34</v>
      </c>
      <c r="E2832" t="s">
        <v>32</v>
      </c>
      <c r="F2832">
        <v>9.9</v>
      </c>
    </row>
    <row r="2833" spans="1:6">
      <c r="A2833">
        <v>2925</v>
      </c>
      <c r="B2833">
        <v>222015260</v>
      </c>
      <c r="C2833">
        <v>2015</v>
      </c>
      <c r="D2833" t="s">
        <v>34</v>
      </c>
      <c r="E2833" t="s">
        <v>32</v>
      </c>
      <c r="F2833">
        <v>3.3</v>
      </c>
    </row>
    <row r="2834" spans="1:6">
      <c r="A2834">
        <v>2911</v>
      </c>
      <c r="B2834">
        <v>222015260</v>
      </c>
      <c r="C2834">
        <v>2015</v>
      </c>
      <c r="D2834" t="s">
        <v>34</v>
      </c>
      <c r="E2834">
        <v>33</v>
      </c>
      <c r="F2834">
        <v>4.95</v>
      </c>
    </row>
    <row r="2835" spans="1:6">
      <c r="A2835">
        <v>2910</v>
      </c>
      <c r="B2835">
        <v>222015260</v>
      </c>
      <c r="C2835">
        <v>2015</v>
      </c>
      <c r="D2835" t="s">
        <v>34</v>
      </c>
      <c r="E2835">
        <v>33</v>
      </c>
      <c r="F2835">
        <v>4.95</v>
      </c>
    </row>
    <row r="2836" spans="1:6">
      <c r="A2836">
        <v>2913</v>
      </c>
      <c r="B2836">
        <v>222015260</v>
      </c>
      <c r="C2836">
        <v>2015</v>
      </c>
      <c r="D2836" t="s">
        <v>34</v>
      </c>
      <c r="E2836">
        <v>25</v>
      </c>
      <c r="F2836">
        <v>5</v>
      </c>
    </row>
    <row r="2837" spans="1:6">
      <c r="A2837">
        <v>2914</v>
      </c>
      <c r="B2837">
        <v>222015260</v>
      </c>
      <c r="C2837">
        <v>2015</v>
      </c>
      <c r="D2837" t="s">
        <v>34</v>
      </c>
      <c r="E2837">
        <v>25</v>
      </c>
      <c r="F2837">
        <v>5</v>
      </c>
    </row>
    <row r="2838" spans="1:6">
      <c r="A2838">
        <v>2915</v>
      </c>
      <c r="B2838">
        <v>222015260</v>
      </c>
      <c r="C2838">
        <v>2015</v>
      </c>
      <c r="D2838" t="s">
        <v>34</v>
      </c>
      <c r="E2838">
        <v>24</v>
      </c>
      <c r="F2838">
        <v>4.8</v>
      </c>
    </row>
    <row r="2839" spans="1:6">
      <c r="A2839">
        <v>2918</v>
      </c>
      <c r="B2839">
        <v>222015260</v>
      </c>
      <c r="C2839">
        <v>2015</v>
      </c>
      <c r="D2839" t="s">
        <v>34</v>
      </c>
      <c r="E2839">
        <v>33</v>
      </c>
      <c r="F2839">
        <v>4.95</v>
      </c>
    </row>
    <row r="2840" spans="1:6">
      <c r="A2840">
        <v>2916</v>
      </c>
      <c r="B2840">
        <v>222015260</v>
      </c>
      <c r="C2840">
        <v>2015</v>
      </c>
      <c r="D2840" t="s">
        <v>34</v>
      </c>
      <c r="E2840">
        <v>33</v>
      </c>
      <c r="F2840">
        <v>4.95</v>
      </c>
    </row>
    <row r="2841" spans="1:6">
      <c r="A2841">
        <v>2917</v>
      </c>
      <c r="B2841">
        <v>222015260</v>
      </c>
      <c r="C2841">
        <v>2015</v>
      </c>
      <c r="D2841" t="s">
        <v>34</v>
      </c>
      <c r="E2841">
        <v>33</v>
      </c>
      <c r="F2841">
        <v>4.95</v>
      </c>
    </row>
    <row r="2842" spans="1:6">
      <c r="A2842">
        <v>2919</v>
      </c>
      <c r="B2842">
        <v>222015260</v>
      </c>
      <c r="C2842">
        <v>2015</v>
      </c>
      <c r="D2842" t="s">
        <v>34</v>
      </c>
      <c r="E2842">
        <v>33</v>
      </c>
      <c r="F2842">
        <v>4.95</v>
      </c>
    </row>
    <row r="2843" spans="1:6">
      <c r="A2843">
        <v>2920</v>
      </c>
      <c r="B2843">
        <v>222015260</v>
      </c>
      <c r="C2843">
        <v>2015</v>
      </c>
      <c r="D2843" t="s">
        <v>34</v>
      </c>
      <c r="E2843">
        <v>33</v>
      </c>
      <c r="F2843">
        <v>4.95</v>
      </c>
    </row>
    <row r="2844" spans="1:6">
      <c r="A2844">
        <v>2921</v>
      </c>
      <c r="B2844">
        <v>222015260</v>
      </c>
      <c r="C2844">
        <v>2015</v>
      </c>
      <c r="D2844" t="s">
        <v>34</v>
      </c>
      <c r="E2844">
        <v>33</v>
      </c>
      <c r="F2844">
        <v>4.95</v>
      </c>
    </row>
    <row r="2845" spans="1:6">
      <c r="A2845">
        <v>2922</v>
      </c>
      <c r="B2845">
        <v>222015260</v>
      </c>
      <c r="C2845">
        <v>2015</v>
      </c>
      <c r="D2845" t="s">
        <v>34</v>
      </c>
      <c r="E2845">
        <v>33</v>
      </c>
      <c r="F2845">
        <v>4.95</v>
      </c>
    </row>
    <row r="2846" spans="1:6">
      <c r="A2846">
        <v>2923</v>
      </c>
      <c r="B2846">
        <v>222015260</v>
      </c>
      <c r="C2846">
        <v>2015</v>
      </c>
      <c r="D2846" t="s">
        <v>34</v>
      </c>
      <c r="E2846">
        <v>33</v>
      </c>
      <c r="F2846">
        <v>4.95</v>
      </c>
    </row>
    <row r="2847" spans="1:6">
      <c r="A2847">
        <v>2927</v>
      </c>
      <c r="B2847">
        <v>222015260</v>
      </c>
      <c r="C2847">
        <v>2015</v>
      </c>
      <c r="D2847" t="s">
        <v>34</v>
      </c>
      <c r="E2847" t="s">
        <v>32</v>
      </c>
      <c r="F2847">
        <v>4.95</v>
      </c>
    </row>
    <row r="2848" spans="1:6">
      <c r="A2848">
        <v>2928</v>
      </c>
      <c r="B2848">
        <v>222015260</v>
      </c>
      <c r="C2848">
        <v>2015</v>
      </c>
      <c r="D2848" t="s">
        <v>34</v>
      </c>
      <c r="E2848" t="s">
        <v>32</v>
      </c>
      <c r="F2848">
        <v>4.95</v>
      </c>
    </row>
    <row r="2849" spans="1:6">
      <c r="A2849">
        <v>2931</v>
      </c>
      <c r="B2849">
        <v>222016241</v>
      </c>
      <c r="C2849" s="76">
        <v>2016</v>
      </c>
      <c r="D2849" s="76" t="s">
        <v>33</v>
      </c>
      <c r="E2849" s="76" t="s">
        <v>32</v>
      </c>
      <c r="F2849" s="76">
        <v>5</v>
      </c>
    </row>
    <row r="2850" spans="1:6">
      <c r="A2850">
        <v>2930</v>
      </c>
      <c r="B2850">
        <v>222016241</v>
      </c>
      <c r="C2850" s="76">
        <v>2016</v>
      </c>
      <c r="D2850" s="76" t="s">
        <v>33</v>
      </c>
      <c r="E2850" s="76" t="s">
        <v>32</v>
      </c>
      <c r="F2850" s="76">
        <v>2.5</v>
      </c>
    </row>
    <row r="2851" spans="1:6">
      <c r="A2851">
        <v>2932</v>
      </c>
      <c r="B2851">
        <v>222016243</v>
      </c>
      <c r="C2851" s="76">
        <v>2016</v>
      </c>
      <c r="D2851" s="76" t="s">
        <v>38</v>
      </c>
      <c r="E2851" s="76" t="s">
        <v>32</v>
      </c>
      <c r="F2851" s="76">
        <v>3</v>
      </c>
    </row>
    <row r="2852" spans="1:6">
      <c r="A2852">
        <v>2935</v>
      </c>
      <c r="B2852">
        <v>222016260</v>
      </c>
      <c r="C2852" s="76">
        <v>2016</v>
      </c>
      <c r="D2852" s="76" t="s">
        <v>34</v>
      </c>
      <c r="E2852" s="76" t="s">
        <v>32</v>
      </c>
      <c r="F2852" s="76">
        <v>1.8</v>
      </c>
    </row>
    <row r="2853" spans="1:6">
      <c r="A2853">
        <v>2933</v>
      </c>
      <c r="B2853">
        <v>222016260</v>
      </c>
      <c r="C2853" s="76">
        <v>2016</v>
      </c>
      <c r="D2853" s="76" t="s">
        <v>34</v>
      </c>
      <c r="E2853" s="76" t="s">
        <v>32</v>
      </c>
      <c r="F2853" s="76">
        <v>4.95</v>
      </c>
    </row>
    <row r="2854" spans="1:6">
      <c r="A2854">
        <v>2936</v>
      </c>
      <c r="B2854">
        <v>222016260</v>
      </c>
      <c r="C2854" s="76">
        <v>2016</v>
      </c>
      <c r="D2854" s="76" t="s">
        <v>34</v>
      </c>
      <c r="E2854" s="76">
        <v>33</v>
      </c>
      <c r="F2854" s="76">
        <v>4.95</v>
      </c>
    </row>
    <row r="2855" spans="1:6">
      <c r="A2855">
        <v>2937</v>
      </c>
      <c r="B2855">
        <v>222016260</v>
      </c>
      <c r="C2855" s="76">
        <v>2016</v>
      </c>
      <c r="D2855" s="76" t="s">
        <v>34</v>
      </c>
      <c r="E2855" s="76">
        <v>33</v>
      </c>
      <c r="F2855" s="76">
        <v>4.95</v>
      </c>
    </row>
    <row r="2856" spans="1:6">
      <c r="A2856">
        <v>2934</v>
      </c>
      <c r="B2856">
        <v>222016260</v>
      </c>
      <c r="C2856" s="76">
        <v>2016</v>
      </c>
      <c r="D2856" s="76" t="s">
        <v>34</v>
      </c>
      <c r="E2856" s="76" t="s">
        <v>32</v>
      </c>
      <c r="F2856" s="76">
        <v>4.95</v>
      </c>
    </row>
    <row r="2857" spans="1:6">
      <c r="A2857">
        <v>2943</v>
      </c>
      <c r="B2857">
        <v>222016270</v>
      </c>
      <c r="C2857" s="76">
        <v>2016</v>
      </c>
      <c r="D2857" s="76" t="s">
        <v>31</v>
      </c>
      <c r="E2857" s="76" t="s">
        <v>32</v>
      </c>
      <c r="F2857" s="76">
        <v>1</v>
      </c>
    </row>
    <row r="2858" spans="1:6">
      <c r="A2858">
        <v>2948</v>
      </c>
      <c r="B2858">
        <v>222016270</v>
      </c>
      <c r="C2858" s="76">
        <v>2016</v>
      </c>
      <c r="D2858" s="76" t="s">
        <v>31</v>
      </c>
      <c r="E2858" s="76" t="s">
        <v>32</v>
      </c>
      <c r="F2858" s="76">
        <v>2</v>
      </c>
    </row>
    <row r="2859" spans="1:6">
      <c r="A2859">
        <v>2950</v>
      </c>
      <c r="B2859">
        <v>222016270</v>
      </c>
      <c r="C2859" s="76">
        <v>2016</v>
      </c>
      <c r="D2859" s="76" t="s">
        <v>31</v>
      </c>
      <c r="E2859" s="76" t="s">
        <v>32</v>
      </c>
      <c r="F2859" s="76">
        <v>1.5</v>
      </c>
    </row>
    <row r="2860" spans="1:6">
      <c r="A2860">
        <v>2942</v>
      </c>
      <c r="B2860">
        <v>222016270</v>
      </c>
      <c r="C2860" s="76">
        <v>2016</v>
      </c>
      <c r="D2860" s="76" t="s">
        <v>31</v>
      </c>
      <c r="E2860" s="76" t="s">
        <v>32</v>
      </c>
      <c r="F2860" s="76">
        <v>1</v>
      </c>
    </row>
    <row r="2861" spans="1:6">
      <c r="A2861">
        <v>2956</v>
      </c>
      <c r="B2861">
        <v>222016270</v>
      </c>
      <c r="C2861" s="76">
        <v>2016</v>
      </c>
      <c r="D2861" s="76" t="s">
        <v>31</v>
      </c>
      <c r="E2861" s="76" t="s">
        <v>32</v>
      </c>
      <c r="F2861" s="76">
        <v>2</v>
      </c>
    </row>
    <row r="2862" spans="1:6">
      <c r="A2862">
        <v>2952</v>
      </c>
      <c r="B2862">
        <v>222016270</v>
      </c>
      <c r="C2862" s="76">
        <v>2016</v>
      </c>
      <c r="D2862" s="76" t="s">
        <v>31</v>
      </c>
      <c r="E2862" s="76" t="s">
        <v>32</v>
      </c>
      <c r="F2862" s="76">
        <v>1</v>
      </c>
    </row>
    <row r="2863" spans="1:6">
      <c r="A2863">
        <v>2949</v>
      </c>
      <c r="B2863">
        <v>222016270</v>
      </c>
      <c r="C2863" s="76">
        <v>2016</v>
      </c>
      <c r="D2863" s="76" t="s">
        <v>31</v>
      </c>
      <c r="E2863" s="76" t="s">
        <v>32</v>
      </c>
      <c r="F2863" s="76">
        <v>2</v>
      </c>
    </row>
    <row r="2864" spans="1:6">
      <c r="A2864">
        <v>2941</v>
      </c>
      <c r="B2864">
        <v>222016270</v>
      </c>
      <c r="C2864" s="76">
        <v>2016</v>
      </c>
      <c r="D2864" s="76" t="s">
        <v>31</v>
      </c>
      <c r="E2864" s="76" t="s">
        <v>32</v>
      </c>
      <c r="F2864" s="76">
        <v>2</v>
      </c>
    </row>
    <row r="2865" spans="1:6">
      <c r="A2865">
        <v>2938</v>
      </c>
      <c r="B2865">
        <v>222016270</v>
      </c>
      <c r="C2865" s="76">
        <v>2016</v>
      </c>
      <c r="D2865" s="76" t="s">
        <v>31</v>
      </c>
      <c r="E2865" s="76" t="s">
        <v>32</v>
      </c>
      <c r="F2865" s="76">
        <v>1</v>
      </c>
    </row>
    <row r="2866" spans="1:6">
      <c r="A2866">
        <v>2939</v>
      </c>
      <c r="B2866">
        <v>222016270</v>
      </c>
      <c r="C2866" s="76">
        <v>2016</v>
      </c>
      <c r="D2866" s="76" t="s">
        <v>31</v>
      </c>
      <c r="E2866" s="76" t="s">
        <v>32</v>
      </c>
      <c r="F2866" s="76">
        <v>1</v>
      </c>
    </row>
    <row r="2867" spans="1:6">
      <c r="A2867">
        <v>2945</v>
      </c>
      <c r="B2867">
        <v>222016270</v>
      </c>
      <c r="C2867" s="76">
        <v>2016</v>
      </c>
      <c r="D2867" s="76" t="s">
        <v>31</v>
      </c>
      <c r="E2867" s="76" t="s">
        <v>32</v>
      </c>
      <c r="F2867" s="76">
        <v>1.5</v>
      </c>
    </row>
    <row r="2868" spans="1:6">
      <c r="A2868">
        <v>2944</v>
      </c>
      <c r="B2868">
        <v>222016270</v>
      </c>
      <c r="C2868" s="76">
        <v>2016</v>
      </c>
      <c r="D2868" s="76" t="s">
        <v>31</v>
      </c>
      <c r="E2868" s="76" t="s">
        <v>32</v>
      </c>
      <c r="F2868" s="76">
        <v>2</v>
      </c>
    </row>
    <row r="2869" spans="1:6">
      <c r="A2869">
        <v>2958</v>
      </c>
      <c r="B2869">
        <v>222016270</v>
      </c>
      <c r="C2869" s="76">
        <v>2016</v>
      </c>
      <c r="D2869" s="76" t="s">
        <v>31</v>
      </c>
      <c r="E2869" s="76" t="s">
        <v>32</v>
      </c>
      <c r="F2869" s="76">
        <v>4</v>
      </c>
    </row>
    <row r="2870" spans="1:6">
      <c r="A2870">
        <v>2946</v>
      </c>
      <c r="B2870">
        <v>222016270</v>
      </c>
      <c r="C2870" s="76">
        <v>2016</v>
      </c>
      <c r="D2870" s="76" t="s">
        <v>31</v>
      </c>
      <c r="E2870" s="76" t="s">
        <v>32</v>
      </c>
      <c r="F2870" s="76">
        <v>12</v>
      </c>
    </row>
    <row r="2871" spans="1:6">
      <c r="A2871">
        <v>2940</v>
      </c>
      <c r="B2871">
        <v>222016270</v>
      </c>
      <c r="C2871" s="76">
        <v>2016</v>
      </c>
      <c r="D2871" s="76" t="s">
        <v>31</v>
      </c>
      <c r="E2871" s="76" t="s">
        <v>32</v>
      </c>
      <c r="F2871" s="76">
        <v>2</v>
      </c>
    </row>
    <row r="2872" spans="1:6">
      <c r="A2872">
        <v>2953</v>
      </c>
      <c r="B2872">
        <v>222016270</v>
      </c>
      <c r="C2872" s="76">
        <v>2016</v>
      </c>
      <c r="D2872" s="76" t="s">
        <v>31</v>
      </c>
      <c r="E2872" s="76" t="s">
        <v>32</v>
      </c>
      <c r="F2872" s="76">
        <v>2</v>
      </c>
    </row>
    <row r="2873" spans="1:6">
      <c r="A2873">
        <v>2954</v>
      </c>
      <c r="B2873">
        <v>222016270</v>
      </c>
      <c r="C2873" s="76">
        <v>2016</v>
      </c>
      <c r="D2873" s="76" t="s">
        <v>31</v>
      </c>
      <c r="E2873" s="76" t="s">
        <v>32</v>
      </c>
      <c r="F2873" s="76">
        <v>3</v>
      </c>
    </row>
    <row r="2874" spans="1:6">
      <c r="A2874">
        <v>2957</v>
      </c>
      <c r="B2874">
        <v>222016270</v>
      </c>
      <c r="C2874" s="76">
        <v>2016</v>
      </c>
      <c r="D2874" s="76" t="s">
        <v>31</v>
      </c>
      <c r="E2874" s="76" t="s">
        <v>32</v>
      </c>
      <c r="F2874" s="76">
        <v>1</v>
      </c>
    </row>
    <row r="2875" spans="1:6">
      <c r="A2875">
        <v>2947</v>
      </c>
      <c r="B2875">
        <v>222016270</v>
      </c>
      <c r="C2875" s="76">
        <v>2016</v>
      </c>
      <c r="D2875" s="76" t="s">
        <v>31</v>
      </c>
      <c r="E2875" s="76" t="s">
        <v>32</v>
      </c>
      <c r="F2875" s="76">
        <v>2</v>
      </c>
    </row>
    <row r="2876" spans="1:6">
      <c r="A2876">
        <v>2955</v>
      </c>
      <c r="B2876">
        <v>222016270</v>
      </c>
      <c r="C2876" s="76">
        <v>2016</v>
      </c>
      <c r="D2876" s="76" t="s">
        <v>31</v>
      </c>
      <c r="E2876" s="76" t="s">
        <v>32</v>
      </c>
      <c r="F2876" s="76">
        <v>2</v>
      </c>
    </row>
    <row r="2877" spans="1:6">
      <c r="A2877">
        <v>2951</v>
      </c>
      <c r="B2877">
        <v>222016270</v>
      </c>
      <c r="C2877" s="76">
        <v>2016</v>
      </c>
      <c r="D2877" s="76" t="s">
        <v>31</v>
      </c>
      <c r="E2877" s="76" t="s">
        <v>32</v>
      </c>
      <c r="F2877" s="76">
        <v>1</v>
      </c>
    </row>
    <row r="2878" spans="1:6">
      <c r="A2878">
        <v>2961</v>
      </c>
      <c r="B2878">
        <v>222017260</v>
      </c>
      <c r="C2878" s="76">
        <v>2017</v>
      </c>
      <c r="D2878" s="76" t="s">
        <v>34</v>
      </c>
      <c r="E2878" s="76">
        <v>25</v>
      </c>
      <c r="F2878" s="76">
        <v>5</v>
      </c>
    </row>
    <row r="2879" spans="1:6">
      <c r="A2879">
        <v>2977</v>
      </c>
      <c r="B2879">
        <v>222017270</v>
      </c>
      <c r="C2879" s="76">
        <v>2017</v>
      </c>
      <c r="D2879" s="76" t="s">
        <v>31</v>
      </c>
      <c r="E2879" s="76" t="s">
        <v>32</v>
      </c>
      <c r="F2879" s="76">
        <v>1</v>
      </c>
    </row>
    <row r="2880" spans="1:6">
      <c r="A2880">
        <v>2980</v>
      </c>
      <c r="B2880">
        <v>222017270</v>
      </c>
      <c r="C2880" s="76">
        <v>2017</v>
      </c>
      <c r="D2880" s="76" t="s">
        <v>31</v>
      </c>
      <c r="E2880" s="76" t="s">
        <v>32</v>
      </c>
      <c r="F2880" s="76">
        <v>1.5</v>
      </c>
    </row>
    <row r="2881" spans="1:6">
      <c r="A2881">
        <v>2997</v>
      </c>
      <c r="B2881">
        <v>222017270</v>
      </c>
      <c r="C2881" s="76">
        <v>2017</v>
      </c>
      <c r="D2881" s="76" t="s">
        <v>31</v>
      </c>
      <c r="E2881" s="76" t="s">
        <v>32</v>
      </c>
      <c r="F2881" s="76">
        <v>2</v>
      </c>
    </row>
    <row r="2882" spans="1:6">
      <c r="A2882">
        <v>2993</v>
      </c>
      <c r="B2882">
        <v>222017270</v>
      </c>
      <c r="C2882" s="76">
        <v>2017</v>
      </c>
      <c r="D2882" s="76" t="s">
        <v>31</v>
      </c>
      <c r="E2882" s="76" t="s">
        <v>32</v>
      </c>
      <c r="F2882" s="76">
        <v>1.5</v>
      </c>
    </row>
    <row r="2883" spans="1:6">
      <c r="A2883">
        <v>2968</v>
      </c>
      <c r="B2883">
        <v>222017270</v>
      </c>
      <c r="C2883" s="76">
        <v>2017</v>
      </c>
      <c r="D2883" s="76" t="s">
        <v>31</v>
      </c>
      <c r="E2883" s="76" t="s">
        <v>32</v>
      </c>
      <c r="F2883" s="76">
        <v>2</v>
      </c>
    </row>
    <row r="2884" spans="1:6">
      <c r="A2884">
        <v>2975</v>
      </c>
      <c r="B2884">
        <v>222017270</v>
      </c>
      <c r="C2884" s="76">
        <v>2017</v>
      </c>
      <c r="D2884" s="76" t="s">
        <v>31</v>
      </c>
      <c r="E2884" s="76" t="s">
        <v>32</v>
      </c>
      <c r="F2884" s="76">
        <v>2</v>
      </c>
    </row>
    <row r="2885" spans="1:6">
      <c r="A2885">
        <v>2995</v>
      </c>
      <c r="B2885">
        <v>222017270</v>
      </c>
      <c r="C2885" s="76">
        <v>2017</v>
      </c>
      <c r="D2885" s="76" t="s">
        <v>31</v>
      </c>
      <c r="E2885" s="76" t="s">
        <v>32</v>
      </c>
      <c r="F2885" s="76">
        <v>10</v>
      </c>
    </row>
    <row r="2886" spans="1:6">
      <c r="A2886">
        <v>2996</v>
      </c>
      <c r="B2886">
        <v>222017270</v>
      </c>
      <c r="C2886" s="76">
        <v>2017</v>
      </c>
      <c r="D2886" s="76" t="s">
        <v>31</v>
      </c>
      <c r="E2886" s="76" t="s">
        <v>32</v>
      </c>
      <c r="F2886" s="76">
        <v>10</v>
      </c>
    </row>
    <row r="2887" spans="1:6">
      <c r="A2887">
        <v>2994</v>
      </c>
      <c r="B2887">
        <v>222017270</v>
      </c>
      <c r="C2887" s="76">
        <v>2017</v>
      </c>
      <c r="D2887" s="76" t="s">
        <v>31</v>
      </c>
      <c r="E2887" s="76" t="s">
        <v>32</v>
      </c>
      <c r="F2887" s="76">
        <v>1.5</v>
      </c>
    </row>
    <row r="2888" spans="1:6">
      <c r="A2888">
        <v>2991</v>
      </c>
      <c r="B2888">
        <v>222017270</v>
      </c>
      <c r="C2888" s="76">
        <v>2017</v>
      </c>
      <c r="D2888" s="76" t="s">
        <v>31</v>
      </c>
      <c r="E2888" s="76" t="s">
        <v>32</v>
      </c>
      <c r="F2888" s="76">
        <v>1.5</v>
      </c>
    </row>
    <row r="2889" spans="1:6">
      <c r="A2889">
        <v>2989</v>
      </c>
      <c r="B2889">
        <v>222017270</v>
      </c>
      <c r="C2889" s="76">
        <v>2017</v>
      </c>
      <c r="D2889" s="76" t="s">
        <v>31</v>
      </c>
      <c r="E2889" s="76" t="s">
        <v>32</v>
      </c>
      <c r="F2889" s="76">
        <v>1</v>
      </c>
    </row>
    <row r="2890" spans="1:6">
      <c r="A2890">
        <v>2990</v>
      </c>
      <c r="B2890">
        <v>222017270</v>
      </c>
      <c r="C2890" s="76">
        <v>2017</v>
      </c>
      <c r="D2890" s="76" t="s">
        <v>31</v>
      </c>
      <c r="E2890" s="76" t="s">
        <v>32</v>
      </c>
      <c r="F2890" s="76">
        <v>5</v>
      </c>
    </row>
    <row r="2891" spans="1:6">
      <c r="A2891">
        <v>2986</v>
      </c>
      <c r="B2891">
        <v>222017270</v>
      </c>
      <c r="C2891" s="76">
        <v>2017</v>
      </c>
      <c r="D2891" s="76" t="s">
        <v>31</v>
      </c>
      <c r="E2891" s="76" t="s">
        <v>32</v>
      </c>
      <c r="F2891" s="76">
        <v>1</v>
      </c>
    </row>
    <row r="2892" spans="1:6">
      <c r="A2892">
        <v>2971</v>
      </c>
      <c r="B2892">
        <v>222017270</v>
      </c>
      <c r="C2892" s="76">
        <v>2017</v>
      </c>
      <c r="D2892" s="76" t="s">
        <v>31</v>
      </c>
      <c r="E2892" s="76" t="s">
        <v>32</v>
      </c>
      <c r="F2892" s="76">
        <v>1</v>
      </c>
    </row>
    <row r="2893" spans="1:6">
      <c r="A2893">
        <v>2978</v>
      </c>
      <c r="B2893">
        <v>222017270</v>
      </c>
      <c r="C2893" s="76">
        <v>2017</v>
      </c>
      <c r="D2893" s="76" t="s">
        <v>31</v>
      </c>
      <c r="E2893" s="76" t="s">
        <v>32</v>
      </c>
      <c r="F2893" s="76">
        <v>1.5</v>
      </c>
    </row>
    <row r="2894" spans="1:6">
      <c r="A2894">
        <v>2984</v>
      </c>
      <c r="B2894">
        <v>222017270</v>
      </c>
      <c r="C2894" s="76">
        <v>2017</v>
      </c>
      <c r="D2894" s="76" t="s">
        <v>31</v>
      </c>
      <c r="E2894" s="76" t="s">
        <v>32</v>
      </c>
      <c r="F2894" s="76">
        <v>2</v>
      </c>
    </row>
    <row r="2895" spans="1:6">
      <c r="A2895">
        <v>2972</v>
      </c>
      <c r="B2895">
        <v>222017270</v>
      </c>
      <c r="C2895" s="76">
        <v>2017</v>
      </c>
      <c r="D2895" s="76" t="s">
        <v>31</v>
      </c>
      <c r="E2895" s="76" t="s">
        <v>32</v>
      </c>
      <c r="F2895" s="76">
        <v>1</v>
      </c>
    </row>
    <row r="2896" spans="1:6">
      <c r="A2896">
        <v>2982</v>
      </c>
      <c r="B2896">
        <v>222017270</v>
      </c>
      <c r="C2896" s="76">
        <v>2017</v>
      </c>
      <c r="D2896" s="76" t="s">
        <v>31</v>
      </c>
      <c r="E2896" s="76" t="s">
        <v>32</v>
      </c>
      <c r="F2896" s="76">
        <v>1.5</v>
      </c>
    </row>
    <row r="2897" spans="1:6">
      <c r="A2897">
        <v>2973</v>
      </c>
      <c r="B2897">
        <v>222017270</v>
      </c>
      <c r="C2897" s="76">
        <v>2017</v>
      </c>
      <c r="D2897" s="76" t="s">
        <v>31</v>
      </c>
      <c r="E2897" s="76" t="s">
        <v>32</v>
      </c>
      <c r="F2897" s="76">
        <v>1.5</v>
      </c>
    </row>
    <row r="2898" spans="1:6">
      <c r="A2898">
        <v>2965</v>
      </c>
      <c r="B2898">
        <v>222017270</v>
      </c>
      <c r="C2898" s="76">
        <v>2017</v>
      </c>
      <c r="D2898" s="76" t="s">
        <v>31</v>
      </c>
      <c r="E2898" s="76">
        <v>1</v>
      </c>
      <c r="F2898" s="76">
        <v>1.19</v>
      </c>
    </row>
    <row r="2899" spans="1:6">
      <c r="A2899">
        <v>2976</v>
      </c>
      <c r="B2899">
        <v>222017270</v>
      </c>
      <c r="C2899" s="76">
        <v>2017</v>
      </c>
      <c r="D2899" s="76" t="s">
        <v>31</v>
      </c>
      <c r="E2899" s="76" t="s">
        <v>32</v>
      </c>
      <c r="F2899" s="76">
        <v>1.5</v>
      </c>
    </row>
    <row r="2900" spans="1:6">
      <c r="A2900">
        <v>2963</v>
      </c>
      <c r="B2900">
        <v>222017270</v>
      </c>
      <c r="C2900" s="76">
        <v>2017</v>
      </c>
      <c r="D2900" s="76" t="s">
        <v>31</v>
      </c>
      <c r="E2900" s="76" t="s">
        <v>32</v>
      </c>
      <c r="F2900" s="76">
        <v>2</v>
      </c>
    </row>
    <row r="2901" spans="1:6">
      <c r="A2901">
        <v>2964</v>
      </c>
      <c r="B2901">
        <v>222017270</v>
      </c>
      <c r="C2901" s="76">
        <v>2017</v>
      </c>
      <c r="D2901" s="76" t="s">
        <v>31</v>
      </c>
      <c r="E2901" s="76" t="s">
        <v>32</v>
      </c>
      <c r="F2901" s="76">
        <v>1.5</v>
      </c>
    </row>
    <row r="2902" spans="1:6">
      <c r="A2902">
        <v>2974</v>
      </c>
      <c r="B2902">
        <v>222017270</v>
      </c>
      <c r="C2902" s="76">
        <v>2017</v>
      </c>
      <c r="D2902" s="76" t="s">
        <v>31</v>
      </c>
      <c r="E2902" s="76" t="s">
        <v>32</v>
      </c>
      <c r="F2902" s="76">
        <v>1.5</v>
      </c>
    </row>
    <row r="2903" spans="1:6">
      <c r="A2903">
        <v>2983</v>
      </c>
      <c r="B2903">
        <v>222017270</v>
      </c>
      <c r="C2903" s="76">
        <v>2017</v>
      </c>
      <c r="D2903" s="76" t="s">
        <v>31</v>
      </c>
      <c r="E2903" s="76" t="s">
        <v>32</v>
      </c>
      <c r="F2903" s="76">
        <v>1.5</v>
      </c>
    </row>
    <row r="2904" spans="1:6">
      <c r="A2904">
        <v>2969</v>
      </c>
      <c r="B2904">
        <v>222017270</v>
      </c>
      <c r="C2904" s="76">
        <v>2017</v>
      </c>
      <c r="D2904" s="76" t="s">
        <v>31</v>
      </c>
      <c r="E2904" s="76" t="s">
        <v>32</v>
      </c>
      <c r="F2904" s="76">
        <v>2.5</v>
      </c>
    </row>
    <row r="2905" spans="1:6">
      <c r="A2905">
        <v>2992</v>
      </c>
      <c r="B2905">
        <v>222017270</v>
      </c>
      <c r="C2905" s="76">
        <v>2017</v>
      </c>
      <c r="D2905" s="76" t="s">
        <v>31</v>
      </c>
      <c r="E2905" s="76" t="s">
        <v>32</v>
      </c>
      <c r="F2905" s="76">
        <v>1.5</v>
      </c>
    </row>
    <row r="2906" spans="1:6">
      <c r="A2906">
        <v>2979</v>
      </c>
      <c r="B2906">
        <v>222017270</v>
      </c>
      <c r="C2906" s="76">
        <v>2017</v>
      </c>
      <c r="D2906" s="76" t="s">
        <v>31</v>
      </c>
      <c r="E2906" s="76" t="s">
        <v>32</v>
      </c>
      <c r="F2906" s="76">
        <v>1</v>
      </c>
    </row>
    <row r="2907" spans="1:6">
      <c r="A2907">
        <v>2981</v>
      </c>
      <c r="B2907">
        <v>222017270</v>
      </c>
      <c r="C2907" s="76">
        <v>2017</v>
      </c>
      <c r="D2907" s="76" t="s">
        <v>31</v>
      </c>
      <c r="E2907" s="76" t="s">
        <v>32</v>
      </c>
      <c r="F2907" s="76">
        <v>2.3</v>
      </c>
    </row>
    <row r="2908" spans="1:6">
      <c r="A2908">
        <v>2970</v>
      </c>
      <c r="B2908">
        <v>222017270</v>
      </c>
      <c r="C2908" s="76">
        <v>2017</v>
      </c>
      <c r="D2908" s="76" t="s">
        <v>31</v>
      </c>
      <c r="E2908" s="76" t="s">
        <v>32</v>
      </c>
      <c r="F2908" s="76">
        <v>1.5</v>
      </c>
    </row>
    <row r="2909" spans="1:6">
      <c r="A2909">
        <v>2962</v>
      </c>
      <c r="B2909">
        <v>222017270</v>
      </c>
      <c r="C2909" s="76">
        <v>2017</v>
      </c>
      <c r="D2909" s="76" t="s">
        <v>31</v>
      </c>
      <c r="E2909" s="76" t="s">
        <v>32</v>
      </c>
      <c r="F2909" s="76">
        <v>3</v>
      </c>
    </row>
    <row r="2910" spans="1:6">
      <c r="A2910">
        <v>2998</v>
      </c>
      <c r="B2910">
        <v>222017270</v>
      </c>
      <c r="C2910" s="76">
        <v>2017</v>
      </c>
      <c r="D2910" s="76" t="s">
        <v>31</v>
      </c>
      <c r="E2910" s="76" t="s">
        <v>32</v>
      </c>
      <c r="F2910" s="76">
        <v>1.5</v>
      </c>
    </row>
    <row r="2911" spans="1:6">
      <c r="A2911">
        <v>2988</v>
      </c>
      <c r="B2911">
        <v>222017270</v>
      </c>
      <c r="C2911" s="76">
        <v>2017</v>
      </c>
      <c r="D2911" s="76" t="s">
        <v>31</v>
      </c>
      <c r="E2911" s="76" t="s">
        <v>32</v>
      </c>
      <c r="F2911" s="76">
        <v>1</v>
      </c>
    </row>
    <row r="2912" spans="1:6">
      <c r="A2912">
        <v>2985</v>
      </c>
      <c r="B2912">
        <v>222017270</v>
      </c>
      <c r="C2912" s="76">
        <v>2017</v>
      </c>
      <c r="D2912" s="76" t="s">
        <v>31</v>
      </c>
      <c r="E2912" s="76" t="s">
        <v>32</v>
      </c>
      <c r="F2912" s="76">
        <v>2</v>
      </c>
    </row>
    <row r="2913" spans="1:6">
      <c r="A2913">
        <v>2966</v>
      </c>
      <c r="B2913">
        <v>222017270</v>
      </c>
      <c r="C2913" s="76">
        <v>2017</v>
      </c>
      <c r="D2913" s="76" t="s">
        <v>31</v>
      </c>
      <c r="E2913" s="76" t="s">
        <v>32</v>
      </c>
      <c r="F2913" s="76">
        <v>2.5</v>
      </c>
    </row>
    <row r="2914" spans="1:6">
      <c r="A2914">
        <v>2987</v>
      </c>
      <c r="B2914">
        <v>222017270</v>
      </c>
      <c r="C2914" s="76">
        <v>2017</v>
      </c>
      <c r="D2914" s="76" t="s">
        <v>31</v>
      </c>
      <c r="E2914" s="76" t="s">
        <v>32</v>
      </c>
      <c r="F2914" s="76">
        <v>1</v>
      </c>
    </row>
    <row r="2915" spans="1:6">
      <c r="A2915">
        <v>3000</v>
      </c>
      <c r="B2915">
        <v>222018211</v>
      </c>
      <c r="C2915" s="76">
        <v>2018</v>
      </c>
      <c r="D2915" s="76" t="s">
        <v>37</v>
      </c>
      <c r="E2915" s="76">
        <v>1</v>
      </c>
      <c r="F2915" s="76">
        <v>35</v>
      </c>
    </row>
    <row r="2916" spans="1:6">
      <c r="A2916">
        <v>2999</v>
      </c>
      <c r="B2916">
        <v>222018211</v>
      </c>
      <c r="C2916" s="76">
        <v>2018</v>
      </c>
      <c r="D2916" s="76" t="s">
        <v>37</v>
      </c>
      <c r="E2916" s="76">
        <v>2</v>
      </c>
      <c r="F2916" s="76">
        <v>16</v>
      </c>
    </row>
    <row r="2917" spans="1:6">
      <c r="A2917">
        <v>3002</v>
      </c>
      <c r="B2917">
        <v>222018260</v>
      </c>
      <c r="C2917" s="76">
        <v>2018</v>
      </c>
      <c r="D2917" s="76" t="s">
        <v>34</v>
      </c>
      <c r="E2917" s="76" t="s">
        <v>32</v>
      </c>
      <c r="F2917" s="76">
        <v>4</v>
      </c>
    </row>
    <row r="2918" spans="1:6">
      <c r="A2918">
        <v>3001</v>
      </c>
      <c r="B2918">
        <v>222018260</v>
      </c>
      <c r="C2918" s="76">
        <v>2018</v>
      </c>
      <c r="D2918" s="76" t="s">
        <v>34</v>
      </c>
      <c r="E2918" s="76" t="s">
        <v>32</v>
      </c>
      <c r="F2918" s="76">
        <v>4.95</v>
      </c>
    </row>
    <row r="2919" spans="1:6">
      <c r="A2919">
        <v>3024</v>
      </c>
      <c r="B2919">
        <v>222018270</v>
      </c>
      <c r="C2919" s="76">
        <v>2018</v>
      </c>
      <c r="D2919" s="76" t="s">
        <v>31</v>
      </c>
      <c r="E2919" s="76" t="s">
        <v>32</v>
      </c>
      <c r="F2919" s="76">
        <v>3</v>
      </c>
    </row>
    <row r="2920" spans="1:6">
      <c r="A2920">
        <v>3032</v>
      </c>
      <c r="B2920">
        <v>222018270</v>
      </c>
      <c r="C2920" s="76">
        <v>2018</v>
      </c>
      <c r="D2920" s="76" t="s">
        <v>31</v>
      </c>
      <c r="E2920" s="76" t="s">
        <v>32</v>
      </c>
      <c r="F2920" s="76">
        <v>0.5</v>
      </c>
    </row>
    <row r="2921" spans="1:6">
      <c r="A2921">
        <v>3033</v>
      </c>
      <c r="B2921">
        <v>222018270</v>
      </c>
      <c r="C2921" s="76">
        <v>2018</v>
      </c>
      <c r="D2921" s="76" t="s">
        <v>31</v>
      </c>
      <c r="E2921" s="76" t="s">
        <v>32</v>
      </c>
      <c r="F2921" s="76">
        <v>1</v>
      </c>
    </row>
    <row r="2922" spans="1:6">
      <c r="A2922">
        <v>3016</v>
      </c>
      <c r="B2922">
        <v>222018270</v>
      </c>
      <c r="C2922" s="76">
        <v>2018</v>
      </c>
      <c r="D2922" s="76" t="s">
        <v>31</v>
      </c>
      <c r="E2922" s="76" t="s">
        <v>32</v>
      </c>
      <c r="F2922" s="76">
        <v>1</v>
      </c>
    </row>
    <row r="2923" spans="1:6">
      <c r="A2923">
        <v>3003</v>
      </c>
      <c r="B2923">
        <v>222018270</v>
      </c>
      <c r="C2923" s="76">
        <v>2018</v>
      </c>
      <c r="D2923" s="76" t="s">
        <v>31</v>
      </c>
      <c r="E2923" s="76" t="s">
        <v>32</v>
      </c>
      <c r="F2923" s="76">
        <v>2</v>
      </c>
    </row>
    <row r="2924" spans="1:6">
      <c r="A2924">
        <v>3015</v>
      </c>
      <c r="B2924">
        <v>222018270</v>
      </c>
      <c r="C2924" s="76">
        <v>2018</v>
      </c>
      <c r="D2924" s="76" t="s">
        <v>31</v>
      </c>
      <c r="E2924" s="76" t="s">
        <v>32</v>
      </c>
      <c r="F2924" s="76">
        <v>1</v>
      </c>
    </row>
    <row r="2925" spans="1:6">
      <c r="A2925">
        <v>3036</v>
      </c>
      <c r="B2925">
        <v>222018270</v>
      </c>
      <c r="C2925" s="76">
        <v>2018</v>
      </c>
      <c r="D2925" s="76" t="s">
        <v>31</v>
      </c>
      <c r="E2925" s="76" t="s">
        <v>32</v>
      </c>
      <c r="F2925" s="76">
        <v>10</v>
      </c>
    </row>
    <row r="2926" spans="1:6">
      <c r="A2926">
        <v>3025</v>
      </c>
      <c r="B2926">
        <v>222018270</v>
      </c>
      <c r="C2926" s="76">
        <v>2018</v>
      </c>
      <c r="D2926" s="76" t="s">
        <v>31</v>
      </c>
      <c r="E2926" s="76" t="s">
        <v>32</v>
      </c>
      <c r="F2926" s="76">
        <v>2</v>
      </c>
    </row>
    <row r="2927" spans="1:6">
      <c r="A2927">
        <v>3026</v>
      </c>
      <c r="B2927">
        <v>222018270</v>
      </c>
      <c r="C2927" s="76">
        <v>2018</v>
      </c>
      <c r="D2927" s="76" t="s">
        <v>31</v>
      </c>
      <c r="E2927" s="76" t="s">
        <v>32</v>
      </c>
      <c r="F2927" s="76">
        <v>1</v>
      </c>
    </row>
    <row r="2928" spans="1:6">
      <c r="A2928">
        <v>3013</v>
      </c>
      <c r="B2928">
        <v>222018270</v>
      </c>
      <c r="C2928" s="76">
        <v>2018</v>
      </c>
      <c r="D2928" s="76" t="s">
        <v>31</v>
      </c>
      <c r="E2928" s="76" t="s">
        <v>32</v>
      </c>
      <c r="F2928" s="76">
        <v>1</v>
      </c>
    </row>
    <row r="2929" spans="1:6">
      <c r="A2929">
        <v>3027</v>
      </c>
      <c r="B2929">
        <v>222018270</v>
      </c>
      <c r="C2929" s="76">
        <v>2018</v>
      </c>
      <c r="D2929" s="76" t="s">
        <v>31</v>
      </c>
      <c r="E2929" s="76" t="s">
        <v>32</v>
      </c>
      <c r="F2929" s="76">
        <v>1</v>
      </c>
    </row>
    <row r="2930" spans="1:6">
      <c r="A2930">
        <v>3004</v>
      </c>
      <c r="B2930">
        <v>222018270</v>
      </c>
      <c r="C2930" s="76">
        <v>2018</v>
      </c>
      <c r="D2930" s="76" t="s">
        <v>31</v>
      </c>
      <c r="E2930" s="76" t="s">
        <v>32</v>
      </c>
      <c r="F2930" s="76">
        <v>10</v>
      </c>
    </row>
    <row r="2931" spans="1:6">
      <c r="A2931">
        <v>3007</v>
      </c>
      <c r="B2931">
        <v>222018270</v>
      </c>
      <c r="C2931" s="76">
        <v>2018</v>
      </c>
      <c r="D2931" s="76" t="s">
        <v>31</v>
      </c>
      <c r="E2931" s="76" t="s">
        <v>32</v>
      </c>
      <c r="F2931" s="76">
        <v>10</v>
      </c>
    </row>
    <row r="2932" spans="1:6">
      <c r="A2932">
        <v>3009</v>
      </c>
      <c r="B2932">
        <v>222018270</v>
      </c>
      <c r="C2932" s="76">
        <v>2018</v>
      </c>
      <c r="D2932" s="76" t="s">
        <v>31</v>
      </c>
      <c r="E2932" s="76" t="s">
        <v>32</v>
      </c>
      <c r="F2932" s="76">
        <v>1.75</v>
      </c>
    </row>
    <row r="2933" spans="1:6">
      <c r="A2933">
        <v>3006</v>
      </c>
      <c r="B2933">
        <v>222018270</v>
      </c>
      <c r="C2933" s="76">
        <v>2018</v>
      </c>
      <c r="D2933" s="76" t="s">
        <v>31</v>
      </c>
      <c r="E2933" s="76" t="s">
        <v>32</v>
      </c>
      <c r="F2933" s="76">
        <v>1.78</v>
      </c>
    </row>
    <row r="2934" spans="1:6">
      <c r="A2934">
        <v>3008</v>
      </c>
      <c r="B2934">
        <v>222018270</v>
      </c>
      <c r="C2934" s="76">
        <v>2018</v>
      </c>
      <c r="D2934" s="76" t="s">
        <v>31</v>
      </c>
      <c r="E2934" s="76" t="s">
        <v>32</v>
      </c>
      <c r="F2934" s="76">
        <v>1.75</v>
      </c>
    </row>
    <row r="2935" spans="1:6">
      <c r="A2935">
        <v>3023</v>
      </c>
      <c r="B2935">
        <v>222018270</v>
      </c>
      <c r="C2935" s="76">
        <v>2018</v>
      </c>
      <c r="D2935" s="76" t="s">
        <v>31</v>
      </c>
      <c r="E2935" s="76" t="s">
        <v>32</v>
      </c>
      <c r="F2935" s="76">
        <v>2</v>
      </c>
    </row>
    <row r="2936" spans="1:6">
      <c r="A2936">
        <v>3014</v>
      </c>
      <c r="B2936">
        <v>222018270</v>
      </c>
      <c r="C2936" s="76">
        <v>2018</v>
      </c>
      <c r="D2936" s="76" t="s">
        <v>31</v>
      </c>
      <c r="E2936" s="76" t="s">
        <v>32</v>
      </c>
      <c r="F2936" s="76">
        <v>2</v>
      </c>
    </row>
    <row r="2937" spans="1:6">
      <c r="A2937">
        <v>3011</v>
      </c>
      <c r="B2937">
        <v>222018270</v>
      </c>
      <c r="C2937" s="76">
        <v>2018</v>
      </c>
      <c r="D2937" s="76" t="s">
        <v>31</v>
      </c>
      <c r="E2937" s="76" t="s">
        <v>32</v>
      </c>
      <c r="F2937" s="76">
        <v>5</v>
      </c>
    </row>
    <row r="2938" spans="1:6">
      <c r="A2938">
        <v>3018</v>
      </c>
      <c r="B2938">
        <v>222018270</v>
      </c>
      <c r="C2938" s="76">
        <v>2018</v>
      </c>
      <c r="D2938" s="76" t="s">
        <v>31</v>
      </c>
      <c r="E2938" s="76" t="s">
        <v>32</v>
      </c>
      <c r="F2938" s="76">
        <v>2</v>
      </c>
    </row>
    <row r="2939" spans="1:6">
      <c r="A2939">
        <v>3017</v>
      </c>
      <c r="B2939">
        <v>222018270</v>
      </c>
      <c r="C2939" s="76">
        <v>2018</v>
      </c>
      <c r="D2939" s="76" t="s">
        <v>31</v>
      </c>
      <c r="E2939" s="76" t="s">
        <v>32</v>
      </c>
      <c r="F2939" s="76">
        <v>1</v>
      </c>
    </row>
    <row r="2940" spans="1:6">
      <c r="A2940">
        <v>3019</v>
      </c>
      <c r="B2940">
        <v>222018270</v>
      </c>
      <c r="C2940" s="76">
        <v>2018</v>
      </c>
      <c r="D2940" s="76" t="s">
        <v>31</v>
      </c>
      <c r="E2940" s="76" t="s">
        <v>32</v>
      </c>
      <c r="F2940" s="76">
        <v>1</v>
      </c>
    </row>
    <row r="2941" spans="1:6">
      <c r="A2941">
        <v>3020</v>
      </c>
      <c r="B2941">
        <v>222018270</v>
      </c>
      <c r="C2941" s="76">
        <v>2018</v>
      </c>
      <c r="D2941" s="76" t="s">
        <v>31</v>
      </c>
      <c r="E2941" s="76" t="s">
        <v>32</v>
      </c>
      <c r="F2941" s="76">
        <v>1.5</v>
      </c>
    </row>
    <row r="2942" spans="1:6">
      <c r="A2942">
        <v>3021</v>
      </c>
      <c r="B2942">
        <v>222018270</v>
      </c>
      <c r="C2942" s="76">
        <v>2018</v>
      </c>
      <c r="D2942" s="76" t="s">
        <v>31</v>
      </c>
      <c r="E2942" s="76" t="s">
        <v>32</v>
      </c>
      <c r="F2942" s="76">
        <v>2</v>
      </c>
    </row>
    <row r="2943" spans="1:6">
      <c r="A2943">
        <v>3022</v>
      </c>
      <c r="B2943">
        <v>222018270</v>
      </c>
      <c r="C2943" s="76">
        <v>2018</v>
      </c>
      <c r="D2943" s="76" t="s">
        <v>31</v>
      </c>
      <c r="E2943" s="76" t="s">
        <v>32</v>
      </c>
      <c r="F2943" s="76">
        <v>4</v>
      </c>
    </row>
    <row r="2944" spans="1:6">
      <c r="A2944">
        <v>3029</v>
      </c>
      <c r="B2944">
        <v>222018270</v>
      </c>
      <c r="C2944" s="76">
        <v>2018</v>
      </c>
      <c r="D2944" s="76" t="s">
        <v>31</v>
      </c>
      <c r="E2944" s="76" t="s">
        <v>32</v>
      </c>
      <c r="F2944" s="76">
        <v>1</v>
      </c>
    </row>
    <row r="2945" spans="1:6">
      <c r="A2945">
        <v>3028</v>
      </c>
      <c r="B2945">
        <v>222018270</v>
      </c>
      <c r="C2945" s="76">
        <v>2018</v>
      </c>
      <c r="D2945" s="76" t="s">
        <v>31</v>
      </c>
      <c r="E2945" s="76" t="s">
        <v>32</v>
      </c>
      <c r="F2945" s="76">
        <v>1</v>
      </c>
    </row>
    <row r="2946" spans="1:6">
      <c r="A2946">
        <v>3035</v>
      </c>
      <c r="B2946">
        <v>222018270</v>
      </c>
      <c r="C2946" s="76">
        <v>2018</v>
      </c>
      <c r="D2946" s="76" t="s">
        <v>31</v>
      </c>
      <c r="E2946" s="76" t="s">
        <v>32</v>
      </c>
      <c r="F2946" s="76">
        <v>10</v>
      </c>
    </row>
    <row r="2947" spans="1:6">
      <c r="A2947">
        <v>3030</v>
      </c>
      <c r="B2947">
        <v>222018270</v>
      </c>
      <c r="C2947" s="76">
        <v>2018</v>
      </c>
      <c r="D2947" s="76" t="s">
        <v>31</v>
      </c>
      <c r="E2947" s="76" t="s">
        <v>32</v>
      </c>
      <c r="F2947" s="76">
        <v>1.5</v>
      </c>
    </row>
    <row r="2948" spans="1:6">
      <c r="A2948">
        <v>3005</v>
      </c>
      <c r="B2948">
        <v>222018270</v>
      </c>
      <c r="C2948" s="76">
        <v>2018</v>
      </c>
      <c r="D2948" s="76" t="s">
        <v>31</v>
      </c>
      <c r="E2948" s="76" t="s">
        <v>32</v>
      </c>
      <c r="F2948" s="76">
        <v>2</v>
      </c>
    </row>
    <row r="2949" spans="1:6">
      <c r="A2949">
        <v>3031</v>
      </c>
      <c r="B2949">
        <v>222018270</v>
      </c>
      <c r="C2949" s="76">
        <v>2018</v>
      </c>
      <c r="D2949" s="76" t="s">
        <v>31</v>
      </c>
      <c r="E2949" s="76" t="s">
        <v>32</v>
      </c>
      <c r="F2949" s="76">
        <v>1.5</v>
      </c>
    </row>
    <row r="2950" spans="1:6">
      <c r="A2950">
        <v>3034</v>
      </c>
      <c r="B2950">
        <v>222018270</v>
      </c>
      <c r="C2950" s="76">
        <v>2018</v>
      </c>
      <c r="D2950" s="76" t="s">
        <v>31</v>
      </c>
      <c r="E2950" s="76" t="s">
        <v>32</v>
      </c>
      <c r="F2950" s="76">
        <v>20</v>
      </c>
    </row>
    <row r="2951" spans="1:6">
      <c r="A2951">
        <v>3012</v>
      </c>
      <c r="B2951">
        <v>222018270</v>
      </c>
      <c r="C2951" s="76">
        <v>2018</v>
      </c>
      <c r="D2951" s="76" t="s">
        <v>31</v>
      </c>
      <c r="E2951" s="76" t="s">
        <v>32</v>
      </c>
      <c r="F2951" s="76">
        <v>1</v>
      </c>
    </row>
    <row r="2952" spans="1:6">
      <c r="A2952">
        <v>3037</v>
      </c>
      <c r="B2952">
        <v>222019110</v>
      </c>
      <c r="C2952" s="76">
        <v>2019</v>
      </c>
      <c r="D2952" s="76" t="s">
        <v>40</v>
      </c>
      <c r="E2952" s="76">
        <v>3</v>
      </c>
      <c r="F2952" s="76">
        <v>60</v>
      </c>
    </row>
    <row r="2953" spans="1:6">
      <c r="A2953">
        <v>3041</v>
      </c>
      <c r="B2953">
        <v>222019260</v>
      </c>
      <c r="C2953" s="76">
        <v>2019</v>
      </c>
      <c r="D2953" s="76" t="s">
        <v>34</v>
      </c>
      <c r="E2953" s="76">
        <v>4</v>
      </c>
      <c r="F2953" s="76">
        <v>1</v>
      </c>
    </row>
    <row r="2954" spans="1:6">
      <c r="A2954">
        <v>3042</v>
      </c>
      <c r="B2954">
        <v>222019260</v>
      </c>
      <c r="C2954" s="76">
        <v>2019</v>
      </c>
      <c r="D2954" s="76" t="s">
        <v>34</v>
      </c>
      <c r="E2954" s="76">
        <v>1</v>
      </c>
      <c r="F2954" s="76">
        <v>0.25</v>
      </c>
    </row>
    <row r="2955" spans="1:6">
      <c r="A2955">
        <v>3043</v>
      </c>
      <c r="B2955">
        <v>222019260</v>
      </c>
      <c r="C2955" s="76">
        <v>2019</v>
      </c>
      <c r="D2955" s="76" t="s">
        <v>34</v>
      </c>
      <c r="E2955" s="76">
        <v>2</v>
      </c>
      <c r="F2955" s="76">
        <v>0.6</v>
      </c>
    </row>
    <row r="2956" spans="1:6">
      <c r="A2956">
        <v>3039</v>
      </c>
      <c r="B2956">
        <v>222019260</v>
      </c>
      <c r="C2956" s="76">
        <v>2019</v>
      </c>
      <c r="D2956" s="76" t="s">
        <v>34</v>
      </c>
      <c r="E2956" s="76">
        <v>20</v>
      </c>
      <c r="F2956" s="76">
        <v>4.95</v>
      </c>
    </row>
    <row r="2957" spans="1:6">
      <c r="A2957">
        <v>3040</v>
      </c>
      <c r="B2957">
        <v>222019260</v>
      </c>
      <c r="C2957" s="76">
        <v>2019</v>
      </c>
      <c r="D2957" s="76" t="s">
        <v>34</v>
      </c>
      <c r="E2957" s="76">
        <v>20</v>
      </c>
      <c r="F2957" s="76">
        <v>4.95</v>
      </c>
    </row>
    <row r="2958" spans="1:6">
      <c r="A2958">
        <v>3047</v>
      </c>
      <c r="B2958">
        <v>222019260</v>
      </c>
      <c r="C2958" s="76">
        <v>2019</v>
      </c>
      <c r="D2958" s="76" t="s">
        <v>34</v>
      </c>
      <c r="E2958" s="76" t="s">
        <v>32</v>
      </c>
      <c r="F2958" s="76">
        <v>4.95</v>
      </c>
    </row>
    <row r="2959" spans="1:6">
      <c r="A2959">
        <v>3046</v>
      </c>
      <c r="B2959">
        <v>222019260</v>
      </c>
      <c r="C2959" s="76">
        <v>2019</v>
      </c>
      <c r="D2959" s="76" t="s">
        <v>34</v>
      </c>
      <c r="E2959" s="76" t="s">
        <v>32</v>
      </c>
      <c r="F2959" s="76">
        <v>4.95</v>
      </c>
    </row>
    <row r="2960" spans="1:6">
      <c r="A2960">
        <v>3044</v>
      </c>
      <c r="B2960">
        <v>222019260</v>
      </c>
      <c r="C2960" s="76">
        <v>2019</v>
      </c>
      <c r="D2960" s="76" t="s">
        <v>34</v>
      </c>
      <c r="E2960" s="76" t="s">
        <v>32</v>
      </c>
      <c r="F2960" s="76">
        <v>9.68</v>
      </c>
    </row>
    <row r="2961" spans="1:6">
      <c r="A2961">
        <v>3045</v>
      </c>
      <c r="B2961">
        <v>222019260</v>
      </c>
      <c r="C2961" s="76">
        <v>2019</v>
      </c>
      <c r="D2961" s="76" t="s">
        <v>34</v>
      </c>
      <c r="E2961" s="76" t="s">
        <v>32</v>
      </c>
      <c r="F2961" s="76">
        <v>9.9</v>
      </c>
    </row>
    <row r="2962" spans="1:6">
      <c r="A2962">
        <v>3049</v>
      </c>
      <c r="B2962">
        <v>222019270</v>
      </c>
      <c r="C2962" s="76">
        <v>2019</v>
      </c>
      <c r="D2962" s="76" t="s">
        <v>31</v>
      </c>
      <c r="E2962" s="76" t="s">
        <v>32</v>
      </c>
      <c r="F2962" s="76">
        <v>1</v>
      </c>
    </row>
    <row r="2963" spans="1:6">
      <c r="A2963">
        <v>3050</v>
      </c>
      <c r="B2963">
        <v>222019270</v>
      </c>
      <c r="C2963" s="76">
        <v>2019</v>
      </c>
      <c r="D2963" s="76" t="s">
        <v>31</v>
      </c>
      <c r="E2963" s="76" t="s">
        <v>32</v>
      </c>
      <c r="F2963" s="76">
        <v>1</v>
      </c>
    </row>
    <row r="2964" spans="1:6">
      <c r="A2964">
        <v>3051</v>
      </c>
      <c r="B2964">
        <v>222020110</v>
      </c>
      <c r="C2964" s="76">
        <v>2020</v>
      </c>
      <c r="D2964" s="76" t="s">
        <v>40</v>
      </c>
      <c r="E2964" s="76">
        <v>3</v>
      </c>
      <c r="F2964" s="76">
        <v>60</v>
      </c>
    </row>
    <row r="2965" spans="1:6">
      <c r="A2965">
        <v>3053</v>
      </c>
      <c r="B2965">
        <v>222020243</v>
      </c>
      <c r="C2965" s="76">
        <v>2020</v>
      </c>
      <c r="D2965" s="76" t="s">
        <v>38</v>
      </c>
      <c r="E2965" s="76">
        <v>1</v>
      </c>
      <c r="F2965" s="76">
        <v>3.5</v>
      </c>
    </row>
    <row r="2966" spans="1:6">
      <c r="A2966">
        <v>3055</v>
      </c>
      <c r="B2966">
        <v>222020260</v>
      </c>
      <c r="C2966" s="76">
        <v>2020</v>
      </c>
      <c r="D2966" s="76" t="s">
        <v>34</v>
      </c>
      <c r="E2966" s="76">
        <v>15</v>
      </c>
      <c r="F2966" s="76">
        <v>3.8</v>
      </c>
    </row>
    <row r="2967" spans="1:6">
      <c r="A2967">
        <v>3056</v>
      </c>
      <c r="B2967">
        <v>222020260</v>
      </c>
      <c r="C2967" s="76">
        <v>2020</v>
      </c>
      <c r="D2967" s="76" t="s">
        <v>34</v>
      </c>
      <c r="E2967" s="76">
        <v>18</v>
      </c>
      <c r="F2967" s="76">
        <v>4.55</v>
      </c>
    </row>
    <row r="2968" spans="1:6">
      <c r="A2968">
        <v>3058</v>
      </c>
      <c r="B2968">
        <v>222020260</v>
      </c>
      <c r="C2968" s="76">
        <v>2020</v>
      </c>
      <c r="D2968" s="76" t="s">
        <v>34</v>
      </c>
      <c r="E2968" s="76">
        <v>14</v>
      </c>
      <c r="F2968" s="76">
        <v>4.15</v>
      </c>
    </row>
    <row r="2969" spans="1:6">
      <c r="A2969">
        <v>3057</v>
      </c>
      <c r="B2969">
        <v>222020260</v>
      </c>
      <c r="C2969" s="76">
        <v>2020</v>
      </c>
      <c r="D2969" s="76" t="s">
        <v>34</v>
      </c>
      <c r="E2969" s="76">
        <v>25</v>
      </c>
      <c r="F2969" s="76">
        <v>5</v>
      </c>
    </row>
    <row r="2970" spans="1:6">
      <c r="A2970">
        <v>3054</v>
      </c>
      <c r="B2970">
        <v>222020260</v>
      </c>
      <c r="C2970" s="76">
        <v>2020</v>
      </c>
      <c r="D2970" s="76" t="s">
        <v>34</v>
      </c>
      <c r="E2970" s="76">
        <v>95</v>
      </c>
      <c r="F2970" s="76">
        <v>21.47</v>
      </c>
    </row>
    <row r="2971" spans="1:6">
      <c r="A2971">
        <v>3068</v>
      </c>
      <c r="B2971">
        <v>222020270</v>
      </c>
      <c r="C2971" s="76">
        <v>2020</v>
      </c>
      <c r="D2971" s="76" t="s">
        <v>31</v>
      </c>
      <c r="E2971" s="76" t="s">
        <v>32</v>
      </c>
      <c r="F2971" s="76">
        <v>1</v>
      </c>
    </row>
    <row r="2972" spans="1:6">
      <c r="A2972">
        <v>3067</v>
      </c>
      <c r="B2972">
        <v>222020270</v>
      </c>
      <c r="C2972" s="76">
        <v>2020</v>
      </c>
      <c r="D2972" s="76" t="s">
        <v>31</v>
      </c>
      <c r="E2972" s="76" t="s">
        <v>32</v>
      </c>
      <c r="F2972" s="76">
        <v>1</v>
      </c>
    </row>
    <row r="2973" spans="1:6">
      <c r="A2973">
        <v>3069</v>
      </c>
      <c r="B2973">
        <v>222020270</v>
      </c>
      <c r="C2973" s="76">
        <v>2020</v>
      </c>
      <c r="D2973" s="76" t="s">
        <v>31</v>
      </c>
      <c r="E2973" s="76" t="s">
        <v>32</v>
      </c>
      <c r="F2973" s="76">
        <v>1</v>
      </c>
    </row>
    <row r="2974" spans="1:6">
      <c r="A2974">
        <v>3059</v>
      </c>
      <c r="B2974">
        <v>222020270</v>
      </c>
      <c r="C2974" s="76">
        <v>2020</v>
      </c>
      <c r="D2974" s="76" t="s">
        <v>31</v>
      </c>
      <c r="E2974" s="76" t="s">
        <v>32</v>
      </c>
      <c r="F2974" s="76">
        <v>10</v>
      </c>
    </row>
    <row r="2975" spans="1:6">
      <c r="A2975">
        <v>3061</v>
      </c>
      <c r="B2975">
        <v>222020270</v>
      </c>
      <c r="C2975" s="76">
        <v>2020</v>
      </c>
      <c r="D2975" s="76" t="s">
        <v>31</v>
      </c>
      <c r="E2975" s="76" t="s">
        <v>32</v>
      </c>
      <c r="F2975" s="76">
        <v>10</v>
      </c>
    </row>
    <row r="2976" spans="1:6">
      <c r="A2976">
        <v>3060</v>
      </c>
      <c r="B2976">
        <v>222020270</v>
      </c>
      <c r="C2976" s="76">
        <v>2020</v>
      </c>
      <c r="D2976" s="76" t="s">
        <v>31</v>
      </c>
      <c r="E2976" s="76" t="s">
        <v>32</v>
      </c>
      <c r="F2976" s="76">
        <v>1</v>
      </c>
    </row>
    <row r="2977" spans="1:6">
      <c r="A2977">
        <v>3062</v>
      </c>
      <c r="B2977">
        <v>222020270</v>
      </c>
      <c r="C2977" s="76">
        <v>2020</v>
      </c>
      <c r="D2977" s="76" t="s">
        <v>31</v>
      </c>
      <c r="E2977" s="76" t="s">
        <v>32</v>
      </c>
      <c r="F2977" s="76">
        <v>4</v>
      </c>
    </row>
    <row r="2978" spans="1:6">
      <c r="A2978">
        <v>3066</v>
      </c>
      <c r="B2978">
        <v>222020270</v>
      </c>
      <c r="C2978" s="76">
        <v>2020</v>
      </c>
      <c r="D2978" s="76" t="s">
        <v>31</v>
      </c>
      <c r="E2978" s="76" t="s">
        <v>32</v>
      </c>
      <c r="F2978" s="76">
        <v>4</v>
      </c>
    </row>
    <row r="2979" spans="1:6">
      <c r="A2979">
        <v>3065</v>
      </c>
      <c r="B2979">
        <v>222020270</v>
      </c>
      <c r="C2979" s="76">
        <v>2020</v>
      </c>
      <c r="D2979" s="76" t="s">
        <v>31</v>
      </c>
      <c r="E2979" s="76" t="s">
        <v>32</v>
      </c>
      <c r="F2979" s="76">
        <v>10</v>
      </c>
    </row>
    <row r="2980" spans="1:6">
      <c r="A2980">
        <v>3064</v>
      </c>
      <c r="B2980">
        <v>222020270</v>
      </c>
      <c r="C2980" s="76">
        <v>2020</v>
      </c>
      <c r="D2980" s="76" t="s">
        <v>31</v>
      </c>
      <c r="E2980" s="76" t="s">
        <v>32</v>
      </c>
      <c r="F2980" s="76">
        <v>10</v>
      </c>
    </row>
    <row r="2981" spans="1:6">
      <c r="A2981">
        <v>3070</v>
      </c>
      <c r="B2981">
        <v>222021110</v>
      </c>
      <c r="C2981" s="76">
        <v>2021</v>
      </c>
      <c r="D2981" s="76" t="s">
        <v>40</v>
      </c>
      <c r="E2981" s="76" t="s">
        <v>32</v>
      </c>
      <c r="F2981" s="76">
        <v>4</v>
      </c>
    </row>
    <row r="2982" spans="1:6">
      <c r="A2982">
        <v>3071</v>
      </c>
      <c r="B2982">
        <v>222021110</v>
      </c>
      <c r="C2982" s="76">
        <v>2021</v>
      </c>
      <c r="D2982" s="76" t="s">
        <v>40</v>
      </c>
      <c r="E2982" s="76" t="s">
        <v>32</v>
      </c>
      <c r="F2982" s="76">
        <v>4</v>
      </c>
    </row>
    <row r="2983" spans="1:6">
      <c r="A2983">
        <v>3072</v>
      </c>
      <c r="B2983">
        <v>222021120</v>
      </c>
      <c r="C2983" s="76">
        <v>2021</v>
      </c>
      <c r="D2983" s="76" t="s">
        <v>42</v>
      </c>
      <c r="E2983" s="76">
        <v>3</v>
      </c>
      <c r="F2983" s="76">
        <v>105</v>
      </c>
    </row>
    <row r="2984" spans="1:6">
      <c r="A2984">
        <v>3073</v>
      </c>
      <c r="B2984">
        <v>222021242</v>
      </c>
      <c r="C2984" s="76">
        <v>2021</v>
      </c>
      <c r="D2984" s="76" t="s">
        <v>35</v>
      </c>
      <c r="E2984" s="76">
        <v>1</v>
      </c>
      <c r="F2984" s="76">
        <v>1.2</v>
      </c>
    </row>
    <row r="2985" spans="1:6">
      <c r="A2985">
        <v>3074</v>
      </c>
      <c r="B2985">
        <v>222021242</v>
      </c>
      <c r="C2985" s="76">
        <v>2021</v>
      </c>
      <c r="D2985" s="76" t="s">
        <v>35</v>
      </c>
      <c r="E2985" s="76" t="s">
        <v>32</v>
      </c>
      <c r="F2985" s="76">
        <v>0.9</v>
      </c>
    </row>
    <row r="2986" spans="1:6">
      <c r="A2986">
        <v>3075</v>
      </c>
      <c r="B2986">
        <v>222021242</v>
      </c>
      <c r="C2986" s="76">
        <v>2021</v>
      </c>
      <c r="D2986" s="76" t="s">
        <v>35</v>
      </c>
      <c r="E2986" s="76" t="s">
        <v>32</v>
      </c>
      <c r="F2986" s="76">
        <v>0.75</v>
      </c>
    </row>
    <row r="2987" spans="1:6">
      <c r="A2987">
        <v>3076</v>
      </c>
      <c r="B2987">
        <v>222021243</v>
      </c>
      <c r="C2987" s="76">
        <v>2021</v>
      </c>
      <c r="D2987" s="76" t="s">
        <v>38</v>
      </c>
      <c r="E2987" s="76" t="s">
        <v>32</v>
      </c>
      <c r="F2987" s="76">
        <v>3.5</v>
      </c>
    </row>
    <row r="2988" spans="1:6">
      <c r="A2988">
        <v>3077</v>
      </c>
      <c r="B2988">
        <v>222021243</v>
      </c>
      <c r="C2988" s="76">
        <v>2021</v>
      </c>
      <c r="D2988" s="76" t="s">
        <v>38</v>
      </c>
      <c r="E2988" s="76" t="s">
        <v>32</v>
      </c>
      <c r="F2988" s="76">
        <v>3</v>
      </c>
    </row>
    <row r="2989" spans="1:6">
      <c r="A2989">
        <v>3079</v>
      </c>
      <c r="B2989">
        <v>222021243</v>
      </c>
      <c r="C2989" s="76">
        <v>2021</v>
      </c>
      <c r="D2989" s="76" t="s">
        <v>38</v>
      </c>
      <c r="E2989" s="76" t="s">
        <v>32</v>
      </c>
      <c r="F2989" s="76">
        <v>3</v>
      </c>
    </row>
    <row r="2990" spans="1:6">
      <c r="A2990">
        <v>3078</v>
      </c>
      <c r="B2990">
        <v>222021243</v>
      </c>
      <c r="C2990" s="76">
        <v>2021</v>
      </c>
      <c r="D2990" s="76" t="s">
        <v>38</v>
      </c>
      <c r="E2990" s="76" t="s">
        <v>32</v>
      </c>
      <c r="F2990" s="76">
        <v>3</v>
      </c>
    </row>
    <row r="2991" spans="1:6">
      <c r="A2991">
        <v>3086</v>
      </c>
      <c r="B2991">
        <v>222021260</v>
      </c>
      <c r="C2991" s="76">
        <v>2021</v>
      </c>
      <c r="D2991" s="76" t="s">
        <v>34</v>
      </c>
      <c r="E2991" s="76" t="s">
        <v>32</v>
      </c>
      <c r="F2991" s="76">
        <v>4.95</v>
      </c>
    </row>
    <row r="2992" spans="1:6">
      <c r="A2992">
        <v>3083</v>
      </c>
      <c r="B2992">
        <v>222021260</v>
      </c>
      <c r="C2992" s="76">
        <v>2021</v>
      </c>
      <c r="D2992" s="76" t="s">
        <v>34</v>
      </c>
      <c r="E2992" s="76">
        <v>172</v>
      </c>
      <c r="F2992" s="76">
        <v>60</v>
      </c>
    </row>
    <row r="2993" spans="1:6">
      <c r="A2993">
        <v>3081</v>
      </c>
      <c r="B2993">
        <v>222021260</v>
      </c>
      <c r="C2993" s="76">
        <v>2021</v>
      </c>
      <c r="D2993" s="76" t="s">
        <v>34</v>
      </c>
      <c r="E2993" s="76">
        <v>4</v>
      </c>
      <c r="F2993" s="76">
        <v>1.6</v>
      </c>
    </row>
    <row r="2994" spans="1:6">
      <c r="A2994">
        <v>3084</v>
      </c>
      <c r="B2994">
        <v>222021260</v>
      </c>
      <c r="C2994" s="76">
        <v>2021</v>
      </c>
      <c r="D2994" s="76" t="s">
        <v>34</v>
      </c>
      <c r="E2994" s="76">
        <v>45</v>
      </c>
      <c r="F2994" s="76">
        <v>14.85</v>
      </c>
    </row>
    <row r="2995" spans="1:6">
      <c r="A2995">
        <v>3082</v>
      </c>
      <c r="B2995">
        <v>222021260</v>
      </c>
      <c r="C2995" s="76">
        <v>2021</v>
      </c>
      <c r="D2995" s="76" t="s">
        <v>34</v>
      </c>
      <c r="E2995" s="76">
        <v>16</v>
      </c>
      <c r="F2995" s="76">
        <v>4.8</v>
      </c>
    </row>
    <row r="2996" spans="1:6">
      <c r="A2996">
        <v>3080</v>
      </c>
      <c r="B2996">
        <v>222021260</v>
      </c>
      <c r="C2996" s="76">
        <v>2021</v>
      </c>
      <c r="D2996" s="76" t="s">
        <v>34</v>
      </c>
      <c r="E2996" s="76">
        <v>14</v>
      </c>
      <c r="F2996" s="76">
        <v>3.71</v>
      </c>
    </row>
    <row r="2997" spans="1:6">
      <c r="A2997">
        <v>3085</v>
      </c>
      <c r="B2997">
        <v>222021260</v>
      </c>
      <c r="C2997" s="76">
        <v>2021</v>
      </c>
      <c r="D2997" s="76" t="s">
        <v>34</v>
      </c>
      <c r="E2997" s="76">
        <v>108</v>
      </c>
      <c r="F2997" s="76">
        <v>40</v>
      </c>
    </row>
    <row r="2998" spans="1:6">
      <c r="A2998">
        <v>3087</v>
      </c>
      <c r="B2998">
        <v>222021270</v>
      </c>
      <c r="C2998" s="76">
        <v>2021</v>
      </c>
      <c r="D2998" s="76" t="s">
        <v>31</v>
      </c>
      <c r="E2998" s="76" t="s">
        <v>32</v>
      </c>
      <c r="F2998" s="76">
        <v>1</v>
      </c>
    </row>
    <row r="2999" spans="1:6">
      <c r="A2999">
        <v>3088</v>
      </c>
      <c r="B2999">
        <v>222021270</v>
      </c>
      <c r="C2999" s="76">
        <v>2021</v>
      </c>
      <c r="D2999" s="76" t="s">
        <v>31</v>
      </c>
      <c r="E2999" s="76" t="s">
        <v>32</v>
      </c>
      <c r="F2999" s="76">
        <v>2</v>
      </c>
    </row>
    <row r="3000" spans="1:6">
      <c r="A3000">
        <v>3089</v>
      </c>
      <c r="B3000">
        <v>222021270</v>
      </c>
      <c r="C3000" s="76">
        <v>2021</v>
      </c>
      <c r="D3000" s="76" t="s">
        <v>31</v>
      </c>
      <c r="E3000" s="76" t="s">
        <v>32</v>
      </c>
      <c r="F3000" s="76">
        <v>1</v>
      </c>
    </row>
    <row r="3001" spans="1:6">
      <c r="A3001">
        <v>3090</v>
      </c>
      <c r="B3001">
        <v>222021270</v>
      </c>
      <c r="C3001" s="76">
        <v>2021</v>
      </c>
      <c r="D3001" s="76" t="s">
        <v>31</v>
      </c>
      <c r="E3001" s="76" t="s">
        <v>32</v>
      </c>
      <c r="F3001" s="76">
        <v>2</v>
      </c>
    </row>
    <row r="3002" spans="1:6">
      <c r="A3002">
        <v>3091</v>
      </c>
      <c r="B3002">
        <v>222021270</v>
      </c>
      <c r="C3002" s="76">
        <v>2021</v>
      </c>
      <c r="D3002" s="76" t="s">
        <v>31</v>
      </c>
      <c r="E3002" s="76" t="s">
        <v>32</v>
      </c>
      <c r="F3002" s="76">
        <v>3</v>
      </c>
    </row>
    <row r="3003" spans="1:6">
      <c r="A3003">
        <v>3093</v>
      </c>
      <c r="B3003">
        <v>232012110</v>
      </c>
      <c r="C3003">
        <v>2012</v>
      </c>
      <c r="D3003" t="s">
        <v>40</v>
      </c>
      <c r="E3003">
        <v>1</v>
      </c>
      <c r="F3003">
        <v>0.03</v>
      </c>
    </row>
    <row r="3004" spans="1:6">
      <c r="A3004">
        <v>3094</v>
      </c>
      <c r="B3004">
        <v>232012110</v>
      </c>
      <c r="C3004">
        <v>2012</v>
      </c>
      <c r="D3004" t="s">
        <v>40</v>
      </c>
      <c r="E3004">
        <v>2</v>
      </c>
      <c r="F3004">
        <v>0.05</v>
      </c>
    </row>
    <row r="3005" spans="1:6">
      <c r="A3005">
        <v>3092</v>
      </c>
      <c r="B3005">
        <v>232012110</v>
      </c>
      <c r="C3005">
        <v>2012</v>
      </c>
      <c r="D3005" t="s">
        <v>40</v>
      </c>
      <c r="E3005">
        <v>2</v>
      </c>
      <c r="F3005">
        <v>0.32</v>
      </c>
    </row>
    <row r="3006" spans="1:6">
      <c r="A3006">
        <v>3095</v>
      </c>
      <c r="B3006">
        <v>232012223</v>
      </c>
      <c r="C3006">
        <v>2012</v>
      </c>
      <c r="D3006" t="s">
        <v>36</v>
      </c>
      <c r="E3006">
        <v>2</v>
      </c>
      <c r="F3006">
        <v>2.4</v>
      </c>
    </row>
    <row r="3007" spans="1:6">
      <c r="A3007">
        <v>3096</v>
      </c>
      <c r="B3007">
        <v>232012241</v>
      </c>
      <c r="C3007">
        <v>2012</v>
      </c>
      <c r="D3007" t="s">
        <v>33</v>
      </c>
      <c r="E3007">
        <v>2</v>
      </c>
      <c r="F3007">
        <v>8</v>
      </c>
    </row>
    <row r="3008" spans="1:6">
      <c r="A3008">
        <v>3098</v>
      </c>
      <c r="B3008">
        <v>232012243</v>
      </c>
      <c r="C3008">
        <v>2012</v>
      </c>
      <c r="D3008" t="s">
        <v>38</v>
      </c>
      <c r="E3008">
        <v>2</v>
      </c>
      <c r="F3008">
        <v>0.6</v>
      </c>
    </row>
    <row r="3009" spans="1:6">
      <c r="A3009">
        <v>3097</v>
      </c>
      <c r="B3009">
        <v>232012243</v>
      </c>
      <c r="C3009">
        <v>2012</v>
      </c>
      <c r="D3009" t="s">
        <v>38</v>
      </c>
      <c r="E3009">
        <v>2</v>
      </c>
      <c r="F3009">
        <v>1.2</v>
      </c>
    </row>
    <row r="3010" spans="1:6">
      <c r="A3010">
        <v>3099</v>
      </c>
      <c r="B3010">
        <v>232012243</v>
      </c>
      <c r="C3010">
        <v>2012</v>
      </c>
      <c r="D3010" t="s">
        <v>38</v>
      </c>
      <c r="E3010">
        <v>2</v>
      </c>
      <c r="F3010">
        <v>3.6</v>
      </c>
    </row>
    <row r="3011" spans="1:6">
      <c r="A3011">
        <v>3105</v>
      </c>
      <c r="B3011">
        <v>232012260</v>
      </c>
      <c r="C3011">
        <v>2012</v>
      </c>
      <c r="D3011" t="s">
        <v>34</v>
      </c>
      <c r="E3011">
        <v>21</v>
      </c>
      <c r="F3011">
        <v>3.15</v>
      </c>
    </row>
    <row r="3012" spans="1:6">
      <c r="A3012">
        <v>3114</v>
      </c>
      <c r="B3012">
        <v>232012260</v>
      </c>
      <c r="C3012">
        <v>2012</v>
      </c>
      <c r="D3012" t="s">
        <v>34</v>
      </c>
      <c r="E3012">
        <v>33</v>
      </c>
      <c r="F3012">
        <v>4.95</v>
      </c>
    </row>
    <row r="3013" spans="1:6">
      <c r="A3013">
        <v>3112</v>
      </c>
      <c r="B3013">
        <v>232012260</v>
      </c>
      <c r="C3013">
        <v>2012</v>
      </c>
      <c r="D3013" t="s">
        <v>34</v>
      </c>
      <c r="E3013">
        <v>32</v>
      </c>
      <c r="F3013">
        <v>9.6</v>
      </c>
    </row>
    <row r="3014" spans="1:6">
      <c r="A3014">
        <v>3107</v>
      </c>
      <c r="B3014">
        <v>232012260</v>
      </c>
      <c r="C3014">
        <v>2012</v>
      </c>
      <c r="D3014" t="s">
        <v>34</v>
      </c>
      <c r="E3014">
        <v>16</v>
      </c>
      <c r="F3014">
        <v>4.8</v>
      </c>
    </row>
    <row r="3015" spans="1:6">
      <c r="A3015">
        <v>3108</v>
      </c>
      <c r="B3015">
        <v>232012260</v>
      </c>
      <c r="C3015">
        <v>2012</v>
      </c>
      <c r="D3015" t="s">
        <v>34</v>
      </c>
      <c r="E3015">
        <v>16</v>
      </c>
      <c r="F3015">
        <v>4.8</v>
      </c>
    </row>
    <row r="3016" spans="1:6">
      <c r="A3016">
        <v>3100</v>
      </c>
      <c r="B3016">
        <v>232012260</v>
      </c>
      <c r="C3016">
        <v>2012</v>
      </c>
      <c r="D3016" t="s">
        <v>34</v>
      </c>
      <c r="E3016">
        <v>33</v>
      </c>
      <c r="F3016">
        <v>4.95</v>
      </c>
    </row>
    <row r="3017" spans="1:6">
      <c r="A3017">
        <v>3111</v>
      </c>
      <c r="B3017">
        <v>232012260</v>
      </c>
      <c r="C3017">
        <v>2012</v>
      </c>
      <c r="D3017" t="s">
        <v>34</v>
      </c>
      <c r="E3017">
        <v>24</v>
      </c>
      <c r="F3017">
        <v>3.6</v>
      </c>
    </row>
    <row r="3018" spans="1:6">
      <c r="A3018">
        <v>3109</v>
      </c>
      <c r="B3018">
        <v>232012260</v>
      </c>
      <c r="C3018">
        <v>2012</v>
      </c>
      <c r="D3018" t="s">
        <v>34</v>
      </c>
      <c r="E3018">
        <v>25</v>
      </c>
      <c r="F3018">
        <v>5</v>
      </c>
    </row>
    <row r="3019" spans="1:6">
      <c r="A3019">
        <v>3101</v>
      </c>
      <c r="B3019">
        <v>232012260</v>
      </c>
      <c r="C3019">
        <v>2012</v>
      </c>
      <c r="D3019" t="s">
        <v>34</v>
      </c>
      <c r="E3019">
        <v>25</v>
      </c>
      <c r="F3019">
        <v>3.1</v>
      </c>
    </row>
    <row r="3020" spans="1:6">
      <c r="A3020">
        <v>3106</v>
      </c>
      <c r="B3020">
        <v>232012260</v>
      </c>
      <c r="C3020">
        <v>2012</v>
      </c>
      <c r="D3020" t="s">
        <v>34</v>
      </c>
      <c r="E3020">
        <v>33</v>
      </c>
      <c r="F3020">
        <v>4.95</v>
      </c>
    </row>
    <row r="3021" spans="1:6">
      <c r="A3021">
        <v>3103</v>
      </c>
      <c r="B3021">
        <v>232012260</v>
      </c>
      <c r="C3021">
        <v>2012</v>
      </c>
      <c r="D3021" t="s">
        <v>34</v>
      </c>
      <c r="E3021">
        <v>20</v>
      </c>
      <c r="F3021">
        <v>3</v>
      </c>
    </row>
    <row r="3022" spans="1:6">
      <c r="A3022">
        <v>3104</v>
      </c>
      <c r="B3022">
        <v>232012260</v>
      </c>
      <c r="C3022">
        <v>2012</v>
      </c>
      <c r="D3022" t="s">
        <v>34</v>
      </c>
      <c r="E3022">
        <v>33</v>
      </c>
      <c r="F3022">
        <v>4.95</v>
      </c>
    </row>
    <row r="3023" spans="1:6">
      <c r="A3023">
        <v>3113</v>
      </c>
      <c r="B3023">
        <v>232012260</v>
      </c>
      <c r="C3023">
        <v>2012</v>
      </c>
      <c r="D3023" t="s">
        <v>34</v>
      </c>
      <c r="E3023">
        <v>33</v>
      </c>
      <c r="F3023">
        <v>4.95</v>
      </c>
    </row>
    <row r="3024" spans="1:6">
      <c r="A3024">
        <v>3110</v>
      </c>
      <c r="B3024">
        <v>232012260</v>
      </c>
      <c r="C3024">
        <v>2012</v>
      </c>
      <c r="D3024" t="s">
        <v>34</v>
      </c>
      <c r="E3024">
        <v>16</v>
      </c>
      <c r="F3024">
        <v>2.4</v>
      </c>
    </row>
    <row r="3025" spans="1:6">
      <c r="A3025">
        <v>3115</v>
      </c>
      <c r="B3025">
        <v>232012260</v>
      </c>
      <c r="C3025">
        <v>2012</v>
      </c>
      <c r="D3025" t="s">
        <v>34</v>
      </c>
      <c r="E3025">
        <v>33</v>
      </c>
      <c r="F3025">
        <v>4.95</v>
      </c>
    </row>
    <row r="3026" spans="1:6">
      <c r="A3026">
        <v>3102</v>
      </c>
      <c r="B3026">
        <v>232012260</v>
      </c>
      <c r="C3026">
        <v>2012</v>
      </c>
      <c r="D3026" t="s">
        <v>34</v>
      </c>
      <c r="E3026">
        <v>14</v>
      </c>
      <c r="F3026">
        <v>2.1</v>
      </c>
    </row>
    <row r="3027" spans="1:6">
      <c r="A3027">
        <v>3116</v>
      </c>
      <c r="B3027">
        <v>232013110</v>
      </c>
      <c r="C3027">
        <v>2013</v>
      </c>
      <c r="D3027" t="s">
        <v>40</v>
      </c>
      <c r="E3027">
        <v>6</v>
      </c>
      <c r="F3027">
        <v>0.64</v>
      </c>
    </row>
    <row r="3028" spans="1:6">
      <c r="A3028">
        <v>3117</v>
      </c>
      <c r="B3028">
        <v>232013110</v>
      </c>
      <c r="C3028">
        <v>2013</v>
      </c>
      <c r="D3028" t="s">
        <v>40</v>
      </c>
      <c r="E3028">
        <v>1</v>
      </c>
      <c r="F3028">
        <v>0.04</v>
      </c>
    </row>
    <row r="3029" spans="1:6">
      <c r="A3029">
        <v>3118</v>
      </c>
      <c r="B3029">
        <v>232013110</v>
      </c>
      <c r="C3029">
        <v>2013</v>
      </c>
      <c r="D3029" t="s">
        <v>40</v>
      </c>
      <c r="E3029">
        <v>3</v>
      </c>
      <c r="F3029">
        <v>0.03</v>
      </c>
    </row>
    <row r="3030" spans="1:6">
      <c r="A3030">
        <v>3119</v>
      </c>
      <c r="B3030">
        <v>232013110</v>
      </c>
      <c r="C3030">
        <v>2013</v>
      </c>
      <c r="D3030" t="s">
        <v>40</v>
      </c>
      <c r="E3030">
        <v>5</v>
      </c>
      <c r="F3030">
        <v>1.25</v>
      </c>
    </row>
    <row r="3031" spans="1:6">
      <c r="A3031">
        <v>3121</v>
      </c>
      <c r="B3031">
        <v>232013211</v>
      </c>
      <c r="C3031">
        <v>2013</v>
      </c>
      <c r="D3031" t="s">
        <v>37</v>
      </c>
      <c r="E3031">
        <v>2</v>
      </c>
      <c r="F3031">
        <v>70</v>
      </c>
    </row>
    <row r="3032" spans="1:6">
      <c r="A3032">
        <v>3120</v>
      </c>
      <c r="B3032">
        <v>232013211</v>
      </c>
      <c r="C3032">
        <v>2013</v>
      </c>
      <c r="D3032" t="s">
        <v>37</v>
      </c>
      <c r="E3032">
        <v>1</v>
      </c>
      <c r="F3032">
        <v>30</v>
      </c>
    </row>
    <row r="3033" spans="1:6">
      <c r="A3033">
        <v>3122</v>
      </c>
      <c r="B3033">
        <v>232013241</v>
      </c>
      <c r="C3033">
        <v>2013</v>
      </c>
      <c r="D3033" t="s">
        <v>33</v>
      </c>
      <c r="E3033">
        <v>2</v>
      </c>
      <c r="F3033">
        <v>10</v>
      </c>
    </row>
    <row r="3034" spans="1:6">
      <c r="A3034">
        <v>3127</v>
      </c>
      <c r="B3034">
        <v>232013241</v>
      </c>
      <c r="C3034">
        <v>2013</v>
      </c>
      <c r="D3034" t="s">
        <v>33</v>
      </c>
      <c r="E3034">
        <v>1</v>
      </c>
      <c r="F3034">
        <v>1.2</v>
      </c>
    </row>
    <row r="3035" spans="1:6">
      <c r="A3035">
        <v>3124</v>
      </c>
      <c r="B3035">
        <v>232013241</v>
      </c>
      <c r="C3035">
        <v>2013</v>
      </c>
      <c r="D3035" t="s">
        <v>33</v>
      </c>
      <c r="E3035">
        <v>2</v>
      </c>
      <c r="F3035">
        <v>2.7</v>
      </c>
    </row>
    <row r="3036" spans="1:6">
      <c r="A3036">
        <v>3123</v>
      </c>
      <c r="B3036">
        <v>232013241</v>
      </c>
      <c r="C3036">
        <v>2013</v>
      </c>
      <c r="D3036" t="s">
        <v>33</v>
      </c>
      <c r="E3036">
        <v>2</v>
      </c>
      <c r="F3036">
        <v>3</v>
      </c>
    </row>
    <row r="3037" spans="1:6">
      <c r="A3037">
        <v>3125</v>
      </c>
      <c r="B3037">
        <v>232013241</v>
      </c>
      <c r="C3037">
        <v>2013</v>
      </c>
      <c r="D3037" t="s">
        <v>33</v>
      </c>
      <c r="E3037">
        <v>2</v>
      </c>
      <c r="F3037">
        <v>2.4</v>
      </c>
    </row>
    <row r="3038" spans="1:6">
      <c r="A3038">
        <v>3126</v>
      </c>
      <c r="B3038">
        <v>232013241</v>
      </c>
      <c r="C3038">
        <v>2013</v>
      </c>
      <c r="D3038" t="s">
        <v>33</v>
      </c>
      <c r="E3038">
        <v>1</v>
      </c>
      <c r="F3038">
        <v>3</v>
      </c>
    </row>
    <row r="3039" spans="1:6">
      <c r="A3039">
        <v>3128</v>
      </c>
      <c r="B3039">
        <v>232013243</v>
      </c>
      <c r="C3039">
        <v>2013</v>
      </c>
      <c r="D3039" t="s">
        <v>38</v>
      </c>
      <c r="E3039">
        <v>1</v>
      </c>
      <c r="F3039">
        <v>0.6</v>
      </c>
    </row>
    <row r="3040" spans="1:6">
      <c r="A3040">
        <v>3129</v>
      </c>
      <c r="B3040">
        <v>232013243</v>
      </c>
      <c r="C3040">
        <v>2013</v>
      </c>
      <c r="D3040" t="s">
        <v>38</v>
      </c>
      <c r="E3040">
        <v>2</v>
      </c>
      <c r="F3040">
        <v>2.7</v>
      </c>
    </row>
    <row r="3041" spans="1:6">
      <c r="A3041">
        <v>3137</v>
      </c>
      <c r="B3041">
        <v>232013260</v>
      </c>
      <c r="C3041">
        <v>2013</v>
      </c>
      <c r="D3041" t="s">
        <v>34</v>
      </c>
      <c r="E3041">
        <v>12</v>
      </c>
      <c r="F3041">
        <v>1.8</v>
      </c>
    </row>
    <row r="3042" spans="1:6">
      <c r="A3042">
        <v>3142</v>
      </c>
      <c r="B3042">
        <v>232013260</v>
      </c>
      <c r="C3042">
        <v>2013</v>
      </c>
      <c r="D3042" t="s">
        <v>34</v>
      </c>
      <c r="E3042">
        <v>33</v>
      </c>
      <c r="F3042">
        <v>4.95</v>
      </c>
    </row>
    <row r="3043" spans="1:6">
      <c r="A3043">
        <v>3130</v>
      </c>
      <c r="B3043">
        <v>232013260</v>
      </c>
      <c r="C3043">
        <v>2013</v>
      </c>
      <c r="D3043" t="s">
        <v>34</v>
      </c>
      <c r="E3043">
        <v>10</v>
      </c>
      <c r="F3043">
        <v>1.5</v>
      </c>
    </row>
    <row r="3044" spans="1:6">
      <c r="A3044">
        <v>3131</v>
      </c>
      <c r="B3044">
        <v>232013260</v>
      </c>
      <c r="C3044">
        <v>2013</v>
      </c>
      <c r="D3044" t="s">
        <v>34</v>
      </c>
      <c r="E3044">
        <v>33</v>
      </c>
      <c r="F3044">
        <v>4.95</v>
      </c>
    </row>
    <row r="3045" spans="1:6">
      <c r="A3045">
        <v>3136</v>
      </c>
      <c r="B3045">
        <v>232013260</v>
      </c>
      <c r="C3045">
        <v>2013</v>
      </c>
      <c r="D3045" t="s">
        <v>34</v>
      </c>
      <c r="E3045">
        <v>66</v>
      </c>
      <c r="F3045">
        <v>9.9</v>
      </c>
    </row>
    <row r="3046" spans="1:6">
      <c r="A3046">
        <v>3138</v>
      </c>
      <c r="B3046">
        <v>232013260</v>
      </c>
      <c r="C3046">
        <v>2013</v>
      </c>
      <c r="D3046" t="s">
        <v>34</v>
      </c>
      <c r="E3046">
        <v>33</v>
      </c>
      <c r="F3046">
        <v>4.95</v>
      </c>
    </row>
    <row r="3047" spans="1:6">
      <c r="A3047">
        <v>3134</v>
      </c>
      <c r="B3047">
        <v>232013260</v>
      </c>
      <c r="C3047">
        <v>2013</v>
      </c>
      <c r="D3047" t="s">
        <v>34</v>
      </c>
      <c r="E3047">
        <v>21</v>
      </c>
      <c r="F3047">
        <v>4.83</v>
      </c>
    </row>
    <row r="3048" spans="1:6">
      <c r="A3048">
        <v>3132</v>
      </c>
      <c r="B3048">
        <v>232013260</v>
      </c>
      <c r="C3048">
        <v>2013</v>
      </c>
      <c r="D3048" t="s">
        <v>34</v>
      </c>
      <c r="E3048">
        <v>25</v>
      </c>
      <c r="F3048">
        <v>3.75</v>
      </c>
    </row>
    <row r="3049" spans="1:6">
      <c r="A3049">
        <v>3143</v>
      </c>
      <c r="B3049">
        <v>232013260</v>
      </c>
      <c r="C3049">
        <v>2013</v>
      </c>
      <c r="D3049" t="s">
        <v>34</v>
      </c>
      <c r="E3049">
        <v>33</v>
      </c>
      <c r="F3049">
        <v>4.95</v>
      </c>
    </row>
    <row r="3050" spans="1:6">
      <c r="A3050">
        <v>3140</v>
      </c>
      <c r="B3050">
        <v>232013260</v>
      </c>
      <c r="C3050">
        <v>2013</v>
      </c>
      <c r="D3050" t="s">
        <v>34</v>
      </c>
      <c r="E3050">
        <v>25</v>
      </c>
      <c r="F3050">
        <v>4.98</v>
      </c>
    </row>
    <row r="3051" spans="1:6">
      <c r="A3051">
        <v>3139</v>
      </c>
      <c r="B3051">
        <v>232013260</v>
      </c>
      <c r="C3051">
        <v>2013</v>
      </c>
      <c r="D3051" t="s">
        <v>34</v>
      </c>
      <c r="E3051">
        <v>25</v>
      </c>
      <c r="F3051">
        <v>4.98</v>
      </c>
    </row>
    <row r="3052" spans="1:6">
      <c r="A3052">
        <v>3135</v>
      </c>
      <c r="B3052">
        <v>232013260</v>
      </c>
      <c r="C3052">
        <v>2013</v>
      </c>
      <c r="D3052" t="s">
        <v>34</v>
      </c>
      <c r="E3052">
        <v>33</v>
      </c>
      <c r="F3052">
        <v>4.95</v>
      </c>
    </row>
    <row r="3053" spans="1:6">
      <c r="A3053">
        <v>3133</v>
      </c>
      <c r="B3053">
        <v>232013260</v>
      </c>
      <c r="C3053">
        <v>2013</v>
      </c>
      <c r="D3053" t="s">
        <v>34</v>
      </c>
      <c r="E3053">
        <v>13</v>
      </c>
      <c r="F3053">
        <v>1.95</v>
      </c>
    </row>
    <row r="3054" spans="1:6">
      <c r="A3054">
        <v>3141</v>
      </c>
      <c r="B3054">
        <v>232013260</v>
      </c>
      <c r="C3054">
        <v>2013</v>
      </c>
      <c r="D3054" t="s">
        <v>34</v>
      </c>
      <c r="E3054">
        <v>33</v>
      </c>
      <c r="F3054">
        <v>4.95</v>
      </c>
    </row>
    <row r="3055" spans="1:6">
      <c r="A3055">
        <v>3145</v>
      </c>
      <c r="B3055">
        <v>232013270</v>
      </c>
      <c r="C3055">
        <v>2013</v>
      </c>
      <c r="D3055" t="s">
        <v>31</v>
      </c>
      <c r="E3055" t="s">
        <v>32</v>
      </c>
      <c r="F3055">
        <v>0.99</v>
      </c>
    </row>
    <row r="3056" spans="1:6">
      <c r="A3056">
        <v>3144</v>
      </c>
      <c r="B3056">
        <v>232013270</v>
      </c>
      <c r="C3056">
        <v>2013</v>
      </c>
      <c r="D3056" t="s">
        <v>31</v>
      </c>
      <c r="E3056" t="s">
        <v>32</v>
      </c>
      <c r="F3056">
        <v>0.01</v>
      </c>
    </row>
    <row r="3057" spans="1:6">
      <c r="A3057">
        <v>3146</v>
      </c>
      <c r="B3057">
        <v>232014110</v>
      </c>
      <c r="C3057">
        <v>2014</v>
      </c>
      <c r="D3057" t="s">
        <v>40</v>
      </c>
      <c r="E3057">
        <v>2</v>
      </c>
      <c r="F3057">
        <v>0.05</v>
      </c>
    </row>
    <row r="3058" spans="1:6">
      <c r="A3058">
        <v>3147</v>
      </c>
      <c r="B3058">
        <v>232014110</v>
      </c>
      <c r="C3058">
        <v>2014</v>
      </c>
      <c r="D3058" t="s">
        <v>40</v>
      </c>
      <c r="E3058">
        <v>1</v>
      </c>
      <c r="F3058">
        <v>0.02</v>
      </c>
    </row>
    <row r="3059" spans="1:6">
      <c r="A3059">
        <v>3148</v>
      </c>
      <c r="B3059">
        <v>232014211</v>
      </c>
      <c r="C3059">
        <v>2014</v>
      </c>
      <c r="D3059" t="s">
        <v>37</v>
      </c>
      <c r="E3059">
        <v>2</v>
      </c>
      <c r="F3059">
        <v>70</v>
      </c>
    </row>
    <row r="3060" spans="1:6">
      <c r="A3060">
        <v>3150</v>
      </c>
      <c r="B3060">
        <v>232014241</v>
      </c>
      <c r="C3060">
        <v>2014</v>
      </c>
      <c r="D3060" t="s">
        <v>33</v>
      </c>
      <c r="E3060">
        <v>1</v>
      </c>
      <c r="F3060">
        <v>5</v>
      </c>
    </row>
    <row r="3061" spans="1:6">
      <c r="A3061">
        <v>3152</v>
      </c>
      <c r="B3061">
        <v>232014241</v>
      </c>
      <c r="C3061">
        <v>2014</v>
      </c>
      <c r="D3061" t="s">
        <v>33</v>
      </c>
      <c r="F3061">
        <v>2</v>
      </c>
    </row>
    <row r="3062" spans="1:6">
      <c r="A3062">
        <v>3151</v>
      </c>
      <c r="B3062">
        <v>232014241</v>
      </c>
      <c r="C3062">
        <v>2014</v>
      </c>
      <c r="D3062" t="s">
        <v>33</v>
      </c>
      <c r="E3062">
        <v>2</v>
      </c>
      <c r="F3062">
        <v>2.4</v>
      </c>
    </row>
    <row r="3063" spans="1:6">
      <c r="A3063">
        <v>3149</v>
      </c>
      <c r="B3063">
        <v>232014241</v>
      </c>
      <c r="C3063">
        <v>2014</v>
      </c>
      <c r="D3063" t="s">
        <v>33</v>
      </c>
      <c r="E3063">
        <v>1</v>
      </c>
      <c r="F3063">
        <v>0.6</v>
      </c>
    </row>
    <row r="3064" spans="1:6">
      <c r="A3064">
        <v>3153</v>
      </c>
      <c r="B3064">
        <v>232014241</v>
      </c>
      <c r="C3064">
        <v>2014</v>
      </c>
      <c r="D3064" t="s">
        <v>33</v>
      </c>
      <c r="E3064">
        <v>1</v>
      </c>
      <c r="F3064">
        <v>1.2</v>
      </c>
    </row>
    <row r="3065" spans="1:6">
      <c r="A3065">
        <v>3154</v>
      </c>
      <c r="B3065">
        <v>232014242</v>
      </c>
      <c r="C3065">
        <v>2014</v>
      </c>
      <c r="D3065" t="s">
        <v>35</v>
      </c>
      <c r="E3065">
        <v>1</v>
      </c>
      <c r="F3065">
        <v>0.6</v>
      </c>
    </row>
    <row r="3066" spans="1:6">
      <c r="A3066">
        <v>3155</v>
      </c>
      <c r="B3066">
        <v>232014242</v>
      </c>
      <c r="C3066">
        <v>2014</v>
      </c>
      <c r="D3066" t="s">
        <v>35</v>
      </c>
      <c r="E3066">
        <v>2</v>
      </c>
      <c r="F3066">
        <v>0.6</v>
      </c>
    </row>
    <row r="3067" spans="1:6">
      <c r="A3067">
        <v>3157</v>
      </c>
      <c r="B3067">
        <v>232014243</v>
      </c>
      <c r="C3067">
        <v>2014</v>
      </c>
      <c r="D3067" t="s">
        <v>38</v>
      </c>
      <c r="E3067">
        <v>6</v>
      </c>
      <c r="F3067">
        <v>0.05</v>
      </c>
    </row>
    <row r="3068" spans="1:6">
      <c r="A3068">
        <v>3158</v>
      </c>
      <c r="B3068">
        <v>232014243</v>
      </c>
      <c r="C3068">
        <v>2014</v>
      </c>
      <c r="D3068" t="s">
        <v>38</v>
      </c>
      <c r="E3068">
        <v>1</v>
      </c>
      <c r="F3068">
        <v>3</v>
      </c>
    </row>
    <row r="3069" spans="1:6">
      <c r="A3069">
        <v>3159</v>
      </c>
      <c r="B3069">
        <v>232014243</v>
      </c>
      <c r="C3069">
        <v>2014</v>
      </c>
      <c r="D3069" t="s">
        <v>38</v>
      </c>
      <c r="E3069">
        <v>1</v>
      </c>
      <c r="F3069">
        <v>1.2</v>
      </c>
    </row>
    <row r="3070" spans="1:6">
      <c r="A3070">
        <v>3156</v>
      </c>
      <c r="B3070">
        <v>232014243</v>
      </c>
      <c r="C3070">
        <v>2014</v>
      </c>
      <c r="D3070" t="s">
        <v>38</v>
      </c>
      <c r="E3070">
        <v>1</v>
      </c>
      <c r="F3070">
        <v>0.36</v>
      </c>
    </row>
    <row r="3071" spans="1:6">
      <c r="A3071">
        <v>3160</v>
      </c>
      <c r="B3071">
        <v>232014243</v>
      </c>
      <c r="C3071">
        <v>2014</v>
      </c>
      <c r="D3071" t="s">
        <v>38</v>
      </c>
      <c r="E3071">
        <v>1</v>
      </c>
      <c r="F3071">
        <v>1.2</v>
      </c>
    </row>
    <row r="3072" spans="1:6">
      <c r="A3072">
        <v>3173</v>
      </c>
      <c r="B3072">
        <v>232014260</v>
      </c>
      <c r="C3072">
        <v>2014</v>
      </c>
      <c r="D3072" t="s">
        <v>34</v>
      </c>
      <c r="E3072">
        <v>33</v>
      </c>
      <c r="F3072">
        <v>4.95</v>
      </c>
    </row>
    <row r="3073" spans="1:6">
      <c r="A3073">
        <v>3175</v>
      </c>
      <c r="B3073">
        <v>232014260</v>
      </c>
      <c r="C3073">
        <v>2014</v>
      </c>
      <c r="D3073" t="s">
        <v>34</v>
      </c>
      <c r="E3073">
        <v>19</v>
      </c>
      <c r="F3073">
        <v>3.8</v>
      </c>
    </row>
    <row r="3074" spans="1:6">
      <c r="A3074">
        <v>3162</v>
      </c>
      <c r="B3074">
        <v>232014260</v>
      </c>
      <c r="C3074">
        <v>2014</v>
      </c>
      <c r="D3074" t="s">
        <v>34</v>
      </c>
      <c r="E3074">
        <v>17</v>
      </c>
      <c r="F3074">
        <v>2.55</v>
      </c>
    </row>
    <row r="3075" spans="1:6">
      <c r="A3075">
        <v>3164</v>
      </c>
      <c r="B3075">
        <v>232014260</v>
      </c>
      <c r="C3075">
        <v>2014</v>
      </c>
      <c r="D3075" t="s">
        <v>34</v>
      </c>
      <c r="E3075">
        <v>132</v>
      </c>
      <c r="F3075">
        <v>19.8</v>
      </c>
    </row>
    <row r="3076" spans="1:6">
      <c r="A3076">
        <v>3176</v>
      </c>
      <c r="B3076">
        <v>232014260</v>
      </c>
      <c r="C3076">
        <v>2014</v>
      </c>
      <c r="D3076" t="s">
        <v>34</v>
      </c>
      <c r="E3076">
        <v>10</v>
      </c>
      <c r="F3076">
        <v>1.5</v>
      </c>
    </row>
    <row r="3077" spans="1:6">
      <c r="A3077">
        <v>3168</v>
      </c>
      <c r="B3077">
        <v>232014260</v>
      </c>
      <c r="C3077">
        <v>2014</v>
      </c>
      <c r="D3077" t="s">
        <v>34</v>
      </c>
      <c r="E3077">
        <v>25</v>
      </c>
      <c r="F3077">
        <v>5</v>
      </c>
    </row>
    <row r="3078" spans="1:6">
      <c r="A3078">
        <v>3163</v>
      </c>
      <c r="B3078">
        <v>232014260</v>
      </c>
      <c r="C3078">
        <v>2014</v>
      </c>
      <c r="D3078" t="s">
        <v>34</v>
      </c>
      <c r="E3078">
        <v>33</v>
      </c>
      <c r="F3078">
        <v>4.95</v>
      </c>
    </row>
    <row r="3079" spans="1:6">
      <c r="A3079">
        <v>3165</v>
      </c>
      <c r="B3079">
        <v>232014260</v>
      </c>
      <c r="C3079">
        <v>2014</v>
      </c>
      <c r="D3079" t="s">
        <v>34</v>
      </c>
      <c r="E3079">
        <v>33</v>
      </c>
      <c r="F3079">
        <v>4.95</v>
      </c>
    </row>
    <row r="3080" spans="1:6">
      <c r="A3080">
        <v>3172</v>
      </c>
      <c r="B3080">
        <v>232014260</v>
      </c>
      <c r="C3080">
        <v>2014</v>
      </c>
      <c r="D3080" t="s">
        <v>34</v>
      </c>
      <c r="E3080">
        <v>25</v>
      </c>
      <c r="F3080">
        <v>4.95</v>
      </c>
    </row>
    <row r="3081" spans="1:6">
      <c r="A3081">
        <v>3161</v>
      </c>
      <c r="B3081">
        <v>232014260</v>
      </c>
      <c r="C3081">
        <v>2014</v>
      </c>
      <c r="D3081" t="s">
        <v>34</v>
      </c>
      <c r="E3081">
        <v>23</v>
      </c>
      <c r="F3081">
        <v>3.45</v>
      </c>
    </row>
    <row r="3082" spans="1:6">
      <c r="A3082">
        <v>3169</v>
      </c>
      <c r="B3082">
        <v>232014260</v>
      </c>
      <c r="C3082">
        <v>2014</v>
      </c>
      <c r="D3082" t="s">
        <v>34</v>
      </c>
      <c r="E3082">
        <v>25</v>
      </c>
      <c r="F3082">
        <v>4.95</v>
      </c>
    </row>
    <row r="3083" spans="1:6">
      <c r="A3083">
        <v>3167</v>
      </c>
      <c r="B3083">
        <v>232014260</v>
      </c>
      <c r="C3083">
        <v>2014</v>
      </c>
      <c r="D3083" t="s">
        <v>34</v>
      </c>
      <c r="E3083">
        <v>33</v>
      </c>
      <c r="F3083">
        <v>4.95</v>
      </c>
    </row>
    <row r="3084" spans="1:6">
      <c r="A3084">
        <v>3174</v>
      </c>
      <c r="B3084">
        <v>232014260</v>
      </c>
      <c r="C3084">
        <v>2014</v>
      </c>
      <c r="D3084" t="s">
        <v>34</v>
      </c>
      <c r="E3084">
        <v>33</v>
      </c>
      <c r="F3084">
        <v>4.95</v>
      </c>
    </row>
    <row r="3085" spans="1:6">
      <c r="A3085">
        <v>3170</v>
      </c>
      <c r="B3085">
        <v>232014260</v>
      </c>
      <c r="C3085">
        <v>2014</v>
      </c>
      <c r="D3085" t="s">
        <v>34</v>
      </c>
      <c r="E3085">
        <v>33</v>
      </c>
      <c r="F3085">
        <v>4.95</v>
      </c>
    </row>
    <row r="3086" spans="1:6">
      <c r="A3086">
        <v>3171</v>
      </c>
      <c r="B3086">
        <v>232014260</v>
      </c>
      <c r="C3086">
        <v>2014</v>
      </c>
      <c r="D3086" t="s">
        <v>34</v>
      </c>
      <c r="E3086">
        <v>33</v>
      </c>
      <c r="F3086">
        <v>4.95</v>
      </c>
    </row>
    <row r="3087" spans="1:6">
      <c r="A3087">
        <v>3166</v>
      </c>
      <c r="B3087">
        <v>232014260</v>
      </c>
      <c r="C3087">
        <v>2014</v>
      </c>
      <c r="D3087" t="s">
        <v>34</v>
      </c>
      <c r="E3087">
        <v>33</v>
      </c>
      <c r="F3087">
        <v>4.95</v>
      </c>
    </row>
    <row r="3088" spans="1:6">
      <c r="A3088">
        <v>3178</v>
      </c>
      <c r="B3088">
        <v>232014270</v>
      </c>
      <c r="C3088">
        <v>2014</v>
      </c>
      <c r="D3088" t="s">
        <v>31</v>
      </c>
      <c r="F3088">
        <v>0.07</v>
      </c>
    </row>
    <row r="3089" spans="1:6">
      <c r="A3089">
        <v>3177</v>
      </c>
      <c r="B3089">
        <v>232014270</v>
      </c>
      <c r="C3089">
        <v>2014</v>
      </c>
      <c r="D3089" t="s">
        <v>31</v>
      </c>
      <c r="F3089">
        <v>0.01</v>
      </c>
    </row>
    <row r="3090" spans="1:6">
      <c r="A3090">
        <v>3181</v>
      </c>
      <c r="B3090">
        <v>232015110</v>
      </c>
      <c r="C3090">
        <v>2015</v>
      </c>
      <c r="D3090" t="s">
        <v>40</v>
      </c>
      <c r="E3090" t="s">
        <v>32</v>
      </c>
      <c r="F3090">
        <v>0.13</v>
      </c>
    </row>
    <row r="3091" spans="1:6">
      <c r="A3091">
        <v>3180</v>
      </c>
      <c r="B3091">
        <v>232015110</v>
      </c>
      <c r="C3091">
        <v>2015</v>
      </c>
      <c r="D3091" t="s">
        <v>40</v>
      </c>
      <c r="E3091" t="s">
        <v>32</v>
      </c>
      <c r="F3091">
        <v>0.96</v>
      </c>
    </row>
    <row r="3092" spans="1:6">
      <c r="A3092">
        <v>3179</v>
      </c>
      <c r="B3092">
        <v>232015110</v>
      </c>
      <c r="C3092">
        <v>2015</v>
      </c>
      <c r="D3092" t="s">
        <v>40</v>
      </c>
      <c r="E3092">
        <v>5</v>
      </c>
      <c r="F3092">
        <v>3.3</v>
      </c>
    </row>
    <row r="3093" spans="1:6">
      <c r="A3093">
        <v>3182</v>
      </c>
      <c r="B3093">
        <v>232015211</v>
      </c>
      <c r="C3093">
        <v>2015</v>
      </c>
      <c r="D3093" t="s">
        <v>37</v>
      </c>
      <c r="E3093">
        <v>2</v>
      </c>
      <c r="F3093">
        <v>70</v>
      </c>
    </row>
    <row r="3094" spans="1:6">
      <c r="A3094">
        <v>3188</v>
      </c>
      <c r="B3094">
        <v>232015241</v>
      </c>
      <c r="C3094">
        <v>2015</v>
      </c>
      <c r="D3094" t="s">
        <v>33</v>
      </c>
      <c r="E3094" t="s">
        <v>32</v>
      </c>
      <c r="F3094">
        <v>5</v>
      </c>
    </row>
    <row r="3095" spans="1:6">
      <c r="A3095">
        <v>3185</v>
      </c>
      <c r="B3095">
        <v>232015241</v>
      </c>
      <c r="C3095">
        <v>2015</v>
      </c>
      <c r="D3095" t="s">
        <v>33</v>
      </c>
      <c r="E3095" t="s">
        <v>32</v>
      </c>
      <c r="F3095">
        <v>0.3</v>
      </c>
    </row>
    <row r="3096" spans="1:6">
      <c r="A3096">
        <v>3189</v>
      </c>
      <c r="B3096">
        <v>232015241</v>
      </c>
      <c r="C3096">
        <v>2015</v>
      </c>
      <c r="D3096" t="s">
        <v>33</v>
      </c>
      <c r="E3096" t="s">
        <v>32</v>
      </c>
      <c r="F3096">
        <v>3</v>
      </c>
    </row>
    <row r="3097" spans="1:6">
      <c r="A3097">
        <v>3186</v>
      </c>
      <c r="B3097">
        <v>232015241</v>
      </c>
      <c r="C3097">
        <v>2015</v>
      </c>
      <c r="D3097" t="s">
        <v>33</v>
      </c>
      <c r="E3097" t="s">
        <v>32</v>
      </c>
      <c r="F3097">
        <v>1.5</v>
      </c>
    </row>
    <row r="3098" spans="1:6">
      <c r="A3098">
        <v>3187</v>
      </c>
      <c r="B3098">
        <v>232015241</v>
      </c>
      <c r="C3098">
        <v>2015</v>
      </c>
      <c r="D3098" t="s">
        <v>33</v>
      </c>
      <c r="E3098" t="s">
        <v>32</v>
      </c>
      <c r="F3098">
        <v>1.9</v>
      </c>
    </row>
    <row r="3099" spans="1:6">
      <c r="A3099">
        <v>3184</v>
      </c>
      <c r="B3099">
        <v>232015241</v>
      </c>
      <c r="C3099">
        <v>2015</v>
      </c>
      <c r="D3099" t="s">
        <v>33</v>
      </c>
      <c r="E3099">
        <v>2</v>
      </c>
      <c r="F3099">
        <v>1.8</v>
      </c>
    </row>
    <row r="3100" spans="1:6">
      <c r="A3100">
        <v>3183</v>
      </c>
      <c r="B3100">
        <v>232015241</v>
      </c>
      <c r="C3100">
        <v>2015</v>
      </c>
      <c r="D3100" t="s">
        <v>33</v>
      </c>
      <c r="E3100">
        <v>1</v>
      </c>
      <c r="F3100">
        <v>0.91</v>
      </c>
    </row>
    <row r="3101" spans="1:6">
      <c r="A3101">
        <v>3192</v>
      </c>
      <c r="B3101">
        <v>232015243</v>
      </c>
      <c r="C3101">
        <v>2015</v>
      </c>
      <c r="D3101" t="s">
        <v>38</v>
      </c>
      <c r="E3101" t="s">
        <v>32</v>
      </c>
      <c r="F3101">
        <v>0.6</v>
      </c>
    </row>
    <row r="3102" spans="1:6">
      <c r="A3102">
        <v>3190</v>
      </c>
      <c r="B3102">
        <v>232015243</v>
      </c>
      <c r="C3102">
        <v>2015</v>
      </c>
      <c r="D3102" t="s">
        <v>38</v>
      </c>
      <c r="E3102">
        <v>2</v>
      </c>
      <c r="F3102">
        <v>3</v>
      </c>
    </row>
    <row r="3103" spans="1:6">
      <c r="A3103">
        <v>3191</v>
      </c>
      <c r="B3103">
        <v>232015243</v>
      </c>
      <c r="C3103">
        <v>2015</v>
      </c>
      <c r="D3103" t="s">
        <v>38</v>
      </c>
      <c r="E3103">
        <v>2</v>
      </c>
      <c r="F3103">
        <v>3</v>
      </c>
    </row>
    <row r="3104" spans="1:6">
      <c r="A3104">
        <v>3193</v>
      </c>
      <c r="B3104">
        <v>232015260</v>
      </c>
      <c r="C3104">
        <v>2015</v>
      </c>
      <c r="D3104" t="s">
        <v>34</v>
      </c>
      <c r="E3104">
        <v>1</v>
      </c>
      <c r="F3104">
        <v>0.2</v>
      </c>
    </row>
    <row r="3105" spans="1:6">
      <c r="A3105">
        <v>3194</v>
      </c>
      <c r="B3105">
        <v>232015260</v>
      </c>
      <c r="C3105">
        <v>2015</v>
      </c>
      <c r="D3105" t="s">
        <v>34</v>
      </c>
      <c r="E3105">
        <v>15</v>
      </c>
      <c r="F3105">
        <v>2.25</v>
      </c>
    </row>
    <row r="3106" spans="1:6">
      <c r="A3106">
        <v>3196</v>
      </c>
      <c r="B3106">
        <v>232015260</v>
      </c>
      <c r="C3106">
        <v>2015</v>
      </c>
      <c r="D3106" t="s">
        <v>34</v>
      </c>
      <c r="E3106" t="s">
        <v>32</v>
      </c>
      <c r="F3106">
        <v>2.07</v>
      </c>
    </row>
    <row r="3107" spans="1:6">
      <c r="A3107">
        <v>3203</v>
      </c>
      <c r="B3107">
        <v>232015260</v>
      </c>
      <c r="C3107">
        <v>2015</v>
      </c>
      <c r="D3107" t="s">
        <v>34</v>
      </c>
      <c r="E3107" t="s">
        <v>32</v>
      </c>
      <c r="F3107">
        <v>0.3</v>
      </c>
    </row>
    <row r="3108" spans="1:6">
      <c r="A3108">
        <v>3202</v>
      </c>
      <c r="B3108">
        <v>232015260</v>
      </c>
      <c r="C3108">
        <v>2015</v>
      </c>
      <c r="D3108" t="s">
        <v>34</v>
      </c>
      <c r="E3108" t="s">
        <v>32</v>
      </c>
      <c r="F3108">
        <v>6.2</v>
      </c>
    </row>
    <row r="3109" spans="1:6">
      <c r="A3109">
        <v>3195</v>
      </c>
      <c r="B3109">
        <v>232015260</v>
      </c>
      <c r="C3109">
        <v>2015</v>
      </c>
      <c r="D3109" t="s">
        <v>34</v>
      </c>
      <c r="E3109">
        <v>33</v>
      </c>
      <c r="F3109">
        <v>4.95</v>
      </c>
    </row>
    <row r="3110" spans="1:6">
      <c r="A3110">
        <v>3197</v>
      </c>
      <c r="B3110">
        <v>232015260</v>
      </c>
      <c r="C3110">
        <v>2015</v>
      </c>
      <c r="D3110" t="s">
        <v>34</v>
      </c>
      <c r="E3110">
        <v>21</v>
      </c>
      <c r="F3110">
        <v>4.83</v>
      </c>
    </row>
    <row r="3111" spans="1:6">
      <c r="A3111">
        <v>3201</v>
      </c>
      <c r="B3111">
        <v>232015260</v>
      </c>
      <c r="C3111">
        <v>2015</v>
      </c>
      <c r="D3111" t="s">
        <v>34</v>
      </c>
      <c r="E3111" t="s">
        <v>32</v>
      </c>
      <c r="F3111">
        <v>9.9</v>
      </c>
    </row>
    <row r="3112" spans="1:6">
      <c r="A3112">
        <v>3198</v>
      </c>
      <c r="B3112">
        <v>232015260</v>
      </c>
      <c r="C3112">
        <v>2015</v>
      </c>
      <c r="D3112" t="s">
        <v>34</v>
      </c>
      <c r="E3112">
        <v>1</v>
      </c>
      <c r="F3112">
        <v>1.5</v>
      </c>
    </row>
    <row r="3113" spans="1:6">
      <c r="A3113">
        <v>3199</v>
      </c>
      <c r="B3113">
        <v>232015260</v>
      </c>
      <c r="C3113">
        <v>2015</v>
      </c>
      <c r="D3113" t="s">
        <v>34</v>
      </c>
      <c r="E3113">
        <v>33</v>
      </c>
      <c r="F3113">
        <v>4.95</v>
      </c>
    </row>
    <row r="3114" spans="1:6">
      <c r="A3114">
        <v>3200</v>
      </c>
      <c r="B3114">
        <v>232015260</v>
      </c>
      <c r="C3114">
        <v>2015</v>
      </c>
      <c r="D3114" t="s">
        <v>34</v>
      </c>
      <c r="E3114">
        <v>33</v>
      </c>
      <c r="F3114">
        <v>4.95</v>
      </c>
    </row>
    <row r="3115" spans="1:6">
      <c r="A3115">
        <v>3204</v>
      </c>
      <c r="B3115">
        <v>232015270</v>
      </c>
      <c r="C3115">
        <v>2015</v>
      </c>
      <c r="D3115" t="s">
        <v>31</v>
      </c>
      <c r="E3115" t="s">
        <v>32</v>
      </c>
      <c r="F3115">
        <v>0.01</v>
      </c>
    </row>
    <row r="3116" spans="1:6">
      <c r="A3116">
        <v>3212</v>
      </c>
      <c r="B3116">
        <v>232015270</v>
      </c>
      <c r="C3116">
        <v>2015</v>
      </c>
      <c r="D3116" t="s">
        <v>31</v>
      </c>
      <c r="E3116" t="s">
        <v>32</v>
      </c>
      <c r="F3116">
        <v>0.01</v>
      </c>
    </row>
    <row r="3117" spans="1:6">
      <c r="A3117">
        <v>3211</v>
      </c>
      <c r="B3117">
        <v>232015270</v>
      </c>
      <c r="C3117">
        <v>2015</v>
      </c>
      <c r="D3117" t="s">
        <v>31</v>
      </c>
      <c r="E3117" t="s">
        <v>32</v>
      </c>
      <c r="F3117">
        <v>0.2</v>
      </c>
    </row>
    <row r="3118" spans="1:6">
      <c r="A3118">
        <v>3209</v>
      </c>
      <c r="B3118">
        <v>232015270</v>
      </c>
      <c r="C3118">
        <v>2015</v>
      </c>
      <c r="D3118" t="s">
        <v>31</v>
      </c>
      <c r="E3118" t="s">
        <v>32</v>
      </c>
      <c r="F3118">
        <v>0.01</v>
      </c>
    </row>
    <row r="3119" spans="1:6">
      <c r="A3119">
        <v>3205</v>
      </c>
      <c r="B3119">
        <v>232015270</v>
      </c>
      <c r="C3119">
        <v>2015</v>
      </c>
      <c r="D3119" t="s">
        <v>31</v>
      </c>
      <c r="E3119" t="s">
        <v>32</v>
      </c>
      <c r="F3119">
        <v>0.01</v>
      </c>
    </row>
    <row r="3120" spans="1:6">
      <c r="A3120">
        <v>3206</v>
      </c>
      <c r="B3120">
        <v>232015270</v>
      </c>
      <c r="C3120">
        <v>2015</v>
      </c>
      <c r="D3120" t="s">
        <v>31</v>
      </c>
      <c r="E3120" t="s">
        <v>32</v>
      </c>
      <c r="F3120">
        <v>0.01</v>
      </c>
    </row>
    <row r="3121" spans="1:6">
      <c r="A3121">
        <v>3207</v>
      </c>
      <c r="B3121">
        <v>232015270</v>
      </c>
      <c r="C3121">
        <v>2015</v>
      </c>
      <c r="D3121" t="s">
        <v>31</v>
      </c>
      <c r="E3121" t="s">
        <v>32</v>
      </c>
      <c r="F3121">
        <v>0.01</v>
      </c>
    </row>
    <row r="3122" spans="1:6">
      <c r="A3122">
        <v>3208</v>
      </c>
      <c r="B3122">
        <v>232015270</v>
      </c>
      <c r="C3122">
        <v>2015</v>
      </c>
      <c r="D3122" t="s">
        <v>31</v>
      </c>
      <c r="E3122" t="s">
        <v>32</v>
      </c>
      <c r="F3122">
        <v>0.01</v>
      </c>
    </row>
    <row r="3123" spans="1:6">
      <c r="A3123">
        <v>3210</v>
      </c>
      <c r="B3123">
        <v>232015270</v>
      </c>
      <c r="C3123">
        <v>2015</v>
      </c>
      <c r="D3123" t="s">
        <v>31</v>
      </c>
      <c r="E3123" t="s">
        <v>32</v>
      </c>
      <c r="F3123">
        <v>0.02</v>
      </c>
    </row>
    <row r="3124" spans="1:6">
      <c r="A3124">
        <v>3214</v>
      </c>
      <c r="B3124">
        <v>232016211</v>
      </c>
      <c r="C3124" s="76">
        <v>2016</v>
      </c>
      <c r="D3124" s="76" t="s">
        <v>37</v>
      </c>
      <c r="E3124" s="76">
        <v>1</v>
      </c>
      <c r="F3124" s="76">
        <v>35</v>
      </c>
    </row>
    <row r="3125" spans="1:6">
      <c r="A3125">
        <v>3217</v>
      </c>
      <c r="B3125">
        <v>232016241</v>
      </c>
      <c r="C3125" s="76">
        <v>2016</v>
      </c>
      <c r="D3125" s="76" t="s">
        <v>33</v>
      </c>
      <c r="E3125" s="76" t="s">
        <v>32</v>
      </c>
      <c r="F3125" s="76">
        <v>2.4</v>
      </c>
    </row>
    <row r="3126" spans="1:6">
      <c r="A3126">
        <v>3215</v>
      </c>
      <c r="B3126">
        <v>232016241</v>
      </c>
      <c r="C3126" s="76">
        <v>2016</v>
      </c>
      <c r="D3126" s="76" t="s">
        <v>33</v>
      </c>
      <c r="E3126" s="76" t="s">
        <v>32</v>
      </c>
      <c r="F3126" s="76">
        <v>1</v>
      </c>
    </row>
    <row r="3127" spans="1:6">
      <c r="A3127">
        <v>3216</v>
      </c>
      <c r="B3127">
        <v>232016241</v>
      </c>
      <c r="C3127" s="76">
        <v>2016</v>
      </c>
      <c r="D3127" s="76" t="s">
        <v>33</v>
      </c>
      <c r="E3127" s="76" t="s">
        <v>32</v>
      </c>
      <c r="F3127" s="76">
        <v>2.6</v>
      </c>
    </row>
    <row r="3128" spans="1:6">
      <c r="A3128">
        <v>3219</v>
      </c>
      <c r="B3128">
        <v>232016241</v>
      </c>
      <c r="C3128" s="76">
        <v>2016</v>
      </c>
      <c r="D3128" s="76" t="s">
        <v>33</v>
      </c>
      <c r="E3128" s="76" t="s">
        <v>32</v>
      </c>
      <c r="F3128" s="76">
        <v>5</v>
      </c>
    </row>
    <row r="3129" spans="1:6">
      <c r="A3129">
        <v>3218</v>
      </c>
      <c r="B3129">
        <v>232016241</v>
      </c>
      <c r="C3129" s="76">
        <v>2016</v>
      </c>
      <c r="D3129" s="76" t="s">
        <v>33</v>
      </c>
      <c r="E3129" s="76" t="s">
        <v>32</v>
      </c>
      <c r="F3129" s="76">
        <v>3</v>
      </c>
    </row>
    <row r="3130" spans="1:6">
      <c r="A3130">
        <v>3223</v>
      </c>
      <c r="B3130">
        <v>232016243</v>
      </c>
      <c r="C3130" s="76">
        <v>2016</v>
      </c>
      <c r="D3130" s="76" t="s">
        <v>38</v>
      </c>
      <c r="E3130" s="76" t="s">
        <v>32</v>
      </c>
      <c r="F3130" s="76">
        <v>3</v>
      </c>
    </row>
    <row r="3131" spans="1:6">
      <c r="A3131">
        <v>3221</v>
      </c>
      <c r="B3131">
        <v>232016243</v>
      </c>
      <c r="C3131" s="76">
        <v>2016</v>
      </c>
      <c r="D3131" s="76" t="s">
        <v>38</v>
      </c>
      <c r="E3131" s="76" t="s">
        <v>32</v>
      </c>
      <c r="F3131" s="76">
        <v>3</v>
      </c>
    </row>
    <row r="3132" spans="1:6">
      <c r="A3132">
        <v>3222</v>
      </c>
      <c r="B3132">
        <v>232016243</v>
      </c>
      <c r="C3132" s="76">
        <v>2016</v>
      </c>
      <c r="D3132" s="76" t="s">
        <v>38</v>
      </c>
      <c r="E3132" s="76" t="s">
        <v>32</v>
      </c>
      <c r="F3132" s="76">
        <v>3.6</v>
      </c>
    </row>
    <row r="3133" spans="1:6">
      <c r="A3133">
        <v>3230</v>
      </c>
      <c r="B3133">
        <v>232016260</v>
      </c>
      <c r="C3133" s="76">
        <v>2016</v>
      </c>
      <c r="D3133" s="76" t="s">
        <v>34</v>
      </c>
      <c r="E3133" s="76" t="s">
        <v>32</v>
      </c>
      <c r="F3133" s="76">
        <v>7.65</v>
      </c>
    </row>
    <row r="3134" spans="1:6">
      <c r="A3134">
        <v>3229</v>
      </c>
      <c r="B3134">
        <v>232016260</v>
      </c>
      <c r="C3134" s="76">
        <v>2016</v>
      </c>
      <c r="D3134" s="76" t="s">
        <v>34</v>
      </c>
      <c r="E3134" s="76" t="s">
        <v>32</v>
      </c>
      <c r="F3134" s="76">
        <v>4.5</v>
      </c>
    </row>
    <row r="3135" spans="1:6">
      <c r="A3135">
        <v>3232</v>
      </c>
      <c r="B3135">
        <v>232016260</v>
      </c>
      <c r="C3135" s="76">
        <v>2016</v>
      </c>
      <c r="D3135" s="76" t="s">
        <v>34</v>
      </c>
      <c r="E3135" s="76" t="s">
        <v>32</v>
      </c>
      <c r="F3135" s="76">
        <v>9.9</v>
      </c>
    </row>
    <row r="3136" spans="1:6">
      <c r="A3136">
        <v>3226</v>
      </c>
      <c r="B3136">
        <v>232016260</v>
      </c>
      <c r="C3136" s="76">
        <v>2016</v>
      </c>
      <c r="D3136" s="76" t="s">
        <v>34</v>
      </c>
      <c r="E3136" s="76">
        <v>50</v>
      </c>
      <c r="F3136" s="76">
        <v>10</v>
      </c>
    </row>
    <row r="3137" spans="1:6">
      <c r="A3137">
        <v>3224</v>
      </c>
      <c r="B3137">
        <v>232016260</v>
      </c>
      <c r="C3137" s="76">
        <v>2016</v>
      </c>
      <c r="D3137" s="76" t="s">
        <v>34</v>
      </c>
      <c r="E3137" s="76">
        <v>16</v>
      </c>
      <c r="F3137" s="76">
        <v>4.8</v>
      </c>
    </row>
    <row r="3138" spans="1:6">
      <c r="A3138">
        <v>3225</v>
      </c>
      <c r="B3138">
        <v>232016260</v>
      </c>
      <c r="C3138" s="76">
        <v>2016</v>
      </c>
      <c r="D3138" s="76" t="s">
        <v>34</v>
      </c>
      <c r="E3138" s="76">
        <v>16</v>
      </c>
      <c r="F3138" s="76">
        <v>4.8</v>
      </c>
    </row>
    <row r="3139" spans="1:6">
      <c r="A3139">
        <v>3233</v>
      </c>
      <c r="B3139">
        <v>232016260</v>
      </c>
      <c r="C3139" s="76">
        <v>2016</v>
      </c>
      <c r="D3139" s="76" t="s">
        <v>34</v>
      </c>
      <c r="E3139" s="76" t="s">
        <v>32</v>
      </c>
      <c r="F3139" s="76">
        <v>9.9</v>
      </c>
    </row>
    <row r="3140" spans="1:6">
      <c r="A3140">
        <v>3231</v>
      </c>
      <c r="B3140">
        <v>232016260</v>
      </c>
      <c r="C3140" s="76">
        <v>2016</v>
      </c>
      <c r="D3140" s="76" t="s">
        <v>34</v>
      </c>
      <c r="E3140" s="76">
        <v>25</v>
      </c>
      <c r="F3140" s="76">
        <v>5</v>
      </c>
    </row>
    <row r="3141" spans="1:6">
      <c r="A3141">
        <v>3227</v>
      </c>
      <c r="B3141">
        <v>232016260</v>
      </c>
      <c r="C3141" s="76">
        <v>2016</v>
      </c>
      <c r="D3141" s="76" t="s">
        <v>34</v>
      </c>
      <c r="E3141" s="76" t="s">
        <v>32</v>
      </c>
      <c r="F3141" s="76">
        <v>4.95</v>
      </c>
    </row>
    <row r="3142" spans="1:6">
      <c r="A3142">
        <v>3234</v>
      </c>
      <c r="B3142">
        <v>232016260</v>
      </c>
      <c r="C3142" s="76">
        <v>2016</v>
      </c>
      <c r="D3142" s="76" t="s">
        <v>34</v>
      </c>
      <c r="E3142" s="76" t="s">
        <v>32</v>
      </c>
      <c r="F3142" s="76">
        <v>1.35</v>
      </c>
    </row>
    <row r="3143" spans="1:6">
      <c r="A3143">
        <v>3228</v>
      </c>
      <c r="B3143">
        <v>232016260</v>
      </c>
      <c r="C3143" s="76">
        <v>2016</v>
      </c>
      <c r="D3143" s="76" t="s">
        <v>34</v>
      </c>
      <c r="E3143" s="76" t="s">
        <v>32</v>
      </c>
      <c r="F3143" s="76">
        <v>3.33</v>
      </c>
    </row>
    <row r="3144" spans="1:6">
      <c r="A3144">
        <v>3242</v>
      </c>
      <c r="B3144">
        <v>232016270</v>
      </c>
      <c r="C3144" s="76">
        <v>2016</v>
      </c>
      <c r="D3144" s="76" t="s">
        <v>31</v>
      </c>
      <c r="E3144" s="76" t="s">
        <v>32</v>
      </c>
      <c r="F3144" s="76">
        <v>1</v>
      </c>
    </row>
    <row r="3145" spans="1:6">
      <c r="A3145">
        <v>3236</v>
      </c>
      <c r="B3145">
        <v>232016270</v>
      </c>
      <c r="C3145" s="76">
        <v>2016</v>
      </c>
      <c r="D3145" s="76" t="s">
        <v>31</v>
      </c>
      <c r="E3145" s="76" t="s">
        <v>32</v>
      </c>
      <c r="F3145" s="76">
        <v>1</v>
      </c>
    </row>
    <row r="3146" spans="1:6">
      <c r="A3146">
        <v>3240</v>
      </c>
      <c r="B3146">
        <v>232016270</v>
      </c>
      <c r="C3146" s="76">
        <v>2016</v>
      </c>
      <c r="D3146" s="76" t="s">
        <v>31</v>
      </c>
      <c r="E3146" s="76" t="s">
        <v>32</v>
      </c>
      <c r="F3146" s="76">
        <v>1</v>
      </c>
    </row>
    <row r="3147" spans="1:6">
      <c r="A3147">
        <v>3241</v>
      </c>
      <c r="B3147">
        <v>232016270</v>
      </c>
      <c r="C3147" s="76">
        <v>2016</v>
      </c>
      <c r="D3147" s="76" t="s">
        <v>31</v>
      </c>
      <c r="E3147" s="76" t="s">
        <v>32</v>
      </c>
      <c r="F3147" s="76">
        <v>1</v>
      </c>
    </row>
    <row r="3148" spans="1:6">
      <c r="A3148">
        <v>3243</v>
      </c>
      <c r="B3148">
        <v>232016270</v>
      </c>
      <c r="C3148" s="76">
        <v>2016</v>
      </c>
      <c r="D3148" s="76" t="s">
        <v>31</v>
      </c>
      <c r="E3148" s="76" t="s">
        <v>32</v>
      </c>
      <c r="F3148" s="76">
        <v>1</v>
      </c>
    </row>
    <row r="3149" spans="1:6">
      <c r="A3149">
        <v>3238</v>
      </c>
      <c r="B3149">
        <v>232016270</v>
      </c>
      <c r="C3149" s="76">
        <v>2016</v>
      </c>
      <c r="D3149" s="76" t="s">
        <v>31</v>
      </c>
      <c r="E3149" s="76" t="s">
        <v>32</v>
      </c>
      <c r="F3149" s="76">
        <v>2</v>
      </c>
    </row>
    <row r="3150" spans="1:6">
      <c r="A3150">
        <v>3237</v>
      </c>
      <c r="B3150">
        <v>232016270</v>
      </c>
      <c r="C3150" s="76">
        <v>2016</v>
      </c>
      <c r="D3150" s="76" t="s">
        <v>31</v>
      </c>
      <c r="E3150" s="76" t="s">
        <v>32</v>
      </c>
      <c r="F3150" s="76">
        <v>1</v>
      </c>
    </row>
    <row r="3151" spans="1:6">
      <c r="A3151">
        <v>3235</v>
      </c>
      <c r="B3151">
        <v>232016270</v>
      </c>
      <c r="C3151" s="76">
        <v>2016</v>
      </c>
      <c r="D3151" s="76" t="s">
        <v>31</v>
      </c>
      <c r="E3151" s="76" t="s">
        <v>32</v>
      </c>
      <c r="F3151" s="76">
        <v>1</v>
      </c>
    </row>
    <row r="3152" spans="1:6">
      <c r="A3152">
        <v>3239</v>
      </c>
      <c r="B3152">
        <v>232016270</v>
      </c>
      <c r="C3152" s="76">
        <v>2016</v>
      </c>
      <c r="D3152" s="76" t="s">
        <v>31</v>
      </c>
      <c r="E3152" s="76" t="s">
        <v>32</v>
      </c>
      <c r="F3152" s="76">
        <v>1</v>
      </c>
    </row>
    <row r="3153" spans="1:6">
      <c r="A3153">
        <v>3245</v>
      </c>
      <c r="B3153">
        <v>232017110</v>
      </c>
      <c r="C3153" s="76">
        <v>2017</v>
      </c>
      <c r="D3153" s="76" t="s">
        <v>40</v>
      </c>
      <c r="E3153" s="76" t="s">
        <v>32</v>
      </c>
      <c r="F3153" s="76">
        <v>0.6</v>
      </c>
    </row>
    <row r="3154" spans="1:6">
      <c r="A3154">
        <v>3246</v>
      </c>
      <c r="B3154">
        <v>232017110</v>
      </c>
      <c r="C3154" s="76">
        <v>2017</v>
      </c>
      <c r="D3154" s="76" t="s">
        <v>40</v>
      </c>
      <c r="E3154" s="76" t="s">
        <v>32</v>
      </c>
      <c r="F3154" s="76">
        <v>1.5</v>
      </c>
    </row>
    <row r="3155" spans="1:6">
      <c r="A3155">
        <v>3249</v>
      </c>
      <c r="B3155">
        <v>232017211</v>
      </c>
      <c r="C3155" s="77">
        <v>2017</v>
      </c>
      <c r="D3155" s="77" t="s">
        <v>37</v>
      </c>
      <c r="E3155" s="77" t="s">
        <v>32</v>
      </c>
      <c r="F3155" s="77">
        <v>1.05</v>
      </c>
    </row>
    <row r="3156" spans="1:6">
      <c r="A3156">
        <v>3250</v>
      </c>
      <c r="B3156">
        <v>232017211</v>
      </c>
      <c r="C3156" s="77">
        <v>2017</v>
      </c>
      <c r="D3156" s="77" t="s">
        <v>37</v>
      </c>
      <c r="E3156" s="77" t="s">
        <v>32</v>
      </c>
      <c r="F3156" s="77">
        <v>1.05</v>
      </c>
    </row>
    <row r="3157" spans="1:6">
      <c r="A3157">
        <v>3252</v>
      </c>
      <c r="B3157">
        <v>232017211</v>
      </c>
      <c r="C3157" s="76">
        <v>2017</v>
      </c>
      <c r="D3157" s="76" t="s">
        <v>37</v>
      </c>
      <c r="E3157" s="76" t="s">
        <v>32</v>
      </c>
      <c r="F3157" s="76">
        <v>5</v>
      </c>
    </row>
    <row r="3158" spans="1:6">
      <c r="A3158">
        <v>3253</v>
      </c>
      <c r="B3158">
        <v>232017211</v>
      </c>
      <c r="C3158" s="76">
        <v>2017</v>
      </c>
      <c r="D3158" s="76" t="s">
        <v>37</v>
      </c>
      <c r="E3158" s="76" t="s">
        <v>32</v>
      </c>
      <c r="F3158" s="76">
        <v>3.6</v>
      </c>
    </row>
    <row r="3159" spans="1:6">
      <c r="A3159">
        <v>3248</v>
      </c>
      <c r="B3159">
        <v>232017211</v>
      </c>
      <c r="C3159" s="76">
        <v>2017</v>
      </c>
      <c r="D3159" s="76" t="s">
        <v>37</v>
      </c>
      <c r="E3159" s="76">
        <v>2</v>
      </c>
      <c r="F3159" s="76">
        <v>70</v>
      </c>
    </row>
    <row r="3160" spans="1:6">
      <c r="A3160">
        <v>3251</v>
      </c>
      <c r="B3160">
        <v>232017211</v>
      </c>
      <c r="C3160" s="76">
        <v>2017</v>
      </c>
      <c r="D3160" s="76" t="s">
        <v>37</v>
      </c>
      <c r="E3160" s="76" t="s">
        <v>32</v>
      </c>
      <c r="F3160" s="76">
        <v>1</v>
      </c>
    </row>
    <row r="3161" spans="1:6">
      <c r="A3161">
        <v>3247</v>
      </c>
      <c r="B3161">
        <v>232017211</v>
      </c>
      <c r="C3161" s="76">
        <v>2017</v>
      </c>
      <c r="D3161" s="76" t="s">
        <v>37</v>
      </c>
      <c r="E3161" s="76">
        <v>1</v>
      </c>
      <c r="F3161" s="76">
        <v>35</v>
      </c>
    </row>
    <row r="3162" spans="1:6">
      <c r="A3162">
        <v>3255</v>
      </c>
      <c r="B3162">
        <v>232017241</v>
      </c>
      <c r="C3162" s="76">
        <v>2017</v>
      </c>
      <c r="D3162" s="76" t="s">
        <v>33</v>
      </c>
      <c r="E3162" s="76" t="s">
        <v>32</v>
      </c>
      <c r="F3162" s="76">
        <v>0.6</v>
      </c>
    </row>
    <row r="3163" spans="1:6">
      <c r="A3163">
        <v>3256</v>
      </c>
      <c r="B3163">
        <v>232017242</v>
      </c>
      <c r="C3163" s="76">
        <v>2017</v>
      </c>
      <c r="D3163" s="76" t="s">
        <v>35</v>
      </c>
      <c r="E3163" s="76" t="s">
        <v>32</v>
      </c>
      <c r="F3163" s="76">
        <v>1.5</v>
      </c>
    </row>
    <row r="3164" spans="1:6">
      <c r="A3164">
        <v>3259</v>
      </c>
      <c r="B3164">
        <v>232017243</v>
      </c>
      <c r="C3164" s="76">
        <v>2017</v>
      </c>
      <c r="D3164" s="76" t="s">
        <v>38</v>
      </c>
      <c r="E3164" s="76" t="s">
        <v>32</v>
      </c>
      <c r="F3164" s="76">
        <v>3</v>
      </c>
    </row>
    <row r="3165" spans="1:6">
      <c r="A3165">
        <v>3257</v>
      </c>
      <c r="B3165">
        <v>232017243</v>
      </c>
      <c r="C3165" s="76">
        <v>2017</v>
      </c>
      <c r="D3165" s="76" t="s">
        <v>38</v>
      </c>
      <c r="E3165" s="76" t="s">
        <v>32</v>
      </c>
      <c r="F3165" s="76">
        <v>3</v>
      </c>
    </row>
    <row r="3166" spans="1:6">
      <c r="A3166">
        <v>3258</v>
      </c>
      <c r="B3166">
        <v>232017243</v>
      </c>
      <c r="C3166" s="76">
        <v>2017</v>
      </c>
      <c r="D3166" s="76" t="s">
        <v>38</v>
      </c>
      <c r="E3166" s="76" t="s">
        <v>32</v>
      </c>
      <c r="F3166" s="76">
        <v>3</v>
      </c>
    </row>
    <row r="3167" spans="1:6">
      <c r="A3167">
        <v>3261</v>
      </c>
      <c r="B3167">
        <v>232017260</v>
      </c>
      <c r="C3167" s="76">
        <v>2017</v>
      </c>
      <c r="D3167" s="76" t="s">
        <v>34</v>
      </c>
      <c r="E3167" s="76" t="s">
        <v>32</v>
      </c>
      <c r="F3167" s="76">
        <v>4.95</v>
      </c>
    </row>
    <row r="3168" spans="1:6">
      <c r="A3168">
        <v>3263</v>
      </c>
      <c r="B3168">
        <v>232017260</v>
      </c>
      <c r="C3168" s="76">
        <v>2017</v>
      </c>
      <c r="D3168" s="76" t="s">
        <v>34</v>
      </c>
      <c r="E3168" s="76" t="s">
        <v>32</v>
      </c>
      <c r="F3168" s="76">
        <v>2.55</v>
      </c>
    </row>
    <row r="3169" spans="1:6">
      <c r="A3169">
        <v>3264</v>
      </c>
      <c r="B3169">
        <v>232017260</v>
      </c>
      <c r="C3169" s="76">
        <v>2017</v>
      </c>
      <c r="D3169" s="76" t="s">
        <v>34</v>
      </c>
      <c r="E3169" s="76" t="s">
        <v>32</v>
      </c>
      <c r="F3169" s="76">
        <v>1.95</v>
      </c>
    </row>
    <row r="3170" spans="1:6">
      <c r="A3170">
        <v>3262</v>
      </c>
      <c r="B3170">
        <v>232017260</v>
      </c>
      <c r="C3170" s="76">
        <v>2017</v>
      </c>
      <c r="D3170" s="76" t="s">
        <v>34</v>
      </c>
      <c r="E3170" s="76" t="s">
        <v>32</v>
      </c>
      <c r="F3170" s="76">
        <v>9.6</v>
      </c>
    </row>
    <row r="3171" spans="1:6">
      <c r="A3171">
        <v>3260</v>
      </c>
      <c r="B3171">
        <v>232017260</v>
      </c>
      <c r="C3171" s="76">
        <v>2017</v>
      </c>
      <c r="D3171" s="76" t="s">
        <v>34</v>
      </c>
      <c r="E3171" s="76">
        <v>50</v>
      </c>
      <c r="F3171" s="76">
        <v>10</v>
      </c>
    </row>
    <row r="3172" spans="1:6">
      <c r="A3172">
        <v>3277</v>
      </c>
      <c r="B3172">
        <v>232017270</v>
      </c>
      <c r="C3172" s="76">
        <v>2017</v>
      </c>
      <c r="D3172" s="76" t="s">
        <v>31</v>
      </c>
      <c r="E3172" s="76" t="s">
        <v>32</v>
      </c>
      <c r="F3172" s="76">
        <v>2</v>
      </c>
    </row>
    <row r="3173" spans="1:6">
      <c r="A3173">
        <v>3283</v>
      </c>
      <c r="B3173">
        <v>232017270</v>
      </c>
      <c r="C3173" s="76">
        <v>2017</v>
      </c>
      <c r="D3173" s="76" t="s">
        <v>31</v>
      </c>
      <c r="E3173" s="76" t="s">
        <v>32</v>
      </c>
      <c r="F3173" s="76">
        <v>4</v>
      </c>
    </row>
    <row r="3174" spans="1:6">
      <c r="A3174">
        <v>3284</v>
      </c>
      <c r="B3174">
        <v>232017270</v>
      </c>
      <c r="C3174" s="76">
        <v>2017</v>
      </c>
      <c r="D3174" s="76" t="s">
        <v>31</v>
      </c>
      <c r="E3174" s="76" t="s">
        <v>32</v>
      </c>
      <c r="F3174" s="76">
        <v>1</v>
      </c>
    </row>
    <row r="3175" spans="1:6">
      <c r="A3175">
        <v>3285</v>
      </c>
      <c r="B3175">
        <v>232017270</v>
      </c>
      <c r="C3175" s="76">
        <v>2017</v>
      </c>
      <c r="D3175" s="76" t="s">
        <v>31</v>
      </c>
      <c r="E3175" s="76" t="s">
        <v>32</v>
      </c>
      <c r="F3175" s="76">
        <v>4</v>
      </c>
    </row>
    <row r="3176" spans="1:6">
      <c r="A3176">
        <v>3287</v>
      </c>
      <c r="B3176">
        <v>232017270</v>
      </c>
      <c r="C3176" s="76">
        <v>2017</v>
      </c>
      <c r="D3176" s="76" t="s">
        <v>31</v>
      </c>
      <c r="E3176" s="76" t="s">
        <v>32</v>
      </c>
      <c r="F3176" s="76">
        <v>8</v>
      </c>
    </row>
    <row r="3177" spans="1:6">
      <c r="A3177">
        <v>3296</v>
      </c>
      <c r="B3177">
        <v>232017270</v>
      </c>
      <c r="C3177" s="76">
        <v>2017</v>
      </c>
      <c r="D3177" s="76" t="s">
        <v>31</v>
      </c>
      <c r="E3177" s="76" t="s">
        <v>32</v>
      </c>
      <c r="F3177" s="76">
        <v>2</v>
      </c>
    </row>
    <row r="3178" spans="1:6">
      <c r="A3178">
        <v>3295</v>
      </c>
      <c r="B3178">
        <v>232017270</v>
      </c>
      <c r="C3178" s="76">
        <v>2017</v>
      </c>
      <c r="D3178" s="76" t="s">
        <v>31</v>
      </c>
      <c r="E3178" s="76" t="s">
        <v>32</v>
      </c>
      <c r="F3178" s="76">
        <v>2</v>
      </c>
    </row>
    <row r="3179" spans="1:6">
      <c r="A3179">
        <v>3290</v>
      </c>
      <c r="B3179">
        <v>232017270</v>
      </c>
      <c r="C3179" s="76">
        <v>2017</v>
      </c>
      <c r="D3179" s="76" t="s">
        <v>31</v>
      </c>
      <c r="E3179" s="76" t="s">
        <v>32</v>
      </c>
      <c r="F3179" s="76">
        <v>5</v>
      </c>
    </row>
    <row r="3180" spans="1:6">
      <c r="A3180">
        <v>3286</v>
      </c>
      <c r="B3180">
        <v>232017270</v>
      </c>
      <c r="C3180" s="76">
        <v>2017</v>
      </c>
      <c r="D3180" s="76" t="s">
        <v>31</v>
      </c>
      <c r="E3180" s="76" t="s">
        <v>32</v>
      </c>
      <c r="F3180" s="76">
        <v>4</v>
      </c>
    </row>
    <row r="3181" spans="1:6">
      <c r="A3181">
        <v>3272</v>
      </c>
      <c r="B3181">
        <v>232017270</v>
      </c>
      <c r="C3181" s="76">
        <v>2017</v>
      </c>
      <c r="D3181" s="76" t="s">
        <v>31</v>
      </c>
      <c r="E3181" s="76" t="s">
        <v>32</v>
      </c>
      <c r="F3181" s="76">
        <v>0.5</v>
      </c>
    </row>
    <row r="3182" spans="1:6">
      <c r="A3182">
        <v>3291</v>
      </c>
      <c r="B3182">
        <v>232017270</v>
      </c>
      <c r="C3182" s="76">
        <v>2017</v>
      </c>
      <c r="D3182" s="76" t="s">
        <v>31</v>
      </c>
      <c r="E3182" s="76" t="s">
        <v>32</v>
      </c>
      <c r="F3182" s="76">
        <v>1</v>
      </c>
    </row>
    <row r="3183" spans="1:6">
      <c r="A3183">
        <v>3282</v>
      </c>
      <c r="B3183">
        <v>232017270</v>
      </c>
      <c r="C3183" s="76">
        <v>2017</v>
      </c>
      <c r="D3183" s="76" t="s">
        <v>31</v>
      </c>
      <c r="E3183" s="76" t="s">
        <v>32</v>
      </c>
      <c r="F3183" s="76">
        <v>4</v>
      </c>
    </row>
    <row r="3184" spans="1:6">
      <c r="A3184">
        <v>3289</v>
      </c>
      <c r="B3184">
        <v>232017270</v>
      </c>
      <c r="C3184" s="76">
        <v>2017</v>
      </c>
      <c r="D3184" s="76" t="s">
        <v>31</v>
      </c>
      <c r="E3184" s="76" t="s">
        <v>32</v>
      </c>
      <c r="F3184" s="76">
        <v>7</v>
      </c>
    </row>
    <row r="3185" spans="1:6">
      <c r="A3185">
        <v>3288</v>
      </c>
      <c r="B3185">
        <v>232017270</v>
      </c>
      <c r="C3185" s="76">
        <v>2017</v>
      </c>
      <c r="D3185" s="76" t="s">
        <v>31</v>
      </c>
      <c r="E3185" s="76" t="s">
        <v>32</v>
      </c>
      <c r="F3185" s="76">
        <v>3</v>
      </c>
    </row>
    <row r="3186" spans="1:6">
      <c r="A3186">
        <v>3297</v>
      </c>
      <c r="B3186">
        <v>232017270</v>
      </c>
      <c r="C3186" s="76">
        <v>2017</v>
      </c>
      <c r="D3186" s="76" t="s">
        <v>31</v>
      </c>
      <c r="E3186" s="76" t="s">
        <v>32</v>
      </c>
      <c r="F3186" s="76">
        <v>1</v>
      </c>
    </row>
    <row r="3187" spans="1:6">
      <c r="A3187">
        <v>3293</v>
      </c>
      <c r="B3187">
        <v>232017270</v>
      </c>
      <c r="C3187" s="76">
        <v>2017</v>
      </c>
      <c r="D3187" s="76" t="s">
        <v>31</v>
      </c>
      <c r="E3187" s="76" t="s">
        <v>32</v>
      </c>
      <c r="F3187" s="76">
        <v>0.6</v>
      </c>
    </row>
    <row r="3188" spans="1:6">
      <c r="A3188">
        <v>3294</v>
      </c>
      <c r="B3188">
        <v>232017270</v>
      </c>
      <c r="C3188" s="76">
        <v>2017</v>
      </c>
      <c r="D3188" s="76" t="s">
        <v>31</v>
      </c>
      <c r="E3188" s="76" t="s">
        <v>32</v>
      </c>
      <c r="F3188" s="76">
        <v>0.6</v>
      </c>
    </row>
    <row r="3189" spans="1:6">
      <c r="A3189">
        <v>3273</v>
      </c>
      <c r="B3189">
        <v>232017270</v>
      </c>
      <c r="C3189" s="76">
        <v>2017</v>
      </c>
      <c r="D3189" s="76" t="s">
        <v>31</v>
      </c>
      <c r="E3189" s="76" t="s">
        <v>32</v>
      </c>
      <c r="F3189" s="76">
        <v>0.61</v>
      </c>
    </row>
    <row r="3190" spans="1:6">
      <c r="A3190">
        <v>3270</v>
      </c>
      <c r="B3190">
        <v>232017270</v>
      </c>
      <c r="C3190" s="76">
        <v>2017</v>
      </c>
      <c r="D3190" s="76" t="s">
        <v>31</v>
      </c>
      <c r="E3190" s="76" t="s">
        <v>32</v>
      </c>
      <c r="F3190" s="76">
        <v>2</v>
      </c>
    </row>
    <row r="3191" spans="1:6">
      <c r="A3191">
        <v>3268</v>
      </c>
      <c r="B3191">
        <v>232017270</v>
      </c>
      <c r="C3191" s="76">
        <v>2017</v>
      </c>
      <c r="D3191" s="76" t="s">
        <v>31</v>
      </c>
      <c r="E3191" s="76" t="s">
        <v>32</v>
      </c>
      <c r="F3191" s="76">
        <v>2</v>
      </c>
    </row>
    <row r="3192" spans="1:6">
      <c r="A3192">
        <v>3275</v>
      </c>
      <c r="B3192">
        <v>232017270</v>
      </c>
      <c r="C3192" s="76">
        <v>2017</v>
      </c>
      <c r="D3192" s="76" t="s">
        <v>31</v>
      </c>
      <c r="E3192" s="76" t="s">
        <v>32</v>
      </c>
      <c r="F3192" s="76">
        <v>2</v>
      </c>
    </row>
    <row r="3193" spans="1:6">
      <c r="A3193">
        <v>3281</v>
      </c>
      <c r="B3193">
        <v>232017270</v>
      </c>
      <c r="C3193" s="76">
        <v>2017</v>
      </c>
      <c r="D3193" s="76" t="s">
        <v>31</v>
      </c>
      <c r="E3193" s="76" t="s">
        <v>32</v>
      </c>
      <c r="F3193" s="76">
        <v>1</v>
      </c>
    </row>
    <row r="3194" spans="1:6">
      <c r="A3194">
        <v>3265</v>
      </c>
      <c r="B3194">
        <v>232017270</v>
      </c>
      <c r="C3194" s="76">
        <v>2017</v>
      </c>
      <c r="D3194" s="76" t="s">
        <v>31</v>
      </c>
      <c r="E3194" s="76" t="s">
        <v>32</v>
      </c>
      <c r="F3194" s="76">
        <v>1</v>
      </c>
    </row>
    <row r="3195" spans="1:6">
      <c r="A3195">
        <v>3266</v>
      </c>
      <c r="B3195">
        <v>232017270</v>
      </c>
      <c r="C3195" s="76">
        <v>2017</v>
      </c>
      <c r="D3195" s="76" t="s">
        <v>31</v>
      </c>
      <c r="E3195" s="76" t="s">
        <v>32</v>
      </c>
      <c r="F3195" s="76">
        <v>1</v>
      </c>
    </row>
    <row r="3196" spans="1:6">
      <c r="A3196">
        <v>3267</v>
      </c>
      <c r="B3196">
        <v>232017270</v>
      </c>
      <c r="C3196" s="76">
        <v>2017</v>
      </c>
      <c r="D3196" s="76" t="s">
        <v>31</v>
      </c>
      <c r="E3196" s="76">
        <v>2</v>
      </c>
      <c r="F3196" s="76">
        <v>2.14</v>
      </c>
    </row>
    <row r="3197" spans="1:6">
      <c r="A3197">
        <v>3292</v>
      </c>
      <c r="B3197">
        <v>232017270</v>
      </c>
      <c r="C3197" s="76">
        <v>2017</v>
      </c>
      <c r="D3197" s="76" t="s">
        <v>31</v>
      </c>
      <c r="E3197" s="76" t="s">
        <v>32</v>
      </c>
      <c r="F3197" s="76">
        <v>0.6</v>
      </c>
    </row>
    <row r="3198" spans="1:6">
      <c r="A3198">
        <v>3276</v>
      </c>
      <c r="B3198">
        <v>232017270</v>
      </c>
      <c r="C3198" s="76">
        <v>2017</v>
      </c>
      <c r="D3198" s="76" t="s">
        <v>31</v>
      </c>
      <c r="E3198" s="76" t="s">
        <v>32</v>
      </c>
      <c r="F3198" s="76">
        <v>2</v>
      </c>
    </row>
    <row r="3199" spans="1:6">
      <c r="A3199">
        <v>3279</v>
      </c>
      <c r="B3199">
        <v>232017270</v>
      </c>
      <c r="C3199" s="76">
        <v>2017</v>
      </c>
      <c r="D3199" s="76" t="s">
        <v>31</v>
      </c>
      <c r="E3199" s="76" t="s">
        <v>32</v>
      </c>
      <c r="F3199" s="76">
        <v>1</v>
      </c>
    </row>
    <row r="3200" spans="1:6">
      <c r="A3200">
        <v>3280</v>
      </c>
      <c r="B3200">
        <v>232017270</v>
      </c>
      <c r="C3200" s="76">
        <v>2017</v>
      </c>
      <c r="D3200" s="76" t="s">
        <v>31</v>
      </c>
      <c r="E3200" s="76" t="s">
        <v>32</v>
      </c>
      <c r="F3200" s="76">
        <v>1</v>
      </c>
    </row>
    <row r="3201" spans="1:6">
      <c r="A3201">
        <v>3278</v>
      </c>
      <c r="B3201">
        <v>232017270</v>
      </c>
      <c r="C3201" s="76">
        <v>2017</v>
      </c>
      <c r="D3201" s="76" t="s">
        <v>31</v>
      </c>
      <c r="E3201" s="76" t="s">
        <v>32</v>
      </c>
      <c r="F3201" s="76">
        <v>1</v>
      </c>
    </row>
    <row r="3202" spans="1:6">
      <c r="A3202">
        <v>3271</v>
      </c>
      <c r="B3202">
        <v>232017270</v>
      </c>
      <c r="C3202" s="76">
        <v>2017</v>
      </c>
      <c r="D3202" s="76" t="s">
        <v>31</v>
      </c>
      <c r="E3202" s="76" t="s">
        <v>32</v>
      </c>
      <c r="F3202" s="76">
        <v>2</v>
      </c>
    </row>
    <row r="3203" spans="1:6">
      <c r="A3203">
        <v>3269</v>
      </c>
      <c r="B3203">
        <v>232017270</v>
      </c>
      <c r="C3203" s="76">
        <v>2017</v>
      </c>
      <c r="D3203" s="76" t="s">
        <v>31</v>
      </c>
      <c r="E3203" s="76" t="s">
        <v>32</v>
      </c>
      <c r="F3203" s="76">
        <v>2</v>
      </c>
    </row>
    <row r="3204" spans="1:6">
      <c r="A3204">
        <v>3298</v>
      </c>
      <c r="B3204">
        <v>232018110</v>
      </c>
      <c r="C3204" s="76">
        <v>2018</v>
      </c>
      <c r="D3204" s="76" t="s">
        <v>40</v>
      </c>
      <c r="E3204" s="76" t="s">
        <v>32</v>
      </c>
      <c r="F3204" s="76">
        <v>3</v>
      </c>
    </row>
    <row r="3205" spans="1:6">
      <c r="A3205">
        <v>3302</v>
      </c>
      <c r="B3205">
        <v>232018211</v>
      </c>
      <c r="C3205" s="76">
        <v>2018</v>
      </c>
      <c r="D3205" s="76" t="s">
        <v>37</v>
      </c>
      <c r="E3205" s="76" t="s">
        <v>32</v>
      </c>
      <c r="F3205" s="76">
        <v>10</v>
      </c>
    </row>
    <row r="3206" spans="1:6">
      <c r="A3206">
        <v>3299</v>
      </c>
      <c r="B3206">
        <v>232018211</v>
      </c>
      <c r="C3206" s="76">
        <v>2018</v>
      </c>
      <c r="D3206" s="76" t="s">
        <v>37</v>
      </c>
      <c r="E3206" s="76" t="s">
        <v>32</v>
      </c>
      <c r="F3206" s="76">
        <v>16</v>
      </c>
    </row>
    <row r="3207" spans="1:6">
      <c r="A3207">
        <v>3300</v>
      </c>
      <c r="B3207">
        <v>232018211</v>
      </c>
      <c r="C3207" s="76">
        <v>2018</v>
      </c>
      <c r="D3207" s="76" t="s">
        <v>37</v>
      </c>
      <c r="E3207" s="76" t="s">
        <v>32</v>
      </c>
      <c r="F3207" s="76">
        <v>1.3</v>
      </c>
    </row>
    <row r="3208" spans="1:6">
      <c r="A3208">
        <v>3301</v>
      </c>
      <c r="B3208">
        <v>232018211</v>
      </c>
      <c r="C3208" s="76">
        <v>2018</v>
      </c>
      <c r="D3208" s="76" t="s">
        <v>37</v>
      </c>
      <c r="E3208" s="76" t="s">
        <v>32</v>
      </c>
      <c r="F3208" s="76">
        <v>0.6</v>
      </c>
    </row>
    <row r="3209" spans="1:6">
      <c r="A3209">
        <v>3304</v>
      </c>
      <c r="B3209">
        <v>232018242</v>
      </c>
      <c r="C3209" s="76">
        <v>2018</v>
      </c>
      <c r="D3209" s="76" t="s">
        <v>35</v>
      </c>
      <c r="E3209" s="76" t="s">
        <v>32</v>
      </c>
      <c r="F3209" s="76">
        <v>0.75</v>
      </c>
    </row>
    <row r="3210" spans="1:6">
      <c r="A3210">
        <v>3305</v>
      </c>
      <c r="B3210">
        <v>232018242</v>
      </c>
      <c r="C3210" s="76">
        <v>2018</v>
      </c>
      <c r="D3210" s="76" t="s">
        <v>35</v>
      </c>
      <c r="E3210" s="76" t="s">
        <v>32</v>
      </c>
      <c r="F3210" s="76">
        <v>2.4</v>
      </c>
    </row>
    <row r="3211" spans="1:6">
      <c r="A3211">
        <v>3306</v>
      </c>
      <c r="B3211">
        <v>232018243</v>
      </c>
      <c r="C3211" s="76">
        <v>2018</v>
      </c>
      <c r="D3211" s="76" t="s">
        <v>38</v>
      </c>
      <c r="E3211" s="76" t="s">
        <v>32</v>
      </c>
      <c r="F3211" s="76">
        <v>1.5</v>
      </c>
    </row>
    <row r="3212" spans="1:6">
      <c r="A3212">
        <v>3307</v>
      </c>
      <c r="B3212">
        <v>232018243</v>
      </c>
      <c r="C3212" s="76">
        <v>2018</v>
      </c>
      <c r="D3212" s="76" t="s">
        <v>38</v>
      </c>
      <c r="E3212" s="76" t="s">
        <v>32</v>
      </c>
      <c r="F3212" s="76">
        <v>3</v>
      </c>
    </row>
    <row r="3213" spans="1:6">
      <c r="A3213">
        <v>3311</v>
      </c>
      <c r="B3213">
        <v>232018260</v>
      </c>
      <c r="C3213" s="76">
        <v>2018</v>
      </c>
      <c r="D3213" s="76" t="s">
        <v>34</v>
      </c>
      <c r="E3213" s="76" t="s">
        <v>32</v>
      </c>
      <c r="F3213" s="76">
        <v>4.95</v>
      </c>
    </row>
    <row r="3214" spans="1:6">
      <c r="A3214">
        <v>3313</v>
      </c>
      <c r="B3214">
        <v>232018260</v>
      </c>
      <c r="C3214" s="76">
        <v>2018</v>
      </c>
      <c r="D3214" s="76" t="s">
        <v>34</v>
      </c>
      <c r="E3214" s="76" t="s">
        <v>32</v>
      </c>
      <c r="F3214" s="76">
        <v>10.2</v>
      </c>
    </row>
    <row r="3215" spans="1:6">
      <c r="A3215">
        <v>3308</v>
      </c>
      <c r="B3215">
        <v>232018260</v>
      </c>
      <c r="C3215" s="76">
        <v>2018</v>
      </c>
      <c r="D3215" s="76" t="s">
        <v>34</v>
      </c>
      <c r="E3215" s="76">
        <v>14</v>
      </c>
      <c r="F3215" s="76">
        <v>2.86</v>
      </c>
    </row>
    <row r="3216" spans="1:6">
      <c r="A3216">
        <v>3314</v>
      </c>
      <c r="B3216">
        <v>232018260</v>
      </c>
      <c r="C3216" s="76">
        <v>2018</v>
      </c>
      <c r="D3216" s="76" t="s">
        <v>34</v>
      </c>
      <c r="E3216" s="76" t="s">
        <v>32</v>
      </c>
      <c r="F3216" s="76">
        <v>1.8</v>
      </c>
    </row>
    <row r="3217" spans="1:6">
      <c r="A3217">
        <v>3312</v>
      </c>
      <c r="B3217">
        <v>232018260</v>
      </c>
      <c r="C3217" s="76">
        <v>2018</v>
      </c>
      <c r="D3217" s="76" t="s">
        <v>34</v>
      </c>
      <c r="E3217" s="76" t="s">
        <v>32</v>
      </c>
      <c r="F3217" s="76">
        <v>1.05</v>
      </c>
    </row>
    <row r="3218" spans="1:6">
      <c r="A3218">
        <v>3309</v>
      </c>
      <c r="B3218">
        <v>232018260</v>
      </c>
      <c r="C3218" s="76">
        <v>2018</v>
      </c>
      <c r="D3218" s="76" t="s">
        <v>34</v>
      </c>
      <c r="E3218" s="76">
        <v>25</v>
      </c>
      <c r="F3218" s="76">
        <v>5</v>
      </c>
    </row>
    <row r="3219" spans="1:6">
      <c r="A3219">
        <v>3310</v>
      </c>
      <c r="B3219">
        <v>232018260</v>
      </c>
      <c r="C3219" s="76">
        <v>2018</v>
      </c>
      <c r="D3219" s="76" t="s">
        <v>34</v>
      </c>
      <c r="E3219" s="76" t="s">
        <v>32</v>
      </c>
      <c r="F3219" s="76">
        <v>4.95</v>
      </c>
    </row>
    <row r="3220" spans="1:6">
      <c r="A3220">
        <v>3325</v>
      </c>
      <c r="B3220">
        <v>232018270</v>
      </c>
      <c r="C3220" s="76">
        <v>2018</v>
      </c>
      <c r="D3220" s="76" t="s">
        <v>31</v>
      </c>
      <c r="E3220" s="76" t="s">
        <v>32</v>
      </c>
      <c r="F3220" s="76">
        <v>8</v>
      </c>
    </row>
    <row r="3221" spans="1:6">
      <c r="A3221">
        <v>3329</v>
      </c>
      <c r="B3221">
        <v>232018270</v>
      </c>
      <c r="C3221" s="76">
        <v>2018</v>
      </c>
      <c r="D3221" s="76" t="s">
        <v>31</v>
      </c>
      <c r="E3221" s="76" t="s">
        <v>32</v>
      </c>
      <c r="F3221" s="76">
        <v>2</v>
      </c>
    </row>
    <row r="3222" spans="1:6">
      <c r="A3222">
        <v>3333</v>
      </c>
      <c r="B3222">
        <v>232018270</v>
      </c>
      <c r="C3222" s="76">
        <v>2018</v>
      </c>
      <c r="D3222" s="76" t="s">
        <v>31</v>
      </c>
      <c r="E3222" s="76" t="s">
        <v>32</v>
      </c>
      <c r="F3222" s="76">
        <v>2</v>
      </c>
    </row>
    <row r="3223" spans="1:6">
      <c r="A3223">
        <v>3331</v>
      </c>
      <c r="B3223">
        <v>232018270</v>
      </c>
      <c r="C3223" s="76">
        <v>2018</v>
      </c>
      <c r="D3223" s="76" t="s">
        <v>31</v>
      </c>
      <c r="E3223" s="76" t="s">
        <v>32</v>
      </c>
      <c r="F3223" s="76">
        <v>4</v>
      </c>
    </row>
    <row r="3224" spans="1:6">
      <c r="A3224">
        <v>3320</v>
      </c>
      <c r="B3224">
        <v>232018270</v>
      </c>
      <c r="C3224" s="76">
        <v>2018</v>
      </c>
      <c r="D3224" s="76" t="s">
        <v>31</v>
      </c>
      <c r="E3224" s="76" t="s">
        <v>32</v>
      </c>
      <c r="F3224" s="76">
        <v>4.39</v>
      </c>
    </row>
    <row r="3225" spans="1:6">
      <c r="A3225">
        <v>3334</v>
      </c>
      <c r="B3225">
        <v>232018270</v>
      </c>
      <c r="C3225" s="76">
        <v>2018</v>
      </c>
      <c r="D3225" s="76" t="s">
        <v>31</v>
      </c>
      <c r="E3225" s="76" t="s">
        <v>32</v>
      </c>
      <c r="F3225" s="76">
        <v>6</v>
      </c>
    </row>
    <row r="3226" spans="1:6">
      <c r="A3226">
        <v>3332</v>
      </c>
      <c r="B3226">
        <v>232018270</v>
      </c>
      <c r="C3226" s="76">
        <v>2018</v>
      </c>
      <c r="D3226" s="76" t="s">
        <v>31</v>
      </c>
      <c r="E3226" s="76" t="s">
        <v>32</v>
      </c>
      <c r="F3226" s="76">
        <v>6</v>
      </c>
    </row>
    <row r="3227" spans="1:6">
      <c r="A3227">
        <v>3326</v>
      </c>
      <c r="B3227">
        <v>232018270</v>
      </c>
      <c r="C3227" s="76">
        <v>2018</v>
      </c>
      <c r="D3227" s="76" t="s">
        <v>31</v>
      </c>
      <c r="E3227" s="76" t="s">
        <v>32</v>
      </c>
      <c r="F3227" s="76">
        <v>4</v>
      </c>
    </row>
    <row r="3228" spans="1:6">
      <c r="A3228">
        <v>3327</v>
      </c>
      <c r="B3228">
        <v>232018270</v>
      </c>
      <c r="C3228" s="76">
        <v>2018</v>
      </c>
      <c r="D3228" s="76" t="s">
        <v>31</v>
      </c>
      <c r="E3228" s="76" t="s">
        <v>32</v>
      </c>
      <c r="F3228" s="76">
        <v>4</v>
      </c>
    </row>
    <row r="3229" spans="1:6">
      <c r="A3229">
        <v>3339</v>
      </c>
      <c r="B3229">
        <v>232018270</v>
      </c>
      <c r="C3229" s="76">
        <v>2018</v>
      </c>
      <c r="D3229" s="76" t="s">
        <v>31</v>
      </c>
      <c r="E3229" s="76" t="s">
        <v>32</v>
      </c>
      <c r="F3229" s="76">
        <v>4</v>
      </c>
    </row>
    <row r="3230" spans="1:6">
      <c r="A3230">
        <v>3315</v>
      </c>
      <c r="B3230">
        <v>232018270</v>
      </c>
      <c r="C3230" s="76">
        <v>2018</v>
      </c>
      <c r="D3230" s="76" t="s">
        <v>31</v>
      </c>
      <c r="E3230" s="76" t="s">
        <v>32</v>
      </c>
      <c r="F3230" s="76">
        <v>2</v>
      </c>
    </row>
    <row r="3231" spans="1:6">
      <c r="A3231">
        <v>3318</v>
      </c>
      <c r="B3231">
        <v>232018270</v>
      </c>
      <c r="C3231" s="76">
        <v>2018</v>
      </c>
      <c r="D3231" s="76" t="s">
        <v>31</v>
      </c>
      <c r="E3231" s="76" t="s">
        <v>32</v>
      </c>
      <c r="F3231" s="76">
        <v>2</v>
      </c>
    </row>
    <row r="3232" spans="1:6">
      <c r="A3232">
        <v>3319</v>
      </c>
      <c r="B3232">
        <v>232018270</v>
      </c>
      <c r="C3232" s="76">
        <v>2018</v>
      </c>
      <c r="D3232" s="76" t="s">
        <v>31</v>
      </c>
      <c r="E3232" s="76" t="s">
        <v>32</v>
      </c>
      <c r="F3232" s="76">
        <v>2</v>
      </c>
    </row>
    <row r="3233" spans="1:6">
      <c r="A3233">
        <v>3322</v>
      </c>
      <c r="B3233">
        <v>232018270</v>
      </c>
      <c r="C3233" s="76">
        <v>2018</v>
      </c>
      <c r="D3233" s="76" t="s">
        <v>31</v>
      </c>
      <c r="E3233" s="76" t="s">
        <v>32</v>
      </c>
      <c r="F3233" s="76">
        <v>4</v>
      </c>
    </row>
    <row r="3234" spans="1:6">
      <c r="A3234">
        <v>3330</v>
      </c>
      <c r="B3234">
        <v>232018270</v>
      </c>
      <c r="C3234" s="76">
        <v>2018</v>
      </c>
      <c r="D3234" s="76" t="s">
        <v>31</v>
      </c>
      <c r="E3234" s="76" t="s">
        <v>32</v>
      </c>
      <c r="F3234" s="76">
        <v>8</v>
      </c>
    </row>
    <row r="3235" spans="1:6">
      <c r="A3235">
        <v>3323</v>
      </c>
      <c r="B3235">
        <v>232018270</v>
      </c>
      <c r="C3235" s="76">
        <v>2018</v>
      </c>
      <c r="D3235" s="76" t="s">
        <v>31</v>
      </c>
      <c r="E3235" s="76" t="s">
        <v>32</v>
      </c>
      <c r="F3235" s="76">
        <v>4</v>
      </c>
    </row>
    <row r="3236" spans="1:6">
      <c r="A3236">
        <v>3337</v>
      </c>
      <c r="B3236">
        <v>232018270</v>
      </c>
      <c r="C3236" s="76">
        <v>2018</v>
      </c>
      <c r="D3236" s="76" t="s">
        <v>31</v>
      </c>
      <c r="E3236" s="76" t="s">
        <v>32</v>
      </c>
      <c r="F3236" s="76">
        <v>0.6</v>
      </c>
    </row>
    <row r="3237" spans="1:6">
      <c r="A3237">
        <v>3338</v>
      </c>
      <c r="B3237">
        <v>232018270</v>
      </c>
      <c r="C3237" s="76">
        <v>2018</v>
      </c>
      <c r="D3237" s="76" t="s">
        <v>31</v>
      </c>
      <c r="E3237" s="76" t="s">
        <v>32</v>
      </c>
      <c r="F3237" s="76">
        <v>0.6</v>
      </c>
    </row>
    <row r="3238" spans="1:6">
      <c r="A3238">
        <v>3316</v>
      </c>
      <c r="B3238">
        <v>232018270</v>
      </c>
      <c r="C3238" s="76">
        <v>2018</v>
      </c>
      <c r="D3238" s="76" t="s">
        <v>31</v>
      </c>
      <c r="E3238" s="76" t="s">
        <v>32</v>
      </c>
      <c r="F3238" s="76">
        <v>2</v>
      </c>
    </row>
    <row r="3239" spans="1:6">
      <c r="A3239">
        <v>3335</v>
      </c>
      <c r="B3239">
        <v>232018270</v>
      </c>
      <c r="C3239" s="76">
        <v>2018</v>
      </c>
      <c r="D3239" s="76" t="s">
        <v>31</v>
      </c>
      <c r="E3239" s="76" t="s">
        <v>32</v>
      </c>
      <c r="F3239" s="76">
        <v>2</v>
      </c>
    </row>
    <row r="3240" spans="1:6">
      <c r="A3240">
        <v>3324</v>
      </c>
      <c r="B3240">
        <v>232018270</v>
      </c>
      <c r="C3240" s="76">
        <v>2018</v>
      </c>
      <c r="D3240" s="76" t="s">
        <v>31</v>
      </c>
      <c r="E3240" s="76" t="s">
        <v>32</v>
      </c>
      <c r="F3240" s="76">
        <v>2</v>
      </c>
    </row>
    <row r="3241" spans="1:6">
      <c r="A3241">
        <v>3317</v>
      </c>
      <c r="B3241">
        <v>232018270</v>
      </c>
      <c r="C3241" s="76">
        <v>2018</v>
      </c>
      <c r="D3241" s="76" t="s">
        <v>31</v>
      </c>
      <c r="E3241" s="76" t="s">
        <v>32</v>
      </c>
      <c r="F3241" s="76">
        <v>2</v>
      </c>
    </row>
    <row r="3242" spans="1:6">
      <c r="A3242">
        <v>3336</v>
      </c>
      <c r="B3242">
        <v>232018270</v>
      </c>
      <c r="C3242" s="76">
        <v>2018</v>
      </c>
      <c r="D3242" s="76" t="s">
        <v>31</v>
      </c>
      <c r="E3242" s="76" t="s">
        <v>32</v>
      </c>
      <c r="F3242" s="76">
        <v>6</v>
      </c>
    </row>
    <row r="3243" spans="1:6">
      <c r="A3243">
        <v>3328</v>
      </c>
      <c r="B3243">
        <v>232018270</v>
      </c>
      <c r="C3243" s="76">
        <v>2018</v>
      </c>
      <c r="D3243" s="76" t="s">
        <v>31</v>
      </c>
      <c r="E3243" s="76" t="s">
        <v>32</v>
      </c>
      <c r="F3243" s="76">
        <v>8</v>
      </c>
    </row>
    <row r="3244" spans="1:6">
      <c r="A3244">
        <v>3343</v>
      </c>
      <c r="B3244">
        <v>232019110</v>
      </c>
      <c r="C3244" s="76">
        <v>2019</v>
      </c>
      <c r="D3244" s="76" t="s">
        <v>40</v>
      </c>
      <c r="E3244" s="76" t="s">
        <v>32</v>
      </c>
      <c r="F3244" s="76">
        <v>1</v>
      </c>
    </row>
    <row r="3245" spans="1:6">
      <c r="A3245">
        <v>3341</v>
      </c>
      <c r="B3245">
        <v>232019110</v>
      </c>
      <c r="C3245" s="76">
        <v>2019</v>
      </c>
      <c r="D3245" s="76" t="s">
        <v>40</v>
      </c>
      <c r="E3245" s="76" t="s">
        <v>32</v>
      </c>
      <c r="F3245" s="76">
        <v>1.4</v>
      </c>
    </row>
    <row r="3246" spans="1:6">
      <c r="A3246">
        <v>3340</v>
      </c>
      <c r="B3246">
        <v>232019110</v>
      </c>
      <c r="C3246" s="76">
        <v>2019</v>
      </c>
      <c r="D3246" s="76" t="s">
        <v>40</v>
      </c>
      <c r="E3246" s="76" t="s">
        <v>32</v>
      </c>
      <c r="F3246" s="76">
        <v>0.4</v>
      </c>
    </row>
    <row r="3247" spans="1:6">
      <c r="A3247">
        <v>3342</v>
      </c>
      <c r="B3247">
        <v>232019110</v>
      </c>
      <c r="C3247" s="76">
        <v>2019</v>
      </c>
      <c r="D3247" s="76" t="s">
        <v>40</v>
      </c>
      <c r="E3247" s="76" t="s">
        <v>32</v>
      </c>
      <c r="F3247" s="76">
        <v>0.12</v>
      </c>
    </row>
    <row r="3248" spans="1:6">
      <c r="A3248">
        <v>3344</v>
      </c>
      <c r="B3248">
        <v>232019110</v>
      </c>
      <c r="C3248" s="76">
        <v>2019</v>
      </c>
      <c r="D3248" s="76" t="s">
        <v>40</v>
      </c>
      <c r="E3248" s="76" t="s">
        <v>32</v>
      </c>
      <c r="F3248" s="76">
        <v>0.03</v>
      </c>
    </row>
    <row r="3249" spans="1:6">
      <c r="A3249">
        <v>3347</v>
      </c>
      <c r="B3249">
        <v>232019211</v>
      </c>
      <c r="C3249" s="76">
        <v>2019</v>
      </c>
      <c r="D3249" s="76" t="s">
        <v>37</v>
      </c>
      <c r="E3249" s="76">
        <v>2</v>
      </c>
      <c r="F3249" s="76">
        <v>10</v>
      </c>
    </row>
    <row r="3250" spans="1:6">
      <c r="A3250">
        <v>3348</v>
      </c>
      <c r="B3250">
        <v>232019211</v>
      </c>
      <c r="C3250" s="76">
        <v>2019</v>
      </c>
      <c r="D3250" s="76" t="s">
        <v>37</v>
      </c>
      <c r="E3250" s="76">
        <v>2</v>
      </c>
      <c r="F3250" s="76">
        <v>10</v>
      </c>
    </row>
    <row r="3251" spans="1:6">
      <c r="A3251">
        <v>3351</v>
      </c>
      <c r="B3251">
        <v>232019211</v>
      </c>
      <c r="C3251" s="76">
        <v>2019</v>
      </c>
      <c r="D3251" s="76" t="s">
        <v>37</v>
      </c>
      <c r="E3251" s="76" t="s">
        <v>32</v>
      </c>
      <c r="F3251" s="76">
        <v>2.4</v>
      </c>
    </row>
    <row r="3252" spans="1:6">
      <c r="A3252">
        <v>3353</v>
      </c>
      <c r="B3252">
        <v>232019211</v>
      </c>
      <c r="C3252" s="76">
        <v>2019</v>
      </c>
      <c r="D3252" s="76" t="s">
        <v>37</v>
      </c>
      <c r="E3252" s="76" t="s">
        <v>32</v>
      </c>
      <c r="F3252" s="76">
        <v>2.7</v>
      </c>
    </row>
    <row r="3253" spans="1:6">
      <c r="A3253">
        <v>3354</v>
      </c>
      <c r="B3253">
        <v>232019211</v>
      </c>
      <c r="C3253" s="76">
        <v>2019</v>
      </c>
      <c r="D3253" s="76" t="s">
        <v>37</v>
      </c>
      <c r="E3253" s="76" t="s">
        <v>32</v>
      </c>
      <c r="F3253" s="76">
        <v>2.7</v>
      </c>
    </row>
    <row r="3254" spans="1:6">
      <c r="A3254">
        <v>3350</v>
      </c>
      <c r="B3254">
        <v>232019211</v>
      </c>
      <c r="C3254" s="76">
        <v>2019</v>
      </c>
      <c r="D3254" s="76" t="s">
        <v>37</v>
      </c>
      <c r="E3254" s="76" t="s">
        <v>32</v>
      </c>
      <c r="F3254" s="76">
        <v>4.95</v>
      </c>
    </row>
    <row r="3255" spans="1:6">
      <c r="A3255">
        <v>3349</v>
      </c>
      <c r="B3255">
        <v>232019211</v>
      </c>
      <c r="C3255" s="76">
        <v>2019</v>
      </c>
      <c r="D3255" s="76" t="s">
        <v>37</v>
      </c>
      <c r="E3255" s="76" t="s">
        <v>32</v>
      </c>
      <c r="F3255" s="76">
        <v>4.4</v>
      </c>
    </row>
    <row r="3256" spans="1:6">
      <c r="A3256">
        <v>3352</v>
      </c>
      <c r="B3256">
        <v>232019211</v>
      </c>
      <c r="C3256" s="76">
        <v>2019</v>
      </c>
      <c r="D3256" s="76" t="s">
        <v>37</v>
      </c>
      <c r="E3256" s="76" t="s">
        <v>32</v>
      </c>
      <c r="F3256" s="76">
        <v>5</v>
      </c>
    </row>
    <row r="3257" spans="1:6">
      <c r="A3257">
        <v>3346</v>
      </c>
      <c r="B3257">
        <v>232019211</v>
      </c>
      <c r="C3257" s="76">
        <v>2019</v>
      </c>
      <c r="D3257" s="76" t="s">
        <v>37</v>
      </c>
      <c r="E3257" s="76" t="s">
        <v>32</v>
      </c>
      <c r="F3257" s="76">
        <v>5</v>
      </c>
    </row>
    <row r="3258" spans="1:6">
      <c r="A3258">
        <v>3355</v>
      </c>
      <c r="B3258">
        <v>232019221</v>
      </c>
      <c r="C3258" s="76">
        <v>2019</v>
      </c>
      <c r="D3258" s="76" t="s">
        <v>30</v>
      </c>
      <c r="E3258" s="76" t="s">
        <v>32</v>
      </c>
      <c r="F3258" s="76">
        <v>6.5</v>
      </c>
    </row>
    <row r="3259" spans="1:6">
      <c r="A3259">
        <v>3356</v>
      </c>
      <c r="B3259">
        <v>232019241</v>
      </c>
      <c r="C3259" s="76">
        <v>2019</v>
      </c>
      <c r="D3259" s="76" t="s">
        <v>33</v>
      </c>
      <c r="E3259" s="76" t="s">
        <v>32</v>
      </c>
      <c r="F3259" s="76">
        <v>1.2</v>
      </c>
    </row>
    <row r="3260" spans="1:6">
      <c r="A3260">
        <v>3358</v>
      </c>
      <c r="B3260">
        <v>232019242</v>
      </c>
      <c r="C3260" s="76">
        <v>2019</v>
      </c>
      <c r="D3260" s="76" t="s">
        <v>35</v>
      </c>
      <c r="E3260" s="76" t="s">
        <v>32</v>
      </c>
      <c r="F3260" s="76">
        <v>1.5</v>
      </c>
    </row>
    <row r="3261" spans="1:6">
      <c r="A3261">
        <v>3362</v>
      </c>
      <c r="B3261">
        <v>232019243</v>
      </c>
      <c r="C3261" s="76">
        <v>2019</v>
      </c>
      <c r="D3261" s="76" t="s">
        <v>38</v>
      </c>
      <c r="E3261" s="76" t="s">
        <v>32</v>
      </c>
      <c r="F3261" s="76">
        <v>3</v>
      </c>
    </row>
    <row r="3262" spans="1:6">
      <c r="A3262">
        <v>3363</v>
      </c>
      <c r="B3262">
        <v>232019243</v>
      </c>
      <c r="C3262" s="76">
        <v>2019</v>
      </c>
      <c r="D3262" s="76" t="s">
        <v>38</v>
      </c>
      <c r="E3262" s="76" t="s">
        <v>32</v>
      </c>
      <c r="F3262" s="76">
        <v>3</v>
      </c>
    </row>
    <row r="3263" spans="1:6">
      <c r="A3263">
        <v>3359</v>
      </c>
      <c r="B3263">
        <v>232019243</v>
      </c>
      <c r="C3263" s="76">
        <v>2019</v>
      </c>
      <c r="D3263" s="76" t="s">
        <v>38</v>
      </c>
      <c r="E3263" s="76" t="s">
        <v>32</v>
      </c>
      <c r="F3263" s="76">
        <v>3.98</v>
      </c>
    </row>
    <row r="3264" spans="1:6">
      <c r="A3264">
        <v>3361</v>
      </c>
      <c r="B3264">
        <v>232019243</v>
      </c>
      <c r="C3264" s="76">
        <v>2019</v>
      </c>
      <c r="D3264" s="76" t="s">
        <v>38</v>
      </c>
      <c r="E3264" s="76" t="s">
        <v>32</v>
      </c>
      <c r="F3264" s="76">
        <v>3</v>
      </c>
    </row>
    <row r="3265" spans="1:6">
      <c r="A3265">
        <v>3366</v>
      </c>
      <c r="B3265">
        <v>232019243</v>
      </c>
      <c r="C3265" s="76">
        <v>2019</v>
      </c>
      <c r="D3265" s="76" t="s">
        <v>38</v>
      </c>
      <c r="E3265" s="76" t="s">
        <v>32</v>
      </c>
      <c r="F3265" s="76">
        <v>3</v>
      </c>
    </row>
    <row r="3266" spans="1:6">
      <c r="A3266">
        <v>3364</v>
      </c>
      <c r="B3266">
        <v>232019243</v>
      </c>
      <c r="C3266" s="76">
        <v>2019</v>
      </c>
      <c r="D3266" s="76" t="s">
        <v>38</v>
      </c>
      <c r="E3266" s="76" t="s">
        <v>32</v>
      </c>
      <c r="F3266" s="76">
        <v>6</v>
      </c>
    </row>
    <row r="3267" spans="1:6">
      <c r="A3267">
        <v>3365</v>
      </c>
      <c r="B3267">
        <v>232019243</v>
      </c>
      <c r="C3267" s="76">
        <v>2019</v>
      </c>
      <c r="D3267" s="76" t="s">
        <v>38</v>
      </c>
      <c r="E3267" s="76" t="s">
        <v>32</v>
      </c>
      <c r="F3267" s="76">
        <v>6</v>
      </c>
    </row>
    <row r="3268" spans="1:6">
      <c r="A3268">
        <v>3360</v>
      </c>
      <c r="B3268">
        <v>232019243</v>
      </c>
      <c r="C3268" s="76">
        <v>2019</v>
      </c>
      <c r="D3268" s="76" t="s">
        <v>38</v>
      </c>
      <c r="E3268" s="76" t="s">
        <v>32</v>
      </c>
      <c r="F3268" s="76">
        <v>3</v>
      </c>
    </row>
    <row r="3269" spans="1:6">
      <c r="A3269">
        <v>3369</v>
      </c>
      <c r="B3269">
        <v>232019260</v>
      </c>
      <c r="C3269" s="76">
        <v>2019</v>
      </c>
      <c r="D3269" s="76" t="s">
        <v>34</v>
      </c>
      <c r="E3269" s="76" t="s">
        <v>32</v>
      </c>
      <c r="F3269" s="76">
        <v>3.15</v>
      </c>
    </row>
    <row r="3270" spans="1:6">
      <c r="A3270">
        <v>3367</v>
      </c>
      <c r="B3270">
        <v>232019260</v>
      </c>
      <c r="C3270" s="76">
        <v>2019</v>
      </c>
      <c r="D3270" s="76" t="s">
        <v>34</v>
      </c>
      <c r="E3270" s="76">
        <v>27</v>
      </c>
      <c r="F3270" s="76">
        <v>4.05</v>
      </c>
    </row>
    <row r="3271" spans="1:6">
      <c r="A3271">
        <v>3368</v>
      </c>
      <c r="B3271">
        <v>232019260</v>
      </c>
      <c r="C3271" s="76">
        <v>2019</v>
      </c>
      <c r="D3271" s="76" t="s">
        <v>34</v>
      </c>
      <c r="E3271" s="76">
        <v>25</v>
      </c>
      <c r="F3271" s="76">
        <v>5</v>
      </c>
    </row>
    <row r="3272" spans="1:6">
      <c r="A3272">
        <v>3373</v>
      </c>
      <c r="B3272">
        <v>232019270</v>
      </c>
      <c r="C3272" s="76">
        <v>2019</v>
      </c>
      <c r="D3272" s="76" t="s">
        <v>31</v>
      </c>
      <c r="E3272" s="76" t="s">
        <v>32</v>
      </c>
      <c r="F3272" s="76">
        <v>10</v>
      </c>
    </row>
    <row r="3273" spans="1:6">
      <c r="A3273">
        <v>3372</v>
      </c>
      <c r="B3273">
        <v>232019270</v>
      </c>
      <c r="C3273" s="76">
        <v>2019</v>
      </c>
      <c r="D3273" s="76" t="s">
        <v>31</v>
      </c>
      <c r="E3273" s="76" t="s">
        <v>32</v>
      </c>
      <c r="F3273" s="76">
        <v>40</v>
      </c>
    </row>
    <row r="3274" spans="1:6">
      <c r="A3274">
        <v>3371</v>
      </c>
      <c r="B3274">
        <v>232019270</v>
      </c>
      <c r="C3274" s="76">
        <v>2019</v>
      </c>
      <c r="D3274" s="76" t="s">
        <v>31</v>
      </c>
      <c r="E3274" s="76" t="s">
        <v>32</v>
      </c>
      <c r="F3274" s="76">
        <v>4</v>
      </c>
    </row>
    <row r="3275" spans="1:6">
      <c r="A3275">
        <v>3374</v>
      </c>
      <c r="B3275">
        <v>232020110</v>
      </c>
      <c r="C3275" s="76">
        <v>2020</v>
      </c>
      <c r="D3275" s="76" t="s">
        <v>40</v>
      </c>
      <c r="E3275" s="76" t="s">
        <v>32</v>
      </c>
      <c r="F3275" s="76">
        <v>1</v>
      </c>
    </row>
    <row r="3276" spans="1:6">
      <c r="A3276">
        <v>3379</v>
      </c>
      <c r="B3276">
        <v>232020211</v>
      </c>
      <c r="C3276" s="76">
        <v>2020</v>
      </c>
      <c r="D3276" s="76" t="s">
        <v>37</v>
      </c>
      <c r="E3276" s="76" t="s">
        <v>32</v>
      </c>
      <c r="F3276" s="76">
        <v>5</v>
      </c>
    </row>
    <row r="3277" spans="1:6">
      <c r="A3277">
        <v>3376</v>
      </c>
      <c r="B3277">
        <v>232020211</v>
      </c>
      <c r="C3277" s="76">
        <v>2020</v>
      </c>
      <c r="D3277" s="76" t="s">
        <v>37</v>
      </c>
      <c r="E3277" s="76">
        <v>2</v>
      </c>
      <c r="F3277" s="76">
        <v>120</v>
      </c>
    </row>
    <row r="3278" spans="1:6">
      <c r="A3278">
        <v>3377</v>
      </c>
      <c r="B3278">
        <v>232020211</v>
      </c>
      <c r="C3278" s="76">
        <v>2020</v>
      </c>
      <c r="D3278" s="76" t="s">
        <v>37</v>
      </c>
      <c r="E3278" s="76" t="s">
        <v>32</v>
      </c>
      <c r="F3278" s="76">
        <v>8.6</v>
      </c>
    </row>
    <row r="3279" spans="1:6">
      <c r="A3279">
        <v>3378</v>
      </c>
      <c r="B3279">
        <v>232020211</v>
      </c>
      <c r="C3279" s="76">
        <v>2020</v>
      </c>
      <c r="D3279" s="76" t="s">
        <v>37</v>
      </c>
      <c r="E3279" s="76" t="s">
        <v>32</v>
      </c>
      <c r="F3279" s="76">
        <v>1.2</v>
      </c>
    </row>
    <row r="3280" spans="1:6">
      <c r="A3280">
        <v>3380</v>
      </c>
      <c r="B3280">
        <v>232020221</v>
      </c>
      <c r="C3280" s="76">
        <v>2020</v>
      </c>
      <c r="D3280" s="76" t="s">
        <v>30</v>
      </c>
      <c r="E3280" s="76" t="s">
        <v>32</v>
      </c>
      <c r="F3280" s="76">
        <v>0.6</v>
      </c>
    </row>
    <row r="3281" spans="1:6">
      <c r="A3281">
        <v>3381</v>
      </c>
      <c r="B3281">
        <v>232020241</v>
      </c>
      <c r="C3281" s="76">
        <v>2020</v>
      </c>
      <c r="D3281" s="76" t="s">
        <v>33</v>
      </c>
      <c r="E3281" s="76" t="s">
        <v>32</v>
      </c>
      <c r="F3281" s="76">
        <v>8</v>
      </c>
    </row>
    <row r="3282" spans="1:6">
      <c r="A3282">
        <v>3384</v>
      </c>
      <c r="B3282">
        <v>232020242</v>
      </c>
      <c r="C3282" s="76">
        <v>2020</v>
      </c>
      <c r="D3282" s="76" t="s">
        <v>35</v>
      </c>
      <c r="E3282" s="76" t="s">
        <v>32</v>
      </c>
      <c r="F3282" s="76">
        <v>0.9</v>
      </c>
    </row>
    <row r="3283" spans="1:6">
      <c r="A3283">
        <v>3383</v>
      </c>
      <c r="B3283">
        <v>232020242</v>
      </c>
      <c r="C3283" s="76">
        <v>2020</v>
      </c>
      <c r="D3283" s="76" t="s">
        <v>35</v>
      </c>
      <c r="E3283" s="76" t="s">
        <v>32</v>
      </c>
      <c r="F3283" s="76">
        <v>1.5</v>
      </c>
    </row>
    <row r="3284" spans="1:6">
      <c r="A3284">
        <v>3392</v>
      </c>
      <c r="B3284">
        <v>232020243</v>
      </c>
      <c r="C3284" s="76">
        <v>2020</v>
      </c>
      <c r="D3284" s="76" t="s">
        <v>38</v>
      </c>
      <c r="E3284" s="76" t="s">
        <v>32</v>
      </c>
      <c r="F3284" s="76">
        <v>0.4</v>
      </c>
    </row>
    <row r="3285" spans="1:6">
      <c r="A3285">
        <v>3395</v>
      </c>
      <c r="B3285">
        <v>232020243</v>
      </c>
      <c r="C3285" s="76">
        <v>2020</v>
      </c>
      <c r="D3285" s="76" t="s">
        <v>38</v>
      </c>
      <c r="E3285" s="76" t="s">
        <v>32</v>
      </c>
      <c r="F3285" s="76">
        <v>1.5</v>
      </c>
    </row>
    <row r="3286" spans="1:6">
      <c r="A3286">
        <v>3391</v>
      </c>
      <c r="B3286">
        <v>232020243</v>
      </c>
      <c r="C3286" s="76">
        <v>2020</v>
      </c>
      <c r="D3286" s="76" t="s">
        <v>38</v>
      </c>
      <c r="E3286" s="76" t="s">
        <v>32</v>
      </c>
      <c r="F3286" s="76">
        <v>3.5</v>
      </c>
    </row>
    <row r="3287" spans="1:6">
      <c r="A3287">
        <v>3393</v>
      </c>
      <c r="B3287">
        <v>232020243</v>
      </c>
      <c r="C3287" s="76">
        <v>2020</v>
      </c>
      <c r="D3287" s="76" t="s">
        <v>38</v>
      </c>
      <c r="E3287" s="76" t="s">
        <v>32</v>
      </c>
      <c r="F3287" s="76">
        <v>3</v>
      </c>
    </row>
    <row r="3288" spans="1:6">
      <c r="A3288">
        <v>3394</v>
      </c>
      <c r="B3288">
        <v>232020243</v>
      </c>
      <c r="C3288" s="76">
        <v>2020</v>
      </c>
      <c r="D3288" s="76" t="s">
        <v>38</v>
      </c>
      <c r="E3288" s="76" t="s">
        <v>32</v>
      </c>
      <c r="F3288" s="76">
        <v>3</v>
      </c>
    </row>
    <row r="3289" spans="1:6">
      <c r="A3289">
        <v>3389</v>
      </c>
      <c r="B3289">
        <v>232020243</v>
      </c>
      <c r="C3289" s="76">
        <v>2020</v>
      </c>
      <c r="D3289" s="76" t="s">
        <v>38</v>
      </c>
      <c r="E3289" s="76" t="s">
        <v>32</v>
      </c>
      <c r="F3289" s="76">
        <v>6</v>
      </c>
    </row>
    <row r="3290" spans="1:6">
      <c r="A3290">
        <v>3387</v>
      </c>
      <c r="B3290">
        <v>232020243</v>
      </c>
      <c r="C3290" s="76">
        <v>2020</v>
      </c>
      <c r="D3290" s="76" t="s">
        <v>38</v>
      </c>
      <c r="E3290" s="76" t="s">
        <v>32</v>
      </c>
      <c r="F3290" s="76">
        <v>3</v>
      </c>
    </row>
    <row r="3291" spans="1:6">
      <c r="A3291">
        <v>3390</v>
      </c>
      <c r="B3291">
        <v>232020243</v>
      </c>
      <c r="C3291" s="76">
        <v>2020</v>
      </c>
      <c r="D3291" s="76" t="s">
        <v>38</v>
      </c>
      <c r="E3291" s="76" t="s">
        <v>32</v>
      </c>
      <c r="F3291" s="76">
        <v>3</v>
      </c>
    </row>
    <row r="3292" spans="1:6">
      <c r="A3292">
        <v>3386</v>
      </c>
      <c r="B3292">
        <v>232020243</v>
      </c>
      <c r="C3292" s="76">
        <v>2020</v>
      </c>
      <c r="D3292" s="76" t="s">
        <v>38</v>
      </c>
      <c r="E3292" s="76" t="s">
        <v>32</v>
      </c>
      <c r="F3292" s="76">
        <v>3</v>
      </c>
    </row>
    <row r="3293" spans="1:6">
      <c r="A3293">
        <v>3388</v>
      </c>
      <c r="B3293">
        <v>232020243</v>
      </c>
      <c r="C3293" s="76">
        <v>2020</v>
      </c>
      <c r="D3293" s="76" t="s">
        <v>38</v>
      </c>
      <c r="E3293" s="76" t="s">
        <v>32</v>
      </c>
      <c r="F3293" s="76">
        <v>3</v>
      </c>
    </row>
    <row r="3294" spans="1:6">
      <c r="A3294">
        <v>3385</v>
      </c>
      <c r="B3294">
        <v>232020243</v>
      </c>
      <c r="C3294" s="76">
        <v>2020</v>
      </c>
      <c r="D3294" s="76" t="s">
        <v>38</v>
      </c>
      <c r="E3294" s="76" t="s">
        <v>32</v>
      </c>
      <c r="F3294" s="76">
        <v>3</v>
      </c>
    </row>
    <row r="3295" spans="1:6">
      <c r="A3295">
        <v>3406</v>
      </c>
      <c r="B3295">
        <v>232020260</v>
      </c>
      <c r="C3295" s="76">
        <v>2020</v>
      </c>
      <c r="D3295" s="76" t="s">
        <v>34</v>
      </c>
      <c r="E3295" s="76" t="s">
        <v>32</v>
      </c>
      <c r="F3295" s="76">
        <v>10.2</v>
      </c>
    </row>
    <row r="3296" spans="1:6">
      <c r="A3296">
        <v>3408</v>
      </c>
      <c r="B3296">
        <v>232020260</v>
      </c>
      <c r="C3296" s="76">
        <v>2020</v>
      </c>
      <c r="D3296" s="76" t="s">
        <v>34</v>
      </c>
      <c r="E3296" s="76" t="s">
        <v>32</v>
      </c>
      <c r="F3296" s="76">
        <v>4.95</v>
      </c>
    </row>
    <row r="3297" spans="1:6">
      <c r="A3297">
        <v>3407</v>
      </c>
      <c r="B3297">
        <v>232020260</v>
      </c>
      <c r="C3297" s="76">
        <v>2020</v>
      </c>
      <c r="D3297" s="76" t="s">
        <v>34</v>
      </c>
      <c r="E3297" s="76" t="s">
        <v>32</v>
      </c>
      <c r="F3297" s="76">
        <v>4.95</v>
      </c>
    </row>
    <row r="3298" spans="1:6">
      <c r="A3298">
        <v>3405</v>
      </c>
      <c r="B3298">
        <v>232020260</v>
      </c>
      <c r="C3298" s="76">
        <v>2020</v>
      </c>
      <c r="D3298" s="76" t="s">
        <v>34</v>
      </c>
      <c r="E3298" s="76" t="s">
        <v>32</v>
      </c>
      <c r="F3298" s="76">
        <v>9.6</v>
      </c>
    </row>
    <row r="3299" spans="1:6">
      <c r="A3299">
        <v>3396</v>
      </c>
      <c r="B3299">
        <v>232020260</v>
      </c>
      <c r="C3299" s="76">
        <v>2020</v>
      </c>
      <c r="D3299" s="76" t="s">
        <v>34</v>
      </c>
      <c r="E3299" s="76">
        <v>6</v>
      </c>
      <c r="F3299" s="76">
        <v>0.9</v>
      </c>
    </row>
    <row r="3300" spans="1:6">
      <c r="A3300">
        <v>3404</v>
      </c>
      <c r="B3300">
        <v>232020260</v>
      </c>
      <c r="C3300" s="76">
        <v>2020</v>
      </c>
      <c r="D3300" s="76" t="s">
        <v>34</v>
      </c>
      <c r="E3300" s="76" t="s">
        <v>32</v>
      </c>
      <c r="F3300" s="76">
        <v>9.9</v>
      </c>
    </row>
    <row r="3301" spans="1:6">
      <c r="A3301">
        <v>3403</v>
      </c>
      <c r="B3301">
        <v>232020260</v>
      </c>
      <c r="C3301" s="76">
        <v>2020</v>
      </c>
      <c r="D3301" s="76" t="s">
        <v>34</v>
      </c>
      <c r="E3301" s="76" t="s">
        <v>32</v>
      </c>
      <c r="F3301" s="76">
        <v>9.9</v>
      </c>
    </row>
    <row r="3302" spans="1:6">
      <c r="A3302">
        <v>3402</v>
      </c>
      <c r="B3302">
        <v>232020260</v>
      </c>
      <c r="C3302" s="76">
        <v>2020</v>
      </c>
      <c r="D3302" s="76" t="s">
        <v>34</v>
      </c>
      <c r="E3302" s="76">
        <v>25</v>
      </c>
      <c r="F3302" s="76">
        <v>5</v>
      </c>
    </row>
    <row r="3303" spans="1:6">
      <c r="A3303">
        <v>3400</v>
      </c>
      <c r="B3303">
        <v>232020260</v>
      </c>
      <c r="C3303" s="76">
        <v>2020</v>
      </c>
      <c r="D3303" s="76" t="s">
        <v>34</v>
      </c>
      <c r="E3303" s="76">
        <v>33</v>
      </c>
      <c r="F3303" s="76">
        <v>4.95</v>
      </c>
    </row>
    <row r="3304" spans="1:6">
      <c r="A3304">
        <v>3401</v>
      </c>
      <c r="B3304">
        <v>232020260</v>
      </c>
      <c r="C3304" s="76">
        <v>2020</v>
      </c>
      <c r="D3304" s="76" t="s">
        <v>34</v>
      </c>
      <c r="E3304" s="76">
        <v>33</v>
      </c>
      <c r="F3304" s="76">
        <v>4.95</v>
      </c>
    </row>
    <row r="3305" spans="1:6">
      <c r="A3305">
        <v>3397</v>
      </c>
      <c r="B3305">
        <v>232020260</v>
      </c>
      <c r="C3305" s="76">
        <v>2020</v>
      </c>
      <c r="D3305" s="76" t="s">
        <v>34</v>
      </c>
      <c r="E3305" s="76">
        <v>16</v>
      </c>
      <c r="F3305" s="76">
        <v>4.95</v>
      </c>
    </row>
    <row r="3306" spans="1:6">
      <c r="A3306">
        <v>3398</v>
      </c>
      <c r="B3306">
        <v>232020260</v>
      </c>
      <c r="C3306" s="76">
        <v>2020</v>
      </c>
      <c r="D3306" s="76" t="s">
        <v>34</v>
      </c>
      <c r="E3306" s="76">
        <v>16</v>
      </c>
      <c r="F3306" s="76">
        <v>4.95</v>
      </c>
    </row>
    <row r="3307" spans="1:6">
      <c r="A3307">
        <v>3399</v>
      </c>
      <c r="B3307">
        <v>232020260</v>
      </c>
      <c r="C3307" s="76">
        <v>2020</v>
      </c>
      <c r="D3307" s="76" t="s">
        <v>34</v>
      </c>
      <c r="E3307" s="76" t="s">
        <v>32</v>
      </c>
      <c r="F3307" s="76">
        <v>0.6</v>
      </c>
    </row>
    <row r="3308" spans="1:6">
      <c r="A3308">
        <v>3412</v>
      </c>
      <c r="B3308">
        <v>232020270</v>
      </c>
      <c r="C3308" s="76">
        <v>2020</v>
      </c>
      <c r="D3308" s="76" t="s">
        <v>31</v>
      </c>
      <c r="E3308" s="76" t="s">
        <v>32</v>
      </c>
      <c r="F3308" s="76">
        <v>20</v>
      </c>
    </row>
    <row r="3309" spans="1:6">
      <c r="A3309">
        <v>3411</v>
      </c>
      <c r="B3309">
        <v>232020270</v>
      </c>
      <c r="C3309" s="76">
        <v>2020</v>
      </c>
      <c r="D3309" s="76" t="s">
        <v>31</v>
      </c>
      <c r="E3309" s="76" t="s">
        <v>32</v>
      </c>
      <c r="F3309" s="76">
        <v>10</v>
      </c>
    </row>
    <row r="3310" spans="1:6">
      <c r="A3310">
        <v>3410</v>
      </c>
      <c r="B3310">
        <v>232020270</v>
      </c>
      <c r="C3310" s="76">
        <v>2020</v>
      </c>
      <c r="D3310" s="76" t="s">
        <v>31</v>
      </c>
      <c r="E3310" s="76" t="s">
        <v>32</v>
      </c>
      <c r="F3310" s="76">
        <v>10</v>
      </c>
    </row>
    <row r="3311" spans="1:6">
      <c r="A3311">
        <v>3413</v>
      </c>
      <c r="B3311">
        <v>232021120</v>
      </c>
      <c r="C3311" s="76">
        <v>2021</v>
      </c>
      <c r="D3311" s="76" t="s">
        <v>42</v>
      </c>
      <c r="E3311" s="76">
        <v>1</v>
      </c>
      <c r="F3311" s="76">
        <v>30</v>
      </c>
    </row>
    <row r="3312" spans="1:6">
      <c r="A3312">
        <v>3416</v>
      </c>
      <c r="B3312">
        <v>232021211</v>
      </c>
      <c r="C3312" s="76">
        <v>2021</v>
      </c>
      <c r="D3312" s="76" t="s">
        <v>37</v>
      </c>
      <c r="E3312" s="76">
        <v>2</v>
      </c>
      <c r="F3312" s="76">
        <v>10</v>
      </c>
    </row>
    <row r="3313" spans="1:6">
      <c r="A3313">
        <v>3417</v>
      </c>
      <c r="B3313">
        <v>232021211</v>
      </c>
      <c r="C3313" s="76">
        <v>2021</v>
      </c>
      <c r="D3313" s="76" t="s">
        <v>37</v>
      </c>
      <c r="E3313" s="76" t="s">
        <v>32</v>
      </c>
      <c r="F3313" s="76">
        <v>10.5</v>
      </c>
    </row>
    <row r="3314" spans="1:6">
      <c r="A3314">
        <v>3414</v>
      </c>
      <c r="B3314">
        <v>232021211</v>
      </c>
      <c r="C3314" s="76">
        <v>2021</v>
      </c>
      <c r="D3314" s="76" t="s">
        <v>37</v>
      </c>
      <c r="E3314" s="76">
        <v>2</v>
      </c>
      <c r="F3314" s="76">
        <v>27</v>
      </c>
    </row>
    <row r="3315" spans="1:6">
      <c r="A3315">
        <v>3415</v>
      </c>
      <c r="B3315">
        <v>232021211</v>
      </c>
      <c r="C3315" s="76">
        <v>2021</v>
      </c>
      <c r="D3315" s="76" t="s">
        <v>37</v>
      </c>
      <c r="E3315" s="76" t="s">
        <v>32</v>
      </c>
      <c r="F3315" s="76">
        <v>2.4</v>
      </c>
    </row>
    <row r="3316" spans="1:6">
      <c r="A3316">
        <v>3418</v>
      </c>
      <c r="B3316">
        <v>232021211</v>
      </c>
      <c r="C3316" s="76">
        <v>2021</v>
      </c>
      <c r="D3316" s="76" t="s">
        <v>37</v>
      </c>
      <c r="E3316" s="76" t="s">
        <v>32</v>
      </c>
      <c r="F3316" s="76">
        <v>3</v>
      </c>
    </row>
    <row r="3317" spans="1:6">
      <c r="A3317">
        <v>3419</v>
      </c>
      <c r="B3317">
        <v>232021221</v>
      </c>
      <c r="C3317" s="76">
        <v>2021</v>
      </c>
      <c r="D3317" s="76" t="s">
        <v>30</v>
      </c>
      <c r="E3317" s="76" t="s">
        <v>32</v>
      </c>
      <c r="F3317" s="76">
        <v>0.3</v>
      </c>
    </row>
    <row r="3318" spans="1:6">
      <c r="A3318">
        <v>3420</v>
      </c>
      <c r="B3318">
        <v>232021241</v>
      </c>
      <c r="C3318" s="76">
        <v>2021</v>
      </c>
      <c r="D3318" s="76" t="s">
        <v>33</v>
      </c>
      <c r="E3318" s="76" t="s">
        <v>32</v>
      </c>
      <c r="F3318" s="76">
        <v>8</v>
      </c>
    </row>
    <row r="3319" spans="1:6">
      <c r="A3319">
        <v>3422</v>
      </c>
      <c r="B3319">
        <v>232021242</v>
      </c>
      <c r="C3319" s="76">
        <v>2021</v>
      </c>
      <c r="D3319" s="76" t="s">
        <v>35</v>
      </c>
      <c r="E3319" s="76" t="s">
        <v>32</v>
      </c>
      <c r="F3319" s="76">
        <v>0.75</v>
      </c>
    </row>
    <row r="3320" spans="1:6">
      <c r="A3320">
        <v>3437</v>
      </c>
      <c r="B3320">
        <v>232021243</v>
      </c>
      <c r="C3320" s="76">
        <v>2021</v>
      </c>
      <c r="D3320" s="76" t="s">
        <v>38</v>
      </c>
      <c r="E3320" s="76" t="s">
        <v>32</v>
      </c>
      <c r="F3320" s="76">
        <v>1.5</v>
      </c>
    </row>
    <row r="3321" spans="1:6">
      <c r="A3321">
        <v>3430</v>
      </c>
      <c r="B3321">
        <v>232021243</v>
      </c>
      <c r="C3321" s="76">
        <v>2021</v>
      </c>
      <c r="D3321" s="76" t="s">
        <v>38</v>
      </c>
      <c r="E3321" s="76" t="s">
        <v>32</v>
      </c>
      <c r="F3321" s="76">
        <v>8</v>
      </c>
    </row>
    <row r="3322" spans="1:6">
      <c r="A3322">
        <v>3427</v>
      </c>
      <c r="B3322">
        <v>232021243</v>
      </c>
      <c r="C3322" s="76">
        <v>2021</v>
      </c>
      <c r="D3322" s="76" t="s">
        <v>38</v>
      </c>
      <c r="E3322" s="76" t="s">
        <v>32</v>
      </c>
      <c r="F3322" s="76">
        <v>3</v>
      </c>
    </row>
    <row r="3323" spans="1:6">
      <c r="A3323">
        <v>3424</v>
      </c>
      <c r="B3323">
        <v>232021243</v>
      </c>
      <c r="C3323" s="76">
        <v>2021</v>
      </c>
      <c r="D3323" s="76" t="s">
        <v>38</v>
      </c>
      <c r="E3323" s="76" t="s">
        <v>32</v>
      </c>
      <c r="F3323" s="76">
        <v>3</v>
      </c>
    </row>
    <row r="3324" spans="1:6">
      <c r="A3324">
        <v>3428</v>
      </c>
      <c r="B3324">
        <v>232021243</v>
      </c>
      <c r="C3324" s="76">
        <v>2021</v>
      </c>
      <c r="D3324" s="76" t="s">
        <v>38</v>
      </c>
      <c r="E3324" s="76" t="s">
        <v>32</v>
      </c>
      <c r="F3324" s="76">
        <v>6</v>
      </c>
    </row>
    <row r="3325" spans="1:6">
      <c r="A3325">
        <v>3426</v>
      </c>
      <c r="B3325">
        <v>232021243</v>
      </c>
      <c r="C3325" s="76">
        <v>2021</v>
      </c>
      <c r="D3325" s="76" t="s">
        <v>38</v>
      </c>
      <c r="E3325" s="76" t="s">
        <v>32</v>
      </c>
      <c r="F3325" s="76">
        <v>3</v>
      </c>
    </row>
    <row r="3326" spans="1:6">
      <c r="A3326">
        <v>3431</v>
      </c>
      <c r="B3326">
        <v>232021243</v>
      </c>
      <c r="C3326" s="76">
        <v>2021</v>
      </c>
      <c r="D3326" s="76" t="s">
        <v>38</v>
      </c>
      <c r="E3326" s="76" t="s">
        <v>32</v>
      </c>
      <c r="F3326" s="76">
        <v>8</v>
      </c>
    </row>
    <row r="3327" spans="1:6">
      <c r="A3327">
        <v>3425</v>
      </c>
      <c r="B3327">
        <v>232021243</v>
      </c>
      <c r="C3327" s="76">
        <v>2021</v>
      </c>
      <c r="D3327" s="76" t="s">
        <v>38</v>
      </c>
      <c r="E3327" s="76" t="s">
        <v>32</v>
      </c>
      <c r="F3327" s="76">
        <v>3</v>
      </c>
    </row>
    <row r="3328" spans="1:6">
      <c r="A3328">
        <v>3423</v>
      </c>
      <c r="B3328">
        <v>232021243</v>
      </c>
      <c r="C3328" s="76">
        <v>2021</v>
      </c>
      <c r="D3328" s="76" t="s">
        <v>38</v>
      </c>
      <c r="E3328" s="76" t="s">
        <v>32</v>
      </c>
      <c r="F3328" s="76">
        <v>8</v>
      </c>
    </row>
    <row r="3329" spans="1:6">
      <c r="A3329">
        <v>3429</v>
      </c>
      <c r="B3329">
        <v>232021243</v>
      </c>
      <c r="C3329" s="76">
        <v>2021</v>
      </c>
      <c r="D3329" s="76" t="s">
        <v>38</v>
      </c>
      <c r="E3329" s="76" t="s">
        <v>32</v>
      </c>
      <c r="F3329" s="76">
        <v>3</v>
      </c>
    </row>
    <row r="3330" spans="1:6">
      <c r="A3330">
        <v>3435</v>
      </c>
      <c r="B3330">
        <v>232021243</v>
      </c>
      <c r="C3330" s="76">
        <v>2021</v>
      </c>
      <c r="D3330" s="76" t="s">
        <v>38</v>
      </c>
      <c r="E3330" s="76" t="s">
        <v>32</v>
      </c>
      <c r="F3330" s="76">
        <v>8</v>
      </c>
    </row>
    <row r="3331" spans="1:6">
      <c r="A3331">
        <v>3432</v>
      </c>
      <c r="B3331">
        <v>232021243</v>
      </c>
      <c r="C3331" s="76">
        <v>2021</v>
      </c>
      <c r="D3331" s="76" t="s">
        <v>38</v>
      </c>
      <c r="E3331" s="76" t="s">
        <v>32</v>
      </c>
      <c r="F3331" s="76">
        <v>3</v>
      </c>
    </row>
    <row r="3332" spans="1:6">
      <c r="A3332">
        <v>3433</v>
      </c>
      <c r="B3332">
        <v>232021243</v>
      </c>
      <c r="C3332" s="76">
        <v>2021</v>
      </c>
      <c r="D3332" s="76" t="s">
        <v>38</v>
      </c>
      <c r="E3332" s="76" t="s">
        <v>32</v>
      </c>
      <c r="F3332" s="76">
        <v>3</v>
      </c>
    </row>
    <row r="3333" spans="1:6">
      <c r="A3333">
        <v>3434</v>
      </c>
      <c r="B3333">
        <v>232021243</v>
      </c>
      <c r="C3333" s="76">
        <v>2021</v>
      </c>
      <c r="D3333" s="76" t="s">
        <v>38</v>
      </c>
      <c r="E3333" s="76" t="s">
        <v>32</v>
      </c>
      <c r="F3333" s="76">
        <v>8</v>
      </c>
    </row>
    <row r="3334" spans="1:6">
      <c r="A3334">
        <v>3436</v>
      </c>
      <c r="B3334">
        <v>232021243</v>
      </c>
      <c r="C3334" s="76">
        <v>2021</v>
      </c>
      <c r="D3334" s="76" t="s">
        <v>38</v>
      </c>
      <c r="E3334" s="76" t="s">
        <v>32</v>
      </c>
      <c r="F3334" s="76">
        <v>3</v>
      </c>
    </row>
    <row r="3335" spans="1:6">
      <c r="A3335">
        <v>3465</v>
      </c>
      <c r="B3335">
        <v>232021260</v>
      </c>
      <c r="C3335" s="76">
        <v>2021</v>
      </c>
      <c r="D3335" s="76" t="s">
        <v>34</v>
      </c>
      <c r="E3335" s="76" t="s">
        <v>32</v>
      </c>
      <c r="F3335" s="76">
        <v>1.1</v>
      </c>
    </row>
    <row r="3336" spans="1:6">
      <c r="A3336">
        <v>3463</v>
      </c>
      <c r="B3336">
        <v>232021260</v>
      </c>
      <c r="C3336" s="76">
        <v>2021</v>
      </c>
      <c r="D3336" s="76" t="s">
        <v>34</v>
      </c>
      <c r="E3336" s="76" t="s">
        <v>32</v>
      </c>
      <c r="F3336" s="76">
        <v>2.88</v>
      </c>
    </row>
    <row r="3337" spans="1:6">
      <c r="A3337">
        <v>3464</v>
      </c>
      <c r="B3337">
        <v>232021260</v>
      </c>
      <c r="C3337" s="76">
        <v>2021</v>
      </c>
      <c r="D3337" s="76" t="s">
        <v>34</v>
      </c>
      <c r="E3337" s="76" t="s">
        <v>32</v>
      </c>
      <c r="F3337" s="76">
        <v>1.06</v>
      </c>
    </row>
    <row r="3338" spans="1:6">
      <c r="A3338">
        <v>3462</v>
      </c>
      <c r="B3338">
        <v>232021260</v>
      </c>
      <c r="C3338" s="76">
        <v>2021</v>
      </c>
      <c r="D3338" s="76" t="s">
        <v>34</v>
      </c>
      <c r="E3338" s="76" t="s">
        <v>32</v>
      </c>
      <c r="F3338" s="76">
        <v>1.3</v>
      </c>
    </row>
    <row r="3339" spans="1:6">
      <c r="A3339">
        <v>3454</v>
      </c>
      <c r="B3339">
        <v>232021260</v>
      </c>
      <c r="C3339" s="76">
        <v>2021</v>
      </c>
      <c r="D3339" s="76" t="s">
        <v>34</v>
      </c>
      <c r="E3339" s="76" t="s">
        <v>32</v>
      </c>
      <c r="F3339" s="76">
        <v>0.6</v>
      </c>
    </row>
    <row r="3340" spans="1:6">
      <c r="A3340">
        <v>3455</v>
      </c>
      <c r="B3340">
        <v>232021260</v>
      </c>
      <c r="C3340" s="76">
        <v>2021</v>
      </c>
      <c r="D3340" s="76" t="s">
        <v>34</v>
      </c>
      <c r="E3340" s="76" t="s">
        <v>32</v>
      </c>
      <c r="F3340" s="76">
        <v>0.6</v>
      </c>
    </row>
    <row r="3341" spans="1:6">
      <c r="A3341">
        <v>3456</v>
      </c>
      <c r="B3341">
        <v>232021260</v>
      </c>
      <c r="C3341" s="76">
        <v>2021</v>
      </c>
      <c r="D3341" s="76" t="s">
        <v>34</v>
      </c>
      <c r="E3341" s="76" t="s">
        <v>32</v>
      </c>
      <c r="F3341" s="76">
        <v>15</v>
      </c>
    </row>
    <row r="3342" spans="1:6">
      <c r="A3342">
        <v>3438</v>
      </c>
      <c r="B3342">
        <v>232021260</v>
      </c>
      <c r="C3342" s="76">
        <v>2021</v>
      </c>
      <c r="D3342" s="76" t="s">
        <v>34</v>
      </c>
      <c r="E3342" s="76">
        <v>6</v>
      </c>
      <c r="F3342" s="76">
        <v>1.5</v>
      </c>
    </row>
    <row r="3343" spans="1:6">
      <c r="A3343">
        <v>3450</v>
      </c>
      <c r="B3343">
        <v>232021260</v>
      </c>
      <c r="C3343" s="76">
        <v>2021</v>
      </c>
      <c r="D3343" s="76" t="s">
        <v>34</v>
      </c>
      <c r="E3343" s="76">
        <v>25</v>
      </c>
      <c r="F3343" s="76">
        <v>5</v>
      </c>
    </row>
    <row r="3344" spans="1:6">
      <c r="A3344">
        <v>3440</v>
      </c>
      <c r="B3344">
        <v>232021260</v>
      </c>
      <c r="C3344" s="76">
        <v>2021</v>
      </c>
      <c r="D3344" s="76" t="s">
        <v>34</v>
      </c>
      <c r="E3344" s="76">
        <v>1</v>
      </c>
      <c r="F3344" s="76">
        <v>0.25</v>
      </c>
    </row>
    <row r="3345" spans="1:6">
      <c r="A3345">
        <v>3461</v>
      </c>
      <c r="B3345">
        <v>232021260</v>
      </c>
      <c r="C3345" s="76">
        <v>2021</v>
      </c>
      <c r="D3345" s="76" t="s">
        <v>34</v>
      </c>
      <c r="E3345" s="76" t="s">
        <v>32</v>
      </c>
      <c r="F3345" s="76">
        <v>0.8</v>
      </c>
    </row>
    <row r="3346" spans="1:6">
      <c r="A3346">
        <v>3442</v>
      </c>
      <c r="B3346">
        <v>232021260</v>
      </c>
      <c r="C3346" s="76">
        <v>2021</v>
      </c>
      <c r="D3346" s="76" t="s">
        <v>34</v>
      </c>
      <c r="E3346" s="76">
        <v>2</v>
      </c>
      <c r="F3346" s="76">
        <v>0.6</v>
      </c>
    </row>
    <row r="3347" spans="1:6">
      <c r="A3347">
        <v>3444</v>
      </c>
      <c r="B3347">
        <v>232021260</v>
      </c>
      <c r="C3347" s="76">
        <v>2021</v>
      </c>
      <c r="D3347" s="76" t="s">
        <v>34</v>
      </c>
      <c r="E3347" s="76">
        <v>3</v>
      </c>
      <c r="F3347" s="76">
        <v>1</v>
      </c>
    </row>
    <row r="3348" spans="1:6">
      <c r="A3348">
        <v>3443</v>
      </c>
      <c r="B3348">
        <v>232021260</v>
      </c>
      <c r="C3348" s="76">
        <v>2021</v>
      </c>
      <c r="D3348" s="76" t="s">
        <v>34</v>
      </c>
      <c r="E3348" s="76">
        <v>6</v>
      </c>
      <c r="F3348" s="76">
        <v>1.7</v>
      </c>
    </row>
    <row r="3349" spans="1:6">
      <c r="A3349">
        <v>3449</v>
      </c>
      <c r="B3349">
        <v>232021260</v>
      </c>
      <c r="C3349" s="76">
        <v>2021</v>
      </c>
      <c r="D3349" s="76" t="s">
        <v>34</v>
      </c>
      <c r="E3349" s="76">
        <v>17</v>
      </c>
      <c r="F3349" s="76">
        <v>5.1</v>
      </c>
    </row>
    <row r="3350" spans="1:6">
      <c r="A3350">
        <v>3445</v>
      </c>
      <c r="B3350">
        <v>232021260</v>
      </c>
      <c r="C3350" s="76">
        <v>2021</v>
      </c>
      <c r="D3350" s="76" t="s">
        <v>34</v>
      </c>
      <c r="E3350" s="76">
        <v>43</v>
      </c>
      <c r="F3350" s="76">
        <v>15</v>
      </c>
    </row>
    <row r="3351" spans="1:6">
      <c r="A3351">
        <v>3458</v>
      </c>
      <c r="B3351">
        <v>232021260</v>
      </c>
      <c r="C3351" s="76">
        <v>2021</v>
      </c>
      <c r="D3351" s="76" t="s">
        <v>34</v>
      </c>
      <c r="E3351" s="76" t="s">
        <v>32</v>
      </c>
      <c r="F3351" s="76">
        <v>2.5</v>
      </c>
    </row>
    <row r="3352" spans="1:6">
      <c r="A3352">
        <v>3453</v>
      </c>
      <c r="B3352">
        <v>232021260</v>
      </c>
      <c r="C3352" s="76">
        <v>2021</v>
      </c>
      <c r="D3352" s="76" t="s">
        <v>34</v>
      </c>
      <c r="E3352" s="76" t="s">
        <v>32</v>
      </c>
      <c r="F3352" s="76">
        <v>0.6</v>
      </c>
    </row>
    <row r="3353" spans="1:6">
      <c r="A3353">
        <v>3446</v>
      </c>
      <c r="B3353">
        <v>232021260</v>
      </c>
      <c r="C3353" s="76">
        <v>2021</v>
      </c>
      <c r="D3353" s="76" t="s">
        <v>34</v>
      </c>
      <c r="E3353" s="76">
        <v>34</v>
      </c>
      <c r="F3353" s="76">
        <v>10</v>
      </c>
    </row>
    <row r="3354" spans="1:6">
      <c r="A3354">
        <v>3448</v>
      </c>
      <c r="B3354">
        <v>232021260</v>
      </c>
      <c r="C3354" s="76">
        <v>2021</v>
      </c>
      <c r="D3354" s="76" t="s">
        <v>34</v>
      </c>
      <c r="E3354" s="76">
        <v>2</v>
      </c>
      <c r="F3354" s="76">
        <v>0.7</v>
      </c>
    </row>
    <row r="3355" spans="1:6">
      <c r="A3355">
        <v>3447</v>
      </c>
      <c r="B3355">
        <v>232021260</v>
      </c>
      <c r="C3355" s="76">
        <v>2021</v>
      </c>
      <c r="D3355" s="76" t="s">
        <v>34</v>
      </c>
      <c r="E3355" s="76">
        <v>64</v>
      </c>
      <c r="F3355" s="76">
        <v>20</v>
      </c>
    </row>
    <row r="3356" spans="1:6">
      <c r="A3356">
        <v>3439</v>
      </c>
      <c r="B3356">
        <v>232021260</v>
      </c>
      <c r="C3356" s="76">
        <v>2021</v>
      </c>
      <c r="D3356" s="76" t="s">
        <v>34</v>
      </c>
      <c r="E3356" s="76">
        <v>29</v>
      </c>
      <c r="F3356" s="76">
        <v>10</v>
      </c>
    </row>
    <row r="3357" spans="1:6">
      <c r="A3357">
        <v>3460</v>
      </c>
      <c r="B3357">
        <v>232021260</v>
      </c>
      <c r="C3357" s="76">
        <v>2021</v>
      </c>
      <c r="D3357" s="76" t="s">
        <v>34</v>
      </c>
      <c r="E3357" s="76" t="s">
        <v>32</v>
      </c>
      <c r="F3357" s="76">
        <v>0.6</v>
      </c>
    </row>
    <row r="3358" spans="1:6">
      <c r="A3358">
        <v>3459</v>
      </c>
      <c r="B3358">
        <v>232021260</v>
      </c>
      <c r="C3358" s="76">
        <v>2021</v>
      </c>
      <c r="D3358" s="76" t="s">
        <v>34</v>
      </c>
      <c r="E3358" s="76" t="s">
        <v>32</v>
      </c>
      <c r="F3358" s="76">
        <v>3.5</v>
      </c>
    </row>
    <row r="3359" spans="1:6">
      <c r="A3359">
        <v>3457</v>
      </c>
      <c r="B3359">
        <v>232021260</v>
      </c>
      <c r="C3359" s="76">
        <v>2021</v>
      </c>
      <c r="D3359" s="76" t="s">
        <v>34</v>
      </c>
      <c r="E3359" s="76" t="s">
        <v>32</v>
      </c>
      <c r="F3359" s="76">
        <v>5</v>
      </c>
    </row>
    <row r="3360" spans="1:6">
      <c r="A3360">
        <v>3452</v>
      </c>
      <c r="B3360">
        <v>232021260</v>
      </c>
      <c r="C3360" s="76">
        <v>2021</v>
      </c>
      <c r="D3360" s="76" t="s">
        <v>34</v>
      </c>
      <c r="E3360" s="76" t="s">
        <v>32</v>
      </c>
      <c r="F3360" s="76">
        <v>15</v>
      </c>
    </row>
    <row r="3361" spans="1:6">
      <c r="A3361">
        <v>3451</v>
      </c>
      <c r="B3361">
        <v>232021260</v>
      </c>
      <c r="C3361" s="76">
        <v>2021</v>
      </c>
      <c r="D3361" s="76" t="s">
        <v>34</v>
      </c>
      <c r="E3361" s="76">
        <v>34</v>
      </c>
      <c r="F3361" s="76">
        <v>10</v>
      </c>
    </row>
    <row r="3362" spans="1:6">
      <c r="A3362">
        <v>3441</v>
      </c>
      <c r="B3362">
        <v>232021260</v>
      </c>
      <c r="C3362" s="76">
        <v>2021</v>
      </c>
      <c r="D3362" s="76" t="s">
        <v>34</v>
      </c>
      <c r="E3362" s="76" t="s">
        <v>32</v>
      </c>
      <c r="F3362" s="76">
        <v>11.98</v>
      </c>
    </row>
    <row r="3363" spans="1:6">
      <c r="A3363">
        <v>3474</v>
      </c>
      <c r="B3363">
        <v>232021270</v>
      </c>
      <c r="C3363" s="76">
        <v>2021</v>
      </c>
      <c r="D3363" s="76" t="s">
        <v>31</v>
      </c>
      <c r="E3363" s="76" t="s">
        <v>32</v>
      </c>
      <c r="F3363" s="76">
        <v>5</v>
      </c>
    </row>
    <row r="3364" spans="1:6">
      <c r="A3364">
        <v>3471</v>
      </c>
      <c r="B3364">
        <v>232021270</v>
      </c>
      <c r="C3364" s="76">
        <v>2021</v>
      </c>
      <c r="D3364" s="76" t="s">
        <v>31</v>
      </c>
      <c r="E3364" s="76" t="s">
        <v>32</v>
      </c>
      <c r="F3364" s="76">
        <v>20</v>
      </c>
    </row>
    <row r="3365" spans="1:6">
      <c r="A3365">
        <v>3470</v>
      </c>
      <c r="B3365">
        <v>232021270</v>
      </c>
      <c r="C3365" s="76">
        <v>2021</v>
      </c>
      <c r="D3365" s="76" t="s">
        <v>31</v>
      </c>
      <c r="E3365" s="76" t="s">
        <v>32</v>
      </c>
      <c r="F3365" s="76">
        <v>3.3</v>
      </c>
    </row>
    <row r="3366" spans="1:6">
      <c r="A3366">
        <v>3477</v>
      </c>
      <c r="B3366">
        <v>232021270</v>
      </c>
      <c r="C3366" s="76">
        <v>2021</v>
      </c>
      <c r="D3366" s="76" t="s">
        <v>31</v>
      </c>
      <c r="E3366" s="76" t="s">
        <v>32</v>
      </c>
      <c r="F3366" s="76">
        <v>10</v>
      </c>
    </row>
    <row r="3367" spans="1:6">
      <c r="A3367">
        <v>3472</v>
      </c>
      <c r="B3367">
        <v>232021270</v>
      </c>
      <c r="C3367" s="76">
        <v>2021</v>
      </c>
      <c r="D3367" s="76" t="s">
        <v>31</v>
      </c>
      <c r="E3367" s="76" t="s">
        <v>32</v>
      </c>
      <c r="F3367" s="76">
        <v>10</v>
      </c>
    </row>
    <row r="3368" spans="1:6">
      <c r="A3368">
        <v>3473</v>
      </c>
      <c r="B3368">
        <v>232021270</v>
      </c>
      <c r="C3368" s="76">
        <v>2021</v>
      </c>
      <c r="D3368" s="76" t="s">
        <v>31</v>
      </c>
      <c r="E3368" s="76" t="s">
        <v>32</v>
      </c>
      <c r="F3368" s="76">
        <v>10</v>
      </c>
    </row>
    <row r="3369" spans="1:6">
      <c r="A3369">
        <v>3469</v>
      </c>
      <c r="B3369">
        <v>232021270</v>
      </c>
      <c r="C3369" s="76">
        <v>2021</v>
      </c>
      <c r="D3369" s="76" t="s">
        <v>31</v>
      </c>
      <c r="E3369" s="76" t="s">
        <v>32</v>
      </c>
      <c r="F3369" s="76">
        <v>10</v>
      </c>
    </row>
    <row r="3370" spans="1:6">
      <c r="A3370">
        <v>3468</v>
      </c>
      <c r="B3370">
        <v>232021270</v>
      </c>
      <c r="C3370" s="76">
        <v>2021</v>
      </c>
      <c r="D3370" s="76" t="s">
        <v>31</v>
      </c>
      <c r="E3370" s="76" t="s">
        <v>32</v>
      </c>
      <c r="F3370" s="76">
        <v>10</v>
      </c>
    </row>
    <row r="3371" spans="1:6">
      <c r="A3371">
        <v>3475</v>
      </c>
      <c r="B3371">
        <v>232021270</v>
      </c>
      <c r="C3371" s="76">
        <v>2021</v>
      </c>
      <c r="D3371" s="76" t="s">
        <v>31</v>
      </c>
      <c r="E3371" s="76" t="s">
        <v>32</v>
      </c>
      <c r="F3371" s="76">
        <v>10</v>
      </c>
    </row>
    <row r="3372" spans="1:6">
      <c r="A3372">
        <v>3476</v>
      </c>
      <c r="B3372">
        <v>232021270</v>
      </c>
      <c r="C3372" s="76">
        <v>2021</v>
      </c>
      <c r="D3372" s="76" t="s">
        <v>31</v>
      </c>
      <c r="E3372" s="76" t="s">
        <v>32</v>
      </c>
      <c r="F3372" s="76">
        <v>10</v>
      </c>
    </row>
    <row r="3373" spans="1:6">
      <c r="A3373">
        <v>3478</v>
      </c>
      <c r="B3373">
        <v>312012211</v>
      </c>
      <c r="C3373">
        <v>2012</v>
      </c>
      <c r="D3373" t="s">
        <v>37</v>
      </c>
      <c r="E3373">
        <v>1</v>
      </c>
      <c r="F3373">
        <v>42.3</v>
      </c>
    </row>
    <row r="3374" spans="1:6">
      <c r="A3374">
        <v>3479</v>
      </c>
      <c r="B3374">
        <v>312013223</v>
      </c>
      <c r="C3374">
        <v>2013</v>
      </c>
      <c r="D3374" t="s">
        <v>36</v>
      </c>
      <c r="E3374">
        <v>8</v>
      </c>
      <c r="F3374">
        <v>0.98</v>
      </c>
    </row>
    <row r="3375" spans="1:6">
      <c r="A3375">
        <v>3480</v>
      </c>
      <c r="B3375">
        <v>312013241</v>
      </c>
      <c r="C3375">
        <v>2013</v>
      </c>
      <c r="D3375" t="s">
        <v>33</v>
      </c>
      <c r="E3375">
        <v>3</v>
      </c>
      <c r="F3375">
        <v>3.6</v>
      </c>
    </row>
    <row r="3376" spans="1:6">
      <c r="A3376">
        <v>3482</v>
      </c>
      <c r="B3376">
        <v>312013242</v>
      </c>
      <c r="C3376">
        <v>2013</v>
      </c>
      <c r="D3376" t="s">
        <v>35</v>
      </c>
      <c r="E3376">
        <v>1</v>
      </c>
      <c r="F3376">
        <v>1.5</v>
      </c>
    </row>
    <row r="3377" spans="1:6">
      <c r="A3377">
        <v>3481</v>
      </c>
      <c r="B3377">
        <v>312013242</v>
      </c>
      <c r="C3377">
        <v>2013</v>
      </c>
      <c r="D3377" t="s">
        <v>35</v>
      </c>
      <c r="E3377">
        <v>2</v>
      </c>
      <c r="F3377">
        <v>6</v>
      </c>
    </row>
    <row r="3378" spans="1:6">
      <c r="A3378">
        <v>3483</v>
      </c>
      <c r="B3378">
        <v>312013260</v>
      </c>
      <c r="C3378">
        <v>2013</v>
      </c>
      <c r="D3378" t="s">
        <v>34</v>
      </c>
      <c r="E3378">
        <v>24</v>
      </c>
      <c r="F3378">
        <v>4.8</v>
      </c>
    </row>
    <row r="3379" spans="1:6">
      <c r="A3379">
        <v>3485</v>
      </c>
      <c r="B3379">
        <v>312013270</v>
      </c>
      <c r="C3379">
        <v>2013</v>
      </c>
      <c r="D3379" t="s">
        <v>31</v>
      </c>
      <c r="E3379" t="s">
        <v>32</v>
      </c>
      <c r="F3379">
        <v>3</v>
      </c>
    </row>
    <row r="3380" spans="1:6">
      <c r="A3380">
        <v>3484</v>
      </c>
      <c r="B3380">
        <v>312013270</v>
      </c>
      <c r="C3380">
        <v>2013</v>
      </c>
      <c r="D3380" t="s">
        <v>31</v>
      </c>
      <c r="E3380" t="s">
        <v>32</v>
      </c>
      <c r="F3380">
        <v>0.2</v>
      </c>
    </row>
    <row r="3381" spans="1:6">
      <c r="A3381">
        <v>3487</v>
      </c>
      <c r="B3381">
        <v>312014241</v>
      </c>
      <c r="C3381">
        <v>2014</v>
      </c>
      <c r="D3381" t="s">
        <v>33</v>
      </c>
      <c r="E3381">
        <v>8</v>
      </c>
      <c r="F3381">
        <v>1.12</v>
      </c>
    </row>
    <row r="3382" spans="1:6">
      <c r="A3382">
        <v>3486</v>
      </c>
      <c r="B3382">
        <v>312014241</v>
      </c>
      <c r="C3382">
        <v>2014</v>
      </c>
      <c r="D3382" t="s">
        <v>33</v>
      </c>
      <c r="E3382">
        <v>2</v>
      </c>
      <c r="F3382">
        <v>2.1</v>
      </c>
    </row>
    <row r="3383" spans="1:6">
      <c r="A3383">
        <v>3488</v>
      </c>
      <c r="B3383">
        <v>312014242</v>
      </c>
      <c r="C3383">
        <v>2014</v>
      </c>
      <c r="D3383" t="s">
        <v>35</v>
      </c>
      <c r="E3383">
        <v>2</v>
      </c>
      <c r="F3383">
        <v>4</v>
      </c>
    </row>
    <row r="3384" spans="1:6">
      <c r="A3384">
        <v>3489</v>
      </c>
      <c r="B3384">
        <v>312014260</v>
      </c>
      <c r="C3384">
        <v>2014</v>
      </c>
      <c r="D3384" t="s">
        <v>34</v>
      </c>
      <c r="E3384">
        <v>24</v>
      </c>
      <c r="F3384">
        <v>4.8</v>
      </c>
    </row>
    <row r="3385" spans="1:6">
      <c r="A3385">
        <v>3490</v>
      </c>
      <c r="B3385">
        <v>312014270</v>
      </c>
      <c r="C3385">
        <v>2014</v>
      </c>
      <c r="D3385" t="s">
        <v>31</v>
      </c>
      <c r="E3385">
        <v>1</v>
      </c>
      <c r="F3385">
        <v>5</v>
      </c>
    </row>
    <row r="3386" spans="1:6">
      <c r="A3386">
        <v>3491</v>
      </c>
      <c r="B3386">
        <v>312014270</v>
      </c>
      <c r="C3386">
        <v>2014</v>
      </c>
      <c r="D3386" t="s">
        <v>31</v>
      </c>
      <c r="E3386">
        <v>1</v>
      </c>
      <c r="F3386">
        <v>0.9</v>
      </c>
    </row>
    <row r="3387" spans="1:6">
      <c r="A3387">
        <v>3492</v>
      </c>
      <c r="B3387">
        <v>312015211</v>
      </c>
      <c r="C3387">
        <v>2015</v>
      </c>
      <c r="D3387" t="s">
        <v>37</v>
      </c>
      <c r="E3387">
        <v>1</v>
      </c>
      <c r="F3387">
        <v>22.12</v>
      </c>
    </row>
    <row r="3388" spans="1:6">
      <c r="A3388">
        <v>3495</v>
      </c>
      <c r="B3388">
        <v>312015221</v>
      </c>
      <c r="C3388">
        <v>2015</v>
      </c>
      <c r="D3388" t="s">
        <v>30</v>
      </c>
      <c r="E3388">
        <v>2</v>
      </c>
      <c r="F3388">
        <v>86</v>
      </c>
    </row>
    <row r="3389" spans="1:6">
      <c r="A3389">
        <v>3493</v>
      </c>
      <c r="B3389">
        <v>312015221</v>
      </c>
      <c r="C3389">
        <v>2015</v>
      </c>
      <c r="D3389" t="s">
        <v>30</v>
      </c>
      <c r="E3389">
        <v>5</v>
      </c>
      <c r="F3389">
        <v>2.2</v>
      </c>
    </row>
    <row r="3390" spans="1:6">
      <c r="A3390">
        <v>3496</v>
      </c>
      <c r="B3390">
        <v>312015221</v>
      </c>
      <c r="C3390">
        <v>2015</v>
      </c>
      <c r="D3390" t="s">
        <v>30</v>
      </c>
      <c r="E3390">
        <v>2</v>
      </c>
      <c r="F3390">
        <v>0.88</v>
      </c>
    </row>
    <row r="3391" spans="1:6">
      <c r="A3391">
        <v>3494</v>
      </c>
      <c r="B3391">
        <v>312015221</v>
      </c>
      <c r="C3391">
        <v>2015</v>
      </c>
      <c r="D3391" t="s">
        <v>30</v>
      </c>
      <c r="E3391">
        <v>2</v>
      </c>
      <c r="F3391">
        <v>12</v>
      </c>
    </row>
    <row r="3392" spans="1:6">
      <c r="A3392">
        <v>3497</v>
      </c>
      <c r="B3392">
        <v>312015241</v>
      </c>
      <c r="C3392">
        <v>2015</v>
      </c>
      <c r="D3392" t="s">
        <v>33</v>
      </c>
      <c r="E3392" t="s">
        <v>32</v>
      </c>
      <c r="F3392">
        <v>0.6</v>
      </c>
    </row>
    <row r="3393" spans="1:6">
      <c r="A3393">
        <v>3498</v>
      </c>
      <c r="B3393">
        <v>312015260</v>
      </c>
      <c r="C3393">
        <v>2015</v>
      </c>
      <c r="D3393" t="s">
        <v>34</v>
      </c>
      <c r="E3393">
        <v>24</v>
      </c>
      <c r="F3393">
        <v>4.8</v>
      </c>
    </row>
    <row r="3394" spans="1:6">
      <c r="A3394">
        <v>3499</v>
      </c>
      <c r="B3394">
        <v>312015260</v>
      </c>
      <c r="C3394">
        <v>2015</v>
      </c>
      <c r="D3394" t="s">
        <v>34</v>
      </c>
      <c r="E3394">
        <v>19</v>
      </c>
      <c r="F3394">
        <v>4.75</v>
      </c>
    </row>
    <row r="3395" spans="1:6">
      <c r="A3395">
        <v>3500</v>
      </c>
      <c r="B3395">
        <v>312015260</v>
      </c>
      <c r="C3395">
        <v>2015</v>
      </c>
      <c r="D3395" t="s">
        <v>34</v>
      </c>
      <c r="E3395">
        <v>24</v>
      </c>
      <c r="F3395">
        <v>4.8</v>
      </c>
    </row>
    <row r="3396" spans="1:6">
      <c r="A3396">
        <v>3501</v>
      </c>
      <c r="B3396">
        <v>312015260</v>
      </c>
      <c r="C3396">
        <v>2015</v>
      </c>
      <c r="D3396" t="s">
        <v>34</v>
      </c>
      <c r="E3396" t="s">
        <v>32</v>
      </c>
      <c r="F3396">
        <v>10.22</v>
      </c>
    </row>
    <row r="3397" spans="1:6">
      <c r="A3397">
        <v>3503</v>
      </c>
      <c r="B3397">
        <v>312016221</v>
      </c>
      <c r="C3397" s="76">
        <v>2016</v>
      </c>
      <c r="D3397" s="76" t="s">
        <v>30</v>
      </c>
      <c r="E3397" s="76">
        <v>1</v>
      </c>
      <c r="F3397" s="76">
        <v>0.44</v>
      </c>
    </row>
    <row r="3398" spans="1:6">
      <c r="A3398">
        <v>3502</v>
      </c>
      <c r="B3398">
        <v>312016221</v>
      </c>
      <c r="C3398" s="76">
        <v>2016</v>
      </c>
      <c r="D3398" s="76" t="s">
        <v>30</v>
      </c>
      <c r="E3398" s="76">
        <v>6</v>
      </c>
      <c r="F3398" s="76">
        <v>2.64</v>
      </c>
    </row>
    <row r="3399" spans="1:6">
      <c r="A3399">
        <v>3504</v>
      </c>
      <c r="B3399">
        <v>312016241</v>
      </c>
      <c r="C3399" s="76">
        <v>2016</v>
      </c>
      <c r="D3399" s="76" t="s">
        <v>33</v>
      </c>
      <c r="E3399" s="76" t="s">
        <v>32</v>
      </c>
      <c r="F3399" s="76">
        <v>0.9</v>
      </c>
    </row>
    <row r="3400" spans="1:6">
      <c r="A3400">
        <v>3505</v>
      </c>
      <c r="B3400">
        <v>312016241</v>
      </c>
      <c r="C3400" s="76">
        <v>2016</v>
      </c>
      <c r="D3400" s="76" t="s">
        <v>33</v>
      </c>
      <c r="E3400" s="76" t="s">
        <v>32</v>
      </c>
      <c r="F3400" s="76">
        <v>1</v>
      </c>
    </row>
    <row r="3401" spans="1:6">
      <c r="A3401">
        <v>3508</v>
      </c>
      <c r="B3401">
        <v>312016243</v>
      </c>
      <c r="C3401" s="76">
        <v>2016</v>
      </c>
      <c r="D3401" s="76" t="s">
        <v>38</v>
      </c>
      <c r="E3401" s="76" t="s">
        <v>32</v>
      </c>
      <c r="F3401" s="76">
        <v>1.8</v>
      </c>
    </row>
    <row r="3402" spans="1:6">
      <c r="A3402">
        <v>3507</v>
      </c>
      <c r="B3402">
        <v>312016243</v>
      </c>
      <c r="C3402" s="76">
        <v>2016</v>
      </c>
      <c r="D3402" s="76" t="s">
        <v>38</v>
      </c>
      <c r="E3402" s="76" t="s">
        <v>32</v>
      </c>
      <c r="F3402" s="76">
        <v>3.6</v>
      </c>
    </row>
    <row r="3403" spans="1:6">
      <c r="A3403">
        <v>3509</v>
      </c>
      <c r="B3403">
        <v>312016260</v>
      </c>
      <c r="C3403" s="76">
        <v>2016</v>
      </c>
      <c r="D3403" s="76" t="s">
        <v>34</v>
      </c>
      <c r="E3403" s="76">
        <v>28</v>
      </c>
      <c r="F3403" s="76">
        <v>10.08</v>
      </c>
    </row>
    <row r="3404" spans="1:6">
      <c r="A3404">
        <v>3510</v>
      </c>
      <c r="B3404">
        <v>312016260</v>
      </c>
      <c r="C3404" s="76">
        <v>2016</v>
      </c>
      <c r="D3404" s="76" t="s">
        <v>34</v>
      </c>
      <c r="E3404" s="76" t="s">
        <v>32</v>
      </c>
      <c r="F3404" s="76">
        <v>10.08</v>
      </c>
    </row>
    <row r="3405" spans="1:6">
      <c r="A3405">
        <v>3511</v>
      </c>
      <c r="B3405">
        <v>312016270</v>
      </c>
      <c r="C3405" s="76">
        <v>2016</v>
      </c>
      <c r="D3405" s="76" t="s">
        <v>31</v>
      </c>
      <c r="E3405" s="76" t="s">
        <v>32</v>
      </c>
      <c r="F3405" s="76">
        <v>0.36</v>
      </c>
    </row>
    <row r="3406" spans="1:6">
      <c r="A3406">
        <v>3513</v>
      </c>
      <c r="B3406">
        <v>312017221</v>
      </c>
      <c r="C3406" s="76">
        <v>2017</v>
      </c>
      <c r="D3406" s="76" t="s">
        <v>30</v>
      </c>
      <c r="E3406" s="76" t="s">
        <v>32</v>
      </c>
      <c r="F3406" s="76">
        <v>2.6</v>
      </c>
    </row>
    <row r="3407" spans="1:6">
      <c r="A3407">
        <v>3514</v>
      </c>
      <c r="B3407">
        <v>312017242</v>
      </c>
      <c r="C3407" s="76">
        <v>2017</v>
      </c>
      <c r="D3407" s="76" t="s">
        <v>35</v>
      </c>
      <c r="E3407" s="76" t="s">
        <v>32</v>
      </c>
      <c r="F3407" s="76">
        <v>3.6</v>
      </c>
    </row>
    <row r="3408" spans="1:6">
      <c r="A3408">
        <v>3517</v>
      </c>
      <c r="B3408">
        <v>312017270</v>
      </c>
      <c r="C3408" s="76">
        <v>2017</v>
      </c>
      <c r="D3408" s="76" t="s">
        <v>31</v>
      </c>
      <c r="E3408" s="76" t="s">
        <v>32</v>
      </c>
      <c r="F3408" s="76">
        <v>2</v>
      </c>
    </row>
    <row r="3409" spans="1:6">
      <c r="A3409">
        <v>3515</v>
      </c>
      <c r="B3409">
        <v>312017270</v>
      </c>
      <c r="C3409" s="76">
        <v>2017</v>
      </c>
      <c r="D3409" s="76" t="s">
        <v>31</v>
      </c>
      <c r="E3409" s="76" t="s">
        <v>32</v>
      </c>
      <c r="F3409" s="76">
        <v>0.12</v>
      </c>
    </row>
    <row r="3410" spans="1:6">
      <c r="A3410">
        <v>3518</v>
      </c>
      <c r="B3410">
        <v>312018211</v>
      </c>
      <c r="C3410" s="76">
        <v>2018</v>
      </c>
      <c r="D3410" s="76" t="s">
        <v>37</v>
      </c>
      <c r="E3410" s="76" t="s">
        <v>32</v>
      </c>
      <c r="F3410" s="76">
        <v>1.2</v>
      </c>
    </row>
    <row r="3411" spans="1:6">
      <c r="A3411">
        <v>3519</v>
      </c>
      <c r="B3411">
        <v>312018221</v>
      </c>
      <c r="C3411" s="76">
        <v>2018</v>
      </c>
      <c r="D3411" s="76" t="s">
        <v>30</v>
      </c>
      <c r="E3411" s="76">
        <v>2</v>
      </c>
      <c r="F3411" s="76">
        <v>84.84</v>
      </c>
    </row>
    <row r="3412" spans="1:6">
      <c r="A3412">
        <v>3522</v>
      </c>
      <c r="B3412">
        <v>312018221</v>
      </c>
      <c r="C3412" s="76">
        <v>2018</v>
      </c>
      <c r="D3412" s="76" t="s">
        <v>30</v>
      </c>
      <c r="E3412" s="76" t="s">
        <v>32</v>
      </c>
      <c r="F3412" s="76">
        <v>1.6</v>
      </c>
    </row>
    <row r="3413" spans="1:6">
      <c r="A3413">
        <v>3521</v>
      </c>
      <c r="B3413">
        <v>312018221</v>
      </c>
      <c r="C3413" s="76">
        <v>2018</v>
      </c>
      <c r="D3413" s="76" t="s">
        <v>30</v>
      </c>
      <c r="E3413" s="76" t="s">
        <v>32</v>
      </c>
      <c r="F3413" s="76">
        <v>0.84</v>
      </c>
    </row>
    <row r="3414" spans="1:6">
      <c r="A3414">
        <v>3520</v>
      </c>
      <c r="B3414">
        <v>312018221</v>
      </c>
      <c r="C3414" s="76">
        <v>2018</v>
      </c>
      <c r="D3414" s="76" t="s">
        <v>30</v>
      </c>
      <c r="E3414" s="76" t="s">
        <v>32</v>
      </c>
      <c r="F3414" s="76">
        <v>0.86</v>
      </c>
    </row>
    <row r="3415" spans="1:6">
      <c r="A3415">
        <v>3524</v>
      </c>
      <c r="B3415">
        <v>312018241</v>
      </c>
      <c r="C3415" s="76">
        <v>2018</v>
      </c>
      <c r="D3415" s="76" t="s">
        <v>33</v>
      </c>
      <c r="E3415" s="76" t="s">
        <v>32</v>
      </c>
      <c r="F3415" s="76">
        <v>3.98</v>
      </c>
    </row>
    <row r="3416" spans="1:6">
      <c r="A3416">
        <v>3527</v>
      </c>
      <c r="B3416">
        <v>312018270</v>
      </c>
      <c r="C3416" s="76">
        <v>2018</v>
      </c>
      <c r="D3416" s="76" t="s">
        <v>31</v>
      </c>
      <c r="E3416" s="76" t="s">
        <v>32</v>
      </c>
      <c r="F3416" s="76">
        <v>2</v>
      </c>
    </row>
    <row r="3417" spans="1:6">
      <c r="A3417">
        <v>3526</v>
      </c>
      <c r="B3417">
        <v>312018270</v>
      </c>
      <c r="C3417" s="76">
        <v>2018</v>
      </c>
      <c r="D3417" s="76" t="s">
        <v>31</v>
      </c>
      <c r="E3417" s="76" t="s">
        <v>32</v>
      </c>
      <c r="F3417" s="76">
        <v>4.88</v>
      </c>
    </row>
    <row r="3418" spans="1:6">
      <c r="A3418">
        <v>3528</v>
      </c>
      <c r="B3418">
        <v>312019221</v>
      </c>
      <c r="C3418" s="76">
        <v>2019</v>
      </c>
      <c r="D3418" s="76" t="s">
        <v>30</v>
      </c>
      <c r="E3418" s="76">
        <v>2</v>
      </c>
      <c r="F3418" s="76">
        <v>92.52</v>
      </c>
    </row>
    <row r="3419" spans="1:6">
      <c r="A3419">
        <v>3529</v>
      </c>
      <c r="B3419">
        <v>312019221</v>
      </c>
      <c r="C3419" s="76">
        <v>2019</v>
      </c>
      <c r="D3419" s="76" t="s">
        <v>30</v>
      </c>
      <c r="E3419" s="76">
        <v>2</v>
      </c>
      <c r="F3419" s="76">
        <v>6.74</v>
      </c>
    </row>
    <row r="3420" spans="1:6">
      <c r="A3420">
        <v>3531</v>
      </c>
      <c r="B3420">
        <v>312019242</v>
      </c>
      <c r="C3420" s="76">
        <v>2019</v>
      </c>
      <c r="D3420" s="76" t="s">
        <v>35</v>
      </c>
      <c r="E3420" s="76" t="s">
        <v>32</v>
      </c>
      <c r="F3420" s="76">
        <v>15</v>
      </c>
    </row>
    <row r="3421" spans="1:6">
      <c r="A3421">
        <v>3533</v>
      </c>
      <c r="B3421">
        <v>312019260</v>
      </c>
      <c r="C3421" s="76">
        <v>2019</v>
      </c>
      <c r="D3421" s="76" t="s">
        <v>34</v>
      </c>
      <c r="E3421" s="76">
        <v>2</v>
      </c>
      <c r="F3421" s="76">
        <v>1.2</v>
      </c>
    </row>
    <row r="3422" spans="1:6">
      <c r="A3422">
        <v>3532</v>
      </c>
      <c r="B3422">
        <v>312019260</v>
      </c>
      <c r="C3422" s="76">
        <v>2019</v>
      </c>
      <c r="D3422" s="76" t="s">
        <v>34</v>
      </c>
      <c r="E3422" s="76">
        <v>25</v>
      </c>
      <c r="F3422" s="76">
        <v>10</v>
      </c>
    </row>
    <row r="3423" spans="1:6">
      <c r="A3423">
        <v>3536</v>
      </c>
      <c r="B3423">
        <v>312019270</v>
      </c>
      <c r="C3423" s="76">
        <v>2019</v>
      </c>
      <c r="D3423" s="76" t="s">
        <v>31</v>
      </c>
      <c r="E3423" s="76" t="s">
        <v>32</v>
      </c>
      <c r="F3423" s="76">
        <v>2.1</v>
      </c>
    </row>
    <row r="3424" spans="1:6">
      <c r="A3424">
        <v>3534</v>
      </c>
      <c r="B3424">
        <v>312019270</v>
      </c>
      <c r="C3424" s="76">
        <v>2019</v>
      </c>
      <c r="D3424" s="76" t="s">
        <v>31</v>
      </c>
      <c r="E3424" s="76" t="s">
        <v>32</v>
      </c>
      <c r="F3424" s="76">
        <v>0.01</v>
      </c>
    </row>
    <row r="3425" spans="1:6">
      <c r="A3425">
        <v>3538</v>
      </c>
      <c r="B3425">
        <v>312020260</v>
      </c>
      <c r="C3425" s="76">
        <v>2020</v>
      </c>
      <c r="D3425" s="76" t="s">
        <v>34</v>
      </c>
      <c r="E3425" s="76" t="s">
        <v>32</v>
      </c>
      <c r="F3425" s="76">
        <v>1.2</v>
      </c>
    </row>
    <row r="3426" spans="1:6">
      <c r="A3426">
        <v>3540</v>
      </c>
      <c r="B3426">
        <v>312020270</v>
      </c>
      <c r="C3426" s="76">
        <v>2020</v>
      </c>
      <c r="D3426" s="76" t="s">
        <v>31</v>
      </c>
      <c r="E3426" s="76" t="s">
        <v>32</v>
      </c>
      <c r="F3426" s="76">
        <v>2.22</v>
      </c>
    </row>
    <row r="3427" spans="1:6">
      <c r="A3427">
        <v>3541</v>
      </c>
      <c r="B3427">
        <v>312020270</v>
      </c>
      <c r="C3427" s="76">
        <v>2020</v>
      </c>
      <c r="D3427" s="76" t="s">
        <v>31</v>
      </c>
      <c r="E3427" s="76" t="s">
        <v>32</v>
      </c>
      <c r="F3427" s="76">
        <v>11</v>
      </c>
    </row>
    <row r="3428" spans="1:6">
      <c r="A3428">
        <v>3543</v>
      </c>
      <c r="B3428">
        <v>312021221</v>
      </c>
      <c r="C3428" s="76">
        <v>2021</v>
      </c>
      <c r="D3428" s="76" t="s">
        <v>30</v>
      </c>
      <c r="E3428" s="76" t="s">
        <v>32</v>
      </c>
      <c r="F3428" s="76">
        <v>0.6</v>
      </c>
    </row>
    <row r="3429" spans="1:6">
      <c r="A3429">
        <v>3542</v>
      </c>
      <c r="B3429">
        <v>312021221</v>
      </c>
      <c r="C3429" s="76">
        <v>2021</v>
      </c>
      <c r="D3429" s="76" t="s">
        <v>30</v>
      </c>
      <c r="E3429" s="76">
        <v>1</v>
      </c>
      <c r="F3429" s="76">
        <v>46.8</v>
      </c>
    </row>
    <row r="3430" spans="1:6">
      <c r="A3430">
        <v>3546</v>
      </c>
      <c r="B3430">
        <v>312021242</v>
      </c>
      <c r="C3430" s="76">
        <v>2021</v>
      </c>
      <c r="D3430" s="76" t="s">
        <v>35</v>
      </c>
      <c r="E3430" s="76" t="s">
        <v>32</v>
      </c>
      <c r="F3430" s="76">
        <v>1.5</v>
      </c>
    </row>
    <row r="3431" spans="1:6">
      <c r="A3431">
        <v>3547</v>
      </c>
      <c r="B3431">
        <v>312021242</v>
      </c>
      <c r="C3431" s="76">
        <v>2021</v>
      </c>
      <c r="D3431" s="76" t="s">
        <v>35</v>
      </c>
      <c r="E3431" s="76" t="s">
        <v>32</v>
      </c>
      <c r="F3431" s="76">
        <v>1.5</v>
      </c>
    </row>
    <row r="3432" spans="1:6">
      <c r="A3432">
        <v>3545</v>
      </c>
      <c r="B3432">
        <v>312021242</v>
      </c>
      <c r="C3432" s="76">
        <v>2021</v>
      </c>
      <c r="D3432" s="76" t="s">
        <v>35</v>
      </c>
      <c r="E3432" s="76" t="s">
        <v>32</v>
      </c>
      <c r="F3432" s="76">
        <v>6</v>
      </c>
    </row>
    <row r="3433" spans="1:6">
      <c r="A3433">
        <v>3548</v>
      </c>
      <c r="B3433">
        <v>312021242</v>
      </c>
      <c r="C3433" s="76">
        <v>2021</v>
      </c>
      <c r="D3433" s="76" t="s">
        <v>35</v>
      </c>
      <c r="E3433" s="76" t="s">
        <v>32</v>
      </c>
      <c r="F3433" s="76">
        <v>3</v>
      </c>
    </row>
    <row r="3434" spans="1:6">
      <c r="A3434">
        <v>3550</v>
      </c>
      <c r="B3434">
        <v>312021260</v>
      </c>
      <c r="C3434" s="76">
        <v>2021</v>
      </c>
      <c r="D3434" s="76" t="s">
        <v>34</v>
      </c>
      <c r="E3434" s="76" t="s">
        <v>32</v>
      </c>
      <c r="F3434" s="76">
        <v>4.55</v>
      </c>
    </row>
    <row r="3435" spans="1:6">
      <c r="A3435">
        <v>3549</v>
      </c>
      <c r="B3435">
        <v>312021260</v>
      </c>
      <c r="C3435" s="76">
        <v>2021</v>
      </c>
      <c r="D3435" s="76" t="s">
        <v>34</v>
      </c>
      <c r="E3435" s="76" t="s">
        <v>32</v>
      </c>
      <c r="F3435" s="76">
        <v>20.64</v>
      </c>
    </row>
    <row r="3436" spans="1:6">
      <c r="A3436">
        <v>3561</v>
      </c>
      <c r="B3436">
        <v>312021270</v>
      </c>
      <c r="C3436" s="76">
        <v>2021</v>
      </c>
      <c r="D3436" s="76" t="s">
        <v>31</v>
      </c>
      <c r="E3436" s="76" t="s">
        <v>32</v>
      </c>
      <c r="F3436" s="76">
        <v>1.74</v>
      </c>
    </row>
    <row r="3437" spans="1:6">
      <c r="A3437">
        <v>3558</v>
      </c>
      <c r="B3437">
        <v>312021270</v>
      </c>
      <c r="C3437" s="76">
        <v>2021</v>
      </c>
      <c r="D3437" s="76" t="s">
        <v>31</v>
      </c>
      <c r="E3437" s="76">
        <v>8</v>
      </c>
      <c r="F3437" s="76">
        <v>0.07</v>
      </c>
    </row>
    <row r="3438" spans="1:6">
      <c r="A3438">
        <v>3555</v>
      </c>
      <c r="B3438">
        <v>312021270</v>
      </c>
      <c r="C3438" s="76">
        <v>2021</v>
      </c>
      <c r="D3438" s="76" t="s">
        <v>31</v>
      </c>
      <c r="E3438" s="76">
        <v>5</v>
      </c>
      <c r="F3438" s="76">
        <v>0.04</v>
      </c>
    </row>
    <row r="3439" spans="1:6">
      <c r="A3439">
        <v>3557</v>
      </c>
      <c r="B3439">
        <v>312021270</v>
      </c>
      <c r="C3439" s="76">
        <v>2021</v>
      </c>
      <c r="D3439" s="76" t="s">
        <v>31</v>
      </c>
      <c r="E3439" s="76">
        <v>7</v>
      </c>
      <c r="F3439" s="76">
        <v>0.05</v>
      </c>
    </row>
    <row r="3440" spans="1:6">
      <c r="A3440">
        <v>3551</v>
      </c>
      <c r="B3440">
        <v>312021270</v>
      </c>
      <c r="C3440" s="76">
        <v>2021</v>
      </c>
      <c r="D3440" s="76" t="s">
        <v>31</v>
      </c>
      <c r="E3440" s="76" t="s">
        <v>32</v>
      </c>
      <c r="F3440" s="76">
        <v>4.4</v>
      </c>
    </row>
    <row r="3441" spans="1:6">
      <c r="A3441">
        <v>3552</v>
      </c>
      <c r="B3441">
        <v>312021270</v>
      </c>
      <c r="C3441" s="76">
        <v>2021</v>
      </c>
      <c r="D3441" s="76" t="s">
        <v>31</v>
      </c>
      <c r="E3441" s="76">
        <v>6</v>
      </c>
      <c r="F3441" s="76">
        <v>0.03</v>
      </c>
    </row>
    <row r="3442" spans="1:6">
      <c r="A3442">
        <v>3559</v>
      </c>
      <c r="B3442">
        <v>312021270</v>
      </c>
      <c r="C3442" s="76">
        <v>2021</v>
      </c>
      <c r="D3442" s="76" t="s">
        <v>31</v>
      </c>
      <c r="E3442" s="76" t="s">
        <v>32</v>
      </c>
      <c r="F3442" s="76">
        <v>0.26</v>
      </c>
    </row>
    <row r="3443" spans="1:6">
      <c r="A3443">
        <v>3553</v>
      </c>
      <c r="B3443">
        <v>312021270</v>
      </c>
      <c r="C3443" s="76">
        <v>2021</v>
      </c>
      <c r="D3443" s="76" t="s">
        <v>31</v>
      </c>
      <c r="E3443" s="76">
        <v>1</v>
      </c>
      <c r="F3443" s="76">
        <v>0.35</v>
      </c>
    </row>
    <row r="3444" spans="1:6">
      <c r="A3444">
        <v>3560</v>
      </c>
      <c r="B3444">
        <v>312021270</v>
      </c>
      <c r="C3444" s="76">
        <v>2021</v>
      </c>
      <c r="D3444" s="76" t="s">
        <v>31</v>
      </c>
      <c r="E3444" s="76" t="s">
        <v>32</v>
      </c>
      <c r="F3444" s="76">
        <v>1</v>
      </c>
    </row>
    <row r="3445" spans="1:6">
      <c r="A3445">
        <v>3556</v>
      </c>
      <c r="B3445">
        <v>312021270</v>
      </c>
      <c r="C3445" s="76">
        <v>2021</v>
      </c>
      <c r="D3445" s="76" t="s">
        <v>31</v>
      </c>
      <c r="E3445" s="76">
        <v>9</v>
      </c>
      <c r="F3445" s="76">
        <v>0.06</v>
      </c>
    </row>
    <row r="3446" spans="1:6">
      <c r="A3446">
        <v>3562</v>
      </c>
      <c r="B3446">
        <v>322012110</v>
      </c>
      <c r="C3446">
        <v>2012</v>
      </c>
      <c r="D3446" t="s">
        <v>40</v>
      </c>
      <c r="E3446">
        <v>1</v>
      </c>
      <c r="F3446">
        <v>0.02</v>
      </c>
    </row>
    <row r="3447" spans="1:6">
      <c r="A3447">
        <v>3567</v>
      </c>
      <c r="B3447">
        <v>322012211</v>
      </c>
      <c r="C3447">
        <v>2012</v>
      </c>
      <c r="D3447" t="s">
        <v>37</v>
      </c>
      <c r="E3447">
        <v>1</v>
      </c>
      <c r="F3447">
        <v>1.2</v>
      </c>
    </row>
    <row r="3448" spans="1:6">
      <c r="A3448">
        <v>3566</v>
      </c>
      <c r="B3448">
        <v>322012211</v>
      </c>
      <c r="C3448">
        <v>2012</v>
      </c>
      <c r="D3448" t="s">
        <v>37</v>
      </c>
      <c r="E3448" t="s">
        <v>32</v>
      </c>
      <c r="F3448">
        <v>6</v>
      </c>
    </row>
    <row r="3449" spans="1:6">
      <c r="A3449">
        <v>3563</v>
      </c>
      <c r="B3449">
        <v>322012211</v>
      </c>
      <c r="C3449">
        <v>2012</v>
      </c>
      <c r="D3449" t="s">
        <v>37</v>
      </c>
      <c r="E3449">
        <v>1</v>
      </c>
      <c r="F3449">
        <v>60</v>
      </c>
    </row>
    <row r="3450" spans="1:6">
      <c r="A3450">
        <v>3568</v>
      </c>
      <c r="B3450">
        <v>322012211</v>
      </c>
      <c r="C3450">
        <v>2012</v>
      </c>
      <c r="D3450" t="s">
        <v>37</v>
      </c>
      <c r="E3450">
        <v>2</v>
      </c>
      <c r="F3450">
        <v>132</v>
      </c>
    </row>
    <row r="3451" spans="1:6">
      <c r="A3451">
        <v>3565</v>
      </c>
      <c r="B3451">
        <v>322012211</v>
      </c>
      <c r="C3451">
        <v>2012</v>
      </c>
      <c r="D3451" t="s">
        <v>37</v>
      </c>
      <c r="E3451">
        <v>1</v>
      </c>
      <c r="F3451">
        <v>100</v>
      </c>
    </row>
    <row r="3452" spans="1:6">
      <c r="A3452">
        <v>3564</v>
      </c>
      <c r="B3452">
        <v>322012211</v>
      </c>
      <c r="C3452">
        <v>2012</v>
      </c>
      <c r="D3452" t="s">
        <v>37</v>
      </c>
      <c r="E3452">
        <v>1</v>
      </c>
      <c r="F3452">
        <v>100</v>
      </c>
    </row>
    <row r="3453" spans="1:6">
      <c r="A3453">
        <v>3569</v>
      </c>
      <c r="B3453">
        <v>322012221</v>
      </c>
      <c r="C3453">
        <v>2012</v>
      </c>
      <c r="D3453" t="s">
        <v>30</v>
      </c>
      <c r="E3453">
        <v>1</v>
      </c>
      <c r="F3453">
        <v>18</v>
      </c>
    </row>
    <row r="3454" spans="1:6">
      <c r="A3454">
        <v>3570</v>
      </c>
      <c r="B3454">
        <v>322012221</v>
      </c>
      <c r="C3454">
        <v>2012</v>
      </c>
      <c r="D3454" t="s">
        <v>30</v>
      </c>
      <c r="E3454">
        <v>1</v>
      </c>
      <c r="F3454">
        <v>22</v>
      </c>
    </row>
    <row r="3455" spans="1:6">
      <c r="A3455">
        <v>3571</v>
      </c>
      <c r="B3455">
        <v>322012221</v>
      </c>
      <c r="C3455">
        <v>2012</v>
      </c>
      <c r="D3455" t="s">
        <v>30</v>
      </c>
      <c r="E3455">
        <v>3</v>
      </c>
      <c r="F3455">
        <v>76.2</v>
      </c>
    </row>
    <row r="3456" spans="1:6">
      <c r="A3456">
        <v>3572</v>
      </c>
      <c r="B3456">
        <v>322012223</v>
      </c>
      <c r="C3456">
        <v>2012</v>
      </c>
      <c r="D3456" t="s">
        <v>36</v>
      </c>
      <c r="E3456">
        <v>4</v>
      </c>
      <c r="F3456">
        <v>0.4</v>
      </c>
    </row>
    <row r="3457" spans="1:6">
      <c r="A3457">
        <v>3573</v>
      </c>
      <c r="B3457">
        <v>322012223</v>
      </c>
      <c r="C3457">
        <v>2012</v>
      </c>
      <c r="D3457" t="s">
        <v>36</v>
      </c>
      <c r="E3457">
        <v>2</v>
      </c>
      <c r="F3457">
        <v>0.18</v>
      </c>
    </row>
    <row r="3458" spans="1:6">
      <c r="A3458">
        <v>3577</v>
      </c>
      <c r="B3458">
        <v>322012241</v>
      </c>
      <c r="C3458">
        <v>2012</v>
      </c>
      <c r="D3458" t="s">
        <v>33</v>
      </c>
      <c r="E3458">
        <v>1</v>
      </c>
      <c r="F3458">
        <v>0.3</v>
      </c>
    </row>
    <row r="3459" spans="1:6">
      <c r="A3459">
        <v>3578</v>
      </c>
      <c r="B3459">
        <v>322012241</v>
      </c>
      <c r="C3459">
        <v>2012</v>
      </c>
      <c r="D3459" t="s">
        <v>33</v>
      </c>
      <c r="E3459">
        <v>1</v>
      </c>
      <c r="F3459">
        <v>0.2</v>
      </c>
    </row>
    <row r="3460" spans="1:6">
      <c r="A3460">
        <v>3581</v>
      </c>
      <c r="B3460">
        <v>322012241</v>
      </c>
      <c r="C3460">
        <v>2012</v>
      </c>
      <c r="D3460" t="s">
        <v>33</v>
      </c>
      <c r="E3460">
        <v>1</v>
      </c>
      <c r="F3460">
        <v>2</v>
      </c>
    </row>
    <row r="3461" spans="1:6">
      <c r="A3461">
        <v>3579</v>
      </c>
      <c r="B3461">
        <v>322012241</v>
      </c>
      <c r="C3461">
        <v>2012</v>
      </c>
      <c r="D3461" t="s">
        <v>33</v>
      </c>
      <c r="E3461">
        <v>1</v>
      </c>
      <c r="F3461">
        <v>6</v>
      </c>
    </row>
    <row r="3462" spans="1:6">
      <c r="A3462">
        <v>3574</v>
      </c>
      <c r="B3462">
        <v>322012241</v>
      </c>
      <c r="C3462">
        <v>2012</v>
      </c>
      <c r="D3462" t="s">
        <v>33</v>
      </c>
      <c r="E3462">
        <v>1</v>
      </c>
      <c r="F3462">
        <v>1.5</v>
      </c>
    </row>
    <row r="3463" spans="1:6">
      <c r="A3463">
        <v>3575</v>
      </c>
      <c r="B3463">
        <v>322012241</v>
      </c>
      <c r="C3463">
        <v>2012</v>
      </c>
      <c r="D3463" t="s">
        <v>33</v>
      </c>
      <c r="E3463">
        <v>1</v>
      </c>
      <c r="F3463">
        <v>1.5</v>
      </c>
    </row>
    <row r="3464" spans="1:6">
      <c r="A3464">
        <v>3580</v>
      </c>
      <c r="B3464">
        <v>322012241</v>
      </c>
      <c r="C3464">
        <v>2012</v>
      </c>
      <c r="D3464" t="s">
        <v>33</v>
      </c>
      <c r="E3464">
        <v>5</v>
      </c>
      <c r="F3464">
        <v>5.7</v>
      </c>
    </row>
    <row r="3465" spans="1:6">
      <c r="A3465">
        <v>3576</v>
      </c>
      <c r="B3465">
        <v>322012241</v>
      </c>
      <c r="C3465">
        <v>2012</v>
      </c>
      <c r="D3465" t="s">
        <v>33</v>
      </c>
      <c r="E3465">
        <v>1</v>
      </c>
      <c r="F3465">
        <v>0.9</v>
      </c>
    </row>
    <row r="3466" spans="1:6">
      <c r="A3466">
        <v>3582</v>
      </c>
      <c r="B3466">
        <v>322012242</v>
      </c>
      <c r="C3466">
        <v>2012</v>
      </c>
      <c r="D3466" t="s">
        <v>35</v>
      </c>
      <c r="E3466">
        <v>1</v>
      </c>
      <c r="F3466">
        <v>0.75</v>
      </c>
    </row>
    <row r="3467" spans="1:6">
      <c r="A3467">
        <v>3583</v>
      </c>
      <c r="B3467">
        <v>322012243</v>
      </c>
      <c r="C3467">
        <v>2012</v>
      </c>
      <c r="D3467" t="s">
        <v>38</v>
      </c>
      <c r="E3467">
        <v>2</v>
      </c>
      <c r="F3467">
        <v>3</v>
      </c>
    </row>
    <row r="3468" spans="1:6">
      <c r="A3468">
        <v>3584</v>
      </c>
      <c r="B3468">
        <v>322012243</v>
      </c>
      <c r="C3468">
        <v>2012</v>
      </c>
      <c r="D3468" t="s">
        <v>38</v>
      </c>
      <c r="E3468">
        <v>2</v>
      </c>
      <c r="F3468">
        <v>2.4</v>
      </c>
    </row>
    <row r="3469" spans="1:6">
      <c r="A3469">
        <v>3587</v>
      </c>
      <c r="B3469">
        <v>322012260</v>
      </c>
      <c r="C3469">
        <v>2012</v>
      </c>
      <c r="D3469" t="s">
        <v>34</v>
      </c>
      <c r="E3469">
        <v>6</v>
      </c>
      <c r="F3469">
        <v>1.2</v>
      </c>
    </row>
    <row r="3470" spans="1:6">
      <c r="A3470">
        <v>3592</v>
      </c>
      <c r="B3470">
        <v>322012260</v>
      </c>
      <c r="C3470">
        <v>2012</v>
      </c>
      <c r="D3470" t="s">
        <v>34</v>
      </c>
      <c r="E3470">
        <v>33</v>
      </c>
      <c r="F3470">
        <v>6.6</v>
      </c>
    </row>
    <row r="3471" spans="1:6">
      <c r="A3471">
        <v>3591</v>
      </c>
      <c r="B3471">
        <v>322012260</v>
      </c>
      <c r="C3471">
        <v>2012</v>
      </c>
      <c r="D3471" t="s">
        <v>34</v>
      </c>
      <c r="E3471">
        <v>10</v>
      </c>
      <c r="F3471">
        <v>1.5</v>
      </c>
    </row>
    <row r="3472" spans="1:6">
      <c r="A3472">
        <v>3586</v>
      </c>
      <c r="B3472">
        <v>322012260</v>
      </c>
      <c r="C3472">
        <v>2012</v>
      </c>
      <c r="D3472" t="s">
        <v>34</v>
      </c>
      <c r="E3472">
        <v>20</v>
      </c>
      <c r="F3472">
        <v>5</v>
      </c>
    </row>
    <row r="3473" spans="1:6">
      <c r="A3473">
        <v>3588</v>
      </c>
      <c r="B3473">
        <v>322012260</v>
      </c>
      <c r="C3473">
        <v>2012</v>
      </c>
      <c r="D3473" t="s">
        <v>34</v>
      </c>
      <c r="E3473">
        <v>20</v>
      </c>
      <c r="F3473">
        <v>5</v>
      </c>
    </row>
    <row r="3474" spans="1:6">
      <c r="A3474">
        <v>3590</v>
      </c>
      <c r="B3474">
        <v>322012260</v>
      </c>
      <c r="C3474">
        <v>2012</v>
      </c>
      <c r="D3474" t="s">
        <v>34</v>
      </c>
      <c r="E3474">
        <v>40</v>
      </c>
      <c r="F3474">
        <v>8</v>
      </c>
    </row>
    <row r="3475" spans="1:6">
      <c r="A3475">
        <v>3589</v>
      </c>
      <c r="B3475">
        <v>322012260</v>
      </c>
      <c r="C3475">
        <v>2012</v>
      </c>
      <c r="D3475" t="s">
        <v>34</v>
      </c>
      <c r="E3475">
        <v>33</v>
      </c>
      <c r="F3475">
        <v>4.95</v>
      </c>
    </row>
    <row r="3476" spans="1:6">
      <c r="A3476">
        <v>3585</v>
      </c>
      <c r="B3476">
        <v>322012260</v>
      </c>
      <c r="C3476">
        <v>2012</v>
      </c>
      <c r="D3476" t="s">
        <v>34</v>
      </c>
      <c r="E3476">
        <v>22</v>
      </c>
      <c r="F3476">
        <v>4.4</v>
      </c>
    </row>
    <row r="3477" spans="1:6">
      <c r="A3477">
        <v>3596</v>
      </c>
      <c r="B3477">
        <v>322012270</v>
      </c>
      <c r="C3477">
        <v>2012</v>
      </c>
      <c r="D3477" t="s">
        <v>31</v>
      </c>
      <c r="E3477" t="s">
        <v>32</v>
      </c>
      <c r="F3477">
        <v>3</v>
      </c>
    </row>
    <row r="3478" spans="1:6">
      <c r="A3478">
        <v>3598</v>
      </c>
      <c r="B3478">
        <v>322012270</v>
      </c>
      <c r="C3478">
        <v>2012</v>
      </c>
      <c r="D3478" t="s">
        <v>31</v>
      </c>
      <c r="E3478" t="s">
        <v>32</v>
      </c>
      <c r="F3478">
        <v>0.2</v>
      </c>
    </row>
    <row r="3479" spans="1:6">
      <c r="A3479">
        <v>3595</v>
      </c>
      <c r="B3479">
        <v>322012270</v>
      </c>
      <c r="C3479">
        <v>2012</v>
      </c>
      <c r="D3479" t="s">
        <v>31</v>
      </c>
      <c r="E3479" t="s">
        <v>32</v>
      </c>
      <c r="F3479">
        <v>0.04</v>
      </c>
    </row>
    <row r="3480" spans="1:6">
      <c r="A3480">
        <v>3594</v>
      </c>
      <c r="B3480">
        <v>322012270</v>
      </c>
      <c r="C3480">
        <v>2012</v>
      </c>
      <c r="D3480" t="s">
        <v>31</v>
      </c>
      <c r="E3480" t="s">
        <v>32</v>
      </c>
      <c r="F3480">
        <v>0.32</v>
      </c>
    </row>
    <row r="3481" spans="1:6">
      <c r="A3481">
        <v>3597</v>
      </c>
      <c r="B3481">
        <v>322012270</v>
      </c>
      <c r="C3481">
        <v>2012</v>
      </c>
      <c r="D3481" t="s">
        <v>31</v>
      </c>
      <c r="E3481" t="s">
        <v>32</v>
      </c>
      <c r="F3481">
        <v>0.21</v>
      </c>
    </row>
    <row r="3482" spans="1:6">
      <c r="A3482">
        <v>3593</v>
      </c>
      <c r="B3482">
        <v>322012270</v>
      </c>
      <c r="C3482">
        <v>2012</v>
      </c>
      <c r="D3482" t="s">
        <v>31</v>
      </c>
      <c r="E3482" t="s">
        <v>32</v>
      </c>
      <c r="F3482">
        <v>3</v>
      </c>
    </row>
    <row r="3483" spans="1:6">
      <c r="A3483">
        <v>3602</v>
      </c>
      <c r="B3483">
        <v>322013211</v>
      </c>
      <c r="C3483">
        <v>2013</v>
      </c>
      <c r="D3483" t="s">
        <v>37</v>
      </c>
      <c r="E3483">
        <v>1</v>
      </c>
      <c r="F3483">
        <v>1.2</v>
      </c>
    </row>
    <row r="3484" spans="1:6">
      <c r="A3484">
        <v>3601</v>
      </c>
      <c r="B3484">
        <v>322013211</v>
      </c>
      <c r="C3484">
        <v>2013</v>
      </c>
      <c r="D3484" t="s">
        <v>37</v>
      </c>
      <c r="E3484">
        <v>2</v>
      </c>
      <c r="F3484">
        <v>3</v>
      </c>
    </row>
    <row r="3485" spans="1:6">
      <c r="A3485">
        <v>3606</v>
      </c>
      <c r="B3485">
        <v>322013211</v>
      </c>
      <c r="C3485">
        <v>2013</v>
      </c>
      <c r="D3485" t="s">
        <v>37</v>
      </c>
      <c r="E3485">
        <v>2</v>
      </c>
      <c r="F3485">
        <v>200</v>
      </c>
    </row>
    <row r="3486" spans="1:6">
      <c r="A3486">
        <v>3604</v>
      </c>
      <c r="B3486">
        <v>322013211</v>
      </c>
      <c r="C3486">
        <v>2013</v>
      </c>
      <c r="D3486" t="s">
        <v>37</v>
      </c>
      <c r="E3486">
        <v>2</v>
      </c>
      <c r="F3486">
        <v>200</v>
      </c>
    </row>
    <row r="3487" spans="1:6">
      <c r="A3487">
        <v>3600</v>
      </c>
      <c r="B3487">
        <v>322013211</v>
      </c>
      <c r="C3487">
        <v>2013</v>
      </c>
      <c r="D3487" t="s">
        <v>37</v>
      </c>
      <c r="E3487">
        <v>2</v>
      </c>
      <c r="F3487">
        <v>60</v>
      </c>
    </row>
    <row r="3488" spans="1:6">
      <c r="A3488">
        <v>3599</v>
      </c>
      <c r="B3488">
        <v>322013211</v>
      </c>
      <c r="C3488">
        <v>2013</v>
      </c>
      <c r="D3488" t="s">
        <v>37</v>
      </c>
      <c r="E3488">
        <v>2</v>
      </c>
      <c r="F3488">
        <v>3</v>
      </c>
    </row>
    <row r="3489" spans="1:6">
      <c r="A3489">
        <v>3605</v>
      </c>
      <c r="B3489">
        <v>322013211</v>
      </c>
      <c r="C3489">
        <v>2013</v>
      </c>
      <c r="D3489" t="s">
        <v>37</v>
      </c>
      <c r="E3489">
        <v>1</v>
      </c>
      <c r="F3489">
        <v>66</v>
      </c>
    </row>
    <row r="3490" spans="1:6">
      <c r="A3490">
        <v>3603</v>
      </c>
      <c r="B3490">
        <v>322013211</v>
      </c>
      <c r="C3490">
        <v>2013</v>
      </c>
      <c r="D3490" t="s">
        <v>37</v>
      </c>
      <c r="E3490">
        <v>2</v>
      </c>
      <c r="F3490">
        <v>36</v>
      </c>
    </row>
    <row r="3491" spans="1:6">
      <c r="A3491">
        <v>3610</v>
      </c>
      <c r="B3491">
        <v>322013221</v>
      </c>
      <c r="C3491">
        <v>2013</v>
      </c>
      <c r="D3491" t="s">
        <v>30</v>
      </c>
      <c r="E3491">
        <v>2</v>
      </c>
      <c r="F3491">
        <v>36</v>
      </c>
    </row>
    <row r="3492" spans="1:6">
      <c r="A3492">
        <v>3611</v>
      </c>
      <c r="B3492">
        <v>322013221</v>
      </c>
      <c r="C3492">
        <v>2013</v>
      </c>
      <c r="D3492" t="s">
        <v>30</v>
      </c>
      <c r="E3492">
        <v>1</v>
      </c>
      <c r="F3492">
        <v>0.11</v>
      </c>
    </row>
    <row r="3493" spans="1:6">
      <c r="A3493">
        <v>3609</v>
      </c>
      <c r="B3493">
        <v>322013221</v>
      </c>
      <c r="C3493">
        <v>2013</v>
      </c>
      <c r="D3493" t="s">
        <v>30</v>
      </c>
      <c r="E3493">
        <v>2</v>
      </c>
      <c r="F3493">
        <v>37.2</v>
      </c>
    </row>
    <row r="3494" spans="1:6">
      <c r="A3494">
        <v>3608</v>
      </c>
      <c r="B3494">
        <v>322013221</v>
      </c>
      <c r="C3494">
        <v>2013</v>
      </c>
      <c r="D3494" t="s">
        <v>30</v>
      </c>
      <c r="E3494">
        <v>4</v>
      </c>
      <c r="F3494">
        <v>38.26</v>
      </c>
    </row>
    <row r="3495" spans="1:6">
      <c r="A3495">
        <v>3607</v>
      </c>
      <c r="B3495">
        <v>322013221</v>
      </c>
      <c r="C3495">
        <v>2013</v>
      </c>
      <c r="D3495" t="s">
        <v>30</v>
      </c>
      <c r="E3495">
        <v>4</v>
      </c>
      <c r="F3495">
        <v>12.1</v>
      </c>
    </row>
    <row r="3496" spans="1:6">
      <c r="A3496">
        <v>3617</v>
      </c>
      <c r="B3496">
        <v>322013241</v>
      </c>
      <c r="C3496">
        <v>2013</v>
      </c>
      <c r="D3496" t="s">
        <v>33</v>
      </c>
      <c r="E3496">
        <v>1</v>
      </c>
      <c r="F3496">
        <v>1.5</v>
      </c>
    </row>
    <row r="3497" spans="1:6">
      <c r="A3497">
        <v>3613</v>
      </c>
      <c r="B3497">
        <v>322013241</v>
      </c>
      <c r="C3497">
        <v>2013</v>
      </c>
      <c r="D3497" t="s">
        <v>33</v>
      </c>
      <c r="E3497">
        <v>1</v>
      </c>
      <c r="F3497">
        <v>1.5</v>
      </c>
    </row>
    <row r="3498" spans="1:6">
      <c r="A3498">
        <v>3618</v>
      </c>
      <c r="B3498">
        <v>322013241</v>
      </c>
      <c r="C3498">
        <v>2013</v>
      </c>
      <c r="D3498" t="s">
        <v>33</v>
      </c>
      <c r="E3498">
        <v>1</v>
      </c>
      <c r="F3498">
        <v>0.6</v>
      </c>
    </row>
    <row r="3499" spans="1:6">
      <c r="A3499">
        <v>3620</v>
      </c>
      <c r="B3499">
        <v>322013241</v>
      </c>
      <c r="C3499">
        <v>2013</v>
      </c>
      <c r="D3499" t="s">
        <v>33</v>
      </c>
      <c r="E3499">
        <v>1</v>
      </c>
      <c r="F3499">
        <v>0.45</v>
      </c>
    </row>
    <row r="3500" spans="1:6">
      <c r="A3500">
        <v>3619</v>
      </c>
      <c r="B3500">
        <v>322013241</v>
      </c>
      <c r="C3500">
        <v>2013</v>
      </c>
      <c r="D3500" t="s">
        <v>33</v>
      </c>
      <c r="E3500">
        <v>1</v>
      </c>
      <c r="F3500">
        <v>1.2</v>
      </c>
    </row>
    <row r="3501" spans="1:6">
      <c r="A3501">
        <v>3616</v>
      </c>
      <c r="B3501">
        <v>322013241</v>
      </c>
      <c r="C3501">
        <v>2013</v>
      </c>
      <c r="D3501" t="s">
        <v>33</v>
      </c>
      <c r="E3501">
        <v>1</v>
      </c>
      <c r="F3501">
        <v>0.6</v>
      </c>
    </row>
    <row r="3502" spans="1:6">
      <c r="A3502">
        <v>3615</v>
      </c>
      <c r="B3502">
        <v>322013241</v>
      </c>
      <c r="C3502">
        <v>2013</v>
      </c>
      <c r="D3502" t="s">
        <v>33</v>
      </c>
      <c r="E3502">
        <v>1</v>
      </c>
      <c r="F3502">
        <v>1.2</v>
      </c>
    </row>
    <row r="3503" spans="1:6">
      <c r="A3503">
        <v>3614</v>
      </c>
      <c r="B3503">
        <v>322013241</v>
      </c>
      <c r="C3503">
        <v>2013</v>
      </c>
      <c r="D3503" t="s">
        <v>33</v>
      </c>
      <c r="E3503">
        <v>1</v>
      </c>
      <c r="F3503">
        <v>1.8</v>
      </c>
    </row>
    <row r="3504" spans="1:6">
      <c r="A3504">
        <v>3621</v>
      </c>
      <c r="B3504">
        <v>322013241</v>
      </c>
      <c r="C3504">
        <v>2013</v>
      </c>
      <c r="D3504" t="s">
        <v>33</v>
      </c>
      <c r="E3504">
        <v>1</v>
      </c>
      <c r="F3504">
        <v>1.5</v>
      </c>
    </row>
    <row r="3505" spans="1:6">
      <c r="A3505">
        <v>3612</v>
      </c>
      <c r="B3505">
        <v>322013241</v>
      </c>
      <c r="C3505">
        <v>2013</v>
      </c>
      <c r="D3505" t="s">
        <v>33</v>
      </c>
      <c r="E3505">
        <v>1</v>
      </c>
      <c r="F3505">
        <v>6</v>
      </c>
    </row>
    <row r="3506" spans="1:6">
      <c r="A3506">
        <v>3623</v>
      </c>
      <c r="B3506">
        <v>322013242</v>
      </c>
      <c r="C3506">
        <v>2013</v>
      </c>
      <c r="D3506" t="s">
        <v>35</v>
      </c>
      <c r="E3506">
        <v>2</v>
      </c>
      <c r="F3506">
        <v>1.8</v>
      </c>
    </row>
    <row r="3507" spans="1:6">
      <c r="A3507">
        <v>3627</v>
      </c>
      <c r="B3507">
        <v>322013242</v>
      </c>
      <c r="C3507">
        <v>2013</v>
      </c>
      <c r="D3507" t="s">
        <v>35</v>
      </c>
      <c r="E3507">
        <v>2</v>
      </c>
      <c r="F3507">
        <v>3</v>
      </c>
    </row>
    <row r="3508" spans="1:6">
      <c r="A3508">
        <v>3625</v>
      </c>
      <c r="B3508">
        <v>322013242</v>
      </c>
      <c r="C3508">
        <v>2013</v>
      </c>
      <c r="D3508" t="s">
        <v>35</v>
      </c>
      <c r="E3508">
        <v>1</v>
      </c>
      <c r="F3508">
        <v>1.2</v>
      </c>
    </row>
    <row r="3509" spans="1:6">
      <c r="A3509">
        <v>3626</v>
      </c>
      <c r="B3509">
        <v>322013242</v>
      </c>
      <c r="C3509">
        <v>2013</v>
      </c>
      <c r="D3509" t="s">
        <v>35</v>
      </c>
      <c r="E3509">
        <v>2</v>
      </c>
      <c r="F3509">
        <v>3</v>
      </c>
    </row>
    <row r="3510" spans="1:6">
      <c r="A3510">
        <v>3622</v>
      </c>
      <c r="B3510">
        <v>322013242</v>
      </c>
      <c r="C3510">
        <v>2013</v>
      </c>
      <c r="D3510" t="s">
        <v>35</v>
      </c>
      <c r="E3510">
        <v>1</v>
      </c>
      <c r="F3510">
        <v>0.9</v>
      </c>
    </row>
    <row r="3511" spans="1:6">
      <c r="A3511">
        <v>3624</v>
      </c>
      <c r="B3511">
        <v>322013242</v>
      </c>
      <c r="C3511">
        <v>2013</v>
      </c>
      <c r="D3511" t="s">
        <v>35</v>
      </c>
      <c r="E3511">
        <v>1</v>
      </c>
      <c r="F3511">
        <v>1.8</v>
      </c>
    </row>
    <row r="3512" spans="1:6">
      <c r="A3512">
        <v>3628</v>
      </c>
      <c r="B3512">
        <v>322013243</v>
      </c>
      <c r="C3512">
        <v>2013</v>
      </c>
      <c r="D3512" t="s">
        <v>38</v>
      </c>
      <c r="E3512">
        <v>1</v>
      </c>
      <c r="F3512">
        <v>1.5</v>
      </c>
    </row>
    <row r="3513" spans="1:6">
      <c r="A3513">
        <v>3634</v>
      </c>
      <c r="B3513">
        <v>322013260</v>
      </c>
      <c r="C3513">
        <v>2013</v>
      </c>
      <c r="D3513" t="s">
        <v>34</v>
      </c>
      <c r="E3513">
        <v>11</v>
      </c>
      <c r="F3513">
        <v>3.3</v>
      </c>
    </row>
    <row r="3514" spans="1:6">
      <c r="A3514">
        <v>3631</v>
      </c>
      <c r="B3514">
        <v>322013260</v>
      </c>
      <c r="C3514">
        <v>2013</v>
      </c>
      <c r="D3514" t="s">
        <v>34</v>
      </c>
      <c r="E3514">
        <v>63</v>
      </c>
      <c r="F3514">
        <v>12.6</v>
      </c>
    </row>
    <row r="3515" spans="1:6">
      <c r="A3515">
        <v>3635</v>
      </c>
      <c r="B3515">
        <v>322013260</v>
      </c>
      <c r="C3515">
        <v>2013</v>
      </c>
      <c r="D3515" t="s">
        <v>34</v>
      </c>
      <c r="E3515">
        <v>24</v>
      </c>
      <c r="F3515">
        <v>4.8</v>
      </c>
    </row>
    <row r="3516" spans="1:6">
      <c r="A3516">
        <v>3637</v>
      </c>
      <c r="B3516">
        <v>322013260</v>
      </c>
      <c r="C3516">
        <v>2013</v>
      </c>
      <c r="D3516" t="s">
        <v>34</v>
      </c>
      <c r="E3516">
        <v>24</v>
      </c>
      <c r="F3516">
        <v>4.8</v>
      </c>
    </row>
    <row r="3517" spans="1:6">
      <c r="A3517">
        <v>3633</v>
      </c>
      <c r="B3517">
        <v>322013260</v>
      </c>
      <c r="C3517">
        <v>2013</v>
      </c>
      <c r="D3517" t="s">
        <v>34</v>
      </c>
      <c r="E3517">
        <v>24</v>
      </c>
      <c r="F3517">
        <v>4.8</v>
      </c>
    </row>
    <row r="3518" spans="1:6">
      <c r="A3518">
        <v>3636</v>
      </c>
      <c r="B3518">
        <v>322013260</v>
      </c>
      <c r="C3518">
        <v>2013</v>
      </c>
      <c r="D3518" t="s">
        <v>34</v>
      </c>
      <c r="E3518">
        <v>33</v>
      </c>
      <c r="F3518">
        <v>4.95</v>
      </c>
    </row>
    <row r="3519" spans="1:6">
      <c r="A3519">
        <v>3632</v>
      </c>
      <c r="B3519">
        <v>322013260</v>
      </c>
      <c r="C3519">
        <v>2013</v>
      </c>
      <c r="D3519" t="s">
        <v>34</v>
      </c>
      <c r="E3519">
        <v>10</v>
      </c>
      <c r="F3519">
        <v>2.5</v>
      </c>
    </row>
    <row r="3520" spans="1:6">
      <c r="A3520">
        <v>3629</v>
      </c>
      <c r="B3520">
        <v>322013260</v>
      </c>
      <c r="C3520">
        <v>2013</v>
      </c>
      <c r="D3520" t="s">
        <v>34</v>
      </c>
      <c r="E3520">
        <v>24</v>
      </c>
      <c r="F3520">
        <v>4.8</v>
      </c>
    </row>
    <row r="3521" spans="1:6">
      <c r="A3521">
        <v>3630</v>
      </c>
      <c r="B3521">
        <v>322013260</v>
      </c>
      <c r="C3521">
        <v>2013</v>
      </c>
      <c r="D3521" t="s">
        <v>34</v>
      </c>
      <c r="E3521">
        <v>55</v>
      </c>
      <c r="F3521">
        <v>9.95</v>
      </c>
    </row>
    <row r="3522" spans="1:6">
      <c r="A3522">
        <v>3638</v>
      </c>
      <c r="B3522">
        <v>322013270</v>
      </c>
      <c r="C3522">
        <v>2013</v>
      </c>
      <c r="D3522" t="s">
        <v>31</v>
      </c>
      <c r="E3522" t="s">
        <v>32</v>
      </c>
      <c r="F3522">
        <v>3</v>
      </c>
    </row>
    <row r="3523" spans="1:6">
      <c r="A3523">
        <v>3690</v>
      </c>
      <c r="B3523">
        <v>322013270</v>
      </c>
      <c r="C3523">
        <v>2013</v>
      </c>
      <c r="D3523" t="s">
        <v>31</v>
      </c>
      <c r="E3523" t="s">
        <v>32</v>
      </c>
      <c r="F3523">
        <v>0.98</v>
      </c>
    </row>
    <row r="3524" spans="1:6">
      <c r="A3524">
        <v>3646</v>
      </c>
      <c r="B3524">
        <v>322013270</v>
      </c>
      <c r="C3524">
        <v>2013</v>
      </c>
      <c r="D3524" t="s">
        <v>31</v>
      </c>
      <c r="E3524" t="s">
        <v>32</v>
      </c>
      <c r="F3524">
        <v>0.6</v>
      </c>
    </row>
    <row r="3525" spans="1:6">
      <c r="A3525">
        <v>3664</v>
      </c>
      <c r="B3525">
        <v>322013270</v>
      </c>
      <c r="C3525">
        <v>2013</v>
      </c>
      <c r="D3525" t="s">
        <v>31</v>
      </c>
      <c r="E3525" t="s">
        <v>32</v>
      </c>
      <c r="F3525">
        <v>0.4</v>
      </c>
    </row>
    <row r="3526" spans="1:6">
      <c r="A3526">
        <v>3644</v>
      </c>
      <c r="B3526">
        <v>322013270</v>
      </c>
      <c r="C3526">
        <v>2013</v>
      </c>
      <c r="D3526" t="s">
        <v>31</v>
      </c>
      <c r="E3526" t="s">
        <v>32</v>
      </c>
      <c r="F3526">
        <v>0.6</v>
      </c>
    </row>
    <row r="3527" spans="1:6">
      <c r="A3527">
        <v>3681</v>
      </c>
      <c r="B3527">
        <v>322013270</v>
      </c>
      <c r="C3527">
        <v>2013</v>
      </c>
      <c r="D3527" t="s">
        <v>31</v>
      </c>
      <c r="E3527" t="s">
        <v>32</v>
      </c>
      <c r="F3527">
        <v>3</v>
      </c>
    </row>
    <row r="3528" spans="1:6">
      <c r="A3528">
        <v>3684</v>
      </c>
      <c r="B3528">
        <v>322013270</v>
      </c>
      <c r="C3528">
        <v>2013</v>
      </c>
      <c r="D3528" t="s">
        <v>31</v>
      </c>
      <c r="E3528" t="s">
        <v>32</v>
      </c>
      <c r="F3528">
        <v>2</v>
      </c>
    </row>
    <row r="3529" spans="1:6">
      <c r="A3529">
        <v>3682</v>
      </c>
      <c r="B3529">
        <v>322013270</v>
      </c>
      <c r="C3529">
        <v>2013</v>
      </c>
      <c r="D3529" t="s">
        <v>31</v>
      </c>
      <c r="E3529" t="s">
        <v>32</v>
      </c>
      <c r="F3529">
        <v>1.88</v>
      </c>
    </row>
    <row r="3530" spans="1:6">
      <c r="A3530">
        <v>3659</v>
      </c>
      <c r="B3530">
        <v>322013270</v>
      </c>
      <c r="C3530">
        <v>2013</v>
      </c>
      <c r="D3530" t="s">
        <v>31</v>
      </c>
      <c r="E3530" t="s">
        <v>32</v>
      </c>
      <c r="F3530">
        <v>0.98</v>
      </c>
    </row>
    <row r="3531" spans="1:6">
      <c r="A3531">
        <v>3668</v>
      </c>
      <c r="B3531">
        <v>322013270</v>
      </c>
      <c r="C3531">
        <v>2013</v>
      </c>
      <c r="D3531" t="s">
        <v>31</v>
      </c>
      <c r="E3531" t="s">
        <v>32</v>
      </c>
      <c r="F3531">
        <v>3</v>
      </c>
    </row>
    <row r="3532" spans="1:6">
      <c r="A3532">
        <v>3680</v>
      </c>
      <c r="B3532">
        <v>322013270</v>
      </c>
      <c r="C3532">
        <v>2013</v>
      </c>
      <c r="D3532" t="s">
        <v>31</v>
      </c>
      <c r="E3532" t="s">
        <v>32</v>
      </c>
      <c r="F3532">
        <v>2</v>
      </c>
    </row>
    <row r="3533" spans="1:6">
      <c r="A3533">
        <v>3654</v>
      </c>
      <c r="B3533">
        <v>322013270</v>
      </c>
      <c r="C3533">
        <v>2013</v>
      </c>
      <c r="D3533" t="s">
        <v>31</v>
      </c>
      <c r="E3533" t="s">
        <v>32</v>
      </c>
      <c r="F3533">
        <v>1.5</v>
      </c>
    </row>
    <row r="3534" spans="1:6">
      <c r="A3534">
        <v>3662</v>
      </c>
      <c r="B3534">
        <v>322013270</v>
      </c>
      <c r="C3534">
        <v>2013</v>
      </c>
      <c r="D3534" t="s">
        <v>31</v>
      </c>
      <c r="E3534" t="s">
        <v>32</v>
      </c>
      <c r="F3534">
        <v>0.8</v>
      </c>
    </row>
    <row r="3535" spans="1:6">
      <c r="A3535">
        <v>3647</v>
      </c>
      <c r="B3535">
        <v>322013270</v>
      </c>
      <c r="C3535">
        <v>2013</v>
      </c>
      <c r="D3535" t="s">
        <v>31</v>
      </c>
      <c r="E3535" t="s">
        <v>32</v>
      </c>
      <c r="F3535">
        <v>0.6</v>
      </c>
    </row>
    <row r="3536" spans="1:6">
      <c r="A3536">
        <v>3648</v>
      </c>
      <c r="B3536">
        <v>322013270</v>
      </c>
      <c r="C3536">
        <v>2013</v>
      </c>
      <c r="D3536" t="s">
        <v>31</v>
      </c>
      <c r="E3536" t="s">
        <v>32</v>
      </c>
      <c r="F3536">
        <v>0.6</v>
      </c>
    </row>
    <row r="3537" spans="1:6">
      <c r="A3537">
        <v>3683</v>
      </c>
      <c r="B3537">
        <v>322013270</v>
      </c>
      <c r="C3537">
        <v>2013</v>
      </c>
      <c r="D3537" t="s">
        <v>31</v>
      </c>
      <c r="E3537" t="s">
        <v>32</v>
      </c>
      <c r="F3537">
        <v>2</v>
      </c>
    </row>
    <row r="3538" spans="1:6">
      <c r="A3538">
        <v>3693</v>
      </c>
      <c r="B3538">
        <v>322013270</v>
      </c>
      <c r="C3538">
        <v>2013</v>
      </c>
      <c r="D3538" t="s">
        <v>31</v>
      </c>
      <c r="E3538" t="s">
        <v>32</v>
      </c>
      <c r="F3538">
        <v>2</v>
      </c>
    </row>
    <row r="3539" spans="1:6">
      <c r="A3539">
        <v>3687</v>
      </c>
      <c r="B3539">
        <v>322013270</v>
      </c>
      <c r="C3539">
        <v>2013</v>
      </c>
      <c r="D3539" t="s">
        <v>31</v>
      </c>
      <c r="E3539" t="s">
        <v>32</v>
      </c>
      <c r="F3539">
        <v>0.98</v>
      </c>
    </row>
    <row r="3540" spans="1:6">
      <c r="A3540">
        <v>3642</v>
      </c>
      <c r="B3540">
        <v>322013270</v>
      </c>
      <c r="C3540">
        <v>2013</v>
      </c>
      <c r="D3540" t="s">
        <v>31</v>
      </c>
      <c r="E3540" t="s">
        <v>32</v>
      </c>
      <c r="F3540">
        <v>5</v>
      </c>
    </row>
    <row r="3541" spans="1:6">
      <c r="A3541">
        <v>3695</v>
      </c>
      <c r="B3541">
        <v>322013270</v>
      </c>
      <c r="C3541">
        <v>2013</v>
      </c>
      <c r="D3541" t="s">
        <v>31</v>
      </c>
      <c r="E3541" t="s">
        <v>32</v>
      </c>
      <c r="F3541">
        <v>2</v>
      </c>
    </row>
    <row r="3542" spans="1:6">
      <c r="A3542">
        <v>3670</v>
      </c>
      <c r="B3542">
        <v>322013270</v>
      </c>
      <c r="C3542">
        <v>2013</v>
      </c>
      <c r="D3542" t="s">
        <v>31</v>
      </c>
      <c r="E3542" t="s">
        <v>32</v>
      </c>
      <c r="F3542">
        <v>0.42</v>
      </c>
    </row>
    <row r="3543" spans="1:6">
      <c r="A3543">
        <v>3692</v>
      </c>
      <c r="B3543">
        <v>322013270</v>
      </c>
      <c r="C3543">
        <v>2013</v>
      </c>
      <c r="D3543" t="s">
        <v>31</v>
      </c>
      <c r="E3543" t="s">
        <v>32</v>
      </c>
      <c r="F3543">
        <v>2</v>
      </c>
    </row>
    <row r="3544" spans="1:6">
      <c r="A3544">
        <v>3669</v>
      </c>
      <c r="B3544">
        <v>322013270</v>
      </c>
      <c r="C3544">
        <v>2013</v>
      </c>
      <c r="D3544" t="s">
        <v>31</v>
      </c>
      <c r="E3544" t="s">
        <v>32</v>
      </c>
      <c r="F3544">
        <v>3</v>
      </c>
    </row>
    <row r="3545" spans="1:6">
      <c r="A3545">
        <v>3699</v>
      </c>
      <c r="B3545">
        <v>322013270</v>
      </c>
      <c r="C3545">
        <v>2013</v>
      </c>
      <c r="D3545" t="s">
        <v>31</v>
      </c>
      <c r="E3545" t="s">
        <v>32</v>
      </c>
      <c r="F3545">
        <v>2</v>
      </c>
    </row>
    <row r="3546" spans="1:6">
      <c r="A3546">
        <v>3694</v>
      </c>
      <c r="B3546">
        <v>322013270</v>
      </c>
      <c r="C3546">
        <v>2013</v>
      </c>
      <c r="D3546" t="s">
        <v>31</v>
      </c>
      <c r="E3546" t="s">
        <v>32</v>
      </c>
      <c r="F3546">
        <v>2</v>
      </c>
    </row>
    <row r="3547" spans="1:6">
      <c r="A3547">
        <v>3697</v>
      </c>
      <c r="B3547">
        <v>322013270</v>
      </c>
      <c r="C3547">
        <v>2013</v>
      </c>
      <c r="D3547" t="s">
        <v>31</v>
      </c>
      <c r="E3547" t="s">
        <v>32</v>
      </c>
      <c r="F3547">
        <v>0.6</v>
      </c>
    </row>
    <row r="3548" spans="1:6">
      <c r="A3548">
        <v>3696</v>
      </c>
      <c r="B3548">
        <v>322013270</v>
      </c>
      <c r="C3548">
        <v>2013</v>
      </c>
      <c r="D3548" t="s">
        <v>31</v>
      </c>
      <c r="E3548" t="s">
        <v>32</v>
      </c>
      <c r="F3548">
        <v>0.6</v>
      </c>
    </row>
    <row r="3549" spans="1:6">
      <c r="A3549">
        <v>3698</v>
      </c>
      <c r="B3549">
        <v>322013270</v>
      </c>
      <c r="C3549">
        <v>2013</v>
      </c>
      <c r="D3549" t="s">
        <v>31</v>
      </c>
      <c r="E3549" t="s">
        <v>32</v>
      </c>
      <c r="F3549">
        <v>1.58</v>
      </c>
    </row>
    <row r="3550" spans="1:6">
      <c r="A3550">
        <v>3649</v>
      </c>
      <c r="B3550">
        <v>322013270</v>
      </c>
      <c r="C3550">
        <v>2013</v>
      </c>
      <c r="D3550" t="s">
        <v>31</v>
      </c>
      <c r="E3550" t="s">
        <v>32</v>
      </c>
      <c r="F3550">
        <v>0.6</v>
      </c>
    </row>
    <row r="3551" spans="1:6">
      <c r="A3551">
        <v>3652</v>
      </c>
      <c r="B3551">
        <v>322013270</v>
      </c>
      <c r="C3551">
        <v>2013</v>
      </c>
      <c r="D3551" t="s">
        <v>31</v>
      </c>
      <c r="E3551" t="s">
        <v>32</v>
      </c>
      <c r="F3551">
        <v>1.58</v>
      </c>
    </row>
    <row r="3552" spans="1:6">
      <c r="A3552">
        <v>3641</v>
      </c>
      <c r="B3552">
        <v>322013270</v>
      </c>
      <c r="C3552">
        <v>2013</v>
      </c>
      <c r="D3552" t="s">
        <v>31</v>
      </c>
      <c r="E3552" t="s">
        <v>32</v>
      </c>
      <c r="F3552">
        <v>0.4</v>
      </c>
    </row>
    <row r="3553" spans="1:6">
      <c r="A3553">
        <v>3639</v>
      </c>
      <c r="B3553">
        <v>322013270</v>
      </c>
      <c r="C3553">
        <v>2013</v>
      </c>
      <c r="D3553" t="s">
        <v>31</v>
      </c>
      <c r="E3553" t="s">
        <v>32</v>
      </c>
      <c r="F3553">
        <v>0.6</v>
      </c>
    </row>
    <row r="3554" spans="1:6">
      <c r="A3554">
        <v>3640</v>
      </c>
      <c r="B3554">
        <v>322013270</v>
      </c>
      <c r="C3554">
        <v>2013</v>
      </c>
      <c r="D3554" t="s">
        <v>31</v>
      </c>
      <c r="E3554" t="s">
        <v>32</v>
      </c>
      <c r="F3554">
        <v>0.4</v>
      </c>
    </row>
    <row r="3555" spans="1:6">
      <c r="A3555">
        <v>3667</v>
      </c>
      <c r="B3555">
        <v>322013270</v>
      </c>
      <c r="C3555">
        <v>2013</v>
      </c>
      <c r="D3555" t="s">
        <v>31</v>
      </c>
      <c r="E3555" t="s">
        <v>32</v>
      </c>
      <c r="F3555">
        <v>0.6</v>
      </c>
    </row>
    <row r="3556" spans="1:6">
      <c r="A3556">
        <v>3679</v>
      </c>
      <c r="B3556">
        <v>322013270</v>
      </c>
      <c r="C3556">
        <v>2013</v>
      </c>
      <c r="D3556" t="s">
        <v>31</v>
      </c>
      <c r="E3556" t="s">
        <v>32</v>
      </c>
      <c r="F3556">
        <v>2</v>
      </c>
    </row>
    <row r="3557" spans="1:6">
      <c r="A3557">
        <v>3685</v>
      </c>
      <c r="B3557">
        <v>322013270</v>
      </c>
      <c r="C3557">
        <v>2013</v>
      </c>
      <c r="D3557" t="s">
        <v>31</v>
      </c>
      <c r="E3557" t="s">
        <v>32</v>
      </c>
      <c r="F3557">
        <v>0.6</v>
      </c>
    </row>
    <row r="3558" spans="1:6">
      <c r="A3558">
        <v>3686</v>
      </c>
      <c r="B3558">
        <v>322013270</v>
      </c>
      <c r="C3558">
        <v>2013</v>
      </c>
      <c r="D3558" t="s">
        <v>31</v>
      </c>
      <c r="E3558" t="s">
        <v>32</v>
      </c>
      <c r="F3558">
        <v>0.3</v>
      </c>
    </row>
    <row r="3559" spans="1:6">
      <c r="A3559">
        <v>3653</v>
      </c>
      <c r="B3559">
        <v>322013270</v>
      </c>
      <c r="C3559">
        <v>2013</v>
      </c>
      <c r="D3559" t="s">
        <v>31</v>
      </c>
      <c r="E3559" t="s">
        <v>32</v>
      </c>
      <c r="F3559">
        <v>1.5</v>
      </c>
    </row>
    <row r="3560" spans="1:6">
      <c r="A3560">
        <v>3656</v>
      </c>
      <c r="B3560">
        <v>322013270</v>
      </c>
      <c r="C3560">
        <v>2013</v>
      </c>
      <c r="D3560" t="s">
        <v>31</v>
      </c>
      <c r="E3560" t="s">
        <v>32</v>
      </c>
      <c r="F3560">
        <v>2.25</v>
      </c>
    </row>
    <row r="3561" spans="1:6">
      <c r="A3561">
        <v>3651</v>
      </c>
      <c r="B3561">
        <v>322013270</v>
      </c>
      <c r="C3561">
        <v>2013</v>
      </c>
      <c r="D3561" t="s">
        <v>31</v>
      </c>
      <c r="E3561" t="s">
        <v>32</v>
      </c>
      <c r="F3561">
        <v>1.6</v>
      </c>
    </row>
    <row r="3562" spans="1:6">
      <c r="A3562">
        <v>3661</v>
      </c>
      <c r="B3562">
        <v>322013270</v>
      </c>
      <c r="C3562">
        <v>2013</v>
      </c>
      <c r="D3562" t="s">
        <v>31</v>
      </c>
      <c r="E3562" t="s">
        <v>32</v>
      </c>
      <c r="F3562">
        <v>0.9</v>
      </c>
    </row>
    <row r="3563" spans="1:6">
      <c r="A3563">
        <v>3645</v>
      </c>
      <c r="B3563">
        <v>322013270</v>
      </c>
      <c r="C3563">
        <v>2013</v>
      </c>
      <c r="D3563" t="s">
        <v>31</v>
      </c>
      <c r="E3563" t="s">
        <v>32</v>
      </c>
      <c r="F3563">
        <v>0.6</v>
      </c>
    </row>
    <row r="3564" spans="1:6">
      <c r="A3564">
        <v>3650</v>
      </c>
      <c r="B3564">
        <v>322013270</v>
      </c>
      <c r="C3564">
        <v>2013</v>
      </c>
      <c r="D3564" t="s">
        <v>31</v>
      </c>
      <c r="E3564" t="s">
        <v>32</v>
      </c>
      <c r="F3564">
        <v>5</v>
      </c>
    </row>
    <row r="3565" spans="1:6">
      <c r="A3565">
        <v>3691</v>
      </c>
      <c r="B3565">
        <v>322013270</v>
      </c>
      <c r="C3565">
        <v>2013</v>
      </c>
      <c r="D3565" t="s">
        <v>31</v>
      </c>
      <c r="E3565" t="s">
        <v>32</v>
      </c>
      <c r="F3565">
        <v>0.4</v>
      </c>
    </row>
    <row r="3566" spans="1:6">
      <c r="A3566">
        <v>3665</v>
      </c>
      <c r="B3566">
        <v>322013270</v>
      </c>
      <c r="C3566">
        <v>2013</v>
      </c>
      <c r="D3566" t="s">
        <v>31</v>
      </c>
      <c r="E3566" t="s">
        <v>32</v>
      </c>
      <c r="F3566">
        <v>0.3</v>
      </c>
    </row>
    <row r="3567" spans="1:6">
      <c r="A3567">
        <v>3663</v>
      </c>
      <c r="B3567">
        <v>322013270</v>
      </c>
      <c r="C3567">
        <v>2013</v>
      </c>
      <c r="D3567" t="s">
        <v>31</v>
      </c>
      <c r="E3567" t="s">
        <v>32</v>
      </c>
      <c r="F3567">
        <v>0.4</v>
      </c>
    </row>
    <row r="3568" spans="1:6">
      <c r="A3568">
        <v>3666</v>
      </c>
      <c r="B3568">
        <v>322013270</v>
      </c>
      <c r="C3568">
        <v>2013</v>
      </c>
      <c r="D3568" t="s">
        <v>31</v>
      </c>
      <c r="E3568" t="s">
        <v>32</v>
      </c>
      <c r="F3568">
        <v>0.3</v>
      </c>
    </row>
    <row r="3569" spans="1:6">
      <c r="A3569">
        <v>3678</v>
      </c>
      <c r="B3569">
        <v>322013270</v>
      </c>
      <c r="C3569">
        <v>2013</v>
      </c>
      <c r="D3569" t="s">
        <v>31</v>
      </c>
      <c r="E3569" t="s">
        <v>32</v>
      </c>
      <c r="F3569">
        <v>0.07</v>
      </c>
    </row>
    <row r="3570" spans="1:6">
      <c r="A3570">
        <v>3677</v>
      </c>
      <c r="B3570">
        <v>322013270</v>
      </c>
      <c r="C3570">
        <v>2013</v>
      </c>
      <c r="D3570" t="s">
        <v>31</v>
      </c>
      <c r="E3570" t="s">
        <v>32</v>
      </c>
      <c r="F3570">
        <v>0.17</v>
      </c>
    </row>
    <row r="3571" spans="1:6">
      <c r="A3571">
        <v>3674</v>
      </c>
      <c r="B3571">
        <v>322013270</v>
      </c>
      <c r="C3571">
        <v>2013</v>
      </c>
      <c r="D3571" t="s">
        <v>31</v>
      </c>
      <c r="E3571" t="s">
        <v>32</v>
      </c>
      <c r="F3571">
        <v>0.29</v>
      </c>
    </row>
    <row r="3572" spans="1:6">
      <c r="A3572">
        <v>3675</v>
      </c>
      <c r="B3572">
        <v>322013270</v>
      </c>
      <c r="C3572">
        <v>2013</v>
      </c>
      <c r="D3572" t="s">
        <v>31</v>
      </c>
      <c r="E3572" t="s">
        <v>32</v>
      </c>
      <c r="F3572">
        <v>0.22</v>
      </c>
    </row>
    <row r="3573" spans="1:6">
      <c r="A3573">
        <v>3673</v>
      </c>
      <c r="B3573">
        <v>322013270</v>
      </c>
      <c r="C3573">
        <v>2013</v>
      </c>
      <c r="D3573" t="s">
        <v>31</v>
      </c>
      <c r="E3573" t="s">
        <v>32</v>
      </c>
      <c r="F3573">
        <v>0.51</v>
      </c>
    </row>
    <row r="3574" spans="1:6">
      <c r="A3574">
        <v>3676</v>
      </c>
      <c r="B3574">
        <v>322013270</v>
      </c>
      <c r="C3574">
        <v>2013</v>
      </c>
      <c r="D3574" t="s">
        <v>31</v>
      </c>
      <c r="E3574" t="s">
        <v>32</v>
      </c>
      <c r="F3574">
        <v>0.2</v>
      </c>
    </row>
    <row r="3575" spans="1:6">
      <c r="A3575">
        <v>3672</v>
      </c>
      <c r="B3575">
        <v>322013270</v>
      </c>
      <c r="C3575">
        <v>2013</v>
      </c>
      <c r="D3575" t="s">
        <v>31</v>
      </c>
      <c r="E3575" t="s">
        <v>32</v>
      </c>
      <c r="F3575">
        <v>0.56</v>
      </c>
    </row>
    <row r="3576" spans="1:6">
      <c r="A3576">
        <v>3689</v>
      </c>
      <c r="B3576">
        <v>322013270</v>
      </c>
      <c r="C3576">
        <v>2013</v>
      </c>
      <c r="D3576" t="s">
        <v>31</v>
      </c>
      <c r="E3576" t="s">
        <v>32</v>
      </c>
      <c r="F3576">
        <v>0.13</v>
      </c>
    </row>
    <row r="3577" spans="1:6">
      <c r="A3577">
        <v>3655</v>
      </c>
      <c r="B3577">
        <v>322013270</v>
      </c>
      <c r="C3577">
        <v>2013</v>
      </c>
      <c r="D3577" t="s">
        <v>31</v>
      </c>
      <c r="E3577" t="s">
        <v>32</v>
      </c>
      <c r="F3577">
        <v>2.4</v>
      </c>
    </row>
    <row r="3578" spans="1:6">
      <c r="A3578">
        <v>3657</v>
      </c>
      <c r="B3578">
        <v>322013270</v>
      </c>
      <c r="C3578">
        <v>2013</v>
      </c>
      <c r="D3578" t="s">
        <v>31</v>
      </c>
      <c r="E3578" t="s">
        <v>32</v>
      </c>
      <c r="F3578">
        <v>2</v>
      </c>
    </row>
    <row r="3579" spans="1:6">
      <c r="A3579">
        <v>3658</v>
      </c>
      <c r="B3579">
        <v>322013270</v>
      </c>
      <c r="C3579">
        <v>2013</v>
      </c>
      <c r="D3579" t="s">
        <v>31</v>
      </c>
      <c r="E3579" t="s">
        <v>32</v>
      </c>
      <c r="F3579">
        <v>2</v>
      </c>
    </row>
    <row r="3580" spans="1:6">
      <c r="A3580">
        <v>3671</v>
      </c>
      <c r="B3580">
        <v>322013270</v>
      </c>
      <c r="C3580">
        <v>2013</v>
      </c>
      <c r="D3580" t="s">
        <v>31</v>
      </c>
      <c r="E3580" t="s">
        <v>32</v>
      </c>
      <c r="F3580">
        <v>2</v>
      </c>
    </row>
    <row r="3581" spans="1:6">
      <c r="A3581">
        <v>3688</v>
      </c>
      <c r="B3581">
        <v>322013270</v>
      </c>
      <c r="C3581">
        <v>2013</v>
      </c>
      <c r="D3581" t="s">
        <v>31</v>
      </c>
      <c r="E3581" t="s">
        <v>32</v>
      </c>
      <c r="F3581">
        <v>0.98</v>
      </c>
    </row>
    <row r="3582" spans="1:6">
      <c r="A3582">
        <v>3643</v>
      </c>
      <c r="B3582">
        <v>322013270</v>
      </c>
      <c r="C3582">
        <v>2013</v>
      </c>
      <c r="D3582" t="s">
        <v>31</v>
      </c>
      <c r="E3582" t="s">
        <v>32</v>
      </c>
      <c r="F3582">
        <v>0.98</v>
      </c>
    </row>
    <row r="3583" spans="1:6">
      <c r="A3583">
        <v>3660</v>
      </c>
      <c r="B3583">
        <v>322013270</v>
      </c>
      <c r="C3583">
        <v>2013</v>
      </c>
      <c r="D3583" t="s">
        <v>31</v>
      </c>
      <c r="E3583" t="s">
        <v>32</v>
      </c>
      <c r="F3583">
        <v>0.96</v>
      </c>
    </row>
    <row r="3584" spans="1:6">
      <c r="A3584">
        <v>3702</v>
      </c>
      <c r="B3584">
        <v>322014110</v>
      </c>
      <c r="C3584">
        <v>2014</v>
      </c>
      <c r="D3584" t="s">
        <v>40</v>
      </c>
      <c r="E3584">
        <v>1</v>
      </c>
      <c r="F3584">
        <v>0.05</v>
      </c>
    </row>
    <row r="3585" spans="1:6">
      <c r="A3585">
        <v>3701</v>
      </c>
      <c r="B3585">
        <v>322014110</v>
      </c>
      <c r="C3585">
        <v>2014</v>
      </c>
      <c r="D3585" t="s">
        <v>40</v>
      </c>
      <c r="E3585">
        <v>2</v>
      </c>
      <c r="F3585">
        <v>0.1</v>
      </c>
    </row>
    <row r="3586" spans="1:6">
      <c r="A3586">
        <v>3700</v>
      </c>
      <c r="B3586">
        <v>322014110</v>
      </c>
      <c r="C3586">
        <v>2014</v>
      </c>
      <c r="D3586" t="s">
        <v>40</v>
      </c>
      <c r="E3586">
        <v>1</v>
      </c>
      <c r="F3586">
        <v>0.12</v>
      </c>
    </row>
    <row r="3587" spans="1:6">
      <c r="A3587">
        <v>3703</v>
      </c>
      <c r="B3587">
        <v>322014211</v>
      </c>
      <c r="C3587">
        <v>2014</v>
      </c>
      <c r="D3587" t="s">
        <v>37</v>
      </c>
      <c r="E3587">
        <v>1</v>
      </c>
      <c r="F3587">
        <v>100</v>
      </c>
    </row>
    <row r="3588" spans="1:6">
      <c r="A3588">
        <v>3704</v>
      </c>
      <c r="B3588">
        <v>322014211</v>
      </c>
      <c r="C3588">
        <v>2014</v>
      </c>
      <c r="D3588" t="s">
        <v>37</v>
      </c>
      <c r="E3588">
        <v>1</v>
      </c>
      <c r="F3588">
        <v>105</v>
      </c>
    </row>
    <row r="3589" spans="1:6">
      <c r="A3589">
        <v>3705</v>
      </c>
      <c r="B3589">
        <v>322014221</v>
      </c>
      <c r="C3589">
        <v>2014</v>
      </c>
      <c r="D3589" t="s">
        <v>30</v>
      </c>
      <c r="E3589">
        <v>2</v>
      </c>
      <c r="F3589">
        <v>0.4</v>
      </c>
    </row>
    <row r="3590" spans="1:6">
      <c r="A3590">
        <v>3707</v>
      </c>
      <c r="B3590">
        <v>322014241</v>
      </c>
      <c r="C3590">
        <v>2014</v>
      </c>
      <c r="D3590" t="s">
        <v>33</v>
      </c>
      <c r="E3590">
        <v>2</v>
      </c>
      <c r="F3590">
        <v>4</v>
      </c>
    </row>
    <row r="3591" spans="1:6">
      <c r="A3591">
        <v>3711</v>
      </c>
      <c r="B3591">
        <v>322014241</v>
      </c>
      <c r="C3591">
        <v>2014</v>
      </c>
      <c r="D3591" t="s">
        <v>33</v>
      </c>
      <c r="E3591">
        <v>1</v>
      </c>
      <c r="F3591">
        <v>1.2</v>
      </c>
    </row>
    <row r="3592" spans="1:6">
      <c r="A3592">
        <v>3715</v>
      </c>
      <c r="B3592">
        <v>322014241</v>
      </c>
      <c r="C3592">
        <v>2014</v>
      </c>
      <c r="D3592" t="s">
        <v>33</v>
      </c>
      <c r="E3592">
        <v>1</v>
      </c>
      <c r="F3592">
        <v>0.75</v>
      </c>
    </row>
    <row r="3593" spans="1:6">
      <c r="A3593">
        <v>3714</v>
      </c>
      <c r="B3593">
        <v>322014241</v>
      </c>
      <c r="C3593">
        <v>2014</v>
      </c>
      <c r="D3593" t="s">
        <v>33</v>
      </c>
      <c r="E3593">
        <v>1</v>
      </c>
      <c r="F3593">
        <v>0.9</v>
      </c>
    </row>
    <row r="3594" spans="1:6">
      <c r="A3594">
        <v>3709</v>
      </c>
      <c r="B3594">
        <v>322014241</v>
      </c>
      <c r="C3594">
        <v>2014</v>
      </c>
      <c r="D3594" t="s">
        <v>33</v>
      </c>
      <c r="E3594">
        <v>1</v>
      </c>
      <c r="F3594">
        <v>1.5</v>
      </c>
    </row>
    <row r="3595" spans="1:6">
      <c r="A3595">
        <v>3712</v>
      </c>
      <c r="B3595">
        <v>322014241</v>
      </c>
      <c r="C3595">
        <v>2014</v>
      </c>
      <c r="D3595" t="s">
        <v>33</v>
      </c>
      <c r="E3595">
        <v>1</v>
      </c>
      <c r="F3595">
        <v>1.1</v>
      </c>
    </row>
    <row r="3596" spans="1:6">
      <c r="A3596">
        <v>3713</v>
      </c>
      <c r="B3596">
        <v>322014241</v>
      </c>
      <c r="C3596">
        <v>2014</v>
      </c>
      <c r="D3596" t="s">
        <v>33</v>
      </c>
      <c r="E3596">
        <v>1</v>
      </c>
      <c r="F3596">
        <v>0.9</v>
      </c>
    </row>
    <row r="3597" spans="1:6">
      <c r="A3597">
        <v>3708</v>
      </c>
      <c r="B3597">
        <v>322014241</v>
      </c>
      <c r="C3597">
        <v>2014</v>
      </c>
      <c r="D3597" t="s">
        <v>33</v>
      </c>
      <c r="E3597">
        <v>1</v>
      </c>
      <c r="F3597">
        <v>3.66</v>
      </c>
    </row>
    <row r="3598" spans="1:6">
      <c r="A3598">
        <v>3706</v>
      </c>
      <c r="B3598">
        <v>322014241</v>
      </c>
      <c r="C3598">
        <v>2014</v>
      </c>
      <c r="D3598" t="s">
        <v>33</v>
      </c>
      <c r="E3598">
        <v>1</v>
      </c>
      <c r="F3598">
        <v>0.5</v>
      </c>
    </row>
    <row r="3599" spans="1:6">
      <c r="A3599">
        <v>3710</v>
      </c>
      <c r="B3599">
        <v>322014241</v>
      </c>
      <c r="C3599">
        <v>2014</v>
      </c>
      <c r="D3599" t="s">
        <v>33</v>
      </c>
      <c r="E3599">
        <v>2</v>
      </c>
      <c r="F3599">
        <v>1.2</v>
      </c>
    </row>
    <row r="3600" spans="1:6">
      <c r="A3600">
        <v>3728</v>
      </c>
      <c r="B3600">
        <v>322014260</v>
      </c>
      <c r="C3600">
        <v>2014</v>
      </c>
      <c r="D3600" t="s">
        <v>34</v>
      </c>
      <c r="E3600">
        <v>6</v>
      </c>
      <c r="F3600">
        <v>1.65</v>
      </c>
    </row>
    <row r="3601" spans="1:6">
      <c r="A3601">
        <v>3721</v>
      </c>
      <c r="B3601">
        <v>322014260</v>
      </c>
      <c r="C3601">
        <v>2014</v>
      </c>
      <c r="D3601" t="s">
        <v>34</v>
      </c>
      <c r="E3601">
        <v>33</v>
      </c>
      <c r="F3601">
        <v>4.95</v>
      </c>
    </row>
    <row r="3602" spans="1:6">
      <c r="A3602">
        <v>3719</v>
      </c>
      <c r="B3602">
        <v>322014260</v>
      </c>
      <c r="C3602">
        <v>2014</v>
      </c>
      <c r="D3602" t="s">
        <v>34</v>
      </c>
      <c r="E3602">
        <v>28</v>
      </c>
      <c r="F3602">
        <v>5.04</v>
      </c>
    </row>
    <row r="3603" spans="1:6">
      <c r="A3603">
        <v>3717</v>
      </c>
      <c r="B3603">
        <v>322014260</v>
      </c>
      <c r="C3603">
        <v>2014</v>
      </c>
      <c r="D3603" t="s">
        <v>34</v>
      </c>
      <c r="E3603">
        <v>24</v>
      </c>
      <c r="F3603">
        <v>4.32</v>
      </c>
    </row>
    <row r="3604" spans="1:6">
      <c r="A3604">
        <v>3716</v>
      </c>
      <c r="B3604">
        <v>322014260</v>
      </c>
      <c r="C3604">
        <v>2014</v>
      </c>
      <c r="D3604" t="s">
        <v>34</v>
      </c>
      <c r="E3604">
        <v>45</v>
      </c>
      <c r="F3604">
        <v>9</v>
      </c>
    </row>
    <row r="3605" spans="1:6">
      <c r="A3605">
        <v>3718</v>
      </c>
      <c r="B3605">
        <v>322014260</v>
      </c>
      <c r="C3605">
        <v>2014</v>
      </c>
      <c r="D3605" t="s">
        <v>34</v>
      </c>
      <c r="E3605">
        <v>45</v>
      </c>
      <c r="F3605">
        <v>9.15</v>
      </c>
    </row>
    <row r="3606" spans="1:6">
      <c r="A3606">
        <v>3720</v>
      </c>
      <c r="B3606">
        <v>322014260</v>
      </c>
      <c r="C3606">
        <v>2014</v>
      </c>
      <c r="D3606" t="s">
        <v>34</v>
      </c>
      <c r="E3606">
        <v>24</v>
      </c>
      <c r="F3606">
        <v>4.95</v>
      </c>
    </row>
    <row r="3607" spans="1:6">
      <c r="A3607">
        <v>3725</v>
      </c>
      <c r="B3607">
        <v>322014260</v>
      </c>
      <c r="C3607">
        <v>2014</v>
      </c>
      <c r="D3607" t="s">
        <v>34</v>
      </c>
      <c r="E3607">
        <v>23</v>
      </c>
      <c r="F3607">
        <v>4.83</v>
      </c>
    </row>
    <row r="3608" spans="1:6">
      <c r="A3608">
        <v>3722</v>
      </c>
      <c r="B3608">
        <v>322014260</v>
      </c>
      <c r="C3608">
        <v>2014</v>
      </c>
      <c r="D3608" t="s">
        <v>34</v>
      </c>
      <c r="E3608">
        <v>15</v>
      </c>
      <c r="F3608">
        <v>6</v>
      </c>
    </row>
    <row r="3609" spans="1:6">
      <c r="A3609">
        <v>3723</v>
      </c>
      <c r="B3609">
        <v>322014260</v>
      </c>
      <c r="C3609">
        <v>2014</v>
      </c>
      <c r="D3609" t="s">
        <v>34</v>
      </c>
      <c r="E3609">
        <v>6</v>
      </c>
      <c r="F3609">
        <v>2.4</v>
      </c>
    </row>
    <row r="3610" spans="1:6">
      <c r="A3610">
        <v>3724</v>
      </c>
      <c r="B3610">
        <v>322014260</v>
      </c>
      <c r="C3610">
        <v>2014</v>
      </c>
      <c r="D3610" t="s">
        <v>34</v>
      </c>
      <c r="E3610">
        <v>24</v>
      </c>
      <c r="F3610">
        <v>5.04</v>
      </c>
    </row>
    <row r="3611" spans="1:6">
      <c r="A3611">
        <v>3726</v>
      </c>
      <c r="B3611">
        <v>322014260</v>
      </c>
      <c r="C3611">
        <v>2014</v>
      </c>
      <c r="D3611" t="s">
        <v>34</v>
      </c>
      <c r="E3611">
        <v>23</v>
      </c>
      <c r="F3611">
        <v>3.45</v>
      </c>
    </row>
    <row r="3612" spans="1:6">
      <c r="A3612">
        <v>3727</v>
      </c>
      <c r="B3612">
        <v>322014260</v>
      </c>
      <c r="C3612">
        <v>2014</v>
      </c>
      <c r="D3612" t="s">
        <v>34</v>
      </c>
      <c r="E3612">
        <v>10</v>
      </c>
      <c r="F3612">
        <v>2</v>
      </c>
    </row>
    <row r="3613" spans="1:6">
      <c r="A3613">
        <v>3749</v>
      </c>
      <c r="B3613">
        <v>322014270</v>
      </c>
      <c r="C3613">
        <v>2014</v>
      </c>
      <c r="D3613" t="s">
        <v>31</v>
      </c>
      <c r="E3613">
        <v>61</v>
      </c>
      <c r="F3613">
        <v>1.6</v>
      </c>
    </row>
    <row r="3614" spans="1:6">
      <c r="A3614">
        <v>3744</v>
      </c>
      <c r="B3614">
        <v>322014270</v>
      </c>
      <c r="C3614">
        <v>2014</v>
      </c>
      <c r="D3614" t="s">
        <v>31</v>
      </c>
      <c r="E3614">
        <v>120</v>
      </c>
      <c r="F3614">
        <v>6</v>
      </c>
    </row>
    <row r="3615" spans="1:6">
      <c r="A3615">
        <v>3761</v>
      </c>
      <c r="B3615">
        <v>322014270</v>
      </c>
      <c r="C3615">
        <v>2014</v>
      </c>
      <c r="D3615" t="s">
        <v>31</v>
      </c>
      <c r="E3615">
        <v>32</v>
      </c>
      <c r="F3615">
        <v>1</v>
      </c>
    </row>
    <row r="3616" spans="1:6">
      <c r="A3616">
        <v>3757</v>
      </c>
      <c r="B3616">
        <v>322014270</v>
      </c>
      <c r="C3616">
        <v>2014</v>
      </c>
      <c r="D3616" t="s">
        <v>31</v>
      </c>
      <c r="E3616">
        <v>20</v>
      </c>
      <c r="F3616">
        <v>1</v>
      </c>
    </row>
    <row r="3617" spans="1:6">
      <c r="A3617">
        <v>3737</v>
      </c>
      <c r="B3617">
        <v>322014270</v>
      </c>
      <c r="C3617">
        <v>2014</v>
      </c>
      <c r="D3617" t="s">
        <v>31</v>
      </c>
      <c r="E3617">
        <v>20</v>
      </c>
      <c r="F3617">
        <v>10</v>
      </c>
    </row>
    <row r="3618" spans="1:6">
      <c r="A3618">
        <v>3760</v>
      </c>
      <c r="B3618">
        <v>322014270</v>
      </c>
      <c r="C3618">
        <v>2014</v>
      </c>
      <c r="D3618" t="s">
        <v>31</v>
      </c>
      <c r="E3618">
        <v>20</v>
      </c>
      <c r="F3618">
        <v>1</v>
      </c>
    </row>
    <row r="3619" spans="1:6">
      <c r="A3619">
        <v>3732</v>
      </c>
      <c r="B3619">
        <v>322014270</v>
      </c>
      <c r="C3619">
        <v>2014</v>
      </c>
      <c r="D3619" t="s">
        <v>31</v>
      </c>
      <c r="F3619">
        <v>2</v>
      </c>
    </row>
    <row r="3620" spans="1:6">
      <c r="A3620">
        <v>3746</v>
      </c>
      <c r="B3620">
        <v>322014270</v>
      </c>
      <c r="C3620">
        <v>2014</v>
      </c>
      <c r="D3620" t="s">
        <v>31</v>
      </c>
      <c r="E3620">
        <v>40</v>
      </c>
      <c r="F3620">
        <v>2</v>
      </c>
    </row>
    <row r="3621" spans="1:6">
      <c r="A3621">
        <v>3743</v>
      </c>
      <c r="B3621">
        <v>322014270</v>
      </c>
      <c r="C3621">
        <v>2014</v>
      </c>
      <c r="D3621" t="s">
        <v>31</v>
      </c>
      <c r="F3621">
        <v>2</v>
      </c>
    </row>
    <row r="3622" spans="1:6">
      <c r="A3622">
        <v>3741</v>
      </c>
      <c r="B3622">
        <v>322014270</v>
      </c>
      <c r="C3622">
        <v>2014</v>
      </c>
      <c r="D3622" t="s">
        <v>31</v>
      </c>
      <c r="F3622">
        <v>0.6</v>
      </c>
    </row>
    <row r="3623" spans="1:6">
      <c r="A3623">
        <v>3731</v>
      </c>
      <c r="B3623">
        <v>322014270</v>
      </c>
      <c r="C3623">
        <v>2014</v>
      </c>
      <c r="D3623" t="s">
        <v>31</v>
      </c>
      <c r="F3623">
        <v>0.9</v>
      </c>
    </row>
    <row r="3624" spans="1:6">
      <c r="A3624">
        <v>3740</v>
      </c>
      <c r="B3624">
        <v>322014270</v>
      </c>
      <c r="C3624">
        <v>2014</v>
      </c>
      <c r="D3624" t="s">
        <v>31</v>
      </c>
      <c r="F3624">
        <v>0.19</v>
      </c>
    </row>
    <row r="3625" spans="1:6">
      <c r="A3625">
        <v>3730</v>
      </c>
      <c r="B3625">
        <v>322014270</v>
      </c>
      <c r="C3625">
        <v>2014</v>
      </c>
      <c r="D3625" t="s">
        <v>31</v>
      </c>
      <c r="F3625">
        <v>0.98</v>
      </c>
    </row>
    <row r="3626" spans="1:6">
      <c r="A3626">
        <v>3733</v>
      </c>
      <c r="B3626">
        <v>322014270</v>
      </c>
      <c r="C3626">
        <v>2014</v>
      </c>
      <c r="D3626" t="s">
        <v>31</v>
      </c>
      <c r="F3626">
        <v>2</v>
      </c>
    </row>
    <row r="3627" spans="1:6">
      <c r="A3627">
        <v>3734</v>
      </c>
      <c r="B3627">
        <v>322014270</v>
      </c>
      <c r="C3627">
        <v>2014</v>
      </c>
      <c r="D3627" t="s">
        <v>31</v>
      </c>
      <c r="F3627">
        <v>8</v>
      </c>
    </row>
    <row r="3628" spans="1:6">
      <c r="A3628">
        <v>3736</v>
      </c>
      <c r="B3628">
        <v>322014270</v>
      </c>
      <c r="C3628">
        <v>2014</v>
      </c>
      <c r="D3628" t="s">
        <v>31</v>
      </c>
      <c r="F3628">
        <v>6</v>
      </c>
    </row>
    <row r="3629" spans="1:6">
      <c r="A3629">
        <v>3742</v>
      </c>
      <c r="B3629">
        <v>322014270</v>
      </c>
      <c r="C3629">
        <v>2014</v>
      </c>
      <c r="D3629" t="s">
        <v>31</v>
      </c>
      <c r="F3629">
        <v>0.6</v>
      </c>
    </row>
    <row r="3630" spans="1:6">
      <c r="A3630">
        <v>3756</v>
      </c>
      <c r="B3630">
        <v>322014270</v>
      </c>
      <c r="C3630">
        <v>2014</v>
      </c>
      <c r="D3630" t="s">
        <v>31</v>
      </c>
      <c r="E3630">
        <v>19</v>
      </c>
      <c r="F3630">
        <v>1</v>
      </c>
    </row>
    <row r="3631" spans="1:6">
      <c r="A3631">
        <v>3738</v>
      </c>
      <c r="B3631">
        <v>322014270</v>
      </c>
      <c r="C3631">
        <v>2014</v>
      </c>
      <c r="D3631" t="s">
        <v>31</v>
      </c>
      <c r="E3631">
        <v>200</v>
      </c>
      <c r="F3631">
        <v>10</v>
      </c>
    </row>
    <row r="3632" spans="1:6">
      <c r="A3632">
        <v>3750</v>
      </c>
      <c r="B3632">
        <v>322014270</v>
      </c>
      <c r="C3632">
        <v>2014</v>
      </c>
      <c r="D3632" t="s">
        <v>31</v>
      </c>
      <c r="E3632">
        <v>30</v>
      </c>
      <c r="F3632">
        <v>1.5</v>
      </c>
    </row>
    <row r="3633" spans="1:6">
      <c r="A3633">
        <v>3765</v>
      </c>
      <c r="B3633">
        <v>322014270</v>
      </c>
      <c r="C3633">
        <v>2014</v>
      </c>
      <c r="D3633" t="s">
        <v>31</v>
      </c>
      <c r="E3633">
        <v>18</v>
      </c>
      <c r="F3633">
        <v>0.9</v>
      </c>
    </row>
    <row r="3634" spans="1:6">
      <c r="A3634">
        <v>3747</v>
      </c>
      <c r="B3634">
        <v>322014270</v>
      </c>
      <c r="C3634">
        <v>2014</v>
      </c>
      <c r="D3634" t="s">
        <v>31</v>
      </c>
      <c r="E3634">
        <v>40</v>
      </c>
      <c r="F3634">
        <v>2</v>
      </c>
    </row>
    <row r="3635" spans="1:6">
      <c r="A3635">
        <v>3753</v>
      </c>
      <c r="B3635">
        <v>322014270</v>
      </c>
      <c r="C3635">
        <v>2014</v>
      </c>
      <c r="D3635" t="s">
        <v>31</v>
      </c>
      <c r="E3635">
        <v>28</v>
      </c>
      <c r="F3635">
        <v>1.36</v>
      </c>
    </row>
    <row r="3636" spans="1:6">
      <c r="A3636">
        <v>3729</v>
      </c>
      <c r="B3636">
        <v>322014270</v>
      </c>
      <c r="C3636">
        <v>2014</v>
      </c>
      <c r="D3636" t="s">
        <v>31</v>
      </c>
      <c r="E3636">
        <v>697</v>
      </c>
      <c r="F3636">
        <v>38.84</v>
      </c>
    </row>
    <row r="3637" spans="1:6">
      <c r="A3637">
        <v>3759</v>
      </c>
      <c r="B3637">
        <v>322014270</v>
      </c>
      <c r="C3637">
        <v>2014</v>
      </c>
      <c r="D3637" t="s">
        <v>31</v>
      </c>
      <c r="E3637">
        <v>10</v>
      </c>
      <c r="F3637">
        <v>1</v>
      </c>
    </row>
    <row r="3638" spans="1:6">
      <c r="A3638">
        <v>3745</v>
      </c>
      <c r="B3638">
        <v>322014270</v>
      </c>
      <c r="C3638">
        <v>2014</v>
      </c>
      <c r="D3638" t="s">
        <v>31</v>
      </c>
      <c r="E3638">
        <v>25</v>
      </c>
      <c r="F3638">
        <v>2.5</v>
      </c>
    </row>
    <row r="3639" spans="1:6">
      <c r="A3639">
        <v>3763</v>
      </c>
      <c r="B3639">
        <v>322014270</v>
      </c>
      <c r="C3639">
        <v>2014</v>
      </c>
      <c r="D3639" t="s">
        <v>31</v>
      </c>
      <c r="E3639">
        <v>20</v>
      </c>
      <c r="F3639">
        <v>1</v>
      </c>
    </row>
    <row r="3640" spans="1:6">
      <c r="A3640">
        <v>3754</v>
      </c>
      <c r="B3640">
        <v>322014270</v>
      </c>
      <c r="C3640">
        <v>2014</v>
      </c>
      <c r="D3640" t="s">
        <v>31</v>
      </c>
      <c r="E3640">
        <v>26</v>
      </c>
      <c r="F3640">
        <v>1.29</v>
      </c>
    </row>
    <row r="3641" spans="1:6">
      <c r="A3641">
        <v>3751</v>
      </c>
      <c r="B3641">
        <v>322014270</v>
      </c>
      <c r="C3641">
        <v>2014</v>
      </c>
      <c r="D3641" t="s">
        <v>31</v>
      </c>
      <c r="E3641">
        <v>10</v>
      </c>
      <c r="F3641">
        <v>1.5</v>
      </c>
    </row>
    <row r="3642" spans="1:6">
      <c r="A3642">
        <v>3752</v>
      </c>
      <c r="B3642">
        <v>322014270</v>
      </c>
      <c r="C3642">
        <v>2014</v>
      </c>
      <c r="D3642" t="s">
        <v>31</v>
      </c>
      <c r="E3642">
        <v>12</v>
      </c>
      <c r="F3642">
        <v>1.5</v>
      </c>
    </row>
    <row r="3643" spans="1:6">
      <c r="A3643">
        <v>3762</v>
      </c>
      <c r="B3643">
        <v>322014270</v>
      </c>
      <c r="C3643">
        <v>2014</v>
      </c>
      <c r="D3643" t="s">
        <v>31</v>
      </c>
      <c r="E3643">
        <v>10</v>
      </c>
      <c r="F3643">
        <v>1</v>
      </c>
    </row>
    <row r="3644" spans="1:6">
      <c r="A3644">
        <v>3755</v>
      </c>
      <c r="B3644">
        <v>322014270</v>
      </c>
      <c r="C3644">
        <v>2014</v>
      </c>
      <c r="D3644" t="s">
        <v>31</v>
      </c>
      <c r="E3644">
        <v>10</v>
      </c>
      <c r="F3644">
        <v>1.14</v>
      </c>
    </row>
    <row r="3645" spans="1:6">
      <c r="A3645">
        <v>3758</v>
      </c>
      <c r="B3645">
        <v>322014270</v>
      </c>
      <c r="C3645">
        <v>2014</v>
      </c>
      <c r="D3645" t="s">
        <v>31</v>
      </c>
      <c r="E3645">
        <v>20</v>
      </c>
      <c r="F3645">
        <v>1</v>
      </c>
    </row>
    <row r="3646" spans="1:6">
      <c r="A3646">
        <v>3739</v>
      </c>
      <c r="B3646">
        <v>322014270</v>
      </c>
      <c r="C3646">
        <v>2014</v>
      </c>
      <c r="D3646" t="s">
        <v>31</v>
      </c>
      <c r="E3646">
        <v>194</v>
      </c>
      <c r="F3646">
        <v>10</v>
      </c>
    </row>
    <row r="3647" spans="1:6">
      <c r="A3647">
        <v>3748</v>
      </c>
      <c r="B3647">
        <v>322014270</v>
      </c>
      <c r="C3647">
        <v>2014</v>
      </c>
      <c r="D3647" t="s">
        <v>31</v>
      </c>
      <c r="E3647">
        <v>76</v>
      </c>
      <c r="F3647">
        <v>2</v>
      </c>
    </row>
    <row r="3648" spans="1:6">
      <c r="A3648">
        <v>3735</v>
      </c>
      <c r="B3648">
        <v>322014270</v>
      </c>
      <c r="C3648">
        <v>2014</v>
      </c>
      <c r="D3648" t="s">
        <v>31</v>
      </c>
      <c r="E3648">
        <v>92</v>
      </c>
      <c r="F3648">
        <v>10</v>
      </c>
    </row>
    <row r="3649" spans="1:6">
      <c r="A3649">
        <v>3764</v>
      </c>
      <c r="B3649">
        <v>322014270</v>
      </c>
      <c r="C3649">
        <v>2014</v>
      </c>
      <c r="D3649" t="s">
        <v>31</v>
      </c>
      <c r="E3649">
        <v>20</v>
      </c>
      <c r="F3649">
        <v>0.99</v>
      </c>
    </row>
    <row r="3650" spans="1:6">
      <c r="A3650">
        <v>3766</v>
      </c>
      <c r="B3650">
        <v>322014270</v>
      </c>
      <c r="C3650">
        <v>2014</v>
      </c>
      <c r="D3650" t="s">
        <v>31</v>
      </c>
      <c r="E3650">
        <v>17</v>
      </c>
      <c r="F3650">
        <v>0.86</v>
      </c>
    </row>
    <row r="3651" spans="1:6">
      <c r="A3651">
        <v>3767</v>
      </c>
      <c r="B3651">
        <v>322015110</v>
      </c>
      <c r="C3651">
        <v>2015</v>
      </c>
      <c r="D3651" t="s">
        <v>40</v>
      </c>
      <c r="E3651">
        <v>1</v>
      </c>
      <c r="F3651">
        <v>0.1</v>
      </c>
    </row>
    <row r="3652" spans="1:6">
      <c r="A3652">
        <v>3770</v>
      </c>
      <c r="B3652">
        <v>322015211</v>
      </c>
      <c r="C3652">
        <v>2015</v>
      </c>
      <c r="D3652" t="s">
        <v>37</v>
      </c>
      <c r="E3652">
        <v>1</v>
      </c>
      <c r="F3652">
        <v>13.5</v>
      </c>
    </row>
    <row r="3653" spans="1:6">
      <c r="A3653">
        <v>3768</v>
      </c>
      <c r="B3653">
        <v>322015211</v>
      </c>
      <c r="C3653">
        <v>2015</v>
      </c>
      <c r="D3653" t="s">
        <v>37</v>
      </c>
      <c r="E3653">
        <v>1</v>
      </c>
      <c r="F3653">
        <v>100</v>
      </c>
    </row>
    <row r="3654" spans="1:6">
      <c r="A3654">
        <v>3769</v>
      </c>
      <c r="B3654">
        <v>322015211</v>
      </c>
      <c r="C3654">
        <v>2015</v>
      </c>
      <c r="D3654" t="s">
        <v>37</v>
      </c>
      <c r="E3654">
        <v>2</v>
      </c>
      <c r="F3654">
        <v>124</v>
      </c>
    </row>
    <row r="3655" spans="1:6">
      <c r="A3655">
        <v>3772</v>
      </c>
      <c r="B3655">
        <v>322015221</v>
      </c>
      <c r="C3655">
        <v>2015</v>
      </c>
      <c r="D3655" t="s">
        <v>30</v>
      </c>
      <c r="E3655">
        <v>1</v>
      </c>
      <c r="F3655">
        <v>0.6</v>
      </c>
    </row>
    <row r="3656" spans="1:6">
      <c r="A3656">
        <v>3774</v>
      </c>
      <c r="B3656">
        <v>322015221</v>
      </c>
      <c r="C3656">
        <v>2015</v>
      </c>
      <c r="D3656" t="s">
        <v>30</v>
      </c>
      <c r="E3656">
        <v>2</v>
      </c>
      <c r="F3656">
        <v>95</v>
      </c>
    </row>
    <row r="3657" spans="1:6">
      <c r="A3657">
        <v>3773</v>
      </c>
      <c r="B3657">
        <v>322015221</v>
      </c>
      <c r="C3657">
        <v>2015</v>
      </c>
      <c r="D3657" t="s">
        <v>30</v>
      </c>
      <c r="E3657" t="s">
        <v>32</v>
      </c>
      <c r="F3657">
        <v>36</v>
      </c>
    </row>
    <row r="3658" spans="1:6">
      <c r="A3658">
        <v>3771</v>
      </c>
      <c r="B3658">
        <v>322015221</v>
      </c>
      <c r="C3658">
        <v>2015</v>
      </c>
      <c r="D3658" t="s">
        <v>30</v>
      </c>
      <c r="E3658">
        <v>2</v>
      </c>
      <c r="F3658">
        <v>84</v>
      </c>
    </row>
    <row r="3659" spans="1:6">
      <c r="A3659">
        <v>3779</v>
      </c>
      <c r="B3659">
        <v>322015241</v>
      </c>
      <c r="C3659">
        <v>2015</v>
      </c>
      <c r="D3659" t="s">
        <v>33</v>
      </c>
      <c r="E3659" t="s">
        <v>32</v>
      </c>
      <c r="F3659">
        <v>1.2</v>
      </c>
    </row>
    <row r="3660" spans="1:6">
      <c r="A3660">
        <v>3776</v>
      </c>
      <c r="B3660">
        <v>322015241</v>
      </c>
      <c r="C3660">
        <v>2015</v>
      </c>
      <c r="D3660" t="s">
        <v>33</v>
      </c>
      <c r="E3660">
        <v>1</v>
      </c>
      <c r="F3660">
        <v>0.6</v>
      </c>
    </row>
    <row r="3661" spans="1:6">
      <c r="A3661">
        <v>3775</v>
      </c>
      <c r="B3661">
        <v>322015241</v>
      </c>
      <c r="C3661">
        <v>2015</v>
      </c>
      <c r="D3661" t="s">
        <v>33</v>
      </c>
      <c r="E3661">
        <v>1</v>
      </c>
      <c r="F3661">
        <v>1.5</v>
      </c>
    </row>
    <row r="3662" spans="1:6">
      <c r="A3662">
        <v>3783</v>
      </c>
      <c r="B3662">
        <v>322015241</v>
      </c>
      <c r="C3662">
        <v>2015</v>
      </c>
      <c r="D3662" t="s">
        <v>33</v>
      </c>
      <c r="E3662" t="s">
        <v>32</v>
      </c>
      <c r="F3662">
        <v>9.8</v>
      </c>
    </row>
    <row r="3663" spans="1:6">
      <c r="A3663">
        <v>3780</v>
      </c>
      <c r="B3663">
        <v>322015241</v>
      </c>
      <c r="C3663">
        <v>2015</v>
      </c>
      <c r="D3663" t="s">
        <v>33</v>
      </c>
      <c r="E3663" t="s">
        <v>32</v>
      </c>
      <c r="F3663">
        <v>2</v>
      </c>
    </row>
    <row r="3664" spans="1:6">
      <c r="A3664">
        <v>3778</v>
      </c>
      <c r="B3664">
        <v>322015241</v>
      </c>
      <c r="C3664">
        <v>2015</v>
      </c>
      <c r="D3664" t="s">
        <v>33</v>
      </c>
      <c r="E3664">
        <v>1</v>
      </c>
      <c r="F3664">
        <v>0.6</v>
      </c>
    </row>
    <row r="3665" spans="1:6">
      <c r="A3665">
        <v>3777</v>
      </c>
      <c r="B3665">
        <v>322015241</v>
      </c>
      <c r="C3665">
        <v>2015</v>
      </c>
      <c r="D3665" t="s">
        <v>33</v>
      </c>
      <c r="E3665">
        <v>2</v>
      </c>
      <c r="F3665">
        <v>4</v>
      </c>
    </row>
    <row r="3666" spans="1:6">
      <c r="A3666">
        <v>3782</v>
      </c>
      <c r="B3666">
        <v>322015241</v>
      </c>
      <c r="C3666">
        <v>2015</v>
      </c>
      <c r="D3666" t="s">
        <v>33</v>
      </c>
      <c r="E3666" t="s">
        <v>32</v>
      </c>
      <c r="F3666">
        <v>0.6</v>
      </c>
    </row>
    <row r="3667" spans="1:6">
      <c r="A3667">
        <v>3785</v>
      </c>
      <c r="B3667">
        <v>322015241</v>
      </c>
      <c r="C3667">
        <v>2015</v>
      </c>
      <c r="D3667" t="s">
        <v>33</v>
      </c>
      <c r="E3667" t="s">
        <v>32</v>
      </c>
      <c r="F3667">
        <v>3</v>
      </c>
    </row>
    <row r="3668" spans="1:6">
      <c r="A3668">
        <v>3784</v>
      </c>
      <c r="B3668">
        <v>322015241</v>
      </c>
      <c r="C3668">
        <v>2015</v>
      </c>
      <c r="D3668" t="s">
        <v>33</v>
      </c>
      <c r="E3668" t="s">
        <v>32</v>
      </c>
      <c r="F3668">
        <v>5</v>
      </c>
    </row>
    <row r="3669" spans="1:6">
      <c r="A3669">
        <v>3781</v>
      </c>
      <c r="B3669">
        <v>322015241</v>
      </c>
      <c r="C3669">
        <v>2015</v>
      </c>
      <c r="D3669" t="s">
        <v>33</v>
      </c>
      <c r="E3669" t="s">
        <v>32</v>
      </c>
      <c r="F3669">
        <v>0.9</v>
      </c>
    </row>
    <row r="3670" spans="1:6">
      <c r="A3670">
        <v>3786</v>
      </c>
      <c r="B3670">
        <v>322015241</v>
      </c>
      <c r="C3670">
        <v>2015</v>
      </c>
      <c r="D3670" t="s">
        <v>33</v>
      </c>
      <c r="E3670" t="s">
        <v>32</v>
      </c>
      <c r="F3670">
        <v>0.9</v>
      </c>
    </row>
    <row r="3671" spans="1:6">
      <c r="A3671">
        <v>3788</v>
      </c>
      <c r="B3671">
        <v>322015242</v>
      </c>
      <c r="C3671">
        <v>2015</v>
      </c>
      <c r="D3671" t="s">
        <v>35</v>
      </c>
      <c r="E3671" t="s">
        <v>32</v>
      </c>
      <c r="F3671">
        <v>0.4</v>
      </c>
    </row>
    <row r="3672" spans="1:6">
      <c r="A3672">
        <v>3787</v>
      </c>
      <c r="B3672">
        <v>322015242</v>
      </c>
      <c r="C3672">
        <v>2015</v>
      </c>
      <c r="D3672" t="s">
        <v>35</v>
      </c>
      <c r="E3672" t="s">
        <v>32</v>
      </c>
      <c r="F3672">
        <v>1.8</v>
      </c>
    </row>
    <row r="3673" spans="1:6">
      <c r="A3673">
        <v>3789</v>
      </c>
      <c r="B3673">
        <v>322015243</v>
      </c>
      <c r="C3673">
        <v>2015</v>
      </c>
      <c r="D3673" t="s">
        <v>38</v>
      </c>
      <c r="E3673" t="s">
        <v>32</v>
      </c>
      <c r="F3673">
        <v>3</v>
      </c>
    </row>
    <row r="3674" spans="1:6">
      <c r="A3674">
        <v>3799</v>
      </c>
      <c r="B3674">
        <v>322015260</v>
      </c>
      <c r="C3674">
        <v>2015</v>
      </c>
      <c r="D3674" t="s">
        <v>34</v>
      </c>
      <c r="E3674" t="s">
        <v>32</v>
      </c>
      <c r="F3674">
        <v>4</v>
      </c>
    </row>
    <row r="3675" spans="1:6">
      <c r="A3675">
        <v>3793</v>
      </c>
      <c r="B3675">
        <v>322015260</v>
      </c>
      <c r="C3675">
        <v>2015</v>
      </c>
      <c r="D3675" t="s">
        <v>34</v>
      </c>
      <c r="E3675">
        <v>1</v>
      </c>
      <c r="F3675">
        <v>0.4</v>
      </c>
    </row>
    <row r="3676" spans="1:6">
      <c r="A3676">
        <v>3790</v>
      </c>
      <c r="B3676">
        <v>322015260</v>
      </c>
      <c r="C3676">
        <v>2015</v>
      </c>
      <c r="D3676" t="s">
        <v>34</v>
      </c>
      <c r="E3676">
        <v>1</v>
      </c>
      <c r="F3676">
        <v>0.21</v>
      </c>
    </row>
    <row r="3677" spans="1:6">
      <c r="A3677">
        <v>3798</v>
      </c>
      <c r="B3677">
        <v>322015260</v>
      </c>
      <c r="C3677">
        <v>2015</v>
      </c>
      <c r="D3677" t="s">
        <v>34</v>
      </c>
      <c r="E3677">
        <v>80</v>
      </c>
      <c r="F3677">
        <v>20</v>
      </c>
    </row>
    <row r="3678" spans="1:6">
      <c r="A3678">
        <v>3796</v>
      </c>
      <c r="B3678">
        <v>322015260</v>
      </c>
      <c r="C3678">
        <v>2015</v>
      </c>
      <c r="D3678" t="s">
        <v>34</v>
      </c>
      <c r="E3678">
        <v>24</v>
      </c>
      <c r="F3678">
        <v>5.04</v>
      </c>
    </row>
    <row r="3679" spans="1:6">
      <c r="A3679">
        <v>3797</v>
      </c>
      <c r="B3679">
        <v>322015260</v>
      </c>
      <c r="C3679">
        <v>2015</v>
      </c>
      <c r="D3679" t="s">
        <v>34</v>
      </c>
      <c r="E3679">
        <v>35</v>
      </c>
      <c r="F3679">
        <v>14</v>
      </c>
    </row>
    <row r="3680" spans="1:6">
      <c r="A3680">
        <v>3791</v>
      </c>
      <c r="B3680">
        <v>322015260</v>
      </c>
      <c r="C3680">
        <v>2015</v>
      </c>
      <c r="D3680" t="s">
        <v>34</v>
      </c>
      <c r="E3680">
        <v>23</v>
      </c>
      <c r="F3680">
        <v>4.83</v>
      </c>
    </row>
    <row r="3681" spans="1:6">
      <c r="A3681">
        <v>3792</v>
      </c>
      <c r="B3681">
        <v>322015260</v>
      </c>
      <c r="C3681">
        <v>2015</v>
      </c>
      <c r="D3681" t="s">
        <v>34</v>
      </c>
      <c r="E3681">
        <v>23</v>
      </c>
      <c r="F3681">
        <v>4.83</v>
      </c>
    </row>
    <row r="3682" spans="1:6">
      <c r="A3682">
        <v>3795</v>
      </c>
      <c r="B3682">
        <v>322015260</v>
      </c>
      <c r="C3682">
        <v>2015</v>
      </c>
      <c r="D3682" t="s">
        <v>34</v>
      </c>
      <c r="E3682">
        <v>33</v>
      </c>
      <c r="F3682">
        <v>4.95</v>
      </c>
    </row>
    <row r="3683" spans="1:6">
      <c r="A3683">
        <v>3794</v>
      </c>
      <c r="B3683">
        <v>322015260</v>
      </c>
      <c r="C3683">
        <v>2015</v>
      </c>
      <c r="D3683" t="s">
        <v>34</v>
      </c>
      <c r="E3683">
        <v>45</v>
      </c>
      <c r="F3683">
        <v>9.9</v>
      </c>
    </row>
    <row r="3684" spans="1:6">
      <c r="A3684">
        <v>3845</v>
      </c>
      <c r="B3684">
        <v>322015270</v>
      </c>
      <c r="C3684">
        <v>2015</v>
      </c>
      <c r="D3684" t="s">
        <v>31</v>
      </c>
      <c r="E3684" t="s">
        <v>32</v>
      </c>
      <c r="F3684">
        <v>0.7</v>
      </c>
    </row>
    <row r="3685" spans="1:6">
      <c r="A3685">
        <v>3820</v>
      </c>
      <c r="B3685">
        <v>322015270</v>
      </c>
      <c r="C3685">
        <v>2015</v>
      </c>
      <c r="D3685" t="s">
        <v>31</v>
      </c>
      <c r="E3685" t="s">
        <v>32</v>
      </c>
      <c r="F3685">
        <v>2.68</v>
      </c>
    </row>
    <row r="3686" spans="1:6">
      <c r="A3686">
        <v>3861</v>
      </c>
      <c r="B3686">
        <v>322015270</v>
      </c>
      <c r="C3686">
        <v>2015</v>
      </c>
      <c r="D3686" t="s">
        <v>31</v>
      </c>
      <c r="E3686" t="s">
        <v>32</v>
      </c>
      <c r="F3686">
        <v>0.75</v>
      </c>
    </row>
    <row r="3687" spans="1:6">
      <c r="A3687">
        <v>3823</v>
      </c>
      <c r="B3687">
        <v>322015270</v>
      </c>
      <c r="C3687">
        <v>2015</v>
      </c>
      <c r="D3687" t="s">
        <v>31</v>
      </c>
      <c r="E3687" t="s">
        <v>32</v>
      </c>
      <c r="F3687">
        <v>1.7</v>
      </c>
    </row>
    <row r="3688" spans="1:6">
      <c r="A3688">
        <v>3862</v>
      </c>
      <c r="B3688">
        <v>322015270</v>
      </c>
      <c r="C3688">
        <v>2015</v>
      </c>
      <c r="D3688" t="s">
        <v>31</v>
      </c>
      <c r="E3688" t="s">
        <v>32</v>
      </c>
      <c r="F3688">
        <v>0.4</v>
      </c>
    </row>
    <row r="3689" spans="1:6">
      <c r="A3689">
        <v>3822</v>
      </c>
      <c r="B3689">
        <v>322015270</v>
      </c>
      <c r="C3689">
        <v>2015</v>
      </c>
      <c r="D3689" t="s">
        <v>31</v>
      </c>
      <c r="E3689" t="s">
        <v>32</v>
      </c>
      <c r="F3689">
        <v>3</v>
      </c>
    </row>
    <row r="3690" spans="1:6">
      <c r="A3690">
        <v>3809</v>
      </c>
      <c r="B3690">
        <v>322015270</v>
      </c>
      <c r="C3690">
        <v>2015</v>
      </c>
      <c r="D3690" t="s">
        <v>31</v>
      </c>
      <c r="E3690" t="s">
        <v>32</v>
      </c>
      <c r="F3690">
        <v>1</v>
      </c>
    </row>
    <row r="3691" spans="1:6">
      <c r="A3691">
        <v>3821</v>
      </c>
      <c r="B3691">
        <v>322015270</v>
      </c>
      <c r="C3691">
        <v>2015</v>
      </c>
      <c r="D3691" t="s">
        <v>31</v>
      </c>
      <c r="E3691" t="s">
        <v>32</v>
      </c>
      <c r="F3691">
        <v>1.8</v>
      </c>
    </row>
    <row r="3692" spans="1:6">
      <c r="A3692">
        <v>3805</v>
      </c>
      <c r="B3692">
        <v>322015270</v>
      </c>
      <c r="C3692">
        <v>2015</v>
      </c>
      <c r="D3692" t="s">
        <v>31</v>
      </c>
      <c r="E3692" t="s">
        <v>32</v>
      </c>
      <c r="F3692">
        <v>1</v>
      </c>
    </row>
    <row r="3693" spans="1:6">
      <c r="A3693">
        <v>3825</v>
      </c>
      <c r="B3693">
        <v>322015270</v>
      </c>
      <c r="C3693">
        <v>2015</v>
      </c>
      <c r="D3693" t="s">
        <v>31</v>
      </c>
      <c r="E3693" t="s">
        <v>32</v>
      </c>
      <c r="F3693">
        <v>0.8</v>
      </c>
    </row>
    <row r="3694" spans="1:6">
      <c r="A3694">
        <v>3833</v>
      </c>
      <c r="B3694">
        <v>322015270</v>
      </c>
      <c r="C3694">
        <v>2015</v>
      </c>
      <c r="D3694" t="s">
        <v>31</v>
      </c>
      <c r="E3694" t="s">
        <v>32</v>
      </c>
      <c r="F3694">
        <v>0.6</v>
      </c>
    </row>
    <row r="3695" spans="1:6">
      <c r="A3695">
        <v>3813</v>
      </c>
      <c r="B3695">
        <v>322015270</v>
      </c>
      <c r="C3695">
        <v>2015</v>
      </c>
      <c r="D3695" t="s">
        <v>31</v>
      </c>
      <c r="E3695">
        <v>200</v>
      </c>
      <c r="F3695">
        <v>9.99</v>
      </c>
    </row>
    <row r="3696" spans="1:6">
      <c r="A3696">
        <v>3854</v>
      </c>
      <c r="B3696">
        <v>322015270</v>
      </c>
      <c r="C3696">
        <v>2015</v>
      </c>
      <c r="D3696" t="s">
        <v>31</v>
      </c>
      <c r="E3696" t="s">
        <v>32</v>
      </c>
      <c r="F3696">
        <v>2.7</v>
      </c>
    </row>
    <row r="3697" spans="1:6">
      <c r="A3697">
        <v>3831</v>
      </c>
      <c r="B3697">
        <v>322015270</v>
      </c>
      <c r="C3697">
        <v>2015</v>
      </c>
      <c r="D3697" t="s">
        <v>31</v>
      </c>
      <c r="E3697" t="s">
        <v>32</v>
      </c>
      <c r="F3697">
        <v>1.5</v>
      </c>
    </row>
    <row r="3698" spans="1:6">
      <c r="A3698">
        <v>3839</v>
      </c>
      <c r="B3698">
        <v>322015270</v>
      </c>
      <c r="C3698">
        <v>2015</v>
      </c>
      <c r="D3698" t="s">
        <v>31</v>
      </c>
      <c r="E3698" t="s">
        <v>32</v>
      </c>
      <c r="F3698">
        <v>1</v>
      </c>
    </row>
    <row r="3699" spans="1:6">
      <c r="A3699">
        <v>3829</v>
      </c>
      <c r="B3699">
        <v>322015270</v>
      </c>
      <c r="C3699">
        <v>2015</v>
      </c>
      <c r="D3699" t="s">
        <v>31</v>
      </c>
      <c r="E3699" t="s">
        <v>32</v>
      </c>
      <c r="F3699">
        <v>0.8</v>
      </c>
    </row>
    <row r="3700" spans="1:6">
      <c r="A3700">
        <v>3815</v>
      </c>
      <c r="B3700">
        <v>322015270</v>
      </c>
      <c r="C3700">
        <v>2015</v>
      </c>
      <c r="D3700" t="s">
        <v>31</v>
      </c>
      <c r="E3700" t="s">
        <v>32</v>
      </c>
      <c r="F3700">
        <v>9.8</v>
      </c>
    </row>
    <row r="3701" spans="1:6">
      <c r="A3701">
        <v>3814</v>
      </c>
      <c r="B3701">
        <v>322015270</v>
      </c>
      <c r="C3701">
        <v>2015</v>
      </c>
      <c r="D3701" t="s">
        <v>31</v>
      </c>
      <c r="E3701" t="s">
        <v>32</v>
      </c>
      <c r="F3701">
        <v>0.76</v>
      </c>
    </row>
    <row r="3702" spans="1:6">
      <c r="A3702">
        <v>3841</v>
      </c>
      <c r="B3702">
        <v>322015270</v>
      </c>
      <c r="C3702">
        <v>2015</v>
      </c>
      <c r="D3702" t="s">
        <v>31</v>
      </c>
      <c r="E3702" t="s">
        <v>32</v>
      </c>
      <c r="F3702">
        <v>2</v>
      </c>
    </row>
    <row r="3703" spans="1:6">
      <c r="A3703">
        <v>3843</v>
      </c>
      <c r="B3703">
        <v>322015270</v>
      </c>
      <c r="C3703">
        <v>2015</v>
      </c>
      <c r="D3703" t="s">
        <v>31</v>
      </c>
      <c r="E3703" t="s">
        <v>32</v>
      </c>
      <c r="F3703">
        <v>1</v>
      </c>
    </row>
    <row r="3704" spans="1:6">
      <c r="A3704">
        <v>3817</v>
      </c>
      <c r="B3704">
        <v>322015270</v>
      </c>
      <c r="C3704">
        <v>2015</v>
      </c>
      <c r="D3704" t="s">
        <v>31</v>
      </c>
      <c r="E3704" t="s">
        <v>32</v>
      </c>
      <c r="F3704">
        <v>15.77</v>
      </c>
    </row>
    <row r="3705" spans="1:6">
      <c r="A3705">
        <v>3859</v>
      </c>
      <c r="B3705">
        <v>322015270</v>
      </c>
      <c r="C3705">
        <v>2015</v>
      </c>
      <c r="D3705" t="s">
        <v>31</v>
      </c>
      <c r="E3705" t="s">
        <v>32</v>
      </c>
      <c r="F3705">
        <v>1.1</v>
      </c>
    </row>
    <row r="3706" spans="1:6">
      <c r="A3706">
        <v>3816</v>
      </c>
      <c r="B3706">
        <v>322015270</v>
      </c>
      <c r="C3706">
        <v>2015</v>
      </c>
      <c r="D3706" t="s">
        <v>31</v>
      </c>
      <c r="E3706" t="s">
        <v>32</v>
      </c>
      <c r="F3706">
        <v>1.43</v>
      </c>
    </row>
    <row r="3707" spans="1:6">
      <c r="A3707">
        <v>3818</v>
      </c>
      <c r="B3707">
        <v>322015270</v>
      </c>
      <c r="C3707">
        <v>2015</v>
      </c>
      <c r="D3707" t="s">
        <v>31</v>
      </c>
      <c r="E3707" t="s">
        <v>32</v>
      </c>
      <c r="F3707">
        <v>3.21</v>
      </c>
    </row>
    <row r="3708" spans="1:6">
      <c r="A3708">
        <v>3838</v>
      </c>
      <c r="B3708">
        <v>322015270</v>
      </c>
      <c r="C3708">
        <v>2015</v>
      </c>
      <c r="D3708" t="s">
        <v>31</v>
      </c>
      <c r="E3708" t="s">
        <v>32</v>
      </c>
      <c r="F3708">
        <v>1</v>
      </c>
    </row>
    <row r="3709" spans="1:6">
      <c r="A3709">
        <v>3819</v>
      </c>
      <c r="B3709">
        <v>322015270</v>
      </c>
      <c r="C3709">
        <v>2015</v>
      </c>
      <c r="D3709" t="s">
        <v>31</v>
      </c>
      <c r="E3709" t="s">
        <v>32</v>
      </c>
      <c r="F3709">
        <v>2.12</v>
      </c>
    </row>
    <row r="3710" spans="1:6">
      <c r="A3710">
        <v>3860</v>
      </c>
      <c r="B3710">
        <v>322015270</v>
      </c>
      <c r="C3710">
        <v>2015</v>
      </c>
      <c r="D3710" t="s">
        <v>31</v>
      </c>
      <c r="E3710" t="s">
        <v>32</v>
      </c>
      <c r="F3710">
        <v>0.75</v>
      </c>
    </row>
    <row r="3711" spans="1:6">
      <c r="A3711">
        <v>3842</v>
      </c>
      <c r="B3711">
        <v>322015270</v>
      </c>
      <c r="C3711">
        <v>2015</v>
      </c>
      <c r="D3711" t="s">
        <v>31</v>
      </c>
      <c r="E3711" t="s">
        <v>32</v>
      </c>
      <c r="F3711">
        <v>1.5</v>
      </c>
    </row>
    <row r="3712" spans="1:6">
      <c r="A3712">
        <v>3828</v>
      </c>
      <c r="B3712">
        <v>322015270</v>
      </c>
      <c r="C3712">
        <v>2015</v>
      </c>
      <c r="D3712" t="s">
        <v>31</v>
      </c>
      <c r="E3712" t="s">
        <v>32</v>
      </c>
      <c r="F3712">
        <v>1</v>
      </c>
    </row>
    <row r="3713" spans="1:6">
      <c r="A3713">
        <v>3837</v>
      </c>
      <c r="B3713">
        <v>322015270</v>
      </c>
      <c r="C3713">
        <v>2015</v>
      </c>
      <c r="D3713" t="s">
        <v>31</v>
      </c>
      <c r="E3713" t="s">
        <v>32</v>
      </c>
      <c r="F3713">
        <v>1</v>
      </c>
    </row>
    <row r="3714" spans="1:6">
      <c r="A3714">
        <v>3858</v>
      </c>
      <c r="B3714">
        <v>322015270</v>
      </c>
      <c r="C3714">
        <v>2015</v>
      </c>
      <c r="D3714" t="s">
        <v>31</v>
      </c>
      <c r="E3714" t="s">
        <v>32</v>
      </c>
      <c r="F3714">
        <v>1</v>
      </c>
    </row>
    <row r="3715" spans="1:6">
      <c r="A3715">
        <v>3803</v>
      </c>
      <c r="B3715">
        <v>322015270</v>
      </c>
      <c r="C3715">
        <v>2015</v>
      </c>
      <c r="D3715" t="s">
        <v>31</v>
      </c>
      <c r="E3715" t="s">
        <v>32</v>
      </c>
      <c r="F3715">
        <v>0.84</v>
      </c>
    </row>
    <row r="3716" spans="1:6">
      <c r="A3716">
        <v>3853</v>
      </c>
      <c r="B3716">
        <v>322015270</v>
      </c>
      <c r="C3716">
        <v>2015</v>
      </c>
      <c r="D3716" t="s">
        <v>31</v>
      </c>
      <c r="E3716" t="s">
        <v>32</v>
      </c>
      <c r="F3716">
        <v>1</v>
      </c>
    </row>
    <row r="3717" spans="1:6">
      <c r="A3717">
        <v>3855</v>
      </c>
      <c r="B3717">
        <v>322015270</v>
      </c>
      <c r="C3717">
        <v>2015</v>
      </c>
      <c r="D3717" t="s">
        <v>31</v>
      </c>
      <c r="E3717" t="s">
        <v>32</v>
      </c>
      <c r="F3717">
        <v>1</v>
      </c>
    </row>
    <row r="3718" spans="1:6">
      <c r="A3718">
        <v>3812</v>
      </c>
      <c r="B3718">
        <v>322015270</v>
      </c>
      <c r="C3718">
        <v>2015</v>
      </c>
      <c r="D3718" t="s">
        <v>31</v>
      </c>
      <c r="E3718">
        <v>60</v>
      </c>
      <c r="F3718">
        <v>3</v>
      </c>
    </row>
    <row r="3719" spans="1:6">
      <c r="A3719">
        <v>3808</v>
      </c>
      <c r="B3719">
        <v>322015270</v>
      </c>
      <c r="C3719">
        <v>2015</v>
      </c>
      <c r="D3719" t="s">
        <v>31</v>
      </c>
      <c r="E3719" t="s">
        <v>32</v>
      </c>
      <c r="F3719">
        <v>0.3</v>
      </c>
    </row>
    <row r="3720" spans="1:6">
      <c r="A3720">
        <v>3802</v>
      </c>
      <c r="B3720">
        <v>322015270</v>
      </c>
      <c r="C3720">
        <v>2015</v>
      </c>
      <c r="D3720" t="s">
        <v>31</v>
      </c>
      <c r="E3720" t="s">
        <v>32</v>
      </c>
      <c r="F3720">
        <v>0.8</v>
      </c>
    </row>
    <row r="3721" spans="1:6">
      <c r="A3721">
        <v>3848</v>
      </c>
      <c r="B3721">
        <v>322015270</v>
      </c>
      <c r="C3721">
        <v>2015</v>
      </c>
      <c r="D3721" t="s">
        <v>31</v>
      </c>
      <c r="E3721" t="s">
        <v>32</v>
      </c>
      <c r="F3721">
        <v>1.5</v>
      </c>
    </row>
    <row r="3722" spans="1:6">
      <c r="A3722">
        <v>3800</v>
      </c>
      <c r="B3722">
        <v>322015270</v>
      </c>
      <c r="C3722">
        <v>2015</v>
      </c>
      <c r="D3722" t="s">
        <v>31</v>
      </c>
      <c r="E3722" t="s">
        <v>32</v>
      </c>
      <c r="F3722">
        <v>3</v>
      </c>
    </row>
    <row r="3723" spans="1:6">
      <c r="A3723">
        <v>3807</v>
      </c>
      <c r="B3723">
        <v>322015270</v>
      </c>
      <c r="C3723">
        <v>2015</v>
      </c>
      <c r="D3723" t="s">
        <v>31</v>
      </c>
      <c r="E3723" t="s">
        <v>32</v>
      </c>
      <c r="F3723">
        <v>2</v>
      </c>
    </row>
    <row r="3724" spans="1:6">
      <c r="A3724">
        <v>3806</v>
      </c>
      <c r="B3724">
        <v>322015270</v>
      </c>
      <c r="C3724">
        <v>2015</v>
      </c>
      <c r="D3724" t="s">
        <v>31</v>
      </c>
      <c r="E3724" t="s">
        <v>32</v>
      </c>
      <c r="F3724">
        <v>9.88</v>
      </c>
    </row>
    <row r="3725" spans="1:6">
      <c r="A3725">
        <v>3811</v>
      </c>
      <c r="B3725">
        <v>322015270</v>
      </c>
      <c r="C3725">
        <v>2015</v>
      </c>
      <c r="D3725" t="s">
        <v>31</v>
      </c>
      <c r="E3725" t="s">
        <v>32</v>
      </c>
      <c r="F3725">
        <v>1.5</v>
      </c>
    </row>
    <row r="3726" spans="1:6">
      <c r="A3726">
        <v>3801</v>
      </c>
      <c r="B3726">
        <v>322015270</v>
      </c>
      <c r="C3726">
        <v>2015</v>
      </c>
      <c r="D3726" t="s">
        <v>31</v>
      </c>
      <c r="E3726" t="s">
        <v>32</v>
      </c>
      <c r="F3726">
        <v>0.5</v>
      </c>
    </row>
    <row r="3727" spans="1:6">
      <c r="A3727">
        <v>3804</v>
      </c>
      <c r="B3727">
        <v>322015270</v>
      </c>
      <c r="C3727">
        <v>2015</v>
      </c>
      <c r="D3727" t="s">
        <v>31</v>
      </c>
      <c r="E3727" t="s">
        <v>32</v>
      </c>
      <c r="F3727">
        <v>0.14</v>
      </c>
    </row>
    <row r="3728" spans="1:6">
      <c r="A3728">
        <v>3810</v>
      </c>
      <c r="B3728">
        <v>322015270</v>
      </c>
      <c r="C3728">
        <v>2015</v>
      </c>
      <c r="D3728" t="s">
        <v>31</v>
      </c>
      <c r="E3728" t="s">
        <v>32</v>
      </c>
      <c r="F3728">
        <v>0.8</v>
      </c>
    </row>
    <row r="3729" spans="1:6">
      <c r="A3729">
        <v>3824</v>
      </c>
      <c r="B3729">
        <v>322015270</v>
      </c>
      <c r="C3729">
        <v>2015</v>
      </c>
      <c r="D3729" t="s">
        <v>31</v>
      </c>
      <c r="E3729" t="s">
        <v>32</v>
      </c>
      <c r="F3729">
        <v>2</v>
      </c>
    </row>
    <row r="3730" spans="1:6">
      <c r="A3730">
        <v>3851</v>
      </c>
      <c r="B3730">
        <v>322015270</v>
      </c>
      <c r="C3730">
        <v>2015</v>
      </c>
      <c r="D3730" t="s">
        <v>31</v>
      </c>
      <c r="E3730" t="s">
        <v>32</v>
      </c>
      <c r="F3730">
        <v>3</v>
      </c>
    </row>
    <row r="3731" spans="1:6">
      <c r="A3731">
        <v>3852</v>
      </c>
      <c r="B3731">
        <v>322015270</v>
      </c>
      <c r="C3731">
        <v>2015</v>
      </c>
      <c r="D3731" t="s">
        <v>31</v>
      </c>
      <c r="E3731" t="s">
        <v>32</v>
      </c>
      <c r="F3731">
        <v>2</v>
      </c>
    </row>
    <row r="3732" spans="1:6">
      <c r="A3732">
        <v>3857</v>
      </c>
      <c r="B3732">
        <v>322015270</v>
      </c>
      <c r="C3732">
        <v>2015</v>
      </c>
      <c r="D3732" t="s">
        <v>31</v>
      </c>
      <c r="E3732" t="s">
        <v>32</v>
      </c>
      <c r="F3732">
        <v>2</v>
      </c>
    </row>
    <row r="3733" spans="1:6">
      <c r="A3733">
        <v>3834</v>
      </c>
      <c r="B3733">
        <v>322015270</v>
      </c>
      <c r="C3733">
        <v>2015</v>
      </c>
      <c r="D3733" t="s">
        <v>31</v>
      </c>
      <c r="E3733" t="s">
        <v>32</v>
      </c>
      <c r="F3733">
        <v>2</v>
      </c>
    </row>
    <row r="3734" spans="1:6">
      <c r="A3734">
        <v>3847</v>
      </c>
      <c r="B3734">
        <v>322015270</v>
      </c>
      <c r="C3734">
        <v>2015</v>
      </c>
      <c r="D3734" t="s">
        <v>31</v>
      </c>
      <c r="E3734" t="s">
        <v>32</v>
      </c>
      <c r="F3734">
        <v>1</v>
      </c>
    </row>
    <row r="3735" spans="1:6">
      <c r="A3735">
        <v>3849</v>
      </c>
      <c r="B3735">
        <v>322015270</v>
      </c>
      <c r="C3735">
        <v>2015</v>
      </c>
      <c r="D3735" t="s">
        <v>31</v>
      </c>
      <c r="E3735" t="s">
        <v>32</v>
      </c>
      <c r="F3735">
        <v>2</v>
      </c>
    </row>
    <row r="3736" spans="1:6">
      <c r="A3736">
        <v>3850</v>
      </c>
      <c r="B3736">
        <v>322015270</v>
      </c>
      <c r="C3736">
        <v>2015</v>
      </c>
      <c r="D3736" t="s">
        <v>31</v>
      </c>
      <c r="E3736" t="s">
        <v>32</v>
      </c>
      <c r="F3736">
        <v>1.5</v>
      </c>
    </row>
    <row r="3737" spans="1:6">
      <c r="A3737">
        <v>3856</v>
      </c>
      <c r="B3737">
        <v>322015270</v>
      </c>
      <c r="C3737">
        <v>2015</v>
      </c>
      <c r="D3737" t="s">
        <v>31</v>
      </c>
      <c r="E3737" t="s">
        <v>32</v>
      </c>
      <c r="F3737">
        <v>2</v>
      </c>
    </row>
    <row r="3738" spans="1:6">
      <c r="A3738">
        <v>3832</v>
      </c>
      <c r="B3738">
        <v>322015270</v>
      </c>
      <c r="C3738">
        <v>2015</v>
      </c>
      <c r="D3738" t="s">
        <v>31</v>
      </c>
      <c r="E3738" t="s">
        <v>32</v>
      </c>
      <c r="F3738">
        <v>1.4</v>
      </c>
    </row>
    <row r="3739" spans="1:6">
      <c r="A3739">
        <v>3830</v>
      </c>
      <c r="B3739">
        <v>322015270</v>
      </c>
      <c r="C3739">
        <v>2015</v>
      </c>
      <c r="D3739" t="s">
        <v>31</v>
      </c>
      <c r="E3739" t="s">
        <v>32</v>
      </c>
      <c r="F3739">
        <v>0.75</v>
      </c>
    </row>
    <row r="3740" spans="1:6">
      <c r="A3740">
        <v>3863</v>
      </c>
      <c r="B3740">
        <v>322015270</v>
      </c>
      <c r="C3740">
        <v>2015</v>
      </c>
      <c r="D3740" t="s">
        <v>31</v>
      </c>
      <c r="E3740" t="s">
        <v>32</v>
      </c>
      <c r="F3740">
        <v>0.3</v>
      </c>
    </row>
    <row r="3741" spans="1:6">
      <c r="A3741">
        <v>3835</v>
      </c>
      <c r="B3741">
        <v>322015270</v>
      </c>
      <c r="C3741">
        <v>2015</v>
      </c>
      <c r="D3741" t="s">
        <v>31</v>
      </c>
      <c r="E3741" t="s">
        <v>32</v>
      </c>
      <c r="F3741">
        <v>1</v>
      </c>
    </row>
    <row r="3742" spans="1:6">
      <c r="A3742">
        <v>3836</v>
      </c>
      <c r="B3742">
        <v>322015270</v>
      </c>
      <c r="C3742">
        <v>2015</v>
      </c>
      <c r="D3742" t="s">
        <v>31</v>
      </c>
      <c r="E3742" t="s">
        <v>32</v>
      </c>
      <c r="F3742">
        <v>1.8</v>
      </c>
    </row>
    <row r="3743" spans="1:6">
      <c r="A3743">
        <v>3826</v>
      </c>
      <c r="B3743">
        <v>322015270</v>
      </c>
      <c r="C3743">
        <v>2015</v>
      </c>
      <c r="D3743" t="s">
        <v>31</v>
      </c>
      <c r="E3743" t="s">
        <v>32</v>
      </c>
      <c r="F3743">
        <v>0.25</v>
      </c>
    </row>
    <row r="3744" spans="1:6">
      <c r="A3744">
        <v>3827</v>
      </c>
      <c r="B3744">
        <v>322015270</v>
      </c>
      <c r="C3744">
        <v>2015</v>
      </c>
      <c r="D3744" t="s">
        <v>31</v>
      </c>
      <c r="E3744" t="s">
        <v>32</v>
      </c>
      <c r="F3744">
        <v>1.88</v>
      </c>
    </row>
    <row r="3745" spans="1:6">
      <c r="A3745">
        <v>3844</v>
      </c>
      <c r="B3745">
        <v>322015270</v>
      </c>
      <c r="C3745">
        <v>2015</v>
      </c>
      <c r="D3745" t="s">
        <v>31</v>
      </c>
      <c r="E3745" t="s">
        <v>32</v>
      </c>
      <c r="F3745">
        <v>1</v>
      </c>
    </row>
    <row r="3746" spans="1:6">
      <c r="A3746">
        <v>3846</v>
      </c>
      <c r="B3746">
        <v>322015270</v>
      </c>
      <c r="C3746">
        <v>2015</v>
      </c>
      <c r="D3746" t="s">
        <v>31</v>
      </c>
      <c r="E3746" t="s">
        <v>32</v>
      </c>
      <c r="F3746">
        <v>1</v>
      </c>
    </row>
    <row r="3747" spans="1:6">
      <c r="A3747">
        <v>3840</v>
      </c>
      <c r="B3747">
        <v>322015270</v>
      </c>
      <c r="C3747">
        <v>2015</v>
      </c>
      <c r="D3747" t="s">
        <v>31</v>
      </c>
      <c r="E3747" t="s">
        <v>32</v>
      </c>
      <c r="F3747">
        <v>1</v>
      </c>
    </row>
    <row r="3748" spans="1:6">
      <c r="A3748">
        <v>3865</v>
      </c>
      <c r="B3748">
        <v>322016211</v>
      </c>
      <c r="C3748" s="76">
        <v>2016</v>
      </c>
      <c r="D3748" s="76" t="s">
        <v>37</v>
      </c>
      <c r="E3748" s="76">
        <v>1</v>
      </c>
      <c r="F3748" s="76">
        <v>100</v>
      </c>
    </row>
    <row r="3749" spans="1:6">
      <c r="A3749">
        <v>3867</v>
      </c>
      <c r="B3749">
        <v>322016211</v>
      </c>
      <c r="C3749" s="76">
        <v>2016</v>
      </c>
      <c r="D3749" s="76" t="s">
        <v>37</v>
      </c>
      <c r="E3749" s="76" t="s">
        <v>32</v>
      </c>
      <c r="F3749" s="76">
        <v>27</v>
      </c>
    </row>
    <row r="3750" spans="1:6">
      <c r="A3750">
        <v>3866</v>
      </c>
      <c r="B3750">
        <v>322016211</v>
      </c>
      <c r="C3750" s="76">
        <v>2016</v>
      </c>
      <c r="D3750" s="76" t="s">
        <v>37</v>
      </c>
      <c r="E3750" s="76">
        <v>2</v>
      </c>
      <c r="F3750" s="76">
        <v>10</v>
      </c>
    </row>
    <row r="3751" spans="1:6">
      <c r="A3751">
        <v>3868</v>
      </c>
      <c r="B3751">
        <v>322016221</v>
      </c>
      <c r="C3751" s="76">
        <v>2016</v>
      </c>
      <c r="D3751" s="76" t="s">
        <v>30</v>
      </c>
      <c r="E3751" s="76">
        <v>1</v>
      </c>
      <c r="F3751" s="76">
        <v>0.6</v>
      </c>
    </row>
    <row r="3752" spans="1:6">
      <c r="A3752">
        <v>3869</v>
      </c>
      <c r="B3752">
        <v>322016221</v>
      </c>
      <c r="C3752" s="76">
        <v>2016</v>
      </c>
      <c r="D3752" s="76" t="s">
        <v>30</v>
      </c>
      <c r="E3752" s="76">
        <v>2</v>
      </c>
      <c r="F3752" s="76">
        <v>44</v>
      </c>
    </row>
    <row r="3753" spans="1:6">
      <c r="A3753">
        <v>3870</v>
      </c>
      <c r="B3753">
        <v>322016221</v>
      </c>
      <c r="C3753" s="76">
        <v>2016</v>
      </c>
      <c r="D3753" s="76" t="s">
        <v>30</v>
      </c>
      <c r="E3753" s="76" t="s">
        <v>32</v>
      </c>
      <c r="F3753" s="76">
        <v>42</v>
      </c>
    </row>
    <row r="3754" spans="1:6">
      <c r="A3754">
        <v>3884</v>
      </c>
      <c r="B3754">
        <v>322016241</v>
      </c>
      <c r="C3754" s="76">
        <v>2016</v>
      </c>
      <c r="D3754" s="76" t="s">
        <v>33</v>
      </c>
      <c r="E3754" s="76" t="s">
        <v>32</v>
      </c>
      <c r="F3754" s="76">
        <v>1</v>
      </c>
    </row>
    <row r="3755" spans="1:6">
      <c r="A3755">
        <v>3880</v>
      </c>
      <c r="B3755">
        <v>322016241</v>
      </c>
      <c r="C3755" s="76">
        <v>2016</v>
      </c>
      <c r="D3755" s="76" t="s">
        <v>33</v>
      </c>
      <c r="E3755" s="76" t="s">
        <v>32</v>
      </c>
      <c r="F3755" s="76">
        <v>1.5</v>
      </c>
    </row>
    <row r="3756" spans="1:6">
      <c r="A3756">
        <v>3873</v>
      </c>
      <c r="B3756">
        <v>322016241</v>
      </c>
      <c r="C3756" s="76">
        <v>2016</v>
      </c>
      <c r="D3756" s="76" t="s">
        <v>33</v>
      </c>
      <c r="E3756" s="76" t="s">
        <v>32</v>
      </c>
      <c r="F3756" s="76">
        <v>1.5</v>
      </c>
    </row>
    <row r="3757" spans="1:6">
      <c r="A3757">
        <v>3875</v>
      </c>
      <c r="B3757">
        <v>322016241</v>
      </c>
      <c r="C3757" s="76">
        <v>2016</v>
      </c>
      <c r="D3757" s="76" t="s">
        <v>33</v>
      </c>
      <c r="E3757" s="76" t="s">
        <v>32</v>
      </c>
      <c r="F3757" s="76">
        <v>0.6</v>
      </c>
    </row>
    <row r="3758" spans="1:6">
      <c r="A3758">
        <v>3877</v>
      </c>
      <c r="B3758">
        <v>322016241</v>
      </c>
      <c r="C3758" s="76">
        <v>2016</v>
      </c>
      <c r="D3758" s="76" t="s">
        <v>33</v>
      </c>
      <c r="E3758" s="76" t="s">
        <v>32</v>
      </c>
      <c r="F3758" s="76">
        <v>1.2</v>
      </c>
    </row>
    <row r="3759" spans="1:6">
      <c r="A3759">
        <v>3885</v>
      </c>
      <c r="B3759">
        <v>322016241</v>
      </c>
      <c r="C3759" s="76">
        <v>2016</v>
      </c>
      <c r="D3759" s="76" t="s">
        <v>33</v>
      </c>
      <c r="E3759" s="76"/>
      <c r="F3759" s="76">
        <v>2.5</v>
      </c>
    </row>
    <row r="3760" spans="1:6">
      <c r="A3760">
        <v>3872</v>
      </c>
      <c r="B3760">
        <v>322016241</v>
      </c>
      <c r="C3760" s="76">
        <v>2016</v>
      </c>
      <c r="D3760" s="76" t="s">
        <v>33</v>
      </c>
      <c r="E3760" s="76" t="s">
        <v>32</v>
      </c>
      <c r="F3760" s="76">
        <v>0.6</v>
      </c>
    </row>
    <row r="3761" spans="1:6">
      <c r="A3761">
        <v>3879</v>
      </c>
      <c r="B3761">
        <v>322016241</v>
      </c>
      <c r="C3761" s="76">
        <v>2016</v>
      </c>
      <c r="D3761" s="76" t="s">
        <v>33</v>
      </c>
      <c r="E3761" s="76" t="s">
        <v>32</v>
      </c>
      <c r="F3761" s="76">
        <v>55.5</v>
      </c>
    </row>
    <row r="3762" spans="1:6">
      <c r="A3762">
        <v>3878</v>
      </c>
      <c r="B3762">
        <v>322016241</v>
      </c>
      <c r="C3762" s="76">
        <v>2016</v>
      </c>
      <c r="D3762" s="76" t="s">
        <v>33</v>
      </c>
      <c r="E3762" s="76" t="s">
        <v>32</v>
      </c>
      <c r="F3762" s="76">
        <v>70</v>
      </c>
    </row>
    <row r="3763" spans="1:6">
      <c r="A3763">
        <v>3882</v>
      </c>
      <c r="B3763">
        <v>322016241</v>
      </c>
      <c r="C3763" s="76">
        <v>2016</v>
      </c>
      <c r="D3763" s="76" t="s">
        <v>33</v>
      </c>
      <c r="E3763" s="76" t="s">
        <v>32</v>
      </c>
      <c r="F3763" s="76">
        <v>3.6</v>
      </c>
    </row>
    <row r="3764" spans="1:6">
      <c r="A3764">
        <v>3883</v>
      </c>
      <c r="B3764">
        <v>322016241</v>
      </c>
      <c r="C3764" s="76">
        <v>2016</v>
      </c>
      <c r="D3764" s="76" t="s">
        <v>33</v>
      </c>
      <c r="E3764" s="76" t="s">
        <v>32</v>
      </c>
      <c r="F3764" s="76">
        <v>2.5</v>
      </c>
    </row>
    <row r="3765" spans="1:6">
      <c r="A3765">
        <v>3871</v>
      </c>
      <c r="B3765">
        <v>322016241</v>
      </c>
      <c r="C3765" s="76">
        <v>2016</v>
      </c>
      <c r="D3765" s="76" t="s">
        <v>33</v>
      </c>
      <c r="E3765" s="76" t="s">
        <v>32</v>
      </c>
      <c r="F3765" s="76">
        <v>3</v>
      </c>
    </row>
    <row r="3766" spans="1:6">
      <c r="A3766">
        <v>3874</v>
      </c>
      <c r="B3766">
        <v>322016241</v>
      </c>
      <c r="C3766" s="76">
        <v>2016</v>
      </c>
      <c r="D3766" s="76" t="s">
        <v>33</v>
      </c>
      <c r="E3766" s="76" t="s">
        <v>32</v>
      </c>
      <c r="F3766" s="76">
        <v>3</v>
      </c>
    </row>
    <row r="3767" spans="1:6">
      <c r="A3767">
        <v>3876</v>
      </c>
      <c r="B3767">
        <v>322016241</v>
      </c>
      <c r="C3767" s="76">
        <v>2016</v>
      </c>
      <c r="D3767" s="76" t="s">
        <v>33</v>
      </c>
      <c r="E3767" s="76" t="s">
        <v>32</v>
      </c>
      <c r="F3767" s="76">
        <v>1.5</v>
      </c>
    </row>
    <row r="3768" spans="1:6">
      <c r="A3768">
        <v>3881</v>
      </c>
      <c r="B3768">
        <v>322016241</v>
      </c>
      <c r="C3768" s="76">
        <v>2016</v>
      </c>
      <c r="D3768" s="76" t="s">
        <v>33</v>
      </c>
      <c r="E3768" s="76" t="s">
        <v>32</v>
      </c>
      <c r="F3768" s="76">
        <v>0.7</v>
      </c>
    </row>
    <row r="3769" spans="1:6">
      <c r="A3769">
        <v>3887</v>
      </c>
      <c r="B3769">
        <v>322016242</v>
      </c>
      <c r="C3769" s="76">
        <v>2016</v>
      </c>
      <c r="D3769" s="76" t="s">
        <v>35</v>
      </c>
      <c r="E3769" s="76" t="s">
        <v>32</v>
      </c>
      <c r="F3769" s="76">
        <v>0.6</v>
      </c>
    </row>
    <row r="3770" spans="1:6">
      <c r="A3770">
        <v>3888</v>
      </c>
      <c r="B3770">
        <v>322016243</v>
      </c>
      <c r="C3770" s="76">
        <v>2016</v>
      </c>
      <c r="D3770" s="76" t="s">
        <v>38</v>
      </c>
      <c r="E3770" s="76" t="s">
        <v>32</v>
      </c>
      <c r="F3770" s="76">
        <v>0.3</v>
      </c>
    </row>
    <row r="3771" spans="1:6">
      <c r="A3771">
        <v>3891</v>
      </c>
      <c r="B3771">
        <v>322016243</v>
      </c>
      <c r="C3771" s="76">
        <v>2016</v>
      </c>
      <c r="D3771" s="76" t="s">
        <v>38</v>
      </c>
      <c r="E3771" s="76" t="s">
        <v>32</v>
      </c>
      <c r="F3771" s="76">
        <v>2</v>
      </c>
    </row>
    <row r="3772" spans="1:6">
      <c r="A3772">
        <v>3889</v>
      </c>
      <c r="B3772">
        <v>322016243</v>
      </c>
      <c r="C3772" s="76">
        <v>2016</v>
      </c>
      <c r="D3772" s="76" t="s">
        <v>38</v>
      </c>
      <c r="E3772" s="76" t="s">
        <v>32</v>
      </c>
      <c r="F3772" s="76">
        <v>3</v>
      </c>
    </row>
    <row r="3773" spans="1:6">
      <c r="A3773">
        <v>3890</v>
      </c>
      <c r="B3773">
        <v>322016243</v>
      </c>
      <c r="C3773" s="76">
        <v>2016</v>
      </c>
      <c r="D3773" s="76" t="s">
        <v>38</v>
      </c>
      <c r="E3773" s="76" t="s">
        <v>32</v>
      </c>
      <c r="F3773" s="76">
        <v>1.2</v>
      </c>
    </row>
    <row r="3774" spans="1:6">
      <c r="A3774">
        <v>3894</v>
      </c>
      <c r="B3774">
        <v>322016260</v>
      </c>
      <c r="C3774" s="76">
        <v>2016</v>
      </c>
      <c r="D3774" s="76" t="s">
        <v>34</v>
      </c>
      <c r="E3774" s="76" t="s">
        <v>32</v>
      </c>
      <c r="F3774" s="76">
        <v>1</v>
      </c>
    </row>
    <row r="3775" spans="1:6">
      <c r="A3775">
        <v>3907</v>
      </c>
      <c r="B3775">
        <v>322016260</v>
      </c>
      <c r="C3775" s="76">
        <v>2016</v>
      </c>
      <c r="D3775" s="76" t="s">
        <v>34</v>
      </c>
      <c r="E3775" s="76" t="s">
        <v>32</v>
      </c>
      <c r="F3775" s="76">
        <v>1.6</v>
      </c>
    </row>
    <row r="3776" spans="1:6">
      <c r="A3776">
        <v>3908</v>
      </c>
      <c r="B3776">
        <v>322016260</v>
      </c>
      <c r="C3776" s="76">
        <v>2016</v>
      </c>
      <c r="D3776" s="76" t="s">
        <v>34</v>
      </c>
      <c r="E3776" s="76" t="s">
        <v>32</v>
      </c>
      <c r="F3776" s="76">
        <v>3.6</v>
      </c>
    </row>
    <row r="3777" spans="1:6">
      <c r="A3777">
        <v>3900</v>
      </c>
      <c r="B3777">
        <v>322016260</v>
      </c>
      <c r="C3777" s="76">
        <v>2016</v>
      </c>
      <c r="D3777" s="76" t="s">
        <v>34</v>
      </c>
      <c r="E3777" s="76">
        <v>62</v>
      </c>
      <c r="F3777" s="76">
        <v>15.5</v>
      </c>
    </row>
    <row r="3778" spans="1:6">
      <c r="A3778">
        <v>3898</v>
      </c>
      <c r="B3778">
        <v>322016260</v>
      </c>
      <c r="C3778" s="76">
        <v>2016</v>
      </c>
      <c r="D3778" s="76" t="s">
        <v>34</v>
      </c>
      <c r="E3778" s="76" t="s">
        <v>32</v>
      </c>
      <c r="F3778" s="76">
        <v>4.4</v>
      </c>
    </row>
    <row r="3779" spans="1:6">
      <c r="A3779">
        <v>3899</v>
      </c>
      <c r="B3779">
        <v>322016260</v>
      </c>
      <c r="C3779" s="76">
        <v>2016</v>
      </c>
      <c r="D3779" s="76" t="s">
        <v>34</v>
      </c>
      <c r="E3779" s="76">
        <v>3</v>
      </c>
      <c r="F3779" s="76">
        <v>0.6</v>
      </c>
    </row>
    <row r="3780" spans="1:6">
      <c r="A3780">
        <v>3906</v>
      </c>
      <c r="B3780">
        <v>322016260</v>
      </c>
      <c r="C3780" s="76">
        <v>2016</v>
      </c>
      <c r="D3780" s="76" t="s">
        <v>34</v>
      </c>
      <c r="E3780" s="76" t="s">
        <v>32</v>
      </c>
      <c r="F3780" s="76">
        <v>0.6</v>
      </c>
    </row>
    <row r="3781" spans="1:6">
      <c r="A3781">
        <v>3901</v>
      </c>
      <c r="B3781">
        <v>322016260</v>
      </c>
      <c r="C3781" s="76">
        <v>2016</v>
      </c>
      <c r="D3781" s="76" t="s">
        <v>34</v>
      </c>
      <c r="E3781" s="76">
        <v>25</v>
      </c>
      <c r="F3781" s="76">
        <v>5</v>
      </c>
    </row>
    <row r="3782" spans="1:6">
      <c r="A3782">
        <v>3904</v>
      </c>
      <c r="B3782">
        <v>322016260</v>
      </c>
      <c r="C3782" s="76">
        <v>2016</v>
      </c>
      <c r="D3782" s="76" t="s">
        <v>34</v>
      </c>
      <c r="E3782" s="76">
        <v>38</v>
      </c>
      <c r="F3782" s="76">
        <v>15.2</v>
      </c>
    </row>
    <row r="3783" spans="1:6">
      <c r="A3783">
        <v>3895</v>
      </c>
      <c r="B3783">
        <v>322016260</v>
      </c>
      <c r="C3783" s="76">
        <v>2016</v>
      </c>
      <c r="D3783" s="76" t="s">
        <v>34</v>
      </c>
      <c r="E3783" s="76">
        <v>23</v>
      </c>
      <c r="F3783" s="76">
        <v>4.83</v>
      </c>
    </row>
    <row r="3784" spans="1:6">
      <c r="A3784">
        <v>3902</v>
      </c>
      <c r="B3784">
        <v>322016260</v>
      </c>
      <c r="C3784" s="76">
        <v>2016</v>
      </c>
      <c r="D3784" s="76" t="s">
        <v>34</v>
      </c>
      <c r="E3784" s="76">
        <v>25</v>
      </c>
      <c r="F3784" s="76">
        <v>5</v>
      </c>
    </row>
    <row r="3785" spans="1:6">
      <c r="A3785">
        <v>3892</v>
      </c>
      <c r="B3785">
        <v>322016260</v>
      </c>
      <c r="C3785" s="76">
        <v>2016</v>
      </c>
      <c r="D3785" s="76" t="s">
        <v>34</v>
      </c>
      <c r="E3785" s="76">
        <v>47</v>
      </c>
      <c r="F3785" s="76">
        <v>17</v>
      </c>
    </row>
    <row r="3786" spans="1:6">
      <c r="A3786">
        <v>3903</v>
      </c>
      <c r="B3786">
        <v>322016260</v>
      </c>
      <c r="C3786" s="76">
        <v>2016</v>
      </c>
      <c r="D3786" s="76" t="s">
        <v>34</v>
      </c>
      <c r="E3786" s="76">
        <v>23</v>
      </c>
      <c r="F3786" s="76">
        <v>5.06</v>
      </c>
    </row>
    <row r="3787" spans="1:6">
      <c r="A3787">
        <v>3897</v>
      </c>
      <c r="B3787">
        <v>322016260</v>
      </c>
      <c r="C3787" s="76">
        <v>2016</v>
      </c>
      <c r="D3787" s="76" t="s">
        <v>34</v>
      </c>
      <c r="E3787" s="76">
        <v>3</v>
      </c>
      <c r="F3787" s="76">
        <v>0.66</v>
      </c>
    </row>
    <row r="3788" spans="1:6">
      <c r="A3788">
        <v>3896</v>
      </c>
      <c r="B3788">
        <v>322016260</v>
      </c>
      <c r="C3788" s="76">
        <v>2016</v>
      </c>
      <c r="D3788" s="76" t="s">
        <v>34</v>
      </c>
      <c r="E3788" s="76" t="s">
        <v>32</v>
      </c>
      <c r="F3788" s="76">
        <v>2.5</v>
      </c>
    </row>
    <row r="3789" spans="1:6">
      <c r="A3789">
        <v>3893</v>
      </c>
      <c r="B3789">
        <v>322016260</v>
      </c>
      <c r="C3789" s="76">
        <v>2016</v>
      </c>
      <c r="D3789" s="76" t="s">
        <v>34</v>
      </c>
      <c r="E3789" s="76" t="s">
        <v>32</v>
      </c>
      <c r="F3789" s="76">
        <v>2.4</v>
      </c>
    </row>
    <row r="3790" spans="1:6">
      <c r="A3790">
        <v>3905</v>
      </c>
      <c r="B3790">
        <v>322016260</v>
      </c>
      <c r="C3790" s="76">
        <v>2016</v>
      </c>
      <c r="D3790" s="76" t="s">
        <v>34</v>
      </c>
      <c r="E3790" s="76" t="s">
        <v>32</v>
      </c>
      <c r="F3790" s="76">
        <v>9.6</v>
      </c>
    </row>
    <row r="3791" spans="1:6">
      <c r="A3791">
        <v>3981</v>
      </c>
      <c r="B3791">
        <v>322016270</v>
      </c>
      <c r="C3791" s="76">
        <v>2016</v>
      </c>
      <c r="D3791" s="76" t="s">
        <v>31</v>
      </c>
      <c r="E3791" s="76" t="s">
        <v>32</v>
      </c>
      <c r="F3791" s="76">
        <v>1.5</v>
      </c>
    </row>
    <row r="3792" spans="1:6">
      <c r="A3792">
        <v>3954</v>
      </c>
      <c r="B3792">
        <v>322016270</v>
      </c>
      <c r="C3792" s="76">
        <v>2016</v>
      </c>
      <c r="D3792" s="76" t="s">
        <v>31</v>
      </c>
      <c r="E3792" s="76" t="s">
        <v>32</v>
      </c>
      <c r="F3792" s="76">
        <v>1.6</v>
      </c>
    </row>
    <row r="3793" spans="1:6">
      <c r="A3793">
        <v>3913</v>
      </c>
      <c r="B3793">
        <v>322016270</v>
      </c>
      <c r="C3793" s="76">
        <v>2016</v>
      </c>
      <c r="D3793" s="76" t="s">
        <v>31</v>
      </c>
      <c r="E3793" s="76" t="s">
        <v>32</v>
      </c>
      <c r="F3793" s="76">
        <v>1.7</v>
      </c>
    </row>
    <row r="3794" spans="1:6">
      <c r="A3794">
        <v>3937</v>
      </c>
      <c r="B3794">
        <v>322016270</v>
      </c>
      <c r="C3794" s="76">
        <v>2016</v>
      </c>
      <c r="D3794" s="76" t="s">
        <v>31</v>
      </c>
      <c r="E3794" s="76" t="s">
        <v>32</v>
      </c>
      <c r="F3794" s="76">
        <v>0.5</v>
      </c>
    </row>
    <row r="3795" spans="1:6">
      <c r="A3795">
        <v>3934</v>
      </c>
      <c r="B3795">
        <v>322016270</v>
      </c>
      <c r="C3795" s="76">
        <v>2016</v>
      </c>
      <c r="D3795" s="76" t="s">
        <v>31</v>
      </c>
      <c r="E3795" s="76" t="s">
        <v>32</v>
      </c>
      <c r="F3795" s="76">
        <v>4.5</v>
      </c>
    </row>
    <row r="3796" spans="1:6">
      <c r="A3796">
        <v>3935</v>
      </c>
      <c r="B3796">
        <v>322016270</v>
      </c>
      <c r="C3796" s="76">
        <v>2016</v>
      </c>
      <c r="D3796" s="76" t="s">
        <v>31</v>
      </c>
      <c r="E3796" s="76" t="s">
        <v>32</v>
      </c>
      <c r="F3796" s="76">
        <v>0.3</v>
      </c>
    </row>
    <row r="3797" spans="1:6">
      <c r="A3797">
        <v>3970</v>
      </c>
      <c r="B3797">
        <v>322016270</v>
      </c>
      <c r="C3797" s="76">
        <v>2016</v>
      </c>
      <c r="D3797" s="76" t="s">
        <v>31</v>
      </c>
      <c r="E3797" s="76" t="s">
        <v>32</v>
      </c>
      <c r="F3797" s="76">
        <v>0.5</v>
      </c>
    </row>
    <row r="3798" spans="1:6">
      <c r="A3798">
        <v>3930</v>
      </c>
      <c r="B3798">
        <v>322016270</v>
      </c>
      <c r="C3798" s="76">
        <v>2016</v>
      </c>
      <c r="D3798" s="76" t="s">
        <v>31</v>
      </c>
      <c r="E3798" s="76" t="s">
        <v>32</v>
      </c>
      <c r="F3798" s="76">
        <v>0.23</v>
      </c>
    </row>
    <row r="3799" spans="1:6">
      <c r="A3799">
        <v>3931</v>
      </c>
      <c r="B3799">
        <v>322016270</v>
      </c>
      <c r="C3799" s="76">
        <v>2016</v>
      </c>
      <c r="D3799" s="76" t="s">
        <v>31</v>
      </c>
      <c r="E3799" s="76" t="s">
        <v>32</v>
      </c>
      <c r="F3799" s="76">
        <v>0.02</v>
      </c>
    </row>
    <row r="3800" spans="1:6">
      <c r="A3800">
        <v>3928</v>
      </c>
      <c r="B3800">
        <v>322016270</v>
      </c>
      <c r="C3800" s="76">
        <v>2016</v>
      </c>
      <c r="D3800" s="76" t="s">
        <v>31</v>
      </c>
      <c r="E3800" s="76" t="s">
        <v>32</v>
      </c>
      <c r="F3800" s="76">
        <v>0</v>
      </c>
    </row>
    <row r="3801" spans="1:6">
      <c r="A3801">
        <v>3967</v>
      </c>
      <c r="B3801">
        <v>322016270</v>
      </c>
      <c r="C3801" s="76">
        <v>2016</v>
      </c>
      <c r="D3801" s="76" t="s">
        <v>31</v>
      </c>
      <c r="E3801" s="76" t="s">
        <v>32</v>
      </c>
      <c r="F3801" s="76">
        <v>0.02</v>
      </c>
    </row>
    <row r="3802" spans="1:6">
      <c r="A3802">
        <v>3971</v>
      </c>
      <c r="B3802">
        <v>322016270</v>
      </c>
      <c r="C3802" s="76">
        <v>2016</v>
      </c>
      <c r="D3802" s="76" t="s">
        <v>31</v>
      </c>
      <c r="E3802" s="76" t="s">
        <v>32</v>
      </c>
      <c r="F3802" s="76">
        <v>1.2</v>
      </c>
    </row>
    <row r="3803" spans="1:6">
      <c r="A3803">
        <v>3962</v>
      </c>
      <c r="B3803">
        <v>322016270</v>
      </c>
      <c r="C3803" s="76">
        <v>2016</v>
      </c>
      <c r="D3803" s="76" t="s">
        <v>31</v>
      </c>
      <c r="E3803" s="76" t="s">
        <v>32</v>
      </c>
      <c r="F3803" s="76">
        <v>0.8</v>
      </c>
    </row>
    <row r="3804" spans="1:6">
      <c r="A3804">
        <v>3974</v>
      </c>
      <c r="B3804">
        <v>322016270</v>
      </c>
      <c r="C3804" s="76">
        <v>2016</v>
      </c>
      <c r="D3804" s="76" t="s">
        <v>31</v>
      </c>
      <c r="E3804" s="76" t="s">
        <v>32</v>
      </c>
      <c r="F3804" s="76">
        <v>1</v>
      </c>
    </row>
    <row r="3805" spans="1:6">
      <c r="A3805">
        <v>3933</v>
      </c>
      <c r="B3805">
        <v>322016270</v>
      </c>
      <c r="C3805" s="76">
        <v>2016</v>
      </c>
      <c r="D3805" s="76" t="s">
        <v>31</v>
      </c>
      <c r="E3805" s="76" t="s">
        <v>32</v>
      </c>
      <c r="F3805" s="76">
        <v>1.5</v>
      </c>
    </row>
    <row r="3806" spans="1:6">
      <c r="A3806">
        <v>3982</v>
      </c>
      <c r="B3806">
        <v>322016270</v>
      </c>
      <c r="C3806" s="76">
        <v>2016</v>
      </c>
      <c r="D3806" s="76" t="s">
        <v>31</v>
      </c>
      <c r="E3806" s="76" t="s">
        <v>32</v>
      </c>
      <c r="F3806" s="76">
        <v>2</v>
      </c>
    </row>
    <row r="3807" spans="1:6">
      <c r="A3807">
        <v>3960</v>
      </c>
      <c r="B3807">
        <v>322016270</v>
      </c>
      <c r="C3807" s="76">
        <v>2016</v>
      </c>
      <c r="D3807" s="76" t="s">
        <v>31</v>
      </c>
      <c r="E3807" s="76" t="s">
        <v>32</v>
      </c>
      <c r="F3807" s="76">
        <v>1</v>
      </c>
    </row>
    <row r="3808" spans="1:6">
      <c r="A3808">
        <v>3983</v>
      </c>
      <c r="B3808">
        <v>322016270</v>
      </c>
      <c r="C3808" s="76">
        <v>2016</v>
      </c>
      <c r="D3808" s="76" t="s">
        <v>31</v>
      </c>
      <c r="E3808" s="76" t="s">
        <v>32</v>
      </c>
      <c r="F3808" s="76">
        <v>1.4</v>
      </c>
    </row>
    <row r="3809" spans="1:6">
      <c r="A3809">
        <v>3921</v>
      </c>
      <c r="B3809">
        <v>322016270</v>
      </c>
      <c r="C3809" s="76">
        <v>2016</v>
      </c>
      <c r="D3809" s="76" t="s">
        <v>31</v>
      </c>
      <c r="E3809" s="76" t="s">
        <v>32</v>
      </c>
      <c r="F3809" s="76">
        <v>3</v>
      </c>
    </row>
    <row r="3810" spans="1:6">
      <c r="A3810">
        <v>3926</v>
      </c>
      <c r="B3810">
        <v>322016270</v>
      </c>
      <c r="C3810" s="76">
        <v>2016</v>
      </c>
      <c r="D3810" s="76" t="s">
        <v>31</v>
      </c>
      <c r="E3810" s="76" t="s">
        <v>32</v>
      </c>
      <c r="F3810" s="76">
        <v>1</v>
      </c>
    </row>
    <row r="3811" spans="1:6">
      <c r="A3811">
        <v>3961</v>
      </c>
      <c r="B3811">
        <v>322016270</v>
      </c>
      <c r="C3811" s="76">
        <v>2016</v>
      </c>
      <c r="D3811" s="76" t="s">
        <v>31</v>
      </c>
      <c r="E3811" s="76" t="s">
        <v>32</v>
      </c>
      <c r="F3811" s="76">
        <v>1.5</v>
      </c>
    </row>
    <row r="3812" spans="1:6">
      <c r="A3812">
        <v>3963</v>
      </c>
      <c r="B3812">
        <v>322016270</v>
      </c>
      <c r="C3812" s="76">
        <v>2016</v>
      </c>
      <c r="D3812" s="76" t="s">
        <v>31</v>
      </c>
      <c r="E3812" s="76" t="s">
        <v>32</v>
      </c>
      <c r="F3812" s="76">
        <v>1</v>
      </c>
    </row>
    <row r="3813" spans="1:6">
      <c r="A3813">
        <v>3948</v>
      </c>
      <c r="B3813">
        <v>322016270</v>
      </c>
      <c r="C3813" s="76">
        <v>2016</v>
      </c>
      <c r="D3813" s="76" t="s">
        <v>31</v>
      </c>
      <c r="E3813" s="76" t="s">
        <v>32</v>
      </c>
      <c r="F3813" s="76">
        <v>0.8</v>
      </c>
    </row>
    <row r="3814" spans="1:6">
      <c r="A3814">
        <v>3977</v>
      </c>
      <c r="B3814">
        <v>322016270</v>
      </c>
      <c r="C3814" s="76">
        <v>2016</v>
      </c>
      <c r="D3814" s="76" t="s">
        <v>31</v>
      </c>
      <c r="E3814" s="76" t="s">
        <v>32</v>
      </c>
      <c r="F3814" s="76">
        <v>5</v>
      </c>
    </row>
    <row r="3815" spans="1:6">
      <c r="A3815">
        <v>3956</v>
      </c>
      <c r="B3815">
        <v>322016270</v>
      </c>
      <c r="C3815" s="76">
        <v>2016</v>
      </c>
      <c r="D3815" s="76" t="s">
        <v>31</v>
      </c>
      <c r="E3815" s="76" t="s">
        <v>32</v>
      </c>
      <c r="F3815" s="76">
        <v>0.6</v>
      </c>
    </row>
    <row r="3816" spans="1:6">
      <c r="A3816">
        <v>3968</v>
      </c>
      <c r="B3816">
        <v>322016270</v>
      </c>
      <c r="C3816" s="76">
        <v>2016</v>
      </c>
      <c r="D3816" s="76" t="s">
        <v>31</v>
      </c>
      <c r="E3816" s="76" t="s">
        <v>32</v>
      </c>
      <c r="F3816" s="76">
        <v>1</v>
      </c>
    </row>
    <row r="3817" spans="1:6">
      <c r="A3817">
        <v>3952</v>
      </c>
      <c r="B3817">
        <v>322016270</v>
      </c>
      <c r="C3817" s="76">
        <v>2016</v>
      </c>
      <c r="D3817" s="76" t="s">
        <v>31</v>
      </c>
      <c r="E3817" s="76" t="s">
        <v>32</v>
      </c>
      <c r="F3817" s="76">
        <v>2</v>
      </c>
    </row>
    <row r="3818" spans="1:6">
      <c r="A3818">
        <v>3976</v>
      </c>
      <c r="B3818">
        <v>322016270</v>
      </c>
      <c r="C3818" s="76">
        <v>2016</v>
      </c>
      <c r="D3818" s="76" t="s">
        <v>31</v>
      </c>
      <c r="E3818" s="76" t="s">
        <v>32</v>
      </c>
      <c r="F3818" s="76">
        <v>3</v>
      </c>
    </row>
    <row r="3819" spans="1:6">
      <c r="A3819">
        <v>3938</v>
      </c>
      <c r="B3819">
        <v>322016270</v>
      </c>
      <c r="C3819" s="76">
        <v>2016</v>
      </c>
      <c r="D3819" s="76" t="s">
        <v>31</v>
      </c>
      <c r="E3819" s="76" t="s">
        <v>32</v>
      </c>
      <c r="F3819" s="76">
        <v>2</v>
      </c>
    </row>
    <row r="3820" spans="1:6">
      <c r="A3820">
        <v>3964</v>
      </c>
      <c r="B3820">
        <v>322016270</v>
      </c>
      <c r="C3820" s="76">
        <v>2016</v>
      </c>
      <c r="D3820" s="76" t="s">
        <v>31</v>
      </c>
      <c r="E3820" s="76" t="s">
        <v>32</v>
      </c>
      <c r="F3820" s="76">
        <v>1</v>
      </c>
    </row>
    <row r="3821" spans="1:6">
      <c r="A3821">
        <v>3917</v>
      </c>
      <c r="B3821">
        <v>322016270</v>
      </c>
      <c r="C3821" s="76">
        <v>2016</v>
      </c>
      <c r="D3821" s="76" t="s">
        <v>31</v>
      </c>
      <c r="E3821" s="76" t="s">
        <v>32</v>
      </c>
      <c r="F3821" s="76">
        <v>1.5</v>
      </c>
    </row>
    <row r="3822" spans="1:6">
      <c r="A3822">
        <v>3936</v>
      </c>
      <c r="B3822">
        <v>322016270</v>
      </c>
      <c r="C3822" s="76">
        <v>2016</v>
      </c>
      <c r="D3822" s="76" t="s">
        <v>31</v>
      </c>
      <c r="E3822" s="76" t="s">
        <v>32</v>
      </c>
      <c r="F3822" s="76">
        <v>1.07</v>
      </c>
    </row>
    <row r="3823" spans="1:6">
      <c r="A3823">
        <v>3969</v>
      </c>
      <c r="B3823">
        <v>322016270</v>
      </c>
      <c r="C3823" s="76">
        <v>2016</v>
      </c>
      <c r="D3823" s="76" t="s">
        <v>31</v>
      </c>
      <c r="E3823" s="76" t="s">
        <v>32</v>
      </c>
      <c r="F3823" s="76">
        <v>0.17</v>
      </c>
    </row>
    <row r="3824" spans="1:6">
      <c r="A3824">
        <v>3950</v>
      </c>
      <c r="B3824">
        <v>322016270</v>
      </c>
      <c r="C3824" s="76">
        <v>2016</v>
      </c>
      <c r="D3824" s="76" t="s">
        <v>31</v>
      </c>
      <c r="E3824" s="76" t="s">
        <v>32</v>
      </c>
      <c r="F3824" s="76">
        <v>0.7</v>
      </c>
    </row>
    <row r="3825" spans="1:6">
      <c r="A3825">
        <v>3951</v>
      </c>
      <c r="B3825">
        <v>322016270</v>
      </c>
      <c r="C3825" s="76">
        <v>2016</v>
      </c>
      <c r="D3825" s="76" t="s">
        <v>31</v>
      </c>
      <c r="E3825" s="76" t="s">
        <v>32</v>
      </c>
      <c r="F3825" s="76">
        <v>0.6</v>
      </c>
    </row>
    <row r="3826" spans="1:6">
      <c r="A3826">
        <v>3922</v>
      </c>
      <c r="B3826">
        <v>322016270</v>
      </c>
      <c r="C3826" s="76">
        <v>2016</v>
      </c>
      <c r="D3826" s="76" t="s">
        <v>31</v>
      </c>
      <c r="E3826" s="76" t="s">
        <v>32</v>
      </c>
      <c r="F3826" s="76">
        <v>0.8</v>
      </c>
    </row>
    <row r="3827" spans="1:6">
      <c r="A3827">
        <v>3943</v>
      </c>
      <c r="B3827">
        <v>322016270</v>
      </c>
      <c r="C3827" s="76">
        <v>2016</v>
      </c>
      <c r="D3827" s="76" t="s">
        <v>31</v>
      </c>
      <c r="E3827" s="76" t="s">
        <v>32</v>
      </c>
      <c r="F3827" s="76">
        <v>1.01</v>
      </c>
    </row>
    <row r="3828" spans="1:6">
      <c r="A3828">
        <v>3924</v>
      </c>
      <c r="B3828">
        <v>322016270</v>
      </c>
      <c r="C3828" s="76">
        <v>2016</v>
      </c>
      <c r="D3828" s="76" t="s">
        <v>31</v>
      </c>
      <c r="E3828" s="76" t="s">
        <v>32</v>
      </c>
      <c r="F3828" s="76">
        <v>0.9</v>
      </c>
    </row>
    <row r="3829" spans="1:6">
      <c r="A3829">
        <v>3980</v>
      </c>
      <c r="B3829">
        <v>322016270</v>
      </c>
      <c r="C3829" s="76">
        <v>2016</v>
      </c>
      <c r="D3829" s="76" t="s">
        <v>31</v>
      </c>
      <c r="E3829" s="76" t="s">
        <v>32</v>
      </c>
      <c r="F3829" s="76">
        <v>0.7</v>
      </c>
    </row>
    <row r="3830" spans="1:6">
      <c r="A3830">
        <v>3955</v>
      </c>
      <c r="B3830">
        <v>322016270</v>
      </c>
      <c r="C3830" s="76">
        <v>2016</v>
      </c>
      <c r="D3830" s="76" t="s">
        <v>31</v>
      </c>
      <c r="E3830" s="76" t="s">
        <v>32</v>
      </c>
      <c r="F3830" s="76">
        <v>0.8</v>
      </c>
    </row>
    <row r="3831" spans="1:6">
      <c r="A3831">
        <v>3912</v>
      </c>
      <c r="B3831">
        <v>322016270</v>
      </c>
      <c r="C3831" s="76">
        <v>2016</v>
      </c>
      <c r="D3831" s="76" t="s">
        <v>31</v>
      </c>
      <c r="E3831" s="76" t="s">
        <v>32</v>
      </c>
      <c r="F3831" s="76">
        <v>0.5</v>
      </c>
    </row>
    <row r="3832" spans="1:6">
      <c r="A3832">
        <v>3914</v>
      </c>
      <c r="B3832">
        <v>322016270</v>
      </c>
      <c r="C3832" s="76">
        <v>2016</v>
      </c>
      <c r="D3832" s="76" t="s">
        <v>31</v>
      </c>
      <c r="E3832" s="76" t="s">
        <v>32</v>
      </c>
      <c r="F3832" s="76">
        <v>0.3</v>
      </c>
    </row>
    <row r="3833" spans="1:6">
      <c r="A3833">
        <v>3978</v>
      </c>
      <c r="B3833">
        <v>322016270</v>
      </c>
      <c r="C3833" s="76">
        <v>2016</v>
      </c>
      <c r="D3833" s="76" t="s">
        <v>31</v>
      </c>
      <c r="E3833" s="76" t="s">
        <v>32</v>
      </c>
      <c r="F3833" s="76">
        <v>1</v>
      </c>
    </row>
    <row r="3834" spans="1:6">
      <c r="A3834">
        <v>3910</v>
      </c>
      <c r="B3834">
        <v>322016270</v>
      </c>
      <c r="C3834" s="76">
        <v>2016</v>
      </c>
      <c r="D3834" s="76" t="s">
        <v>31</v>
      </c>
      <c r="E3834" s="76" t="s">
        <v>32</v>
      </c>
      <c r="F3834" s="76">
        <v>1.5</v>
      </c>
    </row>
    <row r="3835" spans="1:6">
      <c r="A3835">
        <v>3923</v>
      </c>
      <c r="B3835">
        <v>322016270</v>
      </c>
      <c r="C3835" s="76">
        <v>2016</v>
      </c>
      <c r="D3835" s="76" t="s">
        <v>31</v>
      </c>
      <c r="E3835" s="76" t="s">
        <v>32</v>
      </c>
      <c r="F3835" s="76">
        <v>2</v>
      </c>
    </row>
    <row r="3836" spans="1:6">
      <c r="A3836">
        <v>3920</v>
      </c>
      <c r="B3836">
        <v>322016270</v>
      </c>
      <c r="C3836" s="76">
        <v>2016</v>
      </c>
      <c r="D3836" s="76" t="s">
        <v>31</v>
      </c>
      <c r="E3836" s="76" t="s">
        <v>32</v>
      </c>
      <c r="F3836" s="76">
        <v>0.51</v>
      </c>
    </row>
    <row r="3837" spans="1:6">
      <c r="A3837">
        <v>3925</v>
      </c>
      <c r="B3837">
        <v>322016270</v>
      </c>
      <c r="C3837" s="76">
        <v>2016</v>
      </c>
      <c r="D3837" s="76" t="s">
        <v>31</v>
      </c>
      <c r="E3837" s="76" t="s">
        <v>32</v>
      </c>
      <c r="F3837" s="76">
        <v>0.5</v>
      </c>
    </row>
    <row r="3838" spans="1:6">
      <c r="A3838">
        <v>3911</v>
      </c>
      <c r="B3838">
        <v>322016270</v>
      </c>
      <c r="C3838" s="76">
        <v>2016</v>
      </c>
      <c r="D3838" s="76" t="s">
        <v>31</v>
      </c>
      <c r="E3838" s="76" t="s">
        <v>32</v>
      </c>
      <c r="F3838" s="76">
        <v>0.12</v>
      </c>
    </row>
    <row r="3839" spans="1:6">
      <c r="A3839">
        <v>3927</v>
      </c>
      <c r="B3839">
        <v>322016270</v>
      </c>
      <c r="C3839" s="76">
        <v>2016</v>
      </c>
      <c r="D3839" s="76" t="s">
        <v>31</v>
      </c>
      <c r="E3839" s="76" t="s">
        <v>32</v>
      </c>
      <c r="F3839" s="76">
        <v>0.5</v>
      </c>
    </row>
    <row r="3840" spans="1:6">
      <c r="A3840">
        <v>3929</v>
      </c>
      <c r="B3840">
        <v>322016270</v>
      </c>
      <c r="C3840" s="76">
        <v>2016</v>
      </c>
      <c r="D3840" s="76" t="s">
        <v>31</v>
      </c>
      <c r="E3840" s="76" t="s">
        <v>32</v>
      </c>
      <c r="F3840" s="76">
        <v>0.49</v>
      </c>
    </row>
    <row r="3841" spans="1:6">
      <c r="A3841">
        <v>3946</v>
      </c>
      <c r="B3841">
        <v>322016270</v>
      </c>
      <c r="C3841" s="76">
        <v>2016</v>
      </c>
      <c r="D3841" s="76" t="s">
        <v>31</v>
      </c>
      <c r="E3841" s="76" t="s">
        <v>32</v>
      </c>
      <c r="F3841" s="76">
        <v>1.5</v>
      </c>
    </row>
    <row r="3842" spans="1:6">
      <c r="A3842">
        <v>3966</v>
      </c>
      <c r="B3842">
        <v>322016270</v>
      </c>
      <c r="C3842" s="76">
        <v>2016</v>
      </c>
      <c r="D3842" s="76" t="s">
        <v>31</v>
      </c>
      <c r="E3842" s="76" t="s">
        <v>32</v>
      </c>
      <c r="F3842" s="76">
        <v>0.8</v>
      </c>
    </row>
    <row r="3843" spans="1:6">
      <c r="A3843">
        <v>3918</v>
      </c>
      <c r="B3843">
        <v>322016270</v>
      </c>
      <c r="C3843" s="76">
        <v>2016</v>
      </c>
      <c r="D3843" s="76" t="s">
        <v>31</v>
      </c>
      <c r="E3843" s="76" t="s">
        <v>32</v>
      </c>
      <c r="F3843" s="76">
        <v>1.5</v>
      </c>
    </row>
    <row r="3844" spans="1:6">
      <c r="A3844">
        <v>3965</v>
      </c>
      <c r="B3844">
        <v>322016270</v>
      </c>
      <c r="C3844" s="76">
        <v>2016</v>
      </c>
      <c r="D3844" s="76" t="s">
        <v>31</v>
      </c>
      <c r="E3844" s="76" t="s">
        <v>32</v>
      </c>
      <c r="F3844" s="76">
        <v>2</v>
      </c>
    </row>
    <row r="3845" spans="1:6">
      <c r="A3845">
        <v>3953</v>
      </c>
      <c r="B3845">
        <v>322016270</v>
      </c>
      <c r="C3845" s="76">
        <v>2016</v>
      </c>
      <c r="D3845" s="76" t="s">
        <v>31</v>
      </c>
      <c r="E3845" s="76" t="s">
        <v>32</v>
      </c>
      <c r="F3845" s="76">
        <v>1.5</v>
      </c>
    </row>
    <row r="3846" spans="1:6">
      <c r="A3846">
        <v>3949</v>
      </c>
      <c r="B3846">
        <v>322016270</v>
      </c>
      <c r="C3846" s="76">
        <v>2016</v>
      </c>
      <c r="D3846" s="76" t="s">
        <v>31</v>
      </c>
      <c r="E3846" s="76" t="s">
        <v>32</v>
      </c>
      <c r="F3846" s="76">
        <v>1</v>
      </c>
    </row>
    <row r="3847" spans="1:6">
      <c r="A3847">
        <v>3942</v>
      </c>
      <c r="B3847">
        <v>322016270</v>
      </c>
      <c r="C3847" s="76">
        <v>2016</v>
      </c>
      <c r="D3847" s="76" t="s">
        <v>31</v>
      </c>
      <c r="E3847" s="76" t="s">
        <v>32</v>
      </c>
      <c r="F3847" s="76">
        <v>1.5</v>
      </c>
    </row>
    <row r="3848" spans="1:6">
      <c r="A3848">
        <v>3979</v>
      </c>
      <c r="B3848">
        <v>322016270</v>
      </c>
      <c r="C3848" s="76">
        <v>2016</v>
      </c>
      <c r="D3848" s="76" t="s">
        <v>31</v>
      </c>
      <c r="E3848" s="76" t="s">
        <v>32</v>
      </c>
      <c r="F3848" s="76">
        <v>1.8</v>
      </c>
    </row>
    <row r="3849" spans="1:6">
      <c r="A3849">
        <v>3939</v>
      </c>
      <c r="B3849">
        <v>322016270</v>
      </c>
      <c r="C3849" s="76">
        <v>2016</v>
      </c>
      <c r="D3849" s="76" t="s">
        <v>31</v>
      </c>
      <c r="E3849" s="76" t="s">
        <v>32</v>
      </c>
      <c r="F3849" s="76">
        <v>1</v>
      </c>
    </row>
    <row r="3850" spans="1:6">
      <c r="A3850">
        <v>3940</v>
      </c>
      <c r="B3850">
        <v>322016270</v>
      </c>
      <c r="C3850" s="76">
        <v>2016</v>
      </c>
      <c r="D3850" s="76" t="s">
        <v>31</v>
      </c>
      <c r="E3850" s="76" t="s">
        <v>32</v>
      </c>
      <c r="F3850" s="76">
        <v>1.5</v>
      </c>
    </row>
    <row r="3851" spans="1:6">
      <c r="A3851">
        <v>3941</v>
      </c>
      <c r="B3851">
        <v>322016270</v>
      </c>
      <c r="C3851" s="76">
        <v>2016</v>
      </c>
      <c r="D3851" s="76" t="s">
        <v>31</v>
      </c>
      <c r="E3851" s="76" t="s">
        <v>32</v>
      </c>
      <c r="F3851" s="76">
        <v>2</v>
      </c>
    </row>
    <row r="3852" spans="1:6">
      <c r="A3852">
        <v>3959</v>
      </c>
      <c r="B3852">
        <v>322016270</v>
      </c>
      <c r="C3852" s="76">
        <v>2016</v>
      </c>
      <c r="D3852" s="76" t="s">
        <v>31</v>
      </c>
      <c r="E3852" s="76" t="s">
        <v>32</v>
      </c>
      <c r="F3852" s="76">
        <v>1</v>
      </c>
    </row>
    <row r="3853" spans="1:6">
      <c r="A3853">
        <v>3947</v>
      </c>
      <c r="B3853">
        <v>322016270</v>
      </c>
      <c r="C3853" s="76">
        <v>2016</v>
      </c>
      <c r="D3853" s="76" t="s">
        <v>31</v>
      </c>
      <c r="E3853" s="76" t="s">
        <v>32</v>
      </c>
      <c r="F3853" s="76">
        <v>1.5</v>
      </c>
    </row>
    <row r="3854" spans="1:6">
      <c r="A3854">
        <v>3958</v>
      </c>
      <c r="B3854">
        <v>322016270</v>
      </c>
      <c r="C3854" s="76">
        <v>2016</v>
      </c>
      <c r="D3854" s="76" t="s">
        <v>31</v>
      </c>
      <c r="E3854" s="76" t="s">
        <v>32</v>
      </c>
      <c r="F3854" s="76">
        <v>1</v>
      </c>
    </row>
    <row r="3855" spans="1:6">
      <c r="A3855">
        <v>3973</v>
      </c>
      <c r="B3855">
        <v>322016270</v>
      </c>
      <c r="C3855" s="76">
        <v>2016</v>
      </c>
      <c r="D3855" s="76" t="s">
        <v>31</v>
      </c>
      <c r="E3855" s="76" t="s">
        <v>32</v>
      </c>
      <c r="F3855" s="76">
        <v>1</v>
      </c>
    </row>
    <row r="3856" spans="1:6">
      <c r="A3856">
        <v>3919</v>
      </c>
      <c r="B3856">
        <v>322016270</v>
      </c>
      <c r="C3856" s="76">
        <v>2016</v>
      </c>
      <c r="D3856" s="76" t="s">
        <v>31</v>
      </c>
      <c r="E3856" s="76" t="s">
        <v>32</v>
      </c>
      <c r="F3856" s="76">
        <v>1</v>
      </c>
    </row>
    <row r="3857" spans="1:6">
      <c r="A3857">
        <v>3916</v>
      </c>
      <c r="B3857">
        <v>322016270</v>
      </c>
      <c r="C3857" s="76">
        <v>2016</v>
      </c>
      <c r="D3857" s="76" t="s">
        <v>31</v>
      </c>
      <c r="E3857" s="76" t="s">
        <v>32</v>
      </c>
      <c r="F3857" s="76">
        <v>1</v>
      </c>
    </row>
    <row r="3858" spans="1:6">
      <c r="A3858">
        <v>3915</v>
      </c>
      <c r="B3858">
        <v>322016270</v>
      </c>
      <c r="C3858" s="76">
        <v>2016</v>
      </c>
      <c r="D3858" s="76" t="s">
        <v>31</v>
      </c>
      <c r="E3858" s="76" t="s">
        <v>32</v>
      </c>
      <c r="F3858" s="76">
        <v>0.85</v>
      </c>
    </row>
    <row r="3859" spans="1:6">
      <c r="A3859">
        <v>3975</v>
      </c>
      <c r="B3859">
        <v>322016270</v>
      </c>
      <c r="C3859" s="76">
        <v>2016</v>
      </c>
      <c r="D3859" s="76" t="s">
        <v>31</v>
      </c>
      <c r="E3859" s="76" t="s">
        <v>32</v>
      </c>
      <c r="F3859" s="76">
        <v>0.9</v>
      </c>
    </row>
    <row r="3860" spans="1:6">
      <c r="A3860">
        <v>3944</v>
      </c>
      <c r="B3860">
        <v>322016270</v>
      </c>
      <c r="C3860" s="76">
        <v>2016</v>
      </c>
      <c r="D3860" s="76" t="s">
        <v>31</v>
      </c>
      <c r="E3860" s="76" t="s">
        <v>32</v>
      </c>
      <c r="F3860" s="76">
        <v>0.65</v>
      </c>
    </row>
    <row r="3861" spans="1:6">
      <c r="A3861">
        <v>3932</v>
      </c>
      <c r="B3861">
        <v>322016270</v>
      </c>
      <c r="C3861" s="76">
        <v>2016</v>
      </c>
      <c r="D3861" s="76" t="s">
        <v>31</v>
      </c>
      <c r="E3861" s="76" t="s">
        <v>32</v>
      </c>
      <c r="F3861" s="76">
        <v>0.15</v>
      </c>
    </row>
    <row r="3862" spans="1:6">
      <c r="A3862">
        <v>3972</v>
      </c>
      <c r="B3862">
        <v>322016270</v>
      </c>
      <c r="C3862" s="76">
        <v>2016</v>
      </c>
      <c r="D3862" s="76" t="s">
        <v>31</v>
      </c>
      <c r="E3862" s="76" t="s">
        <v>32</v>
      </c>
      <c r="F3862" s="76">
        <v>0.7</v>
      </c>
    </row>
    <row r="3863" spans="1:6">
      <c r="A3863">
        <v>3957</v>
      </c>
      <c r="B3863">
        <v>322016270</v>
      </c>
      <c r="C3863" s="76">
        <v>2016</v>
      </c>
      <c r="D3863" s="76" t="s">
        <v>31</v>
      </c>
      <c r="E3863" s="76" t="s">
        <v>32</v>
      </c>
      <c r="F3863" s="76">
        <v>1.71</v>
      </c>
    </row>
    <row r="3864" spans="1:6">
      <c r="A3864">
        <v>3945</v>
      </c>
      <c r="B3864">
        <v>322016270</v>
      </c>
      <c r="C3864" s="76">
        <v>2016</v>
      </c>
      <c r="D3864" s="76" t="s">
        <v>31</v>
      </c>
      <c r="E3864" s="76" t="s">
        <v>32</v>
      </c>
      <c r="F3864" s="76">
        <v>1.5</v>
      </c>
    </row>
    <row r="3865" spans="1:6">
      <c r="A3865">
        <v>3986</v>
      </c>
      <c r="B3865">
        <v>322017120</v>
      </c>
      <c r="C3865" s="76">
        <v>2017</v>
      </c>
      <c r="D3865" s="76" t="s">
        <v>42</v>
      </c>
      <c r="E3865" s="76">
        <v>6</v>
      </c>
      <c r="F3865" s="76">
        <v>150</v>
      </c>
    </row>
    <row r="3866" spans="1:6">
      <c r="A3866">
        <v>3992</v>
      </c>
      <c r="B3866">
        <v>322017211</v>
      </c>
      <c r="C3866" s="76">
        <v>2017</v>
      </c>
      <c r="D3866" s="76" t="s">
        <v>37</v>
      </c>
      <c r="E3866" s="76" t="s">
        <v>32</v>
      </c>
      <c r="F3866" s="76">
        <v>1.2</v>
      </c>
    </row>
    <row r="3867" spans="1:6">
      <c r="A3867">
        <v>3989</v>
      </c>
      <c r="B3867">
        <v>322017211</v>
      </c>
      <c r="C3867" s="76">
        <v>2017</v>
      </c>
      <c r="D3867" s="76" t="s">
        <v>37</v>
      </c>
      <c r="E3867" s="76">
        <v>2</v>
      </c>
      <c r="F3867" s="76">
        <v>200</v>
      </c>
    </row>
    <row r="3868" spans="1:6">
      <c r="A3868">
        <v>3991</v>
      </c>
      <c r="B3868">
        <v>322017211</v>
      </c>
      <c r="C3868" s="76">
        <v>2017</v>
      </c>
      <c r="D3868" s="76" t="s">
        <v>37</v>
      </c>
      <c r="E3868" s="76" t="s">
        <v>32</v>
      </c>
      <c r="F3868" s="76">
        <v>3</v>
      </c>
    </row>
    <row r="3869" spans="1:6">
      <c r="A3869">
        <v>3998</v>
      </c>
      <c r="B3869">
        <v>322017211</v>
      </c>
      <c r="C3869" s="76">
        <v>2017</v>
      </c>
      <c r="D3869" s="76" t="s">
        <v>37</v>
      </c>
      <c r="E3869" s="76" t="s">
        <v>32</v>
      </c>
      <c r="F3869" s="76">
        <v>1.5</v>
      </c>
    </row>
    <row r="3870" spans="1:6">
      <c r="A3870">
        <v>3988</v>
      </c>
      <c r="B3870">
        <v>322017211</v>
      </c>
      <c r="C3870" s="76">
        <v>2017</v>
      </c>
      <c r="D3870" s="76" t="s">
        <v>37</v>
      </c>
      <c r="E3870" s="76">
        <v>2</v>
      </c>
      <c r="F3870" s="76">
        <v>5</v>
      </c>
    </row>
    <row r="3871" spans="1:6">
      <c r="A3871">
        <v>3994</v>
      </c>
      <c r="B3871">
        <v>322017211</v>
      </c>
      <c r="C3871" s="76">
        <v>2017</v>
      </c>
      <c r="D3871" s="76" t="s">
        <v>37</v>
      </c>
      <c r="E3871" s="76" t="s">
        <v>32</v>
      </c>
      <c r="F3871" s="76">
        <v>1.5</v>
      </c>
    </row>
    <row r="3872" spans="1:6">
      <c r="A3872">
        <v>3997</v>
      </c>
      <c r="B3872">
        <v>322017211</v>
      </c>
      <c r="C3872" s="76">
        <v>2017</v>
      </c>
      <c r="D3872" s="76" t="s">
        <v>37</v>
      </c>
      <c r="E3872" s="76" t="s">
        <v>32</v>
      </c>
      <c r="F3872" s="76">
        <v>1.5</v>
      </c>
    </row>
    <row r="3873" spans="1:6">
      <c r="A3873">
        <v>3987</v>
      </c>
      <c r="B3873">
        <v>322017211</v>
      </c>
      <c r="C3873" s="76">
        <v>2017</v>
      </c>
      <c r="D3873" s="76" t="s">
        <v>37</v>
      </c>
      <c r="E3873" s="76">
        <v>2</v>
      </c>
      <c r="F3873" s="76">
        <v>2.4</v>
      </c>
    </row>
    <row r="3874" spans="1:6">
      <c r="A3874">
        <v>3990</v>
      </c>
      <c r="B3874">
        <v>322017211</v>
      </c>
      <c r="C3874" s="76">
        <v>2017</v>
      </c>
      <c r="D3874" s="76" t="s">
        <v>37</v>
      </c>
      <c r="E3874" s="76" t="s">
        <v>32</v>
      </c>
      <c r="F3874" s="76">
        <v>3</v>
      </c>
    </row>
    <row r="3875" spans="1:6">
      <c r="A3875">
        <v>3993</v>
      </c>
      <c r="B3875">
        <v>322017211</v>
      </c>
      <c r="C3875" s="76">
        <v>2017</v>
      </c>
      <c r="D3875" s="76" t="s">
        <v>37</v>
      </c>
      <c r="E3875" s="76" t="s">
        <v>32</v>
      </c>
      <c r="F3875" s="76">
        <v>8</v>
      </c>
    </row>
    <row r="3876" spans="1:6">
      <c r="A3876">
        <v>3995</v>
      </c>
      <c r="B3876">
        <v>322017211</v>
      </c>
      <c r="C3876" s="76">
        <v>2017</v>
      </c>
      <c r="D3876" s="76" t="s">
        <v>37</v>
      </c>
      <c r="E3876" s="76">
        <v>1</v>
      </c>
      <c r="F3876" s="76">
        <v>100</v>
      </c>
    </row>
    <row r="3877" spans="1:6">
      <c r="A3877">
        <v>3996</v>
      </c>
      <c r="B3877">
        <v>322017211</v>
      </c>
      <c r="C3877" s="76">
        <v>2017</v>
      </c>
      <c r="D3877" s="76" t="s">
        <v>37</v>
      </c>
      <c r="E3877" s="76" t="s">
        <v>32</v>
      </c>
      <c r="F3877" s="76">
        <v>6</v>
      </c>
    </row>
    <row r="3878" spans="1:6">
      <c r="A3878">
        <v>4002</v>
      </c>
      <c r="B3878">
        <v>322017221</v>
      </c>
      <c r="C3878" s="76">
        <v>2017</v>
      </c>
      <c r="D3878" s="76" t="s">
        <v>30</v>
      </c>
      <c r="E3878" s="76">
        <v>2</v>
      </c>
      <c r="F3878" s="76">
        <v>36</v>
      </c>
    </row>
    <row r="3879" spans="1:6">
      <c r="A3879">
        <v>4005</v>
      </c>
      <c r="B3879">
        <v>322017221</v>
      </c>
      <c r="C3879" s="76">
        <v>2017</v>
      </c>
      <c r="D3879" s="76" t="s">
        <v>30</v>
      </c>
      <c r="E3879" s="76" t="s">
        <v>32</v>
      </c>
      <c r="F3879" s="76">
        <v>1</v>
      </c>
    </row>
    <row r="3880" spans="1:6">
      <c r="A3880">
        <v>4000</v>
      </c>
      <c r="B3880">
        <v>322017221</v>
      </c>
      <c r="C3880" s="76">
        <v>2017</v>
      </c>
      <c r="D3880" s="76" t="s">
        <v>30</v>
      </c>
      <c r="E3880" s="76">
        <v>2</v>
      </c>
      <c r="F3880" s="76">
        <v>24</v>
      </c>
    </row>
    <row r="3881" spans="1:6">
      <c r="A3881">
        <v>3999</v>
      </c>
      <c r="B3881">
        <v>322017221</v>
      </c>
      <c r="C3881" s="76">
        <v>2017</v>
      </c>
      <c r="D3881" s="76" t="s">
        <v>30</v>
      </c>
      <c r="E3881" s="76">
        <v>2</v>
      </c>
      <c r="F3881" s="76">
        <v>95</v>
      </c>
    </row>
    <row r="3882" spans="1:6">
      <c r="A3882">
        <v>4004</v>
      </c>
      <c r="B3882">
        <v>322017221</v>
      </c>
      <c r="C3882" s="76">
        <v>2017</v>
      </c>
      <c r="D3882" s="76" t="s">
        <v>30</v>
      </c>
      <c r="E3882" s="76">
        <v>2</v>
      </c>
      <c r="F3882" s="76">
        <v>90.2</v>
      </c>
    </row>
    <row r="3883" spans="1:6">
      <c r="A3883">
        <v>4003</v>
      </c>
      <c r="B3883">
        <v>322017221</v>
      </c>
      <c r="C3883" s="76">
        <v>2017</v>
      </c>
      <c r="D3883" s="76" t="s">
        <v>30</v>
      </c>
      <c r="E3883" s="76">
        <v>2</v>
      </c>
      <c r="F3883" s="76">
        <v>95</v>
      </c>
    </row>
    <row r="3884" spans="1:6">
      <c r="A3884">
        <v>4001</v>
      </c>
      <c r="B3884">
        <v>322017221</v>
      </c>
      <c r="C3884" s="76">
        <v>2017</v>
      </c>
      <c r="D3884" s="76" t="s">
        <v>30</v>
      </c>
      <c r="E3884" s="76">
        <v>4</v>
      </c>
      <c r="F3884" s="76">
        <v>45.2</v>
      </c>
    </row>
    <row r="3885" spans="1:6">
      <c r="A3885">
        <v>4007</v>
      </c>
      <c r="B3885">
        <v>322017241</v>
      </c>
      <c r="C3885" s="76">
        <v>2017</v>
      </c>
      <c r="D3885" s="76" t="s">
        <v>33</v>
      </c>
      <c r="E3885" s="76" t="s">
        <v>32</v>
      </c>
      <c r="F3885" s="76">
        <v>0.9</v>
      </c>
    </row>
    <row r="3886" spans="1:6">
      <c r="A3886">
        <v>4008</v>
      </c>
      <c r="B3886">
        <v>322017242</v>
      </c>
      <c r="C3886" s="76">
        <v>2017</v>
      </c>
      <c r="D3886" s="76" t="s">
        <v>35</v>
      </c>
      <c r="E3886" s="76" t="s">
        <v>32</v>
      </c>
      <c r="F3886" s="76">
        <v>5</v>
      </c>
    </row>
    <row r="3887" spans="1:6">
      <c r="A3887">
        <v>4011</v>
      </c>
      <c r="B3887">
        <v>322017242</v>
      </c>
      <c r="C3887" s="76">
        <v>2017</v>
      </c>
      <c r="D3887" s="76" t="s">
        <v>35</v>
      </c>
      <c r="E3887" s="76" t="s">
        <v>32</v>
      </c>
      <c r="F3887" s="76">
        <v>1</v>
      </c>
    </row>
    <row r="3888" spans="1:6">
      <c r="A3888">
        <v>4010</v>
      </c>
      <c r="B3888">
        <v>322017242</v>
      </c>
      <c r="C3888" s="76">
        <v>2017</v>
      </c>
      <c r="D3888" s="76" t="s">
        <v>35</v>
      </c>
      <c r="E3888" s="76" t="s">
        <v>32</v>
      </c>
      <c r="F3888" s="76">
        <v>1.5</v>
      </c>
    </row>
    <row r="3889" spans="1:6">
      <c r="A3889">
        <v>4009</v>
      </c>
      <c r="B3889">
        <v>322017242</v>
      </c>
      <c r="C3889" s="76">
        <v>2017</v>
      </c>
      <c r="D3889" s="76" t="s">
        <v>35</v>
      </c>
      <c r="E3889" s="76" t="s">
        <v>32</v>
      </c>
      <c r="F3889" s="76">
        <v>0.9</v>
      </c>
    </row>
    <row r="3890" spans="1:6">
      <c r="A3890">
        <v>4012</v>
      </c>
      <c r="B3890">
        <v>322017242</v>
      </c>
      <c r="C3890" s="76">
        <v>2017</v>
      </c>
      <c r="D3890" s="76" t="s">
        <v>35</v>
      </c>
      <c r="E3890" s="76" t="s">
        <v>32</v>
      </c>
      <c r="F3890" s="76">
        <v>3.6</v>
      </c>
    </row>
    <row r="3891" spans="1:6">
      <c r="A3891">
        <v>4014</v>
      </c>
      <c r="B3891">
        <v>322017243</v>
      </c>
      <c r="C3891" s="76">
        <v>2017</v>
      </c>
      <c r="D3891" s="76" t="s">
        <v>38</v>
      </c>
      <c r="E3891" s="76" t="s">
        <v>32</v>
      </c>
      <c r="F3891" s="76">
        <v>3</v>
      </c>
    </row>
    <row r="3892" spans="1:6">
      <c r="A3892">
        <v>4013</v>
      </c>
      <c r="B3892">
        <v>322017243</v>
      </c>
      <c r="C3892" s="76">
        <v>2017</v>
      </c>
      <c r="D3892" s="76" t="s">
        <v>38</v>
      </c>
      <c r="E3892" s="76" t="s">
        <v>32</v>
      </c>
      <c r="F3892" s="76">
        <v>3</v>
      </c>
    </row>
    <row r="3893" spans="1:6">
      <c r="A3893">
        <v>4031</v>
      </c>
      <c r="B3893">
        <v>322017260</v>
      </c>
      <c r="C3893" s="76">
        <v>2017</v>
      </c>
      <c r="D3893" s="76" t="s">
        <v>34</v>
      </c>
      <c r="E3893" s="76" t="s">
        <v>32</v>
      </c>
      <c r="F3893" s="76">
        <v>1.25</v>
      </c>
    </row>
    <row r="3894" spans="1:6">
      <c r="A3894">
        <v>4027</v>
      </c>
      <c r="B3894">
        <v>322017260</v>
      </c>
      <c r="C3894" s="76">
        <v>2017</v>
      </c>
      <c r="D3894" s="76" t="s">
        <v>34</v>
      </c>
      <c r="E3894" s="76" t="s">
        <v>32</v>
      </c>
      <c r="F3894" s="76">
        <v>16.4</v>
      </c>
    </row>
    <row r="3895" spans="1:6">
      <c r="A3895">
        <v>4021</v>
      </c>
      <c r="B3895">
        <v>322017260</v>
      </c>
      <c r="C3895" s="76">
        <v>2017</v>
      </c>
      <c r="D3895" s="76" t="s">
        <v>34</v>
      </c>
      <c r="E3895" s="76">
        <v>21</v>
      </c>
      <c r="F3895" s="76">
        <v>4.62</v>
      </c>
    </row>
    <row r="3896" spans="1:6">
      <c r="A3896">
        <v>4026</v>
      </c>
      <c r="B3896">
        <v>322017260</v>
      </c>
      <c r="C3896" s="76">
        <v>2017</v>
      </c>
      <c r="D3896" s="76" t="s">
        <v>34</v>
      </c>
      <c r="E3896" s="76">
        <v>47</v>
      </c>
      <c r="F3896" s="76">
        <v>10.42</v>
      </c>
    </row>
    <row r="3897" spans="1:6">
      <c r="A3897">
        <v>4017</v>
      </c>
      <c r="B3897">
        <v>322017260</v>
      </c>
      <c r="C3897" s="76">
        <v>2017</v>
      </c>
      <c r="D3897" s="76" t="s">
        <v>34</v>
      </c>
      <c r="E3897" s="76">
        <v>18</v>
      </c>
      <c r="F3897" s="76">
        <v>4.5</v>
      </c>
    </row>
    <row r="3898" spans="1:6">
      <c r="A3898">
        <v>4033</v>
      </c>
      <c r="B3898">
        <v>322017260</v>
      </c>
      <c r="C3898" s="76">
        <v>2017</v>
      </c>
      <c r="D3898" s="76" t="s">
        <v>34</v>
      </c>
      <c r="E3898" s="76" t="s">
        <v>32</v>
      </c>
      <c r="F3898" s="76">
        <v>1.6</v>
      </c>
    </row>
    <row r="3899" spans="1:6">
      <c r="A3899">
        <v>4029</v>
      </c>
      <c r="B3899">
        <v>322017260</v>
      </c>
      <c r="C3899" s="76">
        <v>2017</v>
      </c>
      <c r="D3899" s="76" t="s">
        <v>34</v>
      </c>
      <c r="E3899" s="76" t="s">
        <v>32</v>
      </c>
      <c r="F3899" s="76">
        <v>0.2</v>
      </c>
    </row>
    <row r="3900" spans="1:6">
      <c r="A3900">
        <v>4023</v>
      </c>
      <c r="B3900">
        <v>322017260</v>
      </c>
      <c r="C3900" s="76">
        <v>2017</v>
      </c>
      <c r="D3900" s="76" t="s">
        <v>34</v>
      </c>
      <c r="E3900" s="76" t="s">
        <v>32</v>
      </c>
      <c r="F3900" s="76">
        <v>9</v>
      </c>
    </row>
    <row r="3901" spans="1:6">
      <c r="A3901">
        <v>4016</v>
      </c>
      <c r="B3901">
        <v>322017260</v>
      </c>
      <c r="C3901" s="76">
        <v>2017</v>
      </c>
      <c r="D3901" s="76" t="s">
        <v>34</v>
      </c>
      <c r="E3901" s="76">
        <v>2</v>
      </c>
      <c r="F3901" s="76">
        <v>2.2</v>
      </c>
    </row>
    <row r="3902" spans="1:6">
      <c r="A3902">
        <v>4024</v>
      </c>
      <c r="B3902">
        <v>322017260</v>
      </c>
      <c r="C3902" s="76">
        <v>2017</v>
      </c>
      <c r="D3902" s="76" t="s">
        <v>34</v>
      </c>
      <c r="E3902" s="76">
        <v>30</v>
      </c>
      <c r="F3902" s="76">
        <v>9</v>
      </c>
    </row>
    <row r="3903" spans="1:6">
      <c r="A3903">
        <v>4020</v>
      </c>
      <c r="B3903">
        <v>322017260</v>
      </c>
      <c r="C3903" s="76">
        <v>2017</v>
      </c>
      <c r="D3903" s="76" t="s">
        <v>34</v>
      </c>
      <c r="E3903" s="76">
        <v>24</v>
      </c>
      <c r="F3903" s="76">
        <v>4.8</v>
      </c>
    </row>
    <row r="3904" spans="1:6">
      <c r="A3904">
        <v>4018</v>
      </c>
      <c r="B3904">
        <v>322017260</v>
      </c>
      <c r="C3904" s="76">
        <v>2017</v>
      </c>
      <c r="D3904" s="76" t="s">
        <v>34</v>
      </c>
      <c r="E3904" s="76" t="s">
        <v>32</v>
      </c>
      <c r="F3904" s="76">
        <v>1.25</v>
      </c>
    </row>
    <row r="3905" spans="1:6">
      <c r="A3905">
        <v>4015</v>
      </c>
      <c r="B3905">
        <v>322017260</v>
      </c>
      <c r="C3905" s="76">
        <v>2017</v>
      </c>
      <c r="D3905" s="76" t="s">
        <v>34</v>
      </c>
      <c r="E3905" s="76">
        <v>7</v>
      </c>
      <c r="F3905" s="76">
        <v>1.54</v>
      </c>
    </row>
    <row r="3906" spans="1:6">
      <c r="A3906">
        <v>4032</v>
      </c>
      <c r="B3906">
        <v>322017260</v>
      </c>
      <c r="C3906" s="76">
        <v>2017</v>
      </c>
      <c r="D3906" s="76" t="s">
        <v>34</v>
      </c>
      <c r="E3906" s="76" t="s">
        <v>32</v>
      </c>
      <c r="F3906" s="76">
        <v>8.75</v>
      </c>
    </row>
    <row r="3907" spans="1:6">
      <c r="A3907">
        <v>4019</v>
      </c>
      <c r="B3907">
        <v>322017260</v>
      </c>
      <c r="C3907" s="76">
        <v>2017</v>
      </c>
      <c r="D3907" s="76" t="s">
        <v>34</v>
      </c>
      <c r="E3907" s="76">
        <v>80</v>
      </c>
      <c r="F3907" s="76">
        <v>20</v>
      </c>
    </row>
    <row r="3908" spans="1:6">
      <c r="A3908">
        <v>4022</v>
      </c>
      <c r="B3908">
        <v>322017260</v>
      </c>
      <c r="C3908" s="76">
        <v>2017</v>
      </c>
      <c r="D3908" s="76" t="s">
        <v>34</v>
      </c>
      <c r="E3908" s="76">
        <v>70</v>
      </c>
      <c r="F3908" s="76">
        <v>30.24</v>
      </c>
    </row>
    <row r="3909" spans="1:6">
      <c r="A3909">
        <v>4025</v>
      </c>
      <c r="B3909">
        <v>322017260</v>
      </c>
      <c r="C3909" s="76">
        <v>2017</v>
      </c>
      <c r="D3909" s="76" t="s">
        <v>34</v>
      </c>
      <c r="E3909" s="76">
        <v>18</v>
      </c>
      <c r="F3909" s="76">
        <v>3.78</v>
      </c>
    </row>
    <row r="3910" spans="1:6">
      <c r="A3910">
        <v>4130</v>
      </c>
      <c r="B3910">
        <v>322017270</v>
      </c>
      <c r="C3910" s="76">
        <v>2017</v>
      </c>
      <c r="D3910" s="76" t="s">
        <v>31</v>
      </c>
      <c r="E3910" s="76" t="s">
        <v>32</v>
      </c>
      <c r="F3910" s="76">
        <v>1.6</v>
      </c>
    </row>
    <row r="3911" spans="1:6">
      <c r="A3911">
        <v>4036</v>
      </c>
      <c r="B3911">
        <v>322017270</v>
      </c>
      <c r="C3911" s="76">
        <v>2017</v>
      </c>
      <c r="D3911" s="76" t="s">
        <v>31</v>
      </c>
      <c r="E3911" s="76" t="s">
        <v>32</v>
      </c>
      <c r="F3911" s="76">
        <v>8.3</v>
      </c>
    </row>
    <row r="3912" spans="1:6">
      <c r="A3912">
        <v>4076</v>
      </c>
      <c r="B3912">
        <v>322017270</v>
      </c>
      <c r="C3912" s="76">
        <v>2017</v>
      </c>
      <c r="D3912" s="76" t="s">
        <v>31</v>
      </c>
      <c r="E3912" s="76" t="s">
        <v>32</v>
      </c>
      <c r="F3912" s="76">
        <v>6.5</v>
      </c>
    </row>
    <row r="3913" spans="1:6">
      <c r="A3913">
        <v>4140</v>
      </c>
      <c r="B3913">
        <v>322017270</v>
      </c>
      <c r="C3913" s="76">
        <v>2017</v>
      </c>
      <c r="D3913" s="76" t="s">
        <v>31</v>
      </c>
      <c r="E3913" s="76" t="s">
        <v>32</v>
      </c>
      <c r="F3913" s="76">
        <v>1</v>
      </c>
    </row>
    <row r="3914" spans="1:6">
      <c r="A3914">
        <v>4113</v>
      </c>
      <c r="B3914">
        <v>322017270</v>
      </c>
      <c r="C3914" s="76">
        <v>2017</v>
      </c>
      <c r="D3914" s="76" t="s">
        <v>31</v>
      </c>
      <c r="E3914" s="76" t="s">
        <v>32</v>
      </c>
      <c r="F3914" s="76">
        <v>1</v>
      </c>
    </row>
    <row r="3915" spans="1:6">
      <c r="A3915">
        <v>4062</v>
      </c>
      <c r="B3915">
        <v>322017270</v>
      </c>
      <c r="C3915" s="76">
        <v>2017</v>
      </c>
      <c r="D3915" s="76" t="s">
        <v>31</v>
      </c>
      <c r="E3915" s="76" t="s">
        <v>32</v>
      </c>
      <c r="F3915" s="76">
        <v>1</v>
      </c>
    </row>
    <row r="3916" spans="1:6">
      <c r="A3916">
        <v>4105</v>
      </c>
      <c r="B3916">
        <v>322017270</v>
      </c>
      <c r="C3916" s="76">
        <v>2017</v>
      </c>
      <c r="D3916" s="76" t="s">
        <v>31</v>
      </c>
      <c r="E3916" s="76" t="s">
        <v>32</v>
      </c>
      <c r="F3916" s="76">
        <v>2</v>
      </c>
    </row>
    <row r="3917" spans="1:6">
      <c r="A3917">
        <v>4068</v>
      </c>
      <c r="B3917">
        <v>322017270</v>
      </c>
      <c r="C3917" s="76">
        <v>2017</v>
      </c>
      <c r="D3917" s="76" t="s">
        <v>31</v>
      </c>
      <c r="E3917" s="76" t="s">
        <v>32</v>
      </c>
      <c r="F3917" s="76">
        <v>1.5</v>
      </c>
    </row>
    <row r="3918" spans="1:6">
      <c r="A3918">
        <v>4132</v>
      </c>
      <c r="B3918">
        <v>322017270</v>
      </c>
      <c r="C3918" s="76">
        <v>2017</v>
      </c>
      <c r="D3918" s="76" t="s">
        <v>31</v>
      </c>
      <c r="E3918" s="76" t="s">
        <v>32</v>
      </c>
      <c r="F3918" s="76">
        <v>1.5</v>
      </c>
    </row>
    <row r="3919" spans="1:6">
      <c r="A3919">
        <v>4106</v>
      </c>
      <c r="B3919">
        <v>322017270</v>
      </c>
      <c r="C3919" s="76">
        <v>2017</v>
      </c>
      <c r="D3919" s="76" t="s">
        <v>31</v>
      </c>
      <c r="E3919" s="76" t="s">
        <v>32</v>
      </c>
      <c r="F3919" s="76">
        <v>1</v>
      </c>
    </row>
    <row r="3920" spans="1:6">
      <c r="A3920">
        <v>4056</v>
      </c>
      <c r="B3920">
        <v>322017270</v>
      </c>
      <c r="C3920" s="76">
        <v>2017</v>
      </c>
      <c r="D3920" s="76" t="s">
        <v>31</v>
      </c>
      <c r="E3920" s="76" t="s">
        <v>32</v>
      </c>
      <c r="F3920" s="76">
        <v>6.83</v>
      </c>
    </row>
    <row r="3921" spans="1:6">
      <c r="A3921">
        <v>4102</v>
      </c>
      <c r="B3921">
        <v>322017270</v>
      </c>
      <c r="C3921" s="76">
        <v>2017</v>
      </c>
      <c r="D3921" s="76" t="s">
        <v>31</v>
      </c>
      <c r="E3921" s="76" t="s">
        <v>32</v>
      </c>
      <c r="F3921" s="76">
        <v>1</v>
      </c>
    </row>
    <row r="3922" spans="1:6">
      <c r="A3922">
        <v>4137</v>
      </c>
      <c r="B3922">
        <v>322017270</v>
      </c>
      <c r="C3922" s="76">
        <v>2017</v>
      </c>
      <c r="D3922" s="76" t="s">
        <v>31</v>
      </c>
      <c r="E3922" s="76" t="s">
        <v>32</v>
      </c>
      <c r="F3922" s="76">
        <v>2.82</v>
      </c>
    </row>
    <row r="3923" spans="1:6">
      <c r="A3923">
        <v>4136</v>
      </c>
      <c r="B3923">
        <v>322017270</v>
      </c>
      <c r="C3923" s="76">
        <v>2017</v>
      </c>
      <c r="D3923" s="76" t="s">
        <v>31</v>
      </c>
      <c r="E3923" s="76" t="s">
        <v>32</v>
      </c>
      <c r="F3923" s="76">
        <v>2.65</v>
      </c>
    </row>
    <row r="3924" spans="1:6">
      <c r="A3924">
        <v>4135</v>
      </c>
      <c r="B3924">
        <v>322017270</v>
      </c>
      <c r="C3924" s="76">
        <v>2017</v>
      </c>
      <c r="D3924" s="76" t="s">
        <v>31</v>
      </c>
      <c r="E3924" s="76" t="s">
        <v>32</v>
      </c>
      <c r="F3924" s="76">
        <v>1</v>
      </c>
    </row>
    <row r="3925" spans="1:6">
      <c r="A3925">
        <v>4034</v>
      </c>
      <c r="B3925">
        <v>322017270</v>
      </c>
      <c r="C3925" s="76">
        <v>2017</v>
      </c>
      <c r="D3925" s="76" t="s">
        <v>31</v>
      </c>
      <c r="E3925" s="76">
        <v>2</v>
      </c>
      <c r="F3925" s="76">
        <v>1.05</v>
      </c>
    </row>
    <row r="3926" spans="1:6">
      <c r="A3926">
        <v>4043</v>
      </c>
      <c r="B3926">
        <v>322017270</v>
      </c>
      <c r="C3926" s="76">
        <v>2017</v>
      </c>
      <c r="D3926" s="76" t="s">
        <v>31</v>
      </c>
      <c r="E3926" s="76" t="s">
        <v>32</v>
      </c>
      <c r="F3926" s="76">
        <v>5</v>
      </c>
    </row>
    <row r="3927" spans="1:6">
      <c r="A3927">
        <v>4077</v>
      </c>
      <c r="B3927">
        <v>322017270</v>
      </c>
      <c r="C3927" s="76">
        <v>2017</v>
      </c>
      <c r="D3927" s="76" t="s">
        <v>31</v>
      </c>
      <c r="E3927" s="76" t="s">
        <v>32</v>
      </c>
      <c r="F3927" s="76">
        <v>3</v>
      </c>
    </row>
    <row r="3928" spans="1:6">
      <c r="A3928">
        <v>4127</v>
      </c>
      <c r="B3928">
        <v>322017270</v>
      </c>
      <c r="C3928" s="76">
        <v>2017</v>
      </c>
      <c r="D3928" s="76" t="s">
        <v>31</v>
      </c>
      <c r="E3928" s="76" t="s">
        <v>32</v>
      </c>
      <c r="F3928" s="76">
        <v>1.02</v>
      </c>
    </row>
    <row r="3929" spans="1:6">
      <c r="A3929">
        <v>4146</v>
      </c>
      <c r="B3929">
        <v>322017270</v>
      </c>
      <c r="C3929" s="76">
        <v>2017</v>
      </c>
      <c r="D3929" s="76" t="s">
        <v>31</v>
      </c>
      <c r="E3929" s="76" t="s">
        <v>32</v>
      </c>
      <c r="F3929" s="76">
        <v>1</v>
      </c>
    </row>
    <row r="3930" spans="1:6">
      <c r="A3930">
        <v>4065</v>
      </c>
      <c r="B3930">
        <v>322017270</v>
      </c>
      <c r="C3930" s="76">
        <v>2017</v>
      </c>
      <c r="D3930" s="76" t="s">
        <v>31</v>
      </c>
      <c r="E3930" s="76" t="s">
        <v>32</v>
      </c>
      <c r="F3930" s="76">
        <v>0.5</v>
      </c>
    </row>
    <row r="3931" spans="1:6">
      <c r="A3931">
        <v>4131</v>
      </c>
      <c r="B3931">
        <v>322017270</v>
      </c>
      <c r="C3931" s="76">
        <v>2017</v>
      </c>
      <c r="D3931" s="76" t="s">
        <v>31</v>
      </c>
      <c r="E3931" s="76" t="s">
        <v>32</v>
      </c>
      <c r="F3931" s="76">
        <v>0.18</v>
      </c>
    </row>
    <row r="3932" spans="1:6">
      <c r="A3932">
        <v>4053</v>
      </c>
      <c r="B3932">
        <v>322017270</v>
      </c>
      <c r="C3932" s="76">
        <v>2017</v>
      </c>
      <c r="D3932" s="76" t="s">
        <v>31</v>
      </c>
      <c r="E3932" s="76" t="s">
        <v>32</v>
      </c>
      <c r="F3932" s="76">
        <v>1</v>
      </c>
    </row>
    <row r="3933" spans="1:6">
      <c r="A3933">
        <v>4123</v>
      </c>
      <c r="B3933">
        <v>322017270</v>
      </c>
      <c r="C3933" s="76">
        <v>2017</v>
      </c>
      <c r="D3933" s="76" t="s">
        <v>31</v>
      </c>
      <c r="E3933" s="76" t="s">
        <v>32</v>
      </c>
      <c r="F3933" s="76">
        <v>1.63</v>
      </c>
    </row>
    <row r="3934" spans="1:6">
      <c r="A3934">
        <v>4075</v>
      </c>
      <c r="B3934">
        <v>322017270</v>
      </c>
      <c r="C3934" s="76">
        <v>2017</v>
      </c>
      <c r="D3934" s="76" t="s">
        <v>31</v>
      </c>
      <c r="E3934" s="76" t="s">
        <v>32</v>
      </c>
      <c r="F3934" s="76">
        <v>1</v>
      </c>
    </row>
    <row r="3935" spans="1:6">
      <c r="A3935">
        <v>4072</v>
      </c>
      <c r="B3935">
        <v>322017270</v>
      </c>
      <c r="C3935" s="76">
        <v>2017</v>
      </c>
      <c r="D3935" s="76" t="s">
        <v>31</v>
      </c>
      <c r="E3935" s="76" t="s">
        <v>32</v>
      </c>
      <c r="F3935" s="76">
        <v>1</v>
      </c>
    </row>
    <row r="3936" spans="1:6">
      <c r="A3936">
        <v>4070</v>
      </c>
      <c r="B3936">
        <v>322017270</v>
      </c>
      <c r="C3936" s="76">
        <v>2017</v>
      </c>
      <c r="D3936" s="76" t="s">
        <v>31</v>
      </c>
      <c r="E3936" s="76" t="s">
        <v>32</v>
      </c>
      <c r="F3936" s="76">
        <v>1</v>
      </c>
    </row>
    <row r="3937" spans="1:6">
      <c r="A3937">
        <v>4055</v>
      </c>
      <c r="B3937">
        <v>322017270</v>
      </c>
      <c r="C3937" s="76">
        <v>2017</v>
      </c>
      <c r="D3937" s="76" t="s">
        <v>31</v>
      </c>
      <c r="E3937" s="76" t="s">
        <v>32</v>
      </c>
      <c r="F3937" s="76">
        <v>1</v>
      </c>
    </row>
    <row r="3938" spans="1:6">
      <c r="A3938">
        <v>4090</v>
      </c>
      <c r="B3938">
        <v>322017270</v>
      </c>
      <c r="C3938" s="76">
        <v>2017</v>
      </c>
      <c r="D3938" s="76" t="s">
        <v>31</v>
      </c>
      <c r="E3938" s="76" t="s">
        <v>32</v>
      </c>
      <c r="F3938" s="76">
        <v>2.25</v>
      </c>
    </row>
    <row r="3939" spans="1:6">
      <c r="A3939">
        <v>4116</v>
      </c>
      <c r="B3939">
        <v>322017270</v>
      </c>
      <c r="C3939" s="76">
        <v>2017</v>
      </c>
      <c r="D3939" s="76" t="s">
        <v>31</v>
      </c>
      <c r="E3939" s="76" t="s">
        <v>32</v>
      </c>
      <c r="F3939" s="76">
        <v>1.5</v>
      </c>
    </row>
    <row r="3940" spans="1:6">
      <c r="A3940">
        <v>4073</v>
      </c>
      <c r="B3940">
        <v>322017270</v>
      </c>
      <c r="C3940" s="76">
        <v>2017</v>
      </c>
      <c r="D3940" s="76" t="s">
        <v>31</v>
      </c>
      <c r="E3940" s="76" t="s">
        <v>32</v>
      </c>
      <c r="F3940" s="76">
        <v>0.15</v>
      </c>
    </row>
    <row r="3941" spans="1:6">
      <c r="A3941">
        <v>4112</v>
      </c>
      <c r="B3941">
        <v>322017270</v>
      </c>
      <c r="C3941" s="76">
        <v>2017</v>
      </c>
      <c r="D3941" s="76" t="s">
        <v>31</v>
      </c>
      <c r="E3941" s="76" t="s">
        <v>32</v>
      </c>
      <c r="F3941" s="76">
        <v>0.7</v>
      </c>
    </row>
    <row r="3942" spans="1:6">
      <c r="A3942">
        <v>4110</v>
      </c>
      <c r="B3942">
        <v>322017270</v>
      </c>
      <c r="C3942" s="76">
        <v>2017</v>
      </c>
      <c r="D3942" s="76" t="s">
        <v>31</v>
      </c>
      <c r="E3942" s="76" t="s">
        <v>32</v>
      </c>
      <c r="F3942" s="76">
        <v>1.35</v>
      </c>
    </row>
    <row r="3943" spans="1:6">
      <c r="A3943">
        <v>4092</v>
      </c>
      <c r="B3943">
        <v>322017270</v>
      </c>
      <c r="C3943" s="76">
        <v>2017</v>
      </c>
      <c r="D3943" s="76" t="s">
        <v>31</v>
      </c>
      <c r="E3943" s="76" t="s">
        <v>32</v>
      </c>
      <c r="F3943" s="76">
        <v>0.6</v>
      </c>
    </row>
    <row r="3944" spans="1:6">
      <c r="A3944">
        <v>4094</v>
      </c>
      <c r="B3944">
        <v>322017270</v>
      </c>
      <c r="C3944" s="76">
        <v>2017</v>
      </c>
      <c r="D3944" s="76" t="s">
        <v>31</v>
      </c>
      <c r="E3944" s="76" t="s">
        <v>32</v>
      </c>
      <c r="F3944" s="76">
        <v>0.84</v>
      </c>
    </row>
    <row r="3945" spans="1:6">
      <c r="A3945">
        <v>4117</v>
      </c>
      <c r="B3945">
        <v>322017270</v>
      </c>
      <c r="C3945" s="76">
        <v>2017</v>
      </c>
      <c r="D3945" s="76" t="s">
        <v>31</v>
      </c>
      <c r="E3945" s="76" t="s">
        <v>32</v>
      </c>
      <c r="F3945" s="76">
        <v>0.91</v>
      </c>
    </row>
    <row r="3946" spans="1:6">
      <c r="A3946">
        <v>4145</v>
      </c>
      <c r="B3946">
        <v>322017270</v>
      </c>
      <c r="C3946" s="76">
        <v>2017</v>
      </c>
      <c r="D3946" s="76" t="s">
        <v>31</v>
      </c>
      <c r="E3946" s="76" t="s">
        <v>32</v>
      </c>
      <c r="F3946" s="76">
        <v>0.6</v>
      </c>
    </row>
    <row r="3947" spans="1:6">
      <c r="A3947">
        <v>4118</v>
      </c>
      <c r="B3947">
        <v>322017270</v>
      </c>
      <c r="C3947" s="76">
        <v>2017</v>
      </c>
      <c r="D3947" s="76" t="s">
        <v>31</v>
      </c>
      <c r="E3947" s="76" t="s">
        <v>32</v>
      </c>
      <c r="F3947" s="76">
        <v>0.62</v>
      </c>
    </row>
    <row r="3948" spans="1:6">
      <c r="A3948">
        <v>4119</v>
      </c>
      <c r="B3948">
        <v>322017270</v>
      </c>
      <c r="C3948" s="76">
        <v>2017</v>
      </c>
      <c r="D3948" s="76" t="s">
        <v>31</v>
      </c>
      <c r="E3948" s="76" t="s">
        <v>32</v>
      </c>
      <c r="F3948" s="76">
        <v>0.91</v>
      </c>
    </row>
    <row r="3949" s="76" customFormat="1" spans="1:6">
      <c r="A3949">
        <v>4049</v>
      </c>
      <c r="B3949">
        <v>322017270</v>
      </c>
      <c r="C3949" s="76">
        <v>2017</v>
      </c>
      <c r="D3949" s="76" t="s">
        <v>31</v>
      </c>
      <c r="E3949" s="76" t="s">
        <v>32</v>
      </c>
      <c r="F3949" s="76">
        <v>2</v>
      </c>
    </row>
    <row r="3950" s="76" customFormat="1" spans="1:6">
      <c r="A3950">
        <v>4141</v>
      </c>
      <c r="B3950">
        <v>322017270</v>
      </c>
      <c r="C3950" s="76">
        <v>2017</v>
      </c>
      <c r="D3950" s="76" t="s">
        <v>31</v>
      </c>
      <c r="E3950" s="76" t="s">
        <v>32</v>
      </c>
      <c r="F3950" s="76">
        <v>1.9</v>
      </c>
    </row>
    <row r="3951" s="76" customFormat="1" spans="1:6">
      <c r="A3951">
        <v>4134</v>
      </c>
      <c r="B3951">
        <v>322017270</v>
      </c>
      <c r="C3951" s="76">
        <v>2017</v>
      </c>
      <c r="D3951" s="76" t="s">
        <v>31</v>
      </c>
      <c r="E3951" s="76" t="s">
        <v>32</v>
      </c>
      <c r="F3951" s="76">
        <v>2</v>
      </c>
    </row>
    <row r="3952" s="76" customFormat="1" spans="1:6">
      <c r="A3952">
        <v>4129</v>
      </c>
      <c r="B3952">
        <v>322017270</v>
      </c>
      <c r="C3952" s="76">
        <v>2017</v>
      </c>
      <c r="D3952" s="76" t="s">
        <v>31</v>
      </c>
      <c r="E3952" s="76" t="s">
        <v>32</v>
      </c>
      <c r="F3952" s="76">
        <v>1</v>
      </c>
    </row>
    <row r="3953" s="76" customFormat="1" spans="1:6">
      <c r="A3953">
        <v>4139</v>
      </c>
      <c r="B3953">
        <v>322017270</v>
      </c>
      <c r="C3953" s="76">
        <v>2017</v>
      </c>
      <c r="D3953" s="76" t="s">
        <v>31</v>
      </c>
      <c r="E3953" s="76" t="s">
        <v>32</v>
      </c>
      <c r="F3953" s="76">
        <v>2.5</v>
      </c>
    </row>
    <row r="3954" s="76" customFormat="1" spans="1:6">
      <c r="A3954">
        <v>4071</v>
      </c>
      <c r="B3954">
        <v>322017270</v>
      </c>
      <c r="C3954" s="76">
        <v>2017</v>
      </c>
      <c r="D3954" s="76" t="s">
        <v>31</v>
      </c>
      <c r="E3954" s="76" t="s">
        <v>32</v>
      </c>
      <c r="F3954" s="76">
        <v>0.17</v>
      </c>
    </row>
    <row r="3955" s="76" customFormat="1" spans="1:6">
      <c r="A3955">
        <v>4074</v>
      </c>
      <c r="B3955">
        <v>322017270</v>
      </c>
      <c r="C3955" s="76">
        <v>2017</v>
      </c>
      <c r="D3955" s="76" t="s">
        <v>31</v>
      </c>
      <c r="E3955" s="76" t="s">
        <v>32</v>
      </c>
      <c r="F3955" s="76">
        <v>0.46</v>
      </c>
    </row>
    <row r="3956" s="76" customFormat="1" spans="1:6">
      <c r="A3956">
        <v>4088</v>
      </c>
      <c r="B3956">
        <v>322017270</v>
      </c>
      <c r="C3956" s="76">
        <v>2017</v>
      </c>
      <c r="D3956" s="76" t="s">
        <v>31</v>
      </c>
      <c r="E3956" s="76" t="s">
        <v>32</v>
      </c>
      <c r="F3956" s="76">
        <v>1.3</v>
      </c>
    </row>
    <row r="3957" s="76" customFormat="1" spans="1:6">
      <c r="A3957">
        <v>4087</v>
      </c>
      <c r="B3957">
        <v>322017270</v>
      </c>
      <c r="C3957" s="76">
        <v>2017</v>
      </c>
      <c r="D3957" s="76" t="s">
        <v>31</v>
      </c>
      <c r="E3957" s="76" t="s">
        <v>32</v>
      </c>
      <c r="F3957" s="76">
        <v>4</v>
      </c>
    </row>
    <row r="3958" s="76" customFormat="1" spans="1:6">
      <c r="A3958">
        <v>4064</v>
      </c>
      <c r="B3958">
        <v>322017270</v>
      </c>
      <c r="C3958" s="76">
        <v>2017</v>
      </c>
      <c r="D3958" s="76" t="s">
        <v>31</v>
      </c>
      <c r="E3958" s="76" t="s">
        <v>32</v>
      </c>
      <c r="F3958" s="76">
        <v>1.5</v>
      </c>
    </row>
    <row r="3959" s="76" customFormat="1" spans="1:6">
      <c r="A3959">
        <v>4037</v>
      </c>
      <c r="B3959">
        <v>322017270</v>
      </c>
      <c r="C3959" s="76">
        <v>2017</v>
      </c>
      <c r="D3959" s="76" t="s">
        <v>31</v>
      </c>
      <c r="E3959" s="76" t="s">
        <v>32</v>
      </c>
      <c r="F3959" s="76">
        <v>1.41</v>
      </c>
    </row>
    <row r="3960" s="76" customFormat="1" spans="1:6">
      <c r="A3960">
        <v>4126</v>
      </c>
      <c r="B3960">
        <v>322017270</v>
      </c>
      <c r="C3960" s="76">
        <v>2017</v>
      </c>
      <c r="D3960" s="76" t="s">
        <v>31</v>
      </c>
      <c r="E3960" s="76" t="s">
        <v>32</v>
      </c>
      <c r="F3960" s="76">
        <v>0.7</v>
      </c>
    </row>
    <row r="3961" s="76" customFormat="1" spans="1:6">
      <c r="A3961">
        <v>4099</v>
      </c>
      <c r="B3961">
        <v>322017270</v>
      </c>
      <c r="C3961" s="76">
        <v>2017</v>
      </c>
      <c r="D3961" s="76" t="s">
        <v>31</v>
      </c>
      <c r="E3961" s="76" t="s">
        <v>32</v>
      </c>
      <c r="F3961" s="76">
        <v>0.81</v>
      </c>
    </row>
    <row r="3962" s="76" customFormat="1" spans="1:6">
      <c r="A3962">
        <v>4142</v>
      </c>
      <c r="B3962">
        <v>322017270</v>
      </c>
      <c r="C3962" s="76">
        <v>2017</v>
      </c>
      <c r="D3962" s="76" t="s">
        <v>31</v>
      </c>
      <c r="E3962" s="76" t="s">
        <v>32</v>
      </c>
      <c r="F3962" s="76">
        <v>0.9</v>
      </c>
    </row>
    <row r="3963" s="76" customFormat="1" spans="1:6">
      <c r="A3963">
        <v>4100</v>
      </c>
      <c r="B3963">
        <v>322017270</v>
      </c>
      <c r="C3963" s="76">
        <v>2017</v>
      </c>
      <c r="D3963" s="76" t="s">
        <v>31</v>
      </c>
      <c r="E3963" s="76" t="s">
        <v>32</v>
      </c>
      <c r="F3963" s="76">
        <v>0.76</v>
      </c>
    </row>
    <row r="3964" s="76" customFormat="1" spans="1:6">
      <c r="A3964">
        <v>4120</v>
      </c>
      <c r="B3964">
        <v>322017270</v>
      </c>
      <c r="C3964" s="76">
        <v>2017</v>
      </c>
      <c r="D3964" s="76" t="s">
        <v>31</v>
      </c>
      <c r="E3964" s="76" t="s">
        <v>32</v>
      </c>
      <c r="F3964" s="76">
        <v>1.95</v>
      </c>
    </row>
    <row r="3965" s="76" customFormat="1" spans="1:6">
      <c r="A3965">
        <v>4063</v>
      </c>
      <c r="B3965">
        <v>322017270</v>
      </c>
      <c r="C3965" s="76">
        <v>2017</v>
      </c>
      <c r="D3965" s="76" t="s">
        <v>31</v>
      </c>
      <c r="E3965" s="76" t="s">
        <v>32</v>
      </c>
      <c r="F3965" s="76">
        <v>1</v>
      </c>
    </row>
    <row r="3966" s="76" customFormat="1" spans="1:6">
      <c r="A3966">
        <v>4083</v>
      </c>
      <c r="B3966">
        <v>322017270</v>
      </c>
      <c r="C3966" s="76">
        <v>2017</v>
      </c>
      <c r="D3966" s="76" t="s">
        <v>31</v>
      </c>
      <c r="E3966" s="76" t="s">
        <v>32</v>
      </c>
      <c r="F3966" s="76">
        <v>1.18</v>
      </c>
    </row>
    <row r="3967" s="76" customFormat="1" spans="1:6">
      <c r="A3967">
        <v>4109</v>
      </c>
      <c r="B3967">
        <v>322017270</v>
      </c>
      <c r="C3967" s="76">
        <v>2017</v>
      </c>
      <c r="D3967" s="76" t="s">
        <v>31</v>
      </c>
      <c r="E3967" s="76" t="s">
        <v>32</v>
      </c>
      <c r="F3967" s="76">
        <v>1.55</v>
      </c>
    </row>
    <row r="3968" s="76" customFormat="1" spans="1:6">
      <c r="A3968">
        <v>4061</v>
      </c>
      <c r="B3968">
        <v>322017270</v>
      </c>
      <c r="C3968" s="76">
        <v>2017</v>
      </c>
      <c r="D3968" s="76" t="s">
        <v>31</v>
      </c>
      <c r="E3968" s="76" t="s">
        <v>32</v>
      </c>
      <c r="F3968" s="76">
        <v>5</v>
      </c>
    </row>
    <row r="3969" s="76" customFormat="1" spans="1:6">
      <c r="A3969">
        <v>4042</v>
      </c>
      <c r="B3969">
        <v>322017270</v>
      </c>
      <c r="C3969" s="76">
        <v>2017</v>
      </c>
      <c r="D3969" s="76" t="s">
        <v>31</v>
      </c>
      <c r="E3969" s="76" t="s">
        <v>32</v>
      </c>
      <c r="F3969" s="76">
        <v>2.2</v>
      </c>
    </row>
    <row r="3970" s="76" customFormat="1" spans="1:6">
      <c r="A3970">
        <v>4045</v>
      </c>
      <c r="B3970">
        <v>322017270</v>
      </c>
      <c r="C3970" s="76">
        <v>2017</v>
      </c>
      <c r="D3970" s="76" t="s">
        <v>31</v>
      </c>
      <c r="E3970" s="76" t="s">
        <v>32</v>
      </c>
      <c r="F3970" s="76">
        <v>1</v>
      </c>
    </row>
    <row r="3971" s="76" customFormat="1" spans="1:6">
      <c r="A3971">
        <v>4069</v>
      </c>
      <c r="B3971">
        <v>322017270</v>
      </c>
      <c r="C3971" s="76">
        <v>2017</v>
      </c>
      <c r="D3971" s="76" t="s">
        <v>31</v>
      </c>
      <c r="E3971" s="76" t="s">
        <v>32</v>
      </c>
      <c r="F3971" s="76">
        <v>2</v>
      </c>
    </row>
    <row r="3972" s="76" customFormat="1" spans="1:6">
      <c r="A3972">
        <v>4128</v>
      </c>
      <c r="B3972">
        <v>322017270</v>
      </c>
      <c r="C3972" s="76">
        <v>2017</v>
      </c>
      <c r="D3972" s="76" t="s">
        <v>31</v>
      </c>
      <c r="E3972" s="76" t="s">
        <v>32</v>
      </c>
      <c r="F3972" s="76">
        <v>2.2</v>
      </c>
    </row>
    <row r="3973" s="76" customFormat="1" spans="1:6">
      <c r="A3973">
        <v>4040</v>
      </c>
      <c r="B3973">
        <v>322017270</v>
      </c>
      <c r="C3973" s="76">
        <v>2017</v>
      </c>
      <c r="D3973" s="76" t="s">
        <v>31</v>
      </c>
      <c r="E3973" s="76" t="s">
        <v>32</v>
      </c>
      <c r="F3973" s="76">
        <v>5</v>
      </c>
    </row>
    <row r="3974" s="76" customFormat="1" spans="1:6">
      <c r="A3974">
        <v>4035</v>
      </c>
      <c r="B3974">
        <v>322017270</v>
      </c>
      <c r="C3974" s="76">
        <v>2017</v>
      </c>
      <c r="D3974" s="76" t="s">
        <v>31</v>
      </c>
      <c r="E3974" s="76" t="s">
        <v>32</v>
      </c>
      <c r="F3974" s="76">
        <v>0.5</v>
      </c>
    </row>
    <row r="3975" s="76" customFormat="1" spans="1:6">
      <c r="A3975">
        <v>4044</v>
      </c>
      <c r="B3975">
        <v>322017270</v>
      </c>
      <c r="C3975" s="76">
        <v>2017</v>
      </c>
      <c r="D3975" s="76" t="s">
        <v>31</v>
      </c>
      <c r="E3975" s="76" t="s">
        <v>32</v>
      </c>
      <c r="F3975" s="76">
        <v>1</v>
      </c>
    </row>
    <row r="3976" s="76" customFormat="1" spans="1:6">
      <c r="A3976">
        <v>4093</v>
      </c>
      <c r="B3976">
        <v>322017270</v>
      </c>
      <c r="C3976" s="76">
        <v>2017</v>
      </c>
      <c r="D3976" s="76" t="s">
        <v>31</v>
      </c>
      <c r="E3976" s="76" t="s">
        <v>32</v>
      </c>
      <c r="F3976" s="76">
        <v>1.88</v>
      </c>
    </row>
    <row r="3977" s="76" customFormat="1" spans="1:6">
      <c r="A3977">
        <v>4111</v>
      </c>
      <c r="B3977">
        <v>322017270</v>
      </c>
      <c r="C3977" s="76">
        <v>2017</v>
      </c>
      <c r="D3977" s="76" t="s">
        <v>31</v>
      </c>
      <c r="E3977" s="76" t="s">
        <v>32</v>
      </c>
      <c r="F3977" s="76">
        <v>0.87</v>
      </c>
    </row>
    <row r="3978" s="76" customFormat="1" spans="1:6">
      <c r="A3978">
        <v>4046</v>
      </c>
      <c r="B3978">
        <v>322017270</v>
      </c>
      <c r="C3978" s="76">
        <v>2017</v>
      </c>
      <c r="D3978" s="76" t="s">
        <v>31</v>
      </c>
      <c r="E3978" s="76">
        <v>1</v>
      </c>
      <c r="F3978" s="76">
        <v>0.6</v>
      </c>
    </row>
    <row r="3979" s="76" customFormat="1" spans="1:6">
      <c r="A3979">
        <v>4038</v>
      </c>
      <c r="B3979">
        <v>322017270</v>
      </c>
      <c r="C3979" s="76">
        <v>2017</v>
      </c>
      <c r="D3979" s="76" t="s">
        <v>31</v>
      </c>
      <c r="E3979" s="76" t="s">
        <v>32</v>
      </c>
      <c r="F3979" s="76">
        <v>6.8</v>
      </c>
    </row>
    <row r="3980" s="76" customFormat="1" spans="1:6">
      <c r="A3980">
        <v>4081</v>
      </c>
      <c r="B3980">
        <v>322017270</v>
      </c>
      <c r="C3980" s="76">
        <v>2017</v>
      </c>
      <c r="D3980" s="76" t="s">
        <v>31</v>
      </c>
      <c r="E3980" s="76" t="s">
        <v>32</v>
      </c>
      <c r="F3980" s="76">
        <v>1</v>
      </c>
    </row>
    <row r="3981" s="76" customFormat="1" spans="1:6">
      <c r="A3981">
        <v>4107</v>
      </c>
      <c r="B3981">
        <v>322017270</v>
      </c>
      <c r="C3981" s="76">
        <v>2017</v>
      </c>
      <c r="D3981" s="76" t="s">
        <v>31</v>
      </c>
      <c r="E3981" s="76" t="s">
        <v>32</v>
      </c>
      <c r="F3981" s="76">
        <v>1</v>
      </c>
    </row>
    <row r="3982" s="76" customFormat="1" spans="1:6">
      <c r="A3982">
        <v>4039</v>
      </c>
      <c r="B3982">
        <v>322017270</v>
      </c>
      <c r="C3982" s="76">
        <v>2017</v>
      </c>
      <c r="D3982" s="76" t="s">
        <v>31</v>
      </c>
      <c r="E3982" s="76" t="s">
        <v>32</v>
      </c>
      <c r="F3982" s="76">
        <v>1.5</v>
      </c>
    </row>
    <row r="3983" s="76" customFormat="1" spans="1:6">
      <c r="A3983">
        <v>4103</v>
      </c>
      <c r="B3983">
        <v>322017270</v>
      </c>
      <c r="C3983" s="76">
        <v>2017</v>
      </c>
      <c r="D3983" s="76" t="s">
        <v>31</v>
      </c>
      <c r="E3983" s="76" t="s">
        <v>32</v>
      </c>
      <c r="F3983" s="76">
        <v>1.64</v>
      </c>
    </row>
    <row r="3984" s="76" customFormat="1" spans="1:6">
      <c r="A3984">
        <v>4078</v>
      </c>
      <c r="B3984">
        <v>322017270</v>
      </c>
      <c r="C3984" s="76">
        <v>2017</v>
      </c>
      <c r="D3984" s="76" t="s">
        <v>31</v>
      </c>
      <c r="E3984" s="76" t="s">
        <v>32</v>
      </c>
      <c r="F3984" s="76">
        <v>0.86</v>
      </c>
    </row>
    <row r="3985" s="76" customFormat="1" spans="1:6">
      <c r="A3985">
        <v>4101</v>
      </c>
      <c r="B3985">
        <v>322017270</v>
      </c>
      <c r="C3985" s="76">
        <v>2017</v>
      </c>
      <c r="D3985" s="76" t="s">
        <v>31</v>
      </c>
      <c r="E3985" s="76" t="s">
        <v>32</v>
      </c>
      <c r="F3985" s="76">
        <v>0.93</v>
      </c>
    </row>
    <row r="3986" s="76" customFormat="1" spans="1:6">
      <c r="A3986">
        <v>4067</v>
      </c>
      <c r="B3986">
        <v>322017270</v>
      </c>
      <c r="C3986" s="76">
        <v>2017</v>
      </c>
      <c r="D3986" s="76" t="s">
        <v>31</v>
      </c>
      <c r="E3986" s="76" t="s">
        <v>32</v>
      </c>
      <c r="F3986" s="76">
        <v>0.9</v>
      </c>
    </row>
    <row r="3987" s="76" customFormat="1" spans="1:6">
      <c r="A3987">
        <v>4108</v>
      </c>
      <c r="B3987">
        <v>322017270</v>
      </c>
      <c r="C3987" s="76">
        <v>2017</v>
      </c>
      <c r="D3987" s="76" t="s">
        <v>31</v>
      </c>
      <c r="E3987" s="76" t="s">
        <v>32</v>
      </c>
      <c r="F3987" s="76">
        <v>2</v>
      </c>
    </row>
    <row r="3988" s="76" customFormat="1" spans="1:6">
      <c r="A3988">
        <v>4086</v>
      </c>
      <c r="B3988">
        <v>322017270</v>
      </c>
      <c r="C3988" s="76">
        <v>2017</v>
      </c>
      <c r="D3988" s="76" t="s">
        <v>31</v>
      </c>
      <c r="E3988" s="76" t="s">
        <v>32</v>
      </c>
      <c r="F3988" s="76">
        <v>0.6</v>
      </c>
    </row>
    <row r="3989" s="76" customFormat="1" spans="1:6">
      <c r="A3989">
        <v>4085</v>
      </c>
      <c r="B3989">
        <v>322017270</v>
      </c>
      <c r="C3989" s="76">
        <v>2017</v>
      </c>
      <c r="D3989" s="76" t="s">
        <v>31</v>
      </c>
      <c r="E3989" s="76" t="s">
        <v>32</v>
      </c>
      <c r="F3989" s="76">
        <v>0.6</v>
      </c>
    </row>
    <row r="3990" s="76" customFormat="1" spans="1:6">
      <c r="A3990">
        <v>4122</v>
      </c>
      <c r="B3990">
        <v>322017270</v>
      </c>
      <c r="C3990" s="76">
        <v>2017</v>
      </c>
      <c r="D3990" s="76" t="s">
        <v>31</v>
      </c>
      <c r="E3990" s="76" t="s">
        <v>32</v>
      </c>
      <c r="F3990" s="76">
        <v>2</v>
      </c>
    </row>
    <row r="3991" s="76" customFormat="1" spans="1:6">
      <c r="A3991">
        <v>4054</v>
      </c>
      <c r="B3991">
        <v>322017270</v>
      </c>
      <c r="C3991" s="76">
        <v>2017</v>
      </c>
      <c r="D3991" s="76" t="s">
        <v>31</v>
      </c>
      <c r="E3991" s="76" t="s">
        <v>32</v>
      </c>
      <c r="F3991" s="76">
        <v>4</v>
      </c>
    </row>
    <row r="3992" s="76" customFormat="1" spans="1:6">
      <c r="A3992">
        <v>4121</v>
      </c>
      <c r="B3992">
        <v>322017270</v>
      </c>
      <c r="C3992" s="76">
        <v>2017</v>
      </c>
      <c r="D3992" s="76" t="s">
        <v>31</v>
      </c>
      <c r="E3992" s="76" t="s">
        <v>32</v>
      </c>
      <c r="F3992" s="76">
        <v>1.5</v>
      </c>
    </row>
    <row r="3993" s="76" customFormat="1" spans="1:6">
      <c r="A3993">
        <v>4125</v>
      </c>
      <c r="B3993">
        <v>322017270</v>
      </c>
      <c r="C3993" s="76">
        <v>2017</v>
      </c>
      <c r="D3993" s="76" t="s">
        <v>31</v>
      </c>
      <c r="E3993" s="76" t="s">
        <v>32</v>
      </c>
      <c r="F3993" s="76">
        <v>3</v>
      </c>
    </row>
    <row r="3994" s="76" customFormat="1" spans="1:6">
      <c r="A3994">
        <v>4052</v>
      </c>
      <c r="B3994">
        <v>322017270</v>
      </c>
      <c r="C3994" s="76">
        <v>2017</v>
      </c>
      <c r="D3994" s="76" t="s">
        <v>31</v>
      </c>
      <c r="E3994" s="76" t="s">
        <v>32</v>
      </c>
      <c r="F3994" s="76">
        <v>2</v>
      </c>
    </row>
    <row r="3995" s="76" customFormat="1" spans="1:6">
      <c r="A3995">
        <v>4096</v>
      </c>
      <c r="B3995">
        <v>322017270</v>
      </c>
      <c r="C3995" s="76">
        <v>2017</v>
      </c>
      <c r="D3995" s="76" t="s">
        <v>31</v>
      </c>
      <c r="E3995" s="76" t="s">
        <v>32</v>
      </c>
      <c r="F3995" s="76">
        <v>0.87</v>
      </c>
    </row>
    <row r="3996" s="76" customFormat="1" spans="1:6">
      <c r="A3996">
        <v>4097</v>
      </c>
      <c r="B3996">
        <v>322017270</v>
      </c>
      <c r="C3996" s="76">
        <v>2017</v>
      </c>
      <c r="D3996" s="76" t="s">
        <v>31</v>
      </c>
      <c r="E3996" s="76" t="s">
        <v>32</v>
      </c>
      <c r="F3996" s="76">
        <v>1.24</v>
      </c>
    </row>
    <row r="3997" s="76" customFormat="1" spans="1:6">
      <c r="A3997">
        <v>4057</v>
      </c>
      <c r="B3997">
        <v>322017270</v>
      </c>
      <c r="C3997" s="76">
        <v>2017</v>
      </c>
      <c r="D3997" s="76" t="s">
        <v>31</v>
      </c>
      <c r="E3997" s="76" t="s">
        <v>32</v>
      </c>
      <c r="F3997" s="76">
        <v>0.75</v>
      </c>
    </row>
    <row r="3998" s="76" customFormat="1" spans="1:6">
      <c r="A3998">
        <v>4060</v>
      </c>
      <c r="B3998">
        <v>322017270</v>
      </c>
      <c r="C3998" s="76">
        <v>2017</v>
      </c>
      <c r="D3998" s="76" t="s">
        <v>31</v>
      </c>
      <c r="E3998" s="76" t="s">
        <v>32</v>
      </c>
      <c r="F3998" s="76">
        <v>0.91</v>
      </c>
    </row>
    <row r="3999" s="76" customFormat="1" spans="1:6">
      <c r="A3999">
        <v>4041</v>
      </c>
      <c r="B3999">
        <v>322017270</v>
      </c>
      <c r="C3999" s="76">
        <v>2017</v>
      </c>
      <c r="D3999" s="76" t="s">
        <v>31</v>
      </c>
      <c r="E3999" s="76" t="s">
        <v>32</v>
      </c>
      <c r="F3999" s="76">
        <v>1</v>
      </c>
    </row>
    <row r="4000" s="76" customFormat="1" spans="1:6">
      <c r="A4000">
        <v>4124</v>
      </c>
      <c r="B4000">
        <v>322017270</v>
      </c>
      <c r="C4000" s="76">
        <v>2017</v>
      </c>
      <c r="D4000" s="76" t="s">
        <v>31</v>
      </c>
      <c r="E4000" s="76" t="s">
        <v>32</v>
      </c>
      <c r="F4000" s="76">
        <v>1.4</v>
      </c>
    </row>
    <row r="4001" s="76" customFormat="1" spans="1:6">
      <c r="A4001">
        <v>4084</v>
      </c>
      <c r="B4001">
        <v>322017270</v>
      </c>
      <c r="C4001" s="76">
        <v>2017</v>
      </c>
      <c r="D4001" s="76" t="s">
        <v>31</v>
      </c>
      <c r="E4001" s="76" t="s">
        <v>32</v>
      </c>
      <c r="F4001" s="76">
        <v>3</v>
      </c>
    </row>
    <row r="4002" s="76" customFormat="1" spans="1:6">
      <c r="A4002">
        <v>4047</v>
      </c>
      <c r="B4002">
        <v>322017270</v>
      </c>
      <c r="C4002" s="76">
        <v>2017</v>
      </c>
      <c r="D4002" s="76" t="s">
        <v>31</v>
      </c>
      <c r="E4002" s="76" t="s">
        <v>32</v>
      </c>
      <c r="F4002" s="76">
        <v>4</v>
      </c>
    </row>
    <row r="4003" s="76" customFormat="1" spans="1:6">
      <c r="A4003">
        <v>4138</v>
      </c>
      <c r="B4003">
        <v>322017270</v>
      </c>
      <c r="C4003" s="76">
        <v>2017</v>
      </c>
      <c r="D4003" s="76" t="s">
        <v>31</v>
      </c>
      <c r="E4003" s="76" t="s">
        <v>32</v>
      </c>
      <c r="F4003" s="76">
        <v>2.5</v>
      </c>
    </row>
    <row r="4004" s="76" customFormat="1" spans="1:6">
      <c r="A4004">
        <v>4079</v>
      </c>
      <c r="B4004">
        <v>322017270</v>
      </c>
      <c r="C4004" s="76">
        <v>2017</v>
      </c>
      <c r="D4004" s="76" t="s">
        <v>31</v>
      </c>
      <c r="E4004" s="76" t="s">
        <v>32</v>
      </c>
      <c r="F4004" s="76">
        <v>2</v>
      </c>
    </row>
    <row r="4005" s="76" customFormat="1" spans="1:6">
      <c r="A4005">
        <v>4082</v>
      </c>
      <c r="B4005">
        <v>322017270</v>
      </c>
      <c r="C4005" s="76">
        <v>2017</v>
      </c>
      <c r="D4005" s="76" t="s">
        <v>31</v>
      </c>
      <c r="E4005" s="76" t="s">
        <v>32</v>
      </c>
      <c r="F4005" s="76">
        <v>1.15</v>
      </c>
    </row>
    <row r="4006" s="76" customFormat="1" spans="1:6">
      <c r="A4006">
        <v>4080</v>
      </c>
      <c r="B4006">
        <v>322017270</v>
      </c>
      <c r="C4006" s="76">
        <v>2017</v>
      </c>
      <c r="D4006" s="76" t="s">
        <v>31</v>
      </c>
      <c r="E4006" s="76" t="s">
        <v>32</v>
      </c>
      <c r="F4006" s="76">
        <v>1.05</v>
      </c>
    </row>
    <row r="4007" s="76" customFormat="1" spans="1:6">
      <c r="A4007">
        <v>4050</v>
      </c>
      <c r="B4007">
        <v>322017270</v>
      </c>
      <c r="C4007" s="76">
        <v>2017</v>
      </c>
      <c r="D4007" s="76" t="s">
        <v>31</v>
      </c>
      <c r="E4007" s="76" t="s">
        <v>32</v>
      </c>
      <c r="F4007" s="76">
        <v>0.62</v>
      </c>
    </row>
    <row r="4008" s="76" customFormat="1" spans="1:6">
      <c r="A4008">
        <v>4091</v>
      </c>
      <c r="B4008">
        <v>322017270</v>
      </c>
      <c r="C4008" s="76">
        <v>2017</v>
      </c>
      <c r="D4008" s="76" t="s">
        <v>31</v>
      </c>
      <c r="E4008" s="76" t="s">
        <v>32</v>
      </c>
      <c r="F4008" s="76">
        <v>1</v>
      </c>
    </row>
    <row r="4009" s="76" customFormat="1" spans="1:6">
      <c r="A4009">
        <v>4089</v>
      </c>
      <c r="B4009">
        <v>322017270</v>
      </c>
      <c r="C4009" s="76">
        <v>2017</v>
      </c>
      <c r="D4009" s="76" t="s">
        <v>31</v>
      </c>
      <c r="E4009" s="76" t="s">
        <v>32</v>
      </c>
      <c r="F4009" s="76">
        <v>1.6</v>
      </c>
    </row>
    <row r="4010" s="76" customFormat="1" spans="1:6">
      <c r="A4010">
        <v>4051</v>
      </c>
      <c r="B4010">
        <v>322017270</v>
      </c>
      <c r="C4010" s="76">
        <v>2017</v>
      </c>
      <c r="D4010" s="76" t="s">
        <v>31</v>
      </c>
      <c r="E4010" s="76" t="s">
        <v>32</v>
      </c>
      <c r="F4010" s="76">
        <v>1.8</v>
      </c>
    </row>
    <row r="4011" s="76" customFormat="1" spans="1:6">
      <c r="A4011">
        <v>4133</v>
      </c>
      <c r="B4011">
        <v>322017270</v>
      </c>
      <c r="C4011" s="76">
        <v>2017</v>
      </c>
      <c r="D4011" s="76" t="s">
        <v>31</v>
      </c>
      <c r="E4011" s="76" t="s">
        <v>32</v>
      </c>
      <c r="F4011" s="76">
        <v>1.06</v>
      </c>
    </row>
    <row r="4012" s="76" customFormat="1" spans="1:6">
      <c r="A4012">
        <v>4143</v>
      </c>
      <c r="B4012">
        <v>322017270</v>
      </c>
      <c r="C4012" s="76">
        <v>2017</v>
      </c>
      <c r="D4012" s="76" t="s">
        <v>31</v>
      </c>
      <c r="E4012" s="76" t="s">
        <v>32</v>
      </c>
      <c r="F4012" s="76">
        <v>0.81</v>
      </c>
    </row>
    <row r="4013" s="76" customFormat="1" spans="1:6">
      <c r="A4013">
        <v>4058</v>
      </c>
      <c r="B4013">
        <v>322017270</v>
      </c>
      <c r="C4013" s="76">
        <v>2017</v>
      </c>
      <c r="D4013" s="76" t="s">
        <v>31</v>
      </c>
      <c r="E4013" s="76" t="s">
        <v>32</v>
      </c>
      <c r="F4013" s="76">
        <v>0.6</v>
      </c>
    </row>
    <row r="4014" s="76" customFormat="1" spans="1:6">
      <c r="A4014">
        <v>4115</v>
      </c>
      <c r="B4014">
        <v>322017270</v>
      </c>
      <c r="C4014" s="76">
        <v>2017</v>
      </c>
      <c r="D4014" s="76" t="s">
        <v>31</v>
      </c>
      <c r="E4014" s="76" t="s">
        <v>32</v>
      </c>
      <c r="F4014" s="76">
        <v>1.21</v>
      </c>
    </row>
    <row r="4015" s="76" customFormat="1" spans="1:6">
      <c r="A4015">
        <v>4114</v>
      </c>
      <c r="B4015">
        <v>322017270</v>
      </c>
      <c r="C4015" s="76">
        <v>2017</v>
      </c>
      <c r="D4015" s="76" t="s">
        <v>31</v>
      </c>
      <c r="E4015" s="76" t="s">
        <v>32</v>
      </c>
      <c r="F4015" s="76">
        <v>1</v>
      </c>
    </row>
    <row r="4016" s="76" customFormat="1" spans="1:6">
      <c r="A4016">
        <v>4048</v>
      </c>
      <c r="B4016">
        <v>322017270</v>
      </c>
      <c r="C4016" s="76">
        <v>2017</v>
      </c>
      <c r="D4016" s="76" t="s">
        <v>31</v>
      </c>
      <c r="E4016" s="76" t="s">
        <v>32</v>
      </c>
      <c r="F4016" s="76">
        <v>3.5</v>
      </c>
    </row>
    <row r="4017" s="76" customFormat="1" spans="1:6">
      <c r="A4017">
        <v>4095</v>
      </c>
      <c r="B4017">
        <v>322017270</v>
      </c>
      <c r="C4017" s="76">
        <v>2017</v>
      </c>
      <c r="D4017" s="76" t="s">
        <v>31</v>
      </c>
      <c r="E4017" s="76" t="s">
        <v>32</v>
      </c>
      <c r="F4017" s="76">
        <v>2</v>
      </c>
    </row>
    <row r="4018" s="76" customFormat="1" spans="1:6">
      <c r="A4018">
        <v>4098</v>
      </c>
      <c r="B4018">
        <v>322017270</v>
      </c>
      <c r="C4018" s="76">
        <v>2017</v>
      </c>
      <c r="D4018" s="76" t="s">
        <v>31</v>
      </c>
      <c r="E4018" s="76" t="s">
        <v>32</v>
      </c>
      <c r="F4018" s="76">
        <v>4.1</v>
      </c>
    </row>
    <row r="4019" s="76" customFormat="1" spans="1:6">
      <c r="A4019">
        <v>4144</v>
      </c>
      <c r="B4019">
        <v>322017270</v>
      </c>
      <c r="C4019" s="76">
        <v>2017</v>
      </c>
      <c r="D4019" s="76" t="s">
        <v>31</v>
      </c>
      <c r="E4019" s="76" t="s">
        <v>32</v>
      </c>
      <c r="F4019" s="76">
        <v>0.6</v>
      </c>
    </row>
    <row r="4020" s="76" customFormat="1" spans="1:6">
      <c r="A4020">
        <v>4059</v>
      </c>
      <c r="B4020">
        <v>322017270</v>
      </c>
      <c r="C4020" s="76">
        <v>2017</v>
      </c>
      <c r="D4020" s="76" t="s">
        <v>31</v>
      </c>
      <c r="E4020" s="76" t="s">
        <v>32</v>
      </c>
      <c r="F4020" s="76">
        <v>0.6</v>
      </c>
    </row>
    <row r="4021" s="76" customFormat="1" spans="1:6">
      <c r="A4021">
        <v>4104</v>
      </c>
      <c r="B4021">
        <v>322017270</v>
      </c>
      <c r="C4021" s="76">
        <v>2017</v>
      </c>
      <c r="D4021" s="76" t="s">
        <v>31</v>
      </c>
      <c r="E4021" s="76" t="s">
        <v>32</v>
      </c>
      <c r="F4021" s="76">
        <v>1.5</v>
      </c>
    </row>
    <row r="4022" s="76" customFormat="1" spans="1:6">
      <c r="A4022">
        <v>4149</v>
      </c>
      <c r="B4022">
        <v>322018211</v>
      </c>
      <c r="C4022" s="76">
        <v>2018</v>
      </c>
      <c r="D4022" s="76" t="s">
        <v>37</v>
      </c>
      <c r="E4022" s="76">
        <v>1</v>
      </c>
      <c r="F4022" s="76">
        <v>100</v>
      </c>
    </row>
    <row r="4023" s="76" customFormat="1" spans="1:6">
      <c r="A4023">
        <v>4150</v>
      </c>
      <c r="B4023">
        <v>322018211</v>
      </c>
      <c r="C4023" s="76">
        <v>2018</v>
      </c>
      <c r="D4023" s="76" t="s">
        <v>37</v>
      </c>
      <c r="E4023" s="76">
        <v>2</v>
      </c>
      <c r="F4023" s="76">
        <v>2.4</v>
      </c>
    </row>
    <row r="4024" s="76" customFormat="1" spans="1:6">
      <c r="A4024">
        <v>4152</v>
      </c>
      <c r="B4024">
        <v>322018211</v>
      </c>
      <c r="C4024" s="76">
        <v>2018</v>
      </c>
      <c r="D4024" s="76" t="s">
        <v>37</v>
      </c>
      <c r="E4024" s="76" t="s">
        <v>32</v>
      </c>
      <c r="F4024" s="76">
        <v>2</v>
      </c>
    </row>
    <row r="4025" s="76" customFormat="1" spans="1:6">
      <c r="A4025">
        <v>4156</v>
      </c>
      <c r="B4025">
        <v>322018211</v>
      </c>
      <c r="C4025" s="76">
        <v>2018</v>
      </c>
      <c r="D4025" s="76" t="s">
        <v>37</v>
      </c>
      <c r="E4025" s="76" t="s">
        <v>32</v>
      </c>
      <c r="F4025" s="76">
        <v>1</v>
      </c>
    </row>
    <row r="4026" s="76" customFormat="1" spans="1:6">
      <c r="A4026">
        <v>4157</v>
      </c>
      <c r="B4026">
        <v>322018211</v>
      </c>
      <c r="C4026" s="76">
        <v>2018</v>
      </c>
      <c r="D4026" s="76" t="s">
        <v>37</v>
      </c>
      <c r="E4026" s="76" t="s">
        <v>32</v>
      </c>
      <c r="F4026" s="76">
        <v>2.5</v>
      </c>
    </row>
    <row r="4027" s="76" customFormat="1" spans="1:6">
      <c r="A4027">
        <v>4155</v>
      </c>
      <c r="B4027">
        <v>322018211</v>
      </c>
      <c r="C4027" s="76">
        <v>2018</v>
      </c>
      <c r="D4027" s="76" t="s">
        <v>37</v>
      </c>
      <c r="E4027" s="76" t="s">
        <v>32</v>
      </c>
      <c r="F4027" s="76">
        <v>0.6</v>
      </c>
    </row>
    <row r="4028" s="76" customFormat="1" spans="1:6">
      <c r="A4028">
        <v>4148</v>
      </c>
      <c r="B4028">
        <v>322018211</v>
      </c>
      <c r="C4028" s="76">
        <v>2018</v>
      </c>
      <c r="D4028" s="76" t="s">
        <v>37</v>
      </c>
      <c r="E4028" s="76">
        <v>2</v>
      </c>
      <c r="F4028" s="76">
        <v>17</v>
      </c>
    </row>
    <row r="4029" s="76" customFormat="1" spans="1:6">
      <c r="A4029">
        <v>4151</v>
      </c>
      <c r="B4029">
        <v>322018211</v>
      </c>
      <c r="C4029" s="76">
        <v>2018</v>
      </c>
      <c r="D4029" s="76" t="s">
        <v>37</v>
      </c>
      <c r="E4029" s="76" t="s">
        <v>32</v>
      </c>
      <c r="F4029" s="76">
        <v>0.9</v>
      </c>
    </row>
    <row r="4030" s="76" customFormat="1" spans="1:6">
      <c r="A4030">
        <v>4153</v>
      </c>
      <c r="B4030">
        <v>322018211</v>
      </c>
      <c r="C4030" s="76">
        <v>2018</v>
      </c>
      <c r="D4030" s="76" t="s">
        <v>37</v>
      </c>
      <c r="E4030" s="76" t="s">
        <v>32</v>
      </c>
      <c r="F4030" s="76">
        <v>2.4</v>
      </c>
    </row>
    <row r="4031" s="76" customFormat="1" spans="1:6">
      <c r="A4031">
        <v>4154</v>
      </c>
      <c r="B4031">
        <v>322018211</v>
      </c>
      <c r="C4031" s="76">
        <v>2018</v>
      </c>
      <c r="D4031" s="76" t="s">
        <v>37</v>
      </c>
      <c r="E4031" s="76" t="s">
        <v>32</v>
      </c>
      <c r="F4031" s="76">
        <v>2.5</v>
      </c>
    </row>
    <row r="4032" s="76" customFormat="1" spans="1:6">
      <c r="A4032">
        <v>4159</v>
      </c>
      <c r="B4032">
        <v>322018221</v>
      </c>
      <c r="C4032" s="76">
        <v>2018</v>
      </c>
      <c r="D4032" s="76" t="s">
        <v>30</v>
      </c>
      <c r="E4032" s="76">
        <v>1</v>
      </c>
      <c r="F4032" s="76">
        <v>45.88</v>
      </c>
    </row>
    <row r="4033" s="76" customFormat="1" spans="1:6">
      <c r="A4033">
        <v>4163</v>
      </c>
      <c r="B4033">
        <v>322018221</v>
      </c>
      <c r="C4033" s="76">
        <v>2018</v>
      </c>
      <c r="D4033" s="76" t="s">
        <v>30</v>
      </c>
      <c r="E4033" s="76" t="s">
        <v>32</v>
      </c>
      <c r="F4033" s="76">
        <v>0.65</v>
      </c>
    </row>
    <row r="4034" s="76" customFormat="1" spans="1:6">
      <c r="A4034">
        <v>4158</v>
      </c>
      <c r="B4034">
        <v>322018221</v>
      </c>
      <c r="C4034" s="76">
        <v>2018</v>
      </c>
      <c r="D4034" s="76" t="s">
        <v>30</v>
      </c>
      <c r="E4034" s="76">
        <v>1</v>
      </c>
      <c r="F4034" s="76">
        <v>118</v>
      </c>
    </row>
    <row r="4035" s="76" customFormat="1" spans="1:6">
      <c r="A4035">
        <v>4162</v>
      </c>
      <c r="B4035">
        <v>322018221</v>
      </c>
      <c r="C4035" s="76">
        <v>2018</v>
      </c>
      <c r="D4035" s="76" t="s">
        <v>30</v>
      </c>
      <c r="E4035" s="76" t="s">
        <v>32</v>
      </c>
      <c r="F4035" s="76">
        <v>12.71</v>
      </c>
    </row>
    <row r="4036" s="76" customFormat="1" spans="1:6">
      <c r="A4036">
        <v>4161</v>
      </c>
      <c r="B4036">
        <v>322018221</v>
      </c>
      <c r="C4036" s="76">
        <v>2018</v>
      </c>
      <c r="D4036" s="76" t="s">
        <v>30</v>
      </c>
      <c r="E4036" s="76" t="s">
        <v>32</v>
      </c>
      <c r="F4036" s="76">
        <v>36</v>
      </c>
    </row>
    <row r="4037" s="76" customFormat="1" spans="1:6">
      <c r="A4037">
        <v>4160</v>
      </c>
      <c r="B4037">
        <v>322018221</v>
      </c>
      <c r="C4037" s="76">
        <v>2018</v>
      </c>
      <c r="D4037" s="76" t="s">
        <v>30</v>
      </c>
      <c r="E4037" s="76" t="s">
        <v>32</v>
      </c>
      <c r="F4037" s="76">
        <v>1.2</v>
      </c>
    </row>
    <row r="4038" s="76" customFormat="1" spans="1:6">
      <c r="A4038">
        <v>4168</v>
      </c>
      <c r="B4038">
        <v>322018241</v>
      </c>
      <c r="C4038" s="76">
        <v>2018</v>
      </c>
      <c r="D4038" s="76" t="s">
        <v>33</v>
      </c>
      <c r="E4038" s="76" t="s">
        <v>32</v>
      </c>
      <c r="F4038" s="76">
        <v>2.4</v>
      </c>
    </row>
    <row r="4039" s="76" customFormat="1" spans="1:6">
      <c r="A4039">
        <v>4167</v>
      </c>
      <c r="B4039">
        <v>322018241</v>
      </c>
      <c r="C4039" s="76">
        <v>2018</v>
      </c>
      <c r="D4039" s="76" t="s">
        <v>33</v>
      </c>
      <c r="E4039" s="76" t="s">
        <v>32</v>
      </c>
      <c r="F4039" s="76">
        <v>1.5</v>
      </c>
    </row>
    <row r="4040" s="76" customFormat="1" spans="1:6">
      <c r="A4040">
        <v>4166</v>
      </c>
      <c r="B4040">
        <v>322018241</v>
      </c>
      <c r="C4040" s="76">
        <v>2018</v>
      </c>
      <c r="D4040" s="76" t="s">
        <v>33</v>
      </c>
      <c r="E4040" s="76" t="s">
        <v>32</v>
      </c>
      <c r="F4040" s="76">
        <v>4</v>
      </c>
    </row>
    <row r="4041" s="76" customFormat="1" spans="1:6">
      <c r="A4041">
        <v>4164</v>
      </c>
      <c r="B4041">
        <v>322018241</v>
      </c>
      <c r="C4041" s="76">
        <v>2018</v>
      </c>
      <c r="D4041" s="76" t="s">
        <v>33</v>
      </c>
      <c r="E4041" s="76" t="s">
        <v>32</v>
      </c>
      <c r="F4041" s="76">
        <v>3</v>
      </c>
    </row>
    <row r="4042" s="76" customFormat="1" spans="1:6">
      <c r="A4042">
        <v>4170</v>
      </c>
      <c r="B4042">
        <v>322018242</v>
      </c>
      <c r="C4042" s="76">
        <v>2018</v>
      </c>
      <c r="D4042" s="76" t="s">
        <v>35</v>
      </c>
      <c r="E4042" s="76" t="s">
        <v>32</v>
      </c>
      <c r="F4042" s="76">
        <v>1.8</v>
      </c>
    </row>
    <row r="4043" s="76" customFormat="1" spans="1:6">
      <c r="A4043">
        <v>4172</v>
      </c>
      <c r="B4043">
        <v>322018242</v>
      </c>
      <c r="C4043" s="76">
        <v>2018</v>
      </c>
      <c r="D4043" s="76" t="s">
        <v>35</v>
      </c>
      <c r="E4043" s="76" t="s">
        <v>32</v>
      </c>
      <c r="F4043" s="76">
        <v>0.75</v>
      </c>
    </row>
    <row r="4044" s="76" customFormat="1" spans="1:6">
      <c r="A4044">
        <v>4174</v>
      </c>
      <c r="B4044">
        <v>322018242</v>
      </c>
      <c r="C4044" s="76">
        <v>2018</v>
      </c>
      <c r="D4044" s="76" t="s">
        <v>35</v>
      </c>
      <c r="E4044" s="76" t="s">
        <v>32</v>
      </c>
      <c r="F4044" s="76">
        <v>1.2</v>
      </c>
    </row>
    <row r="4045" s="76" customFormat="1" spans="1:6">
      <c r="A4045">
        <v>4171</v>
      </c>
      <c r="B4045">
        <v>322018242</v>
      </c>
      <c r="C4045" s="76">
        <v>2018</v>
      </c>
      <c r="D4045" s="76" t="s">
        <v>35</v>
      </c>
      <c r="E4045" s="76" t="s">
        <v>32</v>
      </c>
      <c r="F4045" s="76">
        <v>1.2</v>
      </c>
    </row>
    <row r="4046" s="76" customFormat="1" spans="1:6">
      <c r="A4046">
        <v>4169</v>
      </c>
      <c r="B4046">
        <v>322018242</v>
      </c>
      <c r="C4046" s="76">
        <v>2018</v>
      </c>
      <c r="D4046" s="76" t="s">
        <v>35</v>
      </c>
      <c r="E4046" s="76" t="s">
        <v>32</v>
      </c>
      <c r="F4046" s="76">
        <v>0.9</v>
      </c>
    </row>
    <row r="4047" s="76" customFormat="1" spans="1:6">
      <c r="A4047">
        <v>4173</v>
      </c>
      <c r="B4047">
        <v>322018242</v>
      </c>
      <c r="C4047" s="76">
        <v>2018</v>
      </c>
      <c r="D4047" s="76" t="s">
        <v>35</v>
      </c>
      <c r="E4047" s="76" t="s">
        <v>32</v>
      </c>
      <c r="F4047" s="76">
        <v>2.5</v>
      </c>
    </row>
    <row r="4048" s="76" customFormat="1" spans="1:6">
      <c r="A4048">
        <v>4175</v>
      </c>
      <c r="B4048">
        <v>322018242</v>
      </c>
      <c r="C4048" s="76">
        <v>2018</v>
      </c>
      <c r="D4048" s="76" t="s">
        <v>35</v>
      </c>
      <c r="E4048" s="76" t="s">
        <v>32</v>
      </c>
      <c r="F4048" s="76">
        <v>1.5</v>
      </c>
    </row>
    <row r="4049" s="76" customFormat="1" spans="1:6">
      <c r="A4049">
        <v>4176</v>
      </c>
      <c r="B4049">
        <v>322018242</v>
      </c>
      <c r="C4049" s="76">
        <v>2018</v>
      </c>
      <c r="D4049" s="76" t="s">
        <v>35</v>
      </c>
      <c r="E4049" s="76" t="s">
        <v>32</v>
      </c>
      <c r="F4049" s="76">
        <v>2.5</v>
      </c>
    </row>
    <row r="4050" s="76" customFormat="1" spans="1:6">
      <c r="A4050">
        <v>4177</v>
      </c>
      <c r="B4050">
        <v>322018243</v>
      </c>
      <c r="C4050" s="76">
        <v>2018</v>
      </c>
      <c r="D4050" s="76" t="s">
        <v>38</v>
      </c>
      <c r="E4050" s="76" t="s">
        <v>32</v>
      </c>
      <c r="F4050" s="76">
        <v>3</v>
      </c>
    </row>
    <row r="4051" s="76" customFormat="1" spans="1:6">
      <c r="A4051">
        <v>4178</v>
      </c>
      <c r="B4051">
        <v>322018250</v>
      </c>
      <c r="C4051" s="76">
        <v>2018</v>
      </c>
      <c r="D4051" s="76" t="s">
        <v>44</v>
      </c>
      <c r="E4051" s="76">
        <v>2</v>
      </c>
      <c r="F4051" s="76">
        <v>225.2</v>
      </c>
    </row>
    <row r="4052" s="76" customFormat="1" spans="1:6">
      <c r="A4052">
        <v>4191</v>
      </c>
      <c r="B4052">
        <v>322018260</v>
      </c>
      <c r="C4052" s="76">
        <v>2018</v>
      </c>
      <c r="D4052" s="76" t="s">
        <v>34</v>
      </c>
      <c r="E4052" s="76" t="s">
        <v>32</v>
      </c>
      <c r="F4052" s="76">
        <v>1</v>
      </c>
    </row>
    <row r="4053" s="76" customFormat="1" spans="1:6">
      <c r="A4053">
        <v>4183</v>
      </c>
      <c r="B4053">
        <v>322018260</v>
      </c>
      <c r="C4053" s="76">
        <v>2018</v>
      </c>
      <c r="D4053" s="76" t="s">
        <v>34</v>
      </c>
      <c r="E4053" s="76">
        <v>6</v>
      </c>
      <c r="F4053" s="76">
        <v>1.38</v>
      </c>
    </row>
    <row r="4054" s="76" customFormat="1" spans="1:6">
      <c r="A4054">
        <v>4190</v>
      </c>
      <c r="B4054">
        <v>322018260</v>
      </c>
      <c r="C4054" s="76">
        <v>2018</v>
      </c>
      <c r="D4054" s="76" t="s">
        <v>34</v>
      </c>
      <c r="E4054" s="76" t="s">
        <v>32</v>
      </c>
      <c r="F4054" s="76">
        <v>5.06</v>
      </c>
    </row>
    <row r="4055" s="76" customFormat="1" spans="1:6">
      <c r="A4055">
        <v>4187</v>
      </c>
      <c r="B4055">
        <v>322018260</v>
      </c>
      <c r="C4055" s="76">
        <v>2018</v>
      </c>
      <c r="D4055" s="76" t="s">
        <v>34</v>
      </c>
      <c r="E4055" s="76">
        <v>11</v>
      </c>
      <c r="F4055" s="76">
        <v>6.51</v>
      </c>
    </row>
    <row r="4056" s="76" customFormat="1" spans="1:6">
      <c r="A4056">
        <v>4196</v>
      </c>
      <c r="B4056">
        <v>322018260</v>
      </c>
      <c r="C4056" s="76">
        <v>2018</v>
      </c>
      <c r="D4056" s="76" t="s">
        <v>34</v>
      </c>
      <c r="E4056" s="76" t="s">
        <v>32</v>
      </c>
      <c r="F4056" s="76">
        <v>8.4</v>
      </c>
    </row>
    <row r="4057" s="76" customFormat="1" spans="1:6">
      <c r="A4057">
        <v>4199</v>
      </c>
      <c r="B4057">
        <v>322018260</v>
      </c>
      <c r="C4057" s="76">
        <v>2018</v>
      </c>
      <c r="D4057" s="76" t="s">
        <v>34</v>
      </c>
      <c r="E4057" s="76" t="s">
        <v>32</v>
      </c>
      <c r="F4057" s="76">
        <v>3.8</v>
      </c>
    </row>
    <row r="4058" s="76" customFormat="1" spans="1:6">
      <c r="A4058">
        <v>4186</v>
      </c>
      <c r="B4058">
        <v>322018260</v>
      </c>
      <c r="C4058" s="76">
        <v>2018</v>
      </c>
      <c r="D4058" s="76" t="s">
        <v>34</v>
      </c>
      <c r="E4058" s="76" t="s">
        <v>32</v>
      </c>
      <c r="F4058" s="76">
        <v>1</v>
      </c>
    </row>
    <row r="4059" s="76" customFormat="1" spans="1:6">
      <c r="A4059">
        <v>4198</v>
      </c>
      <c r="B4059">
        <v>322018260</v>
      </c>
      <c r="C4059" s="76">
        <v>2018</v>
      </c>
      <c r="D4059" s="76" t="s">
        <v>34</v>
      </c>
      <c r="E4059" s="76" t="s">
        <v>32</v>
      </c>
      <c r="F4059" s="76">
        <v>6.38</v>
      </c>
    </row>
    <row r="4060" s="76" customFormat="1" spans="1:6">
      <c r="A4060">
        <v>4182</v>
      </c>
      <c r="B4060">
        <v>322018260</v>
      </c>
      <c r="C4060" s="76">
        <v>2018</v>
      </c>
      <c r="D4060" s="76" t="s">
        <v>34</v>
      </c>
      <c r="E4060" s="76">
        <v>100</v>
      </c>
      <c r="F4060" s="76">
        <v>50</v>
      </c>
    </row>
    <row r="4061" s="76" customFormat="1" spans="1:6">
      <c r="A4061">
        <v>4179</v>
      </c>
      <c r="B4061">
        <v>322018260</v>
      </c>
      <c r="C4061" s="76">
        <v>2018</v>
      </c>
      <c r="D4061" s="76" t="s">
        <v>34</v>
      </c>
      <c r="E4061" s="76">
        <v>49</v>
      </c>
      <c r="F4061" s="76">
        <v>16.17</v>
      </c>
    </row>
    <row r="4062" s="76" customFormat="1" spans="1:6">
      <c r="A4062">
        <v>4189</v>
      </c>
      <c r="B4062">
        <v>322018260</v>
      </c>
      <c r="C4062" s="76">
        <v>2018</v>
      </c>
      <c r="D4062" s="76" t="s">
        <v>34</v>
      </c>
      <c r="E4062" s="76">
        <v>25</v>
      </c>
      <c r="F4062" s="76">
        <v>5</v>
      </c>
    </row>
    <row r="4063" s="76" customFormat="1" spans="1:6">
      <c r="A4063">
        <v>4184</v>
      </c>
      <c r="B4063">
        <v>322018260</v>
      </c>
      <c r="C4063" s="76">
        <v>2018</v>
      </c>
      <c r="D4063" s="76" t="s">
        <v>34</v>
      </c>
      <c r="E4063" s="76">
        <v>72</v>
      </c>
      <c r="F4063" s="76">
        <v>30.24</v>
      </c>
    </row>
    <row r="4064" s="76" customFormat="1" spans="1:6">
      <c r="A4064">
        <v>4194</v>
      </c>
      <c r="B4064">
        <v>322018260</v>
      </c>
      <c r="C4064" s="76">
        <v>2018</v>
      </c>
      <c r="D4064" s="76" t="s">
        <v>34</v>
      </c>
      <c r="E4064" s="76" t="s">
        <v>32</v>
      </c>
      <c r="F4064" s="76">
        <v>0.6</v>
      </c>
    </row>
    <row r="4065" s="76" customFormat="1" spans="1:6">
      <c r="A4065">
        <v>4197</v>
      </c>
      <c r="B4065">
        <v>322018260</v>
      </c>
      <c r="C4065" s="76">
        <v>2018</v>
      </c>
      <c r="D4065" s="76" t="s">
        <v>34</v>
      </c>
      <c r="E4065" s="76" t="s">
        <v>32</v>
      </c>
      <c r="F4065" s="76">
        <v>10</v>
      </c>
    </row>
    <row r="4066" s="76" customFormat="1" spans="1:6">
      <c r="A4066">
        <v>4181</v>
      </c>
      <c r="B4066">
        <v>322018260</v>
      </c>
      <c r="C4066" s="76">
        <v>2018</v>
      </c>
      <c r="D4066" s="76" t="s">
        <v>34</v>
      </c>
      <c r="E4066" s="76">
        <v>23</v>
      </c>
      <c r="F4066" s="76">
        <v>4.6</v>
      </c>
    </row>
    <row r="4067" s="76" customFormat="1" spans="1:6">
      <c r="A4067">
        <v>4195</v>
      </c>
      <c r="B4067">
        <v>322018260</v>
      </c>
      <c r="C4067" s="76">
        <v>2018</v>
      </c>
      <c r="D4067" s="76" t="s">
        <v>34</v>
      </c>
      <c r="E4067" s="76" t="s">
        <v>32</v>
      </c>
      <c r="F4067" s="76">
        <v>0.74</v>
      </c>
    </row>
    <row r="4068" s="76" customFormat="1" spans="1:6">
      <c r="A4068">
        <v>4192</v>
      </c>
      <c r="B4068">
        <v>322018260</v>
      </c>
      <c r="C4068" s="76">
        <v>2018</v>
      </c>
      <c r="D4068" s="76" t="s">
        <v>34</v>
      </c>
      <c r="E4068" s="76" t="s">
        <v>32</v>
      </c>
      <c r="F4068" s="76">
        <v>0.66</v>
      </c>
    </row>
    <row r="4069" s="76" customFormat="1" spans="1:6">
      <c r="A4069">
        <v>4185</v>
      </c>
      <c r="B4069">
        <v>322018260</v>
      </c>
      <c r="C4069" s="76">
        <v>2018</v>
      </c>
      <c r="D4069" s="76" t="s">
        <v>34</v>
      </c>
      <c r="E4069" s="76" t="s">
        <v>32</v>
      </c>
      <c r="F4069" s="76">
        <v>10.04</v>
      </c>
    </row>
    <row r="4070" s="76" customFormat="1" spans="1:6">
      <c r="A4070">
        <v>4180</v>
      </c>
      <c r="B4070">
        <v>322018260</v>
      </c>
      <c r="C4070" s="76">
        <v>2018</v>
      </c>
      <c r="D4070" s="76" t="s">
        <v>34</v>
      </c>
      <c r="E4070" s="76">
        <v>75</v>
      </c>
      <c r="F4070" s="76">
        <v>30</v>
      </c>
    </row>
    <row r="4071" s="76" customFormat="1" spans="1:6">
      <c r="A4071">
        <v>4193</v>
      </c>
      <c r="B4071">
        <v>322018260</v>
      </c>
      <c r="C4071" s="76">
        <v>2018</v>
      </c>
      <c r="D4071" s="76" t="s">
        <v>34</v>
      </c>
      <c r="E4071" s="76" t="s">
        <v>32</v>
      </c>
      <c r="F4071" s="76">
        <v>4.84</v>
      </c>
    </row>
    <row r="4072" s="76" customFormat="1" spans="1:6">
      <c r="A4072">
        <v>4283</v>
      </c>
      <c r="B4072">
        <v>322018270</v>
      </c>
      <c r="C4072" s="76">
        <v>2018</v>
      </c>
      <c r="D4072" s="76" t="s">
        <v>31</v>
      </c>
      <c r="E4072" s="76" t="s">
        <v>32</v>
      </c>
      <c r="F4072" s="76">
        <v>4.25</v>
      </c>
    </row>
    <row r="4073" s="76" customFormat="1" spans="1:6">
      <c r="A4073">
        <v>4228</v>
      </c>
      <c r="B4073">
        <v>322018270</v>
      </c>
      <c r="C4073" s="76">
        <v>2018</v>
      </c>
      <c r="D4073" s="76" t="s">
        <v>31</v>
      </c>
      <c r="E4073" s="76" t="s">
        <v>32</v>
      </c>
      <c r="F4073" s="76">
        <v>1</v>
      </c>
    </row>
    <row r="4074" s="76" customFormat="1" spans="1:6">
      <c r="A4074">
        <v>4288</v>
      </c>
      <c r="B4074">
        <v>322018270</v>
      </c>
      <c r="C4074" s="76">
        <v>2018</v>
      </c>
      <c r="D4074" s="76" t="s">
        <v>31</v>
      </c>
      <c r="E4074" s="76" t="s">
        <v>32</v>
      </c>
      <c r="F4074" s="76">
        <v>0.02</v>
      </c>
    </row>
    <row r="4075" s="76" customFormat="1" spans="1:6">
      <c r="A4075">
        <v>4258</v>
      </c>
      <c r="B4075">
        <v>322018270</v>
      </c>
      <c r="C4075" s="76">
        <v>2018</v>
      </c>
      <c r="D4075" s="76" t="s">
        <v>31</v>
      </c>
      <c r="E4075" s="76" t="s">
        <v>32</v>
      </c>
      <c r="F4075" s="76">
        <v>1</v>
      </c>
    </row>
    <row r="4076" s="76" customFormat="1" spans="1:6">
      <c r="A4076">
        <v>4259</v>
      </c>
      <c r="B4076">
        <v>322018270</v>
      </c>
      <c r="C4076" s="76">
        <v>2018</v>
      </c>
      <c r="D4076" s="76" t="s">
        <v>31</v>
      </c>
      <c r="E4076" s="76" t="s">
        <v>32</v>
      </c>
      <c r="F4076" s="76">
        <v>1.5</v>
      </c>
    </row>
    <row r="4077" s="76" customFormat="1" spans="1:6">
      <c r="A4077">
        <v>4215</v>
      </c>
      <c r="B4077">
        <v>322018270</v>
      </c>
      <c r="C4077" s="76">
        <v>2018</v>
      </c>
      <c r="D4077" s="76" t="s">
        <v>31</v>
      </c>
      <c r="E4077" s="76" t="s">
        <v>32</v>
      </c>
      <c r="F4077" s="76">
        <v>0.6</v>
      </c>
    </row>
    <row r="4078" s="76" customFormat="1" spans="1:6">
      <c r="A4078">
        <v>4276</v>
      </c>
      <c r="B4078">
        <v>322018270</v>
      </c>
      <c r="C4078" s="76">
        <v>2018</v>
      </c>
      <c r="D4078" s="76" t="s">
        <v>31</v>
      </c>
      <c r="E4078" s="76" t="s">
        <v>32</v>
      </c>
      <c r="F4078" s="76">
        <v>1</v>
      </c>
    </row>
    <row r="4079" s="76" customFormat="1" spans="1:6">
      <c r="A4079">
        <v>4256</v>
      </c>
      <c r="B4079">
        <v>322018270</v>
      </c>
      <c r="C4079" s="76">
        <v>2018</v>
      </c>
      <c r="D4079" s="76" t="s">
        <v>31</v>
      </c>
      <c r="E4079" s="76" t="s">
        <v>32</v>
      </c>
      <c r="F4079" s="76">
        <v>1</v>
      </c>
    </row>
    <row r="4080" s="76" customFormat="1" spans="1:6">
      <c r="A4080">
        <v>4282</v>
      </c>
      <c r="B4080">
        <v>322018270</v>
      </c>
      <c r="C4080" s="76">
        <v>2018</v>
      </c>
      <c r="D4080" s="76" t="s">
        <v>31</v>
      </c>
      <c r="E4080" s="76" t="s">
        <v>32</v>
      </c>
      <c r="F4080" s="76">
        <v>0.64</v>
      </c>
    </row>
    <row r="4081" s="76" customFormat="1" spans="1:6">
      <c r="A4081">
        <v>4213</v>
      </c>
      <c r="B4081">
        <v>322018270</v>
      </c>
      <c r="C4081" s="76">
        <v>2018</v>
      </c>
      <c r="D4081" s="76" t="s">
        <v>31</v>
      </c>
      <c r="E4081" s="76" t="s">
        <v>32</v>
      </c>
      <c r="F4081" s="76">
        <v>12.75</v>
      </c>
    </row>
    <row r="4082" s="76" customFormat="1" spans="1:6">
      <c r="A4082">
        <v>4255</v>
      </c>
      <c r="B4082">
        <v>322018270</v>
      </c>
      <c r="C4082" s="76">
        <v>2018</v>
      </c>
      <c r="D4082" s="76" t="s">
        <v>31</v>
      </c>
      <c r="E4082" s="76" t="s">
        <v>32</v>
      </c>
      <c r="F4082" s="76">
        <v>1.5</v>
      </c>
    </row>
    <row r="4083" s="76" customFormat="1" spans="1:6">
      <c r="A4083">
        <v>4214</v>
      </c>
      <c r="B4083">
        <v>322018270</v>
      </c>
      <c r="C4083" s="76">
        <v>2018</v>
      </c>
      <c r="D4083" s="76" t="s">
        <v>31</v>
      </c>
      <c r="E4083" s="76" t="s">
        <v>32</v>
      </c>
      <c r="F4083" s="76">
        <v>5.47</v>
      </c>
    </row>
    <row r="4084" s="76" customFormat="1" spans="1:6">
      <c r="A4084">
        <v>4217</v>
      </c>
      <c r="B4084">
        <v>322018270</v>
      </c>
      <c r="C4084" s="76">
        <v>2018</v>
      </c>
      <c r="D4084" s="76" t="s">
        <v>31</v>
      </c>
      <c r="E4084" s="76" t="s">
        <v>32</v>
      </c>
      <c r="F4084" s="76">
        <v>0.55</v>
      </c>
    </row>
    <row r="4085" s="76" customFormat="1" spans="1:6">
      <c r="A4085">
        <v>4216</v>
      </c>
      <c r="B4085">
        <v>322018270</v>
      </c>
      <c r="C4085" s="76">
        <v>2018</v>
      </c>
      <c r="D4085" s="76" t="s">
        <v>31</v>
      </c>
      <c r="E4085" s="76" t="s">
        <v>32</v>
      </c>
      <c r="F4085" s="76">
        <v>0.78</v>
      </c>
    </row>
    <row r="4086" s="76" customFormat="1" spans="1:6">
      <c r="A4086">
        <v>4260</v>
      </c>
      <c r="B4086">
        <v>322018270</v>
      </c>
      <c r="C4086" s="76">
        <v>2018</v>
      </c>
      <c r="D4086" s="76" t="s">
        <v>31</v>
      </c>
      <c r="E4086" s="76" t="s">
        <v>32</v>
      </c>
      <c r="F4086" s="76">
        <v>1.23</v>
      </c>
    </row>
    <row r="4087" s="76" customFormat="1" spans="1:6">
      <c r="A4087">
        <v>4251</v>
      </c>
      <c r="B4087">
        <v>322018270</v>
      </c>
      <c r="C4087" s="76">
        <v>2018</v>
      </c>
      <c r="D4087" s="76" t="s">
        <v>31</v>
      </c>
      <c r="E4087" s="76" t="s">
        <v>32</v>
      </c>
      <c r="F4087" s="76">
        <v>1</v>
      </c>
    </row>
    <row r="4088" s="76" customFormat="1" spans="1:6">
      <c r="A4088">
        <v>4275</v>
      </c>
      <c r="B4088">
        <v>322018270</v>
      </c>
      <c r="C4088" s="76">
        <v>2018</v>
      </c>
      <c r="D4088" s="76" t="s">
        <v>31</v>
      </c>
      <c r="E4088" s="76" t="s">
        <v>32</v>
      </c>
      <c r="F4088" s="76">
        <v>1.5</v>
      </c>
    </row>
    <row r="4089" s="76" customFormat="1" spans="1:6">
      <c r="A4089">
        <v>4284</v>
      </c>
      <c r="B4089">
        <v>322018270</v>
      </c>
      <c r="C4089" s="76">
        <v>2018</v>
      </c>
      <c r="D4089" s="76" t="s">
        <v>31</v>
      </c>
      <c r="E4089" s="76" t="s">
        <v>32</v>
      </c>
      <c r="F4089" s="76">
        <v>4</v>
      </c>
    </row>
    <row r="4090" s="76" customFormat="1" spans="1:6">
      <c r="A4090">
        <v>4208</v>
      </c>
      <c r="B4090">
        <v>322018270</v>
      </c>
      <c r="C4090" s="76">
        <v>2018</v>
      </c>
      <c r="D4090" s="76" t="s">
        <v>31</v>
      </c>
      <c r="E4090" s="76" t="s">
        <v>32</v>
      </c>
      <c r="F4090" s="76">
        <v>2.37</v>
      </c>
    </row>
    <row r="4091" s="76" customFormat="1" spans="1:6">
      <c r="A4091">
        <v>4252</v>
      </c>
      <c r="B4091">
        <v>322018270</v>
      </c>
      <c r="C4091" s="76">
        <v>2018</v>
      </c>
      <c r="D4091" s="76" t="s">
        <v>31</v>
      </c>
      <c r="E4091" s="76" t="s">
        <v>32</v>
      </c>
      <c r="F4091" s="76">
        <v>1</v>
      </c>
    </row>
    <row r="4092" s="76" customFormat="1" spans="1:6">
      <c r="A4092">
        <v>4219</v>
      </c>
      <c r="B4092">
        <v>322018270</v>
      </c>
      <c r="C4092" s="76">
        <v>2018</v>
      </c>
      <c r="D4092" s="76" t="s">
        <v>31</v>
      </c>
      <c r="E4092" s="76" t="s">
        <v>32</v>
      </c>
      <c r="F4092" s="76">
        <v>0.69</v>
      </c>
    </row>
    <row r="4093" s="76" customFormat="1" spans="1:6">
      <c r="A4093">
        <v>4218</v>
      </c>
      <c r="B4093">
        <v>322018270</v>
      </c>
      <c r="C4093" s="76">
        <v>2018</v>
      </c>
      <c r="D4093" s="76" t="s">
        <v>31</v>
      </c>
      <c r="E4093" s="76" t="s">
        <v>32</v>
      </c>
      <c r="F4093" s="76">
        <v>1</v>
      </c>
    </row>
    <row r="4094" s="76" customFormat="1" spans="1:6">
      <c r="A4094">
        <v>4253</v>
      </c>
      <c r="B4094">
        <v>322018270</v>
      </c>
      <c r="C4094" s="76">
        <v>2018</v>
      </c>
      <c r="D4094" s="76" t="s">
        <v>31</v>
      </c>
      <c r="E4094" s="76" t="s">
        <v>32</v>
      </c>
      <c r="F4094" s="76">
        <v>1.5</v>
      </c>
    </row>
    <row r="4095" s="76" customFormat="1" spans="1:6">
      <c r="A4095">
        <v>4277</v>
      </c>
      <c r="B4095">
        <v>322018270</v>
      </c>
      <c r="C4095" s="76">
        <v>2018</v>
      </c>
      <c r="D4095" s="76" t="s">
        <v>31</v>
      </c>
      <c r="E4095" s="76" t="s">
        <v>32</v>
      </c>
      <c r="F4095" s="76">
        <v>1</v>
      </c>
    </row>
    <row r="4096" s="76" customFormat="1" spans="1:6">
      <c r="A4096">
        <v>4249</v>
      </c>
      <c r="B4096">
        <v>322018270</v>
      </c>
      <c r="C4096" s="76">
        <v>2018</v>
      </c>
      <c r="D4096" s="76" t="s">
        <v>31</v>
      </c>
      <c r="E4096" s="76" t="s">
        <v>32</v>
      </c>
      <c r="F4096" s="76">
        <v>1</v>
      </c>
    </row>
    <row r="4097" s="76" customFormat="1" spans="1:6">
      <c r="A4097">
        <v>4250</v>
      </c>
      <c r="B4097">
        <v>322018270</v>
      </c>
      <c r="C4097" s="76">
        <v>2018</v>
      </c>
      <c r="D4097" s="76" t="s">
        <v>31</v>
      </c>
      <c r="E4097" s="76" t="s">
        <v>32</v>
      </c>
      <c r="F4097" s="76">
        <v>1</v>
      </c>
    </row>
    <row r="4098" s="76" customFormat="1" spans="1:6">
      <c r="A4098">
        <v>4278</v>
      </c>
      <c r="B4098">
        <v>322018270</v>
      </c>
      <c r="C4098" s="76">
        <v>2018</v>
      </c>
      <c r="D4098" s="76" t="s">
        <v>31</v>
      </c>
      <c r="E4098" s="76" t="s">
        <v>32</v>
      </c>
      <c r="F4098" s="76">
        <v>1.5</v>
      </c>
    </row>
    <row r="4099" s="76" customFormat="1" spans="1:6">
      <c r="A4099">
        <v>4254</v>
      </c>
      <c r="B4099">
        <v>322018270</v>
      </c>
      <c r="C4099" s="76">
        <v>2018</v>
      </c>
      <c r="D4099" s="76" t="s">
        <v>31</v>
      </c>
      <c r="E4099" s="76" t="s">
        <v>32</v>
      </c>
      <c r="F4099" s="76">
        <v>2.6</v>
      </c>
    </row>
    <row r="4100" s="76" customFormat="1" spans="1:6">
      <c r="A4100">
        <v>4238</v>
      </c>
      <c r="B4100">
        <v>322018270</v>
      </c>
      <c r="C4100" s="76">
        <v>2018</v>
      </c>
      <c r="D4100" s="76" t="s">
        <v>31</v>
      </c>
      <c r="E4100" s="76" t="s">
        <v>32</v>
      </c>
      <c r="F4100" s="76">
        <v>1</v>
      </c>
    </row>
    <row r="4101" s="76" customFormat="1" spans="1:6">
      <c r="A4101">
        <v>4257</v>
      </c>
      <c r="B4101">
        <v>322018270</v>
      </c>
      <c r="C4101" s="76">
        <v>2018</v>
      </c>
      <c r="D4101" s="76" t="s">
        <v>31</v>
      </c>
      <c r="E4101" s="76" t="s">
        <v>32</v>
      </c>
      <c r="F4101" s="76">
        <v>0.5</v>
      </c>
    </row>
    <row r="4102" s="76" customFormat="1" spans="1:6">
      <c r="A4102">
        <v>4224</v>
      </c>
      <c r="B4102">
        <v>322018270</v>
      </c>
      <c r="C4102" s="76">
        <v>2018</v>
      </c>
      <c r="D4102" s="76" t="s">
        <v>31</v>
      </c>
      <c r="E4102" s="76" t="s">
        <v>32</v>
      </c>
      <c r="F4102" s="76">
        <v>7</v>
      </c>
    </row>
    <row r="4103" s="76" customFormat="1" spans="1:6">
      <c r="A4103">
        <v>4242</v>
      </c>
      <c r="B4103">
        <v>322018270</v>
      </c>
      <c r="C4103" s="76">
        <v>2018</v>
      </c>
      <c r="D4103" s="76" t="s">
        <v>31</v>
      </c>
      <c r="E4103" s="76" t="s">
        <v>32</v>
      </c>
      <c r="F4103" s="76">
        <v>1.5</v>
      </c>
    </row>
    <row r="4104" s="76" customFormat="1" spans="1:6">
      <c r="A4104">
        <v>4243</v>
      </c>
      <c r="B4104">
        <v>322018270</v>
      </c>
      <c r="C4104" s="76">
        <v>2018</v>
      </c>
      <c r="D4104" s="76" t="s">
        <v>31</v>
      </c>
      <c r="E4104" s="76" t="s">
        <v>32</v>
      </c>
      <c r="F4104" s="76">
        <v>1.5</v>
      </c>
    </row>
    <row r="4105" s="76" customFormat="1" spans="1:6">
      <c r="A4105">
        <v>4244</v>
      </c>
      <c r="B4105">
        <v>322018270</v>
      </c>
      <c r="C4105" s="76">
        <v>2018</v>
      </c>
      <c r="D4105" s="76" t="s">
        <v>31</v>
      </c>
      <c r="E4105" s="76" t="s">
        <v>32</v>
      </c>
      <c r="F4105" s="76">
        <v>1.5</v>
      </c>
    </row>
    <row r="4106" s="76" customFormat="1" spans="1:6">
      <c r="A4106">
        <v>4245</v>
      </c>
      <c r="B4106">
        <v>322018270</v>
      </c>
      <c r="C4106" s="76">
        <v>2018</v>
      </c>
      <c r="D4106" s="76" t="s">
        <v>31</v>
      </c>
      <c r="E4106" s="76" t="s">
        <v>32</v>
      </c>
      <c r="F4106" s="76">
        <v>1.1</v>
      </c>
    </row>
    <row r="4107" s="76" customFormat="1" spans="1:6">
      <c r="A4107">
        <v>4246</v>
      </c>
      <c r="B4107">
        <v>322018270</v>
      </c>
      <c r="C4107" s="76">
        <v>2018</v>
      </c>
      <c r="D4107" s="76" t="s">
        <v>31</v>
      </c>
      <c r="E4107" s="76" t="s">
        <v>32</v>
      </c>
      <c r="F4107" s="76">
        <v>1.5</v>
      </c>
    </row>
    <row r="4108" s="76" customFormat="1" spans="1:6">
      <c r="A4108">
        <v>4221</v>
      </c>
      <c r="B4108">
        <v>322018270</v>
      </c>
      <c r="C4108" s="76">
        <v>2018</v>
      </c>
      <c r="D4108" s="76" t="s">
        <v>31</v>
      </c>
      <c r="E4108" s="76" t="s">
        <v>32</v>
      </c>
      <c r="F4108" s="76">
        <v>1.39</v>
      </c>
    </row>
    <row r="4109" s="76" customFormat="1" spans="1:6">
      <c r="A4109">
        <v>4232</v>
      </c>
      <c r="B4109">
        <v>322018270</v>
      </c>
      <c r="C4109" s="76">
        <v>2018</v>
      </c>
      <c r="D4109" s="76" t="s">
        <v>31</v>
      </c>
      <c r="E4109" s="76" t="s">
        <v>32</v>
      </c>
      <c r="F4109" s="76">
        <v>1</v>
      </c>
    </row>
    <row r="4110" s="76" customFormat="1" spans="1:6">
      <c r="A4110">
        <v>4265</v>
      </c>
      <c r="B4110">
        <v>322018270</v>
      </c>
      <c r="C4110" s="76">
        <v>2018</v>
      </c>
      <c r="D4110" s="76" t="s">
        <v>31</v>
      </c>
      <c r="E4110" s="76" t="s">
        <v>32</v>
      </c>
      <c r="F4110" s="76">
        <v>2</v>
      </c>
    </row>
    <row r="4111" s="76" customFormat="1" spans="1:6">
      <c r="A4111">
        <v>4236</v>
      </c>
      <c r="B4111">
        <v>322018270</v>
      </c>
      <c r="C4111" s="76">
        <v>2018</v>
      </c>
      <c r="D4111" s="76" t="s">
        <v>31</v>
      </c>
      <c r="E4111" s="76" t="s">
        <v>32</v>
      </c>
      <c r="F4111" s="76">
        <v>1</v>
      </c>
    </row>
    <row r="4112" s="76" customFormat="1" spans="1:6">
      <c r="A4112">
        <v>4202</v>
      </c>
      <c r="B4112">
        <v>322018270</v>
      </c>
      <c r="C4112" s="76">
        <v>2018</v>
      </c>
      <c r="D4112" s="76" t="s">
        <v>31</v>
      </c>
      <c r="E4112" s="76" t="s">
        <v>32</v>
      </c>
      <c r="F4112" s="76">
        <v>3</v>
      </c>
    </row>
    <row r="4113" s="76" customFormat="1" spans="1:6">
      <c r="A4113">
        <v>4206</v>
      </c>
      <c r="B4113">
        <v>322018270</v>
      </c>
      <c r="C4113" s="76">
        <v>2018</v>
      </c>
      <c r="D4113" s="76" t="s">
        <v>31</v>
      </c>
      <c r="E4113" s="76" t="s">
        <v>32</v>
      </c>
      <c r="F4113" s="76">
        <v>10</v>
      </c>
    </row>
    <row r="4114" s="76" customFormat="1" spans="1:6">
      <c r="A4114">
        <v>4210</v>
      </c>
      <c r="B4114">
        <v>322018270</v>
      </c>
      <c r="C4114" s="76">
        <v>2018</v>
      </c>
      <c r="D4114" s="76" t="s">
        <v>31</v>
      </c>
      <c r="E4114" s="76" t="s">
        <v>32</v>
      </c>
      <c r="F4114" s="76">
        <v>10</v>
      </c>
    </row>
    <row r="4115" s="76" customFormat="1" spans="1:6">
      <c r="A4115">
        <v>4220</v>
      </c>
      <c r="B4115">
        <v>322018270</v>
      </c>
      <c r="C4115" s="76">
        <v>2018</v>
      </c>
      <c r="D4115" s="76" t="s">
        <v>31</v>
      </c>
      <c r="E4115" s="76" t="s">
        <v>32</v>
      </c>
      <c r="F4115" s="76">
        <v>1</v>
      </c>
    </row>
    <row r="4116" s="76" customFormat="1" spans="1:6">
      <c r="A4116">
        <v>4201</v>
      </c>
      <c r="B4116">
        <v>322018270</v>
      </c>
      <c r="C4116" s="76">
        <v>2018</v>
      </c>
      <c r="D4116" s="76" t="s">
        <v>31</v>
      </c>
      <c r="E4116" s="76" t="s">
        <v>32</v>
      </c>
      <c r="F4116" s="76">
        <v>0.7</v>
      </c>
    </row>
    <row r="4117" s="76" customFormat="1" spans="1:6">
      <c r="A4117">
        <v>4279</v>
      </c>
      <c r="B4117">
        <v>322018270</v>
      </c>
      <c r="C4117" s="76">
        <v>2018</v>
      </c>
      <c r="D4117" s="76" t="s">
        <v>31</v>
      </c>
      <c r="E4117" s="76" t="s">
        <v>32</v>
      </c>
      <c r="F4117" s="76">
        <v>1.47</v>
      </c>
    </row>
    <row r="4118" s="76" customFormat="1" spans="1:6">
      <c r="A4118">
        <v>4204</v>
      </c>
      <c r="B4118">
        <v>322018270</v>
      </c>
      <c r="C4118" s="76">
        <v>2018</v>
      </c>
      <c r="D4118" s="76" t="s">
        <v>31</v>
      </c>
      <c r="E4118" s="76" t="s">
        <v>32</v>
      </c>
      <c r="F4118" s="76">
        <v>1</v>
      </c>
    </row>
    <row r="4119" s="76" customFormat="1" spans="1:6">
      <c r="A4119">
        <v>4203</v>
      </c>
      <c r="B4119">
        <v>322018270</v>
      </c>
      <c r="C4119" s="76">
        <v>2018</v>
      </c>
      <c r="D4119" s="76" t="s">
        <v>31</v>
      </c>
      <c r="E4119" s="76" t="s">
        <v>32</v>
      </c>
      <c r="F4119" s="76">
        <v>0.5</v>
      </c>
    </row>
    <row r="4120" s="76" customFormat="1" spans="1:6">
      <c r="A4120">
        <v>4226</v>
      </c>
      <c r="B4120">
        <v>322018270</v>
      </c>
      <c r="C4120" s="76">
        <v>2018</v>
      </c>
      <c r="D4120" s="76" t="s">
        <v>31</v>
      </c>
      <c r="E4120" s="76" t="s">
        <v>32</v>
      </c>
      <c r="F4120" s="76">
        <v>8.75</v>
      </c>
    </row>
    <row r="4121" s="76" customFormat="1" spans="1:6">
      <c r="A4121">
        <v>4211</v>
      </c>
      <c r="B4121">
        <v>322018270</v>
      </c>
      <c r="C4121" s="76">
        <v>2018</v>
      </c>
      <c r="D4121" s="76" t="s">
        <v>31</v>
      </c>
      <c r="E4121" s="76" t="s">
        <v>32</v>
      </c>
      <c r="F4121" s="76">
        <v>3.1</v>
      </c>
    </row>
    <row r="4122" s="76" customFormat="1" spans="1:6">
      <c r="A4122">
        <v>4207</v>
      </c>
      <c r="B4122">
        <v>322018270</v>
      </c>
      <c r="C4122" s="76">
        <v>2018</v>
      </c>
      <c r="D4122" s="76" t="s">
        <v>31</v>
      </c>
      <c r="E4122" s="76" t="s">
        <v>32</v>
      </c>
      <c r="F4122" s="76">
        <v>10</v>
      </c>
    </row>
    <row r="4123" s="76" customFormat="1" spans="1:6">
      <c r="A4123">
        <v>4209</v>
      </c>
      <c r="B4123">
        <v>322018270</v>
      </c>
      <c r="C4123" s="76">
        <v>2018</v>
      </c>
      <c r="D4123" s="76" t="s">
        <v>31</v>
      </c>
      <c r="E4123" s="76" t="s">
        <v>32</v>
      </c>
      <c r="F4123" s="76">
        <v>10</v>
      </c>
    </row>
    <row r="4124" s="76" customFormat="1" spans="1:6">
      <c r="A4124">
        <v>4237</v>
      </c>
      <c r="B4124">
        <v>322018270</v>
      </c>
      <c r="C4124" s="76">
        <v>2018</v>
      </c>
      <c r="D4124" s="76" t="s">
        <v>31</v>
      </c>
      <c r="E4124" s="76" t="s">
        <v>32</v>
      </c>
      <c r="F4124" s="76">
        <v>1</v>
      </c>
    </row>
    <row r="4125" s="76" customFormat="1" spans="1:6">
      <c r="A4125">
        <v>4264</v>
      </c>
      <c r="B4125">
        <v>322018270</v>
      </c>
      <c r="C4125" s="76">
        <v>2018</v>
      </c>
      <c r="D4125" s="76" t="s">
        <v>31</v>
      </c>
      <c r="E4125" s="76" t="s">
        <v>32</v>
      </c>
      <c r="F4125" s="76">
        <v>1</v>
      </c>
    </row>
    <row r="4126" s="76" customFormat="1" spans="1:6">
      <c r="A4126">
        <v>4263</v>
      </c>
      <c r="B4126">
        <v>322018270</v>
      </c>
      <c r="C4126" s="76">
        <v>2018</v>
      </c>
      <c r="D4126" s="76" t="s">
        <v>31</v>
      </c>
      <c r="E4126" s="76" t="s">
        <v>32</v>
      </c>
      <c r="F4126" s="76">
        <v>0.8</v>
      </c>
    </row>
    <row r="4127" s="76" customFormat="1" spans="1:6">
      <c r="A4127">
        <v>4281</v>
      </c>
      <c r="B4127">
        <v>322018270</v>
      </c>
      <c r="C4127" s="76">
        <v>2018</v>
      </c>
      <c r="D4127" s="76" t="s">
        <v>31</v>
      </c>
      <c r="E4127" s="76" t="s">
        <v>32</v>
      </c>
      <c r="F4127" s="76">
        <v>0.7</v>
      </c>
    </row>
    <row r="4128" s="76" customFormat="1" spans="1:6">
      <c r="A4128">
        <v>4212</v>
      </c>
      <c r="B4128">
        <v>322018270</v>
      </c>
      <c r="C4128" s="76">
        <v>2018</v>
      </c>
      <c r="D4128" s="76" t="s">
        <v>31</v>
      </c>
      <c r="E4128" s="76" t="s">
        <v>32</v>
      </c>
      <c r="F4128" s="76">
        <v>0.6</v>
      </c>
    </row>
    <row r="4129" s="76" customFormat="1" spans="1:6">
      <c r="A4129">
        <v>4235</v>
      </c>
      <c r="B4129">
        <v>322018270</v>
      </c>
      <c r="C4129" s="76">
        <v>2018</v>
      </c>
      <c r="D4129" s="76" t="s">
        <v>31</v>
      </c>
      <c r="E4129" s="76" t="s">
        <v>32</v>
      </c>
      <c r="F4129" s="76">
        <v>1.42</v>
      </c>
    </row>
    <row r="4130" s="76" customFormat="1" spans="1:6">
      <c r="A4130">
        <v>4274</v>
      </c>
      <c r="B4130">
        <v>322018270</v>
      </c>
      <c r="C4130" s="76">
        <v>2018</v>
      </c>
      <c r="D4130" s="76" t="s">
        <v>31</v>
      </c>
      <c r="E4130" s="76" t="s">
        <v>32</v>
      </c>
      <c r="F4130" s="76">
        <v>0.8</v>
      </c>
    </row>
    <row r="4131" s="76" customFormat="1" spans="1:6">
      <c r="A4131">
        <v>4230</v>
      </c>
      <c r="B4131">
        <v>322018270</v>
      </c>
      <c r="C4131" s="76">
        <v>2018</v>
      </c>
      <c r="D4131" s="76" t="s">
        <v>31</v>
      </c>
      <c r="E4131" s="76" t="s">
        <v>32</v>
      </c>
      <c r="F4131" s="76">
        <v>1</v>
      </c>
    </row>
    <row r="4132" s="76" customFormat="1" spans="1:6">
      <c r="A4132">
        <v>4231</v>
      </c>
      <c r="B4132">
        <v>322018270</v>
      </c>
      <c r="C4132" s="76">
        <v>2018</v>
      </c>
      <c r="D4132" s="76" t="s">
        <v>31</v>
      </c>
      <c r="E4132" s="76" t="s">
        <v>32</v>
      </c>
      <c r="F4132" s="76">
        <v>1.5</v>
      </c>
    </row>
    <row r="4133" s="76" customFormat="1" spans="1:6">
      <c r="A4133">
        <v>4286</v>
      </c>
      <c r="B4133">
        <v>322018270</v>
      </c>
      <c r="C4133" s="76">
        <v>2018</v>
      </c>
      <c r="D4133" s="76" t="s">
        <v>31</v>
      </c>
      <c r="E4133" s="76" t="s">
        <v>32</v>
      </c>
      <c r="F4133" s="76">
        <v>1</v>
      </c>
    </row>
    <row r="4134" s="76" customFormat="1" spans="1:6">
      <c r="A4134">
        <v>4234</v>
      </c>
      <c r="B4134">
        <v>322018270</v>
      </c>
      <c r="C4134" s="76">
        <v>2018</v>
      </c>
      <c r="D4134" s="76" t="s">
        <v>31</v>
      </c>
      <c r="E4134" s="76" t="s">
        <v>32</v>
      </c>
      <c r="F4134" s="76">
        <v>1.2</v>
      </c>
    </row>
    <row r="4135" s="76" customFormat="1" spans="1:6">
      <c r="A4135">
        <v>4222</v>
      </c>
      <c r="B4135">
        <v>322018270</v>
      </c>
      <c r="C4135" s="76">
        <v>2018</v>
      </c>
      <c r="D4135" s="76" t="s">
        <v>31</v>
      </c>
      <c r="E4135" s="76" t="s">
        <v>32</v>
      </c>
      <c r="F4135" s="76">
        <v>2</v>
      </c>
    </row>
    <row r="4136" s="76" customFormat="1" spans="1:6">
      <c r="A4136">
        <v>4266</v>
      </c>
      <c r="B4136">
        <v>322018270</v>
      </c>
      <c r="C4136" s="76">
        <v>2018</v>
      </c>
      <c r="D4136" s="76" t="s">
        <v>31</v>
      </c>
      <c r="E4136" s="76" t="s">
        <v>32</v>
      </c>
      <c r="F4136" s="76">
        <v>2</v>
      </c>
    </row>
    <row r="4137" s="76" customFormat="1" spans="1:6">
      <c r="A4137">
        <v>4280</v>
      </c>
      <c r="B4137">
        <v>322018270</v>
      </c>
      <c r="C4137" s="76">
        <v>2018</v>
      </c>
      <c r="D4137" s="76" t="s">
        <v>31</v>
      </c>
      <c r="E4137" s="76" t="s">
        <v>32</v>
      </c>
      <c r="F4137" s="76">
        <v>10</v>
      </c>
    </row>
    <row r="4138" s="76" customFormat="1" spans="1:6">
      <c r="A4138">
        <v>4285</v>
      </c>
      <c r="B4138">
        <v>322018270</v>
      </c>
      <c r="C4138" s="76">
        <v>2018</v>
      </c>
      <c r="D4138" s="76" t="s">
        <v>31</v>
      </c>
      <c r="E4138" s="76" t="s">
        <v>32</v>
      </c>
      <c r="F4138" s="76">
        <v>10</v>
      </c>
    </row>
    <row r="4139" s="76" customFormat="1" spans="1:6">
      <c r="A4139">
        <v>4248</v>
      </c>
      <c r="B4139">
        <v>322018270</v>
      </c>
      <c r="C4139" s="76">
        <v>2018</v>
      </c>
      <c r="D4139" s="76" t="s">
        <v>31</v>
      </c>
      <c r="E4139" s="76" t="s">
        <v>32</v>
      </c>
      <c r="F4139" s="76">
        <v>3.6</v>
      </c>
    </row>
    <row r="4140" s="76" customFormat="1" spans="1:6">
      <c r="A4140">
        <v>4272</v>
      </c>
      <c r="B4140">
        <v>322018270</v>
      </c>
      <c r="C4140" s="76">
        <v>2018</v>
      </c>
      <c r="D4140" s="76" t="s">
        <v>31</v>
      </c>
      <c r="E4140" s="76" t="s">
        <v>32</v>
      </c>
      <c r="F4140" s="76">
        <v>3.1</v>
      </c>
    </row>
    <row r="4141" s="76" customFormat="1" spans="1:6">
      <c r="A4141">
        <v>4273</v>
      </c>
      <c r="B4141">
        <v>322018270</v>
      </c>
      <c r="C4141" s="76">
        <v>2018</v>
      </c>
      <c r="D4141" s="76" t="s">
        <v>31</v>
      </c>
      <c r="E4141" s="76" t="s">
        <v>32</v>
      </c>
      <c r="F4141" s="76">
        <v>3.1</v>
      </c>
    </row>
    <row r="4142" s="76" customFormat="1" spans="1:6">
      <c r="A4142">
        <v>4205</v>
      </c>
      <c r="B4142">
        <v>322018270</v>
      </c>
      <c r="C4142" s="76">
        <v>2018</v>
      </c>
      <c r="D4142" s="76" t="s">
        <v>31</v>
      </c>
      <c r="E4142" s="76" t="s">
        <v>32</v>
      </c>
      <c r="F4142" s="76">
        <v>1</v>
      </c>
    </row>
    <row r="4143" s="76" customFormat="1" spans="1:6">
      <c r="A4143">
        <v>4269</v>
      </c>
      <c r="B4143">
        <v>322018270</v>
      </c>
      <c r="C4143" s="76">
        <v>2018</v>
      </c>
      <c r="D4143" s="76" t="s">
        <v>31</v>
      </c>
      <c r="E4143" s="76" t="s">
        <v>32</v>
      </c>
      <c r="F4143" s="76">
        <v>0.88</v>
      </c>
    </row>
    <row r="4144" s="76" customFormat="1" spans="1:6">
      <c r="A4144">
        <v>4271</v>
      </c>
      <c r="B4144">
        <v>322018270</v>
      </c>
      <c r="C4144" s="76">
        <v>2018</v>
      </c>
      <c r="D4144" s="76" t="s">
        <v>31</v>
      </c>
      <c r="E4144" s="76" t="s">
        <v>32</v>
      </c>
      <c r="F4144" s="76">
        <v>1.4</v>
      </c>
    </row>
    <row r="4145" s="76" customFormat="1" spans="1:6">
      <c r="A4145">
        <v>4270</v>
      </c>
      <c r="B4145">
        <v>322018270</v>
      </c>
      <c r="C4145" s="76">
        <v>2018</v>
      </c>
      <c r="D4145" s="76" t="s">
        <v>31</v>
      </c>
      <c r="E4145" s="76" t="s">
        <v>32</v>
      </c>
      <c r="F4145" s="76">
        <v>0.9</v>
      </c>
    </row>
    <row r="4146" s="76" customFormat="1" spans="1:6">
      <c r="A4146">
        <v>4225</v>
      </c>
      <c r="B4146">
        <v>322018270</v>
      </c>
      <c r="C4146" s="76">
        <v>2018</v>
      </c>
      <c r="D4146" s="76" t="s">
        <v>31</v>
      </c>
      <c r="E4146" s="76" t="s">
        <v>32</v>
      </c>
      <c r="F4146" s="76">
        <v>5</v>
      </c>
    </row>
    <row r="4147" s="76" customFormat="1" spans="1:6">
      <c r="A4147">
        <v>4261</v>
      </c>
      <c r="B4147">
        <v>322018270</v>
      </c>
      <c r="C4147" s="76">
        <v>2018</v>
      </c>
      <c r="D4147" s="76" t="s">
        <v>31</v>
      </c>
      <c r="E4147" s="76" t="s">
        <v>32</v>
      </c>
      <c r="F4147" s="76">
        <v>4</v>
      </c>
    </row>
    <row r="4148" s="76" customFormat="1" spans="1:6">
      <c r="A4148">
        <v>4233</v>
      </c>
      <c r="B4148">
        <v>322018270</v>
      </c>
      <c r="C4148" s="76">
        <v>2018</v>
      </c>
      <c r="D4148" s="76" t="s">
        <v>31</v>
      </c>
      <c r="E4148" s="76" t="s">
        <v>32</v>
      </c>
      <c r="F4148" s="76">
        <v>1.2</v>
      </c>
    </row>
    <row r="4149" s="76" customFormat="1" spans="1:6">
      <c r="A4149">
        <v>4268</v>
      </c>
      <c r="B4149">
        <v>322018270</v>
      </c>
      <c r="C4149" s="76">
        <v>2018</v>
      </c>
      <c r="D4149" s="76" t="s">
        <v>31</v>
      </c>
      <c r="E4149" s="76" t="s">
        <v>32</v>
      </c>
      <c r="F4149" s="76">
        <v>1.5</v>
      </c>
    </row>
    <row r="4150" s="76" customFormat="1" spans="1:6">
      <c r="A4150">
        <v>4267</v>
      </c>
      <c r="B4150">
        <v>322018270</v>
      </c>
      <c r="C4150" s="76">
        <v>2018</v>
      </c>
      <c r="D4150" s="76" t="s">
        <v>31</v>
      </c>
      <c r="E4150" s="76" t="s">
        <v>32</v>
      </c>
      <c r="F4150" s="76">
        <v>2.6</v>
      </c>
    </row>
    <row r="4151" s="76" customFormat="1" spans="1:6">
      <c r="A4151">
        <v>4227</v>
      </c>
      <c r="B4151">
        <v>322018270</v>
      </c>
      <c r="C4151" s="76">
        <v>2018</v>
      </c>
      <c r="D4151" s="76" t="s">
        <v>31</v>
      </c>
      <c r="E4151" s="76" t="s">
        <v>32</v>
      </c>
      <c r="F4151" s="76">
        <v>6.04</v>
      </c>
    </row>
    <row r="4152" s="76" customFormat="1" spans="1:6">
      <c r="A4152">
        <v>4247</v>
      </c>
      <c r="B4152">
        <v>322018270</v>
      </c>
      <c r="C4152" s="76">
        <v>2018</v>
      </c>
      <c r="D4152" s="76" t="s">
        <v>31</v>
      </c>
      <c r="E4152" s="76" t="s">
        <v>32</v>
      </c>
      <c r="F4152" s="76">
        <v>1.5</v>
      </c>
    </row>
    <row r="4153" s="76" customFormat="1" spans="1:6">
      <c r="A4153">
        <v>4241</v>
      </c>
      <c r="B4153">
        <v>322018270</v>
      </c>
      <c r="C4153" s="76">
        <v>2018</v>
      </c>
      <c r="D4153" s="76" t="s">
        <v>31</v>
      </c>
      <c r="E4153" s="76" t="s">
        <v>32</v>
      </c>
      <c r="F4153" s="76">
        <v>2</v>
      </c>
    </row>
    <row r="4154" s="76" customFormat="1" spans="1:6">
      <c r="A4154">
        <v>4239</v>
      </c>
      <c r="B4154">
        <v>322018270</v>
      </c>
      <c r="C4154" s="76">
        <v>2018</v>
      </c>
      <c r="D4154" s="76" t="s">
        <v>31</v>
      </c>
      <c r="E4154" s="76" t="s">
        <v>32</v>
      </c>
      <c r="F4154" s="76">
        <v>2</v>
      </c>
    </row>
    <row r="4155" s="76" customFormat="1" spans="1:6">
      <c r="A4155">
        <v>4240</v>
      </c>
      <c r="B4155">
        <v>322018270</v>
      </c>
      <c r="C4155" s="76">
        <v>2018</v>
      </c>
      <c r="D4155" s="76" t="s">
        <v>31</v>
      </c>
      <c r="E4155" s="76" t="s">
        <v>32</v>
      </c>
      <c r="F4155" s="76">
        <v>1.5</v>
      </c>
    </row>
    <row r="4156" s="76" customFormat="1" spans="1:6">
      <c r="A4156">
        <v>4200</v>
      </c>
      <c r="B4156">
        <v>322018270</v>
      </c>
      <c r="C4156" s="76">
        <v>2018</v>
      </c>
      <c r="D4156" s="76" t="s">
        <v>31</v>
      </c>
      <c r="E4156" s="76" t="s">
        <v>32</v>
      </c>
      <c r="F4156" s="76">
        <v>6.31</v>
      </c>
    </row>
    <row r="4157" s="76" customFormat="1" spans="1:6">
      <c r="A4157">
        <v>4262</v>
      </c>
      <c r="B4157">
        <v>322018270</v>
      </c>
      <c r="C4157" s="76">
        <v>2018</v>
      </c>
      <c r="D4157" s="76" t="s">
        <v>31</v>
      </c>
      <c r="E4157" s="76" t="s">
        <v>32</v>
      </c>
      <c r="F4157" s="76">
        <v>0.8</v>
      </c>
    </row>
    <row r="4158" s="76" customFormat="1" spans="1:6">
      <c r="A4158">
        <v>4287</v>
      </c>
      <c r="B4158">
        <v>322018270</v>
      </c>
      <c r="C4158" s="76">
        <v>2018</v>
      </c>
      <c r="D4158" s="76" t="s">
        <v>31</v>
      </c>
      <c r="E4158" s="76" t="s">
        <v>32</v>
      </c>
      <c r="F4158" s="76">
        <v>1.5</v>
      </c>
    </row>
    <row r="4159" s="76" customFormat="1" spans="1:6">
      <c r="A4159">
        <v>4229</v>
      </c>
      <c r="B4159">
        <v>322018270</v>
      </c>
      <c r="C4159" s="76">
        <v>2018</v>
      </c>
      <c r="D4159" s="76" t="s">
        <v>31</v>
      </c>
      <c r="E4159" s="76" t="s">
        <v>32</v>
      </c>
      <c r="F4159" s="76">
        <v>1</v>
      </c>
    </row>
    <row r="4160" s="76" customFormat="1" spans="1:6">
      <c r="A4160">
        <v>4294</v>
      </c>
      <c r="B4160">
        <v>322018283</v>
      </c>
      <c r="C4160" s="76">
        <v>2018</v>
      </c>
      <c r="D4160" s="76" t="s">
        <v>41</v>
      </c>
      <c r="E4160" s="76" t="s">
        <v>32</v>
      </c>
      <c r="F4160" s="76">
        <v>1.6</v>
      </c>
    </row>
    <row r="4161" s="76" customFormat="1" spans="1:6">
      <c r="A4161">
        <v>4289</v>
      </c>
      <c r="B4161">
        <v>322018283</v>
      </c>
      <c r="C4161" s="76">
        <v>2018</v>
      </c>
      <c r="D4161" s="76" t="s">
        <v>41</v>
      </c>
      <c r="E4161" s="76" t="s">
        <v>32</v>
      </c>
      <c r="F4161" s="76">
        <v>1.6</v>
      </c>
    </row>
    <row r="4162" s="76" customFormat="1" spans="1:6">
      <c r="A4162">
        <v>4290</v>
      </c>
      <c r="B4162">
        <v>322018283</v>
      </c>
      <c r="C4162" s="76">
        <v>2018</v>
      </c>
      <c r="D4162" s="76" t="s">
        <v>41</v>
      </c>
      <c r="E4162" s="76" t="s">
        <v>32</v>
      </c>
      <c r="F4162" s="76">
        <v>1.2</v>
      </c>
    </row>
    <row r="4163" s="76" customFormat="1" spans="1:6">
      <c r="A4163">
        <v>4293</v>
      </c>
      <c r="B4163">
        <v>322018283</v>
      </c>
      <c r="C4163" s="76">
        <v>2018</v>
      </c>
      <c r="D4163" s="76" t="s">
        <v>41</v>
      </c>
      <c r="E4163" s="76" t="s">
        <v>32</v>
      </c>
      <c r="F4163" s="76">
        <v>1</v>
      </c>
    </row>
    <row r="4164" s="76" customFormat="1" spans="1:6">
      <c r="A4164">
        <v>4295</v>
      </c>
      <c r="B4164">
        <v>322018283</v>
      </c>
      <c r="C4164" s="76">
        <v>2018</v>
      </c>
      <c r="D4164" s="76" t="s">
        <v>41</v>
      </c>
      <c r="E4164" s="76" t="s">
        <v>32</v>
      </c>
      <c r="F4164" s="76">
        <v>2.4</v>
      </c>
    </row>
    <row r="4165" s="76" customFormat="1" spans="1:6">
      <c r="A4165">
        <v>4292</v>
      </c>
      <c r="B4165">
        <v>322018283</v>
      </c>
      <c r="C4165" s="76">
        <v>2018</v>
      </c>
      <c r="D4165" s="76" t="s">
        <v>41</v>
      </c>
      <c r="E4165" s="76" t="s">
        <v>32</v>
      </c>
      <c r="F4165" s="76">
        <v>1</v>
      </c>
    </row>
    <row r="4166" s="76" customFormat="1" spans="1:6">
      <c r="A4166">
        <v>4291</v>
      </c>
      <c r="B4166">
        <v>322018283</v>
      </c>
      <c r="C4166" s="76">
        <v>2018</v>
      </c>
      <c r="D4166" s="76" t="s">
        <v>41</v>
      </c>
      <c r="E4166" s="76" t="s">
        <v>32</v>
      </c>
      <c r="F4166" s="76">
        <v>0.8</v>
      </c>
    </row>
    <row r="4167" s="76" customFormat="1" spans="1:6">
      <c r="A4167">
        <v>4305</v>
      </c>
      <c r="B4167">
        <v>322019211</v>
      </c>
      <c r="C4167" s="76">
        <v>2019</v>
      </c>
      <c r="D4167" s="76" t="s">
        <v>37</v>
      </c>
      <c r="E4167" s="76" t="s">
        <v>32</v>
      </c>
      <c r="F4167" s="76">
        <v>1</v>
      </c>
    </row>
    <row r="4168" s="76" customFormat="1" spans="1:6">
      <c r="A4168">
        <v>4303</v>
      </c>
      <c r="B4168">
        <v>322019211</v>
      </c>
      <c r="C4168" s="76">
        <v>2019</v>
      </c>
      <c r="D4168" s="76" t="s">
        <v>37</v>
      </c>
      <c r="F4168" s="76">
        <v>7.5</v>
      </c>
    </row>
    <row r="4169" s="76" customFormat="1" spans="1:6">
      <c r="A4169">
        <v>4300</v>
      </c>
      <c r="B4169">
        <v>322019211</v>
      </c>
      <c r="C4169" s="76">
        <v>2019</v>
      </c>
      <c r="D4169" s="76" t="s">
        <v>37</v>
      </c>
      <c r="E4169" s="76" t="s">
        <v>32</v>
      </c>
      <c r="F4169" s="76">
        <v>100</v>
      </c>
    </row>
    <row r="4170" s="76" customFormat="1" spans="1:6">
      <c r="A4170">
        <v>4308</v>
      </c>
      <c r="B4170">
        <v>322019211</v>
      </c>
      <c r="C4170" s="76">
        <v>2019</v>
      </c>
      <c r="D4170" s="76" t="s">
        <v>37</v>
      </c>
      <c r="E4170" s="76" t="s">
        <v>32</v>
      </c>
      <c r="F4170" s="76">
        <v>1.5</v>
      </c>
    </row>
    <row r="4171" s="76" customFormat="1" spans="1:6">
      <c r="A4171">
        <v>4307</v>
      </c>
      <c r="B4171">
        <v>322019211</v>
      </c>
      <c r="C4171" s="76">
        <v>2019</v>
      </c>
      <c r="D4171" s="76" t="s">
        <v>37</v>
      </c>
      <c r="E4171" s="76" t="s">
        <v>32</v>
      </c>
      <c r="F4171" s="76">
        <v>4</v>
      </c>
    </row>
    <row r="4172" s="76" customFormat="1" spans="1:6">
      <c r="A4172">
        <v>4309</v>
      </c>
      <c r="B4172">
        <v>322019211</v>
      </c>
      <c r="C4172" s="76">
        <v>2019</v>
      </c>
      <c r="D4172" s="76" t="s">
        <v>37</v>
      </c>
      <c r="E4172" s="76" t="s">
        <v>32</v>
      </c>
      <c r="F4172" s="76">
        <v>1</v>
      </c>
    </row>
    <row r="4173" s="76" customFormat="1" spans="1:6">
      <c r="A4173">
        <v>4301</v>
      </c>
      <c r="B4173">
        <v>322019211</v>
      </c>
      <c r="C4173" s="76">
        <v>2019</v>
      </c>
      <c r="D4173" s="76" t="s">
        <v>37</v>
      </c>
      <c r="E4173" s="76" t="s">
        <v>32</v>
      </c>
      <c r="F4173" s="76">
        <v>4</v>
      </c>
    </row>
    <row r="4174" s="76" customFormat="1" spans="1:6">
      <c r="A4174">
        <v>4296</v>
      </c>
      <c r="B4174">
        <v>322019211</v>
      </c>
      <c r="C4174" s="76">
        <v>2019</v>
      </c>
      <c r="D4174" s="76" t="s">
        <v>37</v>
      </c>
      <c r="E4174" s="76">
        <v>3</v>
      </c>
      <c r="F4174" s="76">
        <v>15</v>
      </c>
    </row>
    <row r="4175" s="76" customFormat="1" spans="1:6">
      <c r="A4175">
        <v>4304</v>
      </c>
      <c r="B4175">
        <v>322019211</v>
      </c>
      <c r="C4175" s="76">
        <v>2019</v>
      </c>
      <c r="D4175" s="76" t="s">
        <v>37</v>
      </c>
      <c r="E4175" s="76" t="s">
        <v>32</v>
      </c>
      <c r="F4175" s="76">
        <v>1.2</v>
      </c>
    </row>
    <row r="4176" s="76" customFormat="1" spans="1:6">
      <c r="A4176">
        <v>4299</v>
      </c>
      <c r="B4176">
        <v>322019211</v>
      </c>
      <c r="C4176" s="76">
        <v>2019</v>
      </c>
      <c r="D4176" s="76" t="s">
        <v>37</v>
      </c>
      <c r="E4176" s="76" t="s">
        <v>32</v>
      </c>
      <c r="F4176" s="76">
        <v>66</v>
      </c>
    </row>
    <row r="4177" s="76" customFormat="1" spans="1:6">
      <c r="A4177">
        <v>4297</v>
      </c>
      <c r="B4177">
        <v>322019211</v>
      </c>
      <c r="C4177" s="76">
        <v>2019</v>
      </c>
      <c r="D4177" s="76" t="s">
        <v>37</v>
      </c>
      <c r="E4177" s="76">
        <v>1</v>
      </c>
      <c r="F4177" s="76">
        <v>3</v>
      </c>
    </row>
    <row r="4178" s="76" customFormat="1" spans="1:6">
      <c r="A4178">
        <v>4306</v>
      </c>
      <c r="B4178">
        <v>322019211</v>
      </c>
      <c r="C4178" s="76">
        <v>2019</v>
      </c>
      <c r="D4178" s="76" t="s">
        <v>37</v>
      </c>
      <c r="E4178" s="76">
        <v>2</v>
      </c>
      <c r="F4178" s="76">
        <v>70</v>
      </c>
    </row>
    <row r="4179" s="76" customFormat="1" spans="1:6">
      <c r="A4179">
        <v>4302</v>
      </c>
      <c r="B4179">
        <v>322019211</v>
      </c>
      <c r="C4179" s="76">
        <v>2019</v>
      </c>
      <c r="D4179" s="76" t="s">
        <v>37</v>
      </c>
      <c r="E4179" s="76" t="s">
        <v>32</v>
      </c>
      <c r="F4179" s="76">
        <v>1.5</v>
      </c>
    </row>
    <row r="4180" s="76" customFormat="1" spans="1:6">
      <c r="A4180">
        <v>4298</v>
      </c>
      <c r="B4180">
        <v>322019211</v>
      </c>
      <c r="C4180" s="76">
        <v>2019</v>
      </c>
      <c r="D4180" s="76" t="s">
        <v>37</v>
      </c>
      <c r="E4180" s="76" t="s">
        <v>32</v>
      </c>
      <c r="F4180" s="76">
        <v>13.5</v>
      </c>
    </row>
    <row r="4181" s="76" customFormat="1" spans="1:6">
      <c r="A4181">
        <v>4312</v>
      </c>
      <c r="B4181">
        <v>322019221</v>
      </c>
      <c r="C4181" s="76">
        <v>2019</v>
      </c>
      <c r="D4181" s="76" t="s">
        <v>30</v>
      </c>
      <c r="E4181" s="76">
        <v>1</v>
      </c>
      <c r="F4181" s="76">
        <v>45.88</v>
      </c>
    </row>
    <row r="4182" s="76" customFormat="1" spans="1:6">
      <c r="A4182">
        <v>4310</v>
      </c>
      <c r="B4182">
        <v>322019221</v>
      </c>
      <c r="C4182" s="76">
        <v>2019</v>
      </c>
      <c r="D4182" s="76" t="s">
        <v>30</v>
      </c>
      <c r="E4182" s="76" t="s">
        <v>32</v>
      </c>
      <c r="F4182" s="76">
        <v>46.6</v>
      </c>
    </row>
    <row r="4183" s="76" customFormat="1" spans="1:6">
      <c r="A4183">
        <v>4311</v>
      </c>
      <c r="B4183">
        <v>322019221</v>
      </c>
      <c r="C4183" s="76">
        <v>2019</v>
      </c>
      <c r="D4183" s="76" t="s">
        <v>30</v>
      </c>
      <c r="E4183" s="76" t="s">
        <v>32</v>
      </c>
      <c r="F4183" s="76">
        <v>10.3</v>
      </c>
    </row>
    <row r="4184" s="76" customFormat="1" spans="1:6">
      <c r="A4184">
        <v>4313</v>
      </c>
      <c r="B4184">
        <v>322019221</v>
      </c>
      <c r="C4184" s="76">
        <v>2019</v>
      </c>
      <c r="D4184" s="76" t="s">
        <v>30</v>
      </c>
      <c r="E4184" s="76">
        <v>2</v>
      </c>
      <c r="F4184" s="76">
        <v>8</v>
      </c>
    </row>
    <row r="4185" s="76" customFormat="1" spans="1:6">
      <c r="A4185">
        <v>4317</v>
      </c>
      <c r="B4185">
        <v>322019241</v>
      </c>
      <c r="C4185" s="76">
        <v>2019</v>
      </c>
      <c r="D4185" s="76" t="s">
        <v>33</v>
      </c>
      <c r="E4185" s="76" t="s">
        <v>32</v>
      </c>
      <c r="F4185" s="76">
        <v>0.75</v>
      </c>
    </row>
    <row r="4186" s="76" customFormat="1" spans="1:6">
      <c r="A4186">
        <v>4315</v>
      </c>
      <c r="B4186">
        <v>322019241</v>
      </c>
      <c r="C4186" s="76">
        <v>2019</v>
      </c>
      <c r="D4186" s="76" t="s">
        <v>33</v>
      </c>
      <c r="E4186" s="76" t="s">
        <v>32</v>
      </c>
      <c r="F4186" s="76">
        <v>2</v>
      </c>
    </row>
    <row r="4187" s="76" customFormat="1" spans="1:6">
      <c r="A4187">
        <v>4314</v>
      </c>
      <c r="B4187">
        <v>322019241</v>
      </c>
      <c r="C4187" s="76">
        <v>2019</v>
      </c>
      <c r="D4187" s="76" t="s">
        <v>33</v>
      </c>
      <c r="E4187" s="76" t="s">
        <v>32</v>
      </c>
      <c r="F4187" s="76">
        <v>5.05</v>
      </c>
    </row>
    <row r="4188" s="76" customFormat="1" spans="1:6">
      <c r="A4188">
        <v>4316</v>
      </c>
      <c r="B4188">
        <v>322019241</v>
      </c>
      <c r="C4188" s="76">
        <v>2019</v>
      </c>
      <c r="D4188" s="76" t="s">
        <v>33</v>
      </c>
      <c r="E4188" s="76" t="s">
        <v>32</v>
      </c>
      <c r="F4188" s="76">
        <v>6</v>
      </c>
    </row>
    <row r="4189" s="76" customFormat="1" spans="1:6">
      <c r="A4189">
        <v>4322</v>
      </c>
      <c r="B4189">
        <v>322019242</v>
      </c>
      <c r="C4189" s="76">
        <v>2019</v>
      </c>
      <c r="D4189" s="76" t="s">
        <v>35</v>
      </c>
      <c r="E4189" s="76" t="s">
        <v>32</v>
      </c>
      <c r="F4189" s="76">
        <v>0.6</v>
      </c>
    </row>
    <row r="4190" s="76" customFormat="1" spans="1:6">
      <c r="A4190">
        <v>4326</v>
      </c>
      <c r="B4190">
        <v>322019242</v>
      </c>
      <c r="C4190" s="76">
        <v>2019</v>
      </c>
      <c r="D4190" s="76" t="s">
        <v>35</v>
      </c>
      <c r="E4190" s="76" t="s">
        <v>32</v>
      </c>
      <c r="F4190" s="76">
        <v>17.77</v>
      </c>
    </row>
    <row r="4191" s="76" customFormat="1" spans="1:6">
      <c r="A4191">
        <v>4319</v>
      </c>
      <c r="B4191">
        <v>322019242</v>
      </c>
      <c r="C4191" s="76">
        <v>2019</v>
      </c>
      <c r="D4191" s="76" t="s">
        <v>35</v>
      </c>
      <c r="E4191" s="76" t="s">
        <v>32</v>
      </c>
      <c r="F4191" s="76">
        <v>1.2</v>
      </c>
    </row>
    <row r="4192" s="76" customFormat="1" spans="1:6">
      <c r="A4192">
        <v>4325</v>
      </c>
      <c r="B4192">
        <v>322019242</v>
      </c>
      <c r="C4192" s="76">
        <v>2019</v>
      </c>
      <c r="D4192" s="76" t="s">
        <v>35</v>
      </c>
      <c r="E4192" s="76" t="s">
        <v>32</v>
      </c>
      <c r="F4192" s="76">
        <v>1.2</v>
      </c>
    </row>
    <row r="4193" s="76" customFormat="1" spans="1:6">
      <c r="A4193">
        <v>4320</v>
      </c>
      <c r="B4193">
        <v>322019242</v>
      </c>
      <c r="C4193" s="76">
        <v>2019</v>
      </c>
      <c r="D4193" s="76" t="s">
        <v>35</v>
      </c>
      <c r="E4193" s="76" t="s">
        <v>32</v>
      </c>
      <c r="F4193" s="76">
        <v>1.2</v>
      </c>
    </row>
    <row r="4194" s="76" customFormat="1" spans="1:6">
      <c r="A4194">
        <v>4321</v>
      </c>
      <c r="B4194">
        <v>322019242</v>
      </c>
      <c r="C4194" s="76">
        <v>2019</v>
      </c>
      <c r="D4194" s="76" t="s">
        <v>35</v>
      </c>
      <c r="E4194" s="76" t="s">
        <v>32</v>
      </c>
      <c r="F4194" s="76">
        <v>2.5</v>
      </c>
    </row>
    <row r="4195" s="76" customFormat="1" spans="1:6">
      <c r="A4195">
        <v>4324</v>
      </c>
      <c r="B4195">
        <v>322019242</v>
      </c>
      <c r="C4195" s="76">
        <v>2019</v>
      </c>
      <c r="D4195" s="76" t="s">
        <v>35</v>
      </c>
      <c r="E4195" s="76" t="s">
        <v>32</v>
      </c>
      <c r="F4195" s="76">
        <v>4.5</v>
      </c>
    </row>
    <row r="4196" s="76" customFormat="1" spans="1:6">
      <c r="A4196">
        <v>4323</v>
      </c>
      <c r="B4196">
        <v>322019242</v>
      </c>
      <c r="C4196" s="76">
        <v>2019</v>
      </c>
      <c r="D4196" s="76" t="s">
        <v>35</v>
      </c>
      <c r="E4196" s="76" t="s">
        <v>32</v>
      </c>
      <c r="F4196" s="76">
        <v>3.5</v>
      </c>
    </row>
    <row r="4197" s="76" customFormat="1" spans="1:6">
      <c r="A4197">
        <v>4327</v>
      </c>
      <c r="B4197">
        <v>322019242</v>
      </c>
      <c r="C4197" s="76">
        <v>2019</v>
      </c>
      <c r="D4197" s="76" t="s">
        <v>35</v>
      </c>
      <c r="E4197" s="76" t="s">
        <v>32</v>
      </c>
      <c r="F4197" s="76">
        <v>1.2</v>
      </c>
    </row>
    <row r="4198" s="76" customFormat="1" spans="1:6">
      <c r="A4198">
        <v>4328</v>
      </c>
      <c r="B4198">
        <v>322019243</v>
      </c>
      <c r="C4198" s="76">
        <v>2019</v>
      </c>
      <c r="D4198" s="76" t="s">
        <v>38</v>
      </c>
      <c r="E4198" s="76" t="s">
        <v>32</v>
      </c>
      <c r="F4198" s="76">
        <v>1.5</v>
      </c>
    </row>
    <row r="4199" s="76" customFormat="1" spans="1:6">
      <c r="A4199">
        <v>4330</v>
      </c>
      <c r="B4199">
        <v>322019243</v>
      </c>
      <c r="C4199" s="76">
        <v>2019</v>
      </c>
      <c r="D4199" s="76" t="s">
        <v>38</v>
      </c>
      <c r="E4199" s="76" t="s">
        <v>32</v>
      </c>
      <c r="F4199" s="76">
        <v>1.5</v>
      </c>
    </row>
    <row r="4200" s="76" customFormat="1" spans="1:6">
      <c r="A4200">
        <v>4329</v>
      </c>
      <c r="B4200">
        <v>322019243</v>
      </c>
      <c r="C4200" s="76">
        <v>2019</v>
      </c>
      <c r="D4200" s="76" t="s">
        <v>38</v>
      </c>
      <c r="E4200" s="76" t="s">
        <v>32</v>
      </c>
      <c r="F4200" s="76">
        <v>3</v>
      </c>
    </row>
    <row r="4201" s="76" customFormat="1" spans="1:6">
      <c r="A4201">
        <v>4331</v>
      </c>
      <c r="B4201">
        <v>322019243</v>
      </c>
      <c r="C4201" s="76">
        <v>2019</v>
      </c>
      <c r="D4201" s="76" t="s">
        <v>38</v>
      </c>
      <c r="E4201" s="76" t="s">
        <v>32</v>
      </c>
      <c r="F4201" s="76">
        <v>1.5</v>
      </c>
    </row>
    <row r="4202" s="76" customFormat="1" spans="1:6">
      <c r="A4202">
        <v>4333</v>
      </c>
      <c r="B4202">
        <v>322019260</v>
      </c>
      <c r="C4202" s="76">
        <v>2019</v>
      </c>
      <c r="D4202" s="76" t="s">
        <v>34</v>
      </c>
      <c r="E4202" s="76" t="s">
        <v>32</v>
      </c>
      <c r="F4202" s="76">
        <v>3.3</v>
      </c>
    </row>
    <row r="4203" s="76" customFormat="1" spans="1:6">
      <c r="A4203">
        <v>4348</v>
      </c>
      <c r="B4203">
        <v>322019260</v>
      </c>
      <c r="C4203" s="76">
        <v>2019</v>
      </c>
      <c r="D4203" s="76" t="s">
        <v>34</v>
      </c>
      <c r="E4203" s="76" t="s">
        <v>32</v>
      </c>
      <c r="F4203" s="76">
        <v>7.48</v>
      </c>
    </row>
    <row r="4204" s="76" customFormat="1" spans="1:6">
      <c r="A4204">
        <v>4346</v>
      </c>
      <c r="B4204">
        <v>322019260</v>
      </c>
      <c r="C4204" s="76">
        <v>2019</v>
      </c>
      <c r="D4204" s="76" t="s">
        <v>34</v>
      </c>
      <c r="E4204" s="76" t="s">
        <v>32</v>
      </c>
      <c r="F4204" s="76">
        <v>4.4</v>
      </c>
    </row>
    <row r="4205" s="76" customFormat="1" spans="1:6">
      <c r="A4205">
        <v>4334</v>
      </c>
      <c r="B4205">
        <v>322019260</v>
      </c>
      <c r="C4205" s="76">
        <v>2019</v>
      </c>
      <c r="D4205" s="76" t="s">
        <v>34</v>
      </c>
      <c r="E4205" s="76">
        <v>44</v>
      </c>
      <c r="F4205" s="76">
        <v>13.91</v>
      </c>
    </row>
    <row r="4206" s="76" customFormat="1" spans="1:6">
      <c r="A4206">
        <v>4337</v>
      </c>
      <c r="B4206">
        <v>322019260</v>
      </c>
      <c r="C4206" s="76">
        <v>2019</v>
      </c>
      <c r="D4206" s="76" t="s">
        <v>34</v>
      </c>
      <c r="E4206" s="76">
        <v>68</v>
      </c>
      <c r="F4206" s="76">
        <v>30.16</v>
      </c>
    </row>
    <row r="4207" s="76" customFormat="1" spans="1:6">
      <c r="A4207">
        <v>4341</v>
      </c>
      <c r="B4207">
        <v>322019260</v>
      </c>
      <c r="C4207" s="76">
        <v>2019</v>
      </c>
      <c r="D4207" s="76" t="s">
        <v>34</v>
      </c>
      <c r="E4207" s="76">
        <v>60</v>
      </c>
      <c r="F4207" s="76">
        <v>24.64</v>
      </c>
    </row>
    <row r="4208" s="76" customFormat="1" spans="1:6">
      <c r="A4208">
        <v>4340</v>
      </c>
      <c r="B4208">
        <v>322019260</v>
      </c>
      <c r="C4208" s="76">
        <v>2019</v>
      </c>
      <c r="D4208" s="76" t="s">
        <v>34</v>
      </c>
      <c r="E4208" s="76" t="s">
        <v>32</v>
      </c>
      <c r="F4208" s="76">
        <v>0.8</v>
      </c>
    </row>
    <row r="4209" s="76" customFormat="1" spans="1:6">
      <c r="A4209">
        <v>4344</v>
      </c>
      <c r="B4209">
        <v>322019260</v>
      </c>
      <c r="C4209" s="76">
        <v>2019</v>
      </c>
      <c r="D4209" s="76" t="s">
        <v>34</v>
      </c>
      <c r="E4209" s="76" t="s">
        <v>32</v>
      </c>
      <c r="F4209" s="76">
        <v>4.4</v>
      </c>
    </row>
    <row r="4210" s="76" customFormat="1" spans="1:6">
      <c r="A4210">
        <v>4347</v>
      </c>
      <c r="B4210">
        <v>322019260</v>
      </c>
      <c r="C4210" s="76">
        <v>2019</v>
      </c>
      <c r="D4210" s="76" t="s">
        <v>34</v>
      </c>
      <c r="E4210" s="76" t="s">
        <v>32</v>
      </c>
      <c r="F4210" s="76">
        <v>3.3</v>
      </c>
    </row>
    <row r="4211" s="76" customFormat="1" spans="1:6">
      <c r="A4211">
        <v>4345</v>
      </c>
      <c r="B4211">
        <v>322019260</v>
      </c>
      <c r="C4211" s="76">
        <v>2019</v>
      </c>
      <c r="D4211" s="76" t="s">
        <v>34</v>
      </c>
      <c r="E4211" s="76">
        <v>96</v>
      </c>
      <c r="F4211" s="76">
        <v>30.18</v>
      </c>
    </row>
    <row r="4212" s="76" customFormat="1" spans="1:6">
      <c r="A4212">
        <v>4338</v>
      </c>
      <c r="B4212">
        <v>322019260</v>
      </c>
      <c r="C4212" s="76">
        <v>2019</v>
      </c>
      <c r="D4212" s="76" t="s">
        <v>34</v>
      </c>
      <c r="E4212" s="76">
        <v>80</v>
      </c>
      <c r="F4212" s="76">
        <v>20</v>
      </c>
    </row>
    <row r="4213" s="76" customFormat="1" spans="1:6">
      <c r="A4213">
        <v>4339</v>
      </c>
      <c r="B4213">
        <v>322019260</v>
      </c>
      <c r="C4213" s="76">
        <v>2019</v>
      </c>
      <c r="D4213" s="76" t="s">
        <v>34</v>
      </c>
      <c r="E4213" s="76">
        <v>46</v>
      </c>
      <c r="F4213" s="76">
        <v>10.12</v>
      </c>
    </row>
    <row r="4214" s="76" customFormat="1" spans="1:6">
      <c r="A4214">
        <v>4343</v>
      </c>
      <c r="B4214">
        <v>322019260</v>
      </c>
      <c r="C4214" s="76">
        <v>2019</v>
      </c>
      <c r="D4214" s="76" t="s">
        <v>34</v>
      </c>
      <c r="E4214" s="76" t="s">
        <v>32</v>
      </c>
      <c r="F4214" s="76">
        <v>9.6</v>
      </c>
    </row>
    <row r="4215" s="76" customFormat="1" spans="1:6">
      <c r="A4215">
        <v>4336</v>
      </c>
      <c r="B4215">
        <v>322019260</v>
      </c>
      <c r="C4215" s="76">
        <v>2019</v>
      </c>
      <c r="D4215" s="76" t="s">
        <v>34</v>
      </c>
      <c r="E4215" s="76" t="s">
        <v>32</v>
      </c>
      <c r="F4215" s="76">
        <v>1.38</v>
      </c>
    </row>
    <row r="4216" s="76" customFormat="1" spans="1:6">
      <c r="A4216">
        <v>4342</v>
      </c>
      <c r="B4216">
        <v>322019260</v>
      </c>
      <c r="C4216" s="76">
        <v>2019</v>
      </c>
      <c r="D4216" s="76" t="s">
        <v>34</v>
      </c>
      <c r="E4216" s="76">
        <v>22</v>
      </c>
      <c r="F4216" s="76">
        <v>4.79</v>
      </c>
    </row>
    <row r="4217" s="76" customFormat="1" spans="1:6">
      <c r="A4217">
        <v>4335</v>
      </c>
      <c r="B4217">
        <v>322019260</v>
      </c>
      <c r="C4217" s="76">
        <v>2019</v>
      </c>
      <c r="D4217" s="76" t="s">
        <v>34</v>
      </c>
      <c r="E4217" s="76" t="s">
        <v>32</v>
      </c>
      <c r="F4217" s="76">
        <v>0.8</v>
      </c>
    </row>
    <row r="4218" s="76" customFormat="1" spans="1:6">
      <c r="A4218">
        <v>4332</v>
      </c>
      <c r="B4218">
        <v>322019260</v>
      </c>
      <c r="C4218" s="76">
        <v>2019</v>
      </c>
      <c r="D4218" s="76" t="s">
        <v>34</v>
      </c>
      <c r="E4218" s="76" t="s">
        <v>32</v>
      </c>
      <c r="F4218" s="76">
        <v>6.6</v>
      </c>
    </row>
    <row r="4219" s="76" customFormat="1" spans="1:6">
      <c r="A4219">
        <v>4365</v>
      </c>
      <c r="B4219">
        <v>322019270</v>
      </c>
      <c r="C4219" s="76">
        <v>2019</v>
      </c>
      <c r="D4219" s="76" t="s">
        <v>31</v>
      </c>
      <c r="E4219" s="76" t="s">
        <v>32</v>
      </c>
      <c r="F4219" s="76">
        <v>5.75</v>
      </c>
    </row>
    <row r="4220" s="76" customFormat="1" spans="1:6">
      <c r="A4220">
        <v>4362</v>
      </c>
      <c r="B4220">
        <v>322019270</v>
      </c>
      <c r="C4220" s="76">
        <v>2019</v>
      </c>
      <c r="D4220" s="76" t="s">
        <v>31</v>
      </c>
      <c r="E4220" s="76" t="s">
        <v>32</v>
      </c>
      <c r="F4220" s="76">
        <v>9.36</v>
      </c>
    </row>
    <row r="4221" s="76" customFormat="1" spans="1:6">
      <c r="A4221">
        <v>4356</v>
      </c>
      <c r="B4221">
        <v>322019270</v>
      </c>
      <c r="C4221" s="76">
        <v>2019</v>
      </c>
      <c r="D4221" s="76" t="s">
        <v>31</v>
      </c>
      <c r="E4221" s="76" t="s">
        <v>32</v>
      </c>
      <c r="F4221" s="76">
        <v>0.89</v>
      </c>
    </row>
    <row r="4222" s="76" customFormat="1" spans="1:6">
      <c r="A4222">
        <v>4353</v>
      </c>
      <c r="B4222">
        <v>322019270</v>
      </c>
      <c r="C4222" s="76">
        <v>2019</v>
      </c>
      <c r="D4222" s="76" t="s">
        <v>31</v>
      </c>
      <c r="E4222" s="76" t="s">
        <v>32</v>
      </c>
      <c r="F4222" s="76">
        <v>7.76</v>
      </c>
    </row>
    <row r="4223" s="76" customFormat="1" spans="1:6">
      <c r="A4223">
        <v>4355</v>
      </c>
      <c r="B4223">
        <v>322019270</v>
      </c>
      <c r="C4223" s="76">
        <v>2019</v>
      </c>
      <c r="D4223" s="76" t="s">
        <v>31</v>
      </c>
      <c r="E4223" s="76" t="s">
        <v>32</v>
      </c>
      <c r="F4223" s="76">
        <v>2.45</v>
      </c>
    </row>
    <row r="4224" s="76" customFormat="1" spans="1:6">
      <c r="A4224">
        <v>4354</v>
      </c>
      <c r="B4224">
        <v>322019270</v>
      </c>
      <c r="C4224" s="76">
        <v>2019</v>
      </c>
      <c r="D4224" s="76" t="s">
        <v>31</v>
      </c>
      <c r="E4224" s="76" t="s">
        <v>32</v>
      </c>
      <c r="F4224" s="76">
        <v>1.74</v>
      </c>
    </row>
    <row r="4225" s="76" customFormat="1" spans="1:6">
      <c r="A4225">
        <v>4358</v>
      </c>
      <c r="B4225">
        <v>322019270</v>
      </c>
      <c r="C4225" s="76">
        <v>2019</v>
      </c>
      <c r="D4225" s="76" t="s">
        <v>31</v>
      </c>
      <c r="E4225" s="76" t="s">
        <v>32</v>
      </c>
      <c r="F4225" s="76">
        <v>1.1</v>
      </c>
    </row>
    <row r="4226" s="76" customFormat="1" spans="1:6">
      <c r="A4226">
        <v>4357</v>
      </c>
      <c r="B4226">
        <v>322019270</v>
      </c>
      <c r="C4226" s="76">
        <v>2019</v>
      </c>
      <c r="D4226" s="76" t="s">
        <v>31</v>
      </c>
      <c r="E4226" s="76" t="s">
        <v>32</v>
      </c>
      <c r="F4226" s="76">
        <v>1.12</v>
      </c>
    </row>
    <row r="4227" s="76" customFormat="1" spans="1:6">
      <c r="A4227">
        <v>4351</v>
      </c>
      <c r="B4227">
        <v>322019270</v>
      </c>
      <c r="C4227" s="76">
        <v>2019</v>
      </c>
      <c r="D4227" s="76" t="s">
        <v>31</v>
      </c>
      <c r="E4227" s="76" t="s">
        <v>32</v>
      </c>
      <c r="F4227" s="76">
        <v>0.98</v>
      </c>
    </row>
    <row r="4228" s="76" customFormat="1" spans="1:6">
      <c r="A4228">
        <v>4350</v>
      </c>
      <c r="B4228">
        <v>322019270</v>
      </c>
      <c r="C4228" s="76">
        <v>2019</v>
      </c>
      <c r="D4228" s="76" t="s">
        <v>31</v>
      </c>
      <c r="E4228" s="76" t="s">
        <v>32</v>
      </c>
      <c r="F4228" s="76">
        <v>0.73</v>
      </c>
    </row>
    <row r="4229" s="76" customFormat="1" spans="1:6">
      <c r="A4229">
        <v>4363</v>
      </c>
      <c r="B4229">
        <v>322019270</v>
      </c>
      <c r="C4229" s="76">
        <v>2019</v>
      </c>
      <c r="D4229" s="76" t="s">
        <v>31</v>
      </c>
      <c r="E4229" s="76" t="s">
        <v>32</v>
      </c>
      <c r="F4229" s="76">
        <v>1</v>
      </c>
    </row>
    <row r="4230" s="76" customFormat="1" spans="1:6">
      <c r="A4230">
        <v>4352</v>
      </c>
      <c r="B4230">
        <v>322019270</v>
      </c>
      <c r="C4230" s="76">
        <v>2019</v>
      </c>
      <c r="D4230" s="76" t="s">
        <v>31</v>
      </c>
      <c r="E4230" s="76" t="s">
        <v>32</v>
      </c>
      <c r="F4230" s="76">
        <v>0.98</v>
      </c>
    </row>
    <row r="4231" s="76" customFormat="1" spans="1:6">
      <c r="A4231">
        <v>4364</v>
      </c>
      <c r="B4231">
        <v>322019270</v>
      </c>
      <c r="C4231" s="76">
        <v>2019</v>
      </c>
      <c r="D4231" s="76" t="s">
        <v>31</v>
      </c>
      <c r="E4231" s="76" t="s">
        <v>32</v>
      </c>
      <c r="F4231" s="76">
        <v>0.94</v>
      </c>
    </row>
    <row r="4232" s="76" customFormat="1" spans="1:6">
      <c r="A4232">
        <v>4368</v>
      </c>
      <c r="B4232">
        <v>322019270</v>
      </c>
      <c r="C4232" s="76">
        <v>2019</v>
      </c>
      <c r="D4232" s="76" t="s">
        <v>31</v>
      </c>
      <c r="E4232" s="76" t="s">
        <v>32</v>
      </c>
      <c r="F4232" s="76">
        <v>4</v>
      </c>
    </row>
    <row r="4233" s="76" customFormat="1" spans="1:6">
      <c r="A4233">
        <v>4359</v>
      </c>
      <c r="B4233">
        <v>322019270</v>
      </c>
      <c r="C4233" s="76">
        <v>2019</v>
      </c>
      <c r="D4233" s="76" t="s">
        <v>31</v>
      </c>
      <c r="E4233" s="76" t="s">
        <v>32</v>
      </c>
      <c r="F4233" s="76">
        <v>0.33</v>
      </c>
    </row>
    <row r="4234" s="76" customFormat="1" spans="1:6">
      <c r="A4234">
        <v>4367</v>
      </c>
      <c r="B4234">
        <v>322019270</v>
      </c>
      <c r="C4234" s="76">
        <v>2019</v>
      </c>
      <c r="D4234" s="76" t="s">
        <v>31</v>
      </c>
      <c r="E4234" s="76" t="s">
        <v>32</v>
      </c>
      <c r="F4234" s="76">
        <v>1</v>
      </c>
    </row>
    <row r="4235" s="76" customFormat="1" spans="1:6">
      <c r="A4235">
        <v>4366</v>
      </c>
      <c r="B4235">
        <v>322019270</v>
      </c>
      <c r="C4235" s="76">
        <v>2019</v>
      </c>
      <c r="D4235" s="76" t="s">
        <v>31</v>
      </c>
      <c r="E4235" s="76" t="s">
        <v>32</v>
      </c>
      <c r="F4235" s="76">
        <v>0.9</v>
      </c>
    </row>
    <row r="4236" s="76" customFormat="1" spans="1:6">
      <c r="A4236">
        <v>4361</v>
      </c>
      <c r="B4236">
        <v>322019270</v>
      </c>
      <c r="C4236" s="76">
        <v>2019</v>
      </c>
      <c r="D4236" s="76" t="s">
        <v>31</v>
      </c>
      <c r="E4236" s="76" t="s">
        <v>32</v>
      </c>
      <c r="F4236" s="76">
        <v>1.6</v>
      </c>
    </row>
    <row r="4237" s="76" customFormat="1" spans="1:6">
      <c r="A4237">
        <v>4360</v>
      </c>
      <c r="B4237">
        <v>322019270</v>
      </c>
      <c r="C4237" s="76">
        <v>2019</v>
      </c>
      <c r="D4237" s="76" t="s">
        <v>31</v>
      </c>
      <c r="E4237" s="76" t="s">
        <v>32</v>
      </c>
      <c r="F4237" s="76">
        <v>1.5</v>
      </c>
    </row>
    <row r="4238" s="76" customFormat="1" spans="1:6">
      <c r="A4238">
        <v>4375</v>
      </c>
      <c r="B4238">
        <v>322020211</v>
      </c>
      <c r="C4238" s="76">
        <v>2020</v>
      </c>
      <c r="D4238" s="76" t="s">
        <v>37</v>
      </c>
      <c r="E4238" s="76" t="s">
        <v>32</v>
      </c>
      <c r="F4238" s="76">
        <v>1</v>
      </c>
    </row>
    <row r="4239" s="76" customFormat="1" spans="1:6">
      <c r="A4239">
        <v>4370</v>
      </c>
      <c r="B4239">
        <v>322020211</v>
      </c>
      <c r="C4239" s="76">
        <v>2020</v>
      </c>
      <c r="D4239" s="76" t="s">
        <v>37</v>
      </c>
      <c r="E4239" s="76" t="s">
        <v>32</v>
      </c>
      <c r="F4239" s="76">
        <v>5</v>
      </c>
    </row>
    <row r="4240" s="76" customFormat="1" spans="1:6">
      <c r="A4240">
        <v>4372</v>
      </c>
      <c r="B4240">
        <v>322020211</v>
      </c>
      <c r="C4240" s="76">
        <v>2020</v>
      </c>
      <c r="D4240" s="76" t="s">
        <v>37</v>
      </c>
      <c r="E4240" s="76" t="s">
        <v>32</v>
      </c>
      <c r="F4240" s="76">
        <v>3.2</v>
      </c>
    </row>
    <row r="4241" s="76" customFormat="1" spans="1:6">
      <c r="A4241">
        <v>4376</v>
      </c>
      <c r="B4241">
        <v>322020211</v>
      </c>
      <c r="C4241" s="76">
        <v>2020</v>
      </c>
      <c r="D4241" s="76" t="s">
        <v>37</v>
      </c>
      <c r="E4241" s="76" t="s">
        <v>32</v>
      </c>
      <c r="F4241" s="76">
        <v>1.2</v>
      </c>
    </row>
    <row r="4242" s="76" customFormat="1" spans="1:6">
      <c r="A4242">
        <v>4371</v>
      </c>
      <c r="B4242">
        <v>322020211</v>
      </c>
      <c r="C4242" s="76">
        <v>2020</v>
      </c>
      <c r="D4242" s="76" t="s">
        <v>37</v>
      </c>
      <c r="E4242" s="76" t="s">
        <v>32</v>
      </c>
      <c r="F4242" s="76">
        <v>0.75</v>
      </c>
    </row>
    <row r="4243" s="76" customFormat="1" spans="1:6">
      <c r="A4243">
        <v>4373</v>
      </c>
      <c r="B4243">
        <v>322020211</v>
      </c>
      <c r="C4243" s="76">
        <v>2020</v>
      </c>
      <c r="D4243" s="76" t="s">
        <v>37</v>
      </c>
      <c r="E4243" s="76" t="s">
        <v>32</v>
      </c>
      <c r="F4243" s="76">
        <v>1.8</v>
      </c>
    </row>
    <row r="4244" s="76" customFormat="1" spans="1:6">
      <c r="A4244">
        <v>4369</v>
      </c>
      <c r="B4244">
        <v>322020211</v>
      </c>
      <c r="C4244" s="76">
        <v>2020</v>
      </c>
      <c r="D4244" s="76" t="s">
        <v>37</v>
      </c>
      <c r="E4244" s="76">
        <v>1</v>
      </c>
      <c r="F4244" s="76">
        <v>0.6</v>
      </c>
    </row>
    <row r="4245" s="76" customFormat="1" spans="1:6">
      <c r="A4245">
        <v>4377</v>
      </c>
      <c r="B4245">
        <v>322020211</v>
      </c>
      <c r="C4245" s="76">
        <v>2020</v>
      </c>
      <c r="D4245" s="76" t="s">
        <v>37</v>
      </c>
      <c r="E4245" s="76" t="s">
        <v>32</v>
      </c>
      <c r="F4245" s="76">
        <v>6.5</v>
      </c>
    </row>
    <row r="4246" s="76" customFormat="1" spans="1:6">
      <c r="A4246">
        <v>4374</v>
      </c>
      <c r="B4246">
        <v>322020211</v>
      </c>
      <c r="C4246" s="76">
        <v>2020</v>
      </c>
      <c r="D4246" s="76" t="s">
        <v>37</v>
      </c>
      <c r="E4246" s="76" t="s">
        <v>32</v>
      </c>
      <c r="F4246" s="76">
        <v>2.5</v>
      </c>
    </row>
    <row r="4247" s="76" customFormat="1" spans="1:6">
      <c r="A4247">
        <v>4378</v>
      </c>
      <c r="B4247">
        <v>322020221</v>
      </c>
      <c r="C4247" s="76">
        <v>2020</v>
      </c>
      <c r="D4247" s="76" t="s">
        <v>30</v>
      </c>
      <c r="E4247" s="76">
        <v>2</v>
      </c>
      <c r="F4247" s="76">
        <v>87.86</v>
      </c>
    </row>
    <row r="4248" s="76" customFormat="1" spans="1:6">
      <c r="A4248">
        <v>4379</v>
      </c>
      <c r="B4248">
        <v>322020241</v>
      </c>
      <c r="C4248" s="76">
        <v>2020</v>
      </c>
      <c r="D4248" s="76" t="s">
        <v>33</v>
      </c>
      <c r="E4248" s="76" t="s">
        <v>32</v>
      </c>
      <c r="F4248" s="76">
        <v>12</v>
      </c>
    </row>
    <row r="4249" s="76" customFormat="1" spans="1:6">
      <c r="A4249">
        <v>4384</v>
      </c>
      <c r="B4249">
        <v>322020242</v>
      </c>
      <c r="C4249" s="76">
        <v>2020</v>
      </c>
      <c r="D4249" s="76" t="s">
        <v>35</v>
      </c>
      <c r="E4249" s="76" t="s">
        <v>32</v>
      </c>
      <c r="F4249" s="76">
        <v>4.5</v>
      </c>
    </row>
    <row r="4250" s="76" customFormat="1" spans="1:6">
      <c r="A4250">
        <v>4392</v>
      </c>
      <c r="B4250">
        <v>322020242</v>
      </c>
      <c r="C4250" s="76">
        <v>2020</v>
      </c>
      <c r="D4250" s="76" t="s">
        <v>35</v>
      </c>
      <c r="E4250" s="76" t="s">
        <v>32</v>
      </c>
      <c r="F4250" s="76">
        <v>0.6</v>
      </c>
    </row>
    <row r="4251" s="76" customFormat="1" spans="1:6">
      <c r="A4251">
        <v>4385</v>
      </c>
      <c r="B4251">
        <v>322020242</v>
      </c>
      <c r="C4251" s="76">
        <v>2020</v>
      </c>
      <c r="D4251" s="76" t="s">
        <v>35</v>
      </c>
      <c r="E4251" s="76" t="s">
        <v>32</v>
      </c>
      <c r="F4251" s="76">
        <v>1.2</v>
      </c>
    </row>
    <row r="4252" s="76" customFormat="1" spans="1:6">
      <c r="A4252">
        <v>4389</v>
      </c>
      <c r="B4252">
        <v>322020242</v>
      </c>
      <c r="C4252" s="76">
        <v>2020</v>
      </c>
      <c r="D4252" s="76" t="s">
        <v>35</v>
      </c>
      <c r="E4252" s="76" t="s">
        <v>32</v>
      </c>
      <c r="F4252" s="76">
        <v>0.9</v>
      </c>
    </row>
    <row r="4253" s="76" customFormat="1" spans="1:6">
      <c r="A4253">
        <v>4382</v>
      </c>
      <c r="B4253">
        <v>322020242</v>
      </c>
      <c r="C4253" s="76">
        <v>2020</v>
      </c>
      <c r="D4253" s="76" t="s">
        <v>35</v>
      </c>
      <c r="E4253" s="76" t="s">
        <v>32</v>
      </c>
      <c r="F4253" s="76">
        <v>1.5</v>
      </c>
    </row>
    <row r="4254" s="76" customFormat="1" spans="1:6">
      <c r="A4254">
        <v>4381</v>
      </c>
      <c r="B4254">
        <v>322020242</v>
      </c>
      <c r="C4254" s="76">
        <v>2020</v>
      </c>
      <c r="D4254" s="76" t="s">
        <v>35</v>
      </c>
      <c r="E4254" s="76" t="s">
        <v>32</v>
      </c>
      <c r="F4254" s="76">
        <v>2.5</v>
      </c>
    </row>
    <row r="4255" s="76" customFormat="1" spans="1:6">
      <c r="A4255">
        <v>4391</v>
      </c>
      <c r="B4255">
        <v>322020242</v>
      </c>
      <c r="C4255" s="76">
        <v>2020</v>
      </c>
      <c r="D4255" s="76" t="s">
        <v>35</v>
      </c>
      <c r="E4255" s="76" t="s">
        <v>32</v>
      </c>
      <c r="F4255" s="76">
        <v>2.5</v>
      </c>
    </row>
    <row r="4256" s="76" customFormat="1" spans="1:6">
      <c r="A4256">
        <v>4387</v>
      </c>
      <c r="B4256">
        <v>322020242</v>
      </c>
      <c r="C4256" s="76">
        <v>2020</v>
      </c>
      <c r="D4256" s="76" t="s">
        <v>35</v>
      </c>
      <c r="E4256" s="76" t="s">
        <v>32</v>
      </c>
      <c r="F4256" s="76">
        <v>1.2</v>
      </c>
    </row>
    <row r="4257" s="76" customFormat="1" spans="1:6">
      <c r="A4257">
        <v>4383</v>
      </c>
      <c r="B4257">
        <v>322020242</v>
      </c>
      <c r="C4257" s="76">
        <v>2020</v>
      </c>
      <c r="D4257" s="76" t="s">
        <v>35</v>
      </c>
      <c r="E4257" s="76" t="s">
        <v>32</v>
      </c>
      <c r="F4257" s="76">
        <v>1.2</v>
      </c>
    </row>
    <row r="4258" s="76" customFormat="1" spans="1:6">
      <c r="A4258">
        <v>4390</v>
      </c>
      <c r="B4258">
        <v>322020242</v>
      </c>
      <c r="C4258" s="76">
        <v>2020</v>
      </c>
      <c r="D4258" s="76" t="s">
        <v>35</v>
      </c>
      <c r="E4258" s="76" t="s">
        <v>32</v>
      </c>
      <c r="F4258" s="76">
        <v>1.5</v>
      </c>
    </row>
    <row r="4259" s="76" customFormat="1" spans="1:6">
      <c r="A4259">
        <v>4386</v>
      </c>
      <c r="B4259">
        <v>322020242</v>
      </c>
      <c r="C4259" s="76">
        <v>2020</v>
      </c>
      <c r="D4259" s="76" t="s">
        <v>35</v>
      </c>
      <c r="E4259" s="76" t="s">
        <v>32</v>
      </c>
      <c r="F4259" s="76">
        <v>5</v>
      </c>
    </row>
    <row r="4260" s="76" customFormat="1" spans="1:6">
      <c r="A4260">
        <v>4388</v>
      </c>
      <c r="B4260">
        <v>322020242</v>
      </c>
      <c r="C4260" s="76">
        <v>2020</v>
      </c>
      <c r="D4260" s="76" t="s">
        <v>35</v>
      </c>
      <c r="E4260" s="76" t="s">
        <v>32</v>
      </c>
      <c r="F4260" s="76">
        <v>1.5</v>
      </c>
    </row>
    <row r="4261" s="76" customFormat="1" spans="1:6">
      <c r="A4261">
        <v>4393</v>
      </c>
      <c r="B4261">
        <v>322020243</v>
      </c>
      <c r="C4261" s="76">
        <v>2020</v>
      </c>
      <c r="D4261" s="76" t="s">
        <v>38</v>
      </c>
      <c r="E4261" s="76" t="s">
        <v>32</v>
      </c>
      <c r="F4261" s="76">
        <v>1.5</v>
      </c>
    </row>
    <row r="4262" s="76" customFormat="1" spans="1:6">
      <c r="A4262">
        <v>4394</v>
      </c>
      <c r="B4262">
        <v>322020243</v>
      </c>
      <c r="C4262" s="76">
        <v>2020</v>
      </c>
      <c r="D4262" s="76" t="s">
        <v>38</v>
      </c>
      <c r="E4262" s="76" t="s">
        <v>32</v>
      </c>
      <c r="F4262" s="76">
        <v>3.5</v>
      </c>
    </row>
    <row r="4263" s="76" customFormat="1" spans="1:6">
      <c r="A4263">
        <v>4396</v>
      </c>
      <c r="B4263">
        <v>322020243</v>
      </c>
      <c r="C4263" s="76">
        <v>2020</v>
      </c>
      <c r="D4263" s="76" t="s">
        <v>38</v>
      </c>
      <c r="E4263" s="76" t="s">
        <v>32</v>
      </c>
      <c r="F4263" s="76">
        <v>3.5</v>
      </c>
    </row>
    <row r="4264" s="76" customFormat="1" spans="1:6">
      <c r="A4264">
        <v>4397</v>
      </c>
      <c r="B4264">
        <v>322020243</v>
      </c>
      <c r="C4264" s="76">
        <v>2020</v>
      </c>
      <c r="D4264" s="76" t="s">
        <v>38</v>
      </c>
      <c r="E4264" s="76" t="s">
        <v>32</v>
      </c>
      <c r="F4264" s="76">
        <v>3</v>
      </c>
    </row>
    <row r="4265" s="76" customFormat="1" spans="1:6">
      <c r="A4265">
        <v>4399</v>
      </c>
      <c r="B4265">
        <v>322020243</v>
      </c>
      <c r="C4265" s="76">
        <v>2020</v>
      </c>
      <c r="D4265" s="76" t="s">
        <v>38</v>
      </c>
      <c r="E4265" s="76" t="s">
        <v>32</v>
      </c>
      <c r="F4265" s="76">
        <v>3</v>
      </c>
    </row>
    <row r="4266" s="76" customFormat="1" spans="1:6">
      <c r="A4266">
        <v>4398</v>
      </c>
      <c r="B4266">
        <v>322020243</v>
      </c>
      <c r="C4266" s="76">
        <v>2020</v>
      </c>
      <c r="D4266" s="76" t="s">
        <v>38</v>
      </c>
      <c r="E4266" s="76" t="s">
        <v>32</v>
      </c>
      <c r="F4266" s="76">
        <v>3</v>
      </c>
    </row>
    <row r="4267" s="76" customFormat="1" spans="1:6">
      <c r="A4267">
        <v>4395</v>
      </c>
      <c r="B4267">
        <v>322020243</v>
      </c>
      <c r="C4267" s="76">
        <v>2020</v>
      </c>
      <c r="D4267" s="76" t="s">
        <v>38</v>
      </c>
      <c r="E4267" s="76" t="s">
        <v>32</v>
      </c>
      <c r="F4267" s="76">
        <v>3</v>
      </c>
    </row>
    <row r="4268" s="76" customFormat="1" spans="1:6">
      <c r="A4268">
        <v>4400</v>
      </c>
      <c r="B4268">
        <v>322020250</v>
      </c>
      <c r="C4268" s="76">
        <v>2020</v>
      </c>
      <c r="D4268" s="76" t="s">
        <v>44</v>
      </c>
      <c r="E4268" s="76">
        <v>1</v>
      </c>
      <c r="F4268" s="76">
        <v>111.8</v>
      </c>
    </row>
    <row r="4269" s="76" customFormat="1" spans="1:6">
      <c r="A4269">
        <v>4476</v>
      </c>
      <c r="B4269">
        <v>322020260</v>
      </c>
      <c r="C4269" s="76">
        <v>2020</v>
      </c>
      <c r="D4269" s="76" t="s">
        <v>34</v>
      </c>
      <c r="E4269" s="76" t="s">
        <v>32</v>
      </c>
      <c r="F4269" s="76">
        <v>2.68</v>
      </c>
    </row>
    <row r="4270" s="76" customFormat="1" spans="1:6">
      <c r="A4270">
        <v>4421</v>
      </c>
      <c r="B4270">
        <v>322020260</v>
      </c>
      <c r="C4270" s="76">
        <v>2020</v>
      </c>
      <c r="D4270" s="76" t="s">
        <v>34</v>
      </c>
      <c r="E4270" s="76" t="s">
        <v>32</v>
      </c>
      <c r="F4270" s="76">
        <v>6.7</v>
      </c>
    </row>
    <row r="4271" s="76" customFormat="1" spans="1:6">
      <c r="A4271">
        <v>4406</v>
      </c>
      <c r="B4271">
        <v>322020260</v>
      </c>
      <c r="C4271" s="76">
        <v>2020</v>
      </c>
      <c r="D4271" s="76" t="s">
        <v>34</v>
      </c>
      <c r="E4271" s="76">
        <v>9</v>
      </c>
      <c r="F4271" s="76">
        <v>3.48</v>
      </c>
    </row>
    <row r="4272" s="76" customFormat="1" spans="1:6">
      <c r="A4272">
        <v>4456</v>
      </c>
      <c r="B4272">
        <v>322020260</v>
      </c>
      <c r="C4272" s="76">
        <v>2020</v>
      </c>
      <c r="D4272" s="76" t="s">
        <v>34</v>
      </c>
      <c r="E4272" s="76" t="s">
        <v>32</v>
      </c>
      <c r="F4272" s="76">
        <v>8.37</v>
      </c>
    </row>
    <row r="4273" s="76" customFormat="1" spans="1:6">
      <c r="A4273">
        <v>4420</v>
      </c>
      <c r="B4273">
        <v>322020260</v>
      </c>
      <c r="C4273" s="76">
        <v>2020</v>
      </c>
      <c r="D4273" s="76" t="s">
        <v>34</v>
      </c>
      <c r="E4273" s="76" t="s">
        <v>32</v>
      </c>
      <c r="F4273" s="76">
        <v>9</v>
      </c>
    </row>
    <row r="4274" s="76" customFormat="1" spans="1:6">
      <c r="A4274">
        <v>4404</v>
      </c>
      <c r="B4274">
        <v>322020260</v>
      </c>
      <c r="C4274" s="76">
        <v>2020</v>
      </c>
      <c r="D4274" s="76" t="s">
        <v>34</v>
      </c>
      <c r="E4274" s="76" t="s">
        <v>32</v>
      </c>
      <c r="F4274" s="76">
        <v>2.64</v>
      </c>
    </row>
    <row r="4275" s="76" customFormat="1" spans="1:6">
      <c r="A4275">
        <v>4436</v>
      </c>
      <c r="B4275">
        <v>322020260</v>
      </c>
      <c r="C4275" s="76">
        <v>2020</v>
      </c>
      <c r="D4275" s="76" t="s">
        <v>34</v>
      </c>
      <c r="E4275" s="76" t="s">
        <v>32</v>
      </c>
      <c r="F4275" s="76">
        <v>0.55</v>
      </c>
    </row>
    <row r="4276" s="76" customFormat="1" spans="1:6">
      <c r="A4276">
        <v>4477</v>
      </c>
      <c r="B4276">
        <v>322020260</v>
      </c>
      <c r="C4276" s="76">
        <v>2020</v>
      </c>
      <c r="D4276" s="76" t="s">
        <v>34</v>
      </c>
      <c r="E4276" s="76" t="s">
        <v>32</v>
      </c>
      <c r="F4276" s="76">
        <v>4.77</v>
      </c>
    </row>
    <row r="4277" s="76" customFormat="1" spans="1:6">
      <c r="A4277">
        <v>4464</v>
      </c>
      <c r="B4277">
        <v>322020260</v>
      </c>
      <c r="C4277" s="76">
        <v>2020</v>
      </c>
      <c r="D4277" s="76" t="s">
        <v>34</v>
      </c>
      <c r="E4277" s="76" t="s">
        <v>32</v>
      </c>
      <c r="F4277" s="76">
        <v>2.5</v>
      </c>
    </row>
    <row r="4278" s="76" customFormat="1" spans="1:6">
      <c r="A4278">
        <v>4470</v>
      </c>
      <c r="B4278">
        <v>322020260</v>
      </c>
      <c r="C4278" s="76">
        <v>2020</v>
      </c>
      <c r="D4278" s="76" t="s">
        <v>34</v>
      </c>
      <c r="E4278" s="76" t="s">
        <v>32</v>
      </c>
      <c r="F4278" s="76">
        <v>2.65</v>
      </c>
    </row>
    <row r="4279" s="76" customFormat="1" spans="1:6">
      <c r="A4279">
        <v>4475</v>
      </c>
      <c r="B4279">
        <v>322020260</v>
      </c>
      <c r="C4279" s="76">
        <v>2020</v>
      </c>
      <c r="D4279" s="76" t="s">
        <v>34</v>
      </c>
      <c r="E4279" s="76" t="s">
        <v>32</v>
      </c>
      <c r="F4279" s="76">
        <v>1.63</v>
      </c>
    </row>
    <row r="4280" s="76" customFormat="1" spans="1:6">
      <c r="A4280">
        <v>4434</v>
      </c>
      <c r="B4280">
        <v>322020260</v>
      </c>
      <c r="C4280" s="76">
        <v>2020</v>
      </c>
      <c r="D4280" s="76" t="s">
        <v>34</v>
      </c>
      <c r="E4280" s="76" t="s">
        <v>32</v>
      </c>
      <c r="F4280" s="76">
        <v>5.28</v>
      </c>
    </row>
    <row r="4281" s="76" customFormat="1" spans="1:6">
      <c r="A4281">
        <v>4466</v>
      </c>
      <c r="B4281">
        <v>322020260</v>
      </c>
      <c r="C4281" s="76">
        <v>2020</v>
      </c>
      <c r="D4281" s="76" t="s">
        <v>34</v>
      </c>
      <c r="E4281" s="76" t="s">
        <v>32</v>
      </c>
      <c r="F4281" s="76">
        <v>5.28</v>
      </c>
    </row>
    <row r="4282" s="76" customFormat="1" spans="1:6">
      <c r="A4282">
        <v>4405</v>
      </c>
      <c r="B4282">
        <v>322020260</v>
      </c>
      <c r="C4282" s="76">
        <v>2020</v>
      </c>
      <c r="D4282" s="76" t="s">
        <v>34</v>
      </c>
      <c r="E4282" s="76">
        <v>75</v>
      </c>
      <c r="F4282" s="76">
        <v>30</v>
      </c>
    </row>
    <row r="4283" s="76" customFormat="1" spans="1:6">
      <c r="A4283">
        <v>4427</v>
      </c>
      <c r="B4283">
        <v>322020260</v>
      </c>
      <c r="C4283" s="76">
        <v>2020</v>
      </c>
      <c r="D4283" s="76" t="s">
        <v>34</v>
      </c>
      <c r="E4283" s="76">
        <v>4</v>
      </c>
      <c r="F4283" s="76">
        <v>0.88</v>
      </c>
    </row>
    <row r="4284" s="76" customFormat="1" spans="1:6">
      <c r="A4284">
        <v>4437</v>
      </c>
      <c r="B4284">
        <v>322020260</v>
      </c>
      <c r="C4284" s="76">
        <v>2020</v>
      </c>
      <c r="D4284" s="76" t="s">
        <v>34</v>
      </c>
      <c r="E4284" s="76" t="s">
        <v>32</v>
      </c>
      <c r="F4284" s="76">
        <v>30</v>
      </c>
    </row>
    <row r="4285" s="76" customFormat="1" spans="1:6">
      <c r="A4285">
        <v>4432</v>
      </c>
      <c r="B4285">
        <v>322020260</v>
      </c>
      <c r="C4285" s="76">
        <v>2020</v>
      </c>
      <c r="D4285" s="76" t="s">
        <v>34</v>
      </c>
      <c r="E4285" s="76" t="s">
        <v>32</v>
      </c>
      <c r="F4285" s="76">
        <v>5</v>
      </c>
    </row>
    <row r="4286" s="76" customFormat="1" spans="1:6">
      <c r="A4286">
        <v>4407</v>
      </c>
      <c r="B4286">
        <v>322020260</v>
      </c>
      <c r="C4286" s="76">
        <v>2020</v>
      </c>
      <c r="D4286" s="76" t="s">
        <v>34</v>
      </c>
      <c r="E4286" s="76">
        <v>23</v>
      </c>
      <c r="F4286" s="76">
        <v>10.35</v>
      </c>
    </row>
    <row r="4287" s="76" customFormat="1" spans="1:6">
      <c r="A4287">
        <v>4442</v>
      </c>
      <c r="B4287">
        <v>322020260</v>
      </c>
      <c r="C4287" s="76">
        <v>2020</v>
      </c>
      <c r="D4287" s="76" t="s">
        <v>34</v>
      </c>
      <c r="E4287" s="76" t="s">
        <v>32</v>
      </c>
      <c r="F4287" s="76">
        <v>10</v>
      </c>
    </row>
    <row r="4288" s="76" customFormat="1" spans="1:6">
      <c r="A4288">
        <v>4478</v>
      </c>
      <c r="B4288">
        <v>322020260</v>
      </c>
      <c r="C4288" s="76">
        <v>2020</v>
      </c>
      <c r="D4288" s="76" t="s">
        <v>34</v>
      </c>
      <c r="E4288" s="76" t="s">
        <v>32</v>
      </c>
      <c r="F4288" s="76">
        <v>1.5</v>
      </c>
    </row>
    <row r="4289" s="76" customFormat="1" spans="1:6">
      <c r="A4289">
        <v>4435</v>
      </c>
      <c r="B4289">
        <v>322020260</v>
      </c>
      <c r="C4289" s="76">
        <v>2020</v>
      </c>
      <c r="D4289" s="76" t="s">
        <v>34</v>
      </c>
      <c r="E4289" s="76" t="s">
        <v>32</v>
      </c>
      <c r="F4289" s="76">
        <v>3.48</v>
      </c>
    </row>
    <row r="4290" s="76" customFormat="1" spans="1:6">
      <c r="A4290">
        <v>4474</v>
      </c>
      <c r="B4290">
        <v>322020260</v>
      </c>
      <c r="C4290" s="76">
        <v>2020</v>
      </c>
      <c r="D4290" s="76" t="s">
        <v>34</v>
      </c>
      <c r="E4290" s="76" t="s">
        <v>32</v>
      </c>
      <c r="F4290" s="76">
        <v>7.2</v>
      </c>
    </row>
    <row r="4291" s="76" customFormat="1" spans="1:6">
      <c r="A4291">
        <v>4468</v>
      </c>
      <c r="B4291">
        <v>322020260</v>
      </c>
      <c r="C4291" s="76">
        <v>2020</v>
      </c>
      <c r="D4291" s="76" t="s">
        <v>34</v>
      </c>
      <c r="E4291" s="76" t="s">
        <v>32</v>
      </c>
      <c r="F4291" s="76">
        <v>4.95</v>
      </c>
    </row>
    <row r="4292" s="76" customFormat="1" spans="1:6">
      <c r="A4292">
        <v>4467</v>
      </c>
      <c r="B4292">
        <v>322020260</v>
      </c>
      <c r="C4292" s="76">
        <v>2020</v>
      </c>
      <c r="D4292" s="76" t="s">
        <v>34</v>
      </c>
      <c r="E4292" s="76" t="s">
        <v>32</v>
      </c>
      <c r="F4292" s="76">
        <v>4.95</v>
      </c>
    </row>
    <row r="4293" s="76" customFormat="1" spans="1:6">
      <c r="A4293">
        <v>4409</v>
      </c>
      <c r="B4293">
        <v>322020260</v>
      </c>
      <c r="C4293" s="76">
        <v>2020</v>
      </c>
      <c r="D4293" s="76" t="s">
        <v>34</v>
      </c>
      <c r="E4293" s="76">
        <v>15</v>
      </c>
      <c r="F4293" s="76">
        <v>8.88</v>
      </c>
    </row>
    <row r="4294" s="76" customFormat="1" spans="1:6">
      <c r="A4294">
        <v>4447</v>
      </c>
      <c r="B4294">
        <v>322020260</v>
      </c>
      <c r="C4294" s="76">
        <v>2020</v>
      </c>
      <c r="D4294" s="76" t="s">
        <v>34</v>
      </c>
      <c r="E4294" s="76" t="s">
        <v>32</v>
      </c>
      <c r="F4294" s="76">
        <v>7.5</v>
      </c>
    </row>
    <row r="4295" s="76" customFormat="1" spans="1:6">
      <c r="A4295">
        <v>4430</v>
      </c>
      <c r="B4295">
        <v>322020260</v>
      </c>
      <c r="C4295" s="76">
        <v>2020</v>
      </c>
      <c r="D4295" s="76" t="s">
        <v>34</v>
      </c>
      <c r="E4295" s="76" t="s">
        <v>32</v>
      </c>
      <c r="F4295" s="76">
        <v>4</v>
      </c>
    </row>
    <row r="4296" s="76" customFormat="1" spans="1:6">
      <c r="A4296">
        <v>4431</v>
      </c>
      <c r="B4296">
        <v>322020260</v>
      </c>
      <c r="C4296" s="76">
        <v>2020</v>
      </c>
      <c r="D4296" s="76" t="s">
        <v>34</v>
      </c>
      <c r="E4296" s="76" t="s">
        <v>32</v>
      </c>
      <c r="F4296" s="76">
        <v>1.5</v>
      </c>
    </row>
    <row r="4297" s="76" customFormat="1" spans="1:6">
      <c r="A4297">
        <v>4429</v>
      </c>
      <c r="B4297">
        <v>322020260</v>
      </c>
      <c r="C4297" s="76">
        <v>2020</v>
      </c>
      <c r="D4297" s="76" t="s">
        <v>34</v>
      </c>
      <c r="E4297" s="76">
        <v>19</v>
      </c>
      <c r="F4297" s="76">
        <v>5.53</v>
      </c>
    </row>
    <row r="4298" s="76" customFormat="1" spans="1:6">
      <c r="A4298">
        <v>4460</v>
      </c>
      <c r="B4298">
        <v>322020260</v>
      </c>
      <c r="C4298" s="76">
        <v>2020</v>
      </c>
      <c r="D4298" s="76" t="s">
        <v>34</v>
      </c>
      <c r="E4298" s="76" t="s">
        <v>32</v>
      </c>
      <c r="F4298" s="76">
        <v>0.33</v>
      </c>
    </row>
    <row r="4299" s="76" customFormat="1" spans="1:6">
      <c r="A4299">
        <v>4461</v>
      </c>
      <c r="B4299">
        <v>322020260</v>
      </c>
      <c r="C4299" s="76">
        <v>2020</v>
      </c>
      <c r="D4299" s="76" t="s">
        <v>34</v>
      </c>
      <c r="E4299" s="76" t="s">
        <v>32</v>
      </c>
      <c r="F4299" s="76">
        <v>5.25</v>
      </c>
    </row>
    <row r="4300" s="76" customFormat="1" spans="1:6">
      <c r="A4300">
        <v>4414</v>
      </c>
      <c r="B4300">
        <v>322020260</v>
      </c>
      <c r="C4300" s="76">
        <v>2020</v>
      </c>
      <c r="D4300" s="76" t="s">
        <v>34</v>
      </c>
      <c r="E4300" s="76">
        <v>12</v>
      </c>
      <c r="F4300" s="76">
        <v>4.8</v>
      </c>
    </row>
    <row r="4301" s="76" customFormat="1" spans="1:6">
      <c r="A4301">
        <v>4401</v>
      </c>
      <c r="B4301">
        <v>322020260</v>
      </c>
      <c r="C4301" s="76">
        <v>2020</v>
      </c>
      <c r="D4301" s="76" t="s">
        <v>34</v>
      </c>
      <c r="E4301" s="76">
        <v>46</v>
      </c>
      <c r="F4301" s="76">
        <v>10.12</v>
      </c>
    </row>
    <row r="4302" s="76" customFormat="1" spans="1:6">
      <c r="A4302">
        <v>4459</v>
      </c>
      <c r="B4302">
        <v>322020260</v>
      </c>
      <c r="C4302" s="76">
        <v>2020</v>
      </c>
      <c r="D4302" s="76" t="s">
        <v>34</v>
      </c>
      <c r="E4302" s="76" t="s">
        <v>32</v>
      </c>
      <c r="F4302" s="76">
        <v>1.86</v>
      </c>
    </row>
    <row r="4303" s="76" customFormat="1" spans="1:6">
      <c r="A4303">
        <v>4471</v>
      </c>
      <c r="B4303">
        <v>322020260</v>
      </c>
      <c r="C4303" s="76">
        <v>2020</v>
      </c>
      <c r="D4303" s="76" t="s">
        <v>34</v>
      </c>
      <c r="E4303" s="76" t="s">
        <v>32</v>
      </c>
      <c r="F4303" s="76">
        <v>1.33</v>
      </c>
    </row>
    <row r="4304" s="76" customFormat="1" spans="1:6">
      <c r="A4304">
        <v>4446</v>
      </c>
      <c r="B4304">
        <v>322020260</v>
      </c>
      <c r="C4304" s="76">
        <v>2020</v>
      </c>
      <c r="D4304" s="76" t="s">
        <v>34</v>
      </c>
      <c r="E4304" s="76" t="s">
        <v>32</v>
      </c>
      <c r="F4304" s="76">
        <v>3</v>
      </c>
    </row>
    <row r="4305" s="76" customFormat="1" spans="1:6">
      <c r="A4305">
        <v>4469</v>
      </c>
      <c r="B4305">
        <v>322020260</v>
      </c>
      <c r="C4305" s="76">
        <v>2020</v>
      </c>
      <c r="D4305" s="76" t="s">
        <v>34</v>
      </c>
      <c r="E4305" s="76" t="s">
        <v>32</v>
      </c>
      <c r="F4305" s="76">
        <v>5.3</v>
      </c>
    </row>
    <row r="4306" s="76" customFormat="1" spans="1:6">
      <c r="A4306">
        <v>4449</v>
      </c>
      <c r="B4306">
        <v>322020260</v>
      </c>
      <c r="C4306" s="76">
        <v>2020</v>
      </c>
      <c r="D4306" s="76" t="s">
        <v>34</v>
      </c>
      <c r="E4306" s="76" t="s">
        <v>32</v>
      </c>
      <c r="F4306" s="76">
        <v>8</v>
      </c>
    </row>
    <row r="4307" s="76" customFormat="1" spans="1:6">
      <c r="A4307">
        <v>4438</v>
      </c>
      <c r="B4307">
        <v>322020260</v>
      </c>
      <c r="C4307" s="76">
        <v>2020</v>
      </c>
      <c r="D4307" s="76" t="s">
        <v>34</v>
      </c>
      <c r="E4307" s="76" t="s">
        <v>32</v>
      </c>
      <c r="F4307" s="76">
        <v>4.75</v>
      </c>
    </row>
    <row r="4308" s="76" customFormat="1" spans="1:6">
      <c r="A4308">
        <v>4452</v>
      </c>
      <c r="B4308">
        <v>322020260</v>
      </c>
      <c r="C4308" s="76">
        <v>2020</v>
      </c>
      <c r="D4308" s="76" t="s">
        <v>34</v>
      </c>
      <c r="E4308" s="76" t="s">
        <v>32</v>
      </c>
      <c r="F4308" s="76">
        <v>4.51</v>
      </c>
    </row>
    <row r="4309" s="76" customFormat="1" spans="1:6">
      <c r="A4309">
        <v>4455</v>
      </c>
      <c r="B4309">
        <v>322020260</v>
      </c>
      <c r="C4309" s="76">
        <v>2020</v>
      </c>
      <c r="D4309" s="76" t="s">
        <v>34</v>
      </c>
      <c r="E4309" s="76" t="s">
        <v>32</v>
      </c>
      <c r="F4309" s="76">
        <v>1.5</v>
      </c>
    </row>
    <row r="4310" s="76" customFormat="1" spans="1:6">
      <c r="A4310">
        <v>4454</v>
      </c>
      <c r="B4310">
        <v>322020260</v>
      </c>
      <c r="C4310" s="76">
        <v>2020</v>
      </c>
      <c r="D4310" s="76" t="s">
        <v>34</v>
      </c>
      <c r="E4310" s="76" t="s">
        <v>32</v>
      </c>
      <c r="F4310" s="76">
        <v>8.5</v>
      </c>
    </row>
    <row r="4311" s="76" customFormat="1" spans="1:6">
      <c r="A4311">
        <v>4453</v>
      </c>
      <c r="B4311">
        <v>322020260</v>
      </c>
      <c r="C4311" s="76">
        <v>2020</v>
      </c>
      <c r="D4311" s="76" t="s">
        <v>34</v>
      </c>
      <c r="E4311" s="76" t="s">
        <v>32</v>
      </c>
      <c r="F4311" s="76">
        <v>7.25</v>
      </c>
    </row>
    <row r="4312" s="76" customFormat="1" spans="1:6">
      <c r="A4312">
        <v>4412</v>
      </c>
      <c r="B4312">
        <v>322020260</v>
      </c>
      <c r="C4312" s="76">
        <v>2020</v>
      </c>
      <c r="D4312" s="76" t="s">
        <v>34</v>
      </c>
      <c r="E4312" s="76">
        <v>24</v>
      </c>
      <c r="F4312" s="76">
        <v>5.28</v>
      </c>
    </row>
    <row r="4313" s="76" customFormat="1" spans="1:6">
      <c r="A4313">
        <v>4426</v>
      </c>
      <c r="B4313">
        <v>322020260</v>
      </c>
      <c r="C4313" s="76">
        <v>2020</v>
      </c>
      <c r="D4313" s="76" t="s">
        <v>34</v>
      </c>
      <c r="E4313" s="76">
        <v>2</v>
      </c>
      <c r="F4313" s="76">
        <v>0.44</v>
      </c>
    </row>
    <row r="4314" s="76" customFormat="1" spans="1:6">
      <c r="A4314">
        <v>4428</v>
      </c>
      <c r="B4314">
        <v>322020260</v>
      </c>
      <c r="C4314" s="76">
        <v>2020</v>
      </c>
      <c r="D4314" s="76" t="s">
        <v>34</v>
      </c>
      <c r="E4314" s="76">
        <v>19</v>
      </c>
      <c r="F4314" s="76">
        <v>5.75</v>
      </c>
    </row>
    <row r="4315" s="76" customFormat="1" spans="1:6">
      <c r="A4315">
        <v>4416</v>
      </c>
      <c r="B4315">
        <v>322020260</v>
      </c>
      <c r="C4315" s="76">
        <v>2020</v>
      </c>
      <c r="D4315" s="76" t="s">
        <v>34</v>
      </c>
      <c r="E4315" s="76">
        <v>20</v>
      </c>
      <c r="F4315" s="76">
        <v>5</v>
      </c>
    </row>
    <row r="4316" s="76" customFormat="1" spans="1:6">
      <c r="A4316">
        <v>4403</v>
      </c>
      <c r="B4316">
        <v>322020260</v>
      </c>
      <c r="C4316" s="76">
        <v>2020</v>
      </c>
      <c r="D4316" s="76" t="s">
        <v>34</v>
      </c>
      <c r="E4316" s="76">
        <v>20</v>
      </c>
      <c r="F4316" s="76">
        <v>5</v>
      </c>
    </row>
    <row r="4317" s="76" customFormat="1" spans="1:6">
      <c r="A4317">
        <v>4417</v>
      </c>
      <c r="B4317">
        <v>322020260</v>
      </c>
      <c r="C4317" s="76">
        <v>2020</v>
      </c>
      <c r="D4317" s="76" t="s">
        <v>34</v>
      </c>
      <c r="E4317" s="76">
        <v>17</v>
      </c>
      <c r="F4317" s="76">
        <v>5</v>
      </c>
    </row>
    <row r="4318" s="76" customFormat="1" spans="1:6">
      <c r="A4318">
        <v>4410</v>
      </c>
      <c r="B4318">
        <v>322020260</v>
      </c>
      <c r="C4318" s="76">
        <v>2020</v>
      </c>
      <c r="D4318" s="76" t="s">
        <v>34</v>
      </c>
      <c r="E4318" s="76">
        <v>21</v>
      </c>
      <c r="F4318" s="76">
        <v>5.25</v>
      </c>
    </row>
    <row r="4319" s="76" customFormat="1" spans="1:6">
      <c r="A4319">
        <v>4411</v>
      </c>
      <c r="B4319">
        <v>322020260</v>
      </c>
      <c r="C4319" s="76">
        <v>2020</v>
      </c>
      <c r="D4319" s="76" t="s">
        <v>34</v>
      </c>
      <c r="E4319" s="76">
        <v>19</v>
      </c>
      <c r="F4319" s="76">
        <v>4.75</v>
      </c>
    </row>
    <row r="4320" s="76" customFormat="1" spans="1:6">
      <c r="A4320">
        <v>4422</v>
      </c>
      <c r="B4320">
        <v>322020260</v>
      </c>
      <c r="C4320" s="76">
        <v>2020</v>
      </c>
      <c r="D4320" s="76" t="s">
        <v>34</v>
      </c>
      <c r="E4320" s="76">
        <v>20</v>
      </c>
      <c r="F4320" s="76">
        <v>5</v>
      </c>
    </row>
    <row r="4321" s="76" customFormat="1" spans="1:6">
      <c r="A4321">
        <v>4418</v>
      </c>
      <c r="B4321">
        <v>322020260</v>
      </c>
      <c r="C4321" s="76">
        <v>2020</v>
      </c>
      <c r="D4321" s="76" t="s">
        <v>34</v>
      </c>
      <c r="E4321" s="76">
        <v>20</v>
      </c>
      <c r="F4321" s="76">
        <v>5.91</v>
      </c>
    </row>
    <row r="4322" s="76" customFormat="1" spans="1:6">
      <c r="A4322">
        <v>4424</v>
      </c>
      <c r="B4322">
        <v>322020260</v>
      </c>
      <c r="C4322" s="76">
        <v>2020</v>
      </c>
      <c r="D4322" s="76" t="s">
        <v>34</v>
      </c>
      <c r="E4322" s="76">
        <v>20</v>
      </c>
      <c r="F4322" s="76">
        <v>5</v>
      </c>
    </row>
    <row r="4323" s="76" customFormat="1" spans="1:6">
      <c r="A4323">
        <v>4423</v>
      </c>
      <c r="B4323">
        <v>322020260</v>
      </c>
      <c r="C4323" s="76">
        <v>2020</v>
      </c>
      <c r="D4323" s="76" t="s">
        <v>34</v>
      </c>
      <c r="E4323" s="76">
        <v>38</v>
      </c>
      <c r="F4323" s="76">
        <v>9.5</v>
      </c>
    </row>
    <row r="4324" s="76" customFormat="1" spans="1:6">
      <c r="A4324">
        <v>4457</v>
      </c>
      <c r="B4324">
        <v>322020260</v>
      </c>
      <c r="C4324" s="76">
        <v>2020</v>
      </c>
      <c r="D4324" s="76" t="s">
        <v>34</v>
      </c>
      <c r="E4324" s="76" t="s">
        <v>32</v>
      </c>
      <c r="F4324" s="76">
        <v>2.65</v>
      </c>
    </row>
    <row r="4325" s="76" customFormat="1" spans="1:6">
      <c r="A4325">
        <v>4419</v>
      </c>
      <c r="B4325">
        <v>322020260</v>
      </c>
      <c r="C4325" s="76">
        <v>2020</v>
      </c>
      <c r="D4325" s="76" t="s">
        <v>34</v>
      </c>
      <c r="E4325" s="76" t="s">
        <v>32</v>
      </c>
      <c r="F4325" s="76">
        <v>4.4</v>
      </c>
    </row>
    <row r="4326" s="76" customFormat="1" spans="1:6">
      <c r="A4326">
        <v>4451</v>
      </c>
      <c r="B4326">
        <v>322020260</v>
      </c>
      <c r="C4326" s="76">
        <v>2020</v>
      </c>
      <c r="D4326" s="76" t="s">
        <v>34</v>
      </c>
      <c r="E4326" s="76" t="s">
        <v>32</v>
      </c>
      <c r="F4326" s="76">
        <v>4.51</v>
      </c>
    </row>
    <row r="4327" s="76" customFormat="1" spans="1:6">
      <c r="A4327">
        <v>4415</v>
      </c>
      <c r="B4327">
        <v>322020260</v>
      </c>
      <c r="C4327" s="76">
        <v>2020</v>
      </c>
      <c r="D4327" s="76" t="s">
        <v>34</v>
      </c>
      <c r="E4327" s="76">
        <v>67</v>
      </c>
      <c r="F4327" s="76">
        <v>30.15</v>
      </c>
    </row>
    <row r="4328" s="76" customFormat="1" spans="1:6">
      <c r="A4328">
        <v>4413</v>
      </c>
      <c r="B4328">
        <v>322020260</v>
      </c>
      <c r="C4328" s="76">
        <v>2020</v>
      </c>
      <c r="D4328" s="76" t="s">
        <v>34</v>
      </c>
      <c r="E4328" s="76">
        <v>23</v>
      </c>
      <c r="F4328" s="76">
        <v>10.35</v>
      </c>
    </row>
    <row r="4329" s="76" customFormat="1" spans="1:6">
      <c r="A4329">
        <v>4443</v>
      </c>
      <c r="B4329">
        <v>322020260</v>
      </c>
      <c r="C4329" s="76">
        <v>2020</v>
      </c>
      <c r="D4329" s="76" t="s">
        <v>34</v>
      </c>
      <c r="E4329" s="76" t="s">
        <v>32</v>
      </c>
      <c r="F4329" s="76">
        <v>9</v>
      </c>
    </row>
    <row r="4330" s="76" customFormat="1" spans="1:6">
      <c r="A4330">
        <v>4425</v>
      </c>
      <c r="B4330">
        <v>322020260</v>
      </c>
      <c r="C4330" s="76">
        <v>2020</v>
      </c>
      <c r="D4330" s="76" t="s">
        <v>34</v>
      </c>
      <c r="E4330" s="76">
        <v>20</v>
      </c>
      <c r="F4330" s="76">
        <v>10</v>
      </c>
    </row>
    <row r="4331" s="76" customFormat="1" spans="1:6">
      <c r="A4331">
        <v>4462</v>
      </c>
      <c r="B4331">
        <v>322020260</v>
      </c>
      <c r="C4331" s="76">
        <v>2020</v>
      </c>
      <c r="D4331" s="76" t="s">
        <v>34</v>
      </c>
      <c r="E4331" s="76" t="s">
        <v>32</v>
      </c>
      <c r="F4331" s="76">
        <v>5</v>
      </c>
    </row>
    <row r="4332" s="76" customFormat="1" spans="1:6">
      <c r="A4332">
        <v>4463</v>
      </c>
      <c r="B4332">
        <v>322020260</v>
      </c>
      <c r="C4332" s="76">
        <v>2020</v>
      </c>
      <c r="D4332" s="76" t="s">
        <v>34</v>
      </c>
      <c r="E4332" s="76" t="s">
        <v>32</v>
      </c>
      <c r="F4332" s="76">
        <v>6.25</v>
      </c>
    </row>
    <row r="4333" s="76" customFormat="1" spans="1:6">
      <c r="A4333">
        <v>4439</v>
      </c>
      <c r="B4333">
        <v>322020260</v>
      </c>
      <c r="C4333" s="76">
        <v>2020</v>
      </c>
      <c r="D4333" s="76" t="s">
        <v>34</v>
      </c>
      <c r="E4333" s="76" t="s">
        <v>32</v>
      </c>
      <c r="F4333" s="76">
        <v>4.5</v>
      </c>
    </row>
    <row r="4334" s="76" customFormat="1" spans="1:6">
      <c r="A4334">
        <v>4465</v>
      </c>
      <c r="B4334">
        <v>322020260</v>
      </c>
      <c r="C4334" s="76">
        <v>2020</v>
      </c>
      <c r="D4334" s="76" t="s">
        <v>34</v>
      </c>
      <c r="E4334" s="76" t="s">
        <v>32</v>
      </c>
      <c r="F4334" s="76">
        <v>3.75</v>
      </c>
    </row>
    <row r="4335" s="76" customFormat="1" spans="1:6">
      <c r="A4335">
        <v>4472</v>
      </c>
      <c r="B4335">
        <v>322020260</v>
      </c>
      <c r="C4335" s="76">
        <v>2020</v>
      </c>
      <c r="D4335" s="76" t="s">
        <v>34</v>
      </c>
      <c r="E4335" s="76" t="s">
        <v>32</v>
      </c>
      <c r="F4335" s="76">
        <v>7.5</v>
      </c>
    </row>
    <row r="4336" s="76" customFormat="1" spans="1:6">
      <c r="A4336">
        <v>4433</v>
      </c>
      <c r="B4336">
        <v>322020260</v>
      </c>
      <c r="C4336" s="76">
        <v>2020</v>
      </c>
      <c r="D4336" s="76" t="s">
        <v>34</v>
      </c>
      <c r="E4336" s="76" t="s">
        <v>32</v>
      </c>
      <c r="F4336" s="76">
        <v>8.75</v>
      </c>
    </row>
    <row r="4337" s="76" customFormat="1" spans="1:6">
      <c r="A4337">
        <v>4473</v>
      </c>
      <c r="B4337">
        <v>322020260</v>
      </c>
      <c r="C4337" s="76">
        <v>2020</v>
      </c>
      <c r="D4337" s="76" t="s">
        <v>34</v>
      </c>
      <c r="E4337" s="76" t="s">
        <v>32</v>
      </c>
      <c r="F4337" s="76">
        <v>7.6</v>
      </c>
    </row>
    <row r="4338" s="76" customFormat="1" spans="1:6">
      <c r="A4338">
        <v>4402</v>
      </c>
      <c r="B4338">
        <v>322020260</v>
      </c>
      <c r="C4338" s="76">
        <v>2020</v>
      </c>
      <c r="D4338" s="76" t="s">
        <v>34</v>
      </c>
      <c r="E4338" s="76">
        <v>41</v>
      </c>
      <c r="F4338" s="76">
        <v>10.25</v>
      </c>
    </row>
    <row r="4339" s="76" customFormat="1" spans="1:6">
      <c r="A4339">
        <v>4445</v>
      </c>
      <c r="B4339">
        <v>322020260</v>
      </c>
      <c r="C4339" s="76">
        <v>2020</v>
      </c>
      <c r="D4339" s="76" t="s">
        <v>34</v>
      </c>
      <c r="E4339" s="76" t="s">
        <v>32</v>
      </c>
      <c r="F4339" s="76">
        <v>8.5</v>
      </c>
    </row>
    <row r="4340" s="76" customFormat="1" spans="1:6">
      <c r="A4340">
        <v>4408</v>
      </c>
      <c r="B4340">
        <v>322020260</v>
      </c>
      <c r="C4340" s="76">
        <v>2020</v>
      </c>
      <c r="D4340" s="76" t="s">
        <v>34</v>
      </c>
      <c r="E4340" s="76">
        <v>19</v>
      </c>
      <c r="F4340" s="76">
        <v>6.46</v>
      </c>
    </row>
    <row r="4341" s="76" customFormat="1" spans="1:6">
      <c r="A4341">
        <v>4448</v>
      </c>
      <c r="B4341">
        <v>322020260</v>
      </c>
      <c r="C4341" s="76">
        <v>2020</v>
      </c>
      <c r="D4341" s="76" t="s">
        <v>34</v>
      </c>
      <c r="E4341" s="76" t="s">
        <v>32</v>
      </c>
      <c r="F4341" s="76">
        <v>6.46</v>
      </c>
    </row>
    <row r="4342" s="76" customFormat="1" spans="1:6">
      <c r="A4342">
        <v>4444</v>
      </c>
      <c r="B4342">
        <v>322020260</v>
      </c>
      <c r="C4342" s="76">
        <v>2020</v>
      </c>
      <c r="D4342" s="76" t="s">
        <v>34</v>
      </c>
      <c r="E4342" s="76" t="s">
        <v>32</v>
      </c>
      <c r="F4342" s="76">
        <v>5</v>
      </c>
    </row>
    <row r="4343" s="76" customFormat="1" spans="1:6">
      <c r="A4343">
        <v>4440</v>
      </c>
      <c r="B4343">
        <v>322020260</v>
      </c>
      <c r="C4343" s="76">
        <v>2020</v>
      </c>
      <c r="D4343" s="76" t="s">
        <v>34</v>
      </c>
      <c r="E4343" s="76" t="s">
        <v>32</v>
      </c>
      <c r="F4343" s="76">
        <v>9.01</v>
      </c>
    </row>
    <row r="4344" s="76" customFormat="1" spans="1:6">
      <c r="A4344">
        <v>4441</v>
      </c>
      <c r="B4344">
        <v>322020260</v>
      </c>
      <c r="C4344" s="76">
        <v>2020</v>
      </c>
      <c r="D4344" s="76" t="s">
        <v>34</v>
      </c>
      <c r="E4344" s="76" t="s">
        <v>32</v>
      </c>
      <c r="F4344" s="76">
        <v>6.16</v>
      </c>
    </row>
    <row r="4345" s="76" customFormat="1" spans="1:6">
      <c r="A4345">
        <v>4450</v>
      </c>
      <c r="B4345">
        <v>322020260</v>
      </c>
      <c r="C4345" s="76">
        <v>2020</v>
      </c>
      <c r="D4345" s="76" t="s">
        <v>34</v>
      </c>
      <c r="E4345" s="76" t="s">
        <v>32</v>
      </c>
      <c r="F4345" s="76">
        <v>10</v>
      </c>
    </row>
    <row r="4346" s="76" customFormat="1" spans="1:6">
      <c r="A4346">
        <v>4458</v>
      </c>
      <c r="B4346">
        <v>322020260</v>
      </c>
      <c r="C4346" s="76">
        <v>2020</v>
      </c>
      <c r="D4346" s="76" t="s">
        <v>34</v>
      </c>
      <c r="E4346" s="76" t="s">
        <v>32</v>
      </c>
      <c r="F4346" s="76">
        <v>9.9</v>
      </c>
    </row>
    <row r="4347" s="76" customFormat="1" spans="1:6">
      <c r="A4347">
        <v>4491</v>
      </c>
      <c r="B4347">
        <v>322020270</v>
      </c>
      <c r="C4347" s="76">
        <v>2020</v>
      </c>
      <c r="D4347" s="76" t="s">
        <v>31</v>
      </c>
      <c r="E4347" s="76" t="s">
        <v>32</v>
      </c>
      <c r="F4347" s="76">
        <v>0.6</v>
      </c>
    </row>
    <row r="4348" s="76" customFormat="1" spans="1:6">
      <c r="A4348">
        <v>4493</v>
      </c>
      <c r="B4348">
        <v>322020270</v>
      </c>
      <c r="C4348" s="76">
        <v>2020</v>
      </c>
      <c r="D4348" s="76" t="s">
        <v>31</v>
      </c>
      <c r="E4348" s="76" t="s">
        <v>32</v>
      </c>
      <c r="F4348" s="76">
        <v>6</v>
      </c>
    </row>
    <row r="4349" s="76" customFormat="1" spans="1:6">
      <c r="A4349">
        <v>4479</v>
      </c>
      <c r="B4349">
        <v>322020270</v>
      </c>
      <c r="C4349" s="76">
        <v>2020</v>
      </c>
      <c r="D4349" s="76" t="s">
        <v>31</v>
      </c>
      <c r="E4349" s="76" t="s">
        <v>32</v>
      </c>
      <c r="F4349" s="76">
        <v>9.8</v>
      </c>
    </row>
    <row r="4350" s="76" customFormat="1" spans="1:6">
      <c r="A4350">
        <v>4484</v>
      </c>
      <c r="B4350">
        <v>322020270</v>
      </c>
      <c r="C4350" s="76">
        <v>2020</v>
      </c>
      <c r="D4350" s="76" t="s">
        <v>31</v>
      </c>
      <c r="E4350" s="76" t="s">
        <v>32</v>
      </c>
      <c r="F4350" s="76">
        <v>10.94</v>
      </c>
    </row>
    <row r="4351" s="76" customFormat="1" spans="1:6">
      <c r="A4351">
        <v>4485</v>
      </c>
      <c r="B4351">
        <v>322020270</v>
      </c>
      <c r="C4351" s="76">
        <v>2020</v>
      </c>
      <c r="D4351" s="76" t="s">
        <v>31</v>
      </c>
      <c r="E4351" s="76" t="s">
        <v>32</v>
      </c>
      <c r="F4351" s="76">
        <v>3.98</v>
      </c>
    </row>
    <row r="4352" s="76" customFormat="1" spans="1:6">
      <c r="A4352">
        <v>4486</v>
      </c>
      <c r="B4352">
        <v>322020270</v>
      </c>
      <c r="C4352" s="76">
        <v>2020</v>
      </c>
      <c r="D4352" s="76" t="s">
        <v>31</v>
      </c>
      <c r="E4352" s="76" t="s">
        <v>32</v>
      </c>
      <c r="F4352" s="76">
        <v>1.51</v>
      </c>
    </row>
    <row r="4353" s="76" customFormat="1" spans="1:6">
      <c r="A4353">
        <v>4480</v>
      </c>
      <c r="B4353">
        <v>322020270</v>
      </c>
      <c r="C4353" s="76">
        <v>2020</v>
      </c>
      <c r="D4353" s="76" t="s">
        <v>31</v>
      </c>
      <c r="E4353" s="76" t="s">
        <v>32</v>
      </c>
      <c r="F4353" s="76">
        <v>10</v>
      </c>
    </row>
    <row r="4354" s="76" customFormat="1" spans="1:6">
      <c r="A4354">
        <v>4481</v>
      </c>
      <c r="B4354">
        <v>322020270</v>
      </c>
      <c r="C4354" s="76">
        <v>2020</v>
      </c>
      <c r="D4354" s="76" t="s">
        <v>31</v>
      </c>
      <c r="E4354" s="76" t="s">
        <v>32</v>
      </c>
      <c r="F4354" s="76">
        <v>20</v>
      </c>
    </row>
    <row r="4355" s="76" customFormat="1" spans="1:6">
      <c r="A4355">
        <v>4488</v>
      </c>
      <c r="B4355">
        <v>322020270</v>
      </c>
      <c r="C4355" s="76">
        <v>2020</v>
      </c>
      <c r="D4355" s="76" t="s">
        <v>31</v>
      </c>
      <c r="E4355" s="76" t="s">
        <v>32</v>
      </c>
      <c r="F4355" s="76">
        <v>1.14</v>
      </c>
    </row>
    <row r="4356" s="76" customFormat="1" spans="1:6">
      <c r="A4356">
        <v>4487</v>
      </c>
      <c r="B4356">
        <v>322020270</v>
      </c>
      <c r="C4356" s="76">
        <v>2020</v>
      </c>
      <c r="D4356" s="76" t="s">
        <v>31</v>
      </c>
      <c r="E4356" s="76" t="s">
        <v>32</v>
      </c>
      <c r="F4356" s="76">
        <v>0.83</v>
      </c>
    </row>
    <row r="4357" s="76" customFormat="1" spans="1:6">
      <c r="A4357">
        <v>4489</v>
      </c>
      <c r="B4357">
        <v>322020270</v>
      </c>
      <c r="C4357" s="76">
        <v>2020</v>
      </c>
      <c r="D4357" s="76" t="s">
        <v>31</v>
      </c>
      <c r="E4357" s="76" t="s">
        <v>32</v>
      </c>
      <c r="F4357" s="76">
        <v>0.4</v>
      </c>
    </row>
    <row r="4358" s="76" customFormat="1" spans="1:6">
      <c r="A4358">
        <v>4483</v>
      </c>
      <c r="B4358">
        <v>322020270</v>
      </c>
      <c r="C4358" s="76">
        <v>2020</v>
      </c>
      <c r="D4358" s="76" t="s">
        <v>31</v>
      </c>
      <c r="E4358" s="76" t="s">
        <v>32</v>
      </c>
      <c r="F4358" s="76">
        <v>10</v>
      </c>
    </row>
    <row r="4359" s="76" customFormat="1" spans="1:6">
      <c r="A4359">
        <v>4490</v>
      </c>
      <c r="B4359">
        <v>322020270</v>
      </c>
      <c r="C4359" s="76">
        <v>2020</v>
      </c>
      <c r="D4359" s="76" t="s">
        <v>31</v>
      </c>
      <c r="E4359" s="76" t="s">
        <v>32</v>
      </c>
      <c r="F4359" s="76">
        <v>0.8</v>
      </c>
    </row>
    <row r="4360" s="76" customFormat="1" spans="1:6">
      <c r="A4360">
        <v>4492</v>
      </c>
      <c r="B4360">
        <v>322020270</v>
      </c>
      <c r="C4360" s="76">
        <v>2020</v>
      </c>
      <c r="D4360" s="76" t="s">
        <v>31</v>
      </c>
      <c r="E4360" s="76" t="s">
        <v>32</v>
      </c>
      <c r="F4360" s="76">
        <v>6</v>
      </c>
    </row>
    <row r="4361" s="76" customFormat="1" spans="1:6">
      <c r="A4361">
        <v>4494</v>
      </c>
      <c r="B4361">
        <v>322020283</v>
      </c>
      <c r="C4361" s="76">
        <v>2020</v>
      </c>
      <c r="D4361" s="76" t="s">
        <v>41</v>
      </c>
      <c r="E4361" s="76" t="s">
        <v>32</v>
      </c>
      <c r="F4361" s="76">
        <v>11.09</v>
      </c>
    </row>
    <row r="4362" s="76" customFormat="1" spans="1:6">
      <c r="A4362">
        <v>4495</v>
      </c>
      <c r="B4362">
        <v>322020283</v>
      </c>
      <c r="C4362" s="76">
        <v>2020</v>
      </c>
      <c r="D4362" s="76" t="s">
        <v>41</v>
      </c>
      <c r="E4362" s="76" t="s">
        <v>32</v>
      </c>
      <c r="F4362" s="76">
        <v>1.51</v>
      </c>
    </row>
    <row r="4363" s="76" customFormat="1" spans="1:6">
      <c r="A4363">
        <v>4503</v>
      </c>
      <c r="B4363">
        <v>322021211</v>
      </c>
      <c r="C4363" s="76">
        <v>2021</v>
      </c>
      <c r="D4363" s="76" t="s">
        <v>37</v>
      </c>
      <c r="E4363" s="76" t="s">
        <v>32</v>
      </c>
      <c r="F4363" s="76">
        <v>7.5</v>
      </c>
    </row>
    <row r="4364" s="76" customFormat="1" spans="1:6">
      <c r="A4364">
        <v>4501</v>
      </c>
      <c r="B4364">
        <v>322021211</v>
      </c>
      <c r="C4364" s="76">
        <v>2021</v>
      </c>
      <c r="D4364" s="76" t="s">
        <v>37</v>
      </c>
      <c r="E4364" s="76" t="s">
        <v>32</v>
      </c>
      <c r="F4364" s="76">
        <v>1.5</v>
      </c>
    </row>
    <row r="4365" s="76" customFormat="1" spans="1:6">
      <c r="A4365">
        <v>4499</v>
      </c>
      <c r="B4365">
        <v>322021211</v>
      </c>
      <c r="C4365" s="76">
        <v>2021</v>
      </c>
      <c r="D4365" s="76" t="s">
        <v>37</v>
      </c>
      <c r="E4365" s="76" t="s">
        <v>32</v>
      </c>
      <c r="F4365" s="76">
        <v>1</v>
      </c>
    </row>
    <row r="4366" s="76" customFormat="1" spans="1:6">
      <c r="A4366">
        <v>4497</v>
      </c>
      <c r="B4366">
        <v>322021211</v>
      </c>
      <c r="C4366" s="76">
        <v>2021</v>
      </c>
      <c r="D4366" s="76" t="s">
        <v>37</v>
      </c>
      <c r="E4366" s="76" t="s">
        <v>32</v>
      </c>
      <c r="F4366" s="76">
        <v>6</v>
      </c>
    </row>
    <row r="4367" s="76" customFormat="1" spans="1:6">
      <c r="A4367">
        <v>4504</v>
      </c>
      <c r="B4367">
        <v>322021211</v>
      </c>
      <c r="C4367" s="76">
        <v>2021</v>
      </c>
      <c r="D4367" s="76" t="s">
        <v>37</v>
      </c>
      <c r="E4367" s="76" t="s">
        <v>32</v>
      </c>
      <c r="F4367" s="76">
        <v>0.9</v>
      </c>
    </row>
    <row r="4368" s="76" customFormat="1" spans="1:6">
      <c r="A4368">
        <v>4502</v>
      </c>
      <c r="B4368">
        <v>322021211</v>
      </c>
      <c r="C4368" s="76">
        <v>2021</v>
      </c>
      <c r="D4368" s="76" t="s">
        <v>37</v>
      </c>
      <c r="E4368" s="76" t="s">
        <v>32</v>
      </c>
      <c r="F4368" s="76">
        <v>4</v>
      </c>
    </row>
    <row r="4369" s="76" customFormat="1" spans="1:6">
      <c r="A4369">
        <v>4506</v>
      </c>
      <c r="B4369">
        <v>322021211</v>
      </c>
      <c r="C4369" s="76">
        <v>2021</v>
      </c>
      <c r="D4369" s="76" t="s">
        <v>37</v>
      </c>
      <c r="E4369" s="76" t="s">
        <v>32</v>
      </c>
      <c r="F4369" s="76">
        <v>2</v>
      </c>
    </row>
    <row r="4370" s="76" customFormat="1" spans="1:6">
      <c r="A4370">
        <v>4500</v>
      </c>
      <c r="B4370">
        <v>322021211</v>
      </c>
      <c r="C4370" s="76">
        <v>2021</v>
      </c>
      <c r="D4370" s="76" t="s">
        <v>37</v>
      </c>
      <c r="E4370" s="76" t="s">
        <v>32</v>
      </c>
      <c r="F4370" s="76">
        <v>5</v>
      </c>
    </row>
    <row r="4371" s="76" customFormat="1" spans="1:6">
      <c r="A4371">
        <v>4505</v>
      </c>
      <c r="B4371">
        <v>322021211</v>
      </c>
      <c r="C4371" s="76">
        <v>2021</v>
      </c>
      <c r="D4371" s="76" t="s">
        <v>37</v>
      </c>
      <c r="E4371" s="76" t="s">
        <v>32</v>
      </c>
      <c r="F4371" s="76">
        <v>5</v>
      </c>
    </row>
    <row r="4372" s="76" customFormat="1" spans="1:6">
      <c r="A4372">
        <v>4498</v>
      </c>
      <c r="B4372">
        <v>322021211</v>
      </c>
      <c r="C4372" s="76">
        <v>2021</v>
      </c>
      <c r="D4372" s="76" t="s">
        <v>37</v>
      </c>
      <c r="E4372" s="76" t="s">
        <v>32</v>
      </c>
      <c r="F4372" s="76">
        <v>0.6</v>
      </c>
    </row>
    <row r="4373" s="76" customFormat="1" spans="1:6">
      <c r="A4373">
        <v>4511</v>
      </c>
      <c r="B4373">
        <v>322021221</v>
      </c>
      <c r="C4373" s="76">
        <v>2021</v>
      </c>
      <c r="D4373" s="76" t="s">
        <v>30</v>
      </c>
      <c r="E4373" s="76" t="s">
        <v>32</v>
      </c>
      <c r="F4373" s="76">
        <v>8.08</v>
      </c>
    </row>
    <row r="4374" s="76" customFormat="1" spans="1:6">
      <c r="A4374">
        <v>4510</v>
      </c>
      <c r="B4374">
        <v>322021221</v>
      </c>
      <c r="C4374" s="76">
        <v>2021</v>
      </c>
      <c r="D4374" s="76" t="s">
        <v>30</v>
      </c>
      <c r="E4374" s="76">
        <v>2</v>
      </c>
      <c r="F4374" s="76">
        <v>24.4</v>
      </c>
    </row>
    <row r="4375" s="76" customFormat="1" spans="1:6">
      <c r="A4375">
        <v>4509</v>
      </c>
      <c r="B4375">
        <v>322021221</v>
      </c>
      <c r="C4375" s="76">
        <v>2021</v>
      </c>
      <c r="D4375" s="76" t="s">
        <v>30</v>
      </c>
      <c r="E4375" s="76">
        <v>2</v>
      </c>
      <c r="F4375" s="76">
        <v>92</v>
      </c>
    </row>
    <row r="4376" s="76" customFormat="1" spans="1:6">
      <c r="A4376">
        <v>4508</v>
      </c>
      <c r="B4376">
        <v>322021221</v>
      </c>
      <c r="C4376" s="76">
        <v>2021</v>
      </c>
      <c r="D4376" s="76" t="s">
        <v>30</v>
      </c>
      <c r="E4376" s="76" t="s">
        <v>32</v>
      </c>
      <c r="F4376" s="76">
        <v>3.3</v>
      </c>
    </row>
    <row r="4377" s="76" customFormat="1" spans="1:6">
      <c r="A4377">
        <v>4507</v>
      </c>
      <c r="B4377">
        <v>322021221</v>
      </c>
      <c r="C4377" s="76">
        <v>2021</v>
      </c>
      <c r="D4377" s="76" t="s">
        <v>30</v>
      </c>
      <c r="E4377" s="76">
        <v>4</v>
      </c>
      <c r="F4377" s="76">
        <v>87.85</v>
      </c>
    </row>
    <row r="4378" s="76" customFormat="1" spans="1:6">
      <c r="A4378">
        <v>4514</v>
      </c>
      <c r="B4378">
        <v>322021241</v>
      </c>
      <c r="C4378" s="76">
        <v>2021</v>
      </c>
      <c r="D4378" s="76" t="s">
        <v>33</v>
      </c>
      <c r="E4378" s="76" t="s">
        <v>32</v>
      </c>
      <c r="F4378" s="76">
        <v>5</v>
      </c>
    </row>
    <row r="4379" s="76" customFormat="1" spans="1:6">
      <c r="A4379">
        <v>4513</v>
      </c>
      <c r="B4379">
        <v>322021241</v>
      </c>
      <c r="C4379" s="76">
        <v>2021</v>
      </c>
      <c r="D4379" s="76" t="s">
        <v>33</v>
      </c>
      <c r="E4379" s="76" t="s">
        <v>32</v>
      </c>
      <c r="F4379" s="76">
        <v>13.5</v>
      </c>
    </row>
    <row r="4380" s="76" customFormat="1" spans="1:6">
      <c r="A4380">
        <v>4512</v>
      </c>
      <c r="B4380">
        <v>322021241</v>
      </c>
      <c r="C4380" s="76">
        <v>2021</v>
      </c>
      <c r="D4380" s="76" t="s">
        <v>33</v>
      </c>
      <c r="E4380" s="76" t="s">
        <v>32</v>
      </c>
      <c r="F4380" s="76">
        <v>0.75</v>
      </c>
    </row>
    <row r="4381" s="76" customFormat="1" spans="1:6">
      <c r="A4381">
        <v>4515</v>
      </c>
      <c r="B4381">
        <v>322021241</v>
      </c>
      <c r="C4381" s="76">
        <v>2021</v>
      </c>
      <c r="D4381" s="76" t="s">
        <v>33</v>
      </c>
      <c r="E4381" s="76" t="s">
        <v>32</v>
      </c>
      <c r="F4381" s="76">
        <v>3.2</v>
      </c>
    </row>
    <row r="4382" s="76" customFormat="1" spans="1:6">
      <c r="A4382">
        <v>4525</v>
      </c>
      <c r="B4382">
        <v>322021242</v>
      </c>
      <c r="C4382" s="76">
        <v>2021</v>
      </c>
      <c r="D4382" s="76" t="s">
        <v>35</v>
      </c>
      <c r="E4382" s="76" t="s">
        <v>32</v>
      </c>
      <c r="F4382" s="76">
        <v>5</v>
      </c>
    </row>
    <row r="4383" s="76" customFormat="1" spans="1:6">
      <c r="A4383">
        <v>4529</v>
      </c>
      <c r="B4383">
        <v>322021242</v>
      </c>
      <c r="C4383" s="76">
        <v>2021</v>
      </c>
      <c r="D4383" s="76" t="s">
        <v>35</v>
      </c>
      <c r="E4383" s="76" t="s">
        <v>32</v>
      </c>
      <c r="F4383" s="76">
        <v>2</v>
      </c>
    </row>
    <row r="4384" s="76" customFormat="1" spans="1:6">
      <c r="A4384">
        <v>4527</v>
      </c>
      <c r="B4384">
        <v>322021242</v>
      </c>
      <c r="C4384" s="76">
        <v>2021</v>
      </c>
      <c r="D4384" s="76" t="s">
        <v>35</v>
      </c>
      <c r="E4384" s="76" t="s">
        <v>32</v>
      </c>
      <c r="F4384" s="76">
        <v>6</v>
      </c>
    </row>
    <row r="4385" s="76" customFormat="1" spans="1:6">
      <c r="A4385">
        <v>4520</v>
      </c>
      <c r="B4385">
        <v>322021242</v>
      </c>
      <c r="C4385" s="76">
        <v>2021</v>
      </c>
      <c r="D4385" s="76" t="s">
        <v>35</v>
      </c>
      <c r="E4385" s="76" t="s">
        <v>32</v>
      </c>
      <c r="F4385" s="76">
        <v>1.2</v>
      </c>
    </row>
    <row r="4386" s="76" customFormat="1" spans="1:6">
      <c r="A4386">
        <v>4524</v>
      </c>
      <c r="B4386">
        <v>322021242</v>
      </c>
      <c r="C4386" s="76">
        <v>2021</v>
      </c>
      <c r="D4386" s="76" t="s">
        <v>35</v>
      </c>
      <c r="E4386" s="76" t="s">
        <v>32</v>
      </c>
      <c r="F4386" s="76">
        <v>1.5</v>
      </c>
    </row>
    <row r="4387" s="76" customFormat="1" spans="1:6">
      <c r="A4387">
        <v>4521</v>
      </c>
      <c r="B4387">
        <v>322021242</v>
      </c>
      <c r="C4387" s="76">
        <v>2021</v>
      </c>
      <c r="D4387" s="76" t="s">
        <v>35</v>
      </c>
      <c r="E4387" s="76" t="s">
        <v>32</v>
      </c>
      <c r="F4387" s="76">
        <v>3.5</v>
      </c>
    </row>
    <row r="4388" s="76" customFormat="1" spans="1:6">
      <c r="A4388">
        <v>4517</v>
      </c>
      <c r="B4388">
        <v>322021242</v>
      </c>
      <c r="C4388" s="76">
        <v>2021</v>
      </c>
      <c r="D4388" s="76" t="s">
        <v>35</v>
      </c>
      <c r="E4388" s="76">
        <v>1</v>
      </c>
      <c r="F4388" s="76">
        <v>3.5</v>
      </c>
    </row>
    <row r="4389" s="76" customFormat="1" spans="1:6">
      <c r="A4389">
        <v>4523</v>
      </c>
      <c r="B4389">
        <v>322021242</v>
      </c>
      <c r="C4389" s="76">
        <v>2021</v>
      </c>
      <c r="D4389" s="76" t="s">
        <v>35</v>
      </c>
      <c r="E4389" s="76" t="s">
        <v>32</v>
      </c>
      <c r="F4389" s="76">
        <v>1.5</v>
      </c>
    </row>
    <row r="4390" s="76" customFormat="1" spans="1:6">
      <c r="A4390">
        <v>4518</v>
      </c>
      <c r="B4390">
        <v>322021242</v>
      </c>
      <c r="C4390" s="76">
        <v>2021</v>
      </c>
      <c r="D4390" s="76" t="s">
        <v>35</v>
      </c>
      <c r="E4390" s="76" t="s">
        <v>32</v>
      </c>
      <c r="F4390" s="76">
        <v>2.8</v>
      </c>
    </row>
    <row r="4391" s="76" customFormat="1" spans="1:6">
      <c r="A4391">
        <v>4522</v>
      </c>
      <c r="B4391">
        <v>322021242</v>
      </c>
      <c r="C4391" s="76">
        <v>2021</v>
      </c>
      <c r="D4391" s="76" t="s">
        <v>35</v>
      </c>
      <c r="E4391" s="76" t="s">
        <v>32</v>
      </c>
      <c r="F4391" s="76">
        <v>9.6</v>
      </c>
    </row>
    <row r="4392" s="76" customFormat="1" spans="1:6">
      <c r="A4392">
        <v>4528</v>
      </c>
      <c r="B4392">
        <v>322021242</v>
      </c>
      <c r="C4392" s="76">
        <v>2021</v>
      </c>
      <c r="D4392" s="76" t="s">
        <v>35</v>
      </c>
      <c r="E4392" s="76" t="s">
        <v>32</v>
      </c>
      <c r="F4392" s="76">
        <v>1.5</v>
      </c>
    </row>
    <row r="4393" s="76" customFormat="1" spans="1:6">
      <c r="A4393">
        <v>4519</v>
      </c>
      <c r="B4393">
        <v>322021242</v>
      </c>
      <c r="C4393" s="76">
        <v>2021</v>
      </c>
      <c r="D4393" s="76" t="s">
        <v>35</v>
      </c>
      <c r="E4393" s="76" t="s">
        <v>32</v>
      </c>
      <c r="F4393" s="76">
        <v>3.6</v>
      </c>
    </row>
    <row r="4394" s="76" customFormat="1" spans="1:6">
      <c r="A4394">
        <v>4526</v>
      </c>
      <c r="B4394">
        <v>322021242</v>
      </c>
      <c r="C4394" s="76">
        <v>2021</v>
      </c>
      <c r="D4394" s="76" t="s">
        <v>35</v>
      </c>
      <c r="E4394" s="76" t="s">
        <v>32</v>
      </c>
      <c r="F4394" s="76">
        <v>2.5</v>
      </c>
    </row>
    <row r="4395" s="76" customFormat="1" spans="1:6">
      <c r="A4395">
        <v>4532</v>
      </c>
      <c r="B4395">
        <v>322021243</v>
      </c>
      <c r="C4395" s="76">
        <v>2021</v>
      </c>
      <c r="D4395" s="76" t="s">
        <v>38</v>
      </c>
      <c r="E4395" s="76" t="s">
        <v>32</v>
      </c>
      <c r="F4395" s="76">
        <v>3</v>
      </c>
    </row>
    <row r="4396" s="76" customFormat="1" spans="1:6">
      <c r="A4396">
        <v>4530</v>
      </c>
      <c r="B4396">
        <v>322021243</v>
      </c>
      <c r="C4396" s="76">
        <v>2021</v>
      </c>
      <c r="D4396" s="76" t="s">
        <v>38</v>
      </c>
      <c r="E4396" s="76" t="s">
        <v>32</v>
      </c>
      <c r="F4396" s="76">
        <v>1.5</v>
      </c>
    </row>
    <row r="4397" s="76" customFormat="1" spans="1:6">
      <c r="A4397">
        <v>4531</v>
      </c>
      <c r="B4397">
        <v>322021243</v>
      </c>
      <c r="C4397" s="76">
        <v>2021</v>
      </c>
      <c r="D4397" s="76" t="s">
        <v>38</v>
      </c>
      <c r="E4397" s="76" t="s">
        <v>32</v>
      </c>
      <c r="F4397" s="76">
        <v>3.5</v>
      </c>
    </row>
    <row r="4398" s="76" customFormat="1" spans="1:6">
      <c r="A4398">
        <v>4533</v>
      </c>
      <c r="B4398">
        <v>322021250</v>
      </c>
      <c r="C4398" s="76">
        <v>2021</v>
      </c>
      <c r="D4398" s="76" t="s">
        <v>44</v>
      </c>
      <c r="E4398" s="76">
        <v>1</v>
      </c>
      <c r="F4398" s="76">
        <v>111.8</v>
      </c>
    </row>
    <row r="4399" s="76" customFormat="1" spans="1:6">
      <c r="A4399">
        <v>4554</v>
      </c>
      <c r="B4399">
        <v>322021260</v>
      </c>
      <c r="C4399" s="76">
        <v>2021</v>
      </c>
      <c r="D4399" s="76" t="s">
        <v>34</v>
      </c>
      <c r="E4399" s="76">
        <v>66</v>
      </c>
      <c r="F4399" s="76">
        <v>29.8</v>
      </c>
    </row>
    <row r="4400" s="76" customFormat="1" spans="1:6">
      <c r="A4400">
        <v>4536</v>
      </c>
      <c r="B4400">
        <v>322021260</v>
      </c>
      <c r="C4400" s="76">
        <v>2021</v>
      </c>
      <c r="D4400" s="76" t="s">
        <v>34</v>
      </c>
      <c r="E4400" s="76" t="s">
        <v>32</v>
      </c>
      <c r="F4400" s="76">
        <v>1.6</v>
      </c>
    </row>
    <row r="4401" s="76" customFormat="1" spans="1:6">
      <c r="A4401">
        <v>4539</v>
      </c>
      <c r="B4401">
        <v>322021260</v>
      </c>
      <c r="C4401" s="76">
        <v>2021</v>
      </c>
      <c r="D4401" s="76" t="s">
        <v>34</v>
      </c>
      <c r="E4401" s="76" t="s">
        <v>32</v>
      </c>
      <c r="F4401" s="76">
        <v>7.5</v>
      </c>
    </row>
    <row r="4402" s="76" customFormat="1" spans="1:6">
      <c r="A4402">
        <v>4537</v>
      </c>
      <c r="B4402">
        <v>322021260</v>
      </c>
      <c r="C4402" s="76">
        <v>2021</v>
      </c>
      <c r="D4402" s="76" t="s">
        <v>34</v>
      </c>
      <c r="E4402" s="76" t="s">
        <v>32</v>
      </c>
      <c r="F4402" s="76">
        <v>2.39</v>
      </c>
    </row>
    <row r="4403" s="76" customFormat="1" spans="1:6">
      <c r="A4403">
        <v>4541</v>
      </c>
      <c r="B4403">
        <v>322021260</v>
      </c>
      <c r="C4403" s="76">
        <v>2021</v>
      </c>
      <c r="D4403" s="76" t="s">
        <v>34</v>
      </c>
      <c r="E4403" s="76" t="s">
        <v>32</v>
      </c>
      <c r="F4403" s="76">
        <v>6.75</v>
      </c>
    </row>
    <row r="4404" s="76" customFormat="1" spans="1:6">
      <c r="A4404">
        <v>4570</v>
      </c>
      <c r="B4404">
        <v>322021260</v>
      </c>
      <c r="C4404" s="76">
        <v>2021</v>
      </c>
      <c r="D4404" s="76" t="s">
        <v>34</v>
      </c>
      <c r="E4404" s="76" t="s">
        <v>32</v>
      </c>
      <c r="F4404" s="76">
        <v>26.72</v>
      </c>
    </row>
    <row r="4405" s="76" customFormat="1" spans="1:6">
      <c r="A4405">
        <v>4545</v>
      </c>
      <c r="B4405">
        <v>322021260</v>
      </c>
      <c r="C4405" s="76">
        <v>2021</v>
      </c>
      <c r="D4405" s="76" t="s">
        <v>34</v>
      </c>
      <c r="E4405" s="76" t="s">
        <v>32</v>
      </c>
      <c r="F4405" s="76">
        <v>4</v>
      </c>
    </row>
    <row r="4406" s="76" customFormat="1" spans="1:6">
      <c r="A4406">
        <v>4565</v>
      </c>
      <c r="B4406">
        <v>322021260</v>
      </c>
      <c r="C4406" s="76">
        <v>2021</v>
      </c>
      <c r="D4406" s="76" t="s">
        <v>34</v>
      </c>
      <c r="E4406" s="76">
        <v>33</v>
      </c>
      <c r="F4406" s="76">
        <v>20.94</v>
      </c>
    </row>
    <row r="4407" s="76" customFormat="1" spans="1:6">
      <c r="A4407">
        <v>4544</v>
      </c>
      <c r="B4407">
        <v>322021260</v>
      </c>
      <c r="C4407" s="76">
        <v>2021</v>
      </c>
      <c r="D4407" s="76" t="s">
        <v>34</v>
      </c>
      <c r="E4407" s="76" t="s">
        <v>32</v>
      </c>
      <c r="F4407" s="76">
        <v>0.7</v>
      </c>
    </row>
    <row r="4408" s="76" customFormat="1" spans="1:6">
      <c r="A4408">
        <v>4551</v>
      </c>
      <c r="B4408">
        <v>322021260</v>
      </c>
      <c r="C4408" s="76">
        <v>2021</v>
      </c>
      <c r="D4408" s="76" t="s">
        <v>34</v>
      </c>
      <c r="E4408" s="76" t="s">
        <v>32</v>
      </c>
      <c r="F4408" s="76">
        <v>1</v>
      </c>
    </row>
    <row r="4409" s="76" customFormat="1" spans="1:6">
      <c r="A4409">
        <v>4546</v>
      </c>
      <c r="B4409">
        <v>322021260</v>
      </c>
      <c r="C4409" s="76">
        <v>2021</v>
      </c>
      <c r="D4409" s="76" t="s">
        <v>34</v>
      </c>
      <c r="E4409" s="76" t="s">
        <v>32</v>
      </c>
      <c r="F4409" s="76">
        <v>4.29</v>
      </c>
    </row>
    <row r="4410" s="76" customFormat="1" spans="1:6">
      <c r="A4410">
        <v>4556</v>
      </c>
      <c r="B4410">
        <v>322021260</v>
      </c>
      <c r="C4410" s="76">
        <v>2021</v>
      </c>
      <c r="D4410" s="76" t="s">
        <v>34</v>
      </c>
      <c r="E4410" s="76">
        <v>38</v>
      </c>
      <c r="F4410" s="76">
        <v>15.2</v>
      </c>
    </row>
    <row r="4411" s="76" customFormat="1" spans="1:6">
      <c r="A4411">
        <v>4550</v>
      </c>
      <c r="B4411">
        <v>322021260</v>
      </c>
      <c r="C4411" s="76">
        <v>2021</v>
      </c>
      <c r="D4411" s="76" t="s">
        <v>34</v>
      </c>
      <c r="E4411" s="76" t="s">
        <v>32</v>
      </c>
      <c r="F4411" s="76">
        <v>5.28</v>
      </c>
    </row>
    <row r="4412" s="76" customFormat="1" spans="1:6">
      <c r="A4412">
        <v>4561</v>
      </c>
      <c r="B4412">
        <v>322021260</v>
      </c>
      <c r="C4412" s="76">
        <v>2021</v>
      </c>
      <c r="D4412" s="76" t="s">
        <v>34</v>
      </c>
      <c r="E4412" s="76" t="s">
        <v>32</v>
      </c>
      <c r="F4412" s="76">
        <v>4.95</v>
      </c>
    </row>
    <row r="4413" s="76" customFormat="1" spans="1:6">
      <c r="A4413">
        <v>4538</v>
      </c>
      <c r="B4413">
        <v>322021260</v>
      </c>
      <c r="C4413" s="76">
        <v>2021</v>
      </c>
      <c r="D4413" s="76" t="s">
        <v>34</v>
      </c>
      <c r="E4413" s="76" t="s">
        <v>32</v>
      </c>
      <c r="F4413" s="76">
        <v>2.65</v>
      </c>
    </row>
    <row r="4414" s="76" customFormat="1" spans="1:6">
      <c r="A4414">
        <v>4540</v>
      </c>
      <c r="B4414">
        <v>322021260</v>
      </c>
      <c r="C4414" s="76">
        <v>2021</v>
      </c>
      <c r="D4414" s="76" t="s">
        <v>34</v>
      </c>
      <c r="E4414" s="76" t="s">
        <v>32</v>
      </c>
      <c r="F4414" s="76">
        <v>3.98</v>
      </c>
    </row>
    <row r="4415" s="76" customFormat="1" spans="1:6">
      <c r="A4415">
        <v>4563</v>
      </c>
      <c r="B4415">
        <v>322021260</v>
      </c>
      <c r="C4415" s="76">
        <v>2021</v>
      </c>
      <c r="D4415" s="76" t="s">
        <v>34</v>
      </c>
      <c r="E4415" s="76" t="s">
        <v>32</v>
      </c>
      <c r="F4415" s="76">
        <v>30.04</v>
      </c>
    </row>
    <row r="4416" s="76" customFormat="1" spans="1:6">
      <c r="A4416">
        <v>4573</v>
      </c>
      <c r="B4416">
        <v>322021260</v>
      </c>
      <c r="C4416" s="76">
        <v>2021</v>
      </c>
      <c r="D4416" s="76" t="s">
        <v>34</v>
      </c>
      <c r="E4416" s="76" t="s">
        <v>32</v>
      </c>
      <c r="F4416" s="76">
        <v>30.15</v>
      </c>
    </row>
    <row r="4417" s="76" customFormat="1" spans="1:6">
      <c r="A4417">
        <v>4542</v>
      </c>
      <c r="B4417">
        <v>322021260</v>
      </c>
      <c r="C4417" s="76">
        <v>2021</v>
      </c>
      <c r="D4417" s="76" t="s">
        <v>34</v>
      </c>
      <c r="E4417" s="76" t="s">
        <v>32</v>
      </c>
      <c r="F4417" s="76">
        <v>3.71</v>
      </c>
    </row>
    <row r="4418" s="76" customFormat="1" spans="1:6">
      <c r="A4418">
        <v>4543</v>
      </c>
      <c r="B4418">
        <v>322021260</v>
      </c>
      <c r="C4418" s="76">
        <v>2021</v>
      </c>
      <c r="D4418" s="76" t="s">
        <v>34</v>
      </c>
      <c r="E4418" s="76" t="s">
        <v>32</v>
      </c>
      <c r="F4418" s="76">
        <v>8.75</v>
      </c>
    </row>
    <row r="4419" s="76" customFormat="1" spans="1:6">
      <c r="A4419">
        <v>4547</v>
      </c>
      <c r="B4419">
        <v>322021260</v>
      </c>
      <c r="C4419" s="76">
        <v>2021</v>
      </c>
      <c r="D4419" s="76" t="s">
        <v>34</v>
      </c>
      <c r="E4419" s="76" t="s">
        <v>32</v>
      </c>
      <c r="F4419" s="76">
        <v>4.29</v>
      </c>
    </row>
    <row r="4420" s="76" customFormat="1" spans="1:6">
      <c r="A4420">
        <v>4564</v>
      </c>
      <c r="B4420">
        <v>322021260</v>
      </c>
      <c r="C4420" s="76">
        <v>2021</v>
      </c>
      <c r="D4420" s="76" t="s">
        <v>34</v>
      </c>
      <c r="E4420" s="76" t="s">
        <v>32</v>
      </c>
      <c r="F4420" s="76">
        <v>25.13</v>
      </c>
    </row>
    <row r="4421" s="76" customFormat="1" spans="1:6">
      <c r="A4421">
        <v>4568</v>
      </c>
      <c r="B4421">
        <v>322021260</v>
      </c>
      <c r="C4421" s="76">
        <v>2021</v>
      </c>
      <c r="D4421" s="76" t="s">
        <v>34</v>
      </c>
      <c r="E4421" s="76" t="s">
        <v>32</v>
      </c>
      <c r="F4421" s="76">
        <v>25.05</v>
      </c>
    </row>
    <row r="4422" s="76" customFormat="1" spans="1:6">
      <c r="A4422">
        <v>4553</v>
      </c>
      <c r="B4422">
        <v>322021260</v>
      </c>
      <c r="C4422" s="76">
        <v>2021</v>
      </c>
      <c r="D4422" s="76" t="s">
        <v>34</v>
      </c>
      <c r="E4422" s="76">
        <v>70</v>
      </c>
      <c r="F4422" s="76">
        <v>35</v>
      </c>
    </row>
    <row r="4423" s="76" customFormat="1" spans="1:6">
      <c r="A4423">
        <v>4567</v>
      </c>
      <c r="B4423">
        <v>322021260</v>
      </c>
      <c r="C4423" s="76">
        <v>2021</v>
      </c>
      <c r="D4423" s="76" t="s">
        <v>34</v>
      </c>
      <c r="E4423" s="76">
        <v>65</v>
      </c>
      <c r="F4423" s="76">
        <v>30</v>
      </c>
    </row>
    <row r="4424" s="76" customFormat="1" spans="1:6">
      <c r="A4424">
        <v>4534</v>
      </c>
      <c r="B4424">
        <v>322021260</v>
      </c>
      <c r="C4424" s="76">
        <v>2021</v>
      </c>
      <c r="D4424" s="76" t="s">
        <v>34</v>
      </c>
      <c r="E4424" s="76" t="s">
        <v>32</v>
      </c>
      <c r="F4424" s="76">
        <v>2.6</v>
      </c>
    </row>
    <row r="4425" s="76" customFormat="1" spans="1:6">
      <c r="A4425">
        <v>4548</v>
      </c>
      <c r="B4425">
        <v>322021260</v>
      </c>
      <c r="C4425" s="76">
        <v>2021</v>
      </c>
      <c r="D4425" s="76" t="s">
        <v>34</v>
      </c>
      <c r="E4425" s="76" t="s">
        <v>32</v>
      </c>
      <c r="F4425" s="76">
        <v>1.95</v>
      </c>
    </row>
    <row r="4426" s="76" customFormat="1" spans="1:6">
      <c r="A4426">
        <v>4560</v>
      </c>
      <c r="B4426">
        <v>322021260</v>
      </c>
      <c r="C4426" s="76">
        <v>2021</v>
      </c>
      <c r="D4426" s="76" t="s">
        <v>34</v>
      </c>
      <c r="E4426" s="76">
        <v>47</v>
      </c>
      <c r="F4426" s="76">
        <v>30.32</v>
      </c>
    </row>
    <row r="4427" s="76" customFormat="1" spans="1:6">
      <c r="A4427">
        <v>4562</v>
      </c>
      <c r="B4427">
        <v>322021260</v>
      </c>
      <c r="C4427" s="76">
        <v>2021</v>
      </c>
      <c r="D4427" s="76" t="s">
        <v>34</v>
      </c>
      <c r="E4427" s="76">
        <v>47</v>
      </c>
      <c r="F4427" s="76">
        <v>30.32</v>
      </c>
    </row>
    <row r="4428" s="76" customFormat="1" spans="1:6">
      <c r="A4428">
        <v>4571</v>
      </c>
      <c r="B4428">
        <v>322021260</v>
      </c>
      <c r="C4428" s="76">
        <v>2021</v>
      </c>
      <c r="D4428" s="76" t="s">
        <v>34</v>
      </c>
      <c r="E4428" s="76">
        <v>40</v>
      </c>
      <c r="F4428" s="76">
        <v>20</v>
      </c>
    </row>
    <row r="4429" s="76" customFormat="1" spans="1:6">
      <c r="A4429">
        <v>4572</v>
      </c>
      <c r="B4429">
        <v>322021260</v>
      </c>
      <c r="C4429" s="76">
        <v>2021</v>
      </c>
      <c r="D4429" s="76" t="s">
        <v>34</v>
      </c>
      <c r="E4429" s="76">
        <v>20</v>
      </c>
      <c r="F4429" s="76">
        <v>10</v>
      </c>
    </row>
    <row r="4430" s="76" customFormat="1" spans="1:6">
      <c r="A4430">
        <v>4559</v>
      </c>
      <c r="B4430">
        <v>322021260</v>
      </c>
      <c r="C4430" s="76">
        <v>2021</v>
      </c>
      <c r="D4430" s="76" t="s">
        <v>34</v>
      </c>
      <c r="E4430" s="76" t="s">
        <v>32</v>
      </c>
      <c r="F4430" s="76">
        <v>40</v>
      </c>
    </row>
    <row r="4431" s="76" customFormat="1" spans="1:6">
      <c r="A4431">
        <v>4575</v>
      </c>
      <c r="B4431">
        <v>322021260</v>
      </c>
      <c r="C4431" s="76">
        <v>2021</v>
      </c>
      <c r="D4431" s="76" t="s">
        <v>34</v>
      </c>
      <c r="E4431" s="76" t="s">
        <v>32</v>
      </c>
      <c r="F4431" s="76">
        <v>20</v>
      </c>
    </row>
    <row r="4432" s="76" customFormat="1" spans="1:6">
      <c r="A4432">
        <v>4555</v>
      </c>
      <c r="B4432">
        <v>322021260</v>
      </c>
      <c r="C4432" s="76">
        <v>2021</v>
      </c>
      <c r="D4432" s="76" t="s">
        <v>34</v>
      </c>
      <c r="E4432" s="76">
        <v>40</v>
      </c>
      <c r="F4432" s="76">
        <v>20</v>
      </c>
    </row>
    <row r="4433" s="76" customFormat="1" spans="1:6">
      <c r="A4433">
        <v>4558</v>
      </c>
      <c r="B4433">
        <v>322021260</v>
      </c>
      <c r="C4433" s="76">
        <v>2021</v>
      </c>
      <c r="D4433" s="76" t="s">
        <v>34</v>
      </c>
      <c r="E4433" s="76">
        <v>30</v>
      </c>
      <c r="F4433" s="76">
        <v>15</v>
      </c>
    </row>
    <row r="4434" s="76" customFormat="1" spans="1:6">
      <c r="A4434">
        <v>4557</v>
      </c>
      <c r="B4434">
        <v>322021260</v>
      </c>
      <c r="C4434" s="76">
        <v>2021</v>
      </c>
      <c r="D4434" s="76" t="s">
        <v>34</v>
      </c>
      <c r="E4434" s="76">
        <v>58</v>
      </c>
      <c r="F4434" s="76">
        <v>30</v>
      </c>
    </row>
    <row r="4435" s="76" customFormat="1" spans="1:6">
      <c r="A4435">
        <v>4569</v>
      </c>
      <c r="B4435">
        <v>322021260</v>
      </c>
      <c r="C4435" s="76">
        <v>2021</v>
      </c>
      <c r="D4435" s="76" t="s">
        <v>34</v>
      </c>
      <c r="E4435" s="76">
        <v>100</v>
      </c>
      <c r="F4435" s="76">
        <v>40</v>
      </c>
    </row>
    <row r="4436" s="76" customFormat="1" spans="1:6">
      <c r="A4436">
        <v>4566</v>
      </c>
      <c r="B4436">
        <v>322021260</v>
      </c>
      <c r="C4436" s="76">
        <v>2021</v>
      </c>
      <c r="D4436" s="76" t="s">
        <v>34</v>
      </c>
      <c r="E4436" s="76">
        <v>100</v>
      </c>
      <c r="F4436" s="76">
        <v>40</v>
      </c>
    </row>
    <row r="4437" s="76" customFormat="1" spans="1:6">
      <c r="A4437">
        <v>4549</v>
      </c>
      <c r="B4437">
        <v>322021260</v>
      </c>
      <c r="C4437" s="76">
        <v>2021</v>
      </c>
      <c r="D4437" s="76" t="s">
        <v>34</v>
      </c>
      <c r="E4437" s="76" t="s">
        <v>32</v>
      </c>
      <c r="F4437" s="76">
        <v>0.9</v>
      </c>
    </row>
    <row r="4438" s="76" customFormat="1" spans="1:6">
      <c r="A4438">
        <v>4574</v>
      </c>
      <c r="B4438">
        <v>322021260</v>
      </c>
      <c r="C4438" s="76">
        <v>2021</v>
      </c>
      <c r="D4438" s="76" t="s">
        <v>34</v>
      </c>
      <c r="E4438" s="76" t="s">
        <v>32</v>
      </c>
      <c r="F4438" s="76">
        <v>22.4</v>
      </c>
    </row>
    <row r="4439" s="76" customFormat="1" spans="1:6">
      <c r="A4439">
        <v>4576</v>
      </c>
      <c r="B4439">
        <v>322021260</v>
      </c>
      <c r="C4439" s="76">
        <v>2021</v>
      </c>
      <c r="D4439" s="76" t="s">
        <v>34</v>
      </c>
      <c r="E4439" s="76" t="s">
        <v>32</v>
      </c>
      <c r="F4439" s="76">
        <v>20</v>
      </c>
    </row>
    <row r="4440" s="76" customFormat="1" spans="1:6">
      <c r="A4440">
        <v>4535</v>
      </c>
      <c r="B4440">
        <v>322021260</v>
      </c>
      <c r="C4440" s="76">
        <v>2021</v>
      </c>
      <c r="D4440" s="76" t="s">
        <v>34</v>
      </c>
      <c r="E4440" s="76">
        <v>4</v>
      </c>
      <c r="F4440" s="76">
        <v>1.32</v>
      </c>
    </row>
    <row r="4441" s="76" customFormat="1" spans="1:6">
      <c r="A4441">
        <v>4552</v>
      </c>
      <c r="B4441">
        <v>322021260</v>
      </c>
      <c r="C4441" s="76">
        <v>2021</v>
      </c>
      <c r="D4441" s="76" t="s">
        <v>34</v>
      </c>
      <c r="E4441" s="76" t="s">
        <v>32</v>
      </c>
      <c r="F4441" s="76">
        <v>2</v>
      </c>
    </row>
    <row r="4442" s="76" customFormat="1" spans="1:6">
      <c r="A4442">
        <v>4579</v>
      </c>
      <c r="B4442">
        <v>322021270</v>
      </c>
      <c r="C4442" s="76">
        <v>2021</v>
      </c>
      <c r="D4442" s="76" t="s">
        <v>31</v>
      </c>
      <c r="E4442" s="76" t="s">
        <v>32</v>
      </c>
      <c r="F4442" s="76">
        <v>3.03</v>
      </c>
    </row>
    <row r="4443" s="76" customFormat="1" spans="1:6">
      <c r="A4443">
        <v>4582</v>
      </c>
      <c r="B4443">
        <v>322021270</v>
      </c>
      <c r="C4443" s="76">
        <v>2021</v>
      </c>
      <c r="D4443" s="76" t="s">
        <v>31</v>
      </c>
      <c r="E4443" s="76" t="s">
        <v>32</v>
      </c>
      <c r="F4443" s="76">
        <v>0.96</v>
      </c>
    </row>
    <row r="4444" s="76" customFormat="1" spans="1:6">
      <c r="A4444">
        <v>4580</v>
      </c>
      <c r="B4444">
        <v>322021270</v>
      </c>
      <c r="C4444" s="76">
        <v>2021</v>
      </c>
      <c r="D4444" s="76" t="s">
        <v>31</v>
      </c>
      <c r="E4444" s="76" t="s">
        <v>32</v>
      </c>
      <c r="F4444" s="76">
        <v>0.09</v>
      </c>
    </row>
    <row r="4445" s="76" customFormat="1" spans="1:6">
      <c r="A4445">
        <v>4583</v>
      </c>
      <c r="B4445">
        <v>322021270</v>
      </c>
      <c r="C4445" s="76">
        <v>2021</v>
      </c>
      <c r="D4445" s="76" t="s">
        <v>31</v>
      </c>
      <c r="E4445" s="76" t="s">
        <v>32</v>
      </c>
      <c r="F4445" s="76">
        <v>0.04</v>
      </c>
    </row>
    <row r="4446" s="76" customFormat="1" spans="1:6">
      <c r="A4446">
        <v>4593</v>
      </c>
      <c r="B4446">
        <v>322021270</v>
      </c>
      <c r="C4446" s="76">
        <v>2021</v>
      </c>
      <c r="D4446" s="76" t="s">
        <v>31</v>
      </c>
      <c r="E4446" s="76" t="s">
        <v>32</v>
      </c>
      <c r="F4446" s="76">
        <v>8</v>
      </c>
    </row>
    <row r="4447" s="76" customFormat="1" spans="1:6">
      <c r="A4447">
        <v>4578</v>
      </c>
      <c r="B4447">
        <v>322021270</v>
      </c>
      <c r="C4447" s="76">
        <v>2021</v>
      </c>
      <c r="D4447" s="76" t="s">
        <v>31</v>
      </c>
      <c r="E4447" s="76">
        <v>1</v>
      </c>
      <c r="F4447" s="76">
        <v>8</v>
      </c>
    </row>
    <row r="4448" s="76" customFormat="1" spans="1:6">
      <c r="A4448">
        <v>4586</v>
      </c>
      <c r="B4448">
        <v>322021270</v>
      </c>
      <c r="C4448" s="76">
        <v>2021</v>
      </c>
      <c r="D4448" s="76" t="s">
        <v>31</v>
      </c>
      <c r="E4448" s="76" t="s">
        <v>32</v>
      </c>
      <c r="F4448" s="76">
        <v>0.6</v>
      </c>
    </row>
    <row r="4449" s="76" customFormat="1" spans="1:6">
      <c r="A4449">
        <v>4588</v>
      </c>
      <c r="B4449">
        <v>322021270</v>
      </c>
      <c r="C4449" s="76">
        <v>2021</v>
      </c>
      <c r="D4449" s="76" t="s">
        <v>31</v>
      </c>
      <c r="E4449" s="76" t="s">
        <v>32</v>
      </c>
      <c r="F4449" s="76">
        <v>0.24</v>
      </c>
    </row>
    <row r="4450" s="76" customFormat="1" spans="1:6">
      <c r="A4450">
        <v>4591</v>
      </c>
      <c r="B4450">
        <v>322021270</v>
      </c>
      <c r="C4450" s="76">
        <v>2021</v>
      </c>
      <c r="D4450" s="76" t="s">
        <v>31</v>
      </c>
      <c r="E4450" s="76" t="s">
        <v>32</v>
      </c>
      <c r="F4450" s="76">
        <v>10</v>
      </c>
    </row>
    <row r="4451" s="76" customFormat="1" spans="1:6">
      <c r="A4451">
        <v>4592</v>
      </c>
      <c r="B4451">
        <v>322021270</v>
      </c>
      <c r="C4451" s="76">
        <v>2021</v>
      </c>
      <c r="D4451" s="76" t="s">
        <v>31</v>
      </c>
      <c r="E4451" s="76" t="s">
        <v>32</v>
      </c>
      <c r="F4451" s="76">
        <v>24.79</v>
      </c>
    </row>
    <row r="4452" s="76" customFormat="1" spans="1:6">
      <c r="A4452">
        <v>4584</v>
      </c>
      <c r="B4452">
        <v>322021270</v>
      </c>
      <c r="C4452" s="76">
        <v>2021</v>
      </c>
      <c r="D4452" s="76" t="s">
        <v>31</v>
      </c>
      <c r="E4452" s="76" t="s">
        <v>32</v>
      </c>
      <c r="F4452" s="76">
        <v>0.6</v>
      </c>
    </row>
    <row r="4453" s="76" customFormat="1" spans="1:6">
      <c r="A4453">
        <v>4589</v>
      </c>
      <c r="B4453">
        <v>322021270</v>
      </c>
      <c r="C4453" s="76">
        <v>2021</v>
      </c>
      <c r="D4453" s="76" t="s">
        <v>31</v>
      </c>
      <c r="E4453" s="76" t="s">
        <v>32</v>
      </c>
      <c r="F4453" s="76">
        <v>0.2</v>
      </c>
    </row>
    <row r="4454" s="76" customFormat="1" spans="1:6">
      <c r="A4454">
        <v>4587</v>
      </c>
      <c r="B4454">
        <v>322021270</v>
      </c>
      <c r="C4454" s="76">
        <v>2021</v>
      </c>
      <c r="D4454" s="76" t="s">
        <v>31</v>
      </c>
      <c r="E4454" s="76" t="s">
        <v>32</v>
      </c>
      <c r="F4454" s="76">
        <v>5</v>
      </c>
    </row>
    <row r="4455" s="76" customFormat="1" spans="1:6">
      <c r="A4455">
        <v>4590</v>
      </c>
      <c r="B4455">
        <v>322021270</v>
      </c>
      <c r="C4455" s="76">
        <v>2021</v>
      </c>
      <c r="D4455" s="76" t="s">
        <v>31</v>
      </c>
      <c r="E4455" s="76" t="s">
        <v>32</v>
      </c>
      <c r="F4455" s="76">
        <v>0.21</v>
      </c>
    </row>
    <row r="4456" s="76" customFormat="1" spans="1:6">
      <c r="A4456">
        <v>4585</v>
      </c>
      <c r="B4456">
        <v>322021270</v>
      </c>
      <c r="C4456" s="76">
        <v>2021</v>
      </c>
      <c r="D4456" s="76" t="s">
        <v>31</v>
      </c>
      <c r="E4456" s="76" t="s">
        <v>32</v>
      </c>
      <c r="F4456" s="76">
        <v>0.04</v>
      </c>
    </row>
    <row r="4457" s="76" customFormat="1" spans="1:6">
      <c r="A4457">
        <v>4577</v>
      </c>
      <c r="B4457">
        <v>322021270</v>
      </c>
      <c r="C4457" s="76">
        <v>2021</v>
      </c>
      <c r="D4457" s="76" t="s">
        <v>31</v>
      </c>
      <c r="E4457" s="76" t="s">
        <v>32</v>
      </c>
      <c r="F4457" s="76">
        <v>0.51</v>
      </c>
    </row>
    <row r="4458" s="76" customFormat="1" spans="1:6">
      <c r="A4458">
        <v>4594</v>
      </c>
      <c r="B4458">
        <v>332012211</v>
      </c>
      <c r="C4458">
        <v>2012</v>
      </c>
      <c r="D4458" t="s">
        <v>37</v>
      </c>
      <c r="E4458" t="s">
        <v>32</v>
      </c>
      <c r="F4458">
        <v>3</v>
      </c>
    </row>
    <row r="4459" s="76" customFormat="1" spans="1:6">
      <c r="A4459">
        <v>4595</v>
      </c>
      <c r="B4459">
        <v>332012211</v>
      </c>
      <c r="C4459">
        <v>2012</v>
      </c>
      <c r="D4459" t="s">
        <v>37</v>
      </c>
      <c r="E4459" t="s">
        <v>32</v>
      </c>
      <c r="F4459">
        <v>1.24</v>
      </c>
    </row>
    <row r="4460" s="76" customFormat="1" spans="1:6">
      <c r="A4460">
        <v>4596</v>
      </c>
      <c r="B4460">
        <v>332012221</v>
      </c>
      <c r="C4460">
        <v>2012</v>
      </c>
      <c r="D4460" t="s">
        <v>30</v>
      </c>
      <c r="E4460">
        <v>1</v>
      </c>
      <c r="F4460">
        <v>45.2</v>
      </c>
    </row>
    <row r="4461" s="76" customFormat="1" spans="1:6">
      <c r="A4461">
        <v>4598</v>
      </c>
      <c r="B4461">
        <v>332012221</v>
      </c>
      <c r="C4461">
        <v>2012</v>
      </c>
      <c r="D4461" t="s">
        <v>30</v>
      </c>
      <c r="E4461">
        <v>1</v>
      </c>
      <c r="F4461">
        <v>40</v>
      </c>
    </row>
    <row r="4462" s="76" customFormat="1" spans="1:6">
      <c r="A4462">
        <v>4597</v>
      </c>
      <c r="B4462">
        <v>332012221</v>
      </c>
      <c r="C4462">
        <v>2012</v>
      </c>
      <c r="D4462" t="s">
        <v>30</v>
      </c>
      <c r="E4462">
        <v>1</v>
      </c>
      <c r="F4462">
        <v>41.5</v>
      </c>
    </row>
    <row r="4463" s="76" customFormat="1" spans="1:6">
      <c r="A4463">
        <v>4599</v>
      </c>
      <c r="B4463">
        <v>332012260</v>
      </c>
      <c r="C4463">
        <v>2012</v>
      </c>
      <c r="D4463" t="s">
        <v>34</v>
      </c>
      <c r="E4463">
        <v>33</v>
      </c>
      <c r="F4463">
        <v>4.95</v>
      </c>
    </row>
    <row r="4464" s="76" customFormat="1" spans="1:6">
      <c r="A4464">
        <v>4600</v>
      </c>
      <c r="B4464">
        <v>332012260</v>
      </c>
      <c r="C4464">
        <v>2012</v>
      </c>
      <c r="D4464" t="s">
        <v>34</v>
      </c>
      <c r="E4464">
        <v>20</v>
      </c>
      <c r="F4464">
        <v>3</v>
      </c>
    </row>
    <row r="4465" s="76" customFormat="1" spans="1:6">
      <c r="A4465">
        <v>4601</v>
      </c>
      <c r="B4465">
        <v>332013221</v>
      </c>
      <c r="C4465">
        <v>2013</v>
      </c>
      <c r="D4465" t="s">
        <v>30</v>
      </c>
      <c r="E4465">
        <v>1</v>
      </c>
      <c r="F4465">
        <v>45.2</v>
      </c>
    </row>
    <row r="4466" s="76" customFormat="1" spans="1:6">
      <c r="A4466">
        <v>4603</v>
      </c>
      <c r="B4466">
        <v>332013221</v>
      </c>
      <c r="C4466">
        <v>2013</v>
      </c>
      <c r="D4466" t="s">
        <v>30</v>
      </c>
      <c r="E4466">
        <v>2</v>
      </c>
      <c r="F4466">
        <v>80</v>
      </c>
    </row>
    <row r="4467" s="76" customFormat="1" spans="1:6">
      <c r="A4467">
        <v>4604</v>
      </c>
      <c r="B4467">
        <v>332013221</v>
      </c>
      <c r="C4467">
        <v>2013</v>
      </c>
      <c r="D4467" t="s">
        <v>30</v>
      </c>
      <c r="E4467">
        <v>2</v>
      </c>
      <c r="F4467">
        <v>83</v>
      </c>
    </row>
    <row r="4468" s="76" customFormat="1" spans="1:6">
      <c r="A4468">
        <v>4602</v>
      </c>
      <c r="B4468">
        <v>332013221</v>
      </c>
      <c r="C4468">
        <v>2013</v>
      </c>
      <c r="D4468" t="s">
        <v>30</v>
      </c>
      <c r="E4468">
        <v>2</v>
      </c>
      <c r="F4468">
        <v>23</v>
      </c>
    </row>
    <row r="4469" s="76" customFormat="1" spans="1:6">
      <c r="A4469">
        <v>4605</v>
      </c>
      <c r="B4469">
        <v>332013260</v>
      </c>
      <c r="C4469">
        <v>2013</v>
      </c>
      <c r="D4469" t="s">
        <v>34</v>
      </c>
      <c r="E4469">
        <v>6</v>
      </c>
      <c r="F4469">
        <v>0.9</v>
      </c>
    </row>
    <row r="4470" s="76" customFormat="1" spans="1:6">
      <c r="A4470">
        <v>4607</v>
      </c>
      <c r="B4470">
        <v>332014110</v>
      </c>
      <c r="C4470">
        <v>2014</v>
      </c>
      <c r="D4470" t="s">
        <v>40</v>
      </c>
      <c r="E4470">
        <v>1</v>
      </c>
      <c r="F4470">
        <v>3.33</v>
      </c>
    </row>
    <row r="4471" s="76" customFormat="1" spans="1:6">
      <c r="A4471">
        <v>4606</v>
      </c>
      <c r="B4471">
        <v>332014110</v>
      </c>
      <c r="C4471">
        <v>2014</v>
      </c>
      <c r="D4471" t="s">
        <v>40</v>
      </c>
      <c r="E4471">
        <v>1</v>
      </c>
      <c r="F4471">
        <v>3.33</v>
      </c>
    </row>
    <row r="4472" s="76" customFormat="1" spans="1:6">
      <c r="A4472">
        <v>4611</v>
      </c>
      <c r="B4472">
        <v>332014211</v>
      </c>
      <c r="C4472">
        <v>2014</v>
      </c>
      <c r="D4472" t="s">
        <v>37</v>
      </c>
      <c r="E4472">
        <v>2</v>
      </c>
      <c r="F4472">
        <v>200</v>
      </c>
    </row>
    <row r="4473" s="76" customFormat="1" spans="1:6">
      <c r="A4473">
        <v>4608</v>
      </c>
      <c r="B4473">
        <v>332014211</v>
      </c>
      <c r="C4473">
        <v>2014</v>
      </c>
      <c r="D4473" t="s">
        <v>37</v>
      </c>
      <c r="E4473">
        <v>1</v>
      </c>
      <c r="F4473">
        <v>35</v>
      </c>
    </row>
    <row r="4474" s="76" customFormat="1" spans="1:6">
      <c r="A4474">
        <v>4612</v>
      </c>
      <c r="B4474">
        <v>332014211</v>
      </c>
      <c r="C4474">
        <v>2014</v>
      </c>
      <c r="D4474" t="s">
        <v>37</v>
      </c>
      <c r="E4474">
        <v>4</v>
      </c>
      <c r="F4474">
        <v>15.8</v>
      </c>
    </row>
    <row r="4475" s="76" customFormat="1" spans="1:6">
      <c r="A4475">
        <v>4613</v>
      </c>
      <c r="B4475">
        <v>332014211</v>
      </c>
      <c r="C4475">
        <v>2014</v>
      </c>
      <c r="D4475" t="s">
        <v>37</v>
      </c>
      <c r="E4475">
        <v>1</v>
      </c>
      <c r="F4475">
        <v>11.5</v>
      </c>
    </row>
    <row r="4476" s="76" customFormat="1" spans="1:6">
      <c r="A4476">
        <v>4610</v>
      </c>
      <c r="B4476">
        <v>332014211</v>
      </c>
      <c r="C4476">
        <v>2014</v>
      </c>
      <c r="D4476" t="s">
        <v>37</v>
      </c>
      <c r="E4476">
        <v>2</v>
      </c>
      <c r="F4476">
        <v>132</v>
      </c>
    </row>
    <row r="4477" s="76" customFormat="1" spans="1:6">
      <c r="A4477">
        <v>4609</v>
      </c>
      <c r="B4477">
        <v>332014211</v>
      </c>
      <c r="C4477">
        <v>2014</v>
      </c>
      <c r="D4477" t="s">
        <v>37</v>
      </c>
      <c r="E4477">
        <v>2</v>
      </c>
      <c r="F4477">
        <v>203</v>
      </c>
    </row>
    <row r="4478" s="76" customFormat="1" spans="1:6">
      <c r="A4478">
        <v>4615</v>
      </c>
      <c r="B4478">
        <v>332014221</v>
      </c>
      <c r="C4478">
        <v>2014</v>
      </c>
      <c r="D4478" t="s">
        <v>30</v>
      </c>
      <c r="E4478">
        <v>1</v>
      </c>
      <c r="F4478">
        <v>45.8</v>
      </c>
    </row>
    <row r="4479" s="76" customFormat="1" spans="1:6">
      <c r="A4479">
        <v>4616</v>
      </c>
      <c r="B4479">
        <v>332014221</v>
      </c>
      <c r="C4479">
        <v>2014</v>
      </c>
      <c r="D4479" t="s">
        <v>30</v>
      </c>
      <c r="E4479">
        <v>3</v>
      </c>
      <c r="F4479">
        <v>24.6</v>
      </c>
    </row>
    <row r="4480" s="76" customFormat="1" spans="1:6">
      <c r="A4480">
        <v>4614</v>
      </c>
      <c r="B4480">
        <v>332014221</v>
      </c>
      <c r="C4480">
        <v>2014</v>
      </c>
      <c r="D4480" t="s">
        <v>30</v>
      </c>
      <c r="E4480">
        <v>2</v>
      </c>
      <c r="F4480">
        <v>78</v>
      </c>
    </row>
    <row r="4481" s="76" customFormat="1" spans="1:6">
      <c r="A4481">
        <v>4617</v>
      </c>
      <c r="B4481">
        <v>332014221</v>
      </c>
      <c r="C4481">
        <v>2014</v>
      </c>
      <c r="D4481" t="s">
        <v>30</v>
      </c>
      <c r="E4481">
        <v>4</v>
      </c>
      <c r="F4481">
        <v>45.84</v>
      </c>
    </row>
    <row r="4482" s="76" customFormat="1" spans="1:6">
      <c r="A4482">
        <v>4618</v>
      </c>
      <c r="B4482">
        <v>332014243</v>
      </c>
      <c r="C4482">
        <v>2014</v>
      </c>
      <c r="D4482" t="s">
        <v>38</v>
      </c>
      <c r="E4482">
        <v>2</v>
      </c>
      <c r="F4482">
        <v>3</v>
      </c>
    </row>
    <row r="4483" s="76" customFormat="1" spans="1:6">
      <c r="A4483">
        <v>4619</v>
      </c>
      <c r="B4483">
        <v>332014250</v>
      </c>
      <c r="C4483">
        <v>2014</v>
      </c>
      <c r="D4483" t="s">
        <v>44</v>
      </c>
      <c r="E4483">
        <v>1</v>
      </c>
      <c r="F4483">
        <v>108.9</v>
      </c>
    </row>
    <row r="4484" s="76" customFormat="1" spans="1:6">
      <c r="A4484">
        <v>4623</v>
      </c>
      <c r="B4484">
        <v>332014260</v>
      </c>
      <c r="C4484">
        <v>2014</v>
      </c>
      <c r="D4484" t="s">
        <v>34</v>
      </c>
      <c r="E4484">
        <v>10</v>
      </c>
      <c r="F4484">
        <v>2.55</v>
      </c>
    </row>
    <row r="4485" s="76" customFormat="1" spans="1:6">
      <c r="A4485">
        <v>4621</v>
      </c>
      <c r="B4485">
        <v>332014260</v>
      </c>
      <c r="C4485">
        <v>2014</v>
      </c>
      <c r="D4485" t="s">
        <v>34</v>
      </c>
      <c r="E4485">
        <v>20</v>
      </c>
      <c r="F4485">
        <v>4.5</v>
      </c>
    </row>
    <row r="4486" s="76" customFormat="1" spans="1:6">
      <c r="A4486">
        <v>4624</v>
      </c>
      <c r="B4486">
        <v>332014260</v>
      </c>
      <c r="C4486">
        <v>2014</v>
      </c>
      <c r="D4486" t="s">
        <v>34</v>
      </c>
      <c r="E4486">
        <v>24</v>
      </c>
      <c r="F4486">
        <v>4.8</v>
      </c>
    </row>
    <row r="4487" s="76" customFormat="1" spans="1:6">
      <c r="A4487">
        <v>4620</v>
      </c>
      <c r="B4487">
        <v>332014260</v>
      </c>
      <c r="C4487">
        <v>2014</v>
      </c>
      <c r="D4487" t="s">
        <v>34</v>
      </c>
      <c r="E4487">
        <v>30</v>
      </c>
      <c r="F4487">
        <v>4.5</v>
      </c>
    </row>
    <row r="4488" s="76" customFormat="1" spans="1:6">
      <c r="A4488">
        <v>4622</v>
      </c>
      <c r="B4488">
        <v>332014260</v>
      </c>
      <c r="C4488">
        <v>2014</v>
      </c>
      <c r="D4488" t="s">
        <v>34</v>
      </c>
      <c r="E4488">
        <v>17</v>
      </c>
      <c r="F4488">
        <v>2.55</v>
      </c>
    </row>
    <row r="4489" s="76" customFormat="1" spans="1:6">
      <c r="A4489">
        <v>4638</v>
      </c>
      <c r="B4489">
        <v>332014270</v>
      </c>
      <c r="C4489">
        <v>2014</v>
      </c>
      <c r="D4489" t="s">
        <v>31</v>
      </c>
      <c r="E4489">
        <v>1</v>
      </c>
      <c r="F4489">
        <v>0.7</v>
      </c>
    </row>
    <row r="4490" s="76" customFormat="1" spans="1:6">
      <c r="A4490">
        <v>4631</v>
      </c>
      <c r="B4490">
        <v>332014270</v>
      </c>
      <c r="C4490">
        <v>2014</v>
      </c>
      <c r="D4490" t="s">
        <v>31</v>
      </c>
      <c r="E4490">
        <v>1</v>
      </c>
      <c r="F4490">
        <v>1.68</v>
      </c>
    </row>
    <row r="4491" s="76" customFormat="1" spans="1:6">
      <c r="A4491">
        <v>4633</v>
      </c>
      <c r="B4491">
        <v>332014270</v>
      </c>
      <c r="C4491">
        <v>2014</v>
      </c>
      <c r="D4491" t="s">
        <v>31</v>
      </c>
      <c r="E4491">
        <v>1</v>
      </c>
      <c r="F4491">
        <v>1.38</v>
      </c>
    </row>
    <row r="4492" s="76" customFormat="1" spans="1:6">
      <c r="A4492">
        <v>4627</v>
      </c>
      <c r="B4492">
        <v>332014270</v>
      </c>
      <c r="C4492">
        <v>2014</v>
      </c>
      <c r="D4492" t="s">
        <v>31</v>
      </c>
      <c r="E4492">
        <v>1</v>
      </c>
      <c r="F4492">
        <v>2.34</v>
      </c>
    </row>
    <row r="4493" s="76" customFormat="1" spans="1:6">
      <c r="A4493">
        <v>4625</v>
      </c>
      <c r="B4493">
        <v>332014270</v>
      </c>
      <c r="C4493">
        <v>2014</v>
      </c>
      <c r="D4493" t="s">
        <v>31</v>
      </c>
      <c r="E4493"/>
      <c r="F4493">
        <v>0.5</v>
      </c>
    </row>
    <row r="4494" s="76" customFormat="1" spans="1:6">
      <c r="A4494">
        <v>4637</v>
      </c>
      <c r="B4494">
        <v>332014270</v>
      </c>
      <c r="C4494">
        <v>2014</v>
      </c>
      <c r="D4494" t="s">
        <v>31</v>
      </c>
      <c r="E4494">
        <v>1</v>
      </c>
      <c r="F4494">
        <v>0.8</v>
      </c>
    </row>
    <row r="4495" s="76" customFormat="1" spans="1:6">
      <c r="A4495">
        <v>4626</v>
      </c>
      <c r="B4495">
        <v>332014270</v>
      </c>
      <c r="C4495">
        <v>2014</v>
      </c>
      <c r="D4495" t="s">
        <v>31</v>
      </c>
      <c r="E4495"/>
      <c r="F4495">
        <v>0.95</v>
      </c>
    </row>
    <row r="4496" s="76" customFormat="1" spans="1:6">
      <c r="A4496">
        <v>4632</v>
      </c>
      <c r="B4496">
        <v>332014270</v>
      </c>
      <c r="C4496">
        <v>2014</v>
      </c>
      <c r="D4496" t="s">
        <v>31</v>
      </c>
      <c r="E4496">
        <v>1</v>
      </c>
      <c r="F4496">
        <v>1.6</v>
      </c>
    </row>
    <row r="4497" s="76" customFormat="1" spans="1:6">
      <c r="A4497">
        <v>4628</v>
      </c>
      <c r="B4497">
        <v>332014270</v>
      </c>
      <c r="C4497">
        <v>2014</v>
      </c>
      <c r="D4497" t="s">
        <v>31</v>
      </c>
      <c r="E4497">
        <v>1</v>
      </c>
      <c r="F4497">
        <v>2.02</v>
      </c>
    </row>
    <row r="4498" s="76" customFormat="1" spans="1:6">
      <c r="A4498">
        <v>4636</v>
      </c>
      <c r="B4498">
        <v>332014270</v>
      </c>
      <c r="C4498">
        <v>2014</v>
      </c>
      <c r="D4498" t="s">
        <v>31</v>
      </c>
      <c r="E4498">
        <v>1</v>
      </c>
      <c r="F4498">
        <v>0.88</v>
      </c>
    </row>
    <row r="4499" s="76" customFormat="1" spans="1:6">
      <c r="A4499">
        <v>4635</v>
      </c>
      <c r="B4499">
        <v>332014270</v>
      </c>
      <c r="C4499">
        <v>2014</v>
      </c>
      <c r="D4499" t="s">
        <v>31</v>
      </c>
      <c r="E4499">
        <v>1</v>
      </c>
      <c r="F4499">
        <v>1</v>
      </c>
    </row>
    <row r="4500" s="76" customFormat="1" spans="1:6">
      <c r="A4500">
        <v>4639</v>
      </c>
      <c r="B4500">
        <v>332014270</v>
      </c>
      <c r="C4500">
        <v>2014</v>
      </c>
      <c r="D4500" t="s">
        <v>31</v>
      </c>
      <c r="E4500">
        <v>1</v>
      </c>
      <c r="F4500">
        <v>0.46</v>
      </c>
    </row>
    <row r="4501" s="76" customFormat="1" spans="1:6">
      <c r="A4501">
        <v>4630</v>
      </c>
      <c r="B4501">
        <v>332014270</v>
      </c>
      <c r="C4501">
        <v>2014</v>
      </c>
      <c r="D4501" t="s">
        <v>31</v>
      </c>
      <c r="E4501">
        <v>1</v>
      </c>
      <c r="F4501">
        <v>2</v>
      </c>
    </row>
    <row r="4502" s="76" customFormat="1" spans="1:6">
      <c r="A4502">
        <v>4629</v>
      </c>
      <c r="B4502">
        <v>332014270</v>
      </c>
      <c r="C4502">
        <v>2014</v>
      </c>
      <c r="D4502" t="s">
        <v>31</v>
      </c>
      <c r="E4502">
        <v>1</v>
      </c>
      <c r="F4502">
        <v>2</v>
      </c>
    </row>
    <row r="4503" s="76" customFormat="1" spans="1:6">
      <c r="A4503">
        <v>4634</v>
      </c>
      <c r="B4503">
        <v>332014270</v>
      </c>
      <c r="C4503">
        <v>2014</v>
      </c>
      <c r="D4503" t="s">
        <v>31</v>
      </c>
      <c r="E4503">
        <v>1</v>
      </c>
      <c r="F4503">
        <v>1</v>
      </c>
    </row>
    <row r="4504" s="76" customFormat="1" spans="1:6">
      <c r="A4504">
        <v>4640</v>
      </c>
      <c r="B4504">
        <v>332014270</v>
      </c>
      <c r="C4504">
        <v>2014</v>
      </c>
      <c r="D4504" t="s">
        <v>31</v>
      </c>
      <c r="E4504">
        <v>1</v>
      </c>
      <c r="F4504">
        <v>0.3</v>
      </c>
    </row>
    <row r="4505" s="76" customFormat="1" spans="1:6">
      <c r="A4505">
        <v>4643</v>
      </c>
      <c r="B4505">
        <v>332015110</v>
      </c>
      <c r="C4505">
        <v>2015</v>
      </c>
      <c r="D4505" t="s">
        <v>40</v>
      </c>
      <c r="E4505" t="s">
        <v>32</v>
      </c>
      <c r="F4505">
        <v>1.28</v>
      </c>
    </row>
    <row r="4506" s="76" customFormat="1" spans="1:6">
      <c r="A4506">
        <v>4642</v>
      </c>
      <c r="B4506">
        <v>332015110</v>
      </c>
      <c r="C4506">
        <v>2015</v>
      </c>
      <c r="D4506" t="s">
        <v>40</v>
      </c>
      <c r="E4506" t="s">
        <v>32</v>
      </c>
      <c r="F4506">
        <v>0.04</v>
      </c>
    </row>
    <row r="4507" s="76" customFormat="1" spans="1:6">
      <c r="A4507">
        <v>4641</v>
      </c>
      <c r="B4507">
        <v>332015110</v>
      </c>
      <c r="C4507">
        <v>2015</v>
      </c>
      <c r="D4507" t="s">
        <v>40</v>
      </c>
      <c r="E4507">
        <v>1</v>
      </c>
      <c r="F4507">
        <v>33.33</v>
      </c>
    </row>
    <row r="4508" s="76" customFormat="1" spans="1:6">
      <c r="A4508">
        <v>4644</v>
      </c>
      <c r="B4508">
        <v>332015110</v>
      </c>
      <c r="C4508">
        <v>2015</v>
      </c>
      <c r="D4508" t="s">
        <v>40</v>
      </c>
      <c r="E4508" t="s">
        <v>32</v>
      </c>
      <c r="F4508">
        <v>1</v>
      </c>
    </row>
    <row r="4509" s="76" customFormat="1" spans="1:6">
      <c r="A4509">
        <v>4645</v>
      </c>
      <c r="B4509">
        <v>332015211</v>
      </c>
      <c r="C4509">
        <v>2015</v>
      </c>
      <c r="D4509" t="s">
        <v>37</v>
      </c>
      <c r="E4509">
        <v>2</v>
      </c>
      <c r="F4509">
        <v>200</v>
      </c>
    </row>
    <row r="4510" s="76" customFormat="1" spans="1:6">
      <c r="A4510">
        <v>4646</v>
      </c>
      <c r="B4510">
        <v>332015211</v>
      </c>
      <c r="C4510">
        <v>2015</v>
      </c>
      <c r="D4510" t="s">
        <v>37</v>
      </c>
      <c r="E4510">
        <v>2</v>
      </c>
      <c r="F4510">
        <v>132</v>
      </c>
    </row>
    <row r="4511" s="76" customFormat="1" spans="1:6">
      <c r="A4511">
        <v>4647</v>
      </c>
      <c r="B4511">
        <v>332015211</v>
      </c>
      <c r="C4511">
        <v>2015</v>
      </c>
      <c r="D4511" t="s">
        <v>37</v>
      </c>
      <c r="E4511" t="s">
        <v>32</v>
      </c>
      <c r="F4511">
        <v>6</v>
      </c>
    </row>
    <row r="4512" s="76" customFormat="1" spans="1:6">
      <c r="A4512">
        <v>4649</v>
      </c>
      <c r="B4512">
        <v>332015221</v>
      </c>
      <c r="C4512">
        <v>2015</v>
      </c>
      <c r="D4512" t="s">
        <v>30</v>
      </c>
      <c r="E4512">
        <v>2</v>
      </c>
      <c r="F4512">
        <v>96.05</v>
      </c>
    </row>
    <row r="4513" s="76" customFormat="1" spans="1:6">
      <c r="A4513">
        <v>4648</v>
      </c>
      <c r="B4513">
        <v>332015221</v>
      </c>
      <c r="C4513">
        <v>2015</v>
      </c>
      <c r="D4513" t="s">
        <v>30</v>
      </c>
      <c r="E4513">
        <v>4</v>
      </c>
      <c r="F4513">
        <v>40.5</v>
      </c>
    </row>
    <row r="4514" s="76" customFormat="1" spans="1:6">
      <c r="A4514">
        <v>4650</v>
      </c>
      <c r="B4514">
        <v>332015221</v>
      </c>
      <c r="C4514">
        <v>2015</v>
      </c>
      <c r="D4514" t="s">
        <v>30</v>
      </c>
      <c r="E4514" t="s">
        <v>32</v>
      </c>
      <c r="F4514">
        <v>19.9</v>
      </c>
    </row>
    <row r="4515" s="76" customFormat="1" spans="1:6">
      <c r="A4515">
        <v>4652</v>
      </c>
      <c r="B4515">
        <v>332015241</v>
      </c>
      <c r="C4515">
        <v>2015</v>
      </c>
      <c r="D4515" t="s">
        <v>33</v>
      </c>
      <c r="E4515" t="s">
        <v>32</v>
      </c>
      <c r="F4515">
        <v>8.25</v>
      </c>
    </row>
    <row r="4516" s="76" customFormat="1" spans="1:6">
      <c r="A4516">
        <v>4656</v>
      </c>
      <c r="B4516">
        <v>332015241</v>
      </c>
      <c r="C4516">
        <v>2015</v>
      </c>
      <c r="D4516" t="s">
        <v>33</v>
      </c>
      <c r="E4516" t="s">
        <v>32</v>
      </c>
      <c r="F4516">
        <v>3</v>
      </c>
    </row>
    <row r="4517" s="76" customFormat="1" spans="1:6">
      <c r="A4517">
        <v>4660</v>
      </c>
      <c r="B4517">
        <v>332015241</v>
      </c>
      <c r="C4517">
        <v>2015</v>
      </c>
      <c r="D4517" t="s">
        <v>33</v>
      </c>
      <c r="E4517" t="s">
        <v>32</v>
      </c>
      <c r="F4517">
        <v>2.7</v>
      </c>
    </row>
    <row r="4518" s="76" customFormat="1" spans="1:6">
      <c r="A4518">
        <v>4658</v>
      </c>
      <c r="B4518">
        <v>332015241</v>
      </c>
      <c r="C4518">
        <v>2015</v>
      </c>
      <c r="D4518" t="s">
        <v>33</v>
      </c>
      <c r="E4518" t="s">
        <v>32</v>
      </c>
      <c r="F4518">
        <v>0.6</v>
      </c>
    </row>
    <row r="4519" s="76" customFormat="1" spans="1:6">
      <c r="A4519">
        <v>4653</v>
      </c>
      <c r="B4519">
        <v>332015241</v>
      </c>
      <c r="C4519">
        <v>2015</v>
      </c>
      <c r="D4519" t="s">
        <v>33</v>
      </c>
      <c r="E4519" t="s">
        <v>32</v>
      </c>
      <c r="F4519">
        <v>1.2</v>
      </c>
    </row>
    <row r="4520" s="76" customFormat="1" spans="1:6">
      <c r="A4520">
        <v>4655</v>
      </c>
      <c r="B4520">
        <v>332015241</v>
      </c>
      <c r="C4520">
        <v>2015</v>
      </c>
      <c r="D4520" t="s">
        <v>33</v>
      </c>
      <c r="E4520" t="s">
        <v>32</v>
      </c>
      <c r="F4520">
        <v>5.46</v>
      </c>
    </row>
    <row r="4521" s="76" customFormat="1" spans="1:6">
      <c r="A4521">
        <v>4651</v>
      </c>
      <c r="B4521">
        <v>332015241</v>
      </c>
      <c r="C4521">
        <v>2015</v>
      </c>
      <c r="D4521" t="s">
        <v>33</v>
      </c>
      <c r="E4521" t="s">
        <v>32</v>
      </c>
      <c r="F4521">
        <v>2.2</v>
      </c>
    </row>
    <row r="4522" s="76" customFormat="1" spans="1:6">
      <c r="A4522">
        <v>4659</v>
      </c>
      <c r="B4522">
        <v>332015241</v>
      </c>
      <c r="C4522">
        <v>2015</v>
      </c>
      <c r="D4522" t="s">
        <v>33</v>
      </c>
      <c r="E4522" t="s">
        <v>32</v>
      </c>
      <c r="F4522">
        <v>3</v>
      </c>
    </row>
    <row r="4523" s="76" customFormat="1" spans="1:6">
      <c r="A4523">
        <v>4654</v>
      </c>
      <c r="B4523">
        <v>332015241</v>
      </c>
      <c r="C4523">
        <v>2015</v>
      </c>
      <c r="D4523" t="s">
        <v>33</v>
      </c>
      <c r="E4523" t="s">
        <v>32</v>
      </c>
      <c r="F4523">
        <v>0.75</v>
      </c>
    </row>
    <row r="4524" s="76" customFormat="1" spans="1:6">
      <c r="A4524">
        <v>4657</v>
      </c>
      <c r="B4524">
        <v>332015241</v>
      </c>
      <c r="C4524">
        <v>2015</v>
      </c>
      <c r="D4524" t="s">
        <v>33</v>
      </c>
      <c r="E4524" t="s">
        <v>32</v>
      </c>
      <c r="F4524">
        <v>1.3</v>
      </c>
    </row>
    <row r="4525" s="76" customFormat="1" spans="1:6">
      <c r="A4525">
        <v>4661</v>
      </c>
      <c r="B4525">
        <v>332015243</v>
      </c>
      <c r="C4525">
        <v>2015</v>
      </c>
      <c r="D4525" t="s">
        <v>38</v>
      </c>
      <c r="E4525">
        <v>1</v>
      </c>
      <c r="F4525">
        <v>1.5</v>
      </c>
    </row>
    <row r="4526" s="76" customFormat="1" spans="1:6">
      <c r="A4526">
        <v>4662</v>
      </c>
      <c r="B4526">
        <v>332015250</v>
      </c>
      <c r="C4526">
        <v>2015</v>
      </c>
      <c r="D4526" t="s">
        <v>44</v>
      </c>
      <c r="E4526">
        <v>1</v>
      </c>
      <c r="F4526">
        <v>108.9</v>
      </c>
    </row>
    <row r="4527" s="76" customFormat="1" spans="1:6">
      <c r="A4527">
        <v>4672</v>
      </c>
      <c r="B4527">
        <v>332015260</v>
      </c>
      <c r="C4527">
        <v>2015</v>
      </c>
      <c r="D4527" t="s">
        <v>34</v>
      </c>
      <c r="E4527" t="s">
        <v>32</v>
      </c>
      <c r="F4527">
        <v>4.2</v>
      </c>
    </row>
    <row r="4528" s="76" customFormat="1" spans="1:6">
      <c r="A4528">
        <v>4664</v>
      </c>
      <c r="B4528">
        <v>332015260</v>
      </c>
      <c r="C4528">
        <v>2015</v>
      </c>
      <c r="D4528" t="s">
        <v>34</v>
      </c>
      <c r="E4528">
        <v>10</v>
      </c>
      <c r="F4528">
        <v>3</v>
      </c>
    </row>
    <row r="4529" s="76" customFormat="1" spans="1:6">
      <c r="A4529">
        <v>4669</v>
      </c>
      <c r="B4529">
        <v>332015260</v>
      </c>
      <c r="C4529">
        <v>2015</v>
      </c>
      <c r="D4529" t="s">
        <v>34</v>
      </c>
      <c r="E4529">
        <v>1</v>
      </c>
      <c r="F4529">
        <v>3.45</v>
      </c>
    </row>
    <row r="4530" s="76" customFormat="1" spans="1:6">
      <c r="A4530">
        <v>4671</v>
      </c>
      <c r="B4530">
        <v>332015260</v>
      </c>
      <c r="C4530">
        <v>2015</v>
      </c>
      <c r="D4530" t="s">
        <v>34</v>
      </c>
      <c r="E4530" t="s">
        <v>32</v>
      </c>
      <c r="F4530">
        <v>1.95</v>
      </c>
    </row>
    <row r="4531" s="76" customFormat="1" spans="1:6">
      <c r="A4531">
        <v>4663</v>
      </c>
      <c r="B4531">
        <v>332015260</v>
      </c>
      <c r="C4531">
        <v>2015</v>
      </c>
      <c r="D4531" t="s">
        <v>34</v>
      </c>
      <c r="E4531">
        <v>20</v>
      </c>
      <c r="F4531">
        <v>4</v>
      </c>
    </row>
    <row r="4532" s="76" customFormat="1" spans="1:6">
      <c r="A4532">
        <v>4668</v>
      </c>
      <c r="B4532">
        <v>332015260</v>
      </c>
      <c r="C4532">
        <v>2015</v>
      </c>
      <c r="D4532" t="s">
        <v>34</v>
      </c>
      <c r="E4532">
        <v>10</v>
      </c>
      <c r="F4532">
        <v>1.98</v>
      </c>
    </row>
    <row r="4533" s="76" customFormat="1" spans="1:6">
      <c r="A4533">
        <v>4667</v>
      </c>
      <c r="B4533">
        <v>332015260</v>
      </c>
      <c r="C4533">
        <v>2015</v>
      </c>
      <c r="D4533" t="s">
        <v>34</v>
      </c>
      <c r="E4533">
        <v>11</v>
      </c>
      <c r="F4533">
        <v>1.62</v>
      </c>
    </row>
    <row r="4534" s="76" customFormat="1" spans="1:6">
      <c r="A4534">
        <v>4665</v>
      </c>
      <c r="B4534">
        <v>332015260</v>
      </c>
      <c r="C4534">
        <v>2015</v>
      </c>
      <c r="D4534" t="s">
        <v>34</v>
      </c>
      <c r="E4534">
        <v>15</v>
      </c>
      <c r="F4534">
        <v>2.88</v>
      </c>
    </row>
    <row r="4535" s="76" customFormat="1" spans="1:6">
      <c r="A4535">
        <v>4670</v>
      </c>
      <c r="B4535">
        <v>332015260</v>
      </c>
      <c r="C4535">
        <v>2015</v>
      </c>
      <c r="D4535" t="s">
        <v>34</v>
      </c>
      <c r="E4535">
        <v>23</v>
      </c>
      <c r="F4535">
        <v>3.45</v>
      </c>
    </row>
    <row r="4536" s="76" customFormat="1" spans="1:6">
      <c r="A4536">
        <v>4666</v>
      </c>
      <c r="B4536">
        <v>332015260</v>
      </c>
      <c r="C4536">
        <v>2015</v>
      </c>
      <c r="D4536" t="s">
        <v>34</v>
      </c>
      <c r="E4536">
        <v>11</v>
      </c>
      <c r="F4536">
        <v>2.2</v>
      </c>
    </row>
    <row r="4537" s="76" customFormat="1" spans="1:6">
      <c r="A4537">
        <v>4690</v>
      </c>
      <c r="B4537">
        <v>332015270</v>
      </c>
      <c r="C4537">
        <v>2015</v>
      </c>
      <c r="D4537" t="s">
        <v>31</v>
      </c>
      <c r="E4537" t="s">
        <v>32</v>
      </c>
      <c r="F4537">
        <v>2.66</v>
      </c>
    </row>
    <row r="4538" s="76" customFormat="1" spans="1:6">
      <c r="A4538">
        <v>4680</v>
      </c>
      <c r="B4538">
        <v>332015270</v>
      </c>
      <c r="C4538">
        <v>2015</v>
      </c>
      <c r="D4538" t="s">
        <v>31</v>
      </c>
      <c r="E4538">
        <v>1</v>
      </c>
      <c r="F4538">
        <v>2.49</v>
      </c>
    </row>
    <row r="4539" s="76" customFormat="1" spans="1:6">
      <c r="A4539">
        <v>4692</v>
      </c>
      <c r="B4539">
        <v>332015270</v>
      </c>
      <c r="C4539">
        <v>2015</v>
      </c>
      <c r="D4539" t="s">
        <v>31</v>
      </c>
      <c r="E4539" t="s">
        <v>32</v>
      </c>
      <c r="F4539">
        <v>0.08</v>
      </c>
    </row>
    <row r="4540" s="76" customFormat="1" spans="1:6">
      <c r="A4540">
        <v>4700</v>
      </c>
      <c r="B4540">
        <v>332015270</v>
      </c>
      <c r="C4540">
        <v>2015</v>
      </c>
      <c r="D4540" t="s">
        <v>31</v>
      </c>
      <c r="E4540" t="s">
        <v>32</v>
      </c>
      <c r="F4540">
        <v>0.08</v>
      </c>
    </row>
    <row r="4541" s="76" customFormat="1" spans="1:6">
      <c r="A4541">
        <v>4689</v>
      </c>
      <c r="B4541">
        <v>332015270</v>
      </c>
      <c r="C4541">
        <v>2015</v>
      </c>
      <c r="D4541" t="s">
        <v>31</v>
      </c>
      <c r="E4541" t="s">
        <v>32</v>
      </c>
      <c r="F4541">
        <v>0.3</v>
      </c>
    </row>
    <row r="4542" s="76" customFormat="1" spans="1:6">
      <c r="A4542">
        <v>4709</v>
      </c>
      <c r="B4542">
        <v>332015270</v>
      </c>
      <c r="C4542">
        <v>2015</v>
      </c>
      <c r="D4542" t="s">
        <v>31</v>
      </c>
      <c r="E4542" t="s">
        <v>32</v>
      </c>
      <c r="F4542">
        <v>1.37</v>
      </c>
    </row>
    <row r="4543" s="76" customFormat="1" spans="1:6">
      <c r="A4543">
        <v>4685</v>
      </c>
      <c r="B4543">
        <v>332015270</v>
      </c>
      <c r="C4543">
        <v>2015</v>
      </c>
      <c r="D4543" t="s">
        <v>31</v>
      </c>
      <c r="E4543">
        <v>1</v>
      </c>
      <c r="F4543">
        <v>4.31</v>
      </c>
    </row>
    <row r="4544" s="76" customFormat="1" spans="1:6">
      <c r="A4544">
        <v>4687</v>
      </c>
      <c r="B4544">
        <v>332015270</v>
      </c>
      <c r="C4544">
        <v>2015</v>
      </c>
      <c r="D4544" t="s">
        <v>31</v>
      </c>
      <c r="E4544">
        <v>1</v>
      </c>
      <c r="F4544">
        <v>0.09</v>
      </c>
    </row>
    <row r="4545" s="76" customFormat="1" spans="1:6">
      <c r="A4545">
        <v>4679</v>
      </c>
      <c r="B4545">
        <v>332015270</v>
      </c>
      <c r="C4545">
        <v>2015</v>
      </c>
      <c r="D4545" t="s">
        <v>31</v>
      </c>
      <c r="E4545">
        <v>1</v>
      </c>
      <c r="F4545">
        <v>1.14</v>
      </c>
    </row>
    <row r="4546" s="76" customFormat="1" spans="1:6">
      <c r="A4546">
        <v>4693</v>
      </c>
      <c r="B4546">
        <v>332015270</v>
      </c>
      <c r="C4546">
        <v>2015</v>
      </c>
      <c r="D4546" t="s">
        <v>31</v>
      </c>
      <c r="E4546" t="s">
        <v>32</v>
      </c>
      <c r="F4546">
        <v>0.23</v>
      </c>
    </row>
    <row r="4547" s="76" customFormat="1" spans="1:6">
      <c r="A4547">
        <v>4673</v>
      </c>
      <c r="B4547">
        <v>332015270</v>
      </c>
      <c r="C4547">
        <v>2015</v>
      </c>
      <c r="D4547" t="s">
        <v>31</v>
      </c>
      <c r="E4547" t="s">
        <v>32</v>
      </c>
      <c r="F4547">
        <v>0.5</v>
      </c>
    </row>
    <row r="4548" s="76" customFormat="1" spans="1:6">
      <c r="A4548">
        <v>4705</v>
      </c>
      <c r="B4548">
        <v>332015270</v>
      </c>
      <c r="C4548">
        <v>2015</v>
      </c>
      <c r="D4548" t="s">
        <v>31</v>
      </c>
      <c r="E4548" t="s">
        <v>32</v>
      </c>
      <c r="F4548">
        <v>0.05</v>
      </c>
    </row>
    <row r="4549" s="76" customFormat="1" spans="1:6">
      <c r="A4549">
        <v>4688</v>
      </c>
      <c r="B4549">
        <v>332015270</v>
      </c>
      <c r="C4549">
        <v>2015</v>
      </c>
      <c r="D4549" t="s">
        <v>31</v>
      </c>
      <c r="E4549">
        <v>1</v>
      </c>
      <c r="F4549">
        <v>3.8</v>
      </c>
    </row>
    <row r="4550" s="76" customFormat="1" spans="1:6">
      <c r="A4550">
        <v>4698</v>
      </c>
      <c r="B4550">
        <v>332015270</v>
      </c>
      <c r="C4550">
        <v>2015</v>
      </c>
      <c r="D4550" t="s">
        <v>31</v>
      </c>
      <c r="E4550" t="s">
        <v>32</v>
      </c>
      <c r="F4550">
        <v>0.12</v>
      </c>
    </row>
    <row r="4551" s="76" customFormat="1" spans="1:6">
      <c r="A4551">
        <v>4674</v>
      </c>
      <c r="B4551">
        <v>332015270</v>
      </c>
      <c r="C4551">
        <v>2015</v>
      </c>
      <c r="D4551" t="s">
        <v>31</v>
      </c>
      <c r="E4551" t="s">
        <v>32</v>
      </c>
      <c r="F4551">
        <v>0.13</v>
      </c>
    </row>
    <row r="4552" s="76" customFormat="1" spans="1:6">
      <c r="A4552">
        <v>4697</v>
      </c>
      <c r="B4552">
        <v>332015270</v>
      </c>
      <c r="C4552">
        <v>2015</v>
      </c>
      <c r="D4552" t="s">
        <v>31</v>
      </c>
      <c r="E4552" t="s">
        <v>32</v>
      </c>
      <c r="F4552">
        <v>0</v>
      </c>
    </row>
    <row r="4553" s="76" customFormat="1" spans="1:6">
      <c r="A4553">
        <v>4686</v>
      </c>
      <c r="B4553">
        <v>332015270</v>
      </c>
      <c r="C4553">
        <v>2015</v>
      </c>
      <c r="D4553" t="s">
        <v>31</v>
      </c>
      <c r="E4553">
        <v>1</v>
      </c>
      <c r="F4553">
        <v>0</v>
      </c>
    </row>
    <row r="4554" s="76" customFormat="1" spans="1:6">
      <c r="A4554">
        <v>4678</v>
      </c>
      <c r="B4554">
        <v>332015270</v>
      </c>
      <c r="C4554">
        <v>2015</v>
      </c>
      <c r="D4554" t="s">
        <v>31</v>
      </c>
      <c r="E4554">
        <v>1</v>
      </c>
      <c r="F4554">
        <v>1.18</v>
      </c>
    </row>
    <row r="4555" s="76" customFormat="1" spans="1:6">
      <c r="A4555">
        <v>4702</v>
      </c>
      <c r="B4555">
        <v>332015270</v>
      </c>
      <c r="C4555">
        <v>2015</v>
      </c>
      <c r="D4555" t="s">
        <v>31</v>
      </c>
      <c r="E4555" t="s">
        <v>32</v>
      </c>
      <c r="F4555">
        <v>1.26</v>
      </c>
    </row>
    <row r="4556" s="76" customFormat="1" spans="1:6">
      <c r="A4556">
        <v>4695</v>
      </c>
      <c r="B4556">
        <v>332015270</v>
      </c>
      <c r="C4556">
        <v>2015</v>
      </c>
      <c r="D4556" t="s">
        <v>31</v>
      </c>
      <c r="E4556" t="s">
        <v>32</v>
      </c>
      <c r="F4556">
        <v>1.59</v>
      </c>
    </row>
    <row r="4557" s="76" customFormat="1" spans="1:6">
      <c r="A4557">
        <v>4708</v>
      </c>
      <c r="B4557">
        <v>332015270</v>
      </c>
      <c r="C4557">
        <v>2015</v>
      </c>
      <c r="D4557" t="s">
        <v>31</v>
      </c>
      <c r="E4557" t="s">
        <v>32</v>
      </c>
      <c r="F4557">
        <v>0.6</v>
      </c>
    </row>
    <row r="4558" s="76" customFormat="1" spans="1:6">
      <c r="A4558">
        <v>4677</v>
      </c>
      <c r="B4558">
        <v>332015270</v>
      </c>
      <c r="C4558">
        <v>2015</v>
      </c>
      <c r="D4558" t="s">
        <v>31</v>
      </c>
      <c r="E4558" t="s">
        <v>32</v>
      </c>
      <c r="F4558">
        <v>0.38</v>
      </c>
    </row>
    <row r="4559" s="76" customFormat="1" spans="1:6">
      <c r="A4559">
        <v>4696</v>
      </c>
      <c r="B4559">
        <v>332015270</v>
      </c>
      <c r="C4559">
        <v>2015</v>
      </c>
      <c r="D4559" t="s">
        <v>31</v>
      </c>
      <c r="E4559" t="s">
        <v>32</v>
      </c>
      <c r="F4559">
        <v>2</v>
      </c>
    </row>
    <row r="4560" s="76" customFormat="1" spans="1:6">
      <c r="A4560">
        <v>4706</v>
      </c>
      <c r="B4560">
        <v>332015270</v>
      </c>
      <c r="C4560">
        <v>2015</v>
      </c>
      <c r="D4560" t="s">
        <v>31</v>
      </c>
      <c r="E4560" t="s">
        <v>32</v>
      </c>
      <c r="F4560">
        <v>20</v>
      </c>
    </row>
    <row r="4561" s="76" customFormat="1" spans="1:6">
      <c r="A4561">
        <v>4704</v>
      </c>
      <c r="B4561">
        <v>332015270</v>
      </c>
      <c r="C4561">
        <v>2015</v>
      </c>
      <c r="D4561" t="s">
        <v>31</v>
      </c>
      <c r="E4561" t="s">
        <v>32</v>
      </c>
      <c r="F4561">
        <v>3.67</v>
      </c>
    </row>
    <row r="4562" s="76" customFormat="1" spans="1:6">
      <c r="A4562">
        <v>4694</v>
      </c>
      <c r="B4562">
        <v>332015270</v>
      </c>
      <c r="C4562">
        <v>2015</v>
      </c>
      <c r="D4562" t="s">
        <v>31</v>
      </c>
      <c r="E4562" t="s">
        <v>32</v>
      </c>
      <c r="F4562">
        <v>0.65</v>
      </c>
    </row>
    <row r="4563" s="76" customFormat="1" spans="1:6">
      <c r="A4563">
        <v>4681</v>
      </c>
      <c r="B4563">
        <v>332015270</v>
      </c>
      <c r="C4563">
        <v>2015</v>
      </c>
      <c r="D4563" t="s">
        <v>31</v>
      </c>
      <c r="E4563">
        <v>1</v>
      </c>
      <c r="F4563">
        <v>0.75</v>
      </c>
    </row>
    <row r="4564" s="76" customFormat="1" spans="1:6">
      <c r="A4564">
        <v>4707</v>
      </c>
      <c r="B4564">
        <v>332015270</v>
      </c>
      <c r="C4564">
        <v>2015</v>
      </c>
      <c r="D4564" t="s">
        <v>31</v>
      </c>
      <c r="E4564" t="s">
        <v>32</v>
      </c>
      <c r="F4564">
        <v>1.03</v>
      </c>
    </row>
    <row r="4565" s="76" customFormat="1" spans="1:6">
      <c r="A4565">
        <v>4699</v>
      </c>
      <c r="B4565">
        <v>332015270</v>
      </c>
      <c r="C4565">
        <v>2015</v>
      </c>
      <c r="D4565" t="s">
        <v>31</v>
      </c>
      <c r="E4565" t="s">
        <v>32</v>
      </c>
      <c r="F4565">
        <v>0.5</v>
      </c>
    </row>
    <row r="4566" s="76" customFormat="1" spans="1:6">
      <c r="A4566">
        <v>4683</v>
      </c>
      <c r="B4566">
        <v>332015270</v>
      </c>
      <c r="C4566">
        <v>2015</v>
      </c>
      <c r="D4566" t="s">
        <v>31</v>
      </c>
      <c r="E4566">
        <v>1</v>
      </c>
      <c r="F4566">
        <v>1.08</v>
      </c>
    </row>
    <row r="4567" s="76" customFormat="1" spans="1:6">
      <c r="A4567">
        <v>4703</v>
      </c>
      <c r="B4567">
        <v>332015270</v>
      </c>
      <c r="C4567">
        <v>2015</v>
      </c>
      <c r="D4567" t="s">
        <v>31</v>
      </c>
      <c r="E4567" t="s">
        <v>32</v>
      </c>
      <c r="F4567">
        <v>0.29</v>
      </c>
    </row>
    <row r="4568" s="76" customFormat="1" spans="1:6">
      <c r="A4568">
        <v>4710</v>
      </c>
      <c r="B4568">
        <v>332015270</v>
      </c>
      <c r="C4568">
        <v>2015</v>
      </c>
      <c r="D4568" t="s">
        <v>31</v>
      </c>
      <c r="E4568" t="s">
        <v>32</v>
      </c>
      <c r="F4568">
        <v>0.69</v>
      </c>
    </row>
    <row r="4569" s="76" customFormat="1" spans="1:6">
      <c r="A4569">
        <v>4691</v>
      </c>
      <c r="B4569">
        <v>332015270</v>
      </c>
      <c r="C4569">
        <v>2015</v>
      </c>
      <c r="D4569" t="s">
        <v>31</v>
      </c>
      <c r="E4569" t="s">
        <v>32</v>
      </c>
      <c r="F4569">
        <v>0.36</v>
      </c>
    </row>
    <row r="4570" s="76" customFormat="1" spans="1:6">
      <c r="A4570">
        <v>4701</v>
      </c>
      <c r="B4570">
        <v>332015270</v>
      </c>
      <c r="C4570">
        <v>2015</v>
      </c>
      <c r="D4570" t="s">
        <v>31</v>
      </c>
      <c r="E4570" t="s">
        <v>32</v>
      </c>
      <c r="F4570">
        <v>1.15</v>
      </c>
    </row>
    <row r="4571" s="76" customFormat="1" spans="1:6">
      <c r="A4571">
        <v>4684</v>
      </c>
      <c r="B4571">
        <v>332015270</v>
      </c>
      <c r="C4571">
        <v>2015</v>
      </c>
      <c r="D4571" t="s">
        <v>31</v>
      </c>
      <c r="E4571">
        <v>1</v>
      </c>
      <c r="F4571">
        <v>2.62</v>
      </c>
    </row>
    <row r="4572" s="76" customFormat="1" spans="1:6">
      <c r="A4572">
        <v>4682</v>
      </c>
      <c r="B4572">
        <v>332015270</v>
      </c>
      <c r="C4572">
        <v>2015</v>
      </c>
      <c r="D4572" t="s">
        <v>31</v>
      </c>
      <c r="E4572">
        <v>1</v>
      </c>
      <c r="F4572">
        <v>1.5</v>
      </c>
    </row>
    <row r="4573" s="76" customFormat="1" spans="1:6">
      <c r="A4573">
        <v>4675</v>
      </c>
      <c r="B4573">
        <v>332015270</v>
      </c>
      <c r="C4573">
        <v>2015</v>
      </c>
      <c r="D4573" t="s">
        <v>31</v>
      </c>
      <c r="E4573" t="s">
        <v>32</v>
      </c>
      <c r="F4573">
        <v>2</v>
      </c>
    </row>
    <row r="4574" s="76" customFormat="1" spans="1:6">
      <c r="A4574">
        <v>4676</v>
      </c>
      <c r="B4574">
        <v>332015270</v>
      </c>
      <c r="C4574">
        <v>2015</v>
      </c>
      <c r="D4574" t="s">
        <v>31</v>
      </c>
      <c r="E4574" t="s">
        <v>32</v>
      </c>
      <c r="F4574">
        <v>3</v>
      </c>
    </row>
    <row r="4575" s="76" customFormat="1" spans="1:6">
      <c r="A4575">
        <v>4712</v>
      </c>
      <c r="B4575">
        <v>332016110</v>
      </c>
      <c r="C4575" s="76">
        <v>2016</v>
      </c>
      <c r="D4575" s="76" t="s">
        <v>40</v>
      </c>
      <c r="E4575" s="76" t="s">
        <v>32</v>
      </c>
      <c r="F4575" s="76">
        <v>0.32</v>
      </c>
    </row>
    <row r="4576" s="76" customFormat="1" spans="1:6">
      <c r="A4576">
        <v>4711</v>
      </c>
      <c r="B4576">
        <v>332016110</v>
      </c>
      <c r="C4576" s="76">
        <v>2016</v>
      </c>
      <c r="D4576" s="76" t="s">
        <v>40</v>
      </c>
      <c r="E4576" s="76" t="s">
        <v>32</v>
      </c>
      <c r="F4576" s="76">
        <v>4.62</v>
      </c>
    </row>
    <row r="4577" s="76" customFormat="1" spans="1:6">
      <c r="A4577">
        <v>4713</v>
      </c>
      <c r="B4577">
        <v>332016110</v>
      </c>
      <c r="C4577" s="76">
        <v>2016</v>
      </c>
      <c r="D4577" s="76" t="s">
        <v>40</v>
      </c>
      <c r="E4577" s="76" t="s">
        <v>32</v>
      </c>
      <c r="F4577" s="76">
        <v>2</v>
      </c>
    </row>
    <row r="4578" s="76" customFormat="1" spans="1:6">
      <c r="A4578">
        <v>4715</v>
      </c>
      <c r="B4578">
        <v>332016120</v>
      </c>
      <c r="C4578" s="76">
        <v>2016</v>
      </c>
      <c r="D4578" s="76" t="s">
        <v>42</v>
      </c>
      <c r="E4578" s="76">
        <v>4</v>
      </c>
      <c r="F4578" s="76">
        <v>150</v>
      </c>
    </row>
    <row r="4579" s="76" customFormat="1" spans="1:6">
      <c r="A4579">
        <v>4723</v>
      </c>
      <c r="B4579">
        <v>332016241</v>
      </c>
      <c r="C4579" s="76">
        <v>2016</v>
      </c>
      <c r="D4579" s="76" t="s">
        <v>33</v>
      </c>
      <c r="E4579" s="76" t="s">
        <v>32</v>
      </c>
      <c r="F4579" s="76">
        <v>0.6</v>
      </c>
    </row>
    <row r="4580" s="76" customFormat="1" spans="1:6">
      <c r="A4580">
        <v>4727</v>
      </c>
      <c r="B4580">
        <v>332016241</v>
      </c>
      <c r="C4580" s="76">
        <v>2016</v>
      </c>
      <c r="D4580" s="76" t="s">
        <v>33</v>
      </c>
      <c r="E4580" s="76" t="s">
        <v>32</v>
      </c>
      <c r="F4580" s="76">
        <v>1.5</v>
      </c>
    </row>
    <row r="4581" s="76" customFormat="1" spans="1:6">
      <c r="A4581">
        <v>4733</v>
      </c>
      <c r="B4581">
        <v>332016241</v>
      </c>
      <c r="C4581" s="76">
        <v>2016</v>
      </c>
      <c r="D4581" s="76" t="s">
        <v>33</v>
      </c>
      <c r="E4581" s="76" t="s">
        <v>32</v>
      </c>
      <c r="F4581" s="76">
        <v>1.2</v>
      </c>
    </row>
    <row r="4582" s="76" customFormat="1" spans="1:6">
      <c r="A4582">
        <v>4732</v>
      </c>
      <c r="B4582">
        <v>332016241</v>
      </c>
      <c r="C4582" s="76">
        <v>2016</v>
      </c>
      <c r="D4582" s="76" t="s">
        <v>33</v>
      </c>
      <c r="E4582" s="76" t="s">
        <v>32</v>
      </c>
      <c r="F4582" s="76">
        <v>1.5</v>
      </c>
    </row>
    <row r="4583" s="76" customFormat="1" spans="1:6">
      <c r="A4583">
        <v>4737</v>
      </c>
      <c r="B4583">
        <v>332016241</v>
      </c>
      <c r="C4583" s="76">
        <v>2016</v>
      </c>
      <c r="D4583" s="76" t="s">
        <v>33</v>
      </c>
      <c r="E4583" s="76" t="s">
        <v>32</v>
      </c>
      <c r="F4583" s="76">
        <v>0.7</v>
      </c>
    </row>
    <row r="4584" s="76" customFormat="1" spans="1:6">
      <c r="A4584">
        <v>4724</v>
      </c>
      <c r="B4584">
        <v>332016241</v>
      </c>
      <c r="C4584" s="76">
        <v>2016</v>
      </c>
      <c r="D4584" s="76" t="s">
        <v>33</v>
      </c>
      <c r="E4584" s="76" t="s">
        <v>32</v>
      </c>
      <c r="F4584" s="76">
        <v>1.2</v>
      </c>
    </row>
    <row r="4585" s="76" customFormat="1" spans="1:6">
      <c r="A4585">
        <v>4717</v>
      </c>
      <c r="B4585">
        <v>332016241</v>
      </c>
      <c r="C4585" s="76">
        <v>2016</v>
      </c>
      <c r="D4585" s="76" t="s">
        <v>33</v>
      </c>
      <c r="E4585" s="76" t="s">
        <v>32</v>
      </c>
      <c r="F4585" s="76">
        <v>0.6</v>
      </c>
    </row>
    <row r="4586" s="76" customFormat="1" spans="1:6">
      <c r="A4586">
        <v>4738</v>
      </c>
      <c r="B4586">
        <v>332016241</v>
      </c>
      <c r="C4586" s="76">
        <v>2016</v>
      </c>
      <c r="D4586" s="76" t="s">
        <v>33</v>
      </c>
      <c r="E4586" s="76" t="s">
        <v>32</v>
      </c>
      <c r="F4586" s="76">
        <v>10.5</v>
      </c>
    </row>
    <row r="4587" s="76" customFormat="1" spans="1:6">
      <c r="A4587">
        <v>4736</v>
      </c>
      <c r="B4587">
        <v>332016241</v>
      </c>
      <c r="C4587" s="76">
        <v>2016</v>
      </c>
      <c r="D4587" s="76" t="s">
        <v>33</v>
      </c>
      <c r="E4587" s="76" t="s">
        <v>32</v>
      </c>
      <c r="F4587" s="76">
        <v>0.9</v>
      </c>
    </row>
    <row r="4588" s="76" customFormat="1" spans="1:6">
      <c r="A4588">
        <v>4722</v>
      </c>
      <c r="B4588">
        <v>332016241</v>
      </c>
      <c r="C4588" s="76">
        <v>2016</v>
      </c>
      <c r="D4588" s="76" t="s">
        <v>33</v>
      </c>
      <c r="E4588" s="76" t="s">
        <v>32</v>
      </c>
      <c r="F4588" s="76">
        <v>1.2</v>
      </c>
    </row>
    <row r="4589" s="76" customFormat="1" spans="1:6">
      <c r="A4589">
        <v>4728</v>
      </c>
      <c r="B4589">
        <v>332016241</v>
      </c>
      <c r="C4589" s="76">
        <v>2016</v>
      </c>
      <c r="D4589" s="76" t="s">
        <v>33</v>
      </c>
      <c r="E4589" s="76" t="s">
        <v>32</v>
      </c>
      <c r="F4589" s="76">
        <v>2.2</v>
      </c>
    </row>
    <row r="4590" s="76" customFormat="1" spans="1:6">
      <c r="A4590">
        <v>4731</v>
      </c>
      <c r="B4590">
        <v>332016241</v>
      </c>
      <c r="C4590" s="76">
        <v>2016</v>
      </c>
      <c r="D4590" s="76" t="s">
        <v>33</v>
      </c>
      <c r="E4590" s="76" t="s">
        <v>32</v>
      </c>
      <c r="F4590" s="76">
        <v>3.6</v>
      </c>
    </row>
    <row r="4591" s="76" customFormat="1" spans="1:6">
      <c r="A4591">
        <v>4729</v>
      </c>
      <c r="B4591">
        <v>332016241</v>
      </c>
      <c r="C4591" s="76">
        <v>2016</v>
      </c>
      <c r="D4591" s="76" t="s">
        <v>33</v>
      </c>
      <c r="E4591" s="76" t="s">
        <v>32</v>
      </c>
      <c r="F4591" s="76">
        <v>0.3</v>
      </c>
    </row>
    <row r="4592" s="76" customFormat="1" spans="1:6">
      <c r="A4592">
        <v>4726</v>
      </c>
      <c r="B4592">
        <v>332016241</v>
      </c>
      <c r="C4592" s="76">
        <v>2016</v>
      </c>
      <c r="D4592" s="76" t="s">
        <v>33</v>
      </c>
      <c r="E4592" s="76" t="s">
        <v>32</v>
      </c>
      <c r="F4592" s="76">
        <v>3</v>
      </c>
    </row>
    <row r="4593" s="76" customFormat="1" spans="1:6">
      <c r="A4593">
        <v>4734</v>
      </c>
      <c r="B4593">
        <v>332016241</v>
      </c>
      <c r="C4593" s="76">
        <v>2016</v>
      </c>
      <c r="D4593" s="76" t="s">
        <v>33</v>
      </c>
      <c r="E4593" s="76" t="s">
        <v>32</v>
      </c>
      <c r="F4593" s="76">
        <v>1.5</v>
      </c>
    </row>
    <row r="4594" s="76" customFormat="1" spans="1:6">
      <c r="A4594">
        <v>4716</v>
      </c>
      <c r="B4594">
        <v>332016241</v>
      </c>
      <c r="C4594" s="76">
        <v>2016</v>
      </c>
      <c r="D4594" s="76" t="s">
        <v>33</v>
      </c>
      <c r="E4594" s="76" t="s">
        <v>32</v>
      </c>
      <c r="F4594" s="76">
        <v>0.6</v>
      </c>
    </row>
    <row r="4595" s="76" customFormat="1" spans="1:6">
      <c r="A4595">
        <v>4725</v>
      </c>
      <c r="B4595">
        <v>332016241</v>
      </c>
      <c r="C4595" s="76">
        <v>2016</v>
      </c>
      <c r="D4595" s="76" t="s">
        <v>33</v>
      </c>
      <c r="E4595" s="76" t="s">
        <v>32</v>
      </c>
      <c r="F4595" s="76">
        <v>1.5</v>
      </c>
    </row>
    <row r="4596" s="76" customFormat="1" spans="1:6">
      <c r="A4596">
        <v>4730</v>
      </c>
      <c r="B4596">
        <v>332016241</v>
      </c>
      <c r="C4596" s="76">
        <v>2016</v>
      </c>
      <c r="D4596" s="76" t="s">
        <v>33</v>
      </c>
      <c r="E4596" s="76" t="s">
        <v>32</v>
      </c>
      <c r="F4596" s="76">
        <v>2.4</v>
      </c>
    </row>
    <row r="4597" s="76" customFormat="1" spans="1:6">
      <c r="A4597">
        <v>4721</v>
      </c>
      <c r="B4597">
        <v>332016241</v>
      </c>
      <c r="C4597" s="76">
        <v>2016</v>
      </c>
      <c r="D4597" s="76" t="s">
        <v>33</v>
      </c>
      <c r="E4597" s="76" t="s">
        <v>32</v>
      </c>
      <c r="F4597" s="76">
        <v>1.2</v>
      </c>
    </row>
    <row r="4598" s="76" customFormat="1" spans="1:6">
      <c r="A4598">
        <v>4720</v>
      </c>
      <c r="B4598">
        <v>332016241</v>
      </c>
      <c r="C4598" s="76">
        <v>2016</v>
      </c>
      <c r="D4598" s="76" t="s">
        <v>33</v>
      </c>
      <c r="E4598" s="76" t="s">
        <v>32</v>
      </c>
      <c r="F4598" s="76">
        <v>0.9</v>
      </c>
    </row>
    <row r="4599" s="76" customFormat="1" spans="1:6">
      <c r="A4599">
        <v>4718</v>
      </c>
      <c r="B4599">
        <v>332016241</v>
      </c>
      <c r="C4599" s="76">
        <v>2016</v>
      </c>
      <c r="D4599" s="76" t="s">
        <v>33</v>
      </c>
      <c r="E4599" s="76" t="s">
        <v>32</v>
      </c>
      <c r="F4599" s="76">
        <v>0.6</v>
      </c>
    </row>
    <row r="4600" s="76" customFormat="1" spans="1:6">
      <c r="A4600">
        <v>4719</v>
      </c>
      <c r="B4600">
        <v>332016241</v>
      </c>
      <c r="C4600" s="76">
        <v>2016</v>
      </c>
      <c r="D4600" s="76" t="s">
        <v>33</v>
      </c>
      <c r="E4600" s="76" t="s">
        <v>32</v>
      </c>
      <c r="F4600" s="76">
        <v>3</v>
      </c>
    </row>
    <row r="4601" s="76" customFormat="1" spans="1:6">
      <c r="A4601">
        <v>4735</v>
      </c>
      <c r="B4601">
        <v>332016241</v>
      </c>
      <c r="C4601" s="76">
        <v>2016</v>
      </c>
      <c r="D4601" s="76" t="s">
        <v>33</v>
      </c>
      <c r="E4601" s="76" t="s">
        <v>32</v>
      </c>
      <c r="F4601" s="76">
        <v>0.6</v>
      </c>
    </row>
    <row r="4602" s="76" customFormat="1" spans="1:6">
      <c r="A4602">
        <v>4741</v>
      </c>
      <c r="B4602">
        <v>332016242</v>
      </c>
      <c r="C4602" s="76">
        <v>2016</v>
      </c>
      <c r="D4602" s="76" t="s">
        <v>35</v>
      </c>
      <c r="E4602" s="76" t="s">
        <v>32</v>
      </c>
      <c r="F4602" s="76">
        <v>2.5</v>
      </c>
    </row>
    <row r="4603" s="76" customFormat="1" spans="1:6">
      <c r="A4603">
        <v>4740</v>
      </c>
      <c r="B4603">
        <v>332016242</v>
      </c>
      <c r="C4603" s="76">
        <v>2016</v>
      </c>
      <c r="D4603" s="76" t="s">
        <v>35</v>
      </c>
      <c r="E4603" s="76" t="s">
        <v>32</v>
      </c>
      <c r="F4603" s="76">
        <v>0.75</v>
      </c>
    </row>
    <row r="4604" s="76" customFormat="1" spans="1:6">
      <c r="A4604">
        <v>4742</v>
      </c>
      <c r="B4604">
        <v>332016243</v>
      </c>
      <c r="C4604" s="76">
        <v>2016</v>
      </c>
      <c r="D4604" s="76" t="s">
        <v>38</v>
      </c>
      <c r="E4604" s="76" t="s">
        <v>32</v>
      </c>
      <c r="F4604" s="76">
        <v>1.2</v>
      </c>
    </row>
    <row r="4605" s="76" customFormat="1" spans="1:6">
      <c r="A4605">
        <v>4744</v>
      </c>
      <c r="B4605">
        <v>332016243</v>
      </c>
      <c r="C4605" s="76">
        <v>2016</v>
      </c>
      <c r="D4605" s="76" t="s">
        <v>38</v>
      </c>
      <c r="E4605" s="76" t="s">
        <v>32</v>
      </c>
      <c r="F4605" s="76">
        <v>1.05</v>
      </c>
    </row>
    <row r="4606" s="76" customFormat="1" spans="1:6">
      <c r="A4606">
        <v>4743</v>
      </c>
      <c r="B4606">
        <v>332016243</v>
      </c>
      <c r="C4606" s="76">
        <v>2016</v>
      </c>
      <c r="D4606" s="76" t="s">
        <v>38</v>
      </c>
      <c r="E4606" s="76" t="s">
        <v>32</v>
      </c>
      <c r="F4606" s="76">
        <v>3.7</v>
      </c>
    </row>
    <row r="4607" s="76" customFormat="1" spans="1:6">
      <c r="A4607">
        <v>4752</v>
      </c>
      <c r="B4607">
        <v>332016260</v>
      </c>
      <c r="C4607" s="76">
        <v>2016</v>
      </c>
      <c r="D4607" s="76" t="s">
        <v>34</v>
      </c>
      <c r="E4607" s="76" t="s">
        <v>32</v>
      </c>
      <c r="F4607" s="76">
        <v>1.25</v>
      </c>
    </row>
    <row r="4608" s="76" customFormat="1" spans="1:6">
      <c r="A4608">
        <v>4753</v>
      </c>
      <c r="B4608">
        <v>332016260</v>
      </c>
      <c r="C4608" s="76">
        <v>2016</v>
      </c>
      <c r="D4608" s="76" t="s">
        <v>34</v>
      </c>
      <c r="E4608" s="76" t="s">
        <v>32</v>
      </c>
      <c r="F4608" s="76">
        <v>0.66</v>
      </c>
    </row>
    <row r="4609" s="76" customFormat="1" spans="1:6">
      <c r="A4609">
        <v>4746</v>
      </c>
      <c r="B4609">
        <v>332016260</v>
      </c>
      <c r="C4609" s="76">
        <v>2016</v>
      </c>
      <c r="D4609" s="76" t="s">
        <v>34</v>
      </c>
      <c r="E4609" s="76" t="s">
        <v>32</v>
      </c>
      <c r="F4609" s="76">
        <v>6.6</v>
      </c>
    </row>
    <row r="4610" s="76" customFormat="1" spans="1:6">
      <c r="A4610">
        <v>4749</v>
      </c>
      <c r="B4610">
        <v>332016260</v>
      </c>
      <c r="C4610" s="76">
        <v>2016</v>
      </c>
      <c r="D4610" s="76" t="s">
        <v>34</v>
      </c>
      <c r="E4610" s="76">
        <v>1</v>
      </c>
      <c r="F4610" s="76">
        <v>0.88</v>
      </c>
    </row>
    <row r="4611" s="76" customFormat="1" spans="1:6">
      <c r="A4611">
        <v>4754</v>
      </c>
      <c r="B4611">
        <v>332016260</v>
      </c>
      <c r="C4611" s="76">
        <v>2016</v>
      </c>
      <c r="D4611" s="76" t="s">
        <v>34</v>
      </c>
      <c r="E4611" s="76" t="s">
        <v>32</v>
      </c>
      <c r="F4611" s="76">
        <v>0.75</v>
      </c>
    </row>
    <row r="4612" s="76" customFormat="1" spans="1:6">
      <c r="A4612">
        <v>4748</v>
      </c>
      <c r="B4612">
        <v>332016260</v>
      </c>
      <c r="C4612" s="76">
        <v>2016</v>
      </c>
      <c r="D4612" s="76" t="s">
        <v>34</v>
      </c>
      <c r="E4612" s="76" t="s">
        <v>32</v>
      </c>
      <c r="F4612" s="76">
        <v>1</v>
      </c>
    </row>
    <row r="4613" s="76" customFormat="1" spans="1:6">
      <c r="A4613">
        <v>4747</v>
      </c>
      <c r="B4613">
        <v>332016260</v>
      </c>
      <c r="C4613" s="76">
        <v>2016</v>
      </c>
      <c r="D4613" s="76" t="s">
        <v>34</v>
      </c>
      <c r="E4613" s="76" t="s">
        <v>32</v>
      </c>
      <c r="F4613" s="76">
        <v>6.48</v>
      </c>
    </row>
    <row r="4614" s="76" customFormat="1" spans="1:6">
      <c r="A4614">
        <v>4750</v>
      </c>
      <c r="B4614">
        <v>332016260</v>
      </c>
      <c r="C4614" s="76">
        <v>2016</v>
      </c>
      <c r="D4614" s="76" t="s">
        <v>34</v>
      </c>
      <c r="E4614" s="76">
        <v>20</v>
      </c>
      <c r="F4614" s="76">
        <v>4</v>
      </c>
    </row>
    <row r="4615" s="76" customFormat="1" spans="1:6">
      <c r="A4615">
        <v>4751</v>
      </c>
      <c r="B4615">
        <v>332016260</v>
      </c>
      <c r="C4615" s="76">
        <v>2016</v>
      </c>
      <c r="D4615" s="76" t="s">
        <v>34</v>
      </c>
      <c r="E4615" s="76" t="s">
        <v>32</v>
      </c>
      <c r="F4615" s="76">
        <v>4.2</v>
      </c>
    </row>
    <row r="4616" s="76" customFormat="1" spans="1:6">
      <c r="A4616">
        <v>4745</v>
      </c>
      <c r="B4616">
        <v>332016260</v>
      </c>
      <c r="C4616" s="76">
        <v>2016</v>
      </c>
      <c r="D4616" s="76" t="s">
        <v>34</v>
      </c>
      <c r="E4616" s="76">
        <v>5</v>
      </c>
      <c r="F4616" s="76">
        <v>1</v>
      </c>
    </row>
    <row r="4617" s="76" customFormat="1" spans="1:6">
      <c r="A4617">
        <v>4764</v>
      </c>
      <c r="B4617">
        <v>332016270</v>
      </c>
      <c r="C4617" s="76">
        <v>2016</v>
      </c>
      <c r="D4617" s="76" t="s">
        <v>31</v>
      </c>
      <c r="E4617" s="76" t="s">
        <v>32</v>
      </c>
      <c r="F4617" s="76">
        <v>0.22</v>
      </c>
    </row>
    <row r="4618" s="76" customFormat="1" spans="1:6">
      <c r="A4618">
        <v>4761</v>
      </c>
      <c r="B4618">
        <v>332016270</v>
      </c>
      <c r="C4618" s="76">
        <v>2016</v>
      </c>
      <c r="D4618" s="76" t="s">
        <v>31</v>
      </c>
      <c r="E4618" s="76" t="s">
        <v>32</v>
      </c>
      <c r="F4618" s="76">
        <v>0.01</v>
      </c>
    </row>
    <row r="4619" s="76" customFormat="1" spans="1:6">
      <c r="A4619">
        <v>4796</v>
      </c>
      <c r="B4619">
        <v>332016270</v>
      </c>
      <c r="C4619" s="76">
        <v>2016</v>
      </c>
      <c r="D4619" s="76" t="s">
        <v>31</v>
      </c>
      <c r="E4619" s="76" t="s">
        <v>32</v>
      </c>
      <c r="F4619" s="76">
        <v>3</v>
      </c>
    </row>
    <row r="4620" s="76" customFormat="1" spans="1:6">
      <c r="A4620">
        <v>4762</v>
      </c>
      <c r="B4620">
        <v>332016270</v>
      </c>
      <c r="C4620" s="76">
        <v>2016</v>
      </c>
      <c r="D4620" s="76" t="s">
        <v>31</v>
      </c>
      <c r="E4620" s="76" t="s">
        <v>32</v>
      </c>
      <c r="F4620" s="76">
        <v>0.65</v>
      </c>
    </row>
    <row r="4621" s="76" customFormat="1" spans="1:6">
      <c r="A4621">
        <v>4788</v>
      </c>
      <c r="B4621">
        <v>332016270</v>
      </c>
      <c r="C4621" s="76">
        <v>2016</v>
      </c>
      <c r="D4621" s="76" t="s">
        <v>31</v>
      </c>
      <c r="E4621" s="76" t="s">
        <v>32</v>
      </c>
      <c r="F4621" s="76">
        <v>1.21</v>
      </c>
    </row>
    <row r="4622" s="76" customFormat="1" spans="1:6">
      <c r="A4622">
        <v>4776</v>
      </c>
      <c r="B4622">
        <v>332016270</v>
      </c>
      <c r="C4622" s="76">
        <v>2016</v>
      </c>
      <c r="D4622" s="76" t="s">
        <v>31</v>
      </c>
      <c r="E4622" s="76" t="s">
        <v>32</v>
      </c>
      <c r="F4622" s="76">
        <v>0.07</v>
      </c>
    </row>
    <row r="4623" s="76" customFormat="1" spans="1:6">
      <c r="A4623">
        <v>4786</v>
      </c>
      <c r="B4623">
        <v>332016270</v>
      </c>
      <c r="C4623" s="76">
        <v>2016</v>
      </c>
      <c r="D4623" s="76" t="s">
        <v>31</v>
      </c>
      <c r="E4623" s="76" t="s">
        <v>32</v>
      </c>
      <c r="F4623" s="76">
        <v>3.5</v>
      </c>
    </row>
    <row r="4624" s="76" customFormat="1" spans="1:6">
      <c r="A4624">
        <v>4773</v>
      </c>
      <c r="B4624">
        <v>332016270</v>
      </c>
      <c r="C4624" s="76">
        <v>2016</v>
      </c>
      <c r="D4624" s="76" t="s">
        <v>31</v>
      </c>
      <c r="E4624" s="76" t="s">
        <v>32</v>
      </c>
      <c r="F4624" s="76">
        <v>5</v>
      </c>
    </row>
    <row r="4625" s="76" customFormat="1" spans="1:6">
      <c r="A4625">
        <v>4793</v>
      </c>
      <c r="B4625">
        <v>332016270</v>
      </c>
      <c r="C4625" s="76">
        <v>2016</v>
      </c>
      <c r="D4625" s="76" t="s">
        <v>31</v>
      </c>
      <c r="E4625" s="76" t="s">
        <v>32</v>
      </c>
      <c r="F4625" s="76">
        <v>2</v>
      </c>
    </row>
    <row r="4626" s="76" customFormat="1" spans="1:6">
      <c r="A4626">
        <v>4763</v>
      </c>
      <c r="B4626">
        <v>332016270</v>
      </c>
      <c r="C4626" s="76">
        <v>2016</v>
      </c>
      <c r="D4626" s="76" t="s">
        <v>31</v>
      </c>
      <c r="E4626" s="76" t="s">
        <v>32</v>
      </c>
      <c r="F4626" s="76">
        <v>1.3</v>
      </c>
    </row>
    <row r="4627" s="76" customFormat="1" spans="1:6">
      <c r="A4627">
        <v>4782</v>
      </c>
      <c r="B4627">
        <v>332016270</v>
      </c>
      <c r="C4627" s="76">
        <v>2016</v>
      </c>
      <c r="D4627" s="76" t="s">
        <v>31</v>
      </c>
      <c r="E4627" s="76" t="s">
        <v>32</v>
      </c>
      <c r="F4627" s="76">
        <v>1.48</v>
      </c>
    </row>
    <row r="4628" s="76" customFormat="1" spans="1:6">
      <c r="A4628">
        <v>4768</v>
      </c>
      <c r="B4628">
        <v>332016270</v>
      </c>
      <c r="C4628" s="76">
        <v>2016</v>
      </c>
      <c r="D4628" s="76" t="s">
        <v>31</v>
      </c>
      <c r="E4628" s="76" t="s">
        <v>32</v>
      </c>
      <c r="F4628" s="76">
        <v>2</v>
      </c>
    </row>
    <row r="4629" s="76" customFormat="1" spans="1:6">
      <c r="A4629">
        <v>4769</v>
      </c>
      <c r="B4629">
        <v>332016270</v>
      </c>
      <c r="C4629" s="76">
        <v>2016</v>
      </c>
      <c r="D4629" s="76" t="s">
        <v>31</v>
      </c>
      <c r="E4629" s="76" t="s">
        <v>32</v>
      </c>
      <c r="F4629" s="76">
        <v>1.39</v>
      </c>
    </row>
    <row r="4630" s="76" customFormat="1" spans="1:6">
      <c r="A4630">
        <v>4759</v>
      </c>
      <c r="B4630">
        <v>332016270</v>
      </c>
      <c r="C4630" s="76">
        <v>2016</v>
      </c>
      <c r="D4630" s="76" t="s">
        <v>31</v>
      </c>
      <c r="E4630" s="76" t="s">
        <v>32</v>
      </c>
      <c r="F4630" s="76">
        <v>10</v>
      </c>
    </row>
    <row r="4631" s="76" customFormat="1" spans="1:6">
      <c r="A4631">
        <v>4775</v>
      </c>
      <c r="B4631">
        <v>332016270</v>
      </c>
      <c r="C4631" s="76">
        <v>2016</v>
      </c>
      <c r="D4631" s="76" t="s">
        <v>31</v>
      </c>
      <c r="E4631" s="76" t="s">
        <v>32</v>
      </c>
      <c r="F4631" s="76">
        <v>0.03</v>
      </c>
    </row>
    <row r="4632" s="76" customFormat="1" spans="1:6">
      <c r="A4632">
        <v>4771</v>
      </c>
      <c r="B4632">
        <v>332016270</v>
      </c>
      <c r="C4632" s="76">
        <v>2016</v>
      </c>
      <c r="D4632" s="76" t="s">
        <v>31</v>
      </c>
      <c r="E4632" s="76" t="s">
        <v>32</v>
      </c>
      <c r="F4632" s="76">
        <v>3</v>
      </c>
    </row>
    <row r="4633" s="76" customFormat="1" spans="1:6">
      <c r="A4633">
        <v>4794</v>
      </c>
      <c r="B4633">
        <v>332016270</v>
      </c>
      <c r="C4633" s="76">
        <v>2016</v>
      </c>
      <c r="D4633" s="76" t="s">
        <v>31</v>
      </c>
      <c r="E4633" s="76" t="s">
        <v>32</v>
      </c>
      <c r="F4633" s="76">
        <v>5</v>
      </c>
    </row>
    <row r="4634" s="76" customFormat="1" spans="1:6">
      <c r="A4634">
        <v>4784</v>
      </c>
      <c r="B4634">
        <v>332016270</v>
      </c>
      <c r="C4634" s="76">
        <v>2016</v>
      </c>
      <c r="D4634" s="76" t="s">
        <v>31</v>
      </c>
      <c r="E4634" s="76" t="s">
        <v>32</v>
      </c>
      <c r="F4634" s="76">
        <v>1</v>
      </c>
    </row>
    <row r="4635" s="76" customFormat="1" spans="1:6">
      <c r="A4635">
        <v>4780</v>
      </c>
      <c r="B4635">
        <v>332016270</v>
      </c>
      <c r="C4635" s="76">
        <v>2016</v>
      </c>
      <c r="D4635" s="76" t="s">
        <v>31</v>
      </c>
      <c r="E4635" s="76" t="s">
        <v>32</v>
      </c>
      <c r="F4635" s="76">
        <v>5</v>
      </c>
    </row>
    <row r="4636" s="76" customFormat="1" spans="1:6">
      <c r="A4636">
        <v>4787</v>
      </c>
      <c r="B4636">
        <v>332016270</v>
      </c>
      <c r="C4636" s="76">
        <v>2016</v>
      </c>
      <c r="D4636" s="76" t="s">
        <v>31</v>
      </c>
      <c r="E4636" s="76" t="s">
        <v>32</v>
      </c>
      <c r="F4636" s="76">
        <v>2</v>
      </c>
    </row>
    <row r="4637" s="76" customFormat="1" spans="1:6">
      <c r="A4637">
        <v>4760</v>
      </c>
      <c r="B4637">
        <v>332016270</v>
      </c>
      <c r="C4637" s="76">
        <v>2016</v>
      </c>
      <c r="D4637" s="76" t="s">
        <v>31</v>
      </c>
      <c r="E4637" s="76" t="s">
        <v>32</v>
      </c>
      <c r="F4637" s="76">
        <v>10</v>
      </c>
    </row>
    <row r="4638" s="76" customFormat="1" spans="1:6">
      <c r="A4638">
        <v>4770</v>
      </c>
      <c r="B4638">
        <v>332016270</v>
      </c>
      <c r="C4638" s="76">
        <v>2016</v>
      </c>
      <c r="D4638" s="76" t="s">
        <v>31</v>
      </c>
      <c r="E4638" s="76" t="s">
        <v>32</v>
      </c>
      <c r="F4638" s="76">
        <v>3</v>
      </c>
    </row>
    <row r="4639" s="76" customFormat="1" spans="1:6">
      <c r="A4639">
        <v>4790</v>
      </c>
      <c r="B4639">
        <v>332016270</v>
      </c>
      <c r="C4639" s="76">
        <v>2016</v>
      </c>
      <c r="D4639" s="76" t="s">
        <v>31</v>
      </c>
      <c r="E4639" s="76" t="s">
        <v>32</v>
      </c>
      <c r="F4639" s="76">
        <v>1.51</v>
      </c>
    </row>
    <row r="4640" s="76" customFormat="1" spans="1:6">
      <c r="A4640">
        <v>4774</v>
      </c>
      <c r="B4640">
        <v>332016270</v>
      </c>
      <c r="C4640" s="76">
        <v>2016</v>
      </c>
      <c r="D4640" s="76" t="s">
        <v>31</v>
      </c>
      <c r="E4640" s="76" t="s">
        <v>32</v>
      </c>
      <c r="F4640" s="76">
        <v>1.6</v>
      </c>
    </row>
    <row r="4641" s="76" customFormat="1" spans="1:6">
      <c r="A4641">
        <v>4779</v>
      </c>
      <c r="B4641">
        <v>332016270</v>
      </c>
      <c r="C4641" s="76">
        <v>2016</v>
      </c>
      <c r="D4641" s="76" t="s">
        <v>31</v>
      </c>
      <c r="E4641" s="76" t="s">
        <v>32</v>
      </c>
      <c r="F4641" s="76">
        <v>1</v>
      </c>
    </row>
    <row r="4642" s="76" customFormat="1" spans="1:6">
      <c r="A4642">
        <v>4789</v>
      </c>
      <c r="B4642">
        <v>332016270</v>
      </c>
      <c r="C4642" s="76">
        <v>2016</v>
      </c>
      <c r="D4642" s="76" t="s">
        <v>31</v>
      </c>
      <c r="E4642" s="76" t="s">
        <v>32</v>
      </c>
      <c r="F4642" s="76">
        <v>1</v>
      </c>
    </row>
    <row r="4643" s="76" customFormat="1" spans="1:6">
      <c r="A4643">
        <v>4783</v>
      </c>
      <c r="B4643">
        <v>332016270</v>
      </c>
      <c r="C4643" s="76">
        <v>2016</v>
      </c>
      <c r="D4643" s="76" t="s">
        <v>31</v>
      </c>
      <c r="E4643" s="76" t="s">
        <v>32</v>
      </c>
      <c r="F4643" s="76">
        <v>0.89</v>
      </c>
    </row>
    <row r="4644" s="76" customFormat="1" spans="1:6">
      <c r="A4644">
        <v>4797</v>
      </c>
      <c r="B4644">
        <v>332016270</v>
      </c>
      <c r="C4644" s="76">
        <v>2016</v>
      </c>
      <c r="D4644" s="76" t="s">
        <v>31</v>
      </c>
      <c r="E4644" s="76" t="s">
        <v>32</v>
      </c>
      <c r="F4644" s="76">
        <v>0.78</v>
      </c>
    </row>
    <row r="4645" s="76" customFormat="1" spans="1:6">
      <c r="A4645">
        <v>4778</v>
      </c>
      <c r="B4645">
        <v>332016270</v>
      </c>
      <c r="C4645" s="76">
        <v>2016</v>
      </c>
      <c r="D4645" s="76" t="s">
        <v>31</v>
      </c>
      <c r="E4645" s="76" t="s">
        <v>32</v>
      </c>
      <c r="F4645" s="76">
        <v>2</v>
      </c>
    </row>
    <row r="4646" s="76" customFormat="1" spans="1:6">
      <c r="A4646">
        <v>4791</v>
      </c>
      <c r="B4646">
        <v>332016270</v>
      </c>
      <c r="C4646" s="76">
        <v>2016</v>
      </c>
      <c r="D4646" s="76" t="s">
        <v>31</v>
      </c>
      <c r="E4646" s="76" t="s">
        <v>32</v>
      </c>
      <c r="F4646" s="76">
        <v>4</v>
      </c>
    </row>
    <row r="4647" s="76" customFormat="1" spans="1:6">
      <c r="A4647">
        <v>4781</v>
      </c>
      <c r="B4647">
        <v>332016270</v>
      </c>
      <c r="C4647" s="76">
        <v>2016</v>
      </c>
      <c r="D4647" s="76" t="s">
        <v>31</v>
      </c>
      <c r="E4647" s="76" t="s">
        <v>32</v>
      </c>
      <c r="F4647" s="76">
        <v>1.98</v>
      </c>
    </row>
    <row r="4648" s="76" customFormat="1" spans="1:6">
      <c r="A4648">
        <v>4777</v>
      </c>
      <c r="B4648">
        <v>332016270</v>
      </c>
      <c r="C4648" s="76">
        <v>2016</v>
      </c>
      <c r="D4648" s="76" t="s">
        <v>31</v>
      </c>
      <c r="E4648" s="76" t="s">
        <v>32</v>
      </c>
      <c r="F4648" s="76">
        <v>2</v>
      </c>
    </row>
    <row r="4649" s="76" customFormat="1" spans="1:6">
      <c r="A4649">
        <v>4766</v>
      </c>
      <c r="B4649">
        <v>332016270</v>
      </c>
      <c r="C4649" s="76">
        <v>2016</v>
      </c>
      <c r="D4649" s="76" t="s">
        <v>31</v>
      </c>
      <c r="E4649" s="76" t="s">
        <v>32</v>
      </c>
      <c r="F4649" s="76">
        <v>2</v>
      </c>
    </row>
    <row r="4650" s="76" customFormat="1" spans="1:6">
      <c r="A4650">
        <v>4765</v>
      </c>
      <c r="B4650">
        <v>332016270</v>
      </c>
      <c r="C4650" s="76">
        <v>2016</v>
      </c>
      <c r="D4650" s="76" t="s">
        <v>31</v>
      </c>
      <c r="E4650" s="76" t="s">
        <v>32</v>
      </c>
      <c r="F4650" s="76">
        <v>1.72</v>
      </c>
    </row>
    <row r="4651" s="76" customFormat="1" spans="1:6">
      <c r="A4651">
        <v>4772</v>
      </c>
      <c r="B4651">
        <v>332016270</v>
      </c>
      <c r="C4651" s="76">
        <v>2016</v>
      </c>
      <c r="D4651" s="76" t="s">
        <v>31</v>
      </c>
      <c r="E4651" s="76" t="s">
        <v>32</v>
      </c>
      <c r="F4651" s="76">
        <v>8</v>
      </c>
    </row>
    <row r="4652" s="76" customFormat="1" spans="1:6">
      <c r="A4652">
        <v>4756</v>
      </c>
      <c r="B4652">
        <v>332016270</v>
      </c>
      <c r="C4652" s="76">
        <v>2016</v>
      </c>
      <c r="D4652" s="76" t="s">
        <v>31</v>
      </c>
      <c r="E4652" s="76">
        <v>1</v>
      </c>
      <c r="F4652" s="76">
        <v>1</v>
      </c>
    </row>
    <row r="4653" s="76" customFormat="1" spans="1:6">
      <c r="A4653">
        <v>4757</v>
      </c>
      <c r="B4653">
        <v>332016270</v>
      </c>
      <c r="C4653" s="76">
        <v>2016</v>
      </c>
      <c r="D4653" s="76" t="s">
        <v>31</v>
      </c>
      <c r="E4653" s="76" t="s">
        <v>32</v>
      </c>
      <c r="F4653" s="76">
        <v>3</v>
      </c>
    </row>
    <row r="4654" s="76" customFormat="1" spans="1:6">
      <c r="A4654">
        <v>4767</v>
      </c>
      <c r="B4654">
        <v>332016270</v>
      </c>
      <c r="C4654" s="76">
        <v>2016</v>
      </c>
      <c r="D4654" s="76" t="s">
        <v>31</v>
      </c>
      <c r="E4654" s="76" t="s">
        <v>32</v>
      </c>
      <c r="F4654" s="76">
        <v>0.09</v>
      </c>
    </row>
    <row r="4655" s="76" customFormat="1" spans="1:6">
      <c r="A4655">
        <v>4795</v>
      </c>
      <c r="B4655">
        <v>332016270</v>
      </c>
      <c r="C4655" s="76">
        <v>2016</v>
      </c>
      <c r="D4655" s="76" t="s">
        <v>31</v>
      </c>
      <c r="E4655" s="76" t="s">
        <v>32</v>
      </c>
      <c r="F4655" s="76">
        <v>1.1</v>
      </c>
    </row>
    <row r="4656" s="76" customFormat="1" spans="1:6">
      <c r="A4656">
        <v>4758</v>
      </c>
      <c r="B4656">
        <v>332016270</v>
      </c>
      <c r="C4656" s="76">
        <v>2016</v>
      </c>
      <c r="D4656" s="76" t="s">
        <v>31</v>
      </c>
      <c r="E4656" s="76" t="s">
        <v>32</v>
      </c>
      <c r="F4656" s="76">
        <v>3</v>
      </c>
    </row>
    <row r="4657" s="76" customFormat="1" spans="1:6">
      <c r="A4657">
        <v>4792</v>
      </c>
      <c r="B4657">
        <v>332016270</v>
      </c>
      <c r="C4657" s="76">
        <v>2016</v>
      </c>
      <c r="D4657" s="76" t="s">
        <v>31</v>
      </c>
      <c r="E4657" s="76" t="s">
        <v>32</v>
      </c>
      <c r="F4657" s="76">
        <v>10</v>
      </c>
    </row>
    <row r="4658" s="76" customFormat="1" spans="1:6">
      <c r="A4658">
        <v>4785</v>
      </c>
      <c r="B4658">
        <v>332016270</v>
      </c>
      <c r="C4658" s="76">
        <v>2016</v>
      </c>
      <c r="D4658" s="76" t="s">
        <v>31</v>
      </c>
      <c r="E4658" s="76" t="s">
        <v>32</v>
      </c>
      <c r="F4658" s="76">
        <v>1.8</v>
      </c>
    </row>
    <row r="4659" s="76" customFormat="1" spans="1:6">
      <c r="A4659">
        <v>4801</v>
      </c>
      <c r="B4659">
        <v>332017110</v>
      </c>
      <c r="C4659" s="76">
        <v>2017</v>
      </c>
      <c r="D4659" s="76" t="s">
        <v>40</v>
      </c>
      <c r="E4659" s="76" t="s">
        <v>32</v>
      </c>
      <c r="F4659" s="76">
        <v>1.05</v>
      </c>
    </row>
    <row r="4660" s="76" customFormat="1" spans="1:6">
      <c r="A4660">
        <v>4799</v>
      </c>
      <c r="B4660">
        <v>332017110</v>
      </c>
      <c r="C4660" s="76">
        <v>2017</v>
      </c>
      <c r="D4660" s="76" t="s">
        <v>40</v>
      </c>
      <c r="E4660" s="76" t="s">
        <v>32</v>
      </c>
      <c r="F4660" s="76">
        <v>0.36</v>
      </c>
    </row>
    <row r="4661" s="76" customFormat="1" spans="1:6">
      <c r="A4661">
        <v>4802</v>
      </c>
      <c r="B4661">
        <v>332017110</v>
      </c>
      <c r="C4661" s="76">
        <v>2017</v>
      </c>
      <c r="D4661" s="76" t="s">
        <v>40</v>
      </c>
      <c r="E4661" s="76" t="s">
        <v>32</v>
      </c>
      <c r="F4661" s="76">
        <v>1.26</v>
      </c>
    </row>
    <row r="4662" s="76" customFormat="1" spans="1:6">
      <c r="A4662">
        <v>4804</v>
      </c>
      <c r="B4662">
        <v>332017110</v>
      </c>
      <c r="C4662" s="76">
        <v>2017</v>
      </c>
      <c r="D4662" s="76" t="s">
        <v>40</v>
      </c>
      <c r="E4662" s="76" t="s">
        <v>32</v>
      </c>
      <c r="F4662" s="76">
        <v>0.2</v>
      </c>
    </row>
    <row r="4663" s="76" customFormat="1" spans="1:6">
      <c r="A4663">
        <v>4805</v>
      </c>
      <c r="B4663">
        <v>332017110</v>
      </c>
      <c r="C4663" s="76">
        <v>2017</v>
      </c>
      <c r="D4663" s="76" t="s">
        <v>40</v>
      </c>
      <c r="E4663" s="76" t="s">
        <v>32</v>
      </c>
      <c r="F4663" s="76">
        <v>0.2</v>
      </c>
    </row>
    <row r="4664" s="76" customFormat="1" spans="1:6">
      <c r="A4664">
        <v>4803</v>
      </c>
      <c r="B4664">
        <v>332017110</v>
      </c>
      <c r="C4664" s="76">
        <v>2017</v>
      </c>
      <c r="D4664" s="76" t="s">
        <v>40</v>
      </c>
      <c r="E4664" s="76" t="s">
        <v>32</v>
      </c>
      <c r="F4664" s="76">
        <v>0.2</v>
      </c>
    </row>
    <row r="4665" s="76" customFormat="1" spans="1:6">
      <c r="A4665">
        <v>4823</v>
      </c>
      <c r="B4665">
        <v>332017211</v>
      </c>
      <c r="C4665" s="76">
        <v>2017</v>
      </c>
      <c r="D4665" s="76" t="s">
        <v>37</v>
      </c>
      <c r="E4665" s="76" t="s">
        <v>32</v>
      </c>
      <c r="F4665" s="76">
        <v>0.6</v>
      </c>
    </row>
    <row r="4666" s="76" customFormat="1" spans="1:6">
      <c r="A4666">
        <v>4815</v>
      </c>
      <c r="B4666">
        <v>332017211</v>
      </c>
      <c r="C4666" s="76">
        <v>2017</v>
      </c>
      <c r="D4666" s="76" t="s">
        <v>37</v>
      </c>
      <c r="E4666" s="76" t="s">
        <v>32</v>
      </c>
      <c r="F4666" s="76">
        <v>0.3</v>
      </c>
    </row>
    <row r="4667" s="76" customFormat="1" spans="1:6">
      <c r="A4667">
        <v>4819</v>
      </c>
      <c r="B4667">
        <v>332017211</v>
      </c>
      <c r="C4667" s="76">
        <v>2017</v>
      </c>
      <c r="D4667" s="76" t="s">
        <v>37</v>
      </c>
      <c r="E4667" s="76" t="s">
        <v>32</v>
      </c>
      <c r="F4667" s="76">
        <v>0.6</v>
      </c>
    </row>
    <row r="4668" s="76" customFormat="1" spans="1:6">
      <c r="A4668">
        <v>4825</v>
      </c>
      <c r="B4668">
        <v>332017211</v>
      </c>
      <c r="C4668" s="76">
        <v>2017</v>
      </c>
      <c r="D4668" s="76" t="s">
        <v>37</v>
      </c>
      <c r="E4668" s="76" t="s">
        <v>32</v>
      </c>
      <c r="F4668" s="76">
        <v>2.4</v>
      </c>
    </row>
    <row r="4669" s="76" customFormat="1" spans="1:6">
      <c r="A4669">
        <v>4820</v>
      </c>
      <c r="B4669">
        <v>332017211</v>
      </c>
      <c r="C4669" s="76">
        <v>2017</v>
      </c>
      <c r="D4669" s="76" t="s">
        <v>37</v>
      </c>
      <c r="E4669" s="76" t="s">
        <v>32</v>
      </c>
      <c r="F4669" s="76">
        <v>0.6</v>
      </c>
    </row>
    <row r="4670" s="76" customFormat="1" spans="1:6">
      <c r="A4670">
        <v>4807</v>
      </c>
      <c r="B4670">
        <v>332017211</v>
      </c>
      <c r="C4670" s="76">
        <v>2017</v>
      </c>
      <c r="D4670" s="76" t="s">
        <v>37</v>
      </c>
      <c r="E4670" s="76" t="s">
        <v>32</v>
      </c>
      <c r="F4670" s="76">
        <v>1.8</v>
      </c>
    </row>
    <row r="4671" s="76" customFormat="1" spans="1:6">
      <c r="A4671">
        <v>4814</v>
      </c>
      <c r="B4671">
        <v>332017211</v>
      </c>
      <c r="C4671" s="76">
        <v>2017</v>
      </c>
      <c r="D4671" s="76" t="s">
        <v>37</v>
      </c>
      <c r="E4671" s="76" t="s">
        <v>32</v>
      </c>
      <c r="F4671" s="76">
        <v>1.5</v>
      </c>
    </row>
    <row r="4672" s="76" customFormat="1" spans="1:6">
      <c r="A4672">
        <v>4817</v>
      </c>
      <c r="B4672">
        <v>332017211</v>
      </c>
      <c r="C4672" s="76">
        <v>2017</v>
      </c>
      <c r="D4672" s="76" t="s">
        <v>37</v>
      </c>
      <c r="E4672" s="76" t="s">
        <v>32</v>
      </c>
      <c r="F4672" s="76">
        <v>0.3</v>
      </c>
    </row>
    <row r="4673" s="76" customFormat="1" spans="1:6">
      <c r="A4673">
        <v>4816</v>
      </c>
      <c r="B4673">
        <v>332017211</v>
      </c>
      <c r="C4673" s="76">
        <v>2017</v>
      </c>
      <c r="D4673" s="76" t="s">
        <v>37</v>
      </c>
      <c r="E4673" s="76" t="s">
        <v>32</v>
      </c>
      <c r="F4673" s="76">
        <v>1.9</v>
      </c>
    </row>
    <row r="4674" s="76" customFormat="1" spans="1:6">
      <c r="A4674">
        <v>4822</v>
      </c>
      <c r="B4674">
        <v>332017211</v>
      </c>
      <c r="C4674" s="76">
        <v>2017</v>
      </c>
      <c r="D4674" s="76" t="s">
        <v>37</v>
      </c>
      <c r="E4674" s="76" t="s">
        <v>32</v>
      </c>
      <c r="F4674" s="76">
        <v>1.5</v>
      </c>
    </row>
    <row r="4675" s="76" customFormat="1" spans="1:6">
      <c r="A4675">
        <v>4810</v>
      </c>
      <c r="B4675">
        <v>332017211</v>
      </c>
      <c r="C4675" s="76">
        <v>2017</v>
      </c>
      <c r="D4675" s="76" t="s">
        <v>37</v>
      </c>
      <c r="E4675" s="76" t="s">
        <v>32</v>
      </c>
      <c r="F4675" s="76">
        <v>1.8</v>
      </c>
    </row>
    <row r="4676" s="76" customFormat="1" spans="1:6">
      <c r="A4676">
        <v>4808</v>
      </c>
      <c r="B4676">
        <v>332017211</v>
      </c>
      <c r="C4676" s="76">
        <v>2017</v>
      </c>
      <c r="D4676" s="76" t="s">
        <v>37</v>
      </c>
      <c r="E4676" s="76" t="s">
        <v>32</v>
      </c>
      <c r="F4676" s="76">
        <v>7</v>
      </c>
    </row>
    <row r="4677" s="76" customFormat="1" spans="1:6">
      <c r="A4677">
        <v>4809</v>
      </c>
      <c r="B4677">
        <v>332017211</v>
      </c>
      <c r="C4677" s="76">
        <v>2017</v>
      </c>
      <c r="D4677" s="76" t="s">
        <v>37</v>
      </c>
      <c r="E4677" s="76" t="s">
        <v>32</v>
      </c>
      <c r="F4677" s="76">
        <v>1.2</v>
      </c>
    </row>
    <row r="4678" s="76" customFormat="1" spans="1:6">
      <c r="A4678">
        <v>4827</v>
      </c>
      <c r="B4678">
        <v>332017211</v>
      </c>
      <c r="C4678" s="76">
        <v>2017</v>
      </c>
      <c r="D4678" s="76" t="s">
        <v>37</v>
      </c>
      <c r="E4678" s="76" t="s">
        <v>32</v>
      </c>
      <c r="F4678" s="76">
        <v>1.3</v>
      </c>
    </row>
    <row r="4679" s="76" customFormat="1" spans="1:6">
      <c r="A4679">
        <v>4812</v>
      </c>
      <c r="B4679">
        <v>332017211</v>
      </c>
      <c r="C4679" s="76">
        <v>2017</v>
      </c>
      <c r="D4679" s="76" t="s">
        <v>37</v>
      </c>
      <c r="E4679" s="76" t="s">
        <v>32</v>
      </c>
      <c r="F4679" s="76">
        <v>0.9</v>
      </c>
    </row>
    <row r="4680" s="76" customFormat="1" spans="1:6">
      <c r="A4680">
        <v>4828</v>
      </c>
      <c r="B4680">
        <v>332017211</v>
      </c>
      <c r="C4680" s="76">
        <v>2017</v>
      </c>
      <c r="D4680" s="76" t="s">
        <v>37</v>
      </c>
      <c r="E4680" s="76" t="s">
        <v>32</v>
      </c>
      <c r="F4680" s="76">
        <v>0.6</v>
      </c>
    </row>
    <row r="4681" s="76" customFormat="1" spans="1:6">
      <c r="A4681">
        <v>4821</v>
      </c>
      <c r="B4681">
        <v>332017211</v>
      </c>
      <c r="C4681" s="76">
        <v>2017</v>
      </c>
      <c r="D4681" s="76" t="s">
        <v>37</v>
      </c>
      <c r="E4681" s="76" t="s">
        <v>32</v>
      </c>
      <c r="F4681" s="76">
        <v>1.2</v>
      </c>
    </row>
    <row r="4682" s="76" customFormat="1" spans="1:6">
      <c r="A4682">
        <v>4811</v>
      </c>
      <c r="B4682">
        <v>332017211</v>
      </c>
      <c r="C4682" s="76">
        <v>2017</v>
      </c>
      <c r="D4682" s="76" t="s">
        <v>37</v>
      </c>
      <c r="E4682" s="76" t="s">
        <v>32</v>
      </c>
      <c r="F4682" s="76">
        <v>0.3</v>
      </c>
    </row>
    <row r="4683" s="76" customFormat="1" spans="1:6">
      <c r="A4683">
        <v>4813</v>
      </c>
      <c r="B4683">
        <v>332017211</v>
      </c>
      <c r="C4683" s="76">
        <v>2017</v>
      </c>
      <c r="D4683" s="76" t="s">
        <v>37</v>
      </c>
      <c r="E4683" s="76" t="s">
        <v>32</v>
      </c>
      <c r="F4683" s="76">
        <v>4.5</v>
      </c>
    </row>
    <row r="4684" s="76" customFormat="1" spans="1:6">
      <c r="A4684">
        <v>4826</v>
      </c>
      <c r="B4684">
        <v>332017211</v>
      </c>
      <c r="C4684" s="76">
        <v>2017</v>
      </c>
      <c r="D4684" s="76" t="s">
        <v>37</v>
      </c>
      <c r="E4684" s="76" t="s">
        <v>32</v>
      </c>
      <c r="F4684" s="76">
        <v>1.2</v>
      </c>
    </row>
    <row r="4685" s="76" customFormat="1" spans="1:6">
      <c r="A4685">
        <v>4818</v>
      </c>
      <c r="B4685">
        <v>332017211</v>
      </c>
      <c r="C4685" s="76">
        <v>2017</v>
      </c>
      <c r="D4685" s="76" t="s">
        <v>37</v>
      </c>
      <c r="E4685" s="76" t="s">
        <v>32</v>
      </c>
      <c r="F4685" s="76">
        <v>1.5</v>
      </c>
    </row>
    <row r="4686" s="76" customFormat="1" spans="1:6">
      <c r="A4686">
        <v>4806</v>
      </c>
      <c r="B4686">
        <v>332017211</v>
      </c>
      <c r="C4686" s="76">
        <v>2017</v>
      </c>
      <c r="D4686" s="76" t="s">
        <v>37</v>
      </c>
      <c r="E4686" s="76">
        <v>3</v>
      </c>
      <c r="F4686" s="76">
        <v>17.1</v>
      </c>
    </row>
    <row r="4687" s="76" customFormat="1" spans="1:6">
      <c r="A4687">
        <v>4824</v>
      </c>
      <c r="B4687">
        <v>332017211</v>
      </c>
      <c r="C4687" s="76">
        <v>2017</v>
      </c>
      <c r="D4687" s="76" t="s">
        <v>37</v>
      </c>
      <c r="E4687" s="76" t="s">
        <v>32</v>
      </c>
      <c r="F4687" s="76">
        <v>0.75</v>
      </c>
    </row>
    <row r="4688" s="76" customFormat="1" spans="1:6">
      <c r="A4688">
        <v>4829</v>
      </c>
      <c r="B4688">
        <v>332017221</v>
      </c>
      <c r="C4688" s="76">
        <v>2017</v>
      </c>
      <c r="D4688" s="76" t="s">
        <v>30</v>
      </c>
      <c r="E4688" s="76" t="s">
        <v>32</v>
      </c>
      <c r="F4688" s="76">
        <v>1.22</v>
      </c>
    </row>
    <row r="4689" s="76" customFormat="1" spans="1:6">
      <c r="A4689">
        <v>4830</v>
      </c>
      <c r="B4689">
        <v>332017221</v>
      </c>
      <c r="C4689" s="76">
        <v>2017</v>
      </c>
      <c r="D4689" s="76" t="s">
        <v>30</v>
      </c>
      <c r="E4689" s="76" t="s">
        <v>32</v>
      </c>
      <c r="F4689" s="76">
        <v>10.1</v>
      </c>
    </row>
    <row r="4690" s="76" customFormat="1" spans="1:6">
      <c r="A4690">
        <v>4831</v>
      </c>
      <c r="B4690">
        <v>332017221</v>
      </c>
      <c r="C4690" s="76">
        <v>2017</v>
      </c>
      <c r="D4690" s="76" t="s">
        <v>30</v>
      </c>
      <c r="E4690" s="76" t="s">
        <v>32</v>
      </c>
      <c r="F4690" s="76">
        <v>11.08</v>
      </c>
    </row>
    <row r="4691" s="76" customFormat="1" spans="1:6">
      <c r="A4691">
        <v>4832</v>
      </c>
      <c r="B4691">
        <v>332017241</v>
      </c>
      <c r="C4691" s="76">
        <v>2017</v>
      </c>
      <c r="D4691" s="76" t="s">
        <v>33</v>
      </c>
      <c r="E4691" s="76" t="s">
        <v>32</v>
      </c>
      <c r="F4691" s="76">
        <v>0.9</v>
      </c>
    </row>
    <row r="4692" s="76" customFormat="1" spans="1:6">
      <c r="A4692">
        <v>4833</v>
      </c>
      <c r="B4692">
        <v>332017241</v>
      </c>
      <c r="C4692" s="76">
        <v>2017</v>
      </c>
      <c r="D4692" s="76" t="s">
        <v>33</v>
      </c>
      <c r="E4692" s="76" t="s">
        <v>32</v>
      </c>
      <c r="F4692" s="76">
        <v>1.02</v>
      </c>
    </row>
    <row r="4693" s="76" customFormat="1" spans="1:6">
      <c r="A4693">
        <v>4838</v>
      </c>
      <c r="B4693">
        <v>332017242</v>
      </c>
      <c r="C4693" s="76">
        <v>2017</v>
      </c>
      <c r="D4693" s="76" t="s">
        <v>35</v>
      </c>
      <c r="E4693" s="76" t="s">
        <v>32</v>
      </c>
      <c r="F4693" s="76">
        <v>0.05</v>
      </c>
    </row>
    <row r="4694" s="76" customFormat="1" spans="1:6">
      <c r="A4694">
        <v>4835</v>
      </c>
      <c r="B4694">
        <v>332017242</v>
      </c>
      <c r="C4694" s="76">
        <v>2017</v>
      </c>
      <c r="D4694" s="76" t="s">
        <v>35</v>
      </c>
      <c r="E4694" s="76" t="s">
        <v>32</v>
      </c>
      <c r="F4694" s="76">
        <v>5</v>
      </c>
    </row>
    <row r="4695" s="76" customFormat="1" spans="1:6">
      <c r="A4695">
        <v>4836</v>
      </c>
      <c r="B4695">
        <v>332017242</v>
      </c>
      <c r="C4695" s="76">
        <v>2017</v>
      </c>
      <c r="D4695" s="76" t="s">
        <v>35</v>
      </c>
      <c r="E4695" s="76" t="s">
        <v>32</v>
      </c>
      <c r="F4695" s="76">
        <v>5</v>
      </c>
    </row>
    <row r="4696" s="76" customFormat="1" spans="1:6">
      <c r="A4696">
        <v>4842</v>
      </c>
      <c r="B4696">
        <v>332017242</v>
      </c>
      <c r="C4696" s="76">
        <v>2017</v>
      </c>
      <c r="D4696" s="76" t="s">
        <v>35</v>
      </c>
      <c r="E4696" s="76" t="s">
        <v>32</v>
      </c>
      <c r="F4696" s="76">
        <v>5</v>
      </c>
    </row>
    <row r="4697" s="76" customFormat="1" spans="1:6">
      <c r="A4697">
        <v>4840</v>
      </c>
      <c r="B4697">
        <v>332017242</v>
      </c>
      <c r="C4697" s="76">
        <v>2017</v>
      </c>
      <c r="D4697" s="76" t="s">
        <v>35</v>
      </c>
      <c r="E4697" s="76" t="s">
        <v>32</v>
      </c>
      <c r="F4697" s="76">
        <v>2.5</v>
      </c>
    </row>
    <row r="4698" s="76" customFormat="1" spans="1:6">
      <c r="A4698">
        <v>4841</v>
      </c>
      <c r="B4698">
        <v>332017242</v>
      </c>
      <c r="C4698" s="76">
        <v>2017</v>
      </c>
      <c r="D4698" s="76" t="s">
        <v>35</v>
      </c>
      <c r="E4698" s="76" t="s">
        <v>32</v>
      </c>
      <c r="F4698" s="76">
        <v>2.5</v>
      </c>
    </row>
    <row r="4699" s="76" customFormat="1" spans="1:6">
      <c r="A4699">
        <v>4839</v>
      </c>
      <c r="B4699">
        <v>332017242</v>
      </c>
      <c r="C4699" s="76">
        <v>2017</v>
      </c>
      <c r="D4699" s="76" t="s">
        <v>35</v>
      </c>
      <c r="E4699" s="76" t="s">
        <v>32</v>
      </c>
      <c r="F4699" s="76">
        <v>0.6</v>
      </c>
    </row>
    <row r="4700" s="76" customFormat="1" spans="1:6">
      <c r="A4700">
        <v>4837</v>
      </c>
      <c r="B4700">
        <v>332017242</v>
      </c>
      <c r="C4700" s="76">
        <v>2017</v>
      </c>
      <c r="D4700" s="76" t="s">
        <v>35</v>
      </c>
      <c r="E4700" s="76" t="s">
        <v>32</v>
      </c>
      <c r="F4700" s="76">
        <v>5</v>
      </c>
    </row>
    <row r="4701" s="76" customFormat="1" spans="1:6">
      <c r="A4701">
        <v>4843</v>
      </c>
      <c r="B4701">
        <v>332017243</v>
      </c>
      <c r="C4701" s="76">
        <v>2017</v>
      </c>
      <c r="D4701" s="76" t="s">
        <v>38</v>
      </c>
      <c r="E4701" s="76" t="s">
        <v>32</v>
      </c>
      <c r="F4701" s="76">
        <v>2.3</v>
      </c>
    </row>
    <row r="4702" s="76" customFormat="1" spans="1:6">
      <c r="A4702">
        <v>4844</v>
      </c>
      <c r="B4702">
        <v>332017243</v>
      </c>
      <c r="C4702" s="76">
        <v>2017</v>
      </c>
      <c r="D4702" s="76" t="s">
        <v>38</v>
      </c>
      <c r="E4702" s="76" t="s">
        <v>32</v>
      </c>
      <c r="F4702" s="76">
        <v>0.9</v>
      </c>
    </row>
    <row r="4703" s="76" customFormat="1" spans="1:6">
      <c r="A4703">
        <v>4849</v>
      </c>
      <c r="B4703">
        <v>332017260</v>
      </c>
      <c r="C4703" s="76">
        <v>2017</v>
      </c>
      <c r="D4703" s="76" t="s">
        <v>34</v>
      </c>
      <c r="E4703" s="76" t="s">
        <v>32</v>
      </c>
      <c r="F4703" s="76">
        <v>0.31</v>
      </c>
    </row>
    <row r="4704" s="76" customFormat="1" spans="1:6">
      <c r="A4704">
        <v>4846</v>
      </c>
      <c r="B4704">
        <v>332017260</v>
      </c>
      <c r="C4704" s="76">
        <v>2017</v>
      </c>
      <c r="D4704" s="76" t="s">
        <v>34</v>
      </c>
      <c r="E4704" s="76" t="s">
        <v>32</v>
      </c>
      <c r="F4704" s="76">
        <v>2.42</v>
      </c>
    </row>
    <row r="4705" s="76" customFormat="1" spans="1:6">
      <c r="A4705">
        <v>4847</v>
      </c>
      <c r="B4705">
        <v>332017260</v>
      </c>
      <c r="C4705" s="76">
        <v>2017</v>
      </c>
      <c r="D4705" s="76" t="s">
        <v>34</v>
      </c>
      <c r="E4705" s="76">
        <v>15</v>
      </c>
      <c r="F4705" s="76">
        <v>3</v>
      </c>
    </row>
    <row r="4706" s="76" customFormat="1" spans="1:6">
      <c r="A4706">
        <v>4848</v>
      </c>
      <c r="B4706">
        <v>332017260</v>
      </c>
      <c r="C4706" s="76">
        <v>2017</v>
      </c>
      <c r="D4706" s="76" t="s">
        <v>34</v>
      </c>
      <c r="E4706" s="76">
        <v>13</v>
      </c>
      <c r="F4706" s="76">
        <v>5.2</v>
      </c>
    </row>
    <row r="4707" s="76" customFormat="1" spans="1:6">
      <c r="A4707">
        <v>4850</v>
      </c>
      <c r="B4707">
        <v>332017260</v>
      </c>
      <c r="C4707" s="76">
        <v>2017</v>
      </c>
      <c r="D4707" s="76" t="s">
        <v>34</v>
      </c>
      <c r="E4707" s="76" t="s">
        <v>32</v>
      </c>
      <c r="F4707" s="76">
        <v>0.4</v>
      </c>
    </row>
    <row r="4708" s="76" customFormat="1" spans="1:6">
      <c r="A4708">
        <v>4845</v>
      </c>
      <c r="B4708">
        <v>332017260</v>
      </c>
      <c r="C4708" s="76">
        <v>2017</v>
      </c>
      <c r="D4708" s="76" t="s">
        <v>34</v>
      </c>
      <c r="E4708" s="76">
        <v>14</v>
      </c>
      <c r="F4708" s="76">
        <v>2.8</v>
      </c>
    </row>
    <row r="4709" s="76" customFormat="1" spans="1:6">
      <c r="A4709">
        <v>4851</v>
      </c>
      <c r="B4709">
        <v>332017260</v>
      </c>
      <c r="C4709" s="76">
        <v>2017</v>
      </c>
      <c r="D4709" s="76" t="s">
        <v>34</v>
      </c>
      <c r="E4709" s="76" t="s">
        <v>32</v>
      </c>
      <c r="F4709" s="76">
        <v>1.2</v>
      </c>
    </row>
    <row r="4710" s="76" customFormat="1" spans="1:6">
      <c r="A4710">
        <v>4874</v>
      </c>
      <c r="B4710">
        <v>332017270</v>
      </c>
      <c r="C4710" s="76">
        <v>2017</v>
      </c>
      <c r="D4710" s="76" t="s">
        <v>31</v>
      </c>
      <c r="E4710" s="76" t="s">
        <v>32</v>
      </c>
      <c r="F4710" s="76">
        <v>0.3</v>
      </c>
    </row>
    <row r="4711" s="76" customFormat="1" spans="1:6">
      <c r="A4711">
        <v>4876</v>
      </c>
      <c r="B4711">
        <v>332017270</v>
      </c>
      <c r="C4711" s="76">
        <v>2017</v>
      </c>
      <c r="D4711" s="76" t="s">
        <v>31</v>
      </c>
      <c r="E4711" s="76" t="s">
        <v>32</v>
      </c>
      <c r="F4711" s="76">
        <v>5</v>
      </c>
    </row>
    <row r="4712" s="76" customFormat="1" spans="1:6">
      <c r="A4712">
        <v>4925</v>
      </c>
      <c r="B4712">
        <v>332017270</v>
      </c>
      <c r="C4712" s="76">
        <v>2017</v>
      </c>
      <c r="D4712" s="76" t="s">
        <v>31</v>
      </c>
      <c r="E4712" s="76" t="s">
        <v>32</v>
      </c>
      <c r="F4712" s="76">
        <v>5</v>
      </c>
    </row>
    <row r="4713" s="76" customFormat="1" spans="1:6">
      <c r="A4713">
        <v>4872</v>
      </c>
      <c r="B4713">
        <v>332017270</v>
      </c>
      <c r="C4713" s="76">
        <v>2017</v>
      </c>
      <c r="D4713" s="76" t="s">
        <v>31</v>
      </c>
      <c r="E4713" s="76" t="s">
        <v>32</v>
      </c>
      <c r="F4713" s="76">
        <v>10</v>
      </c>
    </row>
    <row r="4714" s="76" customFormat="1" spans="1:6">
      <c r="A4714">
        <v>4924</v>
      </c>
      <c r="B4714">
        <v>332017270</v>
      </c>
      <c r="C4714" s="76">
        <v>2017</v>
      </c>
      <c r="D4714" s="76" t="s">
        <v>31</v>
      </c>
      <c r="E4714" s="76" t="s">
        <v>32</v>
      </c>
      <c r="F4714" s="76">
        <v>10</v>
      </c>
    </row>
    <row r="4715" s="76" customFormat="1" spans="1:6">
      <c r="A4715">
        <v>4865</v>
      </c>
      <c r="B4715">
        <v>332017270</v>
      </c>
      <c r="C4715" s="76">
        <v>2017</v>
      </c>
      <c r="D4715" s="76" t="s">
        <v>31</v>
      </c>
      <c r="E4715" s="76" t="s">
        <v>32</v>
      </c>
      <c r="F4715" s="76">
        <v>12</v>
      </c>
    </row>
    <row r="4716" s="76" customFormat="1" spans="1:6">
      <c r="A4716">
        <v>4916</v>
      </c>
      <c r="B4716">
        <v>332017270</v>
      </c>
      <c r="C4716" s="76">
        <v>2017</v>
      </c>
      <c r="D4716" s="76" t="s">
        <v>31</v>
      </c>
      <c r="E4716" s="76" t="s">
        <v>32</v>
      </c>
      <c r="F4716" s="76">
        <v>1.97</v>
      </c>
    </row>
    <row r="4717" s="76" customFormat="1" spans="1:6">
      <c r="A4717">
        <v>4929</v>
      </c>
      <c r="B4717">
        <v>332017270</v>
      </c>
      <c r="C4717" s="76">
        <v>2017</v>
      </c>
      <c r="D4717" s="76" t="s">
        <v>31</v>
      </c>
      <c r="E4717" s="76" t="s">
        <v>32</v>
      </c>
      <c r="F4717" s="76">
        <v>17.95</v>
      </c>
    </row>
    <row r="4718" s="76" customFormat="1" spans="1:6">
      <c r="A4718">
        <v>4915</v>
      </c>
      <c r="B4718">
        <v>332017270</v>
      </c>
      <c r="C4718" s="76">
        <v>2017</v>
      </c>
      <c r="D4718" s="76" t="s">
        <v>31</v>
      </c>
      <c r="E4718" s="76" t="s">
        <v>32</v>
      </c>
      <c r="F4718" s="76">
        <v>0.19</v>
      </c>
    </row>
    <row r="4719" s="76" customFormat="1" spans="1:6">
      <c r="A4719">
        <v>4909</v>
      </c>
      <c r="B4719">
        <v>332017270</v>
      </c>
      <c r="C4719" s="76">
        <v>2017</v>
      </c>
      <c r="D4719" s="76" t="s">
        <v>31</v>
      </c>
      <c r="E4719" s="76" t="s">
        <v>32</v>
      </c>
      <c r="F4719" s="76">
        <v>12</v>
      </c>
    </row>
    <row r="4720" s="76" customFormat="1" spans="1:6">
      <c r="A4720">
        <v>4880</v>
      </c>
      <c r="B4720">
        <v>332017270</v>
      </c>
      <c r="C4720" s="76">
        <v>2017</v>
      </c>
      <c r="D4720" s="76" t="s">
        <v>31</v>
      </c>
      <c r="E4720" s="76" t="s">
        <v>32</v>
      </c>
      <c r="F4720" s="76">
        <v>0.23</v>
      </c>
    </row>
    <row r="4721" s="76" customFormat="1" spans="1:6">
      <c r="A4721">
        <v>4882</v>
      </c>
      <c r="B4721">
        <v>332017270</v>
      </c>
      <c r="C4721" s="76">
        <v>2017</v>
      </c>
      <c r="D4721" s="76" t="s">
        <v>31</v>
      </c>
      <c r="E4721" s="76" t="s">
        <v>32</v>
      </c>
      <c r="F4721" s="76">
        <v>0.23</v>
      </c>
    </row>
    <row r="4722" s="76" customFormat="1" spans="1:6">
      <c r="A4722">
        <v>4883</v>
      </c>
      <c r="B4722">
        <v>332017270</v>
      </c>
      <c r="C4722" s="76">
        <v>2017</v>
      </c>
      <c r="D4722" s="76" t="s">
        <v>31</v>
      </c>
      <c r="E4722" s="76" t="s">
        <v>32</v>
      </c>
      <c r="F4722" s="76">
        <v>0.01</v>
      </c>
    </row>
    <row r="4723" s="76" customFormat="1" spans="1:6">
      <c r="A4723">
        <v>4913</v>
      </c>
      <c r="B4723">
        <v>332017270</v>
      </c>
      <c r="C4723" s="76">
        <v>2017</v>
      </c>
      <c r="D4723" s="76" t="s">
        <v>31</v>
      </c>
      <c r="E4723" s="76" t="s">
        <v>32</v>
      </c>
      <c r="F4723" s="76">
        <v>0.4</v>
      </c>
    </row>
    <row r="4724" s="76" customFormat="1" spans="1:6">
      <c r="A4724">
        <v>4949</v>
      </c>
      <c r="B4724">
        <v>332017270</v>
      </c>
      <c r="C4724" s="76">
        <v>2017</v>
      </c>
      <c r="D4724" s="76" t="s">
        <v>31</v>
      </c>
      <c r="E4724" s="76" t="s">
        <v>32</v>
      </c>
      <c r="F4724" s="76">
        <v>1.58</v>
      </c>
    </row>
    <row r="4725" s="76" customFormat="1" spans="1:6">
      <c r="A4725">
        <v>4941</v>
      </c>
      <c r="B4725">
        <v>332017270</v>
      </c>
      <c r="C4725" s="76">
        <v>2017</v>
      </c>
      <c r="D4725" s="76" t="s">
        <v>31</v>
      </c>
      <c r="E4725" s="76" t="s">
        <v>32</v>
      </c>
      <c r="F4725" s="76">
        <v>10</v>
      </c>
    </row>
    <row r="4726" s="76" customFormat="1" spans="1:6">
      <c r="A4726">
        <v>4933</v>
      </c>
      <c r="B4726">
        <v>332017270</v>
      </c>
      <c r="C4726" s="76">
        <v>2017</v>
      </c>
      <c r="D4726" s="76" t="s">
        <v>31</v>
      </c>
      <c r="E4726" s="76" t="s">
        <v>32</v>
      </c>
      <c r="F4726" s="76">
        <v>0.9</v>
      </c>
    </row>
    <row r="4727" s="76" customFormat="1" spans="1:6">
      <c r="A4727">
        <v>4875</v>
      </c>
      <c r="B4727">
        <v>332017270</v>
      </c>
      <c r="C4727" s="76">
        <v>2017</v>
      </c>
      <c r="D4727" s="76" t="s">
        <v>31</v>
      </c>
      <c r="E4727" s="76" t="s">
        <v>32</v>
      </c>
      <c r="F4727" s="76">
        <v>0.07</v>
      </c>
    </row>
    <row r="4728" s="76" customFormat="1" spans="1:6">
      <c r="A4728">
        <v>4898</v>
      </c>
      <c r="B4728">
        <v>332017270</v>
      </c>
      <c r="C4728" s="76">
        <v>2017</v>
      </c>
      <c r="D4728" s="76" t="s">
        <v>31</v>
      </c>
      <c r="E4728" s="76">
        <v>1</v>
      </c>
      <c r="F4728" s="76">
        <v>0.34</v>
      </c>
    </row>
    <row r="4729" s="76" customFormat="1" spans="1:6">
      <c r="A4729">
        <v>4873</v>
      </c>
      <c r="B4729">
        <v>332017270</v>
      </c>
      <c r="C4729" s="76">
        <v>2017</v>
      </c>
      <c r="D4729" s="76" t="s">
        <v>31</v>
      </c>
      <c r="E4729" s="76" t="s">
        <v>32</v>
      </c>
      <c r="F4729" s="76">
        <v>0.42</v>
      </c>
    </row>
    <row r="4730" s="76" customFormat="1" spans="1:6">
      <c r="A4730">
        <v>4945</v>
      </c>
      <c r="B4730">
        <v>332017270</v>
      </c>
      <c r="C4730" s="76">
        <v>2017</v>
      </c>
      <c r="D4730" s="76" t="s">
        <v>31</v>
      </c>
      <c r="E4730" s="76" t="s">
        <v>32</v>
      </c>
      <c r="F4730" s="76">
        <v>4.86</v>
      </c>
    </row>
    <row r="4731" s="76" customFormat="1" spans="1:6">
      <c r="A4731">
        <v>4944</v>
      </c>
      <c r="B4731">
        <v>332017270</v>
      </c>
      <c r="C4731" s="76">
        <v>2017</v>
      </c>
      <c r="D4731" s="76" t="s">
        <v>31</v>
      </c>
      <c r="E4731" s="76" t="s">
        <v>32</v>
      </c>
      <c r="F4731" s="76">
        <v>2</v>
      </c>
    </row>
    <row r="4732" s="76" customFormat="1" spans="1:6">
      <c r="A4732">
        <v>4943</v>
      </c>
      <c r="B4732">
        <v>332017270</v>
      </c>
      <c r="C4732" s="76">
        <v>2017</v>
      </c>
      <c r="D4732" s="76" t="s">
        <v>31</v>
      </c>
      <c r="E4732" s="76" t="s">
        <v>32</v>
      </c>
      <c r="F4732" s="76">
        <v>2</v>
      </c>
    </row>
    <row r="4733" s="76" customFormat="1" spans="1:6">
      <c r="A4733">
        <v>4864</v>
      </c>
      <c r="B4733">
        <v>332017270</v>
      </c>
      <c r="C4733" s="76">
        <v>2017</v>
      </c>
      <c r="D4733" s="76" t="s">
        <v>31</v>
      </c>
      <c r="E4733" s="76" t="s">
        <v>32</v>
      </c>
      <c r="F4733" s="76">
        <v>6</v>
      </c>
    </row>
    <row r="4734" s="76" customFormat="1" spans="1:6">
      <c r="A4734">
        <v>4866</v>
      </c>
      <c r="B4734">
        <v>332017270</v>
      </c>
      <c r="C4734" s="76">
        <v>2017</v>
      </c>
      <c r="D4734" s="76" t="s">
        <v>31</v>
      </c>
      <c r="E4734" s="76" t="s">
        <v>32</v>
      </c>
      <c r="F4734" s="76">
        <v>2</v>
      </c>
    </row>
    <row r="4735" s="76" customFormat="1" spans="1:6">
      <c r="A4735">
        <v>4927</v>
      </c>
      <c r="B4735">
        <v>332017270</v>
      </c>
      <c r="C4735" s="76">
        <v>2017</v>
      </c>
      <c r="D4735" s="76" t="s">
        <v>31</v>
      </c>
      <c r="E4735" s="76" t="s">
        <v>32</v>
      </c>
      <c r="F4735" s="76">
        <v>8</v>
      </c>
    </row>
    <row r="4736" s="76" customFormat="1" spans="1:6">
      <c r="A4736">
        <v>4926</v>
      </c>
      <c r="B4736">
        <v>332017270</v>
      </c>
      <c r="C4736" s="76">
        <v>2017</v>
      </c>
      <c r="D4736" s="76" t="s">
        <v>31</v>
      </c>
      <c r="E4736" s="76" t="s">
        <v>32</v>
      </c>
      <c r="F4736" s="76">
        <v>3.5</v>
      </c>
    </row>
    <row r="4737" s="76" customFormat="1" spans="1:6">
      <c r="A4737">
        <v>4921</v>
      </c>
      <c r="B4737">
        <v>332017270</v>
      </c>
      <c r="C4737" s="76">
        <v>2017</v>
      </c>
      <c r="D4737" s="76" t="s">
        <v>31</v>
      </c>
      <c r="E4737" s="76" t="s">
        <v>32</v>
      </c>
      <c r="F4737" s="76">
        <v>7</v>
      </c>
    </row>
    <row r="4738" s="76" customFormat="1" spans="1:6">
      <c r="A4738">
        <v>4867</v>
      </c>
      <c r="B4738">
        <v>332017270</v>
      </c>
      <c r="C4738" s="76">
        <v>2017</v>
      </c>
      <c r="D4738" s="76" t="s">
        <v>31</v>
      </c>
      <c r="E4738" s="76" t="s">
        <v>32</v>
      </c>
      <c r="F4738" s="76">
        <v>7</v>
      </c>
    </row>
    <row r="4739" s="76" customFormat="1" spans="1:6">
      <c r="A4739">
        <v>4870</v>
      </c>
      <c r="B4739">
        <v>332017270</v>
      </c>
      <c r="C4739" s="76">
        <v>2017</v>
      </c>
      <c r="D4739" s="76" t="s">
        <v>31</v>
      </c>
      <c r="E4739" s="76" t="s">
        <v>32</v>
      </c>
      <c r="F4739" s="76">
        <v>2</v>
      </c>
    </row>
    <row r="4740" s="76" customFormat="1" spans="1:6">
      <c r="A4740">
        <v>4922</v>
      </c>
      <c r="B4740">
        <v>332017270</v>
      </c>
      <c r="C4740" s="76">
        <v>2017</v>
      </c>
      <c r="D4740" s="76" t="s">
        <v>31</v>
      </c>
      <c r="E4740" s="76" t="s">
        <v>32</v>
      </c>
      <c r="F4740" s="76">
        <v>5</v>
      </c>
    </row>
    <row r="4741" s="76" customFormat="1" spans="1:6">
      <c r="A4741">
        <v>4869</v>
      </c>
      <c r="B4741">
        <v>332017270</v>
      </c>
      <c r="C4741" s="76">
        <v>2017</v>
      </c>
      <c r="D4741" s="76" t="s">
        <v>31</v>
      </c>
      <c r="E4741" s="76" t="s">
        <v>32</v>
      </c>
      <c r="F4741" s="76">
        <v>5</v>
      </c>
    </row>
    <row r="4742" s="76" customFormat="1" spans="1:6">
      <c r="A4742">
        <v>4855</v>
      </c>
      <c r="B4742">
        <v>332017270</v>
      </c>
      <c r="C4742" s="76">
        <v>2017</v>
      </c>
      <c r="D4742" s="76" t="s">
        <v>31</v>
      </c>
      <c r="E4742" s="76" t="s">
        <v>32</v>
      </c>
      <c r="F4742" s="76">
        <v>3</v>
      </c>
    </row>
    <row r="4743" s="76" customFormat="1" spans="1:6">
      <c r="A4743">
        <v>4934</v>
      </c>
      <c r="B4743">
        <v>332017270</v>
      </c>
      <c r="C4743" s="76">
        <v>2017</v>
      </c>
      <c r="D4743" s="76" t="s">
        <v>31</v>
      </c>
      <c r="E4743" s="76" t="s">
        <v>32</v>
      </c>
      <c r="F4743" s="76">
        <v>1.96</v>
      </c>
    </row>
    <row r="4744" s="76" customFormat="1" spans="1:6">
      <c r="A4744">
        <v>4942</v>
      </c>
      <c r="B4744">
        <v>332017270</v>
      </c>
      <c r="C4744" s="76">
        <v>2017</v>
      </c>
      <c r="D4744" s="76" t="s">
        <v>31</v>
      </c>
      <c r="E4744" s="76" t="s">
        <v>32</v>
      </c>
      <c r="F4744" s="76">
        <v>2</v>
      </c>
    </row>
    <row r="4745" s="76" customFormat="1" spans="1:6">
      <c r="A4745">
        <v>4910</v>
      </c>
      <c r="B4745">
        <v>332017270</v>
      </c>
      <c r="C4745" s="76">
        <v>2017</v>
      </c>
      <c r="D4745" s="76" t="s">
        <v>31</v>
      </c>
      <c r="E4745" s="76">
        <v>1</v>
      </c>
      <c r="F4745" s="76">
        <v>1.08</v>
      </c>
    </row>
    <row r="4746" s="76" customFormat="1" spans="1:6">
      <c r="A4746">
        <v>4877</v>
      </c>
      <c r="B4746">
        <v>332017270</v>
      </c>
      <c r="C4746" s="76">
        <v>2017</v>
      </c>
      <c r="D4746" s="76" t="s">
        <v>31</v>
      </c>
      <c r="E4746" s="76" t="s">
        <v>32</v>
      </c>
      <c r="F4746" s="76">
        <v>0.8</v>
      </c>
    </row>
    <row r="4747" s="76" customFormat="1" spans="1:6">
      <c r="A4747">
        <v>4919</v>
      </c>
      <c r="B4747">
        <v>332017270</v>
      </c>
      <c r="C4747" s="76">
        <v>2017</v>
      </c>
      <c r="D4747" s="76" t="s">
        <v>31</v>
      </c>
      <c r="E4747" s="76" t="s">
        <v>32</v>
      </c>
      <c r="F4747" s="76">
        <v>4</v>
      </c>
    </row>
    <row r="4748" s="76" customFormat="1" spans="1:6">
      <c r="A4748">
        <v>4853</v>
      </c>
      <c r="B4748">
        <v>332017270</v>
      </c>
      <c r="C4748" s="76">
        <v>2017</v>
      </c>
      <c r="D4748" s="76" t="s">
        <v>31</v>
      </c>
      <c r="E4748" s="76" t="s">
        <v>32</v>
      </c>
      <c r="F4748" s="76">
        <v>2.54</v>
      </c>
    </row>
    <row r="4749" s="76" customFormat="1" spans="1:6">
      <c r="A4749">
        <v>4936</v>
      </c>
      <c r="B4749">
        <v>332017270</v>
      </c>
      <c r="C4749" s="76">
        <v>2017</v>
      </c>
      <c r="D4749" s="76" t="s">
        <v>31</v>
      </c>
      <c r="E4749" s="76" t="s">
        <v>32</v>
      </c>
      <c r="F4749" s="76">
        <v>3</v>
      </c>
    </row>
    <row r="4750" s="76" customFormat="1" spans="1:6">
      <c r="A4750">
        <v>4950</v>
      </c>
      <c r="B4750">
        <v>332017270</v>
      </c>
      <c r="C4750" s="76">
        <v>2017</v>
      </c>
      <c r="D4750" s="76" t="s">
        <v>31</v>
      </c>
      <c r="E4750" s="76" t="s">
        <v>32</v>
      </c>
      <c r="F4750" s="76">
        <v>3</v>
      </c>
    </row>
    <row r="4751" s="76" customFormat="1" spans="1:6">
      <c r="A4751">
        <v>4935</v>
      </c>
      <c r="B4751">
        <v>332017270</v>
      </c>
      <c r="C4751" s="76">
        <v>2017</v>
      </c>
      <c r="D4751" s="76" t="s">
        <v>31</v>
      </c>
      <c r="E4751" s="76" t="s">
        <v>32</v>
      </c>
      <c r="F4751" s="76">
        <v>1.56</v>
      </c>
    </row>
    <row r="4752" s="76" customFormat="1" spans="1:6">
      <c r="A4752">
        <v>4948</v>
      </c>
      <c r="B4752">
        <v>332017270</v>
      </c>
      <c r="C4752" s="76">
        <v>2017</v>
      </c>
      <c r="D4752" s="76" t="s">
        <v>31</v>
      </c>
      <c r="E4752" s="76" t="s">
        <v>32</v>
      </c>
      <c r="F4752" s="76">
        <v>11</v>
      </c>
    </row>
    <row r="4753" s="76" customFormat="1" spans="1:6">
      <c r="A4753">
        <v>4923</v>
      </c>
      <c r="B4753">
        <v>332017270</v>
      </c>
      <c r="C4753" s="76">
        <v>2017</v>
      </c>
      <c r="D4753" s="76" t="s">
        <v>31</v>
      </c>
      <c r="E4753" s="76" t="s">
        <v>32</v>
      </c>
      <c r="F4753" s="76">
        <v>9.9</v>
      </c>
    </row>
    <row r="4754" s="76" customFormat="1" spans="1:6">
      <c r="A4754">
        <v>4859</v>
      </c>
      <c r="B4754">
        <v>332017270</v>
      </c>
      <c r="C4754" s="76">
        <v>2017</v>
      </c>
      <c r="D4754" s="76" t="s">
        <v>31</v>
      </c>
      <c r="E4754" s="76" t="s">
        <v>32</v>
      </c>
      <c r="F4754" s="76">
        <v>1.04</v>
      </c>
    </row>
    <row r="4755" s="76" customFormat="1" spans="1:6">
      <c r="A4755">
        <v>4911</v>
      </c>
      <c r="B4755">
        <v>332017270</v>
      </c>
      <c r="C4755" s="76">
        <v>2017</v>
      </c>
      <c r="D4755" s="76" t="s">
        <v>31</v>
      </c>
      <c r="E4755" s="76" t="s">
        <v>32</v>
      </c>
      <c r="F4755" s="76">
        <v>1</v>
      </c>
    </row>
    <row r="4756" s="76" customFormat="1" spans="1:6">
      <c r="A4756">
        <v>4871</v>
      </c>
      <c r="B4756">
        <v>332017270</v>
      </c>
      <c r="C4756" s="76">
        <v>2017</v>
      </c>
      <c r="D4756" s="76" t="s">
        <v>31</v>
      </c>
      <c r="E4756" s="76" t="s">
        <v>32</v>
      </c>
      <c r="F4756" s="76">
        <v>2</v>
      </c>
    </row>
    <row r="4757" s="76" customFormat="1" spans="1:6">
      <c r="A4757">
        <v>4931</v>
      </c>
      <c r="B4757">
        <v>332017270</v>
      </c>
      <c r="C4757" s="76">
        <v>2017</v>
      </c>
      <c r="D4757" s="76" t="s">
        <v>31</v>
      </c>
      <c r="E4757" s="76" t="s">
        <v>32</v>
      </c>
      <c r="F4757" s="76">
        <v>2.5</v>
      </c>
    </row>
    <row r="4758" s="76" customFormat="1" spans="1:6">
      <c r="A4758">
        <v>4862</v>
      </c>
      <c r="B4758">
        <v>332017270</v>
      </c>
      <c r="C4758" s="76">
        <v>2017</v>
      </c>
      <c r="D4758" s="76" t="s">
        <v>31</v>
      </c>
      <c r="E4758" s="76" t="s">
        <v>32</v>
      </c>
      <c r="F4758" s="76">
        <v>1.25</v>
      </c>
    </row>
    <row r="4759" s="76" customFormat="1" spans="1:6">
      <c r="A4759">
        <v>4863</v>
      </c>
      <c r="B4759">
        <v>332017270</v>
      </c>
      <c r="C4759" s="76">
        <v>2017</v>
      </c>
      <c r="D4759" s="76" t="s">
        <v>31</v>
      </c>
      <c r="E4759" s="76" t="s">
        <v>32</v>
      </c>
      <c r="F4759" s="76">
        <v>0.11</v>
      </c>
    </row>
    <row r="4760" s="76" customFormat="1" spans="1:6">
      <c r="A4760">
        <v>4937</v>
      </c>
      <c r="B4760">
        <v>332017270</v>
      </c>
      <c r="C4760" s="76">
        <v>2017</v>
      </c>
      <c r="D4760" s="76" t="s">
        <v>31</v>
      </c>
      <c r="E4760" s="76" t="s">
        <v>32</v>
      </c>
      <c r="F4760" s="76">
        <v>3</v>
      </c>
    </row>
    <row r="4761" s="76" customFormat="1" spans="1:6">
      <c r="A4761">
        <v>4860</v>
      </c>
      <c r="B4761">
        <v>332017270</v>
      </c>
      <c r="C4761" s="76">
        <v>2017</v>
      </c>
      <c r="D4761" s="76" t="s">
        <v>31</v>
      </c>
      <c r="E4761" s="76" t="s">
        <v>32</v>
      </c>
      <c r="F4761" s="76">
        <v>0.7</v>
      </c>
    </row>
    <row r="4762" s="76" customFormat="1" spans="1:6">
      <c r="A4762">
        <v>4861</v>
      </c>
      <c r="B4762">
        <v>332017270</v>
      </c>
      <c r="C4762" s="76">
        <v>2017</v>
      </c>
      <c r="D4762" s="76" t="s">
        <v>31</v>
      </c>
      <c r="E4762" s="76" t="s">
        <v>32</v>
      </c>
      <c r="F4762" s="76">
        <v>8.4</v>
      </c>
    </row>
    <row r="4763" s="76" customFormat="1" spans="1:6">
      <c r="A4763">
        <v>4856</v>
      </c>
      <c r="B4763">
        <v>332017270</v>
      </c>
      <c r="C4763" s="76">
        <v>2017</v>
      </c>
      <c r="D4763" s="76" t="s">
        <v>31</v>
      </c>
      <c r="E4763" s="76" t="s">
        <v>32</v>
      </c>
      <c r="F4763" s="76">
        <v>0.42</v>
      </c>
    </row>
    <row r="4764" s="76" customFormat="1" spans="1:6">
      <c r="A4764">
        <v>4939</v>
      </c>
      <c r="B4764">
        <v>332017270</v>
      </c>
      <c r="C4764" s="76">
        <v>2017</v>
      </c>
      <c r="D4764" s="76" t="s">
        <v>31</v>
      </c>
      <c r="E4764" s="76" t="s">
        <v>32</v>
      </c>
      <c r="F4764" s="76">
        <v>3</v>
      </c>
    </row>
    <row r="4765" s="76" customFormat="1" spans="1:6">
      <c r="A4765">
        <v>4892</v>
      </c>
      <c r="B4765">
        <v>332017270</v>
      </c>
      <c r="C4765" s="76">
        <v>2017</v>
      </c>
      <c r="D4765" s="76" t="s">
        <v>31</v>
      </c>
      <c r="E4765" s="76">
        <v>1</v>
      </c>
      <c r="F4765" s="76">
        <v>0.25</v>
      </c>
    </row>
    <row r="4766" s="76" customFormat="1" spans="1:6">
      <c r="A4766">
        <v>4897</v>
      </c>
      <c r="B4766">
        <v>332017270</v>
      </c>
      <c r="C4766" s="76">
        <v>2017</v>
      </c>
      <c r="D4766" s="76" t="s">
        <v>31</v>
      </c>
      <c r="E4766" s="76">
        <v>1</v>
      </c>
      <c r="F4766" s="76">
        <v>0.26</v>
      </c>
    </row>
    <row r="4767" s="76" customFormat="1" spans="1:6">
      <c r="A4767">
        <v>4914</v>
      </c>
      <c r="B4767">
        <v>332017270</v>
      </c>
      <c r="C4767" s="76">
        <v>2017</v>
      </c>
      <c r="D4767" s="76" t="s">
        <v>31</v>
      </c>
      <c r="E4767" s="76">
        <v>1</v>
      </c>
      <c r="F4767" s="76">
        <v>1.76</v>
      </c>
    </row>
    <row r="4768" s="76" customFormat="1" spans="1:6">
      <c r="A4768">
        <v>4893</v>
      </c>
      <c r="B4768">
        <v>332017270</v>
      </c>
      <c r="C4768" s="76">
        <v>2017</v>
      </c>
      <c r="D4768" s="76" t="s">
        <v>31</v>
      </c>
      <c r="E4768" s="76">
        <v>1</v>
      </c>
      <c r="F4768" s="76">
        <v>3.08</v>
      </c>
    </row>
    <row r="4769" s="76" customFormat="1" spans="1:6">
      <c r="A4769">
        <v>4901</v>
      </c>
      <c r="B4769">
        <v>332017270</v>
      </c>
      <c r="C4769" s="76">
        <v>2017</v>
      </c>
      <c r="D4769" s="76" t="s">
        <v>31</v>
      </c>
      <c r="E4769" s="76">
        <v>1</v>
      </c>
      <c r="F4769" s="76">
        <v>1.6</v>
      </c>
    </row>
    <row r="4770" s="76" customFormat="1" spans="1:6">
      <c r="A4770">
        <v>4885</v>
      </c>
      <c r="B4770">
        <v>332017270</v>
      </c>
      <c r="C4770" s="76">
        <v>2017</v>
      </c>
      <c r="D4770" s="76" t="s">
        <v>31</v>
      </c>
      <c r="E4770" s="76" t="s">
        <v>32</v>
      </c>
      <c r="F4770" s="76">
        <v>0.06</v>
      </c>
    </row>
    <row r="4771" s="76" customFormat="1" spans="1:6">
      <c r="A4771">
        <v>4886</v>
      </c>
      <c r="B4771">
        <v>332017270</v>
      </c>
      <c r="C4771" s="76">
        <v>2017</v>
      </c>
      <c r="D4771" s="76" t="s">
        <v>31</v>
      </c>
      <c r="E4771" s="76">
        <v>1</v>
      </c>
      <c r="F4771" s="76">
        <v>0.58</v>
      </c>
    </row>
    <row r="4772" s="76" customFormat="1" spans="1:6">
      <c r="A4772">
        <v>4895</v>
      </c>
      <c r="B4772">
        <v>332017270</v>
      </c>
      <c r="C4772" s="76">
        <v>2017</v>
      </c>
      <c r="D4772" s="76" t="s">
        <v>31</v>
      </c>
      <c r="E4772" s="76">
        <v>1</v>
      </c>
      <c r="F4772" s="76">
        <v>0.48</v>
      </c>
    </row>
    <row r="4773" s="76" customFormat="1" spans="1:6">
      <c r="A4773">
        <v>4890</v>
      </c>
      <c r="B4773">
        <v>332017270</v>
      </c>
      <c r="C4773" s="76">
        <v>2017</v>
      </c>
      <c r="D4773" s="76" t="s">
        <v>31</v>
      </c>
      <c r="E4773" s="76">
        <v>1</v>
      </c>
      <c r="F4773" s="76">
        <v>0.09</v>
      </c>
    </row>
    <row r="4774" s="76" customFormat="1" spans="1:6">
      <c r="A4774">
        <v>4902</v>
      </c>
      <c r="B4774">
        <v>332017270</v>
      </c>
      <c r="C4774" s="76">
        <v>2017</v>
      </c>
      <c r="D4774" s="76" t="s">
        <v>31</v>
      </c>
      <c r="E4774" s="76">
        <v>1</v>
      </c>
      <c r="F4774" s="76">
        <v>0.66</v>
      </c>
    </row>
    <row r="4775" s="76" customFormat="1" spans="1:6">
      <c r="A4775">
        <v>4891</v>
      </c>
      <c r="B4775">
        <v>332017270</v>
      </c>
      <c r="C4775" s="76">
        <v>2017</v>
      </c>
      <c r="D4775" s="76" t="s">
        <v>31</v>
      </c>
      <c r="E4775" s="76">
        <v>1</v>
      </c>
      <c r="F4775" s="76">
        <v>0.99</v>
      </c>
    </row>
    <row r="4776" s="76" customFormat="1" spans="1:6">
      <c r="A4776">
        <v>4868</v>
      </c>
      <c r="B4776">
        <v>332017270</v>
      </c>
      <c r="C4776" s="76">
        <v>2017</v>
      </c>
      <c r="D4776" s="76" t="s">
        <v>31</v>
      </c>
      <c r="E4776" s="76" t="s">
        <v>32</v>
      </c>
      <c r="F4776" s="76">
        <v>1.5</v>
      </c>
    </row>
    <row r="4777" s="76" customFormat="1" spans="1:6">
      <c r="A4777">
        <v>4907</v>
      </c>
      <c r="B4777">
        <v>332017270</v>
      </c>
      <c r="C4777" s="76">
        <v>2017</v>
      </c>
      <c r="D4777" s="76" t="s">
        <v>31</v>
      </c>
      <c r="E4777" s="76">
        <v>1</v>
      </c>
      <c r="F4777" s="76">
        <v>4</v>
      </c>
    </row>
    <row r="4778" s="76" customFormat="1" spans="1:6">
      <c r="A4778">
        <v>4903</v>
      </c>
      <c r="B4778">
        <v>332017270</v>
      </c>
      <c r="C4778" s="76">
        <v>2017</v>
      </c>
      <c r="D4778" s="76" t="s">
        <v>31</v>
      </c>
      <c r="E4778" s="76">
        <v>1</v>
      </c>
      <c r="F4778" s="76">
        <v>0.72</v>
      </c>
    </row>
    <row r="4779" s="76" customFormat="1" spans="1:6">
      <c r="A4779">
        <v>4947</v>
      </c>
      <c r="B4779">
        <v>332017270</v>
      </c>
      <c r="C4779" s="76">
        <v>2017</v>
      </c>
      <c r="D4779" s="76" t="s">
        <v>31</v>
      </c>
      <c r="E4779" s="76" t="s">
        <v>32</v>
      </c>
      <c r="F4779" s="76">
        <v>0.6</v>
      </c>
    </row>
    <row r="4780" s="76" customFormat="1" spans="1:6">
      <c r="A4780">
        <v>4908</v>
      </c>
      <c r="B4780">
        <v>332017270</v>
      </c>
      <c r="C4780" s="76">
        <v>2017</v>
      </c>
      <c r="D4780" s="76" t="s">
        <v>31</v>
      </c>
      <c r="E4780" s="76">
        <v>1</v>
      </c>
      <c r="F4780" s="76">
        <v>4</v>
      </c>
    </row>
    <row r="4781" s="76" customFormat="1" spans="1:6">
      <c r="A4781">
        <v>4900</v>
      </c>
      <c r="B4781">
        <v>332017270</v>
      </c>
      <c r="C4781" s="76">
        <v>2017</v>
      </c>
      <c r="D4781" s="76" t="s">
        <v>31</v>
      </c>
      <c r="E4781" s="76">
        <v>1</v>
      </c>
      <c r="F4781" s="76">
        <v>0.54</v>
      </c>
    </row>
    <row r="4782" s="76" customFormat="1" spans="1:6">
      <c r="A4782">
        <v>4938</v>
      </c>
      <c r="B4782">
        <v>332017270</v>
      </c>
      <c r="C4782" s="76">
        <v>2017</v>
      </c>
      <c r="D4782" s="76" t="s">
        <v>31</v>
      </c>
      <c r="E4782" s="76" t="s">
        <v>32</v>
      </c>
      <c r="F4782" s="76">
        <v>0.6</v>
      </c>
    </row>
    <row r="4783" s="76" customFormat="1" spans="1:6">
      <c r="A4783">
        <v>4879</v>
      </c>
      <c r="B4783">
        <v>332017270</v>
      </c>
      <c r="C4783" s="76">
        <v>2017</v>
      </c>
      <c r="D4783" s="76" t="s">
        <v>31</v>
      </c>
      <c r="E4783" s="76" t="s">
        <v>32</v>
      </c>
      <c r="F4783" s="76">
        <v>0.1</v>
      </c>
    </row>
    <row r="4784" s="76" customFormat="1" spans="1:6">
      <c r="A4784">
        <v>4899</v>
      </c>
      <c r="B4784">
        <v>332017270</v>
      </c>
      <c r="C4784" s="76">
        <v>2017</v>
      </c>
      <c r="D4784" s="76" t="s">
        <v>31</v>
      </c>
      <c r="E4784" s="76">
        <v>1</v>
      </c>
      <c r="F4784" s="76">
        <v>0.12</v>
      </c>
    </row>
    <row r="4785" s="76" customFormat="1" spans="1:6">
      <c r="A4785">
        <v>4904</v>
      </c>
      <c r="B4785">
        <v>332017270</v>
      </c>
      <c r="C4785" s="76">
        <v>2017</v>
      </c>
      <c r="D4785" s="76" t="s">
        <v>31</v>
      </c>
      <c r="E4785" s="76">
        <v>1</v>
      </c>
      <c r="F4785" s="76">
        <v>0.99</v>
      </c>
    </row>
    <row r="4786" s="76" customFormat="1" spans="1:6">
      <c r="A4786">
        <v>4858</v>
      </c>
      <c r="B4786">
        <v>332017270</v>
      </c>
      <c r="C4786" s="76">
        <v>2017</v>
      </c>
      <c r="D4786" s="76" t="s">
        <v>31</v>
      </c>
      <c r="E4786" s="76" t="s">
        <v>32</v>
      </c>
      <c r="F4786" s="76">
        <v>1</v>
      </c>
    </row>
    <row r="4787" s="76" customFormat="1" spans="1:6">
      <c r="A4787">
        <v>4912</v>
      </c>
      <c r="B4787">
        <v>332017270</v>
      </c>
      <c r="C4787" s="76">
        <v>2017</v>
      </c>
      <c r="D4787" s="76" t="s">
        <v>31</v>
      </c>
      <c r="E4787" s="76">
        <v>1</v>
      </c>
      <c r="F4787" s="76">
        <v>0.37</v>
      </c>
    </row>
    <row r="4788" s="76" customFormat="1" spans="1:6">
      <c r="A4788">
        <v>4881</v>
      </c>
      <c r="B4788">
        <v>332017270</v>
      </c>
      <c r="C4788" s="76">
        <v>2017</v>
      </c>
      <c r="D4788" s="76" t="s">
        <v>31</v>
      </c>
      <c r="E4788" s="76" t="s">
        <v>32</v>
      </c>
      <c r="F4788" s="76">
        <v>0.23</v>
      </c>
    </row>
    <row r="4789" s="76" customFormat="1" spans="1:6">
      <c r="A4789">
        <v>4894</v>
      </c>
      <c r="B4789">
        <v>332017270</v>
      </c>
      <c r="C4789" s="76">
        <v>2017</v>
      </c>
      <c r="D4789" s="76" t="s">
        <v>31</v>
      </c>
      <c r="E4789" s="76">
        <v>1</v>
      </c>
      <c r="F4789" s="76">
        <v>0.17</v>
      </c>
    </row>
    <row r="4790" s="76" customFormat="1" spans="1:6">
      <c r="A4790">
        <v>4896</v>
      </c>
      <c r="B4790">
        <v>332017270</v>
      </c>
      <c r="C4790" s="76">
        <v>2017</v>
      </c>
      <c r="D4790" s="76" t="s">
        <v>31</v>
      </c>
      <c r="E4790" s="76">
        <v>1</v>
      </c>
      <c r="F4790" s="76">
        <v>0.16</v>
      </c>
    </row>
    <row r="4791" s="76" customFormat="1" spans="1:6">
      <c r="A4791">
        <v>4887</v>
      </c>
      <c r="B4791">
        <v>332017270</v>
      </c>
      <c r="C4791" s="76">
        <v>2017</v>
      </c>
      <c r="D4791" s="76" t="s">
        <v>31</v>
      </c>
      <c r="E4791" s="76">
        <v>1</v>
      </c>
      <c r="F4791" s="76">
        <v>0.16</v>
      </c>
    </row>
    <row r="4792" s="76" customFormat="1" spans="1:6">
      <c r="A4792">
        <v>4888</v>
      </c>
      <c r="B4792">
        <v>332017270</v>
      </c>
      <c r="C4792" s="76">
        <v>2017</v>
      </c>
      <c r="D4792" s="76" t="s">
        <v>31</v>
      </c>
      <c r="E4792" s="76">
        <v>1</v>
      </c>
      <c r="F4792" s="76">
        <v>0.28</v>
      </c>
    </row>
    <row r="4793" s="76" customFormat="1" spans="1:6">
      <c r="A4793">
        <v>4889</v>
      </c>
      <c r="B4793">
        <v>332017270</v>
      </c>
      <c r="C4793" s="76">
        <v>2017</v>
      </c>
      <c r="D4793" s="76" t="s">
        <v>31</v>
      </c>
      <c r="E4793" s="76">
        <v>1</v>
      </c>
      <c r="F4793" s="76">
        <v>0.18</v>
      </c>
    </row>
    <row r="4794" s="76" customFormat="1" spans="1:6">
      <c r="A4794">
        <v>4905</v>
      </c>
      <c r="B4794">
        <v>332017270</v>
      </c>
      <c r="C4794" s="76">
        <v>2017</v>
      </c>
      <c r="D4794" s="76" t="s">
        <v>31</v>
      </c>
      <c r="E4794" s="76">
        <v>1</v>
      </c>
      <c r="F4794" s="76">
        <v>2</v>
      </c>
    </row>
    <row r="4795" s="76" customFormat="1" spans="1:6">
      <c r="A4795">
        <v>4906</v>
      </c>
      <c r="B4795">
        <v>332017270</v>
      </c>
      <c r="C4795" s="76">
        <v>2017</v>
      </c>
      <c r="D4795" s="76" t="s">
        <v>31</v>
      </c>
      <c r="E4795" s="76">
        <v>1</v>
      </c>
      <c r="F4795" s="76">
        <v>4</v>
      </c>
    </row>
    <row r="4796" s="76" customFormat="1" spans="1:6">
      <c r="A4796">
        <v>4878</v>
      </c>
      <c r="B4796">
        <v>332017270</v>
      </c>
      <c r="C4796" s="76">
        <v>2017</v>
      </c>
      <c r="D4796" s="76" t="s">
        <v>31</v>
      </c>
      <c r="E4796" s="76" t="s">
        <v>32</v>
      </c>
      <c r="F4796" s="76">
        <v>0.91</v>
      </c>
    </row>
    <row r="4797" s="76" customFormat="1" spans="1:6">
      <c r="A4797">
        <v>4884</v>
      </c>
      <c r="B4797">
        <v>332017270</v>
      </c>
      <c r="C4797" s="76">
        <v>2017</v>
      </c>
      <c r="D4797" s="76" t="s">
        <v>31</v>
      </c>
      <c r="E4797" s="76" t="s">
        <v>32</v>
      </c>
      <c r="F4797" s="76">
        <v>1.34</v>
      </c>
    </row>
    <row r="4798" s="76" customFormat="1" spans="1:6">
      <c r="A4798">
        <v>4852</v>
      </c>
      <c r="B4798">
        <v>332017270</v>
      </c>
      <c r="C4798" s="76">
        <v>2017</v>
      </c>
      <c r="D4798" s="76" t="s">
        <v>31</v>
      </c>
      <c r="E4798" s="76" t="s">
        <v>32</v>
      </c>
      <c r="F4798" s="76">
        <v>0.36</v>
      </c>
    </row>
    <row r="4799" s="76" customFormat="1" spans="1:6">
      <c r="A4799">
        <v>4928</v>
      </c>
      <c r="B4799">
        <v>332017270</v>
      </c>
      <c r="C4799" s="76">
        <v>2017</v>
      </c>
      <c r="D4799" s="76" t="s">
        <v>31</v>
      </c>
      <c r="E4799" s="76" t="s">
        <v>32</v>
      </c>
      <c r="F4799" s="76">
        <v>6</v>
      </c>
    </row>
    <row r="4800" s="76" customFormat="1" spans="1:6">
      <c r="A4800">
        <v>4857</v>
      </c>
      <c r="B4800">
        <v>332017270</v>
      </c>
      <c r="C4800" s="76">
        <v>2017</v>
      </c>
      <c r="D4800" s="76" t="s">
        <v>31</v>
      </c>
      <c r="E4800" s="76" t="s">
        <v>32</v>
      </c>
      <c r="F4800" s="76">
        <v>0.41</v>
      </c>
    </row>
    <row r="4801" s="76" customFormat="1" spans="1:6">
      <c r="A4801">
        <v>4932</v>
      </c>
      <c r="B4801">
        <v>332017270</v>
      </c>
      <c r="C4801" s="76">
        <v>2017</v>
      </c>
      <c r="D4801" s="76" t="s">
        <v>31</v>
      </c>
      <c r="E4801" s="76" t="s">
        <v>32</v>
      </c>
      <c r="F4801" s="76">
        <v>2</v>
      </c>
    </row>
    <row r="4802" s="76" customFormat="1" spans="1:6">
      <c r="A4802">
        <v>4940</v>
      </c>
      <c r="B4802">
        <v>332017270</v>
      </c>
      <c r="C4802" s="76">
        <v>2017</v>
      </c>
      <c r="D4802" s="76" t="s">
        <v>31</v>
      </c>
      <c r="E4802" s="76" t="s">
        <v>32</v>
      </c>
      <c r="F4802" s="76">
        <v>3.5</v>
      </c>
    </row>
    <row r="4803" s="76" customFormat="1" spans="1:6">
      <c r="A4803">
        <v>4917</v>
      </c>
      <c r="B4803">
        <v>332017270</v>
      </c>
      <c r="C4803" s="76">
        <v>2017</v>
      </c>
      <c r="D4803" s="76" t="s">
        <v>31</v>
      </c>
      <c r="E4803" s="76" t="s">
        <v>32</v>
      </c>
      <c r="F4803" s="76">
        <v>2.88</v>
      </c>
    </row>
    <row r="4804" s="76" customFormat="1" spans="1:6">
      <c r="A4804">
        <v>4918</v>
      </c>
      <c r="B4804">
        <v>332017270</v>
      </c>
      <c r="C4804" s="76">
        <v>2017</v>
      </c>
      <c r="D4804" s="76" t="s">
        <v>31</v>
      </c>
      <c r="E4804" s="76" t="s">
        <v>32</v>
      </c>
      <c r="F4804" s="76">
        <v>4</v>
      </c>
    </row>
    <row r="4805" s="76" customFormat="1" spans="1:6">
      <c r="A4805">
        <v>4854</v>
      </c>
      <c r="B4805">
        <v>332017270</v>
      </c>
      <c r="C4805" s="76">
        <v>2017</v>
      </c>
      <c r="D4805" s="76" t="s">
        <v>31</v>
      </c>
      <c r="E4805" s="76" t="s">
        <v>32</v>
      </c>
      <c r="F4805" s="76">
        <v>3.29</v>
      </c>
    </row>
    <row r="4806" s="76" customFormat="1" spans="1:6">
      <c r="A4806">
        <v>4930</v>
      </c>
      <c r="B4806">
        <v>332017270</v>
      </c>
      <c r="C4806" s="76">
        <v>2017</v>
      </c>
      <c r="D4806" s="76" t="s">
        <v>31</v>
      </c>
      <c r="E4806" s="76" t="s">
        <v>32</v>
      </c>
      <c r="F4806" s="76">
        <v>2</v>
      </c>
    </row>
    <row r="4807" s="76" customFormat="1" spans="1:6">
      <c r="A4807">
        <v>4946</v>
      </c>
      <c r="B4807">
        <v>332017270</v>
      </c>
      <c r="C4807" s="76">
        <v>2017</v>
      </c>
      <c r="D4807" s="76" t="s">
        <v>31</v>
      </c>
      <c r="E4807" s="76" t="s">
        <v>32</v>
      </c>
      <c r="F4807" s="76">
        <v>1.4</v>
      </c>
    </row>
    <row r="4808" s="76" customFormat="1" spans="1:6">
      <c r="A4808">
        <v>4955</v>
      </c>
      <c r="B4808">
        <v>332018110</v>
      </c>
      <c r="C4808" s="76">
        <v>2018</v>
      </c>
      <c r="D4808" s="76" t="s">
        <v>40</v>
      </c>
      <c r="E4808" s="76" t="s">
        <v>32</v>
      </c>
      <c r="F4808" s="76">
        <v>1.11</v>
      </c>
    </row>
    <row r="4809" s="76" customFormat="1" spans="1:6">
      <c r="A4809">
        <v>4956</v>
      </c>
      <c r="B4809">
        <v>332018110</v>
      </c>
      <c r="C4809" s="76">
        <v>2018</v>
      </c>
      <c r="D4809" s="76" t="s">
        <v>40</v>
      </c>
      <c r="E4809" s="76" t="s">
        <v>32</v>
      </c>
      <c r="F4809" s="76">
        <v>1.26</v>
      </c>
    </row>
    <row r="4810" s="76" customFormat="1" spans="1:6">
      <c r="A4810">
        <v>4953</v>
      </c>
      <c r="B4810">
        <v>332018110</v>
      </c>
      <c r="C4810" s="76">
        <v>2018</v>
      </c>
      <c r="D4810" s="76" t="s">
        <v>40</v>
      </c>
      <c r="E4810" s="76" t="s">
        <v>32</v>
      </c>
      <c r="F4810" s="76">
        <v>0.2</v>
      </c>
    </row>
    <row r="4811" s="76" customFormat="1" spans="1:6">
      <c r="A4811">
        <v>4951</v>
      </c>
      <c r="B4811">
        <v>332018110</v>
      </c>
      <c r="C4811" s="76">
        <v>2018</v>
      </c>
      <c r="D4811" s="76" t="s">
        <v>40</v>
      </c>
      <c r="E4811" s="76" t="s">
        <v>32</v>
      </c>
      <c r="F4811" s="76">
        <v>1.6</v>
      </c>
    </row>
    <row r="4812" s="76" customFormat="1" spans="1:6">
      <c r="A4812">
        <v>4952</v>
      </c>
      <c r="B4812">
        <v>332018110</v>
      </c>
      <c r="C4812" s="76">
        <v>2018</v>
      </c>
      <c r="D4812" s="76" t="s">
        <v>40</v>
      </c>
      <c r="E4812" s="76" t="s">
        <v>32</v>
      </c>
      <c r="F4812" s="76">
        <v>0.2</v>
      </c>
    </row>
    <row r="4813" s="76" customFormat="1" spans="1:6">
      <c r="A4813">
        <v>4961</v>
      </c>
      <c r="B4813">
        <v>332018211</v>
      </c>
      <c r="C4813" s="76">
        <v>2018</v>
      </c>
      <c r="D4813" s="76" t="s">
        <v>37</v>
      </c>
      <c r="E4813" s="76" t="s">
        <v>32</v>
      </c>
      <c r="F4813" s="76">
        <v>1.85</v>
      </c>
    </row>
    <row r="4814" s="76" customFormat="1" spans="1:6">
      <c r="A4814">
        <v>4979</v>
      </c>
      <c r="B4814">
        <v>332018211</v>
      </c>
      <c r="C4814" s="76">
        <v>2018</v>
      </c>
      <c r="D4814" s="76" t="s">
        <v>37</v>
      </c>
      <c r="E4814" s="76" t="s">
        <v>32</v>
      </c>
      <c r="F4814" s="76">
        <v>0.4</v>
      </c>
    </row>
    <row r="4815" s="76" customFormat="1" spans="1:6">
      <c r="A4815">
        <v>4976</v>
      </c>
      <c r="B4815">
        <v>332018211</v>
      </c>
      <c r="C4815" s="76">
        <v>2018</v>
      </c>
      <c r="D4815" s="76" t="s">
        <v>37</v>
      </c>
      <c r="E4815" s="76" t="s">
        <v>32</v>
      </c>
      <c r="F4815" s="76">
        <v>0.5</v>
      </c>
    </row>
    <row r="4816" s="76" customFormat="1" spans="1:6">
      <c r="A4816">
        <v>4969</v>
      </c>
      <c r="B4816">
        <v>332018211</v>
      </c>
      <c r="C4816" s="76">
        <v>2018</v>
      </c>
      <c r="D4816" s="76" t="s">
        <v>37</v>
      </c>
      <c r="E4816" s="76" t="s">
        <v>32</v>
      </c>
      <c r="F4816" s="76">
        <v>1.5</v>
      </c>
    </row>
    <row r="4817" s="76" customFormat="1" spans="1:6">
      <c r="A4817">
        <v>4973</v>
      </c>
      <c r="B4817">
        <v>332018211</v>
      </c>
      <c r="C4817" s="76">
        <v>2018</v>
      </c>
      <c r="D4817" s="76" t="s">
        <v>37</v>
      </c>
      <c r="E4817" s="76" t="s">
        <v>32</v>
      </c>
      <c r="F4817" s="76">
        <v>1.5</v>
      </c>
    </row>
    <row r="4818" s="76" customFormat="1" spans="1:6">
      <c r="A4818">
        <v>4970</v>
      </c>
      <c r="B4818">
        <v>332018211</v>
      </c>
      <c r="C4818" s="76">
        <v>2018</v>
      </c>
      <c r="D4818" s="76" t="s">
        <v>37</v>
      </c>
      <c r="E4818" s="76" t="s">
        <v>32</v>
      </c>
      <c r="F4818" s="76">
        <v>0.6</v>
      </c>
    </row>
    <row r="4819" s="76" customFormat="1" spans="1:6">
      <c r="A4819">
        <v>4977</v>
      </c>
      <c r="B4819">
        <v>332018211</v>
      </c>
      <c r="C4819" s="76">
        <v>2018</v>
      </c>
      <c r="D4819" s="76" t="s">
        <v>37</v>
      </c>
      <c r="E4819" s="76" t="s">
        <v>32</v>
      </c>
      <c r="F4819" s="76">
        <v>1.5</v>
      </c>
    </row>
    <row r="4820" s="76" customFormat="1" spans="1:6">
      <c r="A4820">
        <v>4972</v>
      </c>
      <c r="B4820">
        <v>332018211</v>
      </c>
      <c r="C4820" s="76">
        <v>2018</v>
      </c>
      <c r="D4820" s="76" t="s">
        <v>37</v>
      </c>
      <c r="E4820" s="76" t="s">
        <v>32</v>
      </c>
      <c r="F4820" s="76">
        <v>1.8</v>
      </c>
    </row>
    <row r="4821" s="76" customFormat="1" spans="1:6">
      <c r="A4821">
        <v>4962</v>
      </c>
      <c r="B4821">
        <v>332018211</v>
      </c>
      <c r="C4821" s="76">
        <v>2018</v>
      </c>
      <c r="D4821" s="76" t="s">
        <v>37</v>
      </c>
      <c r="E4821" s="76" t="s">
        <v>32</v>
      </c>
      <c r="F4821" s="76">
        <v>0.9</v>
      </c>
    </row>
    <row r="4822" s="76" customFormat="1" spans="1:6">
      <c r="A4822">
        <v>4971</v>
      </c>
      <c r="B4822">
        <v>332018211</v>
      </c>
      <c r="C4822" s="76">
        <v>2018</v>
      </c>
      <c r="D4822" s="76" t="s">
        <v>37</v>
      </c>
      <c r="E4822" s="76" t="s">
        <v>32</v>
      </c>
      <c r="F4822" s="76">
        <v>1.5</v>
      </c>
    </row>
    <row r="4823" s="76" customFormat="1" spans="1:6">
      <c r="A4823">
        <v>4978</v>
      </c>
      <c r="B4823">
        <v>332018211</v>
      </c>
      <c r="C4823" s="76">
        <v>2018</v>
      </c>
      <c r="D4823" s="76" t="s">
        <v>37</v>
      </c>
      <c r="E4823" s="76" t="s">
        <v>32</v>
      </c>
      <c r="F4823" s="76">
        <v>2.5</v>
      </c>
    </row>
    <row r="4824" s="76" customFormat="1" spans="1:6">
      <c r="A4824">
        <v>4965</v>
      </c>
      <c r="B4824">
        <v>332018211</v>
      </c>
      <c r="C4824" s="76">
        <v>2018</v>
      </c>
      <c r="D4824" s="76" t="s">
        <v>37</v>
      </c>
      <c r="E4824" s="76" t="s">
        <v>32</v>
      </c>
      <c r="F4824" s="76">
        <v>1.2</v>
      </c>
    </row>
    <row r="4825" s="76" customFormat="1" spans="1:6">
      <c r="A4825">
        <v>4967</v>
      </c>
      <c r="B4825">
        <v>332018211</v>
      </c>
      <c r="C4825" s="76">
        <v>2018</v>
      </c>
      <c r="D4825" s="76" t="s">
        <v>37</v>
      </c>
      <c r="E4825" s="76" t="s">
        <v>32</v>
      </c>
      <c r="F4825" s="76">
        <v>0.7</v>
      </c>
    </row>
    <row r="4826" s="76" customFormat="1" spans="1:6">
      <c r="A4826">
        <v>4966</v>
      </c>
      <c r="B4826">
        <v>332018211</v>
      </c>
      <c r="C4826" s="76">
        <v>2018</v>
      </c>
      <c r="D4826" s="76" t="s">
        <v>37</v>
      </c>
      <c r="E4826" s="76" t="s">
        <v>32</v>
      </c>
      <c r="F4826" s="76">
        <v>0.6</v>
      </c>
    </row>
    <row r="4827" s="76" customFormat="1" spans="1:6">
      <c r="A4827">
        <v>4975</v>
      </c>
      <c r="B4827">
        <v>332018211</v>
      </c>
      <c r="C4827" s="76">
        <v>2018</v>
      </c>
      <c r="D4827" s="76" t="s">
        <v>37</v>
      </c>
      <c r="E4827" s="76" t="s">
        <v>32</v>
      </c>
      <c r="F4827" s="76">
        <v>3.6</v>
      </c>
    </row>
    <row r="4828" s="76" customFormat="1" spans="1:6">
      <c r="A4828">
        <v>4968</v>
      </c>
      <c r="B4828">
        <v>332018211</v>
      </c>
      <c r="C4828" s="76">
        <v>2018</v>
      </c>
      <c r="D4828" s="76" t="s">
        <v>37</v>
      </c>
      <c r="E4828" s="76" t="s">
        <v>32</v>
      </c>
      <c r="F4828" s="76">
        <v>4</v>
      </c>
    </row>
    <row r="4829" s="76" customFormat="1" spans="1:6">
      <c r="A4829">
        <v>4963</v>
      </c>
      <c r="B4829">
        <v>332018211</v>
      </c>
      <c r="C4829" s="76">
        <v>2018</v>
      </c>
      <c r="D4829" s="76" t="s">
        <v>37</v>
      </c>
      <c r="E4829" s="76" t="s">
        <v>32</v>
      </c>
      <c r="F4829" s="76">
        <v>2.25</v>
      </c>
    </row>
    <row r="4830" s="76" customFormat="1" spans="1:6">
      <c r="A4830">
        <v>4958</v>
      </c>
      <c r="B4830">
        <v>332018211</v>
      </c>
      <c r="C4830" s="76">
        <v>2018</v>
      </c>
      <c r="D4830" s="76" t="s">
        <v>37</v>
      </c>
      <c r="E4830" s="76" t="s">
        <v>32</v>
      </c>
      <c r="F4830" s="76">
        <v>6</v>
      </c>
    </row>
    <row r="4831" s="76" customFormat="1" spans="1:6">
      <c r="A4831">
        <v>4959</v>
      </c>
      <c r="B4831">
        <v>332018211</v>
      </c>
      <c r="C4831" s="76">
        <v>2018</v>
      </c>
      <c r="D4831" s="76" t="s">
        <v>37</v>
      </c>
      <c r="E4831" s="76" t="s">
        <v>32</v>
      </c>
      <c r="F4831" s="76">
        <v>3.3</v>
      </c>
    </row>
    <row r="4832" s="76" customFormat="1" spans="1:6">
      <c r="A4832">
        <v>4974</v>
      </c>
      <c r="B4832">
        <v>332018211</v>
      </c>
      <c r="C4832" s="76">
        <v>2018</v>
      </c>
      <c r="D4832" s="76" t="s">
        <v>37</v>
      </c>
      <c r="E4832" s="76" t="s">
        <v>32</v>
      </c>
      <c r="F4832" s="76">
        <v>12.5</v>
      </c>
    </row>
    <row r="4833" s="76" customFormat="1" spans="1:6">
      <c r="A4833">
        <v>4957</v>
      </c>
      <c r="B4833">
        <v>332018211</v>
      </c>
      <c r="C4833" s="76">
        <v>2018</v>
      </c>
      <c r="D4833" s="76" t="s">
        <v>37</v>
      </c>
      <c r="E4833" s="76">
        <v>1</v>
      </c>
      <c r="F4833" s="76">
        <v>5.7</v>
      </c>
    </row>
    <row r="4834" s="76" customFormat="1" spans="1:6">
      <c r="A4834">
        <v>4960</v>
      </c>
      <c r="B4834">
        <v>332018211</v>
      </c>
      <c r="C4834" s="76">
        <v>2018</v>
      </c>
      <c r="D4834" s="76" t="s">
        <v>37</v>
      </c>
      <c r="E4834" s="76" t="s">
        <v>32</v>
      </c>
      <c r="F4834" s="76">
        <v>5</v>
      </c>
    </row>
    <row r="4835" s="76" customFormat="1" spans="1:6">
      <c r="A4835">
        <v>4964</v>
      </c>
      <c r="B4835">
        <v>332018211</v>
      </c>
      <c r="C4835" s="76">
        <v>2018</v>
      </c>
      <c r="D4835" s="76" t="s">
        <v>37</v>
      </c>
      <c r="E4835" s="76" t="s">
        <v>32</v>
      </c>
      <c r="F4835" s="76">
        <v>20</v>
      </c>
    </row>
    <row r="4836" s="76" customFormat="1" spans="1:6">
      <c r="A4836">
        <v>4981</v>
      </c>
      <c r="B4836">
        <v>332018221</v>
      </c>
      <c r="C4836" s="76">
        <v>2018</v>
      </c>
      <c r="D4836" s="76" t="s">
        <v>30</v>
      </c>
      <c r="E4836" s="76" t="s">
        <v>32</v>
      </c>
      <c r="F4836" s="76">
        <v>0.41</v>
      </c>
    </row>
    <row r="4837" s="76" customFormat="1" spans="1:6">
      <c r="A4837">
        <v>4982</v>
      </c>
      <c r="B4837">
        <v>332018221</v>
      </c>
      <c r="C4837" s="76">
        <v>2018</v>
      </c>
      <c r="D4837" s="76" t="s">
        <v>30</v>
      </c>
      <c r="E4837" s="76" t="s">
        <v>32</v>
      </c>
      <c r="F4837" s="76">
        <v>0.8</v>
      </c>
    </row>
    <row r="4838" s="76" customFormat="1" spans="1:6">
      <c r="A4838">
        <v>4980</v>
      </c>
      <c r="B4838">
        <v>332018221</v>
      </c>
      <c r="C4838" s="76">
        <v>2018</v>
      </c>
      <c r="D4838" s="76" t="s">
        <v>30</v>
      </c>
      <c r="E4838" s="76">
        <v>2</v>
      </c>
      <c r="F4838" s="76">
        <v>23.2</v>
      </c>
    </row>
    <row r="4839" s="76" customFormat="1" spans="1:6">
      <c r="A4839">
        <v>4986</v>
      </c>
      <c r="B4839">
        <v>332018241</v>
      </c>
      <c r="C4839" s="76">
        <v>2018</v>
      </c>
      <c r="D4839" s="76" t="s">
        <v>33</v>
      </c>
      <c r="E4839" s="76" t="s">
        <v>32</v>
      </c>
      <c r="F4839" s="76">
        <v>8.45</v>
      </c>
    </row>
    <row r="4840" s="76" customFormat="1" spans="1:6">
      <c r="A4840">
        <v>4983</v>
      </c>
      <c r="B4840">
        <v>332018241</v>
      </c>
      <c r="C4840" s="76">
        <v>2018</v>
      </c>
      <c r="D4840" s="76" t="s">
        <v>33</v>
      </c>
      <c r="E4840" s="76" t="s">
        <v>32</v>
      </c>
      <c r="F4840" s="76">
        <v>0.6</v>
      </c>
    </row>
    <row r="4841" s="76" customFormat="1" spans="1:6">
      <c r="A4841">
        <v>4985</v>
      </c>
      <c r="B4841">
        <v>332018241</v>
      </c>
      <c r="C4841" s="76">
        <v>2018</v>
      </c>
      <c r="D4841" s="76" t="s">
        <v>33</v>
      </c>
      <c r="E4841" s="76" t="s">
        <v>32</v>
      </c>
      <c r="F4841" s="76">
        <v>10.3</v>
      </c>
    </row>
    <row r="4842" s="76" customFormat="1" spans="1:6">
      <c r="A4842">
        <v>4988</v>
      </c>
      <c r="B4842">
        <v>332018241</v>
      </c>
      <c r="C4842" s="76">
        <v>2018</v>
      </c>
      <c r="D4842" s="76" t="s">
        <v>33</v>
      </c>
      <c r="E4842" s="76" t="s">
        <v>32</v>
      </c>
      <c r="F4842" s="76">
        <v>3.6</v>
      </c>
    </row>
    <row r="4843" s="76" customFormat="1" spans="1:6">
      <c r="A4843">
        <v>4987</v>
      </c>
      <c r="B4843">
        <v>332018241</v>
      </c>
      <c r="C4843" s="76">
        <v>2018</v>
      </c>
      <c r="D4843" s="76" t="s">
        <v>33</v>
      </c>
      <c r="E4843" s="76" t="s">
        <v>32</v>
      </c>
      <c r="F4843" s="76">
        <v>0.9</v>
      </c>
    </row>
    <row r="4844" s="76" customFormat="1" spans="1:6">
      <c r="A4844">
        <v>4990</v>
      </c>
      <c r="B4844">
        <v>332018242</v>
      </c>
      <c r="C4844" s="76">
        <v>2018</v>
      </c>
      <c r="D4844" s="76" t="s">
        <v>35</v>
      </c>
      <c r="E4844" s="76" t="s">
        <v>32</v>
      </c>
      <c r="F4844" s="76">
        <v>5</v>
      </c>
    </row>
    <row r="4845" s="76" customFormat="1" spans="1:6">
      <c r="A4845">
        <v>4996</v>
      </c>
      <c r="B4845">
        <v>332018242</v>
      </c>
      <c r="C4845" s="76">
        <v>2018</v>
      </c>
      <c r="D4845" s="76" t="s">
        <v>35</v>
      </c>
      <c r="E4845" s="76" t="s">
        <v>32</v>
      </c>
      <c r="F4845" s="76">
        <v>1.2</v>
      </c>
    </row>
    <row r="4846" s="76" customFormat="1" spans="1:6">
      <c r="A4846">
        <v>4995</v>
      </c>
      <c r="B4846">
        <v>332018242</v>
      </c>
      <c r="C4846" s="76">
        <v>2018</v>
      </c>
      <c r="D4846" s="76" t="s">
        <v>35</v>
      </c>
      <c r="E4846" s="76" t="s">
        <v>32</v>
      </c>
      <c r="F4846" s="76">
        <v>0.75</v>
      </c>
    </row>
    <row r="4847" s="76" customFormat="1" spans="1:6">
      <c r="A4847">
        <v>4989</v>
      </c>
      <c r="B4847">
        <v>332018242</v>
      </c>
      <c r="C4847" s="76">
        <v>2018</v>
      </c>
      <c r="D4847" s="76" t="s">
        <v>35</v>
      </c>
      <c r="E4847" s="76" t="s">
        <v>32</v>
      </c>
      <c r="F4847" s="76">
        <v>8</v>
      </c>
    </row>
    <row r="4848" s="76" customFormat="1" spans="1:6">
      <c r="A4848">
        <v>4997</v>
      </c>
      <c r="B4848">
        <v>332018242</v>
      </c>
      <c r="C4848" s="76">
        <v>2018</v>
      </c>
      <c r="D4848" s="76" t="s">
        <v>35</v>
      </c>
      <c r="E4848" s="76" t="s">
        <v>32</v>
      </c>
      <c r="F4848" s="76">
        <v>3</v>
      </c>
    </row>
    <row r="4849" s="76" customFormat="1" spans="1:6">
      <c r="A4849">
        <v>4993</v>
      </c>
      <c r="B4849">
        <v>332018242</v>
      </c>
      <c r="C4849" s="76">
        <v>2018</v>
      </c>
      <c r="D4849" s="76" t="s">
        <v>35</v>
      </c>
      <c r="E4849" s="76" t="s">
        <v>32</v>
      </c>
      <c r="F4849" s="76">
        <v>0.75</v>
      </c>
    </row>
    <row r="4850" s="76" customFormat="1" spans="1:6">
      <c r="A4850">
        <v>5001</v>
      </c>
      <c r="B4850">
        <v>332018242</v>
      </c>
      <c r="C4850" s="76">
        <v>2018</v>
      </c>
      <c r="D4850" s="76" t="s">
        <v>35</v>
      </c>
      <c r="E4850" s="76" t="s">
        <v>32</v>
      </c>
      <c r="F4850" s="76">
        <v>2.5</v>
      </c>
    </row>
    <row r="4851" s="76" customFormat="1" spans="1:6">
      <c r="A4851">
        <v>4991</v>
      </c>
      <c r="B4851">
        <v>332018242</v>
      </c>
      <c r="C4851" s="76">
        <v>2018</v>
      </c>
      <c r="D4851" s="76" t="s">
        <v>35</v>
      </c>
      <c r="E4851" s="76" t="s">
        <v>32</v>
      </c>
      <c r="F4851" s="76">
        <v>1.5</v>
      </c>
    </row>
    <row r="4852" s="76" customFormat="1" spans="1:6">
      <c r="A4852">
        <v>4992</v>
      </c>
      <c r="B4852">
        <v>332018242</v>
      </c>
      <c r="C4852" s="76">
        <v>2018</v>
      </c>
      <c r="D4852" s="76" t="s">
        <v>35</v>
      </c>
      <c r="E4852" s="76" t="s">
        <v>32</v>
      </c>
      <c r="F4852" s="76">
        <v>1.5</v>
      </c>
    </row>
    <row r="4853" s="76" customFormat="1" spans="1:6">
      <c r="A4853">
        <v>5000</v>
      </c>
      <c r="B4853">
        <v>332018242</v>
      </c>
      <c r="C4853" s="76">
        <v>2018</v>
      </c>
      <c r="D4853" s="76" t="s">
        <v>35</v>
      </c>
      <c r="E4853" s="76" t="s">
        <v>32</v>
      </c>
      <c r="F4853" s="76">
        <v>0.6</v>
      </c>
    </row>
    <row r="4854" s="76" customFormat="1" spans="1:6">
      <c r="A4854">
        <v>4999</v>
      </c>
      <c r="B4854">
        <v>332018242</v>
      </c>
      <c r="C4854" s="76">
        <v>2018</v>
      </c>
      <c r="D4854" s="76" t="s">
        <v>35</v>
      </c>
      <c r="E4854" s="76" t="s">
        <v>32</v>
      </c>
      <c r="F4854" s="76">
        <v>2.4</v>
      </c>
    </row>
    <row r="4855" s="76" customFormat="1" spans="1:6">
      <c r="A4855">
        <v>4994</v>
      </c>
      <c r="B4855">
        <v>332018242</v>
      </c>
      <c r="C4855" s="76">
        <v>2018</v>
      </c>
      <c r="D4855" s="76" t="s">
        <v>35</v>
      </c>
      <c r="E4855" s="76" t="s">
        <v>32</v>
      </c>
      <c r="F4855" s="76">
        <v>0.6</v>
      </c>
    </row>
    <row r="4856" s="76" customFormat="1" spans="1:6">
      <c r="A4856">
        <v>4998</v>
      </c>
      <c r="B4856">
        <v>332018242</v>
      </c>
      <c r="C4856" s="76">
        <v>2018</v>
      </c>
      <c r="D4856" s="76" t="s">
        <v>35</v>
      </c>
      <c r="E4856" s="76" t="s">
        <v>32</v>
      </c>
      <c r="F4856" s="76">
        <v>3.6</v>
      </c>
    </row>
    <row r="4857" s="76" customFormat="1" spans="1:6">
      <c r="A4857">
        <v>5002</v>
      </c>
      <c r="B4857">
        <v>332018243</v>
      </c>
      <c r="C4857" s="76">
        <v>2018</v>
      </c>
      <c r="D4857" s="76" t="s">
        <v>38</v>
      </c>
      <c r="E4857" s="76" t="s">
        <v>32</v>
      </c>
      <c r="F4857" s="76">
        <v>1.2</v>
      </c>
    </row>
    <row r="4858" s="76" customFormat="1" spans="1:6">
      <c r="A4858">
        <v>5003</v>
      </c>
      <c r="B4858">
        <v>332018243</v>
      </c>
      <c r="C4858" s="76">
        <v>2018</v>
      </c>
      <c r="D4858" s="76" t="s">
        <v>38</v>
      </c>
      <c r="E4858" s="76" t="s">
        <v>32</v>
      </c>
      <c r="F4858" s="76">
        <v>0.3</v>
      </c>
    </row>
    <row r="4859" s="76" customFormat="1" spans="1:6">
      <c r="A4859">
        <v>5004</v>
      </c>
      <c r="B4859">
        <v>332018250</v>
      </c>
      <c r="C4859" s="76">
        <v>2018</v>
      </c>
      <c r="D4859" s="76" t="s">
        <v>44</v>
      </c>
      <c r="E4859" s="76">
        <v>2</v>
      </c>
      <c r="F4859" s="76">
        <v>250.2</v>
      </c>
    </row>
    <row r="4860" s="76" customFormat="1" spans="1:6">
      <c r="A4860">
        <v>5005</v>
      </c>
      <c r="B4860">
        <v>332018260</v>
      </c>
      <c r="C4860" s="76">
        <v>2018</v>
      </c>
      <c r="D4860" s="76" t="s">
        <v>34</v>
      </c>
      <c r="E4860" s="76">
        <v>28</v>
      </c>
      <c r="F4860" s="76">
        <v>6.16</v>
      </c>
    </row>
    <row r="4861" s="76" customFormat="1" spans="1:6">
      <c r="A4861">
        <v>5006</v>
      </c>
      <c r="B4861">
        <v>332018260</v>
      </c>
      <c r="C4861" s="76">
        <v>2018</v>
      </c>
      <c r="D4861" s="76" t="s">
        <v>34</v>
      </c>
      <c r="E4861" s="76">
        <v>23</v>
      </c>
      <c r="F4861" s="76">
        <v>9.2</v>
      </c>
    </row>
    <row r="4862" s="76" customFormat="1" spans="1:6">
      <c r="A4862">
        <v>5007</v>
      </c>
      <c r="B4862">
        <v>332018260</v>
      </c>
      <c r="C4862" s="76">
        <v>2018</v>
      </c>
      <c r="D4862" s="76" t="s">
        <v>34</v>
      </c>
      <c r="E4862" s="76" t="s">
        <v>32</v>
      </c>
      <c r="F4862" s="76">
        <v>10.8</v>
      </c>
    </row>
    <row r="4863" s="76" customFormat="1" spans="1:6">
      <c r="A4863">
        <v>5027</v>
      </c>
      <c r="B4863">
        <v>332018270</v>
      </c>
      <c r="C4863" s="76">
        <v>2018</v>
      </c>
      <c r="D4863" s="76" t="s">
        <v>31</v>
      </c>
      <c r="E4863" s="76" t="s">
        <v>32</v>
      </c>
      <c r="F4863" s="76">
        <v>1.45</v>
      </c>
    </row>
    <row r="4864" s="76" customFormat="1" spans="1:6">
      <c r="A4864">
        <v>5051</v>
      </c>
      <c r="B4864">
        <v>332018270</v>
      </c>
      <c r="C4864" s="76">
        <v>2018</v>
      </c>
      <c r="D4864" s="76" t="s">
        <v>31</v>
      </c>
      <c r="E4864" s="76" t="s">
        <v>32</v>
      </c>
      <c r="F4864" s="76">
        <v>0.38</v>
      </c>
    </row>
    <row r="4865" s="76" customFormat="1" spans="1:6">
      <c r="A4865">
        <v>5023</v>
      </c>
      <c r="B4865">
        <v>332018270</v>
      </c>
      <c r="C4865" s="76">
        <v>2018</v>
      </c>
      <c r="D4865" s="76" t="s">
        <v>31</v>
      </c>
      <c r="E4865" s="76" t="s">
        <v>32</v>
      </c>
      <c r="F4865" s="76">
        <v>2.7</v>
      </c>
    </row>
    <row r="4866" s="76" customFormat="1" spans="1:6">
      <c r="A4866">
        <v>5029</v>
      </c>
      <c r="B4866">
        <v>332018270</v>
      </c>
      <c r="C4866" s="76">
        <v>2018</v>
      </c>
      <c r="D4866" s="76" t="s">
        <v>31</v>
      </c>
      <c r="E4866" s="76" t="s">
        <v>32</v>
      </c>
      <c r="F4866" s="76">
        <v>0.1</v>
      </c>
    </row>
    <row r="4867" s="76" customFormat="1" spans="1:6">
      <c r="A4867">
        <v>5030</v>
      </c>
      <c r="B4867">
        <v>332018270</v>
      </c>
      <c r="C4867" s="76">
        <v>2018</v>
      </c>
      <c r="D4867" s="76" t="s">
        <v>31</v>
      </c>
      <c r="E4867" s="76" t="s">
        <v>32</v>
      </c>
      <c r="F4867" s="76">
        <v>0.42</v>
      </c>
    </row>
    <row r="4868" s="76" customFormat="1" spans="1:6">
      <c r="A4868">
        <v>5009</v>
      </c>
      <c r="B4868">
        <v>332018270</v>
      </c>
      <c r="C4868" s="76">
        <v>2018</v>
      </c>
      <c r="D4868" s="76" t="s">
        <v>31</v>
      </c>
      <c r="E4868" s="76" t="s">
        <v>32</v>
      </c>
      <c r="F4868" s="76">
        <v>0.53</v>
      </c>
    </row>
    <row r="4869" s="76" customFormat="1" spans="1:6">
      <c r="A4869">
        <v>5028</v>
      </c>
      <c r="B4869">
        <v>332018270</v>
      </c>
      <c r="C4869" s="76">
        <v>2018</v>
      </c>
      <c r="D4869" s="76" t="s">
        <v>31</v>
      </c>
      <c r="E4869" s="76" t="s">
        <v>32</v>
      </c>
      <c r="F4869" s="76">
        <v>2.5</v>
      </c>
    </row>
    <row r="4870" s="76" customFormat="1" spans="1:6">
      <c r="A4870">
        <v>5041</v>
      </c>
      <c r="B4870">
        <v>332018270</v>
      </c>
      <c r="C4870" s="76">
        <v>2018</v>
      </c>
      <c r="D4870" s="76" t="s">
        <v>31</v>
      </c>
      <c r="E4870" s="76" t="s">
        <v>32</v>
      </c>
      <c r="F4870" s="76">
        <v>2.5</v>
      </c>
    </row>
    <row r="4871" s="76" customFormat="1" spans="1:6">
      <c r="A4871">
        <v>5038</v>
      </c>
      <c r="B4871">
        <v>332018270</v>
      </c>
      <c r="C4871" s="76">
        <v>2018</v>
      </c>
      <c r="D4871" s="76" t="s">
        <v>31</v>
      </c>
      <c r="E4871" s="76" t="s">
        <v>32</v>
      </c>
      <c r="F4871" s="76">
        <v>1.26</v>
      </c>
    </row>
    <row r="4872" s="76" customFormat="1" spans="1:6">
      <c r="A4872">
        <v>5045</v>
      </c>
      <c r="B4872">
        <v>332018270</v>
      </c>
      <c r="C4872" s="76">
        <v>2018</v>
      </c>
      <c r="D4872" s="76" t="s">
        <v>31</v>
      </c>
      <c r="E4872" s="76" t="s">
        <v>32</v>
      </c>
      <c r="F4872" s="76">
        <v>2.1</v>
      </c>
    </row>
    <row r="4873" s="76" customFormat="1" spans="1:6">
      <c r="A4873">
        <v>5033</v>
      </c>
      <c r="B4873">
        <v>332018270</v>
      </c>
      <c r="C4873" s="76">
        <v>2018</v>
      </c>
      <c r="D4873" s="76" t="s">
        <v>31</v>
      </c>
      <c r="E4873" s="76" t="s">
        <v>32</v>
      </c>
      <c r="F4873" s="76">
        <v>1.5</v>
      </c>
    </row>
    <row r="4874" s="76" customFormat="1" spans="1:6">
      <c r="A4874">
        <v>5047</v>
      </c>
      <c r="B4874">
        <v>332018270</v>
      </c>
      <c r="C4874" s="76">
        <v>2018</v>
      </c>
      <c r="D4874" s="76" t="s">
        <v>31</v>
      </c>
      <c r="E4874" s="76" t="s">
        <v>32</v>
      </c>
      <c r="F4874" s="76">
        <v>0.75</v>
      </c>
    </row>
    <row r="4875" s="76" customFormat="1" spans="1:6">
      <c r="A4875">
        <v>5046</v>
      </c>
      <c r="B4875">
        <v>332018270</v>
      </c>
      <c r="C4875" s="76">
        <v>2018</v>
      </c>
      <c r="D4875" s="76" t="s">
        <v>31</v>
      </c>
      <c r="E4875" s="76" t="s">
        <v>32</v>
      </c>
      <c r="F4875" s="76">
        <v>0.75</v>
      </c>
    </row>
    <row r="4876" s="76" customFormat="1" spans="1:6">
      <c r="A4876">
        <v>5036</v>
      </c>
      <c r="B4876">
        <v>332018270</v>
      </c>
      <c r="C4876" s="76">
        <v>2018</v>
      </c>
      <c r="D4876" s="76" t="s">
        <v>31</v>
      </c>
      <c r="E4876" s="76" t="s">
        <v>32</v>
      </c>
      <c r="F4876" s="76">
        <v>0.8</v>
      </c>
    </row>
    <row r="4877" s="76" customFormat="1" spans="1:6">
      <c r="A4877">
        <v>5026</v>
      </c>
      <c r="B4877">
        <v>332018270</v>
      </c>
      <c r="C4877" s="76">
        <v>2018</v>
      </c>
      <c r="D4877" s="76" t="s">
        <v>31</v>
      </c>
      <c r="E4877" s="76" t="s">
        <v>32</v>
      </c>
      <c r="F4877" s="76">
        <v>2.5</v>
      </c>
    </row>
    <row r="4878" s="76" customFormat="1" spans="1:6">
      <c r="A4878">
        <v>5039</v>
      </c>
      <c r="B4878">
        <v>332018270</v>
      </c>
      <c r="C4878" s="76">
        <v>2018</v>
      </c>
      <c r="D4878" s="76" t="s">
        <v>31</v>
      </c>
      <c r="E4878" s="76" t="s">
        <v>32</v>
      </c>
      <c r="F4878" s="76">
        <v>2.5</v>
      </c>
    </row>
    <row r="4879" s="76" customFormat="1" spans="1:6">
      <c r="A4879">
        <v>5015</v>
      </c>
      <c r="B4879">
        <v>332018270</v>
      </c>
      <c r="C4879" s="76">
        <v>2018</v>
      </c>
      <c r="D4879" s="76" t="s">
        <v>31</v>
      </c>
      <c r="E4879" s="76" t="s">
        <v>32</v>
      </c>
      <c r="F4879" s="76">
        <v>3</v>
      </c>
    </row>
    <row r="4880" s="76" customFormat="1" spans="1:6">
      <c r="A4880">
        <v>5022</v>
      </c>
      <c r="B4880">
        <v>332018270</v>
      </c>
      <c r="C4880" s="76">
        <v>2018</v>
      </c>
      <c r="D4880" s="76" t="s">
        <v>31</v>
      </c>
      <c r="E4880" s="76" t="s">
        <v>32</v>
      </c>
      <c r="F4880" s="76">
        <v>8</v>
      </c>
    </row>
    <row r="4881" s="76" customFormat="1" spans="1:6">
      <c r="A4881">
        <v>5050</v>
      </c>
      <c r="B4881">
        <v>332018270</v>
      </c>
      <c r="C4881" s="76">
        <v>2018</v>
      </c>
      <c r="D4881" s="76" t="s">
        <v>31</v>
      </c>
      <c r="E4881" s="76" t="s">
        <v>32</v>
      </c>
      <c r="F4881" s="76">
        <v>3</v>
      </c>
    </row>
    <row r="4882" s="76" customFormat="1" spans="1:6">
      <c r="A4882">
        <v>5049</v>
      </c>
      <c r="B4882">
        <v>332018270</v>
      </c>
      <c r="C4882" s="76">
        <v>2018</v>
      </c>
      <c r="D4882" s="76" t="s">
        <v>31</v>
      </c>
      <c r="E4882" s="76" t="s">
        <v>32</v>
      </c>
      <c r="F4882" s="76">
        <v>3</v>
      </c>
    </row>
    <row r="4883" s="76" customFormat="1" spans="1:6">
      <c r="A4883">
        <v>5048</v>
      </c>
      <c r="B4883">
        <v>332018270</v>
      </c>
      <c r="C4883" s="76">
        <v>2018</v>
      </c>
      <c r="D4883" s="76" t="s">
        <v>31</v>
      </c>
      <c r="E4883" s="76" t="s">
        <v>32</v>
      </c>
      <c r="F4883" s="76">
        <v>6.5</v>
      </c>
    </row>
    <row r="4884" s="76" customFormat="1" spans="1:6">
      <c r="A4884">
        <v>5037</v>
      </c>
      <c r="B4884">
        <v>332018270</v>
      </c>
      <c r="C4884" s="76">
        <v>2018</v>
      </c>
      <c r="D4884" s="76" t="s">
        <v>31</v>
      </c>
      <c r="E4884" s="76" t="s">
        <v>32</v>
      </c>
      <c r="F4884" s="76">
        <v>0.6</v>
      </c>
    </row>
    <row r="4885" s="76" customFormat="1" spans="1:6">
      <c r="A4885">
        <v>5040</v>
      </c>
      <c r="B4885">
        <v>332018270</v>
      </c>
      <c r="C4885" s="76">
        <v>2018</v>
      </c>
      <c r="D4885" s="76" t="s">
        <v>31</v>
      </c>
      <c r="E4885" s="76" t="s">
        <v>32</v>
      </c>
      <c r="F4885" s="76">
        <v>1.2</v>
      </c>
    </row>
    <row r="4886" s="76" customFormat="1" spans="1:6">
      <c r="A4886">
        <v>5014</v>
      </c>
      <c r="B4886">
        <v>332018270</v>
      </c>
      <c r="C4886" s="76">
        <v>2018</v>
      </c>
      <c r="D4886" s="76" t="s">
        <v>31</v>
      </c>
      <c r="E4886" s="76" t="s">
        <v>32</v>
      </c>
      <c r="F4886" s="76">
        <v>2.35</v>
      </c>
    </row>
    <row r="4887" s="76" customFormat="1" spans="1:6">
      <c r="A4887">
        <v>5010</v>
      </c>
      <c r="B4887">
        <v>332018270</v>
      </c>
      <c r="C4887" s="76">
        <v>2018</v>
      </c>
      <c r="D4887" s="76" t="s">
        <v>31</v>
      </c>
      <c r="E4887" s="76" t="s">
        <v>32</v>
      </c>
      <c r="F4887" s="76">
        <v>3.25</v>
      </c>
    </row>
    <row r="4888" s="76" customFormat="1" spans="1:6">
      <c r="A4888">
        <v>5042</v>
      </c>
      <c r="B4888">
        <v>332018270</v>
      </c>
      <c r="C4888" s="76">
        <v>2018</v>
      </c>
      <c r="D4888" s="76" t="s">
        <v>31</v>
      </c>
      <c r="E4888" s="76" t="s">
        <v>32</v>
      </c>
      <c r="F4888" s="76">
        <v>3.25</v>
      </c>
    </row>
    <row r="4889" s="76" customFormat="1" spans="1:6">
      <c r="A4889">
        <v>5024</v>
      </c>
      <c r="B4889">
        <v>332018270</v>
      </c>
      <c r="C4889" s="76">
        <v>2018</v>
      </c>
      <c r="D4889" s="76" t="s">
        <v>31</v>
      </c>
      <c r="E4889" s="76" t="s">
        <v>32</v>
      </c>
      <c r="F4889" s="76">
        <v>1.2</v>
      </c>
    </row>
    <row r="4890" s="76" customFormat="1" spans="1:6">
      <c r="A4890">
        <v>5021</v>
      </c>
      <c r="B4890">
        <v>332018270</v>
      </c>
      <c r="C4890" s="76">
        <v>2018</v>
      </c>
      <c r="D4890" s="76" t="s">
        <v>31</v>
      </c>
      <c r="E4890" s="76" t="s">
        <v>32</v>
      </c>
      <c r="F4890" s="76">
        <v>3.9</v>
      </c>
    </row>
    <row r="4891" s="76" customFormat="1" spans="1:6">
      <c r="A4891">
        <v>5031</v>
      </c>
      <c r="B4891">
        <v>332018270</v>
      </c>
      <c r="C4891" s="76">
        <v>2018</v>
      </c>
      <c r="D4891" s="76" t="s">
        <v>31</v>
      </c>
      <c r="E4891" s="76" t="s">
        <v>32</v>
      </c>
      <c r="F4891" s="76">
        <v>0.8</v>
      </c>
    </row>
    <row r="4892" s="76" customFormat="1" spans="1:6">
      <c r="A4892">
        <v>5043</v>
      </c>
      <c r="B4892">
        <v>332018270</v>
      </c>
      <c r="C4892" s="76">
        <v>2018</v>
      </c>
      <c r="D4892" s="76" t="s">
        <v>31</v>
      </c>
      <c r="E4892" s="76" t="s">
        <v>32</v>
      </c>
      <c r="F4892" s="76">
        <v>0.6</v>
      </c>
    </row>
    <row r="4893" s="76" customFormat="1" spans="1:6">
      <c r="A4893">
        <v>5044</v>
      </c>
      <c r="B4893">
        <v>332018270</v>
      </c>
      <c r="C4893" s="76">
        <v>2018</v>
      </c>
      <c r="D4893" s="76" t="s">
        <v>31</v>
      </c>
      <c r="E4893" s="76" t="s">
        <v>32</v>
      </c>
      <c r="F4893" s="76">
        <v>1.2</v>
      </c>
    </row>
    <row r="4894" s="76" customFormat="1" spans="1:6">
      <c r="A4894">
        <v>5019</v>
      </c>
      <c r="B4894">
        <v>332018270</v>
      </c>
      <c r="C4894" s="76">
        <v>2018</v>
      </c>
      <c r="D4894" s="76" t="s">
        <v>31</v>
      </c>
      <c r="E4894" s="76" t="s">
        <v>32</v>
      </c>
      <c r="F4894" s="76">
        <v>0.02</v>
      </c>
    </row>
    <row r="4895" s="76" customFormat="1" spans="1:6">
      <c r="A4895">
        <v>5035</v>
      </c>
      <c r="B4895">
        <v>332018270</v>
      </c>
      <c r="C4895" s="76">
        <v>2018</v>
      </c>
      <c r="D4895" s="76" t="s">
        <v>31</v>
      </c>
      <c r="E4895" s="76" t="s">
        <v>32</v>
      </c>
      <c r="F4895" s="76">
        <v>6</v>
      </c>
    </row>
    <row r="4896" s="76" customFormat="1" spans="1:6">
      <c r="A4896">
        <v>5034</v>
      </c>
      <c r="B4896">
        <v>332018270</v>
      </c>
      <c r="C4896" s="76">
        <v>2018</v>
      </c>
      <c r="D4896" s="76" t="s">
        <v>31</v>
      </c>
      <c r="E4896" s="76" t="s">
        <v>32</v>
      </c>
      <c r="F4896" s="76">
        <v>0.75</v>
      </c>
    </row>
    <row r="4897" s="76" customFormat="1" spans="1:6">
      <c r="A4897">
        <v>5016</v>
      </c>
      <c r="B4897">
        <v>332018270</v>
      </c>
      <c r="C4897" s="76">
        <v>2018</v>
      </c>
      <c r="D4897" s="76" t="s">
        <v>31</v>
      </c>
      <c r="E4897" s="76" t="s">
        <v>32</v>
      </c>
      <c r="F4897" s="76">
        <v>0.47</v>
      </c>
    </row>
    <row r="4898" s="76" customFormat="1" spans="1:6">
      <c r="A4898">
        <v>5017</v>
      </c>
      <c r="B4898">
        <v>332018270</v>
      </c>
      <c r="C4898" s="76">
        <v>2018</v>
      </c>
      <c r="D4898" s="76" t="s">
        <v>31</v>
      </c>
      <c r="E4898" s="76" t="s">
        <v>32</v>
      </c>
      <c r="F4898" s="76">
        <v>1.1</v>
      </c>
    </row>
    <row r="4899" s="76" customFormat="1" spans="1:6">
      <c r="A4899">
        <v>5008</v>
      </c>
      <c r="B4899">
        <v>332018270</v>
      </c>
      <c r="C4899" s="76">
        <v>2018</v>
      </c>
      <c r="D4899" s="76" t="s">
        <v>31</v>
      </c>
      <c r="E4899" s="76" t="s">
        <v>32</v>
      </c>
      <c r="F4899" s="76">
        <v>0.5</v>
      </c>
    </row>
    <row r="4900" s="76" customFormat="1" spans="1:6">
      <c r="A4900">
        <v>5011</v>
      </c>
      <c r="B4900">
        <v>332018270</v>
      </c>
      <c r="C4900" s="76">
        <v>2018</v>
      </c>
      <c r="D4900" s="76" t="s">
        <v>31</v>
      </c>
      <c r="E4900" s="76" t="s">
        <v>32</v>
      </c>
      <c r="F4900" s="76">
        <v>0.37</v>
      </c>
    </row>
    <row r="4901" s="76" customFormat="1" spans="1:6">
      <c r="A4901">
        <v>5013</v>
      </c>
      <c r="B4901">
        <v>332018270</v>
      </c>
      <c r="C4901" s="76">
        <v>2018</v>
      </c>
      <c r="D4901" s="76" t="s">
        <v>31</v>
      </c>
      <c r="E4901" s="76" t="s">
        <v>32</v>
      </c>
      <c r="F4901" s="76">
        <v>0.06</v>
      </c>
    </row>
    <row r="4902" s="76" customFormat="1" spans="1:6">
      <c r="A4902">
        <v>5012</v>
      </c>
      <c r="B4902">
        <v>332018270</v>
      </c>
      <c r="C4902" s="76">
        <v>2018</v>
      </c>
      <c r="D4902" s="76" t="s">
        <v>31</v>
      </c>
      <c r="E4902" s="76" t="s">
        <v>32</v>
      </c>
      <c r="F4902" s="76">
        <v>0.06</v>
      </c>
    </row>
    <row r="4903" s="76" customFormat="1" spans="1:6">
      <c r="A4903">
        <v>5020</v>
      </c>
      <c r="B4903">
        <v>332018270</v>
      </c>
      <c r="C4903" s="76">
        <v>2018</v>
      </c>
      <c r="D4903" s="76" t="s">
        <v>31</v>
      </c>
      <c r="E4903" s="76" t="s">
        <v>32</v>
      </c>
      <c r="F4903" s="76">
        <v>0.56</v>
      </c>
    </row>
    <row r="4904" s="76" customFormat="1" spans="1:6">
      <c r="A4904">
        <v>5025</v>
      </c>
      <c r="B4904">
        <v>332018270</v>
      </c>
      <c r="C4904" s="76">
        <v>2018</v>
      </c>
      <c r="D4904" s="76" t="s">
        <v>31</v>
      </c>
      <c r="E4904" s="76" t="s">
        <v>32</v>
      </c>
      <c r="F4904" s="76">
        <v>1.6</v>
      </c>
    </row>
    <row r="4905" s="76" customFormat="1" spans="1:6">
      <c r="A4905">
        <v>5018</v>
      </c>
      <c r="B4905">
        <v>332018270</v>
      </c>
      <c r="C4905" s="76">
        <v>2018</v>
      </c>
      <c r="D4905" s="76" t="s">
        <v>31</v>
      </c>
      <c r="E4905" s="76" t="s">
        <v>32</v>
      </c>
      <c r="F4905" s="76">
        <v>1.99</v>
      </c>
    </row>
    <row r="4906" s="76" customFormat="1" spans="1:6">
      <c r="A4906">
        <v>5053</v>
      </c>
      <c r="B4906">
        <v>332019110</v>
      </c>
      <c r="C4906" s="76">
        <v>2019</v>
      </c>
      <c r="D4906" s="76" t="s">
        <v>40</v>
      </c>
      <c r="E4906" s="76" t="s">
        <v>32</v>
      </c>
      <c r="F4906" s="76">
        <v>0.55</v>
      </c>
    </row>
    <row r="4907" s="76" customFormat="1" spans="1:6">
      <c r="A4907">
        <v>5052</v>
      </c>
      <c r="B4907">
        <v>332019110</v>
      </c>
      <c r="C4907" s="76">
        <v>2019</v>
      </c>
      <c r="D4907" s="76" t="s">
        <v>40</v>
      </c>
      <c r="E4907" s="76" t="s">
        <v>32</v>
      </c>
      <c r="F4907" s="76">
        <v>1.6</v>
      </c>
    </row>
    <row r="4908" s="76" customFormat="1" spans="1:6">
      <c r="A4908">
        <v>5055</v>
      </c>
      <c r="B4908">
        <v>332019110</v>
      </c>
      <c r="C4908" s="76">
        <v>2019</v>
      </c>
      <c r="D4908" s="76" t="s">
        <v>40</v>
      </c>
      <c r="E4908" s="76" t="s">
        <v>32</v>
      </c>
      <c r="F4908" s="76">
        <v>0.28</v>
      </c>
    </row>
    <row r="4909" s="76" customFormat="1" spans="1:6">
      <c r="A4909">
        <v>5056</v>
      </c>
      <c r="B4909">
        <v>332019110</v>
      </c>
      <c r="C4909" s="76">
        <v>2019</v>
      </c>
      <c r="D4909" s="76" t="s">
        <v>40</v>
      </c>
      <c r="E4909" s="76" t="s">
        <v>32</v>
      </c>
      <c r="F4909" s="76">
        <v>0.5</v>
      </c>
    </row>
    <row r="4910" s="76" customFormat="1" spans="1:6">
      <c r="A4910">
        <v>5057</v>
      </c>
      <c r="B4910">
        <v>332019110</v>
      </c>
      <c r="C4910" s="76">
        <v>2019</v>
      </c>
      <c r="D4910" s="76" t="s">
        <v>40</v>
      </c>
      <c r="E4910" s="76" t="s">
        <v>32</v>
      </c>
      <c r="F4910" s="76">
        <v>0.2</v>
      </c>
    </row>
    <row r="4911" s="76" customFormat="1" spans="1:6">
      <c r="A4911">
        <v>5054</v>
      </c>
      <c r="B4911">
        <v>332019110</v>
      </c>
      <c r="C4911" s="76">
        <v>2019</v>
      </c>
      <c r="D4911" s="76" t="s">
        <v>40</v>
      </c>
      <c r="E4911" s="76" t="s">
        <v>32</v>
      </c>
      <c r="F4911" s="76">
        <v>1.26</v>
      </c>
    </row>
    <row r="4912" s="76" customFormat="1" spans="1:6">
      <c r="A4912">
        <v>5060</v>
      </c>
      <c r="B4912">
        <v>332019211</v>
      </c>
      <c r="C4912" s="76">
        <v>2019</v>
      </c>
      <c r="D4912" s="76" t="s">
        <v>37</v>
      </c>
      <c r="E4912" s="76" t="s">
        <v>32</v>
      </c>
      <c r="F4912" s="76">
        <v>2.5</v>
      </c>
    </row>
    <row r="4913" s="76" customFormat="1" spans="1:6">
      <c r="A4913">
        <v>5065</v>
      </c>
      <c r="B4913">
        <v>332019211</v>
      </c>
      <c r="C4913" s="76">
        <v>2019</v>
      </c>
      <c r="D4913" s="76" t="s">
        <v>37</v>
      </c>
      <c r="E4913" s="76" t="s">
        <v>32</v>
      </c>
      <c r="F4913" s="76">
        <v>1.5</v>
      </c>
    </row>
    <row r="4914" s="76" customFormat="1" spans="1:6">
      <c r="A4914">
        <v>5063</v>
      </c>
      <c r="B4914">
        <v>332019211</v>
      </c>
      <c r="C4914" s="76">
        <v>2019</v>
      </c>
      <c r="D4914" s="76" t="s">
        <v>37</v>
      </c>
      <c r="E4914" s="76" t="s">
        <v>32</v>
      </c>
      <c r="F4914" s="76">
        <v>0.1</v>
      </c>
    </row>
    <row r="4915" s="76" customFormat="1" spans="1:6">
      <c r="A4915">
        <v>5066</v>
      </c>
      <c r="B4915">
        <v>332019211</v>
      </c>
      <c r="C4915" s="76">
        <v>2019</v>
      </c>
      <c r="D4915" s="76" t="s">
        <v>37</v>
      </c>
      <c r="E4915" s="76" t="s">
        <v>32</v>
      </c>
      <c r="F4915" s="76">
        <v>1.5</v>
      </c>
    </row>
    <row r="4916" s="76" customFormat="1" spans="1:6">
      <c r="A4916">
        <v>5062</v>
      </c>
      <c r="B4916">
        <v>332019211</v>
      </c>
      <c r="C4916" s="76">
        <v>2019</v>
      </c>
      <c r="D4916" s="76" t="s">
        <v>37</v>
      </c>
      <c r="E4916" s="76" t="s">
        <v>32</v>
      </c>
      <c r="F4916" s="76">
        <v>0.9</v>
      </c>
    </row>
    <row r="4917" s="76" customFormat="1" spans="1:6">
      <c r="A4917">
        <v>5064</v>
      </c>
      <c r="B4917">
        <v>332019211</v>
      </c>
      <c r="C4917" s="76">
        <v>2019</v>
      </c>
      <c r="D4917" s="76" t="s">
        <v>37</v>
      </c>
      <c r="E4917" s="76" t="s">
        <v>32</v>
      </c>
      <c r="F4917" s="76">
        <v>1.5</v>
      </c>
    </row>
    <row r="4918" s="76" customFormat="1" spans="1:6">
      <c r="A4918">
        <v>5061</v>
      </c>
      <c r="B4918">
        <v>332019211</v>
      </c>
      <c r="C4918" s="76">
        <v>2019</v>
      </c>
      <c r="D4918" s="76" t="s">
        <v>37</v>
      </c>
      <c r="E4918" s="76" t="s">
        <v>32</v>
      </c>
      <c r="F4918" s="76">
        <v>0.81</v>
      </c>
    </row>
    <row r="4919" s="76" customFormat="1" spans="1:6">
      <c r="A4919">
        <v>5059</v>
      </c>
      <c r="B4919">
        <v>332019211</v>
      </c>
      <c r="C4919" s="76">
        <v>2019</v>
      </c>
      <c r="D4919" s="76" t="s">
        <v>37</v>
      </c>
      <c r="E4919" s="76" t="s">
        <v>32</v>
      </c>
      <c r="F4919" s="76">
        <v>1.5</v>
      </c>
    </row>
    <row r="4920" s="76" customFormat="1" spans="1:6">
      <c r="A4920">
        <v>5067</v>
      </c>
      <c r="B4920">
        <v>332019221</v>
      </c>
      <c r="C4920" s="76">
        <v>2019</v>
      </c>
      <c r="D4920" s="76" t="s">
        <v>30</v>
      </c>
      <c r="E4920" s="76">
        <v>7</v>
      </c>
      <c r="F4920" s="76">
        <v>2.99</v>
      </c>
    </row>
    <row r="4921" s="76" customFormat="1" spans="1:6">
      <c r="A4921">
        <v>5070</v>
      </c>
      <c r="B4921">
        <v>332019241</v>
      </c>
      <c r="C4921" s="76">
        <v>2019</v>
      </c>
      <c r="D4921" s="76" t="s">
        <v>33</v>
      </c>
      <c r="E4921" s="76" t="s">
        <v>32</v>
      </c>
      <c r="F4921" s="76">
        <v>8.78</v>
      </c>
    </row>
    <row r="4922" s="76" customFormat="1" spans="1:6">
      <c r="A4922">
        <v>5069</v>
      </c>
      <c r="B4922">
        <v>332019241</v>
      </c>
      <c r="C4922" s="76">
        <v>2019</v>
      </c>
      <c r="D4922" s="76" t="s">
        <v>33</v>
      </c>
      <c r="E4922" s="76" t="s">
        <v>32</v>
      </c>
      <c r="F4922" s="76">
        <v>1.32</v>
      </c>
    </row>
    <row r="4923" s="76" customFormat="1" spans="1:6">
      <c r="A4923">
        <v>5071</v>
      </c>
      <c r="B4923">
        <v>332019241</v>
      </c>
      <c r="C4923" s="76">
        <v>2019</v>
      </c>
      <c r="D4923" s="76" t="s">
        <v>33</v>
      </c>
      <c r="E4923" s="76" t="s">
        <v>32</v>
      </c>
      <c r="F4923" s="76">
        <v>0.9</v>
      </c>
    </row>
    <row r="4924" s="76" customFormat="1" spans="1:6">
      <c r="A4924">
        <v>5068</v>
      </c>
      <c r="B4924">
        <v>332019241</v>
      </c>
      <c r="C4924" s="76">
        <v>2019</v>
      </c>
      <c r="D4924" s="76" t="s">
        <v>33</v>
      </c>
      <c r="E4924" s="76" t="s">
        <v>32</v>
      </c>
      <c r="F4924" s="76">
        <v>0.6</v>
      </c>
    </row>
    <row r="4925" s="76" customFormat="1" spans="1:6">
      <c r="A4925">
        <v>5078</v>
      </c>
      <c r="B4925">
        <v>332019242</v>
      </c>
      <c r="C4925" s="76">
        <v>2019</v>
      </c>
      <c r="D4925" s="76" t="s">
        <v>35</v>
      </c>
      <c r="E4925" s="76" t="s">
        <v>32</v>
      </c>
      <c r="F4925" s="76">
        <v>1.2</v>
      </c>
    </row>
    <row r="4926" s="76" customFormat="1" spans="1:6">
      <c r="A4926">
        <v>5074</v>
      </c>
      <c r="B4926">
        <v>332019242</v>
      </c>
      <c r="C4926" s="76">
        <v>2019</v>
      </c>
      <c r="D4926" s="76" t="s">
        <v>35</v>
      </c>
      <c r="E4926" s="76" t="s">
        <v>32</v>
      </c>
      <c r="F4926" s="76">
        <v>1.5</v>
      </c>
    </row>
    <row r="4927" s="76" customFormat="1" spans="1:6">
      <c r="A4927">
        <v>5077</v>
      </c>
      <c r="B4927">
        <v>332019242</v>
      </c>
      <c r="C4927" s="76">
        <v>2019</v>
      </c>
      <c r="D4927" s="76" t="s">
        <v>35</v>
      </c>
      <c r="E4927" s="76" t="s">
        <v>32</v>
      </c>
      <c r="F4927" s="76">
        <v>4</v>
      </c>
    </row>
    <row r="4928" s="76" customFormat="1" spans="1:6">
      <c r="A4928">
        <v>5073</v>
      </c>
      <c r="B4928">
        <v>332019242</v>
      </c>
      <c r="C4928" s="76">
        <v>2019</v>
      </c>
      <c r="D4928" s="76" t="s">
        <v>35</v>
      </c>
      <c r="E4928" s="76" t="s">
        <v>32</v>
      </c>
      <c r="F4928" s="76">
        <v>1.8</v>
      </c>
    </row>
    <row r="4929" s="76" customFormat="1" spans="1:6">
      <c r="A4929">
        <v>5076</v>
      </c>
      <c r="B4929">
        <v>332019242</v>
      </c>
      <c r="C4929" s="76">
        <v>2019</v>
      </c>
      <c r="D4929" s="76" t="s">
        <v>35</v>
      </c>
      <c r="E4929" s="76">
        <v>1</v>
      </c>
      <c r="F4929" s="76">
        <v>3</v>
      </c>
    </row>
    <row r="4930" s="76" customFormat="1" spans="1:6">
      <c r="A4930">
        <v>5075</v>
      </c>
      <c r="B4930">
        <v>332019242</v>
      </c>
      <c r="C4930" s="76">
        <v>2019</v>
      </c>
      <c r="D4930" s="76" t="s">
        <v>35</v>
      </c>
      <c r="E4930" s="76" t="s">
        <v>32</v>
      </c>
      <c r="F4930" s="76">
        <v>6.8</v>
      </c>
    </row>
    <row r="4931" s="76" customFormat="1" spans="1:6">
      <c r="A4931">
        <v>5079</v>
      </c>
      <c r="B4931">
        <v>332019243</v>
      </c>
      <c r="C4931" s="76">
        <v>2019</v>
      </c>
      <c r="D4931" s="76" t="s">
        <v>38</v>
      </c>
      <c r="E4931" s="76" t="s">
        <v>32</v>
      </c>
      <c r="F4931" s="76">
        <v>1.5</v>
      </c>
    </row>
    <row r="4932" s="76" customFormat="1" spans="1:6">
      <c r="A4932">
        <v>5082</v>
      </c>
      <c r="B4932">
        <v>332019260</v>
      </c>
      <c r="C4932" s="76">
        <v>2019</v>
      </c>
      <c r="D4932" s="76" t="s">
        <v>34</v>
      </c>
      <c r="E4932" s="76">
        <v>14</v>
      </c>
      <c r="F4932" s="76">
        <v>2.8</v>
      </c>
    </row>
    <row r="4933" s="76" customFormat="1" spans="1:6">
      <c r="A4933">
        <v>5081</v>
      </c>
      <c r="B4933">
        <v>332019260</v>
      </c>
      <c r="C4933" s="76">
        <v>2019</v>
      </c>
      <c r="D4933" s="76" t="s">
        <v>34</v>
      </c>
      <c r="E4933" s="76">
        <v>4</v>
      </c>
      <c r="F4933" s="76">
        <v>1.2</v>
      </c>
    </row>
    <row r="4934" s="76" customFormat="1" spans="1:6">
      <c r="A4934">
        <v>5080</v>
      </c>
      <c r="B4934">
        <v>332019260</v>
      </c>
      <c r="C4934" s="76">
        <v>2019</v>
      </c>
      <c r="D4934" s="76" t="s">
        <v>34</v>
      </c>
      <c r="E4934" s="76">
        <v>27</v>
      </c>
      <c r="F4934" s="76">
        <v>10.8</v>
      </c>
    </row>
    <row r="4935" s="76" customFormat="1" spans="1:6">
      <c r="A4935">
        <v>5097</v>
      </c>
      <c r="B4935">
        <v>332019270</v>
      </c>
      <c r="C4935" s="76">
        <v>2019</v>
      </c>
      <c r="D4935" s="76" t="s">
        <v>31</v>
      </c>
      <c r="E4935" s="76" t="s">
        <v>32</v>
      </c>
      <c r="F4935" s="76">
        <v>1</v>
      </c>
    </row>
    <row r="4936" s="76" customFormat="1" spans="1:6">
      <c r="A4936">
        <v>5100</v>
      </c>
      <c r="B4936">
        <v>332019270</v>
      </c>
      <c r="C4936" s="76">
        <v>2019</v>
      </c>
      <c r="D4936" s="76" t="s">
        <v>31</v>
      </c>
      <c r="E4936" s="76" t="s">
        <v>32</v>
      </c>
      <c r="F4936" s="76">
        <v>2</v>
      </c>
    </row>
    <row r="4937" s="76" customFormat="1" spans="1:6">
      <c r="A4937">
        <v>5098</v>
      </c>
      <c r="B4937">
        <v>332019270</v>
      </c>
      <c r="C4937" s="76">
        <v>2019</v>
      </c>
      <c r="D4937" s="76" t="s">
        <v>31</v>
      </c>
      <c r="E4937" s="76" t="s">
        <v>32</v>
      </c>
      <c r="F4937" s="76">
        <v>2</v>
      </c>
    </row>
    <row r="4938" s="76" customFormat="1" spans="1:6">
      <c r="A4938">
        <v>5101</v>
      </c>
      <c r="B4938">
        <v>332019270</v>
      </c>
      <c r="C4938" s="76">
        <v>2019</v>
      </c>
      <c r="D4938" s="76" t="s">
        <v>31</v>
      </c>
      <c r="E4938" s="76" t="s">
        <v>32</v>
      </c>
      <c r="F4938" s="76">
        <v>0.5</v>
      </c>
    </row>
    <row r="4939" s="76" customFormat="1" spans="1:6">
      <c r="A4939">
        <v>5105</v>
      </c>
      <c r="B4939">
        <v>332019270</v>
      </c>
      <c r="C4939" s="76">
        <v>2019</v>
      </c>
      <c r="D4939" s="76" t="s">
        <v>31</v>
      </c>
      <c r="E4939" s="76" t="s">
        <v>32</v>
      </c>
      <c r="F4939" s="76">
        <v>4</v>
      </c>
    </row>
    <row r="4940" s="76" customFormat="1" spans="1:6">
      <c r="A4940">
        <v>5099</v>
      </c>
      <c r="B4940">
        <v>332019270</v>
      </c>
      <c r="C4940" s="76">
        <v>2019</v>
      </c>
      <c r="D4940" s="76" t="s">
        <v>31</v>
      </c>
      <c r="E4940" s="76" t="s">
        <v>32</v>
      </c>
      <c r="F4940" s="76">
        <v>0.05</v>
      </c>
    </row>
    <row r="4941" s="76" customFormat="1" spans="1:6">
      <c r="A4941">
        <v>5088</v>
      </c>
      <c r="B4941">
        <v>332019270</v>
      </c>
      <c r="C4941" s="76">
        <v>2019</v>
      </c>
      <c r="D4941" s="76" t="s">
        <v>31</v>
      </c>
      <c r="E4941" s="76" t="s">
        <v>32</v>
      </c>
      <c r="F4941" s="76">
        <v>2.2</v>
      </c>
    </row>
    <row r="4942" s="76" customFormat="1" spans="1:6">
      <c r="A4942">
        <v>5095</v>
      </c>
      <c r="B4942">
        <v>332019270</v>
      </c>
      <c r="C4942" s="76">
        <v>2019</v>
      </c>
      <c r="D4942" s="76" t="s">
        <v>31</v>
      </c>
      <c r="E4942" s="76" t="s">
        <v>32</v>
      </c>
      <c r="F4942" s="76">
        <v>11</v>
      </c>
    </row>
    <row r="4943" s="76" customFormat="1" spans="1:6">
      <c r="A4943">
        <v>5094</v>
      </c>
      <c r="B4943">
        <v>332019270</v>
      </c>
      <c r="C4943" s="76">
        <v>2019</v>
      </c>
      <c r="D4943" s="76" t="s">
        <v>31</v>
      </c>
      <c r="E4943" s="76" t="s">
        <v>32</v>
      </c>
      <c r="F4943" s="76">
        <v>11</v>
      </c>
    </row>
    <row r="4944" s="76" customFormat="1" spans="1:6">
      <c r="A4944">
        <v>5093</v>
      </c>
      <c r="B4944">
        <v>332019270</v>
      </c>
      <c r="C4944" s="76">
        <v>2019</v>
      </c>
      <c r="D4944" s="76" t="s">
        <v>31</v>
      </c>
      <c r="E4944" s="76" t="s">
        <v>32</v>
      </c>
      <c r="F4944" s="76">
        <v>0.01</v>
      </c>
    </row>
    <row r="4945" s="76" customFormat="1" spans="1:6">
      <c r="A4945">
        <v>5104</v>
      </c>
      <c r="B4945">
        <v>332019270</v>
      </c>
      <c r="C4945" s="76">
        <v>2019</v>
      </c>
      <c r="D4945" s="76" t="s">
        <v>31</v>
      </c>
      <c r="E4945" s="76" t="s">
        <v>32</v>
      </c>
      <c r="F4945" s="76">
        <v>12</v>
      </c>
    </row>
    <row r="4946" s="76" customFormat="1" spans="1:6">
      <c r="A4946">
        <v>5087</v>
      </c>
      <c r="B4946">
        <v>332019270</v>
      </c>
      <c r="C4946" s="76">
        <v>2019</v>
      </c>
      <c r="D4946" s="76" t="s">
        <v>31</v>
      </c>
      <c r="E4946" s="76" t="s">
        <v>32</v>
      </c>
      <c r="F4946" s="76">
        <v>0.18</v>
      </c>
    </row>
    <row r="4947" s="76" customFormat="1" spans="1:6">
      <c r="A4947">
        <v>5103</v>
      </c>
      <c r="B4947">
        <v>332019270</v>
      </c>
      <c r="C4947" s="76">
        <v>2019</v>
      </c>
      <c r="D4947" s="76" t="s">
        <v>31</v>
      </c>
      <c r="E4947" s="76" t="s">
        <v>32</v>
      </c>
      <c r="F4947" s="76">
        <v>0.75</v>
      </c>
    </row>
    <row r="4948" s="76" customFormat="1" spans="1:6">
      <c r="A4948">
        <v>5102</v>
      </c>
      <c r="B4948">
        <v>332019270</v>
      </c>
      <c r="C4948" s="76">
        <v>2019</v>
      </c>
      <c r="D4948" s="76" t="s">
        <v>31</v>
      </c>
      <c r="E4948" s="76" t="s">
        <v>32</v>
      </c>
      <c r="F4948" s="76">
        <v>3.6</v>
      </c>
    </row>
    <row r="4949" s="76" customFormat="1" spans="1:6">
      <c r="A4949">
        <v>5084</v>
      </c>
      <c r="B4949">
        <v>332019270</v>
      </c>
      <c r="C4949" s="76">
        <v>2019</v>
      </c>
      <c r="D4949" s="76" t="s">
        <v>31</v>
      </c>
      <c r="E4949" s="76">
        <v>1</v>
      </c>
      <c r="F4949" s="76">
        <v>0.08</v>
      </c>
    </row>
    <row r="4950" s="76" customFormat="1" spans="1:6">
      <c r="A4950">
        <v>5106</v>
      </c>
      <c r="B4950">
        <v>332019270</v>
      </c>
      <c r="C4950" s="76">
        <v>2019</v>
      </c>
      <c r="D4950" s="76" t="s">
        <v>31</v>
      </c>
      <c r="E4950" s="76" t="s">
        <v>32</v>
      </c>
      <c r="F4950" s="76">
        <v>0.8</v>
      </c>
    </row>
    <row r="4951" s="76" customFormat="1" spans="1:6">
      <c r="A4951">
        <v>5096</v>
      </c>
      <c r="B4951">
        <v>332019270</v>
      </c>
      <c r="C4951" s="76">
        <v>2019</v>
      </c>
      <c r="D4951" s="76" t="s">
        <v>31</v>
      </c>
      <c r="E4951" s="76" t="s">
        <v>32</v>
      </c>
      <c r="F4951" s="76">
        <v>0.6</v>
      </c>
    </row>
    <row r="4952" s="76" customFormat="1" spans="1:6">
      <c r="A4952">
        <v>5085</v>
      </c>
      <c r="B4952">
        <v>332019270</v>
      </c>
      <c r="C4952" s="76">
        <v>2019</v>
      </c>
      <c r="D4952" s="76" t="s">
        <v>31</v>
      </c>
      <c r="E4952" s="76" t="s">
        <v>32</v>
      </c>
      <c r="F4952" s="76">
        <v>0.1</v>
      </c>
    </row>
    <row r="4953" s="76" customFormat="1" spans="1:6">
      <c r="A4953">
        <v>5083</v>
      </c>
      <c r="B4953">
        <v>332019270</v>
      </c>
      <c r="C4953" s="76">
        <v>2019</v>
      </c>
      <c r="D4953" s="76" t="s">
        <v>31</v>
      </c>
      <c r="E4953" s="76" t="s">
        <v>32</v>
      </c>
      <c r="F4953" s="76">
        <v>1.5</v>
      </c>
    </row>
    <row r="4954" s="76" customFormat="1" spans="1:6">
      <c r="A4954">
        <v>5091</v>
      </c>
      <c r="B4954">
        <v>332019270</v>
      </c>
      <c r="C4954" s="76">
        <v>2019</v>
      </c>
      <c r="D4954" s="76" t="s">
        <v>31</v>
      </c>
      <c r="E4954" s="76" t="s">
        <v>32</v>
      </c>
      <c r="F4954" s="76">
        <v>0.1</v>
      </c>
    </row>
    <row r="4955" s="76" customFormat="1" spans="1:6">
      <c r="A4955">
        <v>5092</v>
      </c>
      <c r="B4955">
        <v>332019270</v>
      </c>
      <c r="C4955" s="76">
        <v>2019</v>
      </c>
      <c r="D4955" s="76" t="s">
        <v>31</v>
      </c>
      <c r="E4955" s="76" t="s">
        <v>32</v>
      </c>
      <c r="F4955" s="76">
        <v>0.1</v>
      </c>
    </row>
    <row r="4956" s="76" customFormat="1" spans="1:6">
      <c r="A4956">
        <v>5089</v>
      </c>
      <c r="B4956">
        <v>332019270</v>
      </c>
      <c r="C4956" s="76">
        <v>2019</v>
      </c>
      <c r="D4956" s="76" t="s">
        <v>31</v>
      </c>
      <c r="E4956" s="76" t="s">
        <v>32</v>
      </c>
      <c r="F4956" s="76">
        <v>1.5</v>
      </c>
    </row>
    <row r="4957" s="76" customFormat="1" spans="1:6">
      <c r="A4957">
        <v>5086</v>
      </c>
      <c r="B4957">
        <v>332019270</v>
      </c>
      <c r="C4957" s="76">
        <v>2019</v>
      </c>
      <c r="D4957" s="76" t="s">
        <v>31</v>
      </c>
      <c r="E4957" s="76" t="s">
        <v>32</v>
      </c>
      <c r="F4957" s="76">
        <v>1.1</v>
      </c>
    </row>
    <row r="4958" s="76" customFormat="1" spans="1:6">
      <c r="A4958">
        <v>5108</v>
      </c>
      <c r="B4958">
        <v>332020110</v>
      </c>
      <c r="C4958" s="76">
        <v>2020</v>
      </c>
      <c r="D4958" s="76" t="s">
        <v>40</v>
      </c>
      <c r="E4958" s="76" t="s">
        <v>32</v>
      </c>
      <c r="F4958" s="76">
        <v>0.8</v>
      </c>
    </row>
    <row r="4959" s="76" customFormat="1" spans="1:6">
      <c r="A4959">
        <v>5107</v>
      </c>
      <c r="B4959">
        <v>332020110</v>
      </c>
      <c r="C4959" s="76">
        <v>2020</v>
      </c>
      <c r="D4959" s="76" t="s">
        <v>40</v>
      </c>
      <c r="E4959" s="76" t="s">
        <v>32</v>
      </c>
      <c r="F4959" s="76">
        <v>1.6</v>
      </c>
    </row>
    <row r="4960" s="76" customFormat="1" spans="1:6">
      <c r="A4960">
        <v>5118</v>
      </c>
      <c r="B4960">
        <v>332020211</v>
      </c>
      <c r="C4960" s="76">
        <v>2020</v>
      </c>
      <c r="D4960" s="76" t="s">
        <v>37</v>
      </c>
      <c r="E4960" s="76" t="s">
        <v>32</v>
      </c>
      <c r="F4960" s="76">
        <v>0.6</v>
      </c>
    </row>
    <row r="4961" s="76" customFormat="1" spans="1:6">
      <c r="A4961">
        <v>5119</v>
      </c>
      <c r="B4961">
        <v>332020211</v>
      </c>
      <c r="C4961" s="76">
        <v>2020</v>
      </c>
      <c r="D4961" s="76" t="s">
        <v>37</v>
      </c>
      <c r="E4961" s="76" t="s">
        <v>32</v>
      </c>
      <c r="F4961" s="76">
        <v>1.3</v>
      </c>
    </row>
    <row r="4962" s="76" customFormat="1" spans="1:6">
      <c r="A4962">
        <v>5114</v>
      </c>
      <c r="B4962">
        <v>332020211</v>
      </c>
      <c r="C4962" s="76">
        <v>2020</v>
      </c>
      <c r="D4962" s="76" t="s">
        <v>37</v>
      </c>
      <c r="E4962" s="76" t="s">
        <v>32</v>
      </c>
      <c r="F4962" s="76">
        <v>1.5</v>
      </c>
    </row>
    <row r="4963" s="76" customFormat="1" spans="1:6">
      <c r="A4963">
        <v>5111</v>
      </c>
      <c r="B4963">
        <v>332020211</v>
      </c>
      <c r="C4963" s="76">
        <v>2020</v>
      </c>
      <c r="D4963" s="76" t="s">
        <v>37</v>
      </c>
      <c r="E4963" s="76">
        <v>1</v>
      </c>
      <c r="F4963" s="76">
        <v>1.5</v>
      </c>
    </row>
    <row r="4964" s="76" customFormat="1" spans="1:6">
      <c r="A4964">
        <v>5120</v>
      </c>
      <c r="B4964">
        <v>332020211</v>
      </c>
      <c r="C4964" s="76">
        <v>2020</v>
      </c>
      <c r="D4964" s="76" t="s">
        <v>37</v>
      </c>
      <c r="E4964" s="76" t="s">
        <v>32</v>
      </c>
      <c r="F4964" s="76">
        <v>4</v>
      </c>
    </row>
    <row r="4965" s="76" customFormat="1" spans="1:6">
      <c r="A4965">
        <v>5117</v>
      </c>
      <c r="B4965">
        <v>332020211</v>
      </c>
      <c r="C4965" s="76">
        <v>2020</v>
      </c>
      <c r="D4965" s="76" t="s">
        <v>37</v>
      </c>
      <c r="E4965" s="76" t="s">
        <v>32</v>
      </c>
      <c r="F4965" s="76">
        <v>1.35</v>
      </c>
    </row>
    <row r="4966" s="76" customFormat="1" spans="1:6">
      <c r="A4966">
        <v>5112</v>
      </c>
      <c r="B4966">
        <v>332020211</v>
      </c>
      <c r="C4966" s="76">
        <v>2020</v>
      </c>
      <c r="D4966" s="76" t="s">
        <v>37</v>
      </c>
      <c r="E4966" s="76" t="s">
        <v>32</v>
      </c>
      <c r="F4966" s="76">
        <v>0.3</v>
      </c>
    </row>
    <row r="4967" s="76" customFormat="1" spans="1:6">
      <c r="A4967">
        <v>5115</v>
      </c>
      <c r="B4967">
        <v>332020211</v>
      </c>
      <c r="C4967" s="76">
        <v>2020</v>
      </c>
      <c r="D4967" s="76" t="s">
        <v>37</v>
      </c>
      <c r="E4967" s="76" t="s">
        <v>32</v>
      </c>
      <c r="F4967" s="76">
        <v>4.5</v>
      </c>
    </row>
    <row r="4968" s="76" customFormat="1" spans="1:6">
      <c r="A4968">
        <v>5116</v>
      </c>
      <c r="B4968">
        <v>332020211</v>
      </c>
      <c r="C4968" s="76">
        <v>2020</v>
      </c>
      <c r="D4968" s="76" t="s">
        <v>37</v>
      </c>
      <c r="E4968" s="76" t="s">
        <v>32</v>
      </c>
      <c r="F4968" s="76">
        <v>1.5</v>
      </c>
    </row>
    <row r="4969" s="76" customFormat="1" spans="1:6">
      <c r="A4969">
        <v>5113</v>
      </c>
      <c r="B4969">
        <v>332020211</v>
      </c>
      <c r="C4969" s="76">
        <v>2020</v>
      </c>
      <c r="D4969" s="76" t="s">
        <v>37</v>
      </c>
      <c r="E4969" s="76" t="s">
        <v>32</v>
      </c>
      <c r="F4969" s="76">
        <v>0.75</v>
      </c>
    </row>
    <row r="4970" s="76" customFormat="1" spans="1:6">
      <c r="A4970">
        <v>5110</v>
      </c>
      <c r="B4970">
        <v>332020211</v>
      </c>
      <c r="C4970" s="76">
        <v>2020</v>
      </c>
      <c r="D4970" s="76" t="s">
        <v>37</v>
      </c>
      <c r="E4970" s="76">
        <v>2</v>
      </c>
      <c r="F4970" s="76">
        <v>132</v>
      </c>
    </row>
    <row r="4971" s="76" customFormat="1" spans="1:6">
      <c r="A4971">
        <v>5123</v>
      </c>
      <c r="B4971">
        <v>332020241</v>
      </c>
      <c r="C4971" s="76">
        <v>2020</v>
      </c>
      <c r="D4971" s="76" t="s">
        <v>33</v>
      </c>
      <c r="E4971" s="76" t="s">
        <v>32</v>
      </c>
      <c r="F4971" s="76">
        <v>8.78</v>
      </c>
    </row>
    <row r="4972" s="76" customFormat="1" spans="1:6">
      <c r="A4972">
        <v>5122</v>
      </c>
      <c r="B4972">
        <v>332020241</v>
      </c>
      <c r="C4972" s="76">
        <v>2020</v>
      </c>
      <c r="D4972" s="76" t="s">
        <v>33</v>
      </c>
      <c r="E4972" s="76" t="s">
        <v>32</v>
      </c>
      <c r="F4972" s="76">
        <v>0.3</v>
      </c>
    </row>
    <row r="4973" s="76" customFormat="1" spans="1:6">
      <c r="A4973">
        <v>5121</v>
      </c>
      <c r="B4973">
        <v>332020241</v>
      </c>
      <c r="C4973" s="76">
        <v>2020</v>
      </c>
      <c r="D4973" s="76" t="s">
        <v>33</v>
      </c>
      <c r="E4973" s="76" t="s">
        <v>32</v>
      </c>
      <c r="F4973" s="76">
        <v>1.5</v>
      </c>
    </row>
    <row r="4974" s="76" customFormat="1" spans="1:6">
      <c r="A4974">
        <v>5132</v>
      </c>
      <c r="B4974">
        <v>332020242</v>
      </c>
      <c r="C4974" s="76">
        <v>2020</v>
      </c>
      <c r="D4974" s="76" t="s">
        <v>35</v>
      </c>
      <c r="E4974" s="76" t="s">
        <v>32</v>
      </c>
      <c r="F4974" s="76">
        <v>2.5</v>
      </c>
    </row>
    <row r="4975" s="76" customFormat="1" spans="1:6">
      <c r="A4975">
        <v>5137</v>
      </c>
      <c r="B4975">
        <v>332020242</v>
      </c>
      <c r="C4975" s="76">
        <v>2020</v>
      </c>
      <c r="D4975" s="76" t="s">
        <v>35</v>
      </c>
      <c r="E4975" s="76" t="s">
        <v>32</v>
      </c>
      <c r="F4975" s="76">
        <v>2</v>
      </c>
    </row>
    <row r="4976" s="76" customFormat="1" spans="1:6">
      <c r="A4976">
        <v>5129</v>
      </c>
      <c r="B4976">
        <v>332020242</v>
      </c>
      <c r="C4976" s="76">
        <v>2020</v>
      </c>
      <c r="D4976" s="76" t="s">
        <v>35</v>
      </c>
      <c r="E4976" s="76" t="s">
        <v>32</v>
      </c>
      <c r="F4976" s="76">
        <v>3.5</v>
      </c>
    </row>
    <row r="4977" s="76" customFormat="1" spans="1:6">
      <c r="A4977">
        <v>5140</v>
      </c>
      <c r="B4977">
        <v>332020242</v>
      </c>
      <c r="C4977" s="76">
        <v>2020</v>
      </c>
      <c r="D4977" s="76" t="s">
        <v>35</v>
      </c>
      <c r="E4977" s="76" t="s">
        <v>32</v>
      </c>
      <c r="F4977" s="76">
        <v>4.5</v>
      </c>
    </row>
    <row r="4978" s="76" customFormat="1" spans="1:6">
      <c r="A4978">
        <v>5138</v>
      </c>
      <c r="B4978">
        <v>332020242</v>
      </c>
      <c r="C4978" s="76">
        <v>2020</v>
      </c>
      <c r="D4978" s="76" t="s">
        <v>35</v>
      </c>
      <c r="E4978" s="76" t="s">
        <v>32</v>
      </c>
      <c r="F4978" s="76">
        <v>15</v>
      </c>
    </row>
    <row r="4979" s="76" customFormat="1" spans="1:6">
      <c r="A4979">
        <v>5126</v>
      </c>
      <c r="B4979">
        <v>332020242</v>
      </c>
      <c r="C4979" s="76">
        <v>2020</v>
      </c>
      <c r="D4979" s="76" t="s">
        <v>35</v>
      </c>
      <c r="E4979" s="76" t="s">
        <v>32</v>
      </c>
      <c r="F4979" s="76">
        <v>4</v>
      </c>
    </row>
    <row r="4980" s="76" customFormat="1" spans="1:6">
      <c r="A4980">
        <v>5139</v>
      </c>
      <c r="B4980">
        <v>332020242</v>
      </c>
      <c r="C4980" s="76">
        <v>2020</v>
      </c>
      <c r="D4980" s="76" t="s">
        <v>35</v>
      </c>
      <c r="E4980" s="76" t="s">
        <v>32</v>
      </c>
      <c r="F4980" s="76">
        <v>1.2</v>
      </c>
    </row>
    <row r="4981" s="76" customFormat="1" spans="1:6">
      <c r="A4981">
        <v>5128</v>
      </c>
      <c r="B4981">
        <v>332020242</v>
      </c>
      <c r="C4981" s="76">
        <v>2020</v>
      </c>
      <c r="D4981" s="76" t="s">
        <v>35</v>
      </c>
      <c r="E4981" s="76" t="s">
        <v>32</v>
      </c>
      <c r="F4981" s="76">
        <v>0.6</v>
      </c>
    </row>
    <row r="4982" s="76" customFormat="1" spans="1:6">
      <c r="A4982">
        <v>5125</v>
      </c>
      <c r="B4982">
        <v>332020242</v>
      </c>
      <c r="C4982" s="76">
        <v>2020</v>
      </c>
      <c r="D4982" s="76" t="s">
        <v>35</v>
      </c>
      <c r="E4982" s="76">
        <v>1</v>
      </c>
      <c r="F4982" s="76">
        <v>0.6</v>
      </c>
    </row>
    <row r="4983" s="76" customFormat="1" spans="1:6">
      <c r="A4983">
        <v>5131</v>
      </c>
      <c r="B4983">
        <v>332020242</v>
      </c>
      <c r="C4983" s="76">
        <v>2020</v>
      </c>
      <c r="D4983" s="76" t="s">
        <v>35</v>
      </c>
      <c r="E4983" s="76" t="s">
        <v>32</v>
      </c>
      <c r="F4983" s="76">
        <v>3</v>
      </c>
    </row>
    <row r="4984" s="76" customFormat="1" spans="1:6">
      <c r="A4984">
        <v>5134</v>
      </c>
      <c r="B4984">
        <v>332020242</v>
      </c>
      <c r="C4984" s="76">
        <v>2020</v>
      </c>
      <c r="D4984" s="76" t="s">
        <v>35</v>
      </c>
      <c r="E4984" s="76" t="s">
        <v>32</v>
      </c>
      <c r="F4984" s="76">
        <v>2.5</v>
      </c>
    </row>
    <row r="4985" s="76" customFormat="1" spans="1:6">
      <c r="A4985">
        <v>5136</v>
      </c>
      <c r="B4985">
        <v>332020242</v>
      </c>
      <c r="C4985" s="76">
        <v>2020</v>
      </c>
      <c r="D4985" s="76" t="s">
        <v>35</v>
      </c>
      <c r="E4985" s="76" t="s">
        <v>32</v>
      </c>
      <c r="F4985" s="76">
        <v>1.8</v>
      </c>
    </row>
    <row r="4986" s="76" customFormat="1" spans="1:6">
      <c r="A4986">
        <v>5135</v>
      </c>
      <c r="B4986">
        <v>332020242</v>
      </c>
      <c r="C4986" s="76">
        <v>2020</v>
      </c>
      <c r="D4986" s="76" t="s">
        <v>35</v>
      </c>
      <c r="E4986" s="76" t="s">
        <v>32</v>
      </c>
      <c r="F4986" s="76">
        <v>3.5</v>
      </c>
    </row>
    <row r="4987" s="76" customFormat="1" spans="1:6">
      <c r="A4987">
        <v>5130</v>
      </c>
      <c r="B4987">
        <v>332020242</v>
      </c>
      <c r="C4987" s="76">
        <v>2020</v>
      </c>
      <c r="D4987" s="76" t="s">
        <v>35</v>
      </c>
      <c r="E4987" s="76" t="s">
        <v>32</v>
      </c>
      <c r="F4987" s="76">
        <v>3.6</v>
      </c>
    </row>
    <row r="4988" s="76" customFormat="1" spans="1:6">
      <c r="A4988">
        <v>5127</v>
      </c>
      <c r="B4988">
        <v>332020242</v>
      </c>
      <c r="C4988" s="76">
        <v>2020</v>
      </c>
      <c r="D4988" s="76" t="s">
        <v>35</v>
      </c>
      <c r="E4988" s="76" t="s">
        <v>32</v>
      </c>
      <c r="F4988" s="76">
        <v>0.6</v>
      </c>
    </row>
    <row r="4989" s="76" customFormat="1" spans="1:6">
      <c r="A4989">
        <v>5133</v>
      </c>
      <c r="B4989">
        <v>332020242</v>
      </c>
      <c r="C4989" s="76">
        <v>2020</v>
      </c>
      <c r="D4989" s="76" t="s">
        <v>35</v>
      </c>
      <c r="E4989" s="76" t="s">
        <v>32</v>
      </c>
      <c r="F4989" s="76">
        <v>1.2</v>
      </c>
    </row>
    <row r="4990" s="76" customFormat="1" spans="1:6">
      <c r="A4990">
        <v>5141</v>
      </c>
      <c r="B4990">
        <v>332020243</v>
      </c>
      <c r="C4990" s="76">
        <v>2020</v>
      </c>
      <c r="D4990" s="76" t="s">
        <v>38</v>
      </c>
      <c r="E4990" s="76" t="s">
        <v>32</v>
      </c>
      <c r="F4990" s="76">
        <v>1.5</v>
      </c>
    </row>
    <row r="4991" s="76" customFormat="1" spans="1:6">
      <c r="A4991">
        <v>5143</v>
      </c>
      <c r="B4991">
        <v>332020260</v>
      </c>
      <c r="C4991" s="76">
        <v>2020</v>
      </c>
      <c r="D4991" s="76" t="s">
        <v>34</v>
      </c>
      <c r="E4991" s="76">
        <v>1</v>
      </c>
      <c r="F4991" s="76">
        <v>0.2</v>
      </c>
    </row>
    <row r="4992" s="76" customFormat="1" spans="1:6">
      <c r="A4992">
        <v>5142</v>
      </c>
      <c r="B4992">
        <v>332020260</v>
      </c>
      <c r="C4992" s="76">
        <v>2020</v>
      </c>
      <c r="D4992" s="76" t="s">
        <v>34</v>
      </c>
      <c r="E4992" s="76">
        <v>46</v>
      </c>
      <c r="F4992" s="76">
        <v>22.2</v>
      </c>
    </row>
    <row r="4993" s="76" customFormat="1" spans="1:6">
      <c r="A4993">
        <v>5144</v>
      </c>
      <c r="B4993">
        <v>332020260</v>
      </c>
      <c r="C4993" s="76">
        <v>2020</v>
      </c>
      <c r="D4993" s="76" t="s">
        <v>34</v>
      </c>
      <c r="E4993" s="76">
        <v>10</v>
      </c>
      <c r="F4993" s="76">
        <v>5</v>
      </c>
    </row>
    <row r="4994" s="76" customFormat="1" spans="1:6">
      <c r="A4994">
        <v>5147</v>
      </c>
      <c r="B4994">
        <v>332020270</v>
      </c>
      <c r="C4994" s="76">
        <v>2020</v>
      </c>
      <c r="D4994" s="76" t="s">
        <v>31</v>
      </c>
      <c r="E4994" s="76" t="s">
        <v>32</v>
      </c>
      <c r="F4994" s="76">
        <v>0.1</v>
      </c>
    </row>
    <row r="4995" s="76" customFormat="1" spans="1:6">
      <c r="A4995">
        <v>5157</v>
      </c>
      <c r="B4995">
        <v>332020270</v>
      </c>
      <c r="C4995" s="76">
        <v>2020</v>
      </c>
      <c r="D4995" s="76" t="s">
        <v>31</v>
      </c>
      <c r="E4995" s="76" t="s">
        <v>32</v>
      </c>
      <c r="F4995" s="76">
        <v>3</v>
      </c>
    </row>
    <row r="4996" s="76" customFormat="1" spans="1:6">
      <c r="A4996">
        <v>5156</v>
      </c>
      <c r="B4996">
        <v>332020270</v>
      </c>
      <c r="C4996" s="76">
        <v>2020</v>
      </c>
      <c r="D4996" s="76" t="s">
        <v>31</v>
      </c>
      <c r="E4996" s="76" t="s">
        <v>32</v>
      </c>
      <c r="F4996" s="76">
        <v>5.2</v>
      </c>
    </row>
    <row r="4997" s="76" customFormat="1" spans="1:6">
      <c r="A4997">
        <v>5155</v>
      </c>
      <c r="B4997">
        <v>332020270</v>
      </c>
      <c r="C4997" s="76">
        <v>2020</v>
      </c>
      <c r="D4997" s="76" t="s">
        <v>31</v>
      </c>
      <c r="E4997" s="76" t="s">
        <v>32</v>
      </c>
      <c r="F4997" s="76">
        <v>2.5</v>
      </c>
    </row>
    <row r="4998" s="76" customFormat="1" spans="1:6">
      <c r="A4998">
        <v>5146</v>
      </c>
      <c r="B4998">
        <v>332020270</v>
      </c>
      <c r="C4998" s="76">
        <v>2020</v>
      </c>
      <c r="D4998" s="76" t="s">
        <v>31</v>
      </c>
      <c r="E4998" s="76" t="s">
        <v>32</v>
      </c>
      <c r="F4998" s="76">
        <v>0.18</v>
      </c>
    </row>
    <row r="4999" s="76" customFormat="1" spans="1:6">
      <c r="A4999">
        <v>5149</v>
      </c>
      <c r="B4999">
        <v>332020270</v>
      </c>
      <c r="C4999" s="76">
        <v>2020</v>
      </c>
      <c r="D4999" s="76" t="s">
        <v>31</v>
      </c>
      <c r="E4999" s="76" t="s">
        <v>32</v>
      </c>
      <c r="F4999" s="76">
        <v>0.12</v>
      </c>
    </row>
    <row r="5000" s="76" customFormat="1" spans="1:6">
      <c r="A5000">
        <v>5150</v>
      </c>
      <c r="B5000">
        <v>332020270</v>
      </c>
      <c r="C5000" s="76">
        <v>2020</v>
      </c>
      <c r="D5000" s="76" t="s">
        <v>31</v>
      </c>
      <c r="E5000" s="76" t="s">
        <v>32</v>
      </c>
      <c r="F5000" s="76">
        <v>2.2</v>
      </c>
    </row>
    <row r="5001" s="76" customFormat="1" spans="1:6">
      <c r="A5001">
        <v>5151</v>
      </c>
      <c r="B5001">
        <v>332020270</v>
      </c>
      <c r="C5001" s="76">
        <v>2020</v>
      </c>
      <c r="D5001" s="76" t="s">
        <v>31</v>
      </c>
      <c r="E5001" s="76" t="s">
        <v>32</v>
      </c>
      <c r="F5001" s="76">
        <v>3</v>
      </c>
    </row>
    <row r="5002" s="76" customFormat="1" spans="1:6">
      <c r="A5002">
        <v>5153</v>
      </c>
      <c r="B5002">
        <v>332020270</v>
      </c>
      <c r="C5002" s="76">
        <v>2020</v>
      </c>
      <c r="D5002" s="76" t="s">
        <v>31</v>
      </c>
      <c r="E5002" s="76" t="s">
        <v>32</v>
      </c>
      <c r="F5002" s="76">
        <v>5</v>
      </c>
    </row>
    <row r="5003" s="76" customFormat="1" spans="1:6">
      <c r="A5003">
        <v>5148</v>
      </c>
      <c r="B5003">
        <v>332020270</v>
      </c>
      <c r="C5003" s="76">
        <v>2020</v>
      </c>
      <c r="D5003" s="76" t="s">
        <v>31</v>
      </c>
      <c r="E5003" s="76" t="s">
        <v>32</v>
      </c>
      <c r="F5003" s="76">
        <v>1</v>
      </c>
    </row>
    <row r="5004" s="76" customFormat="1" spans="1:6">
      <c r="A5004">
        <v>5145</v>
      </c>
      <c r="B5004">
        <v>332020270</v>
      </c>
      <c r="C5004" s="76">
        <v>2020</v>
      </c>
      <c r="D5004" s="76" t="s">
        <v>31</v>
      </c>
      <c r="E5004" s="76" t="s">
        <v>32</v>
      </c>
      <c r="F5004" s="76">
        <v>0.8</v>
      </c>
    </row>
    <row r="5005" s="76" customFormat="1" spans="1:6">
      <c r="A5005">
        <v>5154</v>
      </c>
      <c r="B5005">
        <v>332020270</v>
      </c>
      <c r="C5005" s="76">
        <v>2020</v>
      </c>
      <c r="D5005" s="76" t="s">
        <v>31</v>
      </c>
      <c r="E5005" s="76" t="s">
        <v>32</v>
      </c>
      <c r="F5005" s="76">
        <v>30</v>
      </c>
    </row>
    <row r="5006" s="76" customFormat="1" spans="1:6">
      <c r="A5006">
        <v>5159</v>
      </c>
      <c r="B5006">
        <v>332021110</v>
      </c>
      <c r="C5006" s="76">
        <v>2021</v>
      </c>
      <c r="D5006" s="76" t="s">
        <v>40</v>
      </c>
      <c r="E5006" s="76" t="s">
        <v>32</v>
      </c>
      <c r="F5006" s="76">
        <v>0.64</v>
      </c>
    </row>
    <row r="5007" s="76" customFormat="1" spans="1:6">
      <c r="A5007">
        <v>5161</v>
      </c>
      <c r="B5007">
        <v>332021110</v>
      </c>
      <c r="C5007" s="76">
        <v>2021</v>
      </c>
      <c r="D5007" s="76" t="s">
        <v>40</v>
      </c>
      <c r="E5007" s="76" t="s">
        <v>32</v>
      </c>
      <c r="F5007" s="76">
        <v>0.04</v>
      </c>
    </row>
    <row r="5008" s="76" customFormat="1" spans="1:6">
      <c r="A5008">
        <v>5158</v>
      </c>
      <c r="B5008">
        <v>332021110</v>
      </c>
      <c r="C5008" s="76">
        <v>2021</v>
      </c>
      <c r="D5008" s="76" t="s">
        <v>40</v>
      </c>
      <c r="E5008" s="76" t="s">
        <v>32</v>
      </c>
      <c r="F5008" s="76">
        <v>1</v>
      </c>
    </row>
    <row r="5009" s="76" customFormat="1" spans="1:6">
      <c r="A5009">
        <v>5160</v>
      </c>
      <c r="B5009">
        <v>332021110</v>
      </c>
      <c r="C5009" s="76">
        <v>2021</v>
      </c>
      <c r="D5009" s="76" t="s">
        <v>40</v>
      </c>
      <c r="E5009" s="76" t="s">
        <v>32</v>
      </c>
      <c r="F5009" s="76">
        <v>0.64</v>
      </c>
    </row>
    <row r="5010" s="76" customFormat="1" spans="1:6">
      <c r="A5010">
        <v>5163</v>
      </c>
      <c r="B5010">
        <v>332021120</v>
      </c>
      <c r="C5010" s="76">
        <v>2021</v>
      </c>
      <c r="D5010" s="76" t="s">
        <v>42</v>
      </c>
      <c r="E5010" s="76">
        <v>3</v>
      </c>
      <c r="F5010" s="76">
        <v>105</v>
      </c>
    </row>
    <row r="5011" s="76" customFormat="1" spans="1:6">
      <c r="A5011">
        <v>5166</v>
      </c>
      <c r="B5011">
        <v>332021211</v>
      </c>
      <c r="C5011" s="76">
        <v>2021</v>
      </c>
      <c r="D5011" s="76" t="s">
        <v>37</v>
      </c>
      <c r="E5011" s="76" t="s">
        <v>32</v>
      </c>
      <c r="F5011" s="76">
        <v>2.9</v>
      </c>
    </row>
    <row r="5012" s="76" customFormat="1" spans="1:6">
      <c r="A5012">
        <v>5168</v>
      </c>
      <c r="B5012">
        <v>332021211</v>
      </c>
      <c r="C5012" s="76">
        <v>2021</v>
      </c>
      <c r="D5012" s="76" t="s">
        <v>37</v>
      </c>
      <c r="E5012" s="76" t="s">
        <v>32</v>
      </c>
      <c r="F5012" s="76">
        <v>2</v>
      </c>
    </row>
    <row r="5013" s="76" customFormat="1" spans="1:6">
      <c r="A5013">
        <v>5178</v>
      </c>
      <c r="B5013">
        <v>332021211</v>
      </c>
      <c r="C5013" s="76">
        <v>2021</v>
      </c>
      <c r="D5013" s="76" t="s">
        <v>37</v>
      </c>
      <c r="E5013" s="76" t="s">
        <v>32</v>
      </c>
      <c r="F5013" s="76">
        <v>0.6</v>
      </c>
    </row>
    <row r="5014" s="76" customFormat="1" spans="1:6">
      <c r="A5014">
        <v>5173</v>
      </c>
      <c r="B5014">
        <v>332021211</v>
      </c>
      <c r="C5014" s="76">
        <v>2021</v>
      </c>
      <c r="D5014" s="76" t="s">
        <v>37</v>
      </c>
      <c r="E5014" s="76" t="s">
        <v>32</v>
      </c>
      <c r="F5014" s="76">
        <v>0.3</v>
      </c>
    </row>
    <row r="5015" s="76" customFormat="1" spans="1:6">
      <c r="A5015">
        <v>5169</v>
      </c>
      <c r="B5015">
        <v>332021211</v>
      </c>
      <c r="C5015" s="76">
        <v>2021</v>
      </c>
      <c r="D5015" s="76" t="s">
        <v>37</v>
      </c>
      <c r="E5015" s="76" t="s">
        <v>32</v>
      </c>
      <c r="F5015" s="76">
        <v>1.8</v>
      </c>
    </row>
    <row r="5016" s="76" customFormat="1" spans="1:6">
      <c r="A5016">
        <v>5165</v>
      </c>
      <c r="B5016">
        <v>332021211</v>
      </c>
      <c r="C5016" s="76">
        <v>2021</v>
      </c>
      <c r="D5016" s="76" t="s">
        <v>37</v>
      </c>
      <c r="E5016" s="76">
        <v>2</v>
      </c>
      <c r="F5016" s="76">
        <v>3</v>
      </c>
    </row>
    <row r="5017" s="76" customFormat="1" spans="1:6">
      <c r="A5017">
        <v>5174</v>
      </c>
      <c r="B5017">
        <v>332021211</v>
      </c>
      <c r="C5017" s="76">
        <v>2021</v>
      </c>
      <c r="D5017" s="76" t="s">
        <v>37</v>
      </c>
      <c r="E5017" s="76" t="s">
        <v>32</v>
      </c>
      <c r="F5017" s="76">
        <v>0.6</v>
      </c>
    </row>
    <row r="5018" s="76" customFormat="1" spans="1:6">
      <c r="A5018">
        <v>5171</v>
      </c>
      <c r="B5018">
        <v>332021211</v>
      </c>
      <c r="C5018" s="76">
        <v>2021</v>
      </c>
      <c r="D5018" s="76" t="s">
        <v>37</v>
      </c>
      <c r="E5018" s="76" t="s">
        <v>32</v>
      </c>
      <c r="F5018" s="76">
        <v>0.6</v>
      </c>
    </row>
    <row r="5019" s="76" customFormat="1" spans="1:6">
      <c r="A5019">
        <v>5167</v>
      </c>
      <c r="B5019">
        <v>332021211</v>
      </c>
      <c r="C5019" s="76">
        <v>2021</v>
      </c>
      <c r="D5019" s="76" t="s">
        <v>37</v>
      </c>
      <c r="E5019" s="76" t="s">
        <v>32</v>
      </c>
      <c r="F5019" s="76">
        <v>1.2</v>
      </c>
    </row>
    <row r="5020" s="76" customFormat="1" spans="1:6">
      <c r="A5020">
        <v>5177</v>
      </c>
      <c r="B5020">
        <v>332021211</v>
      </c>
      <c r="C5020" s="76">
        <v>2021</v>
      </c>
      <c r="D5020" s="76" t="s">
        <v>37</v>
      </c>
      <c r="E5020" s="76" t="s">
        <v>32</v>
      </c>
      <c r="F5020" s="76">
        <v>0.3</v>
      </c>
    </row>
    <row r="5021" s="76" customFormat="1" spans="1:6">
      <c r="A5021">
        <v>5186</v>
      </c>
      <c r="B5021">
        <v>332021211</v>
      </c>
      <c r="C5021" s="76">
        <v>2021</v>
      </c>
      <c r="D5021" s="76" t="s">
        <v>37</v>
      </c>
      <c r="E5021" s="76" t="s">
        <v>32</v>
      </c>
      <c r="F5021" s="76">
        <v>3</v>
      </c>
    </row>
    <row r="5022" s="76" customFormat="1" spans="1:6">
      <c r="A5022">
        <v>5182</v>
      </c>
      <c r="B5022">
        <v>332021211</v>
      </c>
      <c r="C5022" s="76">
        <v>2021</v>
      </c>
      <c r="D5022" s="76" t="s">
        <v>37</v>
      </c>
      <c r="E5022" s="76" t="s">
        <v>32</v>
      </c>
      <c r="F5022" s="76">
        <v>2</v>
      </c>
    </row>
    <row r="5023" s="76" customFormat="1" spans="1:6">
      <c r="A5023">
        <v>5185</v>
      </c>
      <c r="B5023">
        <v>332021211</v>
      </c>
      <c r="C5023" s="76">
        <v>2021</v>
      </c>
      <c r="D5023" s="76" t="s">
        <v>37</v>
      </c>
      <c r="E5023" s="76" t="s">
        <v>32</v>
      </c>
      <c r="F5023" s="76">
        <v>4.5</v>
      </c>
    </row>
    <row r="5024" s="76" customFormat="1" spans="1:6">
      <c r="A5024">
        <v>5175</v>
      </c>
      <c r="B5024">
        <v>332021211</v>
      </c>
      <c r="C5024" s="76">
        <v>2021</v>
      </c>
      <c r="D5024" s="76" t="s">
        <v>37</v>
      </c>
      <c r="E5024" s="76" t="s">
        <v>32</v>
      </c>
      <c r="F5024" s="76">
        <v>11</v>
      </c>
    </row>
    <row r="5025" s="76" customFormat="1" spans="1:6">
      <c r="A5025">
        <v>5183</v>
      </c>
      <c r="B5025">
        <v>332021211</v>
      </c>
      <c r="C5025" s="76">
        <v>2021</v>
      </c>
      <c r="D5025" s="76" t="s">
        <v>37</v>
      </c>
      <c r="E5025" s="76" t="s">
        <v>32</v>
      </c>
      <c r="F5025" s="76">
        <v>3</v>
      </c>
    </row>
    <row r="5026" s="76" customFormat="1" spans="1:6">
      <c r="A5026">
        <v>5172</v>
      </c>
      <c r="B5026">
        <v>332021211</v>
      </c>
      <c r="C5026" s="76">
        <v>2021</v>
      </c>
      <c r="D5026" s="76" t="s">
        <v>37</v>
      </c>
      <c r="E5026" s="76" t="s">
        <v>32</v>
      </c>
      <c r="F5026" s="76">
        <v>1.2</v>
      </c>
    </row>
    <row r="5027" s="76" customFormat="1" spans="1:6">
      <c r="A5027">
        <v>5181</v>
      </c>
      <c r="B5027">
        <v>332021211</v>
      </c>
      <c r="C5027" s="76">
        <v>2021</v>
      </c>
      <c r="D5027" s="76" t="s">
        <v>37</v>
      </c>
      <c r="E5027" s="76" t="s">
        <v>32</v>
      </c>
      <c r="F5027" s="76">
        <v>3</v>
      </c>
    </row>
    <row r="5028" s="76" customFormat="1" spans="1:6">
      <c r="A5028">
        <v>5179</v>
      </c>
      <c r="B5028">
        <v>332021211</v>
      </c>
      <c r="C5028" s="76">
        <v>2021</v>
      </c>
      <c r="D5028" s="76" t="s">
        <v>37</v>
      </c>
      <c r="E5028" s="76" t="s">
        <v>32</v>
      </c>
      <c r="F5028" s="76">
        <v>3.5</v>
      </c>
    </row>
    <row r="5029" s="76" customFormat="1" spans="1:6">
      <c r="A5029">
        <v>5187</v>
      </c>
      <c r="B5029">
        <v>332021211</v>
      </c>
      <c r="C5029" s="76">
        <v>2021</v>
      </c>
      <c r="D5029" s="76" t="s">
        <v>37</v>
      </c>
      <c r="E5029" s="76" t="s">
        <v>32</v>
      </c>
      <c r="F5029" s="76">
        <v>0.75</v>
      </c>
    </row>
    <row r="5030" s="76" customFormat="1" spans="1:6">
      <c r="A5030">
        <v>5176</v>
      </c>
      <c r="B5030">
        <v>332021211</v>
      </c>
      <c r="C5030" s="76">
        <v>2021</v>
      </c>
      <c r="D5030" s="76" t="s">
        <v>37</v>
      </c>
      <c r="E5030" s="76" t="s">
        <v>32</v>
      </c>
      <c r="F5030" s="76">
        <v>4</v>
      </c>
    </row>
    <row r="5031" s="76" customFormat="1" spans="1:6">
      <c r="A5031">
        <v>5188</v>
      </c>
      <c r="B5031">
        <v>332021211</v>
      </c>
      <c r="C5031" s="76">
        <v>2021</v>
      </c>
      <c r="D5031" s="76" t="s">
        <v>37</v>
      </c>
      <c r="E5031" s="76" t="s">
        <v>32</v>
      </c>
      <c r="F5031" s="76">
        <v>10</v>
      </c>
    </row>
    <row r="5032" s="76" customFormat="1" spans="1:6">
      <c r="A5032">
        <v>5170</v>
      </c>
      <c r="B5032">
        <v>332021211</v>
      </c>
      <c r="C5032" s="76">
        <v>2021</v>
      </c>
      <c r="D5032" s="76" t="s">
        <v>37</v>
      </c>
      <c r="E5032" s="76" t="s">
        <v>32</v>
      </c>
      <c r="F5032" s="76">
        <v>1.5</v>
      </c>
    </row>
    <row r="5033" s="76" customFormat="1" spans="1:6">
      <c r="A5033">
        <v>5184</v>
      </c>
      <c r="B5033">
        <v>332021211</v>
      </c>
      <c r="C5033" s="76">
        <v>2021</v>
      </c>
      <c r="D5033" s="76" t="s">
        <v>37</v>
      </c>
      <c r="E5033" s="76" t="s">
        <v>32</v>
      </c>
      <c r="F5033" s="76">
        <v>3</v>
      </c>
    </row>
    <row r="5034" s="76" customFormat="1" spans="1:6">
      <c r="A5034">
        <v>5164</v>
      </c>
      <c r="B5034">
        <v>332021211</v>
      </c>
      <c r="C5034" s="76">
        <v>2021</v>
      </c>
      <c r="D5034" s="76" t="s">
        <v>37</v>
      </c>
      <c r="E5034" s="76">
        <v>1</v>
      </c>
      <c r="F5034" s="76">
        <v>5.7</v>
      </c>
    </row>
    <row r="5035" s="76" customFormat="1" spans="1:6">
      <c r="A5035">
        <v>5180</v>
      </c>
      <c r="B5035">
        <v>332021211</v>
      </c>
      <c r="C5035" s="76">
        <v>2021</v>
      </c>
      <c r="D5035" s="76" t="s">
        <v>37</v>
      </c>
      <c r="E5035" s="76" t="s">
        <v>32</v>
      </c>
      <c r="F5035" s="76">
        <v>25.5</v>
      </c>
    </row>
    <row r="5036" s="76" customFormat="1" spans="1:6">
      <c r="A5036">
        <v>5190</v>
      </c>
      <c r="B5036">
        <v>332021241</v>
      </c>
      <c r="C5036" s="76">
        <v>2021</v>
      </c>
      <c r="D5036" s="76" t="s">
        <v>33</v>
      </c>
      <c r="E5036" s="76" t="s">
        <v>32</v>
      </c>
      <c r="F5036" s="76">
        <v>2</v>
      </c>
    </row>
    <row r="5037" s="76" customFormat="1" spans="1:6">
      <c r="A5037">
        <v>5189</v>
      </c>
      <c r="B5037">
        <v>332021241</v>
      </c>
      <c r="C5037" s="76">
        <v>2021</v>
      </c>
      <c r="D5037" s="76" t="s">
        <v>33</v>
      </c>
      <c r="E5037" s="76" t="s">
        <v>32</v>
      </c>
      <c r="F5037" s="76">
        <v>1.8</v>
      </c>
    </row>
    <row r="5038" s="76" customFormat="1" spans="1:6">
      <c r="A5038">
        <v>5208</v>
      </c>
      <c r="B5038">
        <v>332021242</v>
      </c>
      <c r="C5038" s="76">
        <v>2021</v>
      </c>
      <c r="D5038" s="76" t="s">
        <v>35</v>
      </c>
      <c r="E5038" s="76" t="s">
        <v>32</v>
      </c>
      <c r="F5038" s="76">
        <v>1</v>
      </c>
    </row>
    <row r="5039" s="76" customFormat="1" spans="1:6">
      <c r="A5039">
        <v>5211</v>
      </c>
      <c r="B5039">
        <v>332021242</v>
      </c>
      <c r="C5039" s="76">
        <v>2021</v>
      </c>
      <c r="D5039" s="76" t="s">
        <v>35</v>
      </c>
      <c r="E5039" s="76" t="s">
        <v>32</v>
      </c>
      <c r="F5039" s="76">
        <v>1.8</v>
      </c>
    </row>
    <row r="5040" s="76" customFormat="1" spans="1:6">
      <c r="A5040">
        <v>5206</v>
      </c>
      <c r="B5040">
        <v>332021242</v>
      </c>
      <c r="C5040" s="76">
        <v>2021</v>
      </c>
      <c r="D5040" s="76" t="s">
        <v>35</v>
      </c>
      <c r="E5040" s="76" t="s">
        <v>32</v>
      </c>
      <c r="F5040" s="76">
        <v>3</v>
      </c>
    </row>
    <row r="5041" s="76" customFormat="1" spans="1:6">
      <c r="A5041">
        <v>5197</v>
      </c>
      <c r="B5041">
        <v>332021242</v>
      </c>
      <c r="C5041" s="76">
        <v>2021</v>
      </c>
      <c r="D5041" s="76" t="s">
        <v>35</v>
      </c>
      <c r="E5041" s="76" t="s">
        <v>32</v>
      </c>
      <c r="F5041" s="76">
        <v>5</v>
      </c>
    </row>
    <row r="5042" s="76" customFormat="1" spans="1:6">
      <c r="A5042">
        <v>5210</v>
      </c>
      <c r="B5042">
        <v>332021242</v>
      </c>
      <c r="C5042" s="76">
        <v>2021</v>
      </c>
      <c r="D5042" s="76" t="s">
        <v>35</v>
      </c>
      <c r="E5042" s="76" t="s">
        <v>32</v>
      </c>
      <c r="F5042" s="76">
        <v>5</v>
      </c>
    </row>
    <row r="5043" s="76" customFormat="1" spans="1:6">
      <c r="A5043">
        <v>5195</v>
      </c>
      <c r="B5043">
        <v>332021242</v>
      </c>
      <c r="C5043" s="76">
        <v>2021</v>
      </c>
      <c r="D5043" s="76" t="s">
        <v>35</v>
      </c>
      <c r="E5043" s="76" t="s">
        <v>32</v>
      </c>
      <c r="F5043" s="76">
        <v>2.5</v>
      </c>
    </row>
    <row r="5044" s="76" customFormat="1" spans="1:6">
      <c r="A5044">
        <v>5196</v>
      </c>
      <c r="B5044">
        <v>332021242</v>
      </c>
      <c r="C5044" s="76">
        <v>2021</v>
      </c>
      <c r="D5044" s="76" t="s">
        <v>35</v>
      </c>
      <c r="E5044" s="76" t="s">
        <v>32</v>
      </c>
      <c r="F5044" s="76">
        <v>7</v>
      </c>
    </row>
    <row r="5045" s="76" customFormat="1" spans="1:6">
      <c r="A5045">
        <v>5218</v>
      </c>
      <c r="B5045">
        <v>332021242</v>
      </c>
      <c r="C5045" s="76">
        <v>2021</v>
      </c>
      <c r="D5045" s="76" t="s">
        <v>35</v>
      </c>
      <c r="E5045" s="76" t="s">
        <v>32</v>
      </c>
      <c r="F5045" s="76">
        <v>1.2</v>
      </c>
    </row>
    <row r="5046" s="76" customFormat="1" spans="1:6">
      <c r="A5046">
        <v>5212</v>
      </c>
      <c r="B5046">
        <v>332021242</v>
      </c>
      <c r="C5046" s="76">
        <v>2021</v>
      </c>
      <c r="D5046" s="76" t="s">
        <v>35</v>
      </c>
      <c r="E5046" s="76" t="s">
        <v>32</v>
      </c>
      <c r="F5046" s="76">
        <v>1.2</v>
      </c>
    </row>
    <row r="5047" s="76" customFormat="1" spans="1:6">
      <c r="A5047">
        <v>5207</v>
      </c>
      <c r="B5047">
        <v>332021242</v>
      </c>
      <c r="C5047" s="76">
        <v>2021</v>
      </c>
      <c r="D5047" s="76" t="s">
        <v>35</v>
      </c>
      <c r="E5047" s="76" t="s">
        <v>32</v>
      </c>
      <c r="F5047" s="76">
        <v>0.75</v>
      </c>
    </row>
    <row r="5048" s="76" customFormat="1" spans="1:6">
      <c r="A5048">
        <v>5193</v>
      </c>
      <c r="B5048">
        <v>332021242</v>
      </c>
      <c r="C5048" s="76">
        <v>2021</v>
      </c>
      <c r="D5048" s="76" t="s">
        <v>35</v>
      </c>
      <c r="E5048" s="76" t="s">
        <v>32</v>
      </c>
      <c r="F5048" s="76">
        <v>3.5</v>
      </c>
    </row>
    <row r="5049" s="76" customFormat="1" spans="1:6">
      <c r="A5049">
        <v>5215</v>
      </c>
      <c r="B5049">
        <v>332021242</v>
      </c>
      <c r="C5049" s="76">
        <v>2021</v>
      </c>
      <c r="D5049" s="76" t="s">
        <v>35</v>
      </c>
      <c r="E5049" s="76" t="s">
        <v>32</v>
      </c>
      <c r="F5049" s="76">
        <v>0.6</v>
      </c>
    </row>
    <row r="5050" s="76" customFormat="1" spans="1:6">
      <c r="A5050">
        <v>5200</v>
      </c>
      <c r="B5050">
        <v>332021242</v>
      </c>
      <c r="C5050" s="76">
        <v>2021</v>
      </c>
      <c r="D5050" s="76" t="s">
        <v>35</v>
      </c>
      <c r="E5050" s="76" t="s">
        <v>32</v>
      </c>
      <c r="F5050" s="76">
        <v>1.8</v>
      </c>
    </row>
    <row r="5051" s="76" customFormat="1" spans="1:6">
      <c r="A5051">
        <v>5217</v>
      </c>
      <c r="B5051">
        <v>332021242</v>
      </c>
      <c r="C5051" s="76">
        <v>2021</v>
      </c>
      <c r="D5051" s="76" t="s">
        <v>35</v>
      </c>
      <c r="E5051" s="76" t="s">
        <v>32</v>
      </c>
      <c r="F5051" s="76">
        <v>1.5</v>
      </c>
    </row>
    <row r="5052" s="76" customFormat="1" spans="1:6">
      <c r="A5052">
        <v>5192</v>
      </c>
      <c r="B5052">
        <v>332021242</v>
      </c>
      <c r="C5052" s="76">
        <v>2021</v>
      </c>
      <c r="D5052" s="76" t="s">
        <v>35</v>
      </c>
      <c r="E5052" s="76">
        <v>1</v>
      </c>
      <c r="F5052" s="76">
        <v>3</v>
      </c>
    </row>
    <row r="5053" s="76" customFormat="1" spans="1:6">
      <c r="A5053">
        <v>5199</v>
      </c>
      <c r="B5053">
        <v>332021242</v>
      </c>
      <c r="C5053" s="76">
        <v>2021</v>
      </c>
      <c r="D5053" s="76" t="s">
        <v>35</v>
      </c>
      <c r="E5053" s="76" t="s">
        <v>32</v>
      </c>
      <c r="F5053" s="76">
        <v>4.5</v>
      </c>
    </row>
    <row r="5054" s="76" customFormat="1" spans="1:6">
      <c r="A5054">
        <v>5216</v>
      </c>
      <c r="B5054">
        <v>332021242</v>
      </c>
      <c r="C5054" s="76">
        <v>2021</v>
      </c>
      <c r="D5054" s="76" t="s">
        <v>35</v>
      </c>
      <c r="E5054" s="76" t="s">
        <v>32</v>
      </c>
      <c r="F5054" s="76">
        <v>0.8</v>
      </c>
    </row>
    <row r="5055" s="76" customFormat="1" spans="1:6">
      <c r="A5055">
        <v>5214</v>
      </c>
      <c r="B5055">
        <v>332021242</v>
      </c>
      <c r="C5055" s="76">
        <v>2021</v>
      </c>
      <c r="D5055" s="76" t="s">
        <v>35</v>
      </c>
      <c r="E5055" s="76" t="s">
        <v>32</v>
      </c>
      <c r="F5055" s="76">
        <v>1.2</v>
      </c>
    </row>
    <row r="5056" s="76" customFormat="1" spans="1:6">
      <c r="A5056">
        <v>5205</v>
      </c>
      <c r="B5056">
        <v>332021242</v>
      </c>
      <c r="C5056" s="76">
        <v>2021</v>
      </c>
      <c r="D5056" s="76" t="s">
        <v>35</v>
      </c>
      <c r="E5056" s="76" t="s">
        <v>32</v>
      </c>
      <c r="F5056" s="76">
        <v>1.8</v>
      </c>
    </row>
    <row r="5057" s="76" customFormat="1" spans="1:6">
      <c r="A5057">
        <v>5202</v>
      </c>
      <c r="B5057">
        <v>332021242</v>
      </c>
      <c r="C5057" s="76">
        <v>2021</v>
      </c>
      <c r="D5057" s="76" t="s">
        <v>35</v>
      </c>
      <c r="E5057" s="76" t="s">
        <v>32</v>
      </c>
      <c r="F5057" s="76">
        <v>1.2</v>
      </c>
    </row>
    <row r="5058" s="76" customFormat="1" spans="1:6">
      <c r="A5058">
        <v>5213</v>
      </c>
      <c r="B5058">
        <v>332021242</v>
      </c>
      <c r="C5058" s="76">
        <v>2021</v>
      </c>
      <c r="D5058" s="76" t="s">
        <v>35</v>
      </c>
      <c r="E5058" s="76" t="s">
        <v>32</v>
      </c>
      <c r="F5058" s="76">
        <v>0.75</v>
      </c>
    </row>
    <row r="5059" s="76" customFormat="1" spans="1:6">
      <c r="A5059">
        <v>5194</v>
      </c>
      <c r="B5059">
        <v>332021242</v>
      </c>
      <c r="C5059" s="76">
        <v>2021</v>
      </c>
      <c r="D5059" s="76" t="s">
        <v>35</v>
      </c>
      <c r="E5059" s="76" t="s">
        <v>32</v>
      </c>
      <c r="F5059" s="76">
        <v>1.5</v>
      </c>
    </row>
    <row r="5060" s="76" customFormat="1" spans="1:6">
      <c r="A5060">
        <v>5203</v>
      </c>
      <c r="B5060">
        <v>332021242</v>
      </c>
      <c r="C5060" s="76">
        <v>2021</v>
      </c>
      <c r="D5060" s="76" t="s">
        <v>35</v>
      </c>
      <c r="E5060" s="76" t="s">
        <v>32</v>
      </c>
      <c r="F5060" s="76">
        <v>1.5</v>
      </c>
    </row>
    <row r="5061" s="76" customFormat="1" spans="1:6">
      <c r="A5061">
        <v>5204</v>
      </c>
      <c r="B5061">
        <v>332021242</v>
      </c>
      <c r="C5061" s="76">
        <v>2021</v>
      </c>
      <c r="D5061" s="76" t="s">
        <v>35</v>
      </c>
      <c r="E5061" s="76" t="s">
        <v>32</v>
      </c>
      <c r="F5061" s="76">
        <v>1.8</v>
      </c>
    </row>
    <row r="5062" s="76" customFormat="1" spans="1:6">
      <c r="A5062">
        <v>5201</v>
      </c>
      <c r="B5062">
        <v>332021242</v>
      </c>
      <c r="C5062" s="76">
        <v>2021</v>
      </c>
      <c r="D5062" s="76" t="s">
        <v>35</v>
      </c>
      <c r="E5062" s="76" t="s">
        <v>32</v>
      </c>
      <c r="F5062" s="76">
        <v>0.45</v>
      </c>
    </row>
    <row r="5063" s="76" customFormat="1" spans="1:6">
      <c r="A5063">
        <v>5209</v>
      </c>
      <c r="B5063">
        <v>332021242</v>
      </c>
      <c r="C5063" s="76">
        <v>2021</v>
      </c>
      <c r="D5063" s="76" t="s">
        <v>35</v>
      </c>
      <c r="E5063" s="76" t="s">
        <v>32</v>
      </c>
      <c r="F5063" s="76">
        <v>2.7</v>
      </c>
    </row>
    <row r="5064" s="76" customFormat="1" spans="1:6">
      <c r="A5064">
        <v>5198</v>
      </c>
      <c r="B5064">
        <v>332021242</v>
      </c>
      <c r="C5064" s="76">
        <v>2021</v>
      </c>
      <c r="D5064" s="76" t="s">
        <v>35</v>
      </c>
      <c r="E5064" s="76" t="s">
        <v>32</v>
      </c>
      <c r="F5064" s="76">
        <v>1</v>
      </c>
    </row>
    <row r="5065" s="76" customFormat="1" spans="1:6">
      <c r="A5065">
        <v>5228</v>
      </c>
      <c r="B5065">
        <v>332021260</v>
      </c>
      <c r="C5065" s="76">
        <v>2021</v>
      </c>
      <c r="D5065" s="76" t="s">
        <v>34</v>
      </c>
      <c r="E5065" s="76">
        <v>41</v>
      </c>
      <c r="F5065" s="76">
        <v>25.42</v>
      </c>
    </row>
    <row r="5066" s="76" customFormat="1" spans="1:6">
      <c r="A5066">
        <v>5223</v>
      </c>
      <c r="B5066">
        <v>332021260</v>
      </c>
      <c r="C5066" s="76">
        <v>2021</v>
      </c>
      <c r="D5066" s="76" t="s">
        <v>34</v>
      </c>
      <c r="E5066" s="76" t="s">
        <v>32</v>
      </c>
      <c r="F5066" s="76">
        <v>0.55</v>
      </c>
    </row>
    <row r="5067" s="76" customFormat="1" spans="1:6">
      <c r="A5067">
        <v>5225</v>
      </c>
      <c r="B5067">
        <v>332021260</v>
      </c>
      <c r="C5067" s="76">
        <v>2021</v>
      </c>
      <c r="D5067" s="76" t="s">
        <v>34</v>
      </c>
      <c r="E5067" s="76">
        <v>74</v>
      </c>
      <c r="F5067" s="76">
        <v>30.12</v>
      </c>
    </row>
    <row r="5068" s="76" customFormat="1" spans="1:6">
      <c r="A5068">
        <v>5229</v>
      </c>
      <c r="B5068">
        <v>332021260</v>
      </c>
      <c r="C5068" s="76">
        <v>2021</v>
      </c>
      <c r="D5068" s="76" t="s">
        <v>34</v>
      </c>
      <c r="E5068" s="76">
        <v>50</v>
      </c>
      <c r="F5068" s="76">
        <v>30</v>
      </c>
    </row>
    <row r="5069" s="76" customFormat="1" spans="1:6">
      <c r="A5069">
        <v>5219</v>
      </c>
      <c r="B5069">
        <v>332021260</v>
      </c>
      <c r="C5069" s="76">
        <v>2021</v>
      </c>
      <c r="D5069" s="76" t="s">
        <v>34</v>
      </c>
      <c r="E5069" s="76">
        <v>2</v>
      </c>
      <c r="F5069" s="76">
        <v>0.66</v>
      </c>
    </row>
    <row r="5070" s="76" customFormat="1" spans="1:6">
      <c r="A5070">
        <v>5226</v>
      </c>
      <c r="B5070">
        <v>332021260</v>
      </c>
      <c r="C5070" s="76">
        <v>2021</v>
      </c>
      <c r="D5070" s="76" t="s">
        <v>34</v>
      </c>
      <c r="E5070" s="76">
        <v>37</v>
      </c>
      <c r="F5070" s="76">
        <v>23.2</v>
      </c>
    </row>
    <row r="5071" s="76" customFormat="1" spans="1:6">
      <c r="A5071">
        <v>5220</v>
      </c>
      <c r="B5071">
        <v>332021260</v>
      </c>
      <c r="C5071" s="76">
        <v>2021</v>
      </c>
      <c r="D5071" s="76" t="s">
        <v>34</v>
      </c>
      <c r="E5071" s="76" t="s">
        <v>32</v>
      </c>
      <c r="F5071" s="76">
        <v>2.42</v>
      </c>
    </row>
    <row r="5072" s="76" customFormat="1" spans="1:6">
      <c r="A5072">
        <v>5222</v>
      </c>
      <c r="B5072">
        <v>332021260</v>
      </c>
      <c r="C5072" s="76">
        <v>2021</v>
      </c>
      <c r="D5072" s="76" t="s">
        <v>34</v>
      </c>
      <c r="E5072" s="76" t="s">
        <v>32</v>
      </c>
      <c r="F5072" s="76">
        <v>6.05</v>
      </c>
    </row>
    <row r="5073" s="76" customFormat="1" spans="1:6">
      <c r="A5073">
        <v>5224</v>
      </c>
      <c r="B5073">
        <v>332021260</v>
      </c>
      <c r="C5073" s="76">
        <v>2021</v>
      </c>
      <c r="D5073" s="76" t="s">
        <v>34</v>
      </c>
      <c r="E5073" s="76">
        <v>22</v>
      </c>
      <c r="F5073" s="76">
        <v>15.4</v>
      </c>
    </row>
    <row r="5074" s="76" customFormat="1" spans="1:6">
      <c r="A5074">
        <v>5221</v>
      </c>
      <c r="B5074">
        <v>332021260</v>
      </c>
      <c r="C5074" s="76">
        <v>2021</v>
      </c>
      <c r="D5074" s="76" t="s">
        <v>34</v>
      </c>
      <c r="E5074" s="76" t="s">
        <v>32</v>
      </c>
      <c r="F5074" s="76">
        <v>0.66</v>
      </c>
    </row>
    <row r="5075" s="76" customFormat="1" spans="1:6">
      <c r="A5075">
        <v>5227</v>
      </c>
      <c r="B5075">
        <v>332021260</v>
      </c>
      <c r="C5075" s="76">
        <v>2021</v>
      </c>
      <c r="D5075" s="76" t="s">
        <v>34</v>
      </c>
      <c r="E5075" s="76">
        <v>63</v>
      </c>
      <c r="F5075" s="76">
        <v>40</v>
      </c>
    </row>
    <row r="5076" s="76" customFormat="1" spans="1:6">
      <c r="A5076">
        <v>5230</v>
      </c>
      <c r="B5076">
        <v>332021260</v>
      </c>
      <c r="C5076" s="76">
        <v>2021</v>
      </c>
      <c r="D5076" s="76" t="s">
        <v>34</v>
      </c>
      <c r="E5076" s="76" t="s">
        <v>32</v>
      </c>
      <c r="F5076" s="76">
        <v>32.08</v>
      </c>
    </row>
    <row r="5077" s="76" customFormat="1" spans="1:6">
      <c r="A5077">
        <v>5234</v>
      </c>
      <c r="B5077">
        <v>332021270</v>
      </c>
      <c r="C5077" s="76">
        <v>2021</v>
      </c>
      <c r="D5077" s="76" t="s">
        <v>31</v>
      </c>
      <c r="E5077" s="76" t="s">
        <v>32</v>
      </c>
      <c r="F5077" s="76">
        <v>0.39</v>
      </c>
    </row>
    <row r="5078" s="76" customFormat="1" spans="1:6">
      <c r="A5078">
        <v>5249</v>
      </c>
      <c r="B5078">
        <v>332021270</v>
      </c>
      <c r="C5078" s="76">
        <v>2021</v>
      </c>
      <c r="D5078" s="76" t="s">
        <v>31</v>
      </c>
      <c r="E5078" s="76" t="s">
        <v>32</v>
      </c>
      <c r="F5078" s="76">
        <v>5.2</v>
      </c>
    </row>
    <row r="5079" s="76" customFormat="1" spans="1:6">
      <c r="A5079">
        <v>5257</v>
      </c>
      <c r="B5079">
        <v>332021270</v>
      </c>
      <c r="C5079" s="76">
        <v>2021</v>
      </c>
      <c r="D5079" s="76" t="s">
        <v>31</v>
      </c>
      <c r="E5079" s="76" t="s">
        <v>32</v>
      </c>
      <c r="F5079" s="76">
        <v>0.02</v>
      </c>
    </row>
    <row r="5080" s="76" customFormat="1" spans="1:6">
      <c r="A5080">
        <v>5255</v>
      </c>
      <c r="B5080">
        <v>332021270</v>
      </c>
      <c r="C5080" s="76">
        <v>2021</v>
      </c>
      <c r="D5080" s="76" t="s">
        <v>31</v>
      </c>
      <c r="E5080" s="76" t="s">
        <v>32</v>
      </c>
      <c r="F5080" s="76">
        <v>10.56</v>
      </c>
    </row>
    <row r="5081" s="76" customFormat="1" spans="1:6">
      <c r="A5081">
        <v>5238</v>
      </c>
      <c r="B5081">
        <v>332021270</v>
      </c>
      <c r="C5081" s="76">
        <v>2021</v>
      </c>
      <c r="D5081" s="76" t="s">
        <v>31</v>
      </c>
      <c r="E5081" s="76" t="s">
        <v>32</v>
      </c>
      <c r="F5081" s="76">
        <v>1.77</v>
      </c>
    </row>
    <row r="5082" s="76" customFormat="1" spans="1:6">
      <c r="A5082">
        <v>5254</v>
      </c>
      <c r="B5082">
        <v>332021270</v>
      </c>
      <c r="C5082" s="76">
        <v>2021</v>
      </c>
      <c r="D5082" s="76" t="s">
        <v>31</v>
      </c>
      <c r="E5082" s="76" t="s">
        <v>32</v>
      </c>
      <c r="F5082" s="76">
        <v>5</v>
      </c>
    </row>
    <row r="5083" s="76" customFormat="1" spans="1:6">
      <c r="A5083">
        <v>5245</v>
      </c>
      <c r="B5083">
        <v>332021270</v>
      </c>
      <c r="C5083" s="76">
        <v>2021</v>
      </c>
      <c r="D5083" s="76" t="s">
        <v>31</v>
      </c>
      <c r="E5083" s="76" t="s">
        <v>32</v>
      </c>
      <c r="F5083" s="76">
        <v>10</v>
      </c>
    </row>
    <row r="5084" s="76" customFormat="1" spans="1:6">
      <c r="A5084">
        <v>5243</v>
      </c>
      <c r="B5084">
        <v>332021270</v>
      </c>
      <c r="C5084" s="76">
        <v>2021</v>
      </c>
      <c r="D5084" s="76" t="s">
        <v>31</v>
      </c>
      <c r="E5084" s="76" t="s">
        <v>32</v>
      </c>
      <c r="F5084" s="76">
        <v>0.16</v>
      </c>
    </row>
    <row r="5085" s="76" customFormat="1" spans="1:6">
      <c r="A5085">
        <v>5248</v>
      </c>
      <c r="B5085">
        <v>332021270</v>
      </c>
      <c r="C5085" s="76">
        <v>2021</v>
      </c>
      <c r="D5085" s="76" t="s">
        <v>31</v>
      </c>
      <c r="E5085" s="76" t="s">
        <v>32</v>
      </c>
      <c r="F5085" s="76">
        <v>1.8</v>
      </c>
    </row>
    <row r="5086" s="76" customFormat="1" spans="1:6">
      <c r="A5086">
        <v>5256</v>
      </c>
      <c r="B5086">
        <v>332021270</v>
      </c>
      <c r="C5086" s="76">
        <v>2021</v>
      </c>
      <c r="D5086" s="76" t="s">
        <v>31</v>
      </c>
      <c r="E5086" s="76" t="s">
        <v>32</v>
      </c>
      <c r="F5086" s="76">
        <v>55</v>
      </c>
    </row>
    <row r="5087" s="76" customFormat="1" spans="1:6">
      <c r="A5087">
        <v>5251</v>
      </c>
      <c r="B5087">
        <v>332021270</v>
      </c>
      <c r="C5087" s="76">
        <v>2021</v>
      </c>
      <c r="D5087" s="76" t="s">
        <v>31</v>
      </c>
      <c r="E5087" s="76" t="s">
        <v>32</v>
      </c>
      <c r="F5087" s="76">
        <v>2.5</v>
      </c>
    </row>
    <row r="5088" s="76" customFormat="1" spans="1:6">
      <c r="A5088">
        <v>5253</v>
      </c>
      <c r="B5088">
        <v>332021270</v>
      </c>
      <c r="C5088" s="76">
        <v>2021</v>
      </c>
      <c r="D5088" s="76" t="s">
        <v>31</v>
      </c>
      <c r="E5088" s="76" t="s">
        <v>32</v>
      </c>
      <c r="F5088" s="76">
        <v>30</v>
      </c>
    </row>
    <row r="5089" s="76" customFormat="1" spans="1:6">
      <c r="A5089">
        <v>5240</v>
      </c>
      <c r="B5089">
        <v>332021270</v>
      </c>
      <c r="C5089" s="76">
        <v>2021</v>
      </c>
      <c r="D5089" s="76" t="s">
        <v>31</v>
      </c>
      <c r="E5089" s="76" t="s">
        <v>32</v>
      </c>
      <c r="F5089" s="76">
        <v>0.08</v>
      </c>
    </row>
    <row r="5090" s="76" customFormat="1" spans="1:6">
      <c r="A5090">
        <v>5239</v>
      </c>
      <c r="B5090">
        <v>332021270</v>
      </c>
      <c r="C5090" s="76">
        <v>2021</v>
      </c>
      <c r="D5090" s="76" t="s">
        <v>31</v>
      </c>
      <c r="E5090" s="76" t="s">
        <v>32</v>
      </c>
      <c r="F5090" s="76">
        <v>8</v>
      </c>
    </row>
    <row r="5091" s="76" customFormat="1" spans="1:6">
      <c r="A5091">
        <v>5236</v>
      </c>
      <c r="B5091">
        <v>332021270</v>
      </c>
      <c r="C5091" s="76">
        <v>2021</v>
      </c>
      <c r="D5091" s="76" t="s">
        <v>31</v>
      </c>
      <c r="E5091" s="76" t="s">
        <v>32</v>
      </c>
      <c r="F5091" s="76">
        <v>0.1</v>
      </c>
    </row>
    <row r="5092" s="76" customFormat="1" spans="1:6">
      <c r="A5092">
        <v>5246</v>
      </c>
      <c r="B5092">
        <v>332021270</v>
      </c>
      <c r="C5092" s="76">
        <v>2021</v>
      </c>
      <c r="D5092" s="76" t="s">
        <v>31</v>
      </c>
      <c r="E5092" s="76" t="s">
        <v>32</v>
      </c>
      <c r="F5092" s="76">
        <v>0.35</v>
      </c>
    </row>
    <row r="5093" s="76" customFormat="1" spans="1:6">
      <c r="A5093">
        <v>5244</v>
      </c>
      <c r="B5093">
        <v>332021270</v>
      </c>
      <c r="C5093" s="76">
        <v>2021</v>
      </c>
      <c r="D5093" s="76" t="s">
        <v>31</v>
      </c>
      <c r="E5093" s="76" t="s">
        <v>32</v>
      </c>
      <c r="F5093" s="76">
        <v>4.4</v>
      </c>
    </row>
    <row r="5094" s="76" customFormat="1" spans="1:6">
      <c r="A5094">
        <v>5247</v>
      </c>
      <c r="B5094">
        <v>332021270</v>
      </c>
      <c r="C5094" s="76">
        <v>2021</v>
      </c>
      <c r="D5094" s="76" t="s">
        <v>31</v>
      </c>
      <c r="E5094" s="76" t="s">
        <v>32</v>
      </c>
      <c r="F5094" s="76">
        <v>2.5</v>
      </c>
    </row>
    <row r="5095" s="76" customFormat="1" spans="1:6">
      <c r="A5095">
        <v>5232</v>
      </c>
      <c r="B5095">
        <v>332021270</v>
      </c>
      <c r="C5095" s="76">
        <v>2021</v>
      </c>
      <c r="D5095" s="76" t="s">
        <v>31</v>
      </c>
      <c r="E5095" s="76" t="s">
        <v>32</v>
      </c>
      <c r="F5095" s="76">
        <v>1.08</v>
      </c>
    </row>
    <row r="5096" s="76" customFormat="1" spans="1:6">
      <c r="A5096">
        <v>5231</v>
      </c>
      <c r="B5096">
        <v>332021270</v>
      </c>
      <c r="C5096" s="76">
        <v>2021</v>
      </c>
      <c r="D5096" s="76" t="s">
        <v>31</v>
      </c>
      <c r="E5096" s="76" t="s">
        <v>32</v>
      </c>
      <c r="F5096" s="76">
        <v>0.82</v>
      </c>
    </row>
    <row r="5097" s="76" customFormat="1" spans="1:6">
      <c r="A5097">
        <v>5242</v>
      </c>
      <c r="B5097">
        <v>332021270</v>
      </c>
      <c r="C5097" s="76">
        <v>2021</v>
      </c>
      <c r="D5097" s="76" t="s">
        <v>31</v>
      </c>
      <c r="E5097" s="76" t="s">
        <v>32</v>
      </c>
      <c r="F5097" s="76">
        <v>1.46</v>
      </c>
    </row>
    <row r="5098" s="76" customFormat="1" spans="1:6">
      <c r="A5098">
        <v>5237</v>
      </c>
      <c r="B5098">
        <v>332021270</v>
      </c>
      <c r="C5098" s="76">
        <v>2021</v>
      </c>
      <c r="D5098" s="76" t="s">
        <v>31</v>
      </c>
      <c r="E5098" s="76" t="s">
        <v>32</v>
      </c>
      <c r="F5098" s="76">
        <v>0.32</v>
      </c>
    </row>
    <row r="5099" s="76" customFormat="1" spans="1:6">
      <c r="A5099">
        <v>5252</v>
      </c>
      <c r="B5099">
        <v>332021270</v>
      </c>
      <c r="C5099" s="76">
        <v>2021</v>
      </c>
      <c r="D5099" s="76" t="s">
        <v>31</v>
      </c>
      <c r="E5099" s="76" t="s">
        <v>32</v>
      </c>
      <c r="F5099" s="76">
        <v>23.23</v>
      </c>
    </row>
    <row r="5100" s="76" customFormat="1" spans="1:6">
      <c r="A5100">
        <v>5241</v>
      </c>
      <c r="B5100">
        <v>332021270</v>
      </c>
      <c r="C5100" s="76">
        <v>2021</v>
      </c>
      <c r="D5100" s="76" t="s">
        <v>31</v>
      </c>
      <c r="E5100" s="76" t="s">
        <v>32</v>
      </c>
      <c r="F5100" s="76">
        <v>0.12</v>
      </c>
    </row>
    <row r="5101" s="76" customFormat="1" spans="1:6">
      <c r="A5101">
        <v>5250</v>
      </c>
      <c r="B5101">
        <v>332021270</v>
      </c>
      <c r="C5101" s="76">
        <v>2021</v>
      </c>
      <c r="D5101" s="76" t="s">
        <v>31</v>
      </c>
      <c r="E5101" s="76" t="s">
        <v>32</v>
      </c>
      <c r="F5101" s="76">
        <v>0.81</v>
      </c>
    </row>
    <row r="5102" s="76" customFormat="1" spans="1:6">
      <c r="A5102">
        <v>5233</v>
      </c>
      <c r="B5102">
        <v>332021270</v>
      </c>
      <c r="C5102" s="76">
        <v>2021</v>
      </c>
      <c r="D5102" s="76" t="s">
        <v>31</v>
      </c>
      <c r="E5102" s="76">
        <v>1</v>
      </c>
      <c r="F5102" s="76">
        <v>0.3</v>
      </c>
    </row>
    <row r="5103" s="76" customFormat="1" spans="1:6">
      <c r="A5103">
        <v>5258</v>
      </c>
      <c r="B5103">
        <v>342012110</v>
      </c>
      <c r="C5103">
        <v>2012</v>
      </c>
      <c r="D5103" t="s">
        <v>40</v>
      </c>
      <c r="E5103">
        <v>1</v>
      </c>
      <c r="F5103">
        <v>2</v>
      </c>
    </row>
    <row r="5104" s="76" customFormat="1" spans="1:6">
      <c r="A5104">
        <v>5259</v>
      </c>
      <c r="B5104">
        <v>342012120</v>
      </c>
      <c r="C5104">
        <v>2012</v>
      </c>
      <c r="D5104" t="s">
        <v>42</v>
      </c>
      <c r="E5104">
        <v>3</v>
      </c>
      <c r="F5104">
        <v>75</v>
      </c>
    </row>
    <row r="5105" s="76" customFormat="1" spans="1:6">
      <c r="A5105">
        <v>5260</v>
      </c>
      <c r="B5105">
        <v>342012211</v>
      </c>
      <c r="C5105">
        <v>2012</v>
      </c>
      <c r="D5105" t="s">
        <v>37</v>
      </c>
      <c r="E5105">
        <v>2</v>
      </c>
      <c r="F5105">
        <v>70</v>
      </c>
    </row>
    <row r="5106" s="76" customFormat="1" spans="1:6">
      <c r="A5106">
        <v>5263</v>
      </c>
      <c r="B5106">
        <v>342012211</v>
      </c>
      <c r="C5106">
        <v>2012</v>
      </c>
      <c r="D5106" t="s">
        <v>37</v>
      </c>
      <c r="E5106">
        <v>2</v>
      </c>
      <c r="F5106">
        <v>60</v>
      </c>
    </row>
    <row r="5107" s="76" customFormat="1" spans="1:6">
      <c r="A5107">
        <v>5261</v>
      </c>
      <c r="B5107">
        <v>342012211</v>
      </c>
      <c r="C5107">
        <v>2012</v>
      </c>
      <c r="D5107" t="s">
        <v>37</v>
      </c>
      <c r="E5107">
        <v>2</v>
      </c>
      <c r="F5107">
        <v>132</v>
      </c>
    </row>
    <row r="5108" s="76" customFormat="1" spans="1:6">
      <c r="A5108">
        <v>5262</v>
      </c>
      <c r="B5108">
        <v>342012211</v>
      </c>
      <c r="C5108">
        <v>2012</v>
      </c>
      <c r="D5108" t="s">
        <v>37</v>
      </c>
      <c r="E5108">
        <v>1</v>
      </c>
      <c r="F5108">
        <v>1.2</v>
      </c>
    </row>
    <row r="5109" s="76" customFormat="1" spans="1:6">
      <c r="A5109">
        <v>5265</v>
      </c>
      <c r="B5109">
        <v>342012241</v>
      </c>
      <c r="C5109">
        <v>2012</v>
      </c>
      <c r="D5109" t="s">
        <v>33</v>
      </c>
      <c r="E5109">
        <v>1</v>
      </c>
      <c r="F5109">
        <v>1.8</v>
      </c>
    </row>
    <row r="5110" s="76" customFormat="1" spans="1:6">
      <c r="A5110">
        <v>5264</v>
      </c>
      <c r="B5110">
        <v>342012241</v>
      </c>
      <c r="C5110">
        <v>2012</v>
      </c>
      <c r="D5110" t="s">
        <v>33</v>
      </c>
      <c r="E5110">
        <v>1</v>
      </c>
      <c r="F5110">
        <v>0.6</v>
      </c>
    </row>
    <row r="5111" s="76" customFormat="1" spans="1:6">
      <c r="A5111">
        <v>5266</v>
      </c>
      <c r="B5111">
        <v>342012242</v>
      </c>
      <c r="C5111">
        <v>2012</v>
      </c>
      <c r="D5111" t="s">
        <v>35</v>
      </c>
      <c r="E5111">
        <v>1</v>
      </c>
      <c r="F5111">
        <v>0.1</v>
      </c>
    </row>
    <row r="5112" s="76" customFormat="1" spans="1:6">
      <c r="A5112">
        <v>5267</v>
      </c>
      <c r="B5112">
        <v>342012243</v>
      </c>
      <c r="C5112">
        <v>2012</v>
      </c>
      <c r="D5112" t="s">
        <v>38</v>
      </c>
      <c r="E5112">
        <v>1</v>
      </c>
      <c r="F5112">
        <v>3</v>
      </c>
    </row>
    <row r="5113" s="76" customFormat="1" spans="1:6">
      <c r="A5113">
        <v>5268</v>
      </c>
      <c r="B5113">
        <v>342012260</v>
      </c>
      <c r="C5113">
        <v>2012</v>
      </c>
      <c r="D5113" t="s">
        <v>34</v>
      </c>
      <c r="E5113">
        <v>25</v>
      </c>
      <c r="F5113">
        <v>5</v>
      </c>
    </row>
    <row r="5114" s="76" customFormat="1" spans="1:6">
      <c r="A5114">
        <v>5269</v>
      </c>
      <c r="B5114">
        <v>342012270</v>
      </c>
      <c r="C5114">
        <v>2012</v>
      </c>
      <c r="D5114" t="s">
        <v>31</v>
      </c>
      <c r="E5114" t="s">
        <v>32</v>
      </c>
      <c r="F5114">
        <v>1.46</v>
      </c>
    </row>
    <row r="5115" s="76" customFormat="1" spans="1:6">
      <c r="A5115">
        <v>5270</v>
      </c>
      <c r="B5115">
        <v>342013110</v>
      </c>
      <c r="C5115">
        <v>2013</v>
      </c>
      <c r="D5115" t="s">
        <v>40</v>
      </c>
      <c r="E5115">
        <v>1</v>
      </c>
      <c r="F5115">
        <v>0.52</v>
      </c>
    </row>
    <row r="5116" s="76" customFormat="1" spans="1:6">
      <c r="A5116">
        <v>5271</v>
      </c>
      <c r="B5116">
        <v>342013110</v>
      </c>
      <c r="C5116">
        <v>2013</v>
      </c>
      <c r="D5116" t="s">
        <v>40</v>
      </c>
      <c r="E5116">
        <v>1</v>
      </c>
      <c r="F5116">
        <v>0.03</v>
      </c>
    </row>
    <row r="5117" s="76" customFormat="1" spans="1:6">
      <c r="A5117">
        <v>5272</v>
      </c>
      <c r="B5117">
        <v>342013211</v>
      </c>
      <c r="C5117">
        <v>2013</v>
      </c>
      <c r="D5117" t="s">
        <v>37</v>
      </c>
      <c r="E5117">
        <v>1</v>
      </c>
      <c r="F5117">
        <v>66</v>
      </c>
    </row>
    <row r="5118" s="76" customFormat="1" spans="1:6">
      <c r="A5118">
        <v>5273</v>
      </c>
      <c r="B5118">
        <v>342013211</v>
      </c>
      <c r="C5118">
        <v>2013</v>
      </c>
      <c r="D5118" t="s">
        <v>37</v>
      </c>
      <c r="E5118">
        <v>2</v>
      </c>
      <c r="F5118">
        <v>132</v>
      </c>
    </row>
    <row r="5119" s="76" customFormat="1" spans="1:6">
      <c r="A5119">
        <v>5275</v>
      </c>
      <c r="B5119">
        <v>342013211</v>
      </c>
      <c r="C5119">
        <v>2013</v>
      </c>
      <c r="D5119" t="s">
        <v>37</v>
      </c>
      <c r="E5119">
        <v>2</v>
      </c>
      <c r="F5119">
        <v>132</v>
      </c>
    </row>
    <row r="5120" s="76" customFormat="1" spans="1:6">
      <c r="A5120">
        <v>5274</v>
      </c>
      <c r="B5120">
        <v>342013211</v>
      </c>
      <c r="C5120">
        <v>2013</v>
      </c>
      <c r="D5120" t="s">
        <v>37</v>
      </c>
      <c r="E5120">
        <v>1</v>
      </c>
      <c r="F5120">
        <v>63</v>
      </c>
    </row>
    <row r="5121" s="76" customFormat="1" spans="1:6">
      <c r="A5121">
        <v>5276</v>
      </c>
      <c r="B5121">
        <v>342013212</v>
      </c>
      <c r="C5121">
        <v>2013</v>
      </c>
      <c r="D5121" t="s">
        <v>39</v>
      </c>
      <c r="E5121">
        <v>1</v>
      </c>
      <c r="F5121">
        <v>30</v>
      </c>
    </row>
    <row r="5122" s="76" customFormat="1" spans="1:6">
      <c r="A5122">
        <v>5277</v>
      </c>
      <c r="B5122">
        <v>342013241</v>
      </c>
      <c r="C5122">
        <v>2013</v>
      </c>
      <c r="D5122" t="s">
        <v>33</v>
      </c>
      <c r="E5122">
        <v>1</v>
      </c>
      <c r="F5122">
        <v>0.45</v>
      </c>
    </row>
    <row r="5123" s="76" customFormat="1" spans="1:6">
      <c r="A5123">
        <v>5278</v>
      </c>
      <c r="B5123">
        <v>342013241</v>
      </c>
      <c r="C5123">
        <v>2013</v>
      </c>
      <c r="D5123" t="s">
        <v>33</v>
      </c>
      <c r="E5123">
        <v>1</v>
      </c>
      <c r="F5123">
        <v>3</v>
      </c>
    </row>
    <row r="5124" s="76" customFormat="1" spans="1:6">
      <c r="A5124">
        <v>5279</v>
      </c>
      <c r="B5124">
        <v>342013241</v>
      </c>
      <c r="C5124">
        <v>2013</v>
      </c>
      <c r="D5124" t="s">
        <v>33</v>
      </c>
      <c r="E5124">
        <v>1</v>
      </c>
      <c r="F5124">
        <v>0.47</v>
      </c>
    </row>
    <row r="5125" s="76" customFormat="1" spans="1:6">
      <c r="A5125">
        <v>5280</v>
      </c>
      <c r="B5125">
        <v>342013241</v>
      </c>
      <c r="C5125">
        <v>2013</v>
      </c>
      <c r="D5125" t="s">
        <v>33</v>
      </c>
      <c r="E5125">
        <v>1</v>
      </c>
      <c r="F5125">
        <v>0.4</v>
      </c>
    </row>
    <row r="5126" s="76" customFormat="1" spans="1:6">
      <c r="A5126">
        <v>5284</v>
      </c>
      <c r="B5126">
        <v>342013243</v>
      </c>
      <c r="C5126">
        <v>2013</v>
      </c>
      <c r="D5126" t="s">
        <v>38</v>
      </c>
      <c r="E5126">
        <v>1</v>
      </c>
      <c r="F5126">
        <v>3</v>
      </c>
    </row>
    <row r="5127" s="76" customFormat="1" spans="1:6">
      <c r="A5127">
        <v>5281</v>
      </c>
      <c r="B5127">
        <v>342013243</v>
      </c>
      <c r="C5127">
        <v>2013</v>
      </c>
      <c r="D5127" t="s">
        <v>38</v>
      </c>
      <c r="E5127">
        <v>1</v>
      </c>
      <c r="F5127">
        <v>3</v>
      </c>
    </row>
    <row r="5128" s="76" customFormat="1" spans="1:6">
      <c r="A5128">
        <v>5283</v>
      </c>
      <c r="B5128">
        <v>342013243</v>
      </c>
      <c r="C5128">
        <v>2013</v>
      </c>
      <c r="D5128" t="s">
        <v>38</v>
      </c>
      <c r="E5128">
        <v>1</v>
      </c>
      <c r="F5128">
        <v>3</v>
      </c>
    </row>
    <row r="5129" s="76" customFormat="1" spans="1:6">
      <c r="A5129">
        <v>5282</v>
      </c>
      <c r="B5129">
        <v>342013243</v>
      </c>
      <c r="C5129">
        <v>2013</v>
      </c>
      <c r="D5129" t="s">
        <v>38</v>
      </c>
      <c r="E5129">
        <v>1</v>
      </c>
      <c r="F5129">
        <v>3</v>
      </c>
    </row>
    <row r="5130" s="76" customFormat="1" spans="1:6">
      <c r="A5130">
        <v>5288</v>
      </c>
      <c r="B5130">
        <v>342013260</v>
      </c>
      <c r="C5130">
        <v>2013</v>
      </c>
      <c r="D5130" t="s">
        <v>34</v>
      </c>
      <c r="E5130">
        <v>13</v>
      </c>
      <c r="F5130">
        <v>2.6</v>
      </c>
    </row>
    <row r="5131" s="76" customFormat="1" spans="1:6">
      <c r="A5131">
        <v>5285</v>
      </c>
      <c r="B5131">
        <v>342013260</v>
      </c>
      <c r="C5131">
        <v>2013</v>
      </c>
      <c r="D5131" t="s">
        <v>34</v>
      </c>
      <c r="E5131">
        <v>33</v>
      </c>
      <c r="F5131">
        <v>4.95</v>
      </c>
    </row>
    <row r="5132" s="76" customFormat="1" spans="1:6">
      <c r="A5132">
        <v>5286</v>
      </c>
      <c r="B5132">
        <v>342013260</v>
      </c>
      <c r="C5132">
        <v>2013</v>
      </c>
      <c r="D5132" t="s">
        <v>34</v>
      </c>
      <c r="E5132">
        <v>33</v>
      </c>
      <c r="F5132">
        <v>4.95</v>
      </c>
    </row>
    <row r="5133" s="76" customFormat="1" spans="1:6">
      <c r="A5133">
        <v>5287</v>
      </c>
      <c r="B5133">
        <v>342013260</v>
      </c>
      <c r="C5133">
        <v>2013</v>
      </c>
      <c r="D5133" t="s">
        <v>34</v>
      </c>
      <c r="E5133">
        <v>33</v>
      </c>
      <c r="F5133">
        <v>4.95</v>
      </c>
    </row>
    <row r="5134" s="76" customFormat="1" spans="1:6">
      <c r="A5134">
        <v>5289</v>
      </c>
      <c r="B5134">
        <v>342013260</v>
      </c>
      <c r="C5134">
        <v>2013</v>
      </c>
      <c r="D5134" t="s">
        <v>34</v>
      </c>
      <c r="E5134">
        <v>24</v>
      </c>
      <c r="F5134">
        <v>4.8</v>
      </c>
    </row>
    <row r="5135" s="76" customFormat="1" spans="1:6">
      <c r="A5135">
        <v>5290</v>
      </c>
      <c r="B5135">
        <v>342013270</v>
      </c>
      <c r="C5135">
        <v>2013</v>
      </c>
      <c r="D5135" t="s">
        <v>31</v>
      </c>
      <c r="E5135" t="s">
        <v>32</v>
      </c>
      <c r="F5135">
        <v>0.2</v>
      </c>
    </row>
    <row r="5136" s="76" customFormat="1" spans="1:6">
      <c r="A5136">
        <v>5293</v>
      </c>
      <c r="B5136">
        <v>342013270</v>
      </c>
      <c r="C5136">
        <v>2013</v>
      </c>
      <c r="D5136" t="s">
        <v>31</v>
      </c>
      <c r="E5136" t="s">
        <v>32</v>
      </c>
      <c r="F5136">
        <v>0.01</v>
      </c>
    </row>
    <row r="5137" s="76" customFormat="1" spans="1:6">
      <c r="A5137">
        <v>5292</v>
      </c>
      <c r="B5137">
        <v>342013270</v>
      </c>
      <c r="C5137">
        <v>2013</v>
      </c>
      <c r="D5137" t="s">
        <v>31</v>
      </c>
      <c r="E5137" t="s">
        <v>32</v>
      </c>
      <c r="F5137">
        <v>0.18</v>
      </c>
    </row>
    <row r="5138" s="76" customFormat="1" spans="1:6">
      <c r="A5138">
        <v>5296</v>
      </c>
      <c r="B5138">
        <v>342013270</v>
      </c>
      <c r="C5138">
        <v>2013</v>
      </c>
      <c r="D5138" t="s">
        <v>31</v>
      </c>
      <c r="E5138" t="s">
        <v>32</v>
      </c>
      <c r="F5138">
        <v>0.03</v>
      </c>
    </row>
    <row r="5139" s="76" customFormat="1" spans="1:6">
      <c r="A5139">
        <v>5291</v>
      </c>
      <c r="B5139">
        <v>342013270</v>
      </c>
      <c r="C5139">
        <v>2013</v>
      </c>
      <c r="D5139" t="s">
        <v>31</v>
      </c>
      <c r="E5139" t="s">
        <v>32</v>
      </c>
      <c r="F5139">
        <v>0.2</v>
      </c>
    </row>
    <row r="5140" s="76" customFormat="1" spans="1:6">
      <c r="A5140">
        <v>5294</v>
      </c>
      <c r="B5140">
        <v>342013270</v>
      </c>
      <c r="C5140">
        <v>2013</v>
      </c>
      <c r="D5140" t="s">
        <v>31</v>
      </c>
      <c r="E5140" t="s">
        <v>32</v>
      </c>
      <c r="F5140">
        <v>0.1</v>
      </c>
    </row>
    <row r="5141" s="76" customFormat="1" spans="1:6">
      <c r="A5141">
        <v>5295</v>
      </c>
      <c r="B5141">
        <v>342013270</v>
      </c>
      <c r="C5141">
        <v>2013</v>
      </c>
      <c r="D5141" t="s">
        <v>31</v>
      </c>
      <c r="E5141" t="s">
        <v>32</v>
      </c>
      <c r="F5141">
        <v>0.3</v>
      </c>
    </row>
    <row r="5142" s="76" customFormat="1" spans="1:6">
      <c r="A5142">
        <v>5299</v>
      </c>
      <c r="B5142">
        <v>342013270</v>
      </c>
      <c r="C5142">
        <v>2013</v>
      </c>
      <c r="D5142" t="s">
        <v>31</v>
      </c>
      <c r="E5142" t="s">
        <v>32</v>
      </c>
      <c r="F5142">
        <v>0.12</v>
      </c>
    </row>
    <row r="5143" s="76" customFormat="1" spans="1:6">
      <c r="A5143">
        <v>5298</v>
      </c>
      <c r="B5143">
        <v>342013270</v>
      </c>
      <c r="C5143">
        <v>2013</v>
      </c>
      <c r="D5143" t="s">
        <v>31</v>
      </c>
      <c r="E5143" t="s">
        <v>32</v>
      </c>
      <c r="F5143">
        <v>1</v>
      </c>
    </row>
    <row r="5144" s="76" customFormat="1" spans="1:6">
      <c r="A5144">
        <v>5297</v>
      </c>
      <c r="B5144">
        <v>342013270</v>
      </c>
      <c r="C5144">
        <v>2013</v>
      </c>
      <c r="D5144" t="s">
        <v>31</v>
      </c>
      <c r="E5144" t="s">
        <v>32</v>
      </c>
      <c r="F5144">
        <v>1</v>
      </c>
    </row>
    <row r="5145" s="76" customFormat="1" spans="1:6">
      <c r="A5145">
        <v>5303</v>
      </c>
      <c r="B5145">
        <v>342014110</v>
      </c>
      <c r="C5145">
        <v>2014</v>
      </c>
      <c r="D5145" t="s">
        <v>40</v>
      </c>
      <c r="E5145">
        <v>1</v>
      </c>
      <c r="F5145">
        <v>1</v>
      </c>
    </row>
    <row r="5146" s="76" customFormat="1" spans="1:6">
      <c r="A5146">
        <v>5301</v>
      </c>
      <c r="B5146">
        <v>342014110</v>
      </c>
      <c r="C5146">
        <v>2014</v>
      </c>
      <c r="D5146" t="s">
        <v>40</v>
      </c>
      <c r="E5146"/>
      <c r="F5146">
        <v>1.8</v>
      </c>
    </row>
    <row r="5147" s="76" customFormat="1" spans="1:6">
      <c r="A5147">
        <v>5300</v>
      </c>
      <c r="B5147">
        <v>342014110</v>
      </c>
      <c r="C5147">
        <v>2014</v>
      </c>
      <c r="D5147" t="s">
        <v>40</v>
      </c>
      <c r="E5147"/>
      <c r="F5147">
        <v>2.4</v>
      </c>
    </row>
    <row r="5148" s="76" customFormat="1" spans="1:6">
      <c r="A5148">
        <v>5304</v>
      </c>
      <c r="B5148">
        <v>342014110</v>
      </c>
      <c r="C5148">
        <v>2014</v>
      </c>
      <c r="D5148" t="s">
        <v>40</v>
      </c>
      <c r="E5148"/>
      <c r="F5148">
        <v>0.16</v>
      </c>
    </row>
    <row r="5149" s="76" customFormat="1" spans="1:6">
      <c r="A5149">
        <v>5302</v>
      </c>
      <c r="B5149">
        <v>342014110</v>
      </c>
      <c r="C5149">
        <v>2014</v>
      </c>
      <c r="D5149" t="s">
        <v>40</v>
      </c>
      <c r="E5149"/>
      <c r="F5149">
        <v>1.45</v>
      </c>
    </row>
    <row r="5150" s="76" customFormat="1" spans="1:6">
      <c r="A5150">
        <v>5307</v>
      </c>
      <c r="B5150">
        <v>342014211</v>
      </c>
      <c r="C5150">
        <v>2014</v>
      </c>
      <c r="D5150" t="s">
        <v>37</v>
      </c>
      <c r="E5150">
        <v>2</v>
      </c>
      <c r="F5150">
        <v>132</v>
      </c>
    </row>
    <row r="5151" s="76" customFormat="1" spans="1:6">
      <c r="A5151">
        <v>5305</v>
      </c>
      <c r="B5151">
        <v>342014211</v>
      </c>
      <c r="C5151">
        <v>2014</v>
      </c>
      <c r="D5151" t="s">
        <v>37</v>
      </c>
      <c r="E5151">
        <v>1</v>
      </c>
      <c r="F5151">
        <v>66</v>
      </c>
    </row>
    <row r="5152" s="76" customFormat="1" spans="1:6">
      <c r="A5152">
        <v>5306</v>
      </c>
      <c r="B5152">
        <v>342014211</v>
      </c>
      <c r="C5152">
        <v>2014</v>
      </c>
      <c r="D5152" t="s">
        <v>37</v>
      </c>
      <c r="E5152">
        <v>1</v>
      </c>
      <c r="F5152">
        <v>66</v>
      </c>
    </row>
    <row r="5153" s="76" customFormat="1" spans="1:6">
      <c r="A5153">
        <v>5308</v>
      </c>
      <c r="B5153">
        <v>342014222</v>
      </c>
      <c r="C5153">
        <v>2014</v>
      </c>
      <c r="D5153" t="s">
        <v>43</v>
      </c>
      <c r="E5153">
        <v>1</v>
      </c>
      <c r="F5153">
        <v>0.9</v>
      </c>
    </row>
    <row r="5154" s="76" customFormat="1" spans="1:6">
      <c r="A5154">
        <v>5309</v>
      </c>
      <c r="B5154">
        <v>342014222</v>
      </c>
      <c r="C5154">
        <v>2014</v>
      </c>
      <c r="D5154" t="s">
        <v>43</v>
      </c>
      <c r="E5154"/>
      <c r="F5154">
        <v>6.74</v>
      </c>
    </row>
    <row r="5155" s="76" customFormat="1" spans="1:6">
      <c r="A5155">
        <v>5318</v>
      </c>
      <c r="B5155">
        <v>342014241</v>
      </c>
      <c r="C5155">
        <v>2014</v>
      </c>
      <c r="D5155" t="s">
        <v>33</v>
      </c>
      <c r="E5155">
        <v>1</v>
      </c>
      <c r="F5155">
        <v>1.8</v>
      </c>
    </row>
    <row r="5156" s="76" customFormat="1" spans="1:6">
      <c r="A5156">
        <v>5315</v>
      </c>
      <c r="B5156">
        <v>342014241</v>
      </c>
      <c r="C5156">
        <v>2014</v>
      </c>
      <c r="D5156" t="s">
        <v>33</v>
      </c>
      <c r="E5156">
        <v>1</v>
      </c>
      <c r="F5156">
        <v>3</v>
      </c>
    </row>
    <row r="5157" s="76" customFormat="1" spans="1:6">
      <c r="A5157">
        <v>5314</v>
      </c>
      <c r="B5157">
        <v>342014241</v>
      </c>
      <c r="C5157">
        <v>2014</v>
      </c>
      <c r="D5157" t="s">
        <v>33</v>
      </c>
      <c r="E5157">
        <v>1</v>
      </c>
      <c r="F5157">
        <v>3</v>
      </c>
    </row>
    <row r="5158" s="76" customFormat="1" spans="1:6">
      <c r="A5158">
        <v>5310</v>
      </c>
      <c r="B5158">
        <v>342014241</v>
      </c>
      <c r="C5158">
        <v>2014</v>
      </c>
      <c r="D5158" t="s">
        <v>33</v>
      </c>
      <c r="E5158">
        <v>1</v>
      </c>
      <c r="F5158">
        <v>0.6</v>
      </c>
    </row>
    <row r="5159" s="76" customFormat="1" spans="1:6">
      <c r="A5159">
        <v>5313</v>
      </c>
      <c r="B5159">
        <v>342014241</v>
      </c>
      <c r="C5159">
        <v>2014</v>
      </c>
      <c r="D5159" t="s">
        <v>33</v>
      </c>
      <c r="E5159">
        <v>1</v>
      </c>
      <c r="F5159">
        <v>7</v>
      </c>
    </row>
    <row r="5160" s="76" customFormat="1" spans="1:6">
      <c r="A5160">
        <v>5317</v>
      </c>
      <c r="B5160">
        <v>342014241</v>
      </c>
      <c r="C5160">
        <v>2014</v>
      </c>
      <c r="D5160" t="s">
        <v>33</v>
      </c>
      <c r="E5160">
        <v>1</v>
      </c>
      <c r="F5160">
        <v>1.8</v>
      </c>
    </row>
    <row r="5161" s="76" customFormat="1" spans="1:6">
      <c r="A5161">
        <v>5311</v>
      </c>
      <c r="B5161">
        <v>342014241</v>
      </c>
      <c r="C5161">
        <v>2014</v>
      </c>
      <c r="D5161" t="s">
        <v>33</v>
      </c>
      <c r="E5161">
        <v>1</v>
      </c>
      <c r="F5161">
        <v>0.6</v>
      </c>
    </row>
    <row r="5162" s="76" customFormat="1" spans="1:6">
      <c r="A5162">
        <v>5312</v>
      </c>
      <c r="B5162">
        <v>342014241</v>
      </c>
      <c r="C5162">
        <v>2014</v>
      </c>
      <c r="D5162" t="s">
        <v>33</v>
      </c>
      <c r="E5162">
        <v>1</v>
      </c>
      <c r="F5162">
        <v>7.5</v>
      </c>
    </row>
    <row r="5163" s="76" customFormat="1" spans="1:6">
      <c r="A5163">
        <v>5316</v>
      </c>
      <c r="B5163">
        <v>342014241</v>
      </c>
      <c r="C5163">
        <v>2014</v>
      </c>
      <c r="D5163" t="s">
        <v>33</v>
      </c>
      <c r="E5163"/>
      <c r="F5163">
        <v>2.5</v>
      </c>
    </row>
    <row r="5164" s="76" customFormat="1" spans="1:6">
      <c r="A5164">
        <v>5319</v>
      </c>
      <c r="B5164">
        <v>342014242</v>
      </c>
      <c r="C5164">
        <v>2014</v>
      </c>
      <c r="D5164" t="s">
        <v>35</v>
      </c>
      <c r="E5164">
        <v>1</v>
      </c>
      <c r="F5164">
        <v>6</v>
      </c>
    </row>
    <row r="5165" s="76" customFormat="1" spans="1:6">
      <c r="A5165">
        <v>5322</v>
      </c>
      <c r="B5165">
        <v>342014243</v>
      </c>
      <c r="C5165">
        <v>2014</v>
      </c>
      <c r="D5165" t="s">
        <v>38</v>
      </c>
      <c r="E5165">
        <v>1</v>
      </c>
      <c r="F5165">
        <v>3</v>
      </c>
    </row>
    <row r="5166" s="76" customFormat="1" spans="1:6">
      <c r="A5166">
        <v>5320</v>
      </c>
      <c r="B5166">
        <v>342014243</v>
      </c>
      <c r="C5166">
        <v>2014</v>
      </c>
      <c r="D5166" t="s">
        <v>38</v>
      </c>
      <c r="E5166">
        <v>1</v>
      </c>
      <c r="F5166">
        <v>3</v>
      </c>
    </row>
    <row r="5167" s="76" customFormat="1" spans="1:6">
      <c r="A5167">
        <v>5321</v>
      </c>
      <c r="B5167">
        <v>342014243</v>
      </c>
      <c r="C5167">
        <v>2014</v>
      </c>
      <c r="D5167" t="s">
        <v>38</v>
      </c>
      <c r="E5167">
        <v>1</v>
      </c>
      <c r="F5167">
        <v>3</v>
      </c>
    </row>
    <row r="5168" s="76" customFormat="1" spans="1:6">
      <c r="A5168">
        <v>5323</v>
      </c>
      <c r="B5168">
        <v>342014243</v>
      </c>
      <c r="C5168">
        <v>2014</v>
      </c>
      <c r="D5168" t="s">
        <v>38</v>
      </c>
      <c r="E5168">
        <v>1</v>
      </c>
      <c r="F5168">
        <v>2.4</v>
      </c>
    </row>
    <row r="5169" s="76" customFormat="1" spans="1:6">
      <c r="A5169">
        <v>5329</v>
      </c>
      <c r="B5169">
        <v>342014260</v>
      </c>
      <c r="C5169">
        <v>2014</v>
      </c>
      <c r="D5169" t="s">
        <v>34</v>
      </c>
      <c r="E5169">
        <v>22</v>
      </c>
      <c r="F5169">
        <v>4.4</v>
      </c>
    </row>
    <row r="5170" s="76" customFormat="1" spans="1:6">
      <c r="A5170">
        <v>5326</v>
      </c>
      <c r="B5170">
        <v>342014260</v>
      </c>
      <c r="C5170">
        <v>2014</v>
      </c>
      <c r="D5170" t="s">
        <v>34</v>
      </c>
      <c r="E5170">
        <v>22</v>
      </c>
      <c r="F5170">
        <v>4.4</v>
      </c>
    </row>
    <row r="5171" s="76" customFormat="1" spans="1:6">
      <c r="A5171">
        <v>5332</v>
      </c>
      <c r="B5171">
        <v>342014260</v>
      </c>
      <c r="C5171">
        <v>2014</v>
      </c>
      <c r="D5171" t="s">
        <v>34</v>
      </c>
      <c r="E5171">
        <v>33</v>
      </c>
      <c r="F5171">
        <v>4.95</v>
      </c>
    </row>
    <row r="5172" s="76" customFormat="1" spans="1:6">
      <c r="A5172">
        <v>5331</v>
      </c>
      <c r="B5172">
        <v>342014260</v>
      </c>
      <c r="C5172">
        <v>2014</v>
      </c>
      <c r="D5172" t="s">
        <v>34</v>
      </c>
      <c r="E5172">
        <v>33</v>
      </c>
      <c r="F5172">
        <v>4.95</v>
      </c>
    </row>
    <row r="5173" s="76" customFormat="1" spans="1:6">
      <c r="A5173">
        <v>5333</v>
      </c>
      <c r="B5173">
        <v>342014260</v>
      </c>
      <c r="C5173">
        <v>2014</v>
      </c>
      <c r="D5173" t="s">
        <v>34</v>
      </c>
      <c r="E5173">
        <v>23</v>
      </c>
      <c r="F5173">
        <v>4.83</v>
      </c>
    </row>
    <row r="5174" s="76" customFormat="1" spans="1:6">
      <c r="A5174">
        <v>5325</v>
      </c>
      <c r="B5174">
        <v>342014260</v>
      </c>
      <c r="C5174">
        <v>2014</v>
      </c>
      <c r="D5174" t="s">
        <v>34</v>
      </c>
      <c r="E5174">
        <v>24</v>
      </c>
      <c r="F5174">
        <v>4.8</v>
      </c>
    </row>
    <row r="5175" s="76" customFormat="1" spans="1:6">
      <c r="A5175">
        <v>5328</v>
      </c>
      <c r="B5175">
        <v>342014260</v>
      </c>
      <c r="C5175">
        <v>2014</v>
      </c>
      <c r="D5175" t="s">
        <v>34</v>
      </c>
      <c r="E5175">
        <v>23</v>
      </c>
      <c r="F5175">
        <v>4.6</v>
      </c>
    </row>
    <row r="5176" s="76" customFormat="1" spans="1:6">
      <c r="A5176">
        <v>5327</v>
      </c>
      <c r="B5176">
        <v>342014260</v>
      </c>
      <c r="C5176">
        <v>2014</v>
      </c>
      <c r="D5176" t="s">
        <v>34</v>
      </c>
      <c r="E5176">
        <v>33</v>
      </c>
      <c r="F5176">
        <v>4.83</v>
      </c>
    </row>
    <row r="5177" s="76" customFormat="1" spans="1:6">
      <c r="A5177">
        <v>5324</v>
      </c>
      <c r="B5177">
        <v>342014260</v>
      </c>
      <c r="C5177">
        <v>2014</v>
      </c>
      <c r="D5177" t="s">
        <v>34</v>
      </c>
      <c r="E5177">
        <v>24</v>
      </c>
      <c r="F5177">
        <v>4.8</v>
      </c>
    </row>
    <row r="5178" s="76" customFormat="1" spans="1:6">
      <c r="A5178">
        <v>5330</v>
      </c>
      <c r="B5178">
        <v>342014260</v>
      </c>
      <c r="C5178">
        <v>2014</v>
      </c>
      <c r="D5178" t="s">
        <v>34</v>
      </c>
      <c r="E5178">
        <v>33</v>
      </c>
      <c r="F5178">
        <v>4.95</v>
      </c>
    </row>
    <row r="5179" s="76" customFormat="1" spans="1:6">
      <c r="A5179">
        <v>5334</v>
      </c>
      <c r="B5179">
        <v>342014260</v>
      </c>
      <c r="C5179">
        <v>2014</v>
      </c>
      <c r="D5179" t="s">
        <v>34</v>
      </c>
      <c r="E5179">
        <v>24</v>
      </c>
      <c r="F5179">
        <v>4.8</v>
      </c>
    </row>
    <row r="5180" s="76" customFormat="1" spans="1:6">
      <c r="A5180">
        <v>5338</v>
      </c>
      <c r="B5180">
        <v>342014270</v>
      </c>
      <c r="C5180">
        <v>2014</v>
      </c>
      <c r="D5180" t="s">
        <v>31</v>
      </c>
      <c r="E5180"/>
      <c r="F5180">
        <v>0.22</v>
      </c>
    </row>
    <row r="5181" s="76" customFormat="1" spans="1:6">
      <c r="A5181">
        <v>5342</v>
      </c>
      <c r="B5181">
        <v>342014270</v>
      </c>
      <c r="C5181">
        <v>2014</v>
      </c>
      <c r="D5181" t="s">
        <v>31</v>
      </c>
      <c r="E5181">
        <v>1</v>
      </c>
      <c r="F5181">
        <v>0.9</v>
      </c>
    </row>
    <row r="5182" s="76" customFormat="1" spans="1:6">
      <c r="A5182">
        <v>5341</v>
      </c>
      <c r="B5182">
        <v>342014270</v>
      </c>
      <c r="C5182">
        <v>2014</v>
      </c>
      <c r="D5182" t="s">
        <v>31</v>
      </c>
      <c r="E5182">
        <v>1</v>
      </c>
      <c r="F5182">
        <v>1.05</v>
      </c>
    </row>
    <row r="5183" s="76" customFormat="1" spans="1:6">
      <c r="A5183">
        <v>5345</v>
      </c>
      <c r="B5183">
        <v>342014270</v>
      </c>
      <c r="C5183">
        <v>2014</v>
      </c>
      <c r="D5183" t="s">
        <v>31</v>
      </c>
      <c r="E5183">
        <v>1</v>
      </c>
      <c r="F5183">
        <v>0.08</v>
      </c>
    </row>
    <row r="5184" s="76" customFormat="1" spans="1:6">
      <c r="A5184">
        <v>5336</v>
      </c>
      <c r="B5184">
        <v>342014270</v>
      </c>
      <c r="C5184">
        <v>2014</v>
      </c>
      <c r="D5184" t="s">
        <v>31</v>
      </c>
      <c r="E5184">
        <v>1</v>
      </c>
      <c r="F5184">
        <v>7.64</v>
      </c>
    </row>
    <row r="5185" s="76" customFormat="1" spans="1:6">
      <c r="A5185">
        <v>5339</v>
      </c>
      <c r="B5185">
        <v>342014270</v>
      </c>
      <c r="C5185">
        <v>2014</v>
      </c>
      <c r="D5185" t="s">
        <v>31</v>
      </c>
      <c r="E5185">
        <v>1</v>
      </c>
      <c r="F5185">
        <v>2</v>
      </c>
    </row>
    <row r="5186" s="76" customFormat="1" spans="1:6">
      <c r="A5186">
        <v>5343</v>
      </c>
      <c r="B5186">
        <v>342014270</v>
      </c>
      <c r="C5186">
        <v>2014</v>
      </c>
      <c r="D5186" t="s">
        <v>31</v>
      </c>
      <c r="E5186">
        <v>1</v>
      </c>
      <c r="F5186">
        <v>0.1</v>
      </c>
    </row>
    <row r="5187" s="76" customFormat="1" spans="1:6">
      <c r="A5187">
        <v>5344</v>
      </c>
      <c r="B5187">
        <v>342014270</v>
      </c>
      <c r="C5187">
        <v>2014</v>
      </c>
      <c r="D5187" t="s">
        <v>31</v>
      </c>
      <c r="E5187">
        <v>1</v>
      </c>
      <c r="F5187">
        <v>0.1</v>
      </c>
    </row>
    <row r="5188" s="76" customFormat="1" spans="1:6">
      <c r="A5188">
        <v>5346</v>
      </c>
      <c r="B5188">
        <v>342014270</v>
      </c>
      <c r="C5188">
        <v>2014</v>
      </c>
      <c r="D5188" t="s">
        <v>31</v>
      </c>
      <c r="E5188">
        <v>1</v>
      </c>
      <c r="F5188">
        <v>0.02</v>
      </c>
    </row>
    <row r="5189" s="76" customFormat="1" spans="1:6">
      <c r="A5189">
        <v>5337</v>
      </c>
      <c r="B5189">
        <v>342014270</v>
      </c>
      <c r="C5189">
        <v>2014</v>
      </c>
      <c r="D5189" t="s">
        <v>31</v>
      </c>
      <c r="E5189">
        <v>1</v>
      </c>
      <c r="F5189">
        <v>7.12</v>
      </c>
    </row>
    <row r="5190" s="76" customFormat="1" spans="1:6">
      <c r="A5190">
        <v>5340</v>
      </c>
      <c r="B5190">
        <v>342014270</v>
      </c>
      <c r="C5190">
        <v>2014</v>
      </c>
      <c r="D5190" t="s">
        <v>31</v>
      </c>
      <c r="E5190">
        <v>1</v>
      </c>
      <c r="F5190">
        <v>1.5</v>
      </c>
    </row>
    <row r="5191" s="76" customFormat="1" spans="1:6">
      <c r="A5191">
        <v>5335</v>
      </c>
      <c r="B5191">
        <v>342014270</v>
      </c>
      <c r="C5191">
        <v>2014</v>
      </c>
      <c r="D5191" t="s">
        <v>31</v>
      </c>
      <c r="E5191">
        <v>4</v>
      </c>
      <c r="F5191">
        <v>12.5</v>
      </c>
    </row>
    <row r="5192" s="76" customFormat="1" spans="1:6">
      <c r="A5192">
        <v>5352</v>
      </c>
      <c r="B5192">
        <v>342015211</v>
      </c>
      <c r="C5192">
        <v>2015</v>
      </c>
      <c r="D5192" t="s">
        <v>37</v>
      </c>
      <c r="E5192" t="s">
        <v>32</v>
      </c>
      <c r="F5192">
        <v>60</v>
      </c>
    </row>
    <row r="5193" s="76" customFormat="1" spans="1:6">
      <c r="A5193">
        <v>5347</v>
      </c>
      <c r="B5193">
        <v>342015211</v>
      </c>
      <c r="C5193">
        <v>2015</v>
      </c>
      <c r="D5193" t="s">
        <v>37</v>
      </c>
      <c r="E5193">
        <v>1</v>
      </c>
      <c r="F5193">
        <v>66</v>
      </c>
    </row>
    <row r="5194" s="76" customFormat="1" spans="1:6">
      <c r="A5194">
        <v>5348</v>
      </c>
      <c r="B5194">
        <v>342015211</v>
      </c>
      <c r="C5194">
        <v>2015</v>
      </c>
      <c r="D5194" t="s">
        <v>37</v>
      </c>
      <c r="E5194">
        <v>2</v>
      </c>
      <c r="F5194">
        <v>200</v>
      </c>
    </row>
    <row r="5195" s="76" customFormat="1" spans="1:6">
      <c r="A5195">
        <v>5350</v>
      </c>
      <c r="B5195">
        <v>342015211</v>
      </c>
      <c r="C5195">
        <v>2015</v>
      </c>
      <c r="D5195" t="s">
        <v>37</v>
      </c>
      <c r="E5195">
        <v>2</v>
      </c>
      <c r="F5195">
        <v>200</v>
      </c>
    </row>
    <row r="5196" s="76" customFormat="1" spans="1:6">
      <c r="A5196">
        <v>5351</v>
      </c>
      <c r="B5196">
        <v>342015211</v>
      </c>
      <c r="C5196">
        <v>2015</v>
      </c>
      <c r="D5196" t="s">
        <v>37</v>
      </c>
      <c r="E5196">
        <v>1</v>
      </c>
      <c r="F5196">
        <v>60</v>
      </c>
    </row>
    <row r="5197" s="76" customFormat="1" spans="1:6">
      <c r="A5197">
        <v>5353</v>
      </c>
      <c r="B5197">
        <v>342015211</v>
      </c>
      <c r="C5197">
        <v>2015</v>
      </c>
      <c r="D5197" t="s">
        <v>37</v>
      </c>
      <c r="E5197" t="s">
        <v>32</v>
      </c>
      <c r="F5197">
        <v>66</v>
      </c>
    </row>
    <row r="5198" s="76" customFormat="1" spans="1:6">
      <c r="A5198">
        <v>5349</v>
      </c>
      <c r="B5198">
        <v>342015211</v>
      </c>
      <c r="C5198">
        <v>2015</v>
      </c>
      <c r="D5198" t="s">
        <v>37</v>
      </c>
      <c r="E5198">
        <v>1</v>
      </c>
      <c r="F5198">
        <v>66</v>
      </c>
    </row>
    <row r="5199" s="76" customFormat="1" spans="1:6">
      <c r="A5199">
        <v>5355</v>
      </c>
      <c r="B5199">
        <v>342015241</v>
      </c>
      <c r="C5199">
        <v>2015</v>
      </c>
      <c r="D5199" t="s">
        <v>33</v>
      </c>
      <c r="E5199" t="s">
        <v>32</v>
      </c>
      <c r="F5199">
        <v>0.75</v>
      </c>
    </row>
    <row r="5200" s="76" customFormat="1" spans="1:6">
      <c r="A5200">
        <v>5356</v>
      </c>
      <c r="B5200">
        <v>342015241</v>
      </c>
      <c r="C5200">
        <v>2015</v>
      </c>
      <c r="D5200" t="s">
        <v>33</v>
      </c>
      <c r="E5200">
        <v>1</v>
      </c>
      <c r="F5200">
        <v>0.9</v>
      </c>
    </row>
    <row r="5201" s="76" customFormat="1" spans="1:6">
      <c r="A5201">
        <v>5357</v>
      </c>
      <c r="B5201">
        <v>342015241</v>
      </c>
      <c r="C5201">
        <v>2015</v>
      </c>
      <c r="D5201" t="s">
        <v>33</v>
      </c>
      <c r="E5201" t="s">
        <v>32</v>
      </c>
      <c r="F5201">
        <v>8</v>
      </c>
    </row>
    <row r="5202" s="76" customFormat="1" spans="1:6">
      <c r="A5202">
        <v>5354</v>
      </c>
      <c r="B5202">
        <v>342015241</v>
      </c>
      <c r="C5202">
        <v>2015</v>
      </c>
      <c r="D5202" t="s">
        <v>33</v>
      </c>
      <c r="E5202" t="s">
        <v>32</v>
      </c>
      <c r="F5202">
        <v>0.9</v>
      </c>
    </row>
    <row r="5203" s="76" customFormat="1" spans="1:6">
      <c r="A5203" s="78">
        <v>5358</v>
      </c>
      <c r="B5203">
        <v>342015242</v>
      </c>
      <c r="C5203" s="78">
        <v>2015</v>
      </c>
      <c r="D5203" s="78" t="s">
        <v>35</v>
      </c>
      <c r="E5203" s="78" t="s">
        <v>32</v>
      </c>
      <c r="F5203" s="78">
        <v>1.2</v>
      </c>
    </row>
    <row r="5204" s="76" customFormat="1" spans="1:6">
      <c r="A5204">
        <v>5359</v>
      </c>
      <c r="B5204">
        <v>342015243</v>
      </c>
      <c r="C5204">
        <v>2015</v>
      </c>
      <c r="D5204" t="s">
        <v>38</v>
      </c>
      <c r="E5204" t="s">
        <v>32</v>
      </c>
      <c r="F5204">
        <v>3</v>
      </c>
    </row>
    <row r="5205" s="76" customFormat="1" spans="1:6">
      <c r="A5205">
        <v>5361</v>
      </c>
      <c r="B5205">
        <v>342015260</v>
      </c>
      <c r="C5205">
        <v>2015</v>
      </c>
      <c r="D5205" t="s">
        <v>34</v>
      </c>
      <c r="E5205">
        <v>2</v>
      </c>
      <c r="F5205">
        <v>0.4</v>
      </c>
    </row>
    <row r="5206" s="76" customFormat="1" spans="1:6">
      <c r="A5206">
        <v>5363</v>
      </c>
      <c r="B5206">
        <v>342015260</v>
      </c>
      <c r="C5206">
        <v>2015</v>
      </c>
      <c r="D5206" t="s">
        <v>34</v>
      </c>
      <c r="E5206">
        <v>33</v>
      </c>
      <c r="F5206">
        <v>4.95</v>
      </c>
    </row>
    <row r="5207" s="76" customFormat="1" spans="1:6">
      <c r="A5207">
        <v>5371</v>
      </c>
      <c r="B5207">
        <v>342015260</v>
      </c>
      <c r="C5207">
        <v>2015</v>
      </c>
      <c r="D5207" t="s">
        <v>34</v>
      </c>
      <c r="E5207" t="s">
        <v>32</v>
      </c>
      <c r="F5207">
        <v>1.89</v>
      </c>
    </row>
    <row r="5208" s="77" customFormat="1" spans="1:6">
      <c r="A5208">
        <v>5366</v>
      </c>
      <c r="B5208">
        <v>342015260</v>
      </c>
      <c r="C5208">
        <v>2015</v>
      </c>
      <c r="D5208" t="s">
        <v>34</v>
      </c>
      <c r="E5208">
        <v>33</v>
      </c>
      <c r="F5208">
        <v>4.95</v>
      </c>
    </row>
    <row r="5209" s="76" customFormat="1" spans="1:6">
      <c r="A5209">
        <v>5368</v>
      </c>
      <c r="B5209">
        <v>342015260</v>
      </c>
      <c r="C5209">
        <v>2015</v>
      </c>
      <c r="D5209" t="s">
        <v>34</v>
      </c>
      <c r="E5209">
        <v>23</v>
      </c>
      <c r="F5209">
        <v>4.83</v>
      </c>
    </row>
    <row r="5210" s="76" customFormat="1" spans="1:6">
      <c r="A5210">
        <v>5369</v>
      </c>
      <c r="B5210">
        <v>342015260</v>
      </c>
      <c r="C5210">
        <v>2015</v>
      </c>
      <c r="D5210" t="s">
        <v>34</v>
      </c>
      <c r="E5210">
        <v>23</v>
      </c>
      <c r="F5210">
        <v>4.6</v>
      </c>
    </row>
    <row r="5211" s="76" customFormat="1" spans="1:6">
      <c r="A5211">
        <v>5364</v>
      </c>
      <c r="B5211">
        <v>342015260</v>
      </c>
      <c r="C5211">
        <v>2015</v>
      </c>
      <c r="D5211" t="s">
        <v>34</v>
      </c>
      <c r="E5211">
        <v>25</v>
      </c>
      <c r="F5211">
        <v>4.5</v>
      </c>
    </row>
    <row r="5212" s="76" customFormat="1" spans="1:6">
      <c r="A5212">
        <v>5362</v>
      </c>
      <c r="B5212">
        <v>342015260</v>
      </c>
      <c r="C5212">
        <v>2015</v>
      </c>
      <c r="D5212" t="s">
        <v>34</v>
      </c>
      <c r="E5212">
        <v>33</v>
      </c>
      <c r="F5212">
        <v>4.95</v>
      </c>
    </row>
    <row r="5213" s="76" customFormat="1" spans="1:6">
      <c r="A5213">
        <v>5367</v>
      </c>
      <c r="B5213">
        <v>342015260</v>
      </c>
      <c r="C5213">
        <v>2015</v>
      </c>
      <c r="D5213" t="s">
        <v>34</v>
      </c>
      <c r="E5213">
        <v>24</v>
      </c>
      <c r="F5213">
        <v>4.8</v>
      </c>
    </row>
    <row r="5214" s="76" customFormat="1" spans="1:6">
      <c r="A5214">
        <v>5360</v>
      </c>
      <c r="B5214">
        <v>342015260</v>
      </c>
      <c r="C5214">
        <v>2015</v>
      </c>
      <c r="D5214" t="s">
        <v>34</v>
      </c>
      <c r="E5214">
        <v>24</v>
      </c>
      <c r="F5214">
        <v>3.6</v>
      </c>
    </row>
    <row r="5215" s="76" customFormat="1" spans="1:6">
      <c r="A5215">
        <v>5365</v>
      </c>
      <c r="B5215">
        <v>342015260</v>
      </c>
      <c r="C5215">
        <v>2015</v>
      </c>
      <c r="D5215" t="s">
        <v>34</v>
      </c>
      <c r="E5215">
        <v>25</v>
      </c>
      <c r="F5215">
        <v>4.95</v>
      </c>
    </row>
    <row r="5216" s="76" customFormat="1" spans="1:6">
      <c r="A5216">
        <v>5370</v>
      </c>
      <c r="B5216">
        <v>342015260</v>
      </c>
      <c r="C5216">
        <v>2015</v>
      </c>
      <c r="D5216" t="s">
        <v>34</v>
      </c>
      <c r="E5216" t="s">
        <v>32</v>
      </c>
      <c r="F5216">
        <v>4.95</v>
      </c>
    </row>
    <row r="5217" s="76" customFormat="1" spans="1:6">
      <c r="A5217">
        <v>5373</v>
      </c>
      <c r="B5217">
        <v>342015270</v>
      </c>
      <c r="C5217">
        <v>2015</v>
      </c>
      <c r="D5217" t="s">
        <v>31</v>
      </c>
      <c r="E5217" t="s">
        <v>32</v>
      </c>
      <c r="F5217">
        <v>0.8</v>
      </c>
    </row>
    <row r="5218" s="76" customFormat="1" spans="1:6">
      <c r="A5218">
        <v>5378</v>
      </c>
      <c r="B5218">
        <v>342015270</v>
      </c>
      <c r="C5218">
        <v>2015</v>
      </c>
      <c r="D5218" t="s">
        <v>31</v>
      </c>
      <c r="E5218" t="s">
        <v>32</v>
      </c>
      <c r="F5218">
        <v>5</v>
      </c>
    </row>
    <row r="5219" s="76" customFormat="1" spans="1:6">
      <c r="A5219">
        <v>5382</v>
      </c>
      <c r="B5219">
        <v>342015270</v>
      </c>
      <c r="C5219">
        <v>2015</v>
      </c>
      <c r="D5219" t="s">
        <v>31</v>
      </c>
      <c r="E5219" t="s">
        <v>32</v>
      </c>
      <c r="F5219">
        <v>5</v>
      </c>
    </row>
    <row r="5220" s="76" customFormat="1" spans="1:6">
      <c r="A5220">
        <v>5374</v>
      </c>
      <c r="B5220">
        <v>342015270</v>
      </c>
      <c r="C5220">
        <v>2015</v>
      </c>
      <c r="D5220" t="s">
        <v>31</v>
      </c>
      <c r="E5220" t="s">
        <v>32</v>
      </c>
      <c r="F5220">
        <v>2.1</v>
      </c>
    </row>
    <row r="5221" s="76" customFormat="1" spans="1:6">
      <c r="A5221">
        <v>5380</v>
      </c>
      <c r="B5221">
        <v>342015270</v>
      </c>
      <c r="C5221">
        <v>2015</v>
      </c>
      <c r="D5221" t="s">
        <v>31</v>
      </c>
      <c r="E5221" t="s">
        <v>32</v>
      </c>
      <c r="F5221">
        <v>10</v>
      </c>
    </row>
    <row r="5222" s="76" customFormat="1" spans="1:6">
      <c r="A5222">
        <v>5372</v>
      </c>
      <c r="B5222">
        <v>342015270</v>
      </c>
      <c r="C5222">
        <v>2015</v>
      </c>
      <c r="D5222" t="s">
        <v>31</v>
      </c>
      <c r="E5222" t="s">
        <v>32</v>
      </c>
      <c r="F5222">
        <v>2</v>
      </c>
    </row>
    <row r="5223" s="76" customFormat="1" spans="1:6">
      <c r="A5223">
        <v>5379</v>
      </c>
      <c r="B5223">
        <v>342015270</v>
      </c>
      <c r="C5223">
        <v>2015</v>
      </c>
      <c r="D5223" t="s">
        <v>31</v>
      </c>
      <c r="E5223" t="s">
        <v>32</v>
      </c>
      <c r="F5223">
        <v>10</v>
      </c>
    </row>
    <row r="5224" s="76" customFormat="1" spans="1:6">
      <c r="A5224">
        <v>5375</v>
      </c>
      <c r="B5224">
        <v>342015270</v>
      </c>
      <c r="C5224">
        <v>2015</v>
      </c>
      <c r="D5224" t="s">
        <v>31</v>
      </c>
      <c r="E5224" t="s">
        <v>32</v>
      </c>
      <c r="F5224">
        <v>2.21</v>
      </c>
    </row>
    <row r="5225" s="76" customFormat="1" spans="1:6">
      <c r="A5225">
        <v>5376</v>
      </c>
      <c r="B5225">
        <v>342015270</v>
      </c>
      <c r="C5225">
        <v>2015</v>
      </c>
      <c r="D5225" t="s">
        <v>31</v>
      </c>
      <c r="E5225" t="s">
        <v>32</v>
      </c>
      <c r="F5225">
        <v>0.5</v>
      </c>
    </row>
    <row r="5226" s="76" customFormat="1" spans="1:6">
      <c r="A5226">
        <v>5377</v>
      </c>
      <c r="B5226">
        <v>342015270</v>
      </c>
      <c r="C5226">
        <v>2015</v>
      </c>
      <c r="D5226" t="s">
        <v>31</v>
      </c>
      <c r="E5226" t="s">
        <v>32</v>
      </c>
      <c r="F5226">
        <v>6.64</v>
      </c>
    </row>
    <row r="5227" s="76" customFormat="1" spans="1:6">
      <c r="A5227">
        <v>5381</v>
      </c>
      <c r="B5227">
        <v>342015270</v>
      </c>
      <c r="C5227">
        <v>2015</v>
      </c>
      <c r="D5227" t="s">
        <v>31</v>
      </c>
      <c r="E5227" t="s">
        <v>32</v>
      </c>
      <c r="F5227">
        <v>6</v>
      </c>
    </row>
    <row r="5228" s="76" customFormat="1" spans="1:6">
      <c r="A5228">
        <v>5384</v>
      </c>
      <c r="B5228">
        <v>342016110</v>
      </c>
      <c r="C5228" s="76">
        <v>2016</v>
      </c>
      <c r="D5228" s="76" t="s">
        <v>40</v>
      </c>
      <c r="E5228" s="76" t="s">
        <v>32</v>
      </c>
      <c r="F5228" s="76">
        <v>0.75</v>
      </c>
    </row>
    <row r="5229" s="76" customFormat="1" spans="1:6">
      <c r="A5229">
        <v>5383</v>
      </c>
      <c r="B5229">
        <v>342016110</v>
      </c>
      <c r="C5229" s="76">
        <v>2016</v>
      </c>
      <c r="D5229" s="76" t="s">
        <v>40</v>
      </c>
      <c r="E5229" s="76" t="s">
        <v>32</v>
      </c>
      <c r="F5229" s="76">
        <v>0.25</v>
      </c>
    </row>
    <row r="5230" s="76" customFormat="1" spans="1:6">
      <c r="A5230">
        <v>5386</v>
      </c>
      <c r="B5230">
        <v>342016211</v>
      </c>
      <c r="C5230" s="76">
        <v>2016</v>
      </c>
      <c r="D5230" s="76" t="s">
        <v>37</v>
      </c>
      <c r="E5230" s="76">
        <v>1</v>
      </c>
      <c r="F5230" s="76">
        <v>66</v>
      </c>
    </row>
    <row r="5231" s="76" customFormat="1" spans="1:6">
      <c r="A5231">
        <v>5388</v>
      </c>
      <c r="B5231">
        <v>342016211</v>
      </c>
      <c r="C5231" s="76">
        <v>2016</v>
      </c>
      <c r="D5231" s="76" t="s">
        <v>37</v>
      </c>
      <c r="E5231" s="76" t="s">
        <v>32</v>
      </c>
      <c r="F5231" s="76">
        <v>200</v>
      </c>
    </row>
    <row r="5232" s="76" customFormat="1" spans="1:6">
      <c r="A5232">
        <v>5387</v>
      </c>
      <c r="B5232">
        <v>342016211</v>
      </c>
      <c r="C5232" s="76">
        <v>2016</v>
      </c>
      <c r="D5232" s="76" t="s">
        <v>37</v>
      </c>
      <c r="E5232" s="76" t="s">
        <v>32</v>
      </c>
      <c r="F5232" s="76">
        <v>30</v>
      </c>
    </row>
    <row r="5233" s="76" customFormat="1" spans="1:6">
      <c r="A5233">
        <v>5389</v>
      </c>
      <c r="B5233">
        <v>342016241</v>
      </c>
      <c r="C5233" s="76">
        <v>2016</v>
      </c>
      <c r="D5233" s="76" t="s">
        <v>33</v>
      </c>
      <c r="E5233" s="76" t="s">
        <v>32</v>
      </c>
      <c r="F5233" s="76">
        <v>4</v>
      </c>
    </row>
    <row r="5234" s="76" customFormat="1" spans="1:6">
      <c r="A5234">
        <v>5400</v>
      </c>
      <c r="B5234">
        <v>342016260</v>
      </c>
      <c r="C5234" s="76">
        <v>2016</v>
      </c>
      <c r="D5234" s="76" t="s">
        <v>34</v>
      </c>
      <c r="E5234" s="76" t="s">
        <v>32</v>
      </c>
      <c r="F5234" s="76">
        <v>2.94</v>
      </c>
    </row>
    <row r="5235" s="76" customFormat="1" spans="1:6">
      <c r="A5235">
        <v>5397</v>
      </c>
      <c r="B5235">
        <v>342016260</v>
      </c>
      <c r="C5235" s="76">
        <v>2016</v>
      </c>
      <c r="D5235" s="76" t="s">
        <v>34</v>
      </c>
      <c r="E5235" s="76">
        <v>15</v>
      </c>
      <c r="F5235" s="76">
        <v>2.7</v>
      </c>
    </row>
    <row r="5236" s="76" customFormat="1" spans="1:6">
      <c r="A5236">
        <v>5392</v>
      </c>
      <c r="B5236">
        <v>342016260</v>
      </c>
      <c r="C5236" s="76">
        <v>2016</v>
      </c>
      <c r="D5236" s="76" t="s">
        <v>34</v>
      </c>
      <c r="E5236" s="76">
        <v>23</v>
      </c>
      <c r="F5236" s="76">
        <v>4.83</v>
      </c>
    </row>
    <row r="5237" s="76" customFormat="1" spans="1:6">
      <c r="A5237">
        <v>5391</v>
      </c>
      <c r="B5237">
        <v>342016260</v>
      </c>
      <c r="C5237" s="76">
        <v>2016</v>
      </c>
      <c r="D5237" s="76" t="s">
        <v>34</v>
      </c>
      <c r="E5237" s="76">
        <v>25</v>
      </c>
      <c r="F5237" s="76">
        <v>5</v>
      </c>
    </row>
    <row r="5238" s="76" customFormat="1" spans="1:6">
      <c r="A5238">
        <v>5393</v>
      </c>
      <c r="B5238">
        <v>342016260</v>
      </c>
      <c r="C5238" s="76">
        <v>2016</v>
      </c>
      <c r="D5238" s="76" t="s">
        <v>34</v>
      </c>
      <c r="E5238" s="76">
        <v>25</v>
      </c>
      <c r="F5238" s="76">
        <v>4.95</v>
      </c>
    </row>
    <row r="5239" s="76" customFormat="1" spans="1:6">
      <c r="A5239">
        <v>5399</v>
      </c>
      <c r="B5239">
        <v>342016260</v>
      </c>
      <c r="C5239" s="76">
        <v>2016</v>
      </c>
      <c r="D5239" s="76" t="s">
        <v>34</v>
      </c>
      <c r="E5239" s="76">
        <v>25</v>
      </c>
      <c r="F5239" s="76">
        <v>5</v>
      </c>
    </row>
    <row r="5240" s="76" customFormat="1" spans="1:6">
      <c r="A5240">
        <v>5398</v>
      </c>
      <c r="B5240">
        <v>342016260</v>
      </c>
      <c r="C5240" s="76">
        <v>2016</v>
      </c>
      <c r="D5240" s="76" t="s">
        <v>34</v>
      </c>
      <c r="E5240" s="76">
        <v>9</v>
      </c>
      <c r="F5240" s="76">
        <v>1.98</v>
      </c>
    </row>
    <row r="5241" s="76" customFormat="1" spans="1:6">
      <c r="A5241">
        <v>5395</v>
      </c>
      <c r="B5241">
        <v>342016260</v>
      </c>
      <c r="C5241" s="76">
        <v>2016</v>
      </c>
      <c r="D5241" s="76" t="s">
        <v>34</v>
      </c>
      <c r="E5241" s="76" t="s">
        <v>32</v>
      </c>
      <c r="F5241" s="76">
        <v>4.95</v>
      </c>
    </row>
    <row r="5242" s="76" customFormat="1" spans="1:6">
      <c r="A5242">
        <v>5401</v>
      </c>
      <c r="B5242">
        <v>342016260</v>
      </c>
      <c r="C5242" s="76">
        <v>2016</v>
      </c>
      <c r="D5242" s="76" t="s">
        <v>34</v>
      </c>
      <c r="E5242" s="76" t="s">
        <v>32</v>
      </c>
      <c r="F5242" s="76">
        <v>2.6</v>
      </c>
    </row>
    <row r="5243" s="76" customFormat="1" spans="1:6">
      <c r="A5243">
        <v>5394</v>
      </c>
      <c r="B5243">
        <v>342016260</v>
      </c>
      <c r="C5243" s="76">
        <v>2016</v>
      </c>
      <c r="D5243" s="76" t="s">
        <v>34</v>
      </c>
      <c r="E5243" s="76">
        <v>24</v>
      </c>
      <c r="F5243" s="76">
        <v>4.8</v>
      </c>
    </row>
    <row r="5244" s="76" customFormat="1" spans="1:6">
      <c r="A5244">
        <v>5396</v>
      </c>
      <c r="B5244">
        <v>342016260</v>
      </c>
      <c r="C5244" s="76">
        <v>2016</v>
      </c>
      <c r="D5244" s="76" t="s">
        <v>34</v>
      </c>
      <c r="E5244" s="76" t="s">
        <v>32</v>
      </c>
      <c r="F5244" s="76">
        <v>4.8</v>
      </c>
    </row>
    <row r="5245" s="76" customFormat="1" spans="1:6">
      <c r="A5245">
        <v>5414</v>
      </c>
      <c r="B5245">
        <v>342016270</v>
      </c>
      <c r="C5245" s="76">
        <v>2016</v>
      </c>
      <c r="D5245" s="76" t="s">
        <v>31</v>
      </c>
      <c r="E5245" s="76" t="s">
        <v>32</v>
      </c>
      <c r="F5245" s="76">
        <v>6</v>
      </c>
    </row>
    <row r="5246" s="76" customFormat="1" spans="1:6">
      <c r="A5246">
        <v>5413</v>
      </c>
      <c r="B5246">
        <v>342016270</v>
      </c>
      <c r="C5246" s="76">
        <v>2016</v>
      </c>
      <c r="D5246" s="76" t="s">
        <v>31</v>
      </c>
      <c r="E5246" s="76" t="s">
        <v>32</v>
      </c>
      <c r="F5246" s="76">
        <v>5.5</v>
      </c>
    </row>
    <row r="5247" s="76" customFormat="1" spans="1:6">
      <c r="A5247">
        <v>5417</v>
      </c>
      <c r="B5247">
        <v>342016270</v>
      </c>
      <c r="C5247" s="76">
        <v>2016</v>
      </c>
      <c r="D5247" s="76" t="s">
        <v>31</v>
      </c>
      <c r="E5247" s="76" t="s">
        <v>32</v>
      </c>
      <c r="F5247" s="76">
        <v>8</v>
      </c>
    </row>
    <row r="5248" s="76" customFormat="1" spans="1:6">
      <c r="A5248">
        <v>5405</v>
      </c>
      <c r="B5248">
        <v>342016270</v>
      </c>
      <c r="C5248" s="76">
        <v>2016</v>
      </c>
      <c r="D5248" s="76" t="s">
        <v>31</v>
      </c>
      <c r="E5248" s="76" t="s">
        <v>32</v>
      </c>
      <c r="F5248" s="76">
        <v>2</v>
      </c>
    </row>
    <row r="5249" s="76" customFormat="1" spans="1:6">
      <c r="A5249">
        <v>5403</v>
      </c>
      <c r="B5249">
        <v>342016270</v>
      </c>
      <c r="C5249" s="76">
        <v>2016</v>
      </c>
      <c r="D5249" s="76" t="s">
        <v>31</v>
      </c>
      <c r="E5249" s="76" t="s">
        <v>32</v>
      </c>
      <c r="F5249" s="76">
        <v>5.5</v>
      </c>
    </row>
    <row r="5250" s="76" customFormat="1" spans="1:6">
      <c r="A5250">
        <v>5402</v>
      </c>
      <c r="B5250">
        <v>342016270</v>
      </c>
      <c r="C5250" s="76">
        <v>2016</v>
      </c>
      <c r="D5250" s="76" t="s">
        <v>31</v>
      </c>
      <c r="E5250" s="76" t="s">
        <v>32</v>
      </c>
      <c r="F5250" s="76">
        <v>5.5</v>
      </c>
    </row>
    <row r="5251" s="76" customFormat="1" spans="1:6">
      <c r="A5251">
        <v>5406</v>
      </c>
      <c r="B5251">
        <v>342016270</v>
      </c>
      <c r="C5251" s="76">
        <v>2016</v>
      </c>
      <c r="D5251" s="76" t="s">
        <v>31</v>
      </c>
      <c r="E5251" s="76" t="s">
        <v>32</v>
      </c>
      <c r="F5251" s="76">
        <v>5</v>
      </c>
    </row>
    <row r="5252" s="76" customFormat="1" spans="1:6">
      <c r="A5252">
        <v>5412</v>
      </c>
      <c r="B5252">
        <v>342016270</v>
      </c>
      <c r="C5252" s="76">
        <v>2016</v>
      </c>
      <c r="D5252" s="76" t="s">
        <v>31</v>
      </c>
      <c r="E5252" s="76" t="s">
        <v>32</v>
      </c>
      <c r="F5252" s="76">
        <v>10</v>
      </c>
    </row>
    <row r="5253" s="76" customFormat="1" spans="1:6">
      <c r="A5253">
        <v>5415</v>
      </c>
      <c r="B5253">
        <v>342016270</v>
      </c>
      <c r="C5253" s="76">
        <v>2016</v>
      </c>
      <c r="D5253" s="76" t="s">
        <v>31</v>
      </c>
      <c r="E5253" s="76" t="s">
        <v>32</v>
      </c>
      <c r="F5253" s="76">
        <v>6</v>
      </c>
    </row>
    <row r="5254" s="76" customFormat="1" spans="1:6">
      <c r="A5254">
        <v>5408</v>
      </c>
      <c r="B5254">
        <v>342016270</v>
      </c>
      <c r="C5254" s="76">
        <v>2016</v>
      </c>
      <c r="D5254" s="76" t="s">
        <v>31</v>
      </c>
      <c r="E5254" s="76" t="s">
        <v>32</v>
      </c>
      <c r="F5254" s="76">
        <v>10</v>
      </c>
    </row>
    <row r="5255" s="76" customFormat="1" spans="1:6">
      <c r="A5255">
        <v>5410</v>
      </c>
      <c r="B5255">
        <v>342016270</v>
      </c>
      <c r="C5255" s="76">
        <v>2016</v>
      </c>
      <c r="D5255" s="76" t="s">
        <v>31</v>
      </c>
      <c r="E5255" s="76" t="s">
        <v>32</v>
      </c>
      <c r="F5255" s="76">
        <v>1.5</v>
      </c>
    </row>
    <row r="5256" s="76" customFormat="1" spans="1:6">
      <c r="A5256">
        <v>5411</v>
      </c>
      <c r="B5256">
        <v>342016270</v>
      </c>
      <c r="C5256" s="76">
        <v>2016</v>
      </c>
      <c r="D5256" s="76" t="s">
        <v>31</v>
      </c>
      <c r="E5256" s="76" t="s">
        <v>32</v>
      </c>
      <c r="F5256" s="76">
        <v>0.1</v>
      </c>
    </row>
    <row r="5257" s="76" customFormat="1" spans="1:6">
      <c r="A5257">
        <v>5404</v>
      </c>
      <c r="B5257">
        <v>342016270</v>
      </c>
      <c r="C5257" s="76">
        <v>2016</v>
      </c>
      <c r="D5257" s="76" t="s">
        <v>31</v>
      </c>
      <c r="E5257" s="76" t="s">
        <v>32</v>
      </c>
      <c r="F5257" s="76">
        <v>2.64</v>
      </c>
    </row>
    <row r="5258" s="76" customFormat="1" spans="1:6">
      <c r="A5258">
        <v>5407</v>
      </c>
      <c r="B5258">
        <v>342016270</v>
      </c>
      <c r="C5258" s="76">
        <v>2016</v>
      </c>
      <c r="D5258" s="76" t="s">
        <v>31</v>
      </c>
      <c r="E5258" s="76" t="s">
        <v>32</v>
      </c>
      <c r="F5258" s="76">
        <v>10</v>
      </c>
    </row>
    <row r="5259" s="76" customFormat="1" spans="1:6">
      <c r="A5259">
        <v>5418</v>
      </c>
      <c r="B5259">
        <v>342016270</v>
      </c>
      <c r="C5259" s="76">
        <v>2016</v>
      </c>
      <c r="D5259" s="76" t="s">
        <v>31</v>
      </c>
      <c r="E5259" s="76" t="s">
        <v>32</v>
      </c>
      <c r="F5259" s="76">
        <v>2</v>
      </c>
    </row>
    <row r="5260" s="76" customFormat="1" spans="1:6">
      <c r="A5260">
        <v>5409</v>
      </c>
      <c r="B5260">
        <v>342016270</v>
      </c>
      <c r="C5260" s="76">
        <v>2016</v>
      </c>
      <c r="D5260" s="76" t="s">
        <v>31</v>
      </c>
      <c r="E5260" s="76" t="s">
        <v>32</v>
      </c>
      <c r="F5260" s="76">
        <v>1.79</v>
      </c>
    </row>
    <row r="5261" s="76" customFormat="1" spans="1:6">
      <c r="A5261">
        <v>5416</v>
      </c>
      <c r="B5261">
        <v>342016270</v>
      </c>
      <c r="C5261" s="76">
        <v>2016</v>
      </c>
      <c r="D5261" s="76" t="s">
        <v>31</v>
      </c>
      <c r="E5261" s="76" t="s">
        <v>32</v>
      </c>
      <c r="F5261" s="76">
        <v>0.06</v>
      </c>
    </row>
    <row r="5262" s="76" customFormat="1" spans="1:6">
      <c r="A5262">
        <v>5422</v>
      </c>
      <c r="B5262">
        <v>342017211</v>
      </c>
      <c r="C5262" s="76">
        <v>2017</v>
      </c>
      <c r="D5262" s="76" t="s">
        <v>37</v>
      </c>
      <c r="E5262" s="76" t="s">
        <v>32</v>
      </c>
      <c r="F5262" s="76">
        <v>1.8</v>
      </c>
    </row>
    <row r="5263" s="76" customFormat="1" spans="1:6">
      <c r="A5263">
        <v>5421</v>
      </c>
      <c r="B5263">
        <v>342017211</v>
      </c>
      <c r="C5263" s="76">
        <v>2017</v>
      </c>
      <c r="D5263" s="76" t="s">
        <v>37</v>
      </c>
      <c r="E5263" s="76">
        <v>1</v>
      </c>
      <c r="F5263" s="76">
        <v>100</v>
      </c>
    </row>
    <row r="5264" s="76" customFormat="1" spans="1:6">
      <c r="A5264">
        <v>5423</v>
      </c>
      <c r="B5264">
        <v>342017212</v>
      </c>
      <c r="C5264" s="76">
        <v>2017</v>
      </c>
      <c r="D5264" s="76" t="s">
        <v>39</v>
      </c>
      <c r="E5264" s="76" t="s">
        <v>32</v>
      </c>
      <c r="F5264" s="76">
        <v>0.2</v>
      </c>
    </row>
    <row r="5265" s="76" customFormat="1" spans="1:6">
      <c r="A5265">
        <v>5424</v>
      </c>
      <c r="B5265">
        <v>342017241</v>
      </c>
      <c r="C5265" s="76">
        <v>2017</v>
      </c>
      <c r="D5265" s="76" t="s">
        <v>33</v>
      </c>
      <c r="E5265" s="76" t="s">
        <v>32</v>
      </c>
      <c r="F5265" s="76">
        <v>1.2</v>
      </c>
    </row>
    <row r="5266" s="76" customFormat="1" spans="1:6">
      <c r="A5266">
        <v>5428</v>
      </c>
      <c r="B5266">
        <v>342017241</v>
      </c>
      <c r="C5266" s="76">
        <v>2017</v>
      </c>
      <c r="D5266" s="76" t="s">
        <v>33</v>
      </c>
      <c r="E5266" s="76" t="s">
        <v>32</v>
      </c>
      <c r="F5266" s="76">
        <v>2.4</v>
      </c>
    </row>
    <row r="5267" s="76" customFormat="1" spans="1:6">
      <c r="A5267">
        <v>5427</v>
      </c>
      <c r="B5267">
        <v>342017241</v>
      </c>
      <c r="C5267" s="76">
        <v>2017</v>
      </c>
      <c r="D5267" s="76" t="s">
        <v>33</v>
      </c>
      <c r="E5267" s="76" t="s">
        <v>32</v>
      </c>
      <c r="F5267" s="76">
        <v>6.5</v>
      </c>
    </row>
    <row r="5268" s="76" customFormat="1" spans="1:6">
      <c r="A5268">
        <v>5425</v>
      </c>
      <c r="B5268">
        <v>342017241</v>
      </c>
      <c r="C5268" s="76">
        <v>2017</v>
      </c>
      <c r="D5268" s="76" t="s">
        <v>33</v>
      </c>
      <c r="E5268" s="76" t="s">
        <v>32</v>
      </c>
      <c r="F5268" s="76">
        <v>6.5</v>
      </c>
    </row>
    <row r="5269" s="76" customFormat="1" spans="1:6">
      <c r="A5269">
        <v>5429</v>
      </c>
      <c r="B5269">
        <v>342017242</v>
      </c>
      <c r="C5269" s="76">
        <v>2017</v>
      </c>
      <c r="D5269" s="76" t="s">
        <v>35</v>
      </c>
      <c r="E5269" s="76" t="s">
        <v>32</v>
      </c>
      <c r="F5269" s="76">
        <v>1.8</v>
      </c>
    </row>
    <row r="5270" s="76" customFormat="1" spans="1:6">
      <c r="A5270">
        <v>5430</v>
      </c>
      <c r="B5270">
        <v>342017242</v>
      </c>
      <c r="C5270" s="76">
        <v>2017</v>
      </c>
      <c r="D5270" s="76" t="s">
        <v>35</v>
      </c>
      <c r="E5270" s="76" t="s">
        <v>32</v>
      </c>
      <c r="F5270" s="76">
        <v>0.9</v>
      </c>
    </row>
    <row r="5271" s="76" customFormat="1" spans="1:6">
      <c r="A5271">
        <v>5433</v>
      </c>
      <c r="B5271">
        <v>342017242</v>
      </c>
      <c r="C5271" s="76">
        <v>2017</v>
      </c>
      <c r="D5271" s="76" t="s">
        <v>35</v>
      </c>
      <c r="E5271" s="76" t="s">
        <v>32</v>
      </c>
      <c r="F5271" s="76">
        <v>0.9</v>
      </c>
    </row>
    <row r="5272" s="76" customFormat="1" spans="1:6">
      <c r="A5272">
        <v>5435</v>
      </c>
      <c r="B5272">
        <v>342017242</v>
      </c>
      <c r="C5272" s="76">
        <v>2017</v>
      </c>
      <c r="D5272" s="76" t="s">
        <v>35</v>
      </c>
      <c r="E5272" s="76" t="s">
        <v>32</v>
      </c>
      <c r="F5272" s="76">
        <v>2</v>
      </c>
    </row>
    <row r="5273" s="76" customFormat="1" spans="1:6">
      <c r="A5273">
        <v>5432</v>
      </c>
      <c r="B5273">
        <v>342017242</v>
      </c>
      <c r="C5273" s="76">
        <v>2017</v>
      </c>
      <c r="D5273" s="76" t="s">
        <v>35</v>
      </c>
      <c r="E5273" s="76" t="s">
        <v>32</v>
      </c>
      <c r="F5273" s="76">
        <v>1.2</v>
      </c>
    </row>
    <row r="5274" s="76" customFormat="1" spans="1:6">
      <c r="A5274">
        <v>5431</v>
      </c>
      <c r="B5274">
        <v>342017242</v>
      </c>
      <c r="C5274" s="76">
        <v>2017</v>
      </c>
      <c r="D5274" s="76" t="s">
        <v>35</v>
      </c>
      <c r="E5274" s="76" t="s">
        <v>32</v>
      </c>
      <c r="F5274" s="76">
        <v>0.6</v>
      </c>
    </row>
    <row r="5275" s="76" customFormat="1" spans="1:6">
      <c r="A5275">
        <v>5434</v>
      </c>
      <c r="B5275">
        <v>342017242</v>
      </c>
      <c r="C5275" s="76">
        <v>2017</v>
      </c>
      <c r="D5275" s="76" t="s">
        <v>35</v>
      </c>
      <c r="E5275" s="76" t="s">
        <v>32</v>
      </c>
      <c r="F5275" s="76">
        <v>1.2</v>
      </c>
    </row>
    <row r="5276" s="76" customFormat="1" spans="1:6">
      <c r="A5276">
        <v>5436</v>
      </c>
      <c r="B5276">
        <v>342017242</v>
      </c>
      <c r="C5276" s="76">
        <v>2017</v>
      </c>
      <c r="D5276" s="76" t="s">
        <v>35</v>
      </c>
      <c r="E5276" s="76" t="s">
        <v>32</v>
      </c>
      <c r="F5276" s="76">
        <v>1.2</v>
      </c>
    </row>
    <row r="5277" s="76" customFormat="1" spans="1:6">
      <c r="A5277">
        <v>5439</v>
      </c>
      <c r="B5277">
        <v>342017243</v>
      </c>
      <c r="C5277" s="76">
        <v>2017</v>
      </c>
      <c r="D5277" s="76" t="s">
        <v>38</v>
      </c>
      <c r="E5277" s="76" t="s">
        <v>32</v>
      </c>
      <c r="F5277" s="76">
        <v>5</v>
      </c>
    </row>
    <row r="5278" s="76" customFormat="1" spans="1:6">
      <c r="A5278">
        <v>5440</v>
      </c>
      <c r="B5278">
        <v>342017243</v>
      </c>
      <c r="C5278" s="76">
        <v>2017</v>
      </c>
      <c r="D5278" s="76" t="s">
        <v>38</v>
      </c>
      <c r="E5278" s="76" t="s">
        <v>32</v>
      </c>
      <c r="F5278" s="76">
        <v>5</v>
      </c>
    </row>
    <row r="5279" s="76" customFormat="1" spans="1:6">
      <c r="A5279">
        <v>5437</v>
      </c>
      <c r="B5279">
        <v>342017243</v>
      </c>
      <c r="C5279" s="76">
        <v>2017</v>
      </c>
      <c r="D5279" s="76" t="s">
        <v>38</v>
      </c>
      <c r="E5279" s="76" t="s">
        <v>32</v>
      </c>
      <c r="F5279" s="76">
        <v>3</v>
      </c>
    </row>
    <row r="5280" s="76" customFormat="1" spans="1:6">
      <c r="A5280">
        <v>5438</v>
      </c>
      <c r="B5280">
        <v>342017243</v>
      </c>
      <c r="C5280" s="76">
        <v>2017</v>
      </c>
      <c r="D5280" s="76" t="s">
        <v>38</v>
      </c>
      <c r="E5280" s="76" t="s">
        <v>32</v>
      </c>
      <c r="F5280" s="76">
        <v>3</v>
      </c>
    </row>
    <row r="5281" s="76" customFormat="1" spans="1:6">
      <c r="A5281">
        <v>5441</v>
      </c>
      <c r="B5281">
        <v>342017243</v>
      </c>
      <c r="C5281" s="76">
        <v>2017</v>
      </c>
      <c r="D5281" s="76" t="s">
        <v>38</v>
      </c>
      <c r="E5281" s="76" t="s">
        <v>32</v>
      </c>
      <c r="F5281" s="76">
        <v>3</v>
      </c>
    </row>
    <row r="5282" s="76" customFormat="1" spans="1:6">
      <c r="A5282">
        <v>5447</v>
      </c>
      <c r="B5282">
        <v>342017260</v>
      </c>
      <c r="C5282" s="76">
        <v>2017</v>
      </c>
      <c r="D5282" s="76" t="s">
        <v>34</v>
      </c>
      <c r="E5282" s="76" t="s">
        <v>32</v>
      </c>
      <c r="F5282" s="76">
        <v>4.8</v>
      </c>
    </row>
    <row r="5283" s="76" customFormat="1" spans="1:6">
      <c r="A5283">
        <v>5451</v>
      </c>
      <c r="B5283">
        <v>342017260</v>
      </c>
      <c r="C5283" s="76">
        <v>2017</v>
      </c>
      <c r="D5283" s="76" t="s">
        <v>34</v>
      </c>
      <c r="E5283" s="76" t="s">
        <v>32</v>
      </c>
      <c r="F5283" s="76">
        <v>0.6</v>
      </c>
    </row>
    <row r="5284" s="76" customFormat="1" spans="1:6">
      <c r="A5284">
        <v>5443</v>
      </c>
      <c r="B5284">
        <v>342017260</v>
      </c>
      <c r="C5284" s="76">
        <v>2017</v>
      </c>
      <c r="D5284" s="76" t="s">
        <v>34</v>
      </c>
      <c r="E5284" s="76">
        <v>7</v>
      </c>
      <c r="F5284" s="76">
        <v>1.05</v>
      </c>
    </row>
    <row r="5285" s="76" customFormat="1" spans="1:6">
      <c r="A5285">
        <v>5446</v>
      </c>
      <c r="B5285">
        <v>342017260</v>
      </c>
      <c r="C5285" s="76">
        <v>2017</v>
      </c>
      <c r="D5285" s="76" t="s">
        <v>34</v>
      </c>
      <c r="E5285" s="76">
        <v>8</v>
      </c>
      <c r="F5285" s="76">
        <v>1.44</v>
      </c>
    </row>
    <row r="5286" s="76" customFormat="1" spans="1:6">
      <c r="A5286">
        <v>5442</v>
      </c>
      <c r="B5286">
        <v>342017260</v>
      </c>
      <c r="C5286" s="76">
        <v>2017</v>
      </c>
      <c r="D5286" s="76" t="s">
        <v>34</v>
      </c>
      <c r="E5286" s="76">
        <v>45</v>
      </c>
      <c r="F5286" s="76">
        <v>9.9</v>
      </c>
    </row>
    <row r="5287" s="76" customFormat="1" spans="1:6">
      <c r="A5287">
        <v>5444</v>
      </c>
      <c r="B5287">
        <v>342017260</v>
      </c>
      <c r="C5287" s="76">
        <v>2017</v>
      </c>
      <c r="D5287" s="76" t="s">
        <v>34</v>
      </c>
      <c r="E5287" s="76">
        <v>23</v>
      </c>
      <c r="F5287" s="76">
        <v>5</v>
      </c>
    </row>
    <row r="5288" s="76" customFormat="1" spans="1:6">
      <c r="A5288">
        <v>5445</v>
      </c>
      <c r="B5288">
        <v>342017260</v>
      </c>
      <c r="C5288" s="76">
        <v>2017</v>
      </c>
      <c r="D5288" s="76" t="s">
        <v>34</v>
      </c>
      <c r="E5288" s="76">
        <v>22</v>
      </c>
      <c r="F5288" s="76">
        <v>4.84</v>
      </c>
    </row>
    <row r="5289" s="76" customFormat="1" spans="1:6">
      <c r="A5289">
        <v>5448</v>
      </c>
      <c r="B5289">
        <v>342017260</v>
      </c>
      <c r="C5289" s="76">
        <v>2017</v>
      </c>
      <c r="D5289" s="76" t="s">
        <v>34</v>
      </c>
      <c r="E5289" s="76" t="s">
        <v>32</v>
      </c>
      <c r="F5289" s="76">
        <v>6.4</v>
      </c>
    </row>
    <row r="5290" s="76" customFormat="1" spans="1:6">
      <c r="A5290">
        <v>5449</v>
      </c>
      <c r="B5290">
        <v>342017260</v>
      </c>
      <c r="C5290" s="76">
        <v>2017</v>
      </c>
      <c r="D5290" s="76" t="s">
        <v>34</v>
      </c>
      <c r="E5290" s="76" t="s">
        <v>32</v>
      </c>
      <c r="F5290" s="76">
        <v>3.52</v>
      </c>
    </row>
    <row r="5291" s="76" customFormat="1" spans="1:6">
      <c r="A5291">
        <v>5450</v>
      </c>
      <c r="B5291">
        <v>342017260</v>
      </c>
      <c r="C5291" s="76">
        <v>2017</v>
      </c>
      <c r="D5291" s="76" t="s">
        <v>34</v>
      </c>
      <c r="E5291" s="76" t="s">
        <v>32</v>
      </c>
      <c r="F5291" s="76">
        <v>4.83</v>
      </c>
    </row>
    <row r="5292" s="76" customFormat="1" spans="1:6">
      <c r="A5292">
        <v>5452</v>
      </c>
      <c r="B5292">
        <v>342017260</v>
      </c>
      <c r="C5292" s="76">
        <v>2017</v>
      </c>
      <c r="D5292" s="76" t="s">
        <v>34</v>
      </c>
      <c r="E5292" s="76" t="s">
        <v>32</v>
      </c>
      <c r="F5292" s="76">
        <v>0.15</v>
      </c>
    </row>
    <row r="5293" s="76" customFormat="1" spans="1:6">
      <c r="A5293">
        <v>5580</v>
      </c>
      <c r="B5293">
        <v>342017270</v>
      </c>
      <c r="C5293" s="76">
        <v>2017</v>
      </c>
      <c r="D5293" s="76" t="s">
        <v>31</v>
      </c>
      <c r="E5293" s="76" t="s">
        <v>32</v>
      </c>
      <c r="F5293" s="76">
        <v>0.6</v>
      </c>
    </row>
    <row r="5294" s="76" customFormat="1" spans="1:6">
      <c r="A5294">
        <v>5497</v>
      </c>
      <c r="B5294">
        <v>342017270</v>
      </c>
      <c r="C5294" s="76">
        <v>2017</v>
      </c>
      <c r="D5294" s="76" t="s">
        <v>31</v>
      </c>
      <c r="E5294" s="76" t="s">
        <v>32</v>
      </c>
      <c r="F5294" s="76">
        <v>5</v>
      </c>
    </row>
    <row r="5295" s="76" customFormat="1" spans="1:6">
      <c r="A5295">
        <v>5579</v>
      </c>
      <c r="B5295">
        <v>342017270</v>
      </c>
      <c r="C5295" s="76">
        <v>2017</v>
      </c>
      <c r="D5295" s="76" t="s">
        <v>31</v>
      </c>
      <c r="E5295" s="76" t="s">
        <v>32</v>
      </c>
      <c r="F5295" s="76">
        <v>1.5</v>
      </c>
    </row>
    <row r="5296" s="76" customFormat="1" spans="1:6">
      <c r="A5296">
        <v>5509</v>
      </c>
      <c r="B5296">
        <v>342017270</v>
      </c>
      <c r="C5296" s="76">
        <v>2017</v>
      </c>
      <c r="D5296" s="76" t="s">
        <v>31</v>
      </c>
      <c r="E5296" s="76" t="s">
        <v>32</v>
      </c>
      <c r="F5296" s="76">
        <v>2</v>
      </c>
    </row>
    <row r="5297" s="76" customFormat="1" spans="1:6">
      <c r="A5297">
        <v>5531</v>
      </c>
      <c r="B5297">
        <v>342017270</v>
      </c>
      <c r="C5297" s="76">
        <v>2017</v>
      </c>
      <c r="D5297" s="76" t="s">
        <v>31</v>
      </c>
      <c r="E5297" s="76" t="s">
        <v>32</v>
      </c>
      <c r="F5297" s="76">
        <v>1</v>
      </c>
    </row>
    <row r="5298" s="76" customFormat="1" spans="1:6">
      <c r="A5298">
        <v>5487</v>
      </c>
      <c r="B5298">
        <v>342017270</v>
      </c>
      <c r="C5298" s="76">
        <v>2017</v>
      </c>
      <c r="D5298" s="76" t="s">
        <v>31</v>
      </c>
      <c r="E5298" s="76" t="s">
        <v>32</v>
      </c>
      <c r="F5298" s="76">
        <v>1</v>
      </c>
    </row>
    <row r="5299" s="76" customFormat="1" spans="1:6">
      <c r="A5299">
        <v>5463</v>
      </c>
      <c r="B5299">
        <v>342017270</v>
      </c>
      <c r="C5299" s="76">
        <v>2017</v>
      </c>
      <c r="D5299" s="76" t="s">
        <v>31</v>
      </c>
      <c r="E5299" s="76" t="s">
        <v>32</v>
      </c>
      <c r="F5299" s="76">
        <v>6</v>
      </c>
    </row>
    <row r="5300" s="76" customFormat="1" spans="1:6">
      <c r="A5300">
        <v>5564</v>
      </c>
      <c r="B5300">
        <v>342017270</v>
      </c>
      <c r="C5300" s="76">
        <v>2017</v>
      </c>
      <c r="D5300" s="76" t="s">
        <v>31</v>
      </c>
      <c r="E5300" s="76" t="s">
        <v>32</v>
      </c>
      <c r="F5300" s="76">
        <v>4.2</v>
      </c>
    </row>
    <row r="5301" s="76" customFormat="1" spans="1:6">
      <c r="A5301">
        <v>5578</v>
      </c>
      <c r="B5301">
        <v>342017270</v>
      </c>
      <c r="C5301" s="76">
        <v>2017</v>
      </c>
      <c r="D5301" s="76" t="s">
        <v>31</v>
      </c>
      <c r="E5301" s="76" t="s">
        <v>32</v>
      </c>
      <c r="F5301" s="76">
        <v>0.7</v>
      </c>
    </row>
    <row r="5302" s="76" customFormat="1" spans="1:6">
      <c r="A5302">
        <v>5492</v>
      </c>
      <c r="B5302">
        <v>342017270</v>
      </c>
      <c r="C5302" s="76">
        <v>2017</v>
      </c>
      <c r="D5302" s="76" t="s">
        <v>31</v>
      </c>
      <c r="E5302" s="76" t="s">
        <v>32</v>
      </c>
      <c r="F5302" s="76">
        <v>0.44</v>
      </c>
    </row>
    <row r="5303" s="76" customFormat="1" spans="1:6">
      <c r="A5303">
        <v>5524</v>
      </c>
      <c r="B5303">
        <v>342017270</v>
      </c>
      <c r="C5303" s="76">
        <v>2017</v>
      </c>
      <c r="D5303" s="76" t="s">
        <v>31</v>
      </c>
      <c r="E5303" s="76" t="s">
        <v>32</v>
      </c>
      <c r="F5303" s="76">
        <v>0</v>
      </c>
    </row>
    <row r="5304" s="76" customFormat="1" spans="1:6">
      <c r="A5304">
        <v>5527</v>
      </c>
      <c r="B5304">
        <v>342017270</v>
      </c>
      <c r="C5304" s="76">
        <v>2017</v>
      </c>
      <c r="D5304" s="76" t="s">
        <v>31</v>
      </c>
      <c r="E5304" s="76" t="s">
        <v>32</v>
      </c>
      <c r="F5304" s="76">
        <v>3</v>
      </c>
    </row>
    <row r="5305" s="76" customFormat="1" spans="1:6">
      <c r="A5305">
        <v>5521</v>
      </c>
      <c r="B5305">
        <v>342017270</v>
      </c>
      <c r="C5305" s="76">
        <v>2017</v>
      </c>
      <c r="D5305" s="76" t="s">
        <v>31</v>
      </c>
      <c r="E5305" s="76" t="s">
        <v>32</v>
      </c>
      <c r="F5305" s="76">
        <v>3.15</v>
      </c>
    </row>
    <row r="5306" s="76" customFormat="1" spans="1:6">
      <c r="A5306">
        <v>5489</v>
      </c>
      <c r="B5306">
        <v>342017270</v>
      </c>
      <c r="C5306" s="76">
        <v>2017</v>
      </c>
      <c r="D5306" s="76" t="s">
        <v>31</v>
      </c>
      <c r="E5306" s="76" t="s">
        <v>32</v>
      </c>
      <c r="F5306" s="76">
        <v>0.29</v>
      </c>
    </row>
    <row r="5307" s="76" customFormat="1" spans="1:6">
      <c r="A5307">
        <v>5490</v>
      </c>
      <c r="B5307">
        <v>342017270</v>
      </c>
      <c r="C5307" s="76">
        <v>2017</v>
      </c>
      <c r="D5307" s="76" t="s">
        <v>31</v>
      </c>
      <c r="E5307" s="76" t="s">
        <v>32</v>
      </c>
      <c r="F5307" s="76">
        <v>1.06</v>
      </c>
    </row>
    <row r="5308" s="76" customFormat="1" spans="1:6">
      <c r="A5308">
        <v>5488</v>
      </c>
      <c r="B5308">
        <v>342017270</v>
      </c>
      <c r="C5308" s="76">
        <v>2017</v>
      </c>
      <c r="D5308" s="76" t="s">
        <v>31</v>
      </c>
      <c r="E5308" s="76" t="s">
        <v>32</v>
      </c>
      <c r="F5308" s="76">
        <v>2.1</v>
      </c>
    </row>
    <row r="5309" s="76" customFormat="1" spans="1:6">
      <c r="A5309">
        <v>5495</v>
      </c>
      <c r="B5309">
        <v>342017270</v>
      </c>
      <c r="C5309" s="76">
        <v>2017</v>
      </c>
      <c r="D5309" s="76" t="s">
        <v>31</v>
      </c>
      <c r="E5309" s="76" t="s">
        <v>32</v>
      </c>
      <c r="F5309" s="76">
        <v>1.25</v>
      </c>
    </row>
    <row r="5310" s="76" customFormat="1" spans="1:6">
      <c r="A5310">
        <v>5504</v>
      </c>
      <c r="B5310">
        <v>342017270</v>
      </c>
      <c r="C5310" s="76">
        <v>2017</v>
      </c>
      <c r="D5310" s="76" t="s">
        <v>31</v>
      </c>
      <c r="E5310" s="76" t="s">
        <v>32</v>
      </c>
      <c r="F5310" s="76">
        <v>1.5</v>
      </c>
    </row>
    <row r="5311" s="76" customFormat="1" spans="1:6">
      <c r="A5311">
        <v>5454</v>
      </c>
      <c r="B5311">
        <v>342017270</v>
      </c>
      <c r="C5311" s="76">
        <v>2017</v>
      </c>
      <c r="D5311" s="76" t="s">
        <v>31</v>
      </c>
      <c r="E5311" s="76" t="s">
        <v>32</v>
      </c>
      <c r="F5311" s="76">
        <v>7.32</v>
      </c>
    </row>
    <row r="5312" s="76" customFormat="1" spans="1:6">
      <c r="A5312">
        <v>5513</v>
      </c>
      <c r="B5312">
        <v>342017270</v>
      </c>
      <c r="C5312" s="76">
        <v>2017</v>
      </c>
      <c r="D5312" s="76" t="s">
        <v>31</v>
      </c>
      <c r="E5312" s="76" t="s">
        <v>32</v>
      </c>
      <c r="F5312" s="76">
        <v>2</v>
      </c>
    </row>
    <row r="5313" s="76" customFormat="1" spans="1:6">
      <c r="A5313">
        <v>5556</v>
      </c>
      <c r="B5313">
        <v>342017270</v>
      </c>
      <c r="C5313" s="76">
        <v>2017</v>
      </c>
      <c r="D5313" s="76" t="s">
        <v>31</v>
      </c>
      <c r="E5313" s="76" t="s">
        <v>32</v>
      </c>
      <c r="F5313" s="76">
        <v>2</v>
      </c>
    </row>
    <row r="5314" s="76" customFormat="1" spans="1:6">
      <c r="A5314">
        <v>5467</v>
      </c>
      <c r="B5314">
        <v>342017270</v>
      </c>
      <c r="C5314" s="76">
        <v>2017</v>
      </c>
      <c r="D5314" s="76" t="s">
        <v>31</v>
      </c>
      <c r="E5314" s="76" t="s">
        <v>32</v>
      </c>
      <c r="F5314" s="76">
        <v>2</v>
      </c>
    </row>
    <row r="5315" s="76" customFormat="1" spans="1:6">
      <c r="A5315">
        <v>5553</v>
      </c>
      <c r="B5315">
        <v>342017270</v>
      </c>
      <c r="C5315" s="76">
        <v>2017</v>
      </c>
      <c r="D5315" s="76" t="s">
        <v>31</v>
      </c>
      <c r="E5315" s="76" t="s">
        <v>32</v>
      </c>
      <c r="F5315" s="76">
        <v>4</v>
      </c>
    </row>
    <row r="5316" s="76" customFormat="1" spans="1:6">
      <c r="A5316">
        <v>5482</v>
      </c>
      <c r="B5316">
        <v>342017270</v>
      </c>
      <c r="C5316" s="76">
        <v>2017</v>
      </c>
      <c r="D5316" s="76" t="s">
        <v>31</v>
      </c>
      <c r="E5316" s="76" t="s">
        <v>32</v>
      </c>
      <c r="F5316" s="76">
        <v>4</v>
      </c>
    </row>
    <row r="5317" s="76" customFormat="1" spans="1:6">
      <c r="A5317">
        <v>5554</v>
      </c>
      <c r="B5317">
        <v>342017270</v>
      </c>
      <c r="C5317" s="76">
        <v>2017</v>
      </c>
      <c r="D5317" s="76" t="s">
        <v>31</v>
      </c>
      <c r="E5317" s="76" t="s">
        <v>32</v>
      </c>
      <c r="F5317" s="76">
        <v>4</v>
      </c>
    </row>
    <row r="5318" s="76" customFormat="1" spans="1:6">
      <c r="A5318">
        <v>5514</v>
      </c>
      <c r="B5318">
        <v>342017270</v>
      </c>
      <c r="C5318" s="76">
        <v>2017</v>
      </c>
      <c r="D5318" s="76" t="s">
        <v>31</v>
      </c>
      <c r="E5318" s="76" t="s">
        <v>32</v>
      </c>
      <c r="F5318" s="76">
        <v>2</v>
      </c>
    </row>
    <row r="5319" s="76" customFormat="1" spans="1:6">
      <c r="A5319">
        <v>5557</v>
      </c>
      <c r="B5319">
        <v>342017270</v>
      </c>
      <c r="C5319" s="76">
        <v>2017</v>
      </c>
      <c r="D5319" s="76" t="s">
        <v>31</v>
      </c>
      <c r="E5319" s="76" t="s">
        <v>32</v>
      </c>
      <c r="F5319" s="76">
        <v>2</v>
      </c>
    </row>
    <row r="5320" s="76" customFormat="1" spans="1:6">
      <c r="A5320">
        <v>5457</v>
      </c>
      <c r="B5320">
        <v>342017270</v>
      </c>
      <c r="C5320" s="76">
        <v>2017</v>
      </c>
      <c r="D5320" s="76" t="s">
        <v>31</v>
      </c>
      <c r="E5320" s="76" t="s">
        <v>32</v>
      </c>
      <c r="F5320" s="76">
        <v>16.88</v>
      </c>
    </row>
    <row r="5321" s="76" customFormat="1" spans="1:6">
      <c r="A5321">
        <v>5566</v>
      </c>
      <c r="B5321">
        <v>342017270</v>
      </c>
      <c r="C5321" s="76">
        <v>2017</v>
      </c>
      <c r="D5321" s="76" t="s">
        <v>31</v>
      </c>
      <c r="E5321" s="76" t="s">
        <v>32</v>
      </c>
      <c r="F5321" s="76">
        <v>1.74</v>
      </c>
    </row>
    <row r="5322" s="76" customFormat="1" spans="1:6">
      <c r="A5322">
        <v>5464</v>
      </c>
      <c r="B5322">
        <v>342017270</v>
      </c>
      <c r="C5322" s="76">
        <v>2017</v>
      </c>
      <c r="D5322" s="76" t="s">
        <v>31</v>
      </c>
      <c r="E5322" s="76" t="s">
        <v>32</v>
      </c>
      <c r="F5322" s="76">
        <v>2.41</v>
      </c>
    </row>
    <row r="5323" s="76" customFormat="1" spans="1:6">
      <c r="A5323">
        <v>5466</v>
      </c>
      <c r="B5323">
        <v>342017270</v>
      </c>
      <c r="C5323" s="76">
        <v>2017</v>
      </c>
      <c r="D5323" s="76" t="s">
        <v>31</v>
      </c>
      <c r="E5323" s="76" t="s">
        <v>32</v>
      </c>
      <c r="F5323" s="76">
        <v>4.42</v>
      </c>
    </row>
    <row r="5324" s="76" customFormat="1" spans="1:6">
      <c r="A5324">
        <v>5493</v>
      </c>
      <c r="B5324">
        <v>342017270</v>
      </c>
      <c r="C5324" s="76">
        <v>2017</v>
      </c>
      <c r="D5324" s="76" t="s">
        <v>31</v>
      </c>
      <c r="E5324" s="76" t="s">
        <v>32</v>
      </c>
      <c r="F5324" s="76">
        <v>4.2</v>
      </c>
    </row>
    <row r="5325" s="76" customFormat="1" spans="1:6">
      <c r="A5325">
        <v>5494</v>
      </c>
      <c r="B5325">
        <v>342017270</v>
      </c>
      <c r="C5325" s="76">
        <v>2017</v>
      </c>
      <c r="D5325" s="76" t="s">
        <v>31</v>
      </c>
      <c r="E5325" s="76" t="s">
        <v>32</v>
      </c>
      <c r="F5325" s="76">
        <v>4</v>
      </c>
    </row>
    <row r="5326" s="76" customFormat="1" spans="1:6">
      <c r="A5326">
        <v>5526</v>
      </c>
      <c r="B5326">
        <v>342017270</v>
      </c>
      <c r="C5326" s="76">
        <v>2017</v>
      </c>
      <c r="D5326" s="76" t="s">
        <v>31</v>
      </c>
      <c r="E5326" s="76" t="s">
        <v>32</v>
      </c>
      <c r="F5326" s="76">
        <v>5</v>
      </c>
    </row>
    <row r="5327" s="76" customFormat="1" spans="1:6">
      <c r="A5327">
        <v>5474</v>
      </c>
      <c r="B5327">
        <v>342017270</v>
      </c>
      <c r="C5327" s="76">
        <v>2017</v>
      </c>
      <c r="D5327" s="76" t="s">
        <v>31</v>
      </c>
      <c r="E5327" s="76" t="s">
        <v>32</v>
      </c>
      <c r="F5327" s="76">
        <v>0.33</v>
      </c>
    </row>
    <row r="5328" s="76" customFormat="1" spans="1:6">
      <c r="A5328">
        <v>5563</v>
      </c>
      <c r="B5328">
        <v>342017270</v>
      </c>
      <c r="C5328" s="76">
        <v>2017</v>
      </c>
      <c r="D5328" s="76" t="s">
        <v>31</v>
      </c>
      <c r="E5328" s="76" t="s">
        <v>32</v>
      </c>
      <c r="F5328" s="76">
        <v>1.52</v>
      </c>
    </row>
    <row r="5329" s="76" customFormat="1" spans="1:6">
      <c r="A5329">
        <v>5456</v>
      </c>
      <c r="B5329">
        <v>342017270</v>
      </c>
      <c r="C5329" s="76">
        <v>2017</v>
      </c>
      <c r="D5329" s="76" t="s">
        <v>31</v>
      </c>
      <c r="E5329" s="76">
        <v>1</v>
      </c>
      <c r="F5329" s="76">
        <v>12.8</v>
      </c>
    </row>
    <row r="5330" s="76" customFormat="1" spans="1:6">
      <c r="A5330">
        <v>5461</v>
      </c>
      <c r="B5330">
        <v>342017270</v>
      </c>
      <c r="C5330" s="76">
        <v>2017</v>
      </c>
      <c r="D5330" s="76" t="s">
        <v>31</v>
      </c>
      <c r="E5330" s="76">
        <v>1</v>
      </c>
      <c r="F5330" s="76">
        <v>7</v>
      </c>
    </row>
    <row r="5331" s="76" customFormat="1" spans="1:6">
      <c r="A5331">
        <v>5455</v>
      </c>
      <c r="B5331">
        <v>342017270</v>
      </c>
      <c r="C5331" s="76">
        <v>2017</v>
      </c>
      <c r="D5331" s="76" t="s">
        <v>31</v>
      </c>
      <c r="E5331" s="76" t="s">
        <v>32</v>
      </c>
      <c r="F5331" s="76">
        <v>0.46</v>
      </c>
    </row>
    <row r="5332" s="76" customFormat="1" spans="1:6">
      <c r="A5332">
        <v>5558</v>
      </c>
      <c r="B5332">
        <v>342017270</v>
      </c>
      <c r="C5332" s="76">
        <v>2017</v>
      </c>
      <c r="D5332" s="76" t="s">
        <v>31</v>
      </c>
      <c r="E5332" s="76" t="s">
        <v>32</v>
      </c>
      <c r="F5332" s="76">
        <v>2</v>
      </c>
    </row>
    <row r="5333" s="76" customFormat="1" spans="1:6">
      <c r="A5333">
        <v>5518</v>
      </c>
      <c r="B5333">
        <v>342017270</v>
      </c>
      <c r="C5333" s="76">
        <v>2017</v>
      </c>
      <c r="D5333" s="76" t="s">
        <v>31</v>
      </c>
      <c r="E5333" s="76" t="s">
        <v>32</v>
      </c>
      <c r="F5333" s="76">
        <v>2</v>
      </c>
    </row>
    <row r="5334" s="76" customFormat="1" spans="1:6">
      <c r="A5334">
        <v>5483</v>
      </c>
      <c r="B5334">
        <v>342017270</v>
      </c>
      <c r="C5334" s="76">
        <v>2017</v>
      </c>
      <c r="D5334" s="76" t="s">
        <v>31</v>
      </c>
      <c r="E5334" s="76" t="s">
        <v>32</v>
      </c>
      <c r="F5334" s="76">
        <v>5</v>
      </c>
    </row>
    <row r="5335" s="76" customFormat="1" spans="1:6">
      <c r="A5335">
        <v>5519</v>
      </c>
      <c r="B5335">
        <v>342017270</v>
      </c>
      <c r="C5335" s="76">
        <v>2017</v>
      </c>
      <c r="D5335" s="76" t="s">
        <v>31</v>
      </c>
      <c r="E5335" s="76" t="s">
        <v>32</v>
      </c>
      <c r="F5335" s="76">
        <v>0.6</v>
      </c>
    </row>
    <row r="5336" s="76" customFormat="1" spans="1:6">
      <c r="A5336">
        <v>5499</v>
      </c>
      <c r="B5336">
        <v>342017270</v>
      </c>
      <c r="C5336" s="76">
        <v>2017</v>
      </c>
      <c r="D5336" s="76" t="s">
        <v>31</v>
      </c>
      <c r="E5336" s="76" t="s">
        <v>32</v>
      </c>
      <c r="F5336" s="76">
        <v>2</v>
      </c>
    </row>
    <row r="5337" s="76" customFormat="1" spans="1:6">
      <c r="A5337">
        <v>5501</v>
      </c>
      <c r="B5337">
        <v>342017270</v>
      </c>
      <c r="C5337" s="76">
        <v>2017</v>
      </c>
      <c r="D5337" s="76" t="s">
        <v>31</v>
      </c>
      <c r="E5337" s="76" t="s">
        <v>32</v>
      </c>
      <c r="F5337" s="76">
        <v>1.2</v>
      </c>
    </row>
    <row r="5338" s="76" customFormat="1" spans="1:6">
      <c r="A5338">
        <v>5503</v>
      </c>
      <c r="B5338">
        <v>342017270</v>
      </c>
      <c r="C5338" s="76">
        <v>2017</v>
      </c>
      <c r="D5338" s="76" t="s">
        <v>31</v>
      </c>
      <c r="E5338" s="76" t="s">
        <v>32</v>
      </c>
      <c r="F5338" s="76">
        <v>2.3</v>
      </c>
    </row>
    <row r="5339" s="76" customFormat="1" spans="1:6">
      <c r="A5339">
        <v>5560</v>
      </c>
      <c r="B5339">
        <v>342017270</v>
      </c>
      <c r="C5339" s="76">
        <v>2017</v>
      </c>
      <c r="D5339" s="76" t="s">
        <v>31</v>
      </c>
      <c r="E5339" s="76" t="s">
        <v>32</v>
      </c>
      <c r="F5339" s="76">
        <v>8</v>
      </c>
    </row>
    <row r="5340" s="76" customFormat="1" spans="1:6">
      <c r="A5340">
        <v>5507</v>
      </c>
      <c r="B5340">
        <v>342017270</v>
      </c>
      <c r="C5340" s="76">
        <v>2017</v>
      </c>
      <c r="D5340" s="76" t="s">
        <v>31</v>
      </c>
      <c r="E5340" s="76" t="s">
        <v>32</v>
      </c>
      <c r="F5340" s="76">
        <v>1.5</v>
      </c>
    </row>
    <row r="5341" s="76" customFormat="1" spans="1:6">
      <c r="A5341">
        <v>5505</v>
      </c>
      <c r="B5341">
        <v>342017270</v>
      </c>
      <c r="C5341" s="76">
        <v>2017</v>
      </c>
      <c r="D5341" s="76" t="s">
        <v>31</v>
      </c>
      <c r="E5341" s="76" t="s">
        <v>32</v>
      </c>
      <c r="F5341" s="76">
        <v>2</v>
      </c>
    </row>
    <row r="5342" s="76" customFormat="1" spans="1:6">
      <c r="A5342">
        <v>5506</v>
      </c>
      <c r="B5342">
        <v>342017270</v>
      </c>
      <c r="C5342" s="76">
        <v>2017</v>
      </c>
      <c r="D5342" s="76" t="s">
        <v>31</v>
      </c>
      <c r="E5342" s="76" t="s">
        <v>32</v>
      </c>
      <c r="F5342" s="76">
        <v>2</v>
      </c>
    </row>
    <row r="5343" s="76" customFormat="1" spans="1:6">
      <c r="A5343">
        <v>5477</v>
      </c>
      <c r="B5343">
        <v>342017270</v>
      </c>
      <c r="C5343" s="76">
        <v>2017</v>
      </c>
      <c r="D5343" s="76" t="s">
        <v>31</v>
      </c>
      <c r="E5343" s="76" t="s">
        <v>32</v>
      </c>
      <c r="F5343" s="76">
        <v>3</v>
      </c>
    </row>
    <row r="5344" s="76" customFormat="1" spans="1:6">
      <c r="A5344">
        <v>5584</v>
      </c>
      <c r="B5344">
        <v>342017270</v>
      </c>
      <c r="C5344" s="76">
        <v>2017</v>
      </c>
      <c r="D5344" s="76" t="s">
        <v>31</v>
      </c>
      <c r="E5344" s="76" t="s">
        <v>32</v>
      </c>
      <c r="F5344" s="76">
        <v>0.59</v>
      </c>
    </row>
    <row r="5345" s="76" customFormat="1" spans="1:6">
      <c r="A5345">
        <v>5479</v>
      </c>
      <c r="B5345">
        <v>342017270</v>
      </c>
      <c r="C5345" s="76">
        <v>2017</v>
      </c>
      <c r="D5345" s="76" t="s">
        <v>31</v>
      </c>
      <c r="E5345" s="76" t="s">
        <v>32</v>
      </c>
      <c r="F5345" s="76">
        <v>2</v>
      </c>
    </row>
    <row r="5346" s="76" customFormat="1" spans="1:6">
      <c r="A5346">
        <v>5453</v>
      </c>
      <c r="B5346">
        <v>342017270</v>
      </c>
      <c r="C5346" s="76">
        <v>2017</v>
      </c>
      <c r="D5346" s="76" t="s">
        <v>31</v>
      </c>
      <c r="E5346" s="76" t="s">
        <v>32</v>
      </c>
      <c r="F5346" s="76">
        <v>0.59</v>
      </c>
    </row>
    <row r="5347" s="76" customFormat="1" spans="1:6">
      <c r="A5347">
        <v>5529</v>
      </c>
      <c r="B5347">
        <v>342017270</v>
      </c>
      <c r="C5347" s="76">
        <v>2017</v>
      </c>
      <c r="D5347" s="76" t="s">
        <v>31</v>
      </c>
      <c r="E5347" s="76" t="s">
        <v>32</v>
      </c>
      <c r="F5347" s="76">
        <v>3</v>
      </c>
    </row>
    <row r="5348" s="76" customFormat="1" spans="1:6">
      <c r="A5348">
        <v>5459</v>
      </c>
      <c r="B5348">
        <v>342017270</v>
      </c>
      <c r="C5348" s="76">
        <v>2017</v>
      </c>
      <c r="D5348" s="76" t="s">
        <v>31</v>
      </c>
      <c r="E5348" s="76">
        <v>1</v>
      </c>
      <c r="F5348" s="76">
        <v>4.33</v>
      </c>
    </row>
    <row r="5349" s="76" customFormat="1" spans="1:6">
      <c r="A5349">
        <v>5475</v>
      </c>
      <c r="B5349">
        <v>342017270</v>
      </c>
      <c r="C5349" s="76">
        <v>2017</v>
      </c>
      <c r="D5349" s="76" t="s">
        <v>31</v>
      </c>
      <c r="E5349" s="76" t="s">
        <v>32</v>
      </c>
      <c r="F5349" s="76">
        <v>4</v>
      </c>
    </row>
    <row r="5350" s="76" customFormat="1" spans="1:6">
      <c r="A5350">
        <v>5508</v>
      </c>
      <c r="B5350">
        <v>342017270</v>
      </c>
      <c r="C5350" s="76">
        <v>2017</v>
      </c>
      <c r="D5350" s="76" t="s">
        <v>31</v>
      </c>
      <c r="E5350" s="76" t="s">
        <v>32</v>
      </c>
      <c r="F5350" s="76">
        <v>2</v>
      </c>
    </row>
    <row r="5351" s="76" customFormat="1" spans="1:6">
      <c r="A5351">
        <v>5510</v>
      </c>
      <c r="B5351">
        <v>342017270</v>
      </c>
      <c r="C5351" s="76">
        <v>2017</v>
      </c>
      <c r="D5351" s="76" t="s">
        <v>31</v>
      </c>
      <c r="E5351" s="76" t="s">
        <v>32</v>
      </c>
      <c r="F5351" s="76">
        <v>2</v>
      </c>
    </row>
    <row r="5352" s="76" customFormat="1" spans="1:6">
      <c r="A5352">
        <v>5583</v>
      </c>
      <c r="B5352">
        <v>342017270</v>
      </c>
      <c r="C5352" s="76">
        <v>2017</v>
      </c>
      <c r="D5352" s="76" t="s">
        <v>31</v>
      </c>
      <c r="E5352" s="76" t="s">
        <v>32</v>
      </c>
      <c r="F5352" s="76">
        <v>2</v>
      </c>
    </row>
    <row r="5353" s="76" customFormat="1" spans="1:6">
      <c r="A5353">
        <v>5465</v>
      </c>
      <c r="B5353">
        <v>342017270</v>
      </c>
      <c r="C5353" s="76">
        <v>2017</v>
      </c>
      <c r="D5353" s="76" t="s">
        <v>31</v>
      </c>
      <c r="E5353" s="76" t="s">
        <v>32</v>
      </c>
      <c r="F5353" s="76">
        <v>4.74</v>
      </c>
    </row>
    <row r="5354" s="76" customFormat="1" spans="1:6">
      <c r="A5354">
        <v>5486</v>
      </c>
      <c r="B5354">
        <v>342017270</v>
      </c>
      <c r="C5354" s="76">
        <v>2017</v>
      </c>
      <c r="D5354" s="76" t="s">
        <v>31</v>
      </c>
      <c r="E5354" s="76" t="s">
        <v>32</v>
      </c>
      <c r="F5354" s="76">
        <v>6</v>
      </c>
    </row>
    <row r="5355" s="76" customFormat="1" spans="1:6">
      <c r="A5355">
        <v>5568</v>
      </c>
      <c r="B5355">
        <v>342017270</v>
      </c>
      <c r="C5355" s="76">
        <v>2017</v>
      </c>
      <c r="D5355" s="76" t="s">
        <v>31</v>
      </c>
      <c r="E5355" s="76" t="s">
        <v>32</v>
      </c>
      <c r="F5355" s="76">
        <v>2</v>
      </c>
    </row>
    <row r="5356" s="76" customFormat="1" spans="1:6">
      <c r="A5356">
        <v>5567</v>
      </c>
      <c r="B5356">
        <v>342017270</v>
      </c>
      <c r="C5356" s="76">
        <v>2017</v>
      </c>
      <c r="D5356" s="76" t="s">
        <v>31</v>
      </c>
      <c r="E5356" s="76" t="s">
        <v>32</v>
      </c>
      <c r="F5356" s="76">
        <v>2</v>
      </c>
    </row>
    <row r="5357" s="76" customFormat="1" spans="1:6">
      <c r="A5357">
        <v>5569</v>
      </c>
      <c r="B5357">
        <v>342017270</v>
      </c>
      <c r="C5357" s="76">
        <v>2017</v>
      </c>
      <c r="D5357" s="76" t="s">
        <v>31</v>
      </c>
      <c r="E5357" s="76" t="s">
        <v>32</v>
      </c>
      <c r="F5357" s="76">
        <v>0.6</v>
      </c>
    </row>
    <row r="5358" s="76" customFormat="1" spans="1:6">
      <c r="A5358">
        <v>5470</v>
      </c>
      <c r="B5358">
        <v>342017270</v>
      </c>
      <c r="C5358" s="76">
        <v>2017</v>
      </c>
      <c r="D5358" s="76" t="s">
        <v>31</v>
      </c>
      <c r="E5358" s="76" t="s">
        <v>32</v>
      </c>
      <c r="F5358" s="76">
        <v>2</v>
      </c>
    </row>
    <row r="5359" s="76" customFormat="1" spans="1:6">
      <c r="A5359">
        <v>5570</v>
      </c>
      <c r="B5359">
        <v>342017270</v>
      </c>
      <c r="C5359" s="76">
        <v>2017</v>
      </c>
      <c r="D5359" s="76" t="s">
        <v>31</v>
      </c>
      <c r="E5359" s="76" t="s">
        <v>32</v>
      </c>
      <c r="F5359" s="76">
        <v>2</v>
      </c>
    </row>
    <row r="5360" s="76" customFormat="1" spans="1:6">
      <c r="A5360">
        <v>5460</v>
      </c>
      <c r="B5360">
        <v>342017270</v>
      </c>
      <c r="C5360" s="76">
        <v>2017</v>
      </c>
      <c r="D5360" s="76" t="s">
        <v>31</v>
      </c>
      <c r="E5360" s="76">
        <v>1</v>
      </c>
      <c r="F5360" s="76">
        <v>0.7</v>
      </c>
    </row>
    <row r="5361" s="76" customFormat="1" spans="1:6">
      <c r="A5361">
        <v>5532</v>
      </c>
      <c r="B5361">
        <v>342017270</v>
      </c>
      <c r="C5361" s="76">
        <v>2017</v>
      </c>
      <c r="D5361" s="76" t="s">
        <v>31</v>
      </c>
      <c r="E5361" s="76" t="s">
        <v>32</v>
      </c>
      <c r="F5361" s="76">
        <v>1.96</v>
      </c>
    </row>
    <row r="5362" s="76" customFormat="1" spans="1:6">
      <c r="A5362">
        <v>5481</v>
      </c>
      <c r="B5362">
        <v>342017270</v>
      </c>
      <c r="C5362" s="76">
        <v>2017</v>
      </c>
      <c r="D5362" s="76" t="s">
        <v>31</v>
      </c>
      <c r="E5362" s="76" t="s">
        <v>32</v>
      </c>
      <c r="F5362" s="76">
        <v>3</v>
      </c>
    </row>
    <row r="5363" s="76" customFormat="1" spans="1:6">
      <c r="A5363">
        <v>5471</v>
      </c>
      <c r="B5363">
        <v>342017270</v>
      </c>
      <c r="C5363" s="76">
        <v>2017</v>
      </c>
      <c r="D5363" s="76" t="s">
        <v>31</v>
      </c>
      <c r="E5363" s="76" t="s">
        <v>32</v>
      </c>
      <c r="F5363" s="76">
        <v>2</v>
      </c>
    </row>
    <row r="5364" s="76" customFormat="1" spans="1:6">
      <c r="A5364">
        <v>5485</v>
      </c>
      <c r="B5364">
        <v>342017270</v>
      </c>
      <c r="C5364" s="76">
        <v>2017</v>
      </c>
      <c r="D5364" s="76" t="s">
        <v>31</v>
      </c>
      <c r="E5364" s="76" t="s">
        <v>32</v>
      </c>
      <c r="F5364" s="76">
        <v>5</v>
      </c>
    </row>
    <row r="5365" s="76" customFormat="1" spans="1:6">
      <c r="A5365">
        <v>5484</v>
      </c>
      <c r="B5365">
        <v>342017270</v>
      </c>
      <c r="C5365" s="76">
        <v>2017</v>
      </c>
      <c r="D5365" s="76" t="s">
        <v>31</v>
      </c>
      <c r="E5365" s="76" t="s">
        <v>32</v>
      </c>
      <c r="F5365" s="76">
        <v>4.95</v>
      </c>
    </row>
    <row r="5366" s="76" customFormat="1" spans="1:6">
      <c r="A5366">
        <v>5541</v>
      </c>
      <c r="B5366">
        <v>342017270</v>
      </c>
      <c r="C5366" s="76">
        <v>2017</v>
      </c>
      <c r="D5366" s="76" t="s">
        <v>31</v>
      </c>
      <c r="E5366" s="76" t="s">
        <v>32</v>
      </c>
      <c r="F5366" s="76">
        <v>2</v>
      </c>
    </row>
    <row r="5367" s="76" customFormat="1" spans="1:6">
      <c r="A5367">
        <v>5577</v>
      </c>
      <c r="B5367">
        <v>342017270</v>
      </c>
      <c r="C5367" s="76">
        <v>2017</v>
      </c>
      <c r="D5367" s="76" t="s">
        <v>31</v>
      </c>
      <c r="E5367" s="76" t="s">
        <v>32</v>
      </c>
      <c r="F5367" s="76">
        <v>1</v>
      </c>
    </row>
    <row r="5368" s="76" customFormat="1" spans="1:6">
      <c r="A5368">
        <v>5458</v>
      </c>
      <c r="B5368">
        <v>342017270</v>
      </c>
      <c r="C5368" s="76">
        <v>2017</v>
      </c>
      <c r="D5368" s="76" t="s">
        <v>31</v>
      </c>
      <c r="E5368" s="76">
        <v>2</v>
      </c>
      <c r="F5368" s="76">
        <v>15.4</v>
      </c>
    </row>
    <row r="5369" s="76" customFormat="1" spans="1:6">
      <c r="A5369">
        <v>5468</v>
      </c>
      <c r="B5369">
        <v>342017270</v>
      </c>
      <c r="C5369" s="76">
        <v>2017</v>
      </c>
      <c r="D5369" s="76" t="s">
        <v>31</v>
      </c>
      <c r="E5369" s="76" t="s">
        <v>32</v>
      </c>
      <c r="F5369" s="76">
        <v>2</v>
      </c>
    </row>
    <row r="5370" s="76" customFormat="1" spans="1:6">
      <c r="A5370">
        <v>5480</v>
      </c>
      <c r="B5370">
        <v>342017270</v>
      </c>
      <c r="C5370" s="76">
        <v>2017</v>
      </c>
      <c r="D5370" s="76" t="s">
        <v>31</v>
      </c>
      <c r="E5370" s="76" t="s">
        <v>32</v>
      </c>
      <c r="F5370" s="76">
        <v>2</v>
      </c>
    </row>
    <row r="5371" s="76" customFormat="1" spans="1:6">
      <c r="A5371">
        <v>5517</v>
      </c>
      <c r="B5371">
        <v>342017270</v>
      </c>
      <c r="C5371" s="76">
        <v>2017</v>
      </c>
      <c r="D5371" s="76" t="s">
        <v>31</v>
      </c>
      <c r="E5371" s="76" t="s">
        <v>32</v>
      </c>
      <c r="F5371" s="76">
        <v>0.6</v>
      </c>
    </row>
    <row r="5372" s="76" customFormat="1" spans="1:6">
      <c r="A5372">
        <v>5523</v>
      </c>
      <c r="B5372">
        <v>342017270</v>
      </c>
      <c r="C5372" s="76">
        <v>2017</v>
      </c>
      <c r="D5372" s="76" t="s">
        <v>31</v>
      </c>
      <c r="E5372" s="76" t="s">
        <v>32</v>
      </c>
      <c r="F5372" s="76">
        <v>2</v>
      </c>
    </row>
    <row r="5373" s="76" customFormat="1" spans="1:6">
      <c r="A5373">
        <v>5496</v>
      </c>
      <c r="B5373">
        <v>342017270</v>
      </c>
      <c r="C5373" s="76">
        <v>2017</v>
      </c>
      <c r="D5373" s="76" t="s">
        <v>31</v>
      </c>
      <c r="E5373" s="76" t="s">
        <v>32</v>
      </c>
      <c r="F5373" s="76">
        <v>10</v>
      </c>
    </row>
    <row r="5374" s="76" customFormat="1" spans="1:6">
      <c r="A5374">
        <v>5516</v>
      </c>
      <c r="B5374">
        <v>342017270</v>
      </c>
      <c r="C5374" s="76">
        <v>2017</v>
      </c>
      <c r="D5374" s="76" t="s">
        <v>31</v>
      </c>
      <c r="E5374" s="76" t="s">
        <v>32</v>
      </c>
      <c r="F5374" s="76">
        <v>1.8</v>
      </c>
    </row>
    <row r="5375" s="76" customFormat="1" spans="1:6">
      <c r="A5375">
        <v>5491</v>
      </c>
      <c r="B5375">
        <v>342017270</v>
      </c>
      <c r="C5375" s="76">
        <v>2017</v>
      </c>
      <c r="D5375" s="76" t="s">
        <v>31</v>
      </c>
      <c r="E5375" s="76" t="s">
        <v>32</v>
      </c>
      <c r="F5375" s="76">
        <v>3</v>
      </c>
    </row>
    <row r="5376" s="76" customFormat="1" spans="1:6">
      <c r="A5376">
        <v>5572</v>
      </c>
      <c r="B5376">
        <v>342017270</v>
      </c>
      <c r="C5376" s="76">
        <v>2017</v>
      </c>
      <c r="D5376" s="76" t="s">
        <v>31</v>
      </c>
      <c r="E5376" s="76" t="s">
        <v>32</v>
      </c>
      <c r="F5376" s="76">
        <v>1</v>
      </c>
    </row>
    <row r="5377" s="76" customFormat="1" spans="1:6">
      <c r="A5377">
        <v>5575</v>
      </c>
      <c r="B5377">
        <v>342017270</v>
      </c>
      <c r="C5377" s="76">
        <v>2017</v>
      </c>
      <c r="D5377" s="76" t="s">
        <v>31</v>
      </c>
      <c r="E5377" s="76" t="s">
        <v>32</v>
      </c>
      <c r="F5377" s="76">
        <v>1.98</v>
      </c>
    </row>
    <row r="5378" s="76" customFormat="1" spans="1:6">
      <c r="A5378">
        <v>5562</v>
      </c>
      <c r="B5378">
        <v>342017270</v>
      </c>
      <c r="C5378" s="76">
        <v>2017</v>
      </c>
      <c r="D5378" s="76" t="s">
        <v>31</v>
      </c>
      <c r="E5378" s="76" t="s">
        <v>32</v>
      </c>
      <c r="F5378" s="76">
        <v>2</v>
      </c>
    </row>
    <row r="5379" s="76" customFormat="1" spans="1:6">
      <c r="A5379">
        <v>5473</v>
      </c>
      <c r="B5379">
        <v>342017270</v>
      </c>
      <c r="C5379" s="76">
        <v>2017</v>
      </c>
      <c r="D5379" s="76" t="s">
        <v>31</v>
      </c>
      <c r="E5379" s="76" t="s">
        <v>32</v>
      </c>
      <c r="F5379" s="76">
        <v>0.83</v>
      </c>
    </row>
    <row r="5380" s="76" customFormat="1" spans="1:6">
      <c r="A5380">
        <v>5525</v>
      </c>
      <c r="B5380">
        <v>342017270</v>
      </c>
      <c r="C5380" s="76">
        <v>2017</v>
      </c>
      <c r="D5380" s="76" t="s">
        <v>31</v>
      </c>
      <c r="E5380" s="76" t="s">
        <v>32</v>
      </c>
      <c r="F5380" s="76">
        <v>10</v>
      </c>
    </row>
    <row r="5381" s="76" customFormat="1" spans="1:6">
      <c r="A5381">
        <v>5498</v>
      </c>
      <c r="B5381">
        <v>342017270</v>
      </c>
      <c r="C5381" s="76">
        <v>2017</v>
      </c>
      <c r="D5381" s="76" t="s">
        <v>31</v>
      </c>
      <c r="E5381" s="76" t="s">
        <v>32</v>
      </c>
      <c r="F5381" s="76">
        <v>4</v>
      </c>
    </row>
    <row r="5382" s="76" customFormat="1" spans="1:6">
      <c r="A5382">
        <v>5502</v>
      </c>
      <c r="B5382">
        <v>342017270</v>
      </c>
      <c r="C5382" s="76">
        <v>2017</v>
      </c>
      <c r="D5382" s="76" t="s">
        <v>31</v>
      </c>
      <c r="E5382" s="76" t="s">
        <v>32</v>
      </c>
      <c r="F5382" s="76">
        <v>2</v>
      </c>
    </row>
    <row r="5383" s="76" customFormat="1" spans="1:6">
      <c r="A5383">
        <v>5581</v>
      </c>
      <c r="B5383">
        <v>342017270</v>
      </c>
      <c r="C5383" s="76">
        <v>2017</v>
      </c>
      <c r="D5383" s="76" t="s">
        <v>31</v>
      </c>
      <c r="E5383" s="76" t="s">
        <v>32</v>
      </c>
      <c r="F5383" s="76">
        <v>0.6</v>
      </c>
    </row>
    <row r="5384" s="76" customFormat="1" spans="1:6">
      <c r="A5384">
        <v>5478</v>
      </c>
      <c r="B5384">
        <v>342017270</v>
      </c>
      <c r="C5384" s="76">
        <v>2017</v>
      </c>
      <c r="D5384" s="76" t="s">
        <v>31</v>
      </c>
      <c r="E5384" s="76" t="s">
        <v>32</v>
      </c>
      <c r="F5384" s="76">
        <v>2</v>
      </c>
    </row>
    <row r="5385" s="76" customFormat="1" spans="1:6">
      <c r="A5385">
        <v>5500</v>
      </c>
      <c r="B5385">
        <v>342017270</v>
      </c>
      <c r="C5385" s="76">
        <v>2017</v>
      </c>
      <c r="D5385" s="76" t="s">
        <v>31</v>
      </c>
      <c r="E5385" s="76" t="s">
        <v>32</v>
      </c>
      <c r="F5385" s="76">
        <v>1.14</v>
      </c>
    </row>
    <row r="5386" s="76" customFormat="1" spans="1:6">
      <c r="A5386">
        <v>5582</v>
      </c>
      <c r="B5386">
        <v>342017270</v>
      </c>
      <c r="C5386" s="76">
        <v>2017</v>
      </c>
      <c r="D5386" s="76" t="s">
        <v>31</v>
      </c>
      <c r="E5386" s="76" t="s">
        <v>32</v>
      </c>
      <c r="F5386" s="76">
        <v>4</v>
      </c>
    </row>
    <row r="5387" s="76" customFormat="1" spans="1:6">
      <c r="A5387">
        <v>5522</v>
      </c>
      <c r="B5387">
        <v>342017270</v>
      </c>
      <c r="C5387" s="76">
        <v>2017</v>
      </c>
      <c r="D5387" s="76" t="s">
        <v>31</v>
      </c>
      <c r="E5387" s="76" t="s">
        <v>32</v>
      </c>
      <c r="F5387" s="76">
        <v>2.34</v>
      </c>
    </row>
    <row r="5388" s="76" customFormat="1" spans="1:6">
      <c r="A5388">
        <v>5547</v>
      </c>
      <c r="B5388">
        <v>342017270</v>
      </c>
      <c r="C5388" s="76">
        <v>2017</v>
      </c>
      <c r="D5388" s="76" t="s">
        <v>31</v>
      </c>
      <c r="E5388" s="76" t="s">
        <v>32</v>
      </c>
      <c r="F5388" s="76">
        <v>1</v>
      </c>
    </row>
    <row r="5389" s="76" customFormat="1" spans="1:6">
      <c r="A5389">
        <v>5533</v>
      </c>
      <c r="B5389">
        <v>342017270</v>
      </c>
      <c r="C5389" s="76">
        <v>2017</v>
      </c>
      <c r="D5389" s="76" t="s">
        <v>31</v>
      </c>
      <c r="E5389" s="76" t="s">
        <v>32</v>
      </c>
      <c r="F5389" s="76">
        <v>3</v>
      </c>
    </row>
    <row r="5390" s="76" customFormat="1" spans="1:6">
      <c r="A5390">
        <v>5537</v>
      </c>
      <c r="B5390">
        <v>342017270</v>
      </c>
      <c r="C5390" s="76">
        <v>2017</v>
      </c>
      <c r="D5390" s="76" t="s">
        <v>31</v>
      </c>
      <c r="E5390" s="76" t="s">
        <v>32</v>
      </c>
      <c r="F5390" s="76">
        <v>4</v>
      </c>
    </row>
    <row r="5391" s="76" customFormat="1" spans="1:6">
      <c r="A5391">
        <v>5555</v>
      </c>
      <c r="B5391">
        <v>342017270</v>
      </c>
      <c r="C5391" s="76">
        <v>2017</v>
      </c>
      <c r="D5391" s="76" t="s">
        <v>31</v>
      </c>
      <c r="E5391" s="76" t="s">
        <v>32</v>
      </c>
      <c r="F5391" s="76">
        <v>2</v>
      </c>
    </row>
    <row r="5392" s="76" customFormat="1" spans="1:6">
      <c r="A5392">
        <v>5540</v>
      </c>
      <c r="B5392">
        <v>342017270</v>
      </c>
      <c r="C5392" s="76">
        <v>2017</v>
      </c>
      <c r="D5392" s="76" t="s">
        <v>31</v>
      </c>
      <c r="E5392" s="76" t="s">
        <v>32</v>
      </c>
      <c r="F5392" s="76">
        <v>2</v>
      </c>
    </row>
    <row r="5393" s="76" customFormat="1" spans="1:6">
      <c r="A5393">
        <v>5539</v>
      </c>
      <c r="B5393">
        <v>342017270</v>
      </c>
      <c r="C5393" s="76">
        <v>2017</v>
      </c>
      <c r="D5393" s="76" t="s">
        <v>31</v>
      </c>
      <c r="E5393" s="76" t="s">
        <v>32</v>
      </c>
      <c r="F5393" s="76">
        <v>2</v>
      </c>
    </row>
    <row r="5394" s="76" customFormat="1" spans="1:6">
      <c r="A5394">
        <v>5512</v>
      </c>
      <c r="B5394">
        <v>342017270</v>
      </c>
      <c r="C5394" s="76">
        <v>2017</v>
      </c>
      <c r="D5394" s="76" t="s">
        <v>31</v>
      </c>
      <c r="E5394" s="76" t="s">
        <v>32</v>
      </c>
      <c r="F5394" s="76">
        <v>2</v>
      </c>
    </row>
    <row r="5395" s="76" customFormat="1" spans="1:6">
      <c r="A5395">
        <v>5536</v>
      </c>
      <c r="B5395">
        <v>342017270</v>
      </c>
      <c r="C5395" s="76">
        <v>2017</v>
      </c>
      <c r="D5395" s="76" t="s">
        <v>31</v>
      </c>
      <c r="E5395" s="76" t="s">
        <v>32</v>
      </c>
      <c r="F5395" s="76">
        <v>2</v>
      </c>
    </row>
    <row r="5396" s="76" customFormat="1" spans="1:6">
      <c r="A5396">
        <v>5534</v>
      </c>
      <c r="B5396">
        <v>342017270</v>
      </c>
      <c r="C5396" s="76">
        <v>2017</v>
      </c>
      <c r="D5396" s="76" t="s">
        <v>31</v>
      </c>
      <c r="E5396" s="76" t="s">
        <v>32</v>
      </c>
      <c r="F5396" s="76">
        <v>5</v>
      </c>
    </row>
    <row r="5397" s="76" customFormat="1" spans="1:6">
      <c r="A5397">
        <v>5549</v>
      </c>
      <c r="B5397">
        <v>342017270</v>
      </c>
      <c r="C5397" s="76">
        <v>2017</v>
      </c>
      <c r="D5397" s="76" t="s">
        <v>31</v>
      </c>
      <c r="E5397" s="76" t="s">
        <v>32</v>
      </c>
      <c r="F5397" s="76">
        <v>4</v>
      </c>
    </row>
    <row r="5398" s="76" customFormat="1" spans="1:6">
      <c r="A5398">
        <v>5552</v>
      </c>
      <c r="B5398">
        <v>342017270</v>
      </c>
      <c r="C5398" s="76">
        <v>2017</v>
      </c>
      <c r="D5398" s="76" t="s">
        <v>31</v>
      </c>
      <c r="E5398" s="76" t="s">
        <v>32</v>
      </c>
      <c r="F5398" s="76">
        <v>2</v>
      </c>
    </row>
    <row r="5399" s="76" customFormat="1" spans="1:6">
      <c r="A5399">
        <v>5535</v>
      </c>
      <c r="B5399">
        <v>342017270</v>
      </c>
      <c r="C5399" s="76">
        <v>2017</v>
      </c>
      <c r="D5399" s="76" t="s">
        <v>31</v>
      </c>
      <c r="E5399" s="76" t="s">
        <v>32</v>
      </c>
      <c r="F5399" s="76">
        <v>4</v>
      </c>
    </row>
    <row r="5400" s="76" customFormat="1" spans="1:6">
      <c r="A5400">
        <v>5548</v>
      </c>
      <c r="B5400">
        <v>342017270</v>
      </c>
      <c r="C5400" s="76">
        <v>2017</v>
      </c>
      <c r="D5400" s="76" t="s">
        <v>31</v>
      </c>
      <c r="E5400" s="76" t="s">
        <v>32</v>
      </c>
      <c r="F5400" s="76">
        <v>2</v>
      </c>
    </row>
    <row r="5401" s="76" customFormat="1" spans="1:6">
      <c r="A5401">
        <v>5550</v>
      </c>
      <c r="B5401">
        <v>342017270</v>
      </c>
      <c r="C5401" s="76">
        <v>2017</v>
      </c>
      <c r="D5401" s="76" t="s">
        <v>31</v>
      </c>
      <c r="E5401" s="76" t="s">
        <v>32</v>
      </c>
      <c r="F5401" s="76">
        <v>3</v>
      </c>
    </row>
    <row r="5402" s="76" customFormat="1" spans="1:6">
      <c r="A5402">
        <v>5551</v>
      </c>
      <c r="B5402">
        <v>342017270</v>
      </c>
      <c r="C5402" s="76">
        <v>2017</v>
      </c>
      <c r="D5402" s="76" t="s">
        <v>31</v>
      </c>
      <c r="E5402" s="76" t="s">
        <v>32</v>
      </c>
      <c r="F5402" s="76">
        <v>2</v>
      </c>
    </row>
    <row r="5403" s="76" customFormat="1" spans="1:6">
      <c r="A5403">
        <v>5538</v>
      </c>
      <c r="B5403">
        <v>342017270</v>
      </c>
      <c r="C5403" s="76">
        <v>2017</v>
      </c>
      <c r="D5403" s="76" t="s">
        <v>31</v>
      </c>
      <c r="E5403" s="76" t="s">
        <v>32</v>
      </c>
      <c r="F5403" s="76">
        <v>2</v>
      </c>
    </row>
    <row r="5404" s="76" customFormat="1" spans="1:6">
      <c r="A5404">
        <v>5546</v>
      </c>
      <c r="B5404">
        <v>342017270</v>
      </c>
      <c r="C5404" s="76">
        <v>2017</v>
      </c>
      <c r="D5404" s="76" t="s">
        <v>31</v>
      </c>
      <c r="E5404" s="76" t="s">
        <v>32</v>
      </c>
      <c r="F5404" s="76">
        <v>5</v>
      </c>
    </row>
    <row r="5405" s="76" customFormat="1" spans="1:6">
      <c r="A5405">
        <v>5543</v>
      </c>
      <c r="B5405">
        <v>342017270</v>
      </c>
      <c r="C5405" s="76">
        <v>2017</v>
      </c>
      <c r="D5405" s="76" t="s">
        <v>31</v>
      </c>
      <c r="E5405" s="76" t="s">
        <v>32</v>
      </c>
      <c r="F5405" s="76">
        <v>2</v>
      </c>
    </row>
    <row r="5406" s="76" customFormat="1" spans="1:6">
      <c r="A5406">
        <v>5545</v>
      </c>
      <c r="B5406">
        <v>342017270</v>
      </c>
      <c r="C5406" s="76">
        <v>2017</v>
      </c>
      <c r="D5406" s="76" t="s">
        <v>31</v>
      </c>
      <c r="E5406" s="76" t="s">
        <v>32</v>
      </c>
      <c r="F5406" s="76">
        <v>2</v>
      </c>
    </row>
    <row r="5407" s="76" customFormat="1" spans="1:6">
      <c r="A5407">
        <v>5565</v>
      </c>
      <c r="B5407">
        <v>342017270</v>
      </c>
      <c r="C5407" s="76">
        <v>2017</v>
      </c>
      <c r="D5407" s="76" t="s">
        <v>31</v>
      </c>
      <c r="E5407" s="76" t="s">
        <v>32</v>
      </c>
      <c r="F5407" s="76">
        <v>5</v>
      </c>
    </row>
    <row r="5408" s="76" customFormat="1" spans="1:6">
      <c r="A5408">
        <v>5511</v>
      </c>
      <c r="B5408">
        <v>342017270</v>
      </c>
      <c r="C5408" s="76">
        <v>2017</v>
      </c>
      <c r="D5408" s="76" t="s">
        <v>31</v>
      </c>
      <c r="E5408" s="76" t="s">
        <v>32</v>
      </c>
      <c r="F5408" s="76">
        <v>0.8</v>
      </c>
    </row>
    <row r="5409" s="76" customFormat="1" spans="1:6">
      <c r="A5409">
        <v>5559</v>
      </c>
      <c r="B5409">
        <v>342017270</v>
      </c>
      <c r="C5409" s="76">
        <v>2017</v>
      </c>
      <c r="D5409" s="76" t="s">
        <v>31</v>
      </c>
      <c r="E5409" s="76" t="s">
        <v>32</v>
      </c>
      <c r="F5409" s="76">
        <v>0.95</v>
      </c>
    </row>
    <row r="5410" s="76" customFormat="1" spans="1:6">
      <c r="A5410">
        <v>5528</v>
      </c>
      <c r="B5410">
        <v>342017270</v>
      </c>
      <c r="C5410" s="76">
        <v>2017</v>
      </c>
      <c r="D5410" s="76" t="s">
        <v>31</v>
      </c>
      <c r="E5410" s="76" t="s">
        <v>32</v>
      </c>
      <c r="F5410" s="76">
        <v>2</v>
      </c>
    </row>
    <row r="5411" s="76" customFormat="1" spans="1:6">
      <c r="A5411">
        <v>5530</v>
      </c>
      <c r="B5411">
        <v>342017270</v>
      </c>
      <c r="C5411" s="76">
        <v>2017</v>
      </c>
      <c r="D5411" s="76" t="s">
        <v>31</v>
      </c>
      <c r="E5411" s="76" t="s">
        <v>32</v>
      </c>
      <c r="F5411" s="76">
        <v>0.11</v>
      </c>
    </row>
    <row r="5412" s="76" customFormat="1" spans="1:6">
      <c r="A5412">
        <v>5561</v>
      </c>
      <c r="B5412">
        <v>342017270</v>
      </c>
      <c r="C5412" s="76">
        <v>2017</v>
      </c>
      <c r="D5412" s="76" t="s">
        <v>31</v>
      </c>
      <c r="E5412" s="76" t="s">
        <v>32</v>
      </c>
      <c r="F5412" s="76">
        <v>2.08</v>
      </c>
    </row>
    <row r="5413" s="76" customFormat="1" spans="1:6">
      <c r="A5413">
        <v>5573</v>
      </c>
      <c r="B5413">
        <v>342017270</v>
      </c>
      <c r="C5413" s="76">
        <v>2017</v>
      </c>
      <c r="D5413" s="76" t="s">
        <v>31</v>
      </c>
      <c r="E5413" s="76" t="s">
        <v>32</v>
      </c>
      <c r="F5413" s="76">
        <v>6</v>
      </c>
    </row>
    <row r="5414" s="76" customFormat="1" spans="1:6">
      <c r="A5414">
        <v>5542</v>
      </c>
      <c r="B5414">
        <v>342017270</v>
      </c>
      <c r="C5414" s="76">
        <v>2017</v>
      </c>
      <c r="D5414" s="76" t="s">
        <v>31</v>
      </c>
      <c r="E5414" s="76" t="s">
        <v>32</v>
      </c>
      <c r="F5414" s="76">
        <v>2</v>
      </c>
    </row>
    <row r="5415" s="76" customFormat="1" spans="1:6">
      <c r="A5415">
        <v>5469</v>
      </c>
      <c r="B5415">
        <v>342017270</v>
      </c>
      <c r="C5415" s="76">
        <v>2017</v>
      </c>
      <c r="D5415" s="76" t="s">
        <v>31</v>
      </c>
      <c r="E5415" s="76" t="s">
        <v>32</v>
      </c>
      <c r="F5415" s="76">
        <v>4</v>
      </c>
    </row>
    <row r="5416" s="76" customFormat="1" spans="1:6">
      <c r="A5416">
        <v>5520</v>
      </c>
      <c r="B5416">
        <v>342017270</v>
      </c>
      <c r="C5416" s="76">
        <v>2017</v>
      </c>
      <c r="D5416" s="76" t="s">
        <v>31</v>
      </c>
      <c r="E5416" s="76" t="s">
        <v>32</v>
      </c>
      <c r="F5416" s="76">
        <v>13</v>
      </c>
    </row>
    <row r="5417" s="76" customFormat="1" spans="1:6">
      <c r="A5417">
        <v>5571</v>
      </c>
      <c r="B5417">
        <v>342017270</v>
      </c>
      <c r="C5417" s="76">
        <v>2017</v>
      </c>
      <c r="D5417" s="76" t="s">
        <v>31</v>
      </c>
      <c r="E5417" s="76" t="s">
        <v>32</v>
      </c>
      <c r="F5417" s="76">
        <v>2</v>
      </c>
    </row>
    <row r="5418" s="76" customFormat="1" spans="1:6">
      <c r="A5418">
        <v>5574</v>
      </c>
      <c r="B5418">
        <v>342017270</v>
      </c>
      <c r="C5418" s="76">
        <v>2017</v>
      </c>
      <c r="D5418" s="76" t="s">
        <v>31</v>
      </c>
      <c r="E5418" s="76" t="s">
        <v>32</v>
      </c>
      <c r="F5418" s="76">
        <v>5</v>
      </c>
    </row>
    <row r="5419" s="76" customFormat="1" spans="1:6">
      <c r="A5419">
        <v>5515</v>
      </c>
      <c r="B5419">
        <v>342017270</v>
      </c>
      <c r="C5419" s="76">
        <v>2017</v>
      </c>
      <c r="D5419" s="76" t="s">
        <v>31</v>
      </c>
      <c r="E5419" s="76" t="s">
        <v>32</v>
      </c>
      <c r="F5419" s="76">
        <v>2</v>
      </c>
    </row>
    <row r="5420" s="76" customFormat="1" spans="1:6">
      <c r="A5420">
        <v>5462</v>
      </c>
      <c r="B5420">
        <v>342017270</v>
      </c>
      <c r="C5420" s="76">
        <v>2017</v>
      </c>
      <c r="D5420" s="76" t="s">
        <v>31</v>
      </c>
      <c r="E5420" s="76" t="s">
        <v>32</v>
      </c>
      <c r="F5420" s="76">
        <v>7.9</v>
      </c>
    </row>
    <row r="5421" s="76" customFormat="1" spans="1:6">
      <c r="A5421">
        <v>5576</v>
      </c>
      <c r="B5421">
        <v>342017270</v>
      </c>
      <c r="C5421" s="76">
        <v>2017</v>
      </c>
      <c r="D5421" s="76" t="s">
        <v>31</v>
      </c>
      <c r="E5421" s="76" t="s">
        <v>32</v>
      </c>
      <c r="F5421" s="76">
        <v>0.35</v>
      </c>
    </row>
    <row r="5422" s="76" customFormat="1" spans="1:6">
      <c r="A5422">
        <v>5472</v>
      </c>
      <c r="B5422">
        <v>342017270</v>
      </c>
      <c r="C5422" s="76">
        <v>2017</v>
      </c>
      <c r="D5422" s="76" t="s">
        <v>31</v>
      </c>
      <c r="E5422" s="76" t="s">
        <v>32</v>
      </c>
      <c r="F5422" s="76">
        <v>2</v>
      </c>
    </row>
    <row r="5423" s="76" customFormat="1" spans="1:6">
      <c r="A5423">
        <v>5544</v>
      </c>
      <c r="B5423">
        <v>342017270</v>
      </c>
      <c r="C5423" s="76">
        <v>2017</v>
      </c>
      <c r="D5423" s="76" t="s">
        <v>31</v>
      </c>
      <c r="E5423" s="76" t="s">
        <v>32</v>
      </c>
      <c r="F5423" s="76">
        <v>2</v>
      </c>
    </row>
    <row r="5424" s="76" customFormat="1" spans="1:6">
      <c r="A5424">
        <v>5586</v>
      </c>
      <c r="B5424">
        <v>342018110</v>
      </c>
      <c r="C5424" s="76">
        <v>2018</v>
      </c>
      <c r="D5424" s="76" t="s">
        <v>40</v>
      </c>
      <c r="E5424" s="76" t="s">
        <v>32</v>
      </c>
      <c r="F5424" s="76">
        <v>0.75</v>
      </c>
    </row>
    <row r="5425" s="76" customFormat="1" spans="1:6">
      <c r="A5425">
        <v>5588</v>
      </c>
      <c r="B5425">
        <v>342018110</v>
      </c>
      <c r="C5425" s="76">
        <v>2018</v>
      </c>
      <c r="D5425" s="76" t="s">
        <v>40</v>
      </c>
      <c r="E5425" s="76" t="s">
        <v>32</v>
      </c>
      <c r="F5425" s="76">
        <v>0.1</v>
      </c>
    </row>
    <row r="5426" s="76" customFormat="1" spans="1:6">
      <c r="A5426">
        <v>5585</v>
      </c>
      <c r="B5426">
        <v>342018110</v>
      </c>
      <c r="C5426" s="76">
        <v>2018</v>
      </c>
      <c r="D5426" s="76" t="s">
        <v>40</v>
      </c>
      <c r="E5426" s="76" t="s">
        <v>32</v>
      </c>
      <c r="F5426" s="76">
        <v>0.25</v>
      </c>
    </row>
    <row r="5427" s="76" customFormat="1" spans="1:6">
      <c r="A5427">
        <v>5589</v>
      </c>
      <c r="B5427">
        <v>342018211</v>
      </c>
      <c r="C5427" s="76">
        <v>2018</v>
      </c>
      <c r="D5427" s="76" t="s">
        <v>37</v>
      </c>
      <c r="E5427" s="76">
        <v>2</v>
      </c>
      <c r="F5427" s="76">
        <v>132</v>
      </c>
    </row>
    <row r="5428" s="76" customFormat="1" spans="1:6">
      <c r="A5428">
        <v>5593</v>
      </c>
      <c r="B5428">
        <v>342018211</v>
      </c>
      <c r="C5428" s="76">
        <v>2018</v>
      </c>
      <c r="D5428" s="76" t="s">
        <v>37</v>
      </c>
      <c r="E5428" s="76" t="s">
        <v>32</v>
      </c>
      <c r="F5428" s="76">
        <v>1.67</v>
      </c>
    </row>
    <row r="5429" s="76" customFormat="1" spans="1:6">
      <c r="A5429">
        <v>5591</v>
      </c>
      <c r="B5429">
        <v>342018211</v>
      </c>
      <c r="C5429" s="76">
        <v>2018</v>
      </c>
      <c r="D5429" s="76" t="s">
        <v>37</v>
      </c>
      <c r="E5429" s="76" t="s">
        <v>32</v>
      </c>
      <c r="F5429" s="76">
        <v>1.7</v>
      </c>
    </row>
    <row r="5430" s="76" customFormat="1" spans="1:6">
      <c r="A5430">
        <v>5590</v>
      </c>
      <c r="B5430">
        <v>342018211</v>
      </c>
      <c r="C5430" s="76">
        <v>2018</v>
      </c>
      <c r="D5430" s="76" t="s">
        <v>37</v>
      </c>
      <c r="E5430" s="76">
        <v>2</v>
      </c>
      <c r="F5430" s="76">
        <v>132</v>
      </c>
    </row>
    <row r="5431" s="76" customFormat="1" spans="1:6">
      <c r="A5431">
        <v>5592</v>
      </c>
      <c r="B5431">
        <v>342018211</v>
      </c>
      <c r="C5431" s="76">
        <v>2018</v>
      </c>
      <c r="D5431" s="76" t="s">
        <v>37</v>
      </c>
      <c r="E5431" s="76">
        <v>1</v>
      </c>
      <c r="F5431" s="76">
        <v>35</v>
      </c>
    </row>
    <row r="5432" s="76" customFormat="1" spans="1:6">
      <c r="A5432">
        <v>5594</v>
      </c>
      <c r="B5432">
        <v>342018222</v>
      </c>
      <c r="C5432" s="76">
        <v>2018</v>
      </c>
      <c r="D5432" s="76" t="s">
        <v>43</v>
      </c>
      <c r="E5432" s="76" t="s">
        <v>32</v>
      </c>
      <c r="F5432" s="76">
        <v>1.2</v>
      </c>
    </row>
    <row r="5433" s="76" customFormat="1" spans="1:6">
      <c r="A5433">
        <v>5595</v>
      </c>
      <c r="B5433">
        <v>342018241</v>
      </c>
      <c r="C5433" s="76">
        <v>2018</v>
      </c>
      <c r="D5433" s="76" t="s">
        <v>33</v>
      </c>
      <c r="E5433" s="76" t="s">
        <v>32</v>
      </c>
      <c r="F5433" s="76">
        <v>0.45</v>
      </c>
    </row>
    <row r="5434" s="76" customFormat="1" spans="1:6">
      <c r="A5434">
        <v>5596</v>
      </c>
      <c r="B5434">
        <v>342018241</v>
      </c>
      <c r="C5434" s="76">
        <v>2018</v>
      </c>
      <c r="D5434" s="76" t="s">
        <v>33</v>
      </c>
      <c r="E5434" s="76" t="s">
        <v>32</v>
      </c>
      <c r="F5434" s="76">
        <v>0.9</v>
      </c>
    </row>
    <row r="5435" s="76" customFormat="1" spans="1:6">
      <c r="A5435">
        <v>5604</v>
      </c>
      <c r="B5435">
        <v>342018242</v>
      </c>
      <c r="C5435" s="76">
        <v>2018</v>
      </c>
      <c r="D5435" s="76" t="s">
        <v>35</v>
      </c>
      <c r="E5435" s="76" t="s">
        <v>32</v>
      </c>
      <c r="F5435" s="76">
        <v>1.5</v>
      </c>
    </row>
    <row r="5436" s="76" customFormat="1" spans="1:6">
      <c r="A5436">
        <v>5598</v>
      </c>
      <c r="B5436">
        <v>342018242</v>
      </c>
      <c r="C5436" s="76">
        <v>2018</v>
      </c>
      <c r="D5436" s="76" t="s">
        <v>35</v>
      </c>
      <c r="E5436" s="76" t="s">
        <v>32</v>
      </c>
      <c r="F5436" s="76">
        <v>0.9</v>
      </c>
    </row>
    <row r="5437" s="76" customFormat="1" spans="1:6">
      <c r="A5437">
        <v>5601</v>
      </c>
      <c r="B5437">
        <v>342018242</v>
      </c>
      <c r="C5437" s="76">
        <v>2018</v>
      </c>
      <c r="D5437" s="76" t="s">
        <v>35</v>
      </c>
      <c r="E5437" s="76" t="s">
        <v>32</v>
      </c>
      <c r="F5437" s="76">
        <v>3.9</v>
      </c>
    </row>
    <row r="5438" s="76" customFormat="1" spans="1:6">
      <c r="A5438">
        <v>5602</v>
      </c>
      <c r="B5438">
        <v>342018242</v>
      </c>
      <c r="C5438" s="76">
        <v>2018</v>
      </c>
      <c r="D5438" s="76" t="s">
        <v>35</v>
      </c>
      <c r="E5438" s="76" t="s">
        <v>32</v>
      </c>
      <c r="F5438" s="76">
        <v>2.5</v>
      </c>
    </row>
    <row r="5439" s="76" customFormat="1" spans="1:6">
      <c r="A5439">
        <v>5600</v>
      </c>
      <c r="B5439">
        <v>342018242</v>
      </c>
      <c r="C5439" s="76">
        <v>2018</v>
      </c>
      <c r="D5439" s="76" t="s">
        <v>35</v>
      </c>
      <c r="E5439" s="76" t="s">
        <v>32</v>
      </c>
      <c r="F5439" s="76">
        <v>0.2</v>
      </c>
    </row>
    <row r="5440" s="76" customFormat="1" spans="1:6">
      <c r="A5440">
        <v>5603</v>
      </c>
      <c r="B5440">
        <v>342018242</v>
      </c>
      <c r="C5440" s="76">
        <v>2018</v>
      </c>
      <c r="D5440" s="76" t="s">
        <v>35</v>
      </c>
      <c r="E5440" s="76" t="s">
        <v>32</v>
      </c>
      <c r="F5440" s="76">
        <v>1.2</v>
      </c>
    </row>
    <row r="5441" s="76" customFormat="1" spans="1:6">
      <c r="A5441">
        <v>5599</v>
      </c>
      <c r="B5441">
        <v>342018242</v>
      </c>
      <c r="C5441" s="76">
        <v>2018</v>
      </c>
      <c r="D5441" s="76" t="s">
        <v>35</v>
      </c>
      <c r="E5441" s="76" t="s">
        <v>32</v>
      </c>
      <c r="F5441" s="76">
        <v>0.6</v>
      </c>
    </row>
    <row r="5442" s="76" customFormat="1" spans="1:6">
      <c r="A5442">
        <v>5607</v>
      </c>
      <c r="B5442">
        <v>342018243</v>
      </c>
      <c r="C5442" s="76">
        <v>2018</v>
      </c>
      <c r="D5442" s="76" t="s">
        <v>38</v>
      </c>
      <c r="E5442" s="76" t="s">
        <v>32</v>
      </c>
      <c r="F5442" s="76">
        <v>2.7</v>
      </c>
    </row>
    <row r="5443" s="76" customFormat="1" spans="1:6">
      <c r="A5443">
        <v>5610</v>
      </c>
      <c r="B5443">
        <v>342018243</v>
      </c>
      <c r="C5443" s="76">
        <v>2018</v>
      </c>
      <c r="D5443" s="76" t="s">
        <v>38</v>
      </c>
      <c r="E5443" s="76" t="s">
        <v>32</v>
      </c>
      <c r="F5443" s="76">
        <v>3</v>
      </c>
    </row>
    <row r="5444" s="76" customFormat="1" spans="1:6">
      <c r="A5444">
        <v>5615</v>
      </c>
      <c r="B5444">
        <v>342018243</v>
      </c>
      <c r="C5444" s="76">
        <v>2018</v>
      </c>
      <c r="D5444" s="76" t="s">
        <v>38</v>
      </c>
      <c r="E5444" s="76" t="s">
        <v>32</v>
      </c>
      <c r="F5444" s="76">
        <v>3</v>
      </c>
    </row>
    <row r="5445" s="76" customFormat="1" spans="1:6">
      <c r="A5445">
        <v>5611</v>
      </c>
      <c r="B5445">
        <v>342018243</v>
      </c>
      <c r="C5445" s="76">
        <v>2018</v>
      </c>
      <c r="D5445" s="76" t="s">
        <v>38</v>
      </c>
      <c r="E5445" s="76" t="s">
        <v>32</v>
      </c>
      <c r="F5445" s="76">
        <v>0.72</v>
      </c>
    </row>
    <row r="5446" s="76" customFormat="1" spans="1:6">
      <c r="A5446">
        <v>5612</v>
      </c>
      <c r="B5446">
        <v>342018243</v>
      </c>
      <c r="C5446" s="76">
        <v>2018</v>
      </c>
      <c r="D5446" s="76" t="s">
        <v>38</v>
      </c>
      <c r="E5446" s="76" t="s">
        <v>32</v>
      </c>
      <c r="F5446" s="76">
        <v>3</v>
      </c>
    </row>
    <row r="5447" s="76" customFormat="1" spans="1:6">
      <c r="A5447">
        <v>5609</v>
      </c>
      <c r="B5447">
        <v>342018243</v>
      </c>
      <c r="C5447" s="76">
        <v>2018</v>
      </c>
      <c r="D5447" s="76" t="s">
        <v>38</v>
      </c>
      <c r="E5447" s="76" t="s">
        <v>32</v>
      </c>
      <c r="F5447" s="76">
        <v>0.6</v>
      </c>
    </row>
    <row r="5448" s="76" customFormat="1" spans="1:6">
      <c r="A5448">
        <v>5616</v>
      </c>
      <c r="B5448">
        <v>342018243</v>
      </c>
      <c r="C5448" s="76">
        <v>2018</v>
      </c>
      <c r="D5448" s="76" t="s">
        <v>38</v>
      </c>
      <c r="E5448" s="76" t="s">
        <v>32</v>
      </c>
      <c r="F5448" s="76">
        <v>2.5</v>
      </c>
    </row>
    <row r="5449" s="76" customFormat="1" spans="1:6">
      <c r="A5449">
        <v>5613</v>
      </c>
      <c r="B5449">
        <v>342018243</v>
      </c>
      <c r="C5449" s="76">
        <v>2018</v>
      </c>
      <c r="D5449" s="76" t="s">
        <v>38</v>
      </c>
      <c r="E5449" s="76" t="s">
        <v>32</v>
      </c>
      <c r="F5449" s="76">
        <v>2.5</v>
      </c>
    </row>
    <row r="5450" s="76" customFormat="1" spans="1:6">
      <c r="A5450">
        <v>5608</v>
      </c>
      <c r="B5450">
        <v>342018243</v>
      </c>
      <c r="C5450" s="76">
        <v>2018</v>
      </c>
      <c r="D5450" s="76" t="s">
        <v>38</v>
      </c>
      <c r="E5450" s="76" t="s">
        <v>32</v>
      </c>
      <c r="F5450" s="76">
        <v>3.6</v>
      </c>
    </row>
    <row r="5451" s="76" customFormat="1" spans="1:6">
      <c r="A5451">
        <v>5605</v>
      </c>
      <c r="B5451">
        <v>342018243</v>
      </c>
      <c r="C5451" s="76">
        <v>2018</v>
      </c>
      <c r="D5451" s="76" t="s">
        <v>38</v>
      </c>
      <c r="E5451" s="76" t="s">
        <v>32</v>
      </c>
      <c r="F5451" s="76">
        <v>3.6</v>
      </c>
    </row>
    <row r="5452" s="76" customFormat="1" spans="1:6">
      <c r="A5452">
        <v>5618</v>
      </c>
      <c r="B5452">
        <v>342018243</v>
      </c>
      <c r="C5452" s="76">
        <v>2018</v>
      </c>
      <c r="D5452" s="76" t="s">
        <v>38</v>
      </c>
      <c r="E5452" s="76" t="s">
        <v>32</v>
      </c>
      <c r="F5452" s="76">
        <v>3</v>
      </c>
    </row>
    <row r="5453" s="76" customFormat="1" spans="1:6">
      <c r="A5453">
        <v>5606</v>
      </c>
      <c r="B5453">
        <v>342018243</v>
      </c>
      <c r="C5453" s="76">
        <v>2018</v>
      </c>
      <c r="D5453" s="76" t="s">
        <v>38</v>
      </c>
      <c r="E5453" s="76" t="s">
        <v>32</v>
      </c>
      <c r="F5453" s="76">
        <v>3</v>
      </c>
    </row>
    <row r="5454" s="76" customFormat="1" spans="1:6">
      <c r="A5454">
        <v>5614</v>
      </c>
      <c r="B5454">
        <v>342018243</v>
      </c>
      <c r="C5454" s="76">
        <v>2018</v>
      </c>
      <c r="D5454" s="76" t="s">
        <v>38</v>
      </c>
      <c r="E5454" s="76" t="s">
        <v>32</v>
      </c>
      <c r="F5454" s="76">
        <v>3</v>
      </c>
    </row>
    <row r="5455" s="76" customFormat="1" spans="1:6">
      <c r="A5455">
        <v>5617</v>
      </c>
      <c r="B5455">
        <v>342018243</v>
      </c>
      <c r="C5455" s="76">
        <v>2018</v>
      </c>
      <c r="D5455" s="76" t="s">
        <v>38</v>
      </c>
      <c r="E5455" s="76" t="s">
        <v>32</v>
      </c>
      <c r="F5455" s="76">
        <v>2.5</v>
      </c>
    </row>
    <row r="5456" s="76" customFormat="1" spans="1:6">
      <c r="A5456">
        <v>5625</v>
      </c>
      <c r="B5456">
        <v>342018260</v>
      </c>
      <c r="C5456" s="76">
        <v>2018</v>
      </c>
      <c r="D5456" s="76" t="s">
        <v>34</v>
      </c>
      <c r="E5456" s="76" t="s">
        <v>32</v>
      </c>
      <c r="F5456" s="76">
        <v>2.42</v>
      </c>
    </row>
    <row r="5457" s="76" customFormat="1" spans="1:6">
      <c r="A5457">
        <v>5622</v>
      </c>
      <c r="B5457">
        <v>342018260</v>
      </c>
      <c r="C5457" s="76">
        <v>2018</v>
      </c>
      <c r="D5457" s="76" t="s">
        <v>34</v>
      </c>
      <c r="E5457" s="76" t="s">
        <v>32</v>
      </c>
      <c r="F5457" s="76">
        <v>4.4</v>
      </c>
    </row>
    <row r="5458" s="76" customFormat="1" spans="1:6">
      <c r="A5458">
        <v>5619</v>
      </c>
      <c r="B5458">
        <v>342018260</v>
      </c>
      <c r="C5458" s="76">
        <v>2018</v>
      </c>
      <c r="D5458" s="76" t="s">
        <v>34</v>
      </c>
      <c r="E5458" s="76">
        <v>7</v>
      </c>
      <c r="F5458" s="76">
        <v>1.05</v>
      </c>
    </row>
    <row r="5459" s="76" customFormat="1" spans="1:6">
      <c r="A5459">
        <v>5620</v>
      </c>
      <c r="B5459">
        <v>342018260</v>
      </c>
      <c r="C5459" s="76">
        <v>2018</v>
      </c>
      <c r="D5459" s="76" t="s">
        <v>34</v>
      </c>
      <c r="E5459" s="76">
        <v>25</v>
      </c>
      <c r="F5459" s="76">
        <v>4.95</v>
      </c>
    </row>
    <row r="5460" s="76" customFormat="1" spans="1:6">
      <c r="A5460">
        <v>5623</v>
      </c>
      <c r="B5460">
        <v>342018260</v>
      </c>
      <c r="C5460" s="76">
        <v>2018</v>
      </c>
      <c r="D5460" s="76" t="s">
        <v>34</v>
      </c>
      <c r="E5460" s="76" t="s">
        <v>32</v>
      </c>
      <c r="F5460" s="76">
        <v>0.22</v>
      </c>
    </row>
    <row r="5461" s="76" customFormat="1" spans="1:6">
      <c r="A5461">
        <v>5621</v>
      </c>
      <c r="B5461">
        <v>342018260</v>
      </c>
      <c r="C5461" s="76">
        <v>2018</v>
      </c>
      <c r="D5461" s="76" t="s">
        <v>34</v>
      </c>
      <c r="E5461" s="76" t="s">
        <v>32</v>
      </c>
      <c r="F5461" s="76">
        <v>4.98</v>
      </c>
    </row>
    <row r="5462" s="76" customFormat="1" spans="1:6">
      <c r="A5462">
        <v>5626</v>
      </c>
      <c r="B5462">
        <v>342018260</v>
      </c>
      <c r="C5462" s="76">
        <v>2018</v>
      </c>
      <c r="D5462" s="76" t="s">
        <v>34</v>
      </c>
      <c r="E5462" s="76" t="s">
        <v>32</v>
      </c>
      <c r="F5462" s="76">
        <v>0.83</v>
      </c>
    </row>
    <row r="5463" s="76" customFormat="1" spans="1:6">
      <c r="A5463">
        <v>5624</v>
      </c>
      <c r="B5463">
        <v>342018260</v>
      </c>
      <c r="C5463" s="76">
        <v>2018</v>
      </c>
      <c r="D5463" s="76" t="s">
        <v>34</v>
      </c>
      <c r="E5463" s="76" t="s">
        <v>32</v>
      </c>
      <c r="F5463" s="76">
        <v>4.8</v>
      </c>
    </row>
    <row r="5464" s="76" customFormat="1" spans="1:6">
      <c r="A5464">
        <v>5644</v>
      </c>
      <c r="B5464">
        <v>342018270</v>
      </c>
      <c r="C5464" s="76">
        <v>2018</v>
      </c>
      <c r="D5464" s="76" t="s">
        <v>31</v>
      </c>
      <c r="E5464" s="76" t="s">
        <v>32</v>
      </c>
      <c r="F5464" s="76">
        <v>4.57</v>
      </c>
    </row>
    <row r="5465" s="76" customFormat="1" spans="1:6">
      <c r="A5465">
        <v>5666</v>
      </c>
      <c r="B5465">
        <v>342018270</v>
      </c>
      <c r="C5465" s="76">
        <v>2018</v>
      </c>
      <c r="D5465" s="76" t="s">
        <v>31</v>
      </c>
      <c r="E5465" s="76" t="s">
        <v>32</v>
      </c>
      <c r="F5465" s="76">
        <v>2</v>
      </c>
    </row>
    <row r="5466" s="76" customFormat="1" spans="1:6">
      <c r="A5466">
        <v>5659</v>
      </c>
      <c r="B5466">
        <v>342018270</v>
      </c>
      <c r="C5466" s="76">
        <v>2018</v>
      </c>
      <c r="D5466" s="76" t="s">
        <v>31</v>
      </c>
      <c r="E5466" s="76" t="s">
        <v>32</v>
      </c>
      <c r="F5466" s="76">
        <v>4</v>
      </c>
    </row>
    <row r="5467" s="76" customFormat="1" spans="1:6">
      <c r="A5467">
        <v>5650</v>
      </c>
      <c r="B5467">
        <v>342018270</v>
      </c>
      <c r="C5467" s="76">
        <v>2018</v>
      </c>
      <c r="D5467" s="76" t="s">
        <v>31</v>
      </c>
      <c r="E5467" s="76" t="s">
        <v>32</v>
      </c>
      <c r="F5467" s="76">
        <v>1.76</v>
      </c>
    </row>
    <row r="5468" s="76" customFormat="1" spans="1:6">
      <c r="A5468">
        <v>5658</v>
      </c>
      <c r="B5468">
        <v>342018270</v>
      </c>
      <c r="C5468" s="76">
        <v>2018</v>
      </c>
      <c r="D5468" s="76" t="s">
        <v>31</v>
      </c>
      <c r="E5468" s="76" t="s">
        <v>32</v>
      </c>
      <c r="F5468" s="76">
        <v>2</v>
      </c>
    </row>
    <row r="5469" s="76" customFormat="1" spans="1:6">
      <c r="A5469">
        <v>5675</v>
      </c>
      <c r="B5469">
        <v>342018270</v>
      </c>
      <c r="C5469" s="76">
        <v>2018</v>
      </c>
      <c r="D5469" s="76" t="s">
        <v>31</v>
      </c>
      <c r="E5469" s="76" t="s">
        <v>32</v>
      </c>
      <c r="F5469" s="76">
        <v>1</v>
      </c>
    </row>
    <row r="5470" s="76" customFormat="1" spans="1:6">
      <c r="A5470">
        <v>5637</v>
      </c>
      <c r="B5470">
        <v>342018270</v>
      </c>
      <c r="C5470" s="76">
        <v>2018</v>
      </c>
      <c r="D5470" s="76" t="s">
        <v>31</v>
      </c>
      <c r="E5470" s="76" t="s">
        <v>32</v>
      </c>
      <c r="F5470" s="76">
        <v>1</v>
      </c>
    </row>
    <row r="5471" s="76" customFormat="1" spans="1:6">
      <c r="A5471">
        <v>5646</v>
      </c>
      <c r="B5471">
        <v>342018270</v>
      </c>
      <c r="C5471" s="76">
        <v>2018</v>
      </c>
      <c r="D5471" s="76" t="s">
        <v>31</v>
      </c>
      <c r="E5471" s="76" t="s">
        <v>32</v>
      </c>
      <c r="F5471" s="76">
        <v>1.8</v>
      </c>
    </row>
    <row r="5472" s="76" customFormat="1" spans="1:6">
      <c r="A5472">
        <v>5678</v>
      </c>
      <c r="B5472">
        <v>342018270</v>
      </c>
      <c r="C5472" s="76">
        <v>2018</v>
      </c>
      <c r="D5472" s="76" t="s">
        <v>31</v>
      </c>
      <c r="E5472" s="76" t="s">
        <v>32</v>
      </c>
      <c r="F5472" s="76">
        <v>0.5</v>
      </c>
    </row>
    <row r="5473" s="76" customFormat="1" spans="1:6">
      <c r="A5473">
        <v>5664</v>
      </c>
      <c r="B5473">
        <v>342018270</v>
      </c>
      <c r="C5473" s="76">
        <v>2018</v>
      </c>
      <c r="D5473" s="76" t="s">
        <v>31</v>
      </c>
      <c r="E5473" s="76" t="s">
        <v>32</v>
      </c>
      <c r="F5473" s="76">
        <v>8.48</v>
      </c>
    </row>
    <row r="5474" s="76" customFormat="1" spans="1:6">
      <c r="A5474">
        <v>5652</v>
      </c>
      <c r="B5474">
        <v>342018270</v>
      </c>
      <c r="C5474" s="76">
        <v>2018</v>
      </c>
      <c r="D5474" s="76" t="s">
        <v>31</v>
      </c>
      <c r="E5474" s="76" t="s">
        <v>32</v>
      </c>
      <c r="F5474" s="76">
        <v>0.41</v>
      </c>
    </row>
    <row r="5475" s="76" customFormat="1" spans="1:6">
      <c r="A5475">
        <v>5639</v>
      </c>
      <c r="B5475">
        <v>342018270</v>
      </c>
      <c r="C5475" s="76">
        <v>2018</v>
      </c>
      <c r="D5475" s="76" t="s">
        <v>31</v>
      </c>
      <c r="E5475" s="76" t="s">
        <v>32</v>
      </c>
      <c r="F5475" s="76">
        <v>4.31</v>
      </c>
    </row>
    <row r="5476" s="76" customFormat="1" spans="1:6">
      <c r="A5476">
        <v>5640</v>
      </c>
      <c r="B5476">
        <v>342018270</v>
      </c>
      <c r="C5476" s="76">
        <v>2018</v>
      </c>
      <c r="D5476" s="76" t="s">
        <v>31</v>
      </c>
      <c r="E5476" s="76" t="s">
        <v>32</v>
      </c>
      <c r="F5476" s="76">
        <v>3.72</v>
      </c>
    </row>
    <row r="5477" s="76" customFormat="1" spans="1:6">
      <c r="A5477">
        <v>5638</v>
      </c>
      <c r="B5477">
        <v>342018270</v>
      </c>
      <c r="C5477" s="76">
        <v>2018</v>
      </c>
      <c r="D5477" s="76" t="s">
        <v>31</v>
      </c>
      <c r="E5477" s="76" t="s">
        <v>32</v>
      </c>
      <c r="F5477" s="76">
        <v>2.37</v>
      </c>
    </row>
    <row r="5478" s="76" customFormat="1" spans="1:6">
      <c r="A5478">
        <v>5641</v>
      </c>
      <c r="B5478">
        <v>342018270</v>
      </c>
      <c r="C5478" s="76">
        <v>2018</v>
      </c>
      <c r="D5478" s="76" t="s">
        <v>31</v>
      </c>
      <c r="E5478" s="76" t="s">
        <v>32</v>
      </c>
      <c r="F5478" s="76">
        <v>0.25</v>
      </c>
    </row>
    <row r="5479" s="76" customFormat="1" spans="1:6">
      <c r="A5479">
        <v>5627</v>
      </c>
      <c r="B5479">
        <v>342018270</v>
      </c>
      <c r="C5479" s="76">
        <v>2018</v>
      </c>
      <c r="D5479" s="76" t="s">
        <v>31</v>
      </c>
      <c r="E5479" s="76" t="s">
        <v>32</v>
      </c>
      <c r="F5479" s="76">
        <v>7.68</v>
      </c>
    </row>
    <row r="5480" s="76" customFormat="1" spans="1:6">
      <c r="A5480">
        <v>5631</v>
      </c>
      <c r="B5480">
        <v>342018270</v>
      </c>
      <c r="C5480" s="76">
        <v>2018</v>
      </c>
      <c r="D5480" s="76" t="s">
        <v>31</v>
      </c>
      <c r="E5480" s="76" t="s">
        <v>32</v>
      </c>
      <c r="F5480" s="76">
        <v>2</v>
      </c>
    </row>
    <row r="5481" s="76" customFormat="1" spans="1:6">
      <c r="A5481">
        <v>5668</v>
      </c>
      <c r="B5481">
        <v>342018270</v>
      </c>
      <c r="C5481" s="76">
        <v>2018</v>
      </c>
      <c r="D5481" s="76" t="s">
        <v>31</v>
      </c>
      <c r="E5481" s="76" t="s">
        <v>32</v>
      </c>
      <c r="F5481" s="76">
        <v>0.8</v>
      </c>
    </row>
    <row r="5482" s="76" customFormat="1" spans="1:6">
      <c r="A5482">
        <v>5634</v>
      </c>
      <c r="B5482">
        <v>342018270</v>
      </c>
      <c r="C5482" s="76">
        <v>2018</v>
      </c>
      <c r="D5482" s="76" t="s">
        <v>31</v>
      </c>
      <c r="E5482" s="76" t="s">
        <v>32</v>
      </c>
      <c r="F5482" s="76">
        <v>0.27</v>
      </c>
    </row>
    <row r="5483" s="76" customFormat="1" spans="1:6">
      <c r="A5483">
        <v>5667</v>
      </c>
      <c r="B5483">
        <v>342018270</v>
      </c>
      <c r="C5483" s="76">
        <v>2018</v>
      </c>
      <c r="D5483" s="76" t="s">
        <v>31</v>
      </c>
      <c r="E5483" s="76" t="s">
        <v>32</v>
      </c>
      <c r="F5483" s="76">
        <v>7</v>
      </c>
    </row>
    <row r="5484" s="76" customFormat="1" spans="1:6">
      <c r="A5484">
        <v>5660</v>
      </c>
      <c r="B5484">
        <v>342018270</v>
      </c>
      <c r="C5484" s="76">
        <v>2018</v>
      </c>
      <c r="D5484" s="76" t="s">
        <v>31</v>
      </c>
      <c r="E5484" s="76" t="s">
        <v>32</v>
      </c>
      <c r="F5484" s="76">
        <v>3.8</v>
      </c>
    </row>
    <row r="5485" s="76" customFormat="1" spans="1:6">
      <c r="A5485">
        <v>5674</v>
      </c>
      <c r="B5485">
        <v>342018270</v>
      </c>
      <c r="C5485" s="76">
        <v>2018</v>
      </c>
      <c r="D5485" s="76" t="s">
        <v>31</v>
      </c>
      <c r="E5485" s="76" t="s">
        <v>32</v>
      </c>
      <c r="F5485" s="76">
        <v>2.26</v>
      </c>
    </row>
    <row r="5486" s="76" customFormat="1" spans="1:6">
      <c r="A5486">
        <v>5635</v>
      </c>
      <c r="B5486">
        <v>342018270</v>
      </c>
      <c r="C5486" s="76">
        <v>2018</v>
      </c>
      <c r="D5486" s="76" t="s">
        <v>31</v>
      </c>
      <c r="E5486" s="76" t="s">
        <v>32</v>
      </c>
      <c r="F5486" s="76">
        <v>11.79</v>
      </c>
    </row>
    <row r="5487" s="76" customFormat="1" spans="1:6">
      <c r="A5487">
        <v>5636</v>
      </c>
      <c r="B5487">
        <v>342018270</v>
      </c>
      <c r="C5487" s="76">
        <v>2018</v>
      </c>
      <c r="D5487" s="76" t="s">
        <v>31</v>
      </c>
      <c r="E5487" s="76" t="s">
        <v>32</v>
      </c>
      <c r="F5487" s="76">
        <v>0.48</v>
      </c>
    </row>
    <row r="5488" s="76" customFormat="1" spans="1:6">
      <c r="A5488">
        <v>5655</v>
      </c>
      <c r="B5488">
        <v>342018270</v>
      </c>
      <c r="C5488" s="76">
        <v>2018</v>
      </c>
      <c r="D5488" s="76" t="s">
        <v>31</v>
      </c>
      <c r="E5488" s="76" t="s">
        <v>32</v>
      </c>
      <c r="F5488" s="76">
        <v>2.8</v>
      </c>
    </row>
    <row r="5489" s="76" customFormat="1" spans="1:6">
      <c r="A5489">
        <v>5677</v>
      </c>
      <c r="B5489">
        <v>342018270</v>
      </c>
      <c r="C5489" s="76">
        <v>2018</v>
      </c>
      <c r="D5489" s="76" t="s">
        <v>31</v>
      </c>
      <c r="E5489" s="76" t="s">
        <v>32</v>
      </c>
      <c r="F5489" s="76">
        <v>2.38</v>
      </c>
    </row>
    <row r="5490" s="76" customFormat="1" spans="1:6">
      <c r="A5490">
        <v>5645</v>
      </c>
      <c r="B5490">
        <v>342018270</v>
      </c>
      <c r="C5490" s="76">
        <v>2018</v>
      </c>
      <c r="D5490" s="76" t="s">
        <v>31</v>
      </c>
      <c r="E5490" s="76" t="s">
        <v>32</v>
      </c>
      <c r="F5490" s="76">
        <v>11.48</v>
      </c>
    </row>
    <row r="5491" s="76" customFormat="1" spans="1:6">
      <c r="A5491">
        <v>5629</v>
      </c>
      <c r="B5491">
        <v>342018270</v>
      </c>
      <c r="C5491" s="76">
        <v>2018</v>
      </c>
      <c r="D5491" s="76" t="s">
        <v>31</v>
      </c>
      <c r="E5491" s="76" t="s">
        <v>32</v>
      </c>
      <c r="F5491" s="76">
        <v>0.06</v>
      </c>
    </row>
    <row r="5492" s="76" customFormat="1" spans="1:6">
      <c r="A5492">
        <v>5628</v>
      </c>
      <c r="B5492">
        <v>342018270</v>
      </c>
      <c r="C5492" s="76">
        <v>2018</v>
      </c>
      <c r="D5492" s="76" t="s">
        <v>31</v>
      </c>
      <c r="E5492" s="76" t="s">
        <v>32</v>
      </c>
      <c r="F5492" s="76">
        <v>4</v>
      </c>
    </row>
    <row r="5493" s="76" customFormat="1" spans="1:6">
      <c r="A5493">
        <v>5630</v>
      </c>
      <c r="B5493">
        <v>342018270</v>
      </c>
      <c r="C5493" s="76">
        <v>2018</v>
      </c>
      <c r="D5493" s="76" t="s">
        <v>31</v>
      </c>
      <c r="E5493" s="76" t="s">
        <v>32</v>
      </c>
      <c r="F5493" s="76">
        <v>0.04</v>
      </c>
    </row>
    <row r="5494" s="76" customFormat="1" spans="1:6">
      <c r="A5494">
        <v>5671</v>
      </c>
      <c r="B5494">
        <v>342018270</v>
      </c>
      <c r="C5494" s="76">
        <v>2018</v>
      </c>
      <c r="D5494" s="76" t="s">
        <v>31</v>
      </c>
      <c r="E5494" s="76" t="s">
        <v>32</v>
      </c>
      <c r="F5494" s="76">
        <v>1</v>
      </c>
    </row>
    <row r="5495" s="76" customFormat="1" spans="1:6">
      <c r="A5495">
        <v>5656</v>
      </c>
      <c r="B5495">
        <v>342018270</v>
      </c>
      <c r="C5495" s="76">
        <v>2018</v>
      </c>
      <c r="D5495" s="76" t="s">
        <v>31</v>
      </c>
      <c r="E5495" s="76" t="s">
        <v>32</v>
      </c>
      <c r="F5495" s="76">
        <v>2</v>
      </c>
    </row>
    <row r="5496" s="76" customFormat="1" spans="1:6">
      <c r="A5496">
        <v>5648</v>
      </c>
      <c r="B5496">
        <v>342018270</v>
      </c>
      <c r="C5496" s="76">
        <v>2018</v>
      </c>
      <c r="D5496" s="76" t="s">
        <v>31</v>
      </c>
      <c r="E5496" s="76" t="s">
        <v>32</v>
      </c>
      <c r="F5496" s="76">
        <v>1.5</v>
      </c>
    </row>
    <row r="5497" s="76" customFormat="1" spans="1:6">
      <c r="A5497">
        <v>5633</v>
      </c>
      <c r="B5497">
        <v>342018270</v>
      </c>
      <c r="C5497" s="76">
        <v>2018</v>
      </c>
      <c r="D5497" s="76" t="s">
        <v>31</v>
      </c>
      <c r="E5497" s="76" t="s">
        <v>32</v>
      </c>
      <c r="F5497" s="76">
        <v>10</v>
      </c>
    </row>
    <row r="5498" s="76" customFormat="1" spans="1:6">
      <c r="A5498">
        <v>5670</v>
      </c>
      <c r="B5498">
        <v>342018270</v>
      </c>
      <c r="C5498" s="76">
        <v>2018</v>
      </c>
      <c r="D5498" s="76" t="s">
        <v>31</v>
      </c>
      <c r="E5498" s="76" t="s">
        <v>32</v>
      </c>
      <c r="F5498" s="76">
        <v>2</v>
      </c>
    </row>
    <row r="5499" s="76" customFormat="1" spans="1:6">
      <c r="A5499">
        <v>5676</v>
      </c>
      <c r="B5499">
        <v>342018270</v>
      </c>
      <c r="C5499" s="76">
        <v>2018</v>
      </c>
      <c r="D5499" s="76" t="s">
        <v>31</v>
      </c>
      <c r="E5499" s="76" t="s">
        <v>32</v>
      </c>
      <c r="F5499" s="76">
        <v>2.24</v>
      </c>
    </row>
    <row r="5500" s="76" customFormat="1" spans="1:6">
      <c r="A5500">
        <v>5669</v>
      </c>
      <c r="B5500">
        <v>342018270</v>
      </c>
      <c r="C5500" s="76">
        <v>2018</v>
      </c>
      <c r="D5500" s="76" t="s">
        <v>31</v>
      </c>
      <c r="E5500" s="76" t="s">
        <v>32</v>
      </c>
      <c r="F5500" s="76">
        <v>1.94</v>
      </c>
    </row>
    <row r="5501" s="76" customFormat="1" spans="1:6">
      <c r="A5501">
        <v>5661</v>
      </c>
      <c r="B5501">
        <v>342018270</v>
      </c>
      <c r="C5501" s="76">
        <v>2018</v>
      </c>
      <c r="D5501" s="76" t="s">
        <v>31</v>
      </c>
      <c r="E5501" s="76" t="s">
        <v>32</v>
      </c>
      <c r="F5501" s="76">
        <v>2</v>
      </c>
    </row>
    <row r="5502" s="76" customFormat="1" spans="1:6">
      <c r="A5502">
        <v>5653</v>
      </c>
      <c r="B5502">
        <v>342018270</v>
      </c>
      <c r="C5502" s="76">
        <v>2018</v>
      </c>
      <c r="D5502" s="76" t="s">
        <v>31</v>
      </c>
      <c r="E5502" s="76" t="s">
        <v>32</v>
      </c>
      <c r="F5502" s="76">
        <v>0.91</v>
      </c>
    </row>
    <row r="5503" s="76" customFormat="1" spans="1:6">
      <c r="A5503">
        <v>5643</v>
      </c>
      <c r="B5503">
        <v>342018270</v>
      </c>
      <c r="C5503" s="76">
        <v>2018</v>
      </c>
      <c r="D5503" s="76" t="s">
        <v>31</v>
      </c>
      <c r="E5503" s="76" t="s">
        <v>32</v>
      </c>
      <c r="F5503" s="76">
        <v>4.72</v>
      </c>
    </row>
    <row r="5504" s="76" customFormat="1" spans="1:6">
      <c r="A5504">
        <v>5679</v>
      </c>
      <c r="B5504">
        <v>342018270</v>
      </c>
      <c r="C5504" s="76">
        <v>2018</v>
      </c>
      <c r="D5504" s="76" t="s">
        <v>31</v>
      </c>
      <c r="E5504" s="76" t="s">
        <v>32</v>
      </c>
      <c r="F5504" s="76">
        <v>1.7</v>
      </c>
    </row>
    <row r="5505" s="76" customFormat="1" spans="1:6">
      <c r="A5505">
        <v>5647</v>
      </c>
      <c r="B5505">
        <v>342018270</v>
      </c>
      <c r="C5505" s="76">
        <v>2018</v>
      </c>
      <c r="D5505" s="76" t="s">
        <v>31</v>
      </c>
      <c r="E5505" s="76" t="s">
        <v>32</v>
      </c>
      <c r="F5505" s="76">
        <v>11.67</v>
      </c>
    </row>
    <row r="5506" s="76" customFormat="1" spans="1:6">
      <c r="A5506">
        <v>5662</v>
      </c>
      <c r="B5506">
        <v>342018270</v>
      </c>
      <c r="C5506" s="76">
        <v>2018</v>
      </c>
      <c r="D5506" s="76" t="s">
        <v>31</v>
      </c>
      <c r="E5506" s="76" t="s">
        <v>32</v>
      </c>
      <c r="F5506" s="76">
        <v>7.57</v>
      </c>
    </row>
    <row r="5507" s="76" customFormat="1" spans="1:6">
      <c r="A5507">
        <v>5663</v>
      </c>
      <c r="B5507">
        <v>342018270</v>
      </c>
      <c r="C5507" s="76">
        <v>2018</v>
      </c>
      <c r="D5507" s="76" t="s">
        <v>31</v>
      </c>
      <c r="E5507" s="76" t="s">
        <v>32</v>
      </c>
      <c r="F5507" s="76">
        <v>1.96</v>
      </c>
    </row>
    <row r="5508" s="76" customFormat="1" spans="1:6">
      <c r="A5508">
        <v>5654</v>
      </c>
      <c r="B5508">
        <v>342018270</v>
      </c>
      <c r="C5508" s="76">
        <v>2018</v>
      </c>
      <c r="D5508" s="76" t="s">
        <v>31</v>
      </c>
      <c r="E5508" s="76" t="s">
        <v>32</v>
      </c>
      <c r="F5508" s="76">
        <v>5</v>
      </c>
    </row>
    <row r="5509" s="76" customFormat="1" spans="1:6">
      <c r="A5509">
        <v>5665</v>
      </c>
      <c r="B5509">
        <v>342018270</v>
      </c>
      <c r="C5509" s="76">
        <v>2018</v>
      </c>
      <c r="D5509" s="76" t="s">
        <v>31</v>
      </c>
      <c r="E5509" s="76" t="s">
        <v>32</v>
      </c>
      <c r="F5509" s="76">
        <v>1</v>
      </c>
    </row>
    <row r="5510" s="76" customFormat="1" spans="1:6">
      <c r="A5510">
        <v>5642</v>
      </c>
      <c r="B5510">
        <v>342018270</v>
      </c>
      <c r="C5510" s="76">
        <v>2018</v>
      </c>
      <c r="D5510" s="76" t="s">
        <v>31</v>
      </c>
      <c r="E5510" s="76" t="s">
        <v>32</v>
      </c>
      <c r="F5510" s="76">
        <v>2.66</v>
      </c>
    </row>
    <row r="5511" s="76" customFormat="1" spans="1:6">
      <c r="A5511">
        <v>5632</v>
      </c>
      <c r="B5511">
        <v>342018270</v>
      </c>
      <c r="C5511" s="76">
        <v>2018</v>
      </c>
      <c r="D5511" s="76" t="s">
        <v>31</v>
      </c>
      <c r="E5511" s="76" t="s">
        <v>32</v>
      </c>
      <c r="F5511" s="76">
        <v>6.87</v>
      </c>
    </row>
    <row r="5512" s="76" customFormat="1" spans="1:6">
      <c r="A5512">
        <v>5673</v>
      </c>
      <c r="B5512">
        <v>342018270</v>
      </c>
      <c r="C5512" s="76">
        <v>2018</v>
      </c>
      <c r="D5512" s="76" t="s">
        <v>31</v>
      </c>
      <c r="E5512" s="76" t="s">
        <v>32</v>
      </c>
      <c r="F5512" s="76">
        <v>0.8</v>
      </c>
    </row>
    <row r="5513" s="76" customFormat="1" spans="1:6">
      <c r="A5513">
        <v>5651</v>
      </c>
      <c r="B5513">
        <v>342018270</v>
      </c>
      <c r="C5513" s="76">
        <v>2018</v>
      </c>
      <c r="D5513" s="76" t="s">
        <v>31</v>
      </c>
      <c r="E5513" s="76" t="s">
        <v>32</v>
      </c>
      <c r="F5513" s="76">
        <v>2.4</v>
      </c>
    </row>
    <row r="5514" s="76" customFormat="1" spans="1:6">
      <c r="A5514">
        <v>5672</v>
      </c>
      <c r="B5514">
        <v>342018270</v>
      </c>
      <c r="C5514" s="76">
        <v>2018</v>
      </c>
      <c r="D5514" s="76" t="s">
        <v>31</v>
      </c>
      <c r="E5514" s="76" t="s">
        <v>32</v>
      </c>
      <c r="F5514" s="76">
        <v>0.8</v>
      </c>
    </row>
    <row r="5515" s="76" customFormat="1" spans="1:6">
      <c r="A5515">
        <v>5649</v>
      </c>
      <c r="B5515">
        <v>342018270</v>
      </c>
      <c r="C5515" s="76">
        <v>2018</v>
      </c>
      <c r="D5515" s="76" t="s">
        <v>31</v>
      </c>
      <c r="E5515" s="76" t="s">
        <v>32</v>
      </c>
      <c r="F5515" s="76">
        <v>1.4</v>
      </c>
    </row>
    <row r="5516" s="76" customFormat="1" spans="1:6">
      <c r="A5516">
        <v>5680</v>
      </c>
      <c r="B5516">
        <v>342019110</v>
      </c>
      <c r="C5516" s="76">
        <v>2019</v>
      </c>
      <c r="D5516" s="76" t="s">
        <v>40</v>
      </c>
      <c r="E5516" s="76" t="s">
        <v>32</v>
      </c>
      <c r="F5516" s="76">
        <v>1.5</v>
      </c>
    </row>
    <row r="5517" s="76" customFormat="1" spans="1:6">
      <c r="A5517">
        <v>5682</v>
      </c>
      <c r="B5517">
        <v>342019120</v>
      </c>
      <c r="C5517" s="76">
        <v>2019</v>
      </c>
      <c r="D5517" s="76" t="s">
        <v>42</v>
      </c>
      <c r="E5517" s="76">
        <v>1</v>
      </c>
      <c r="F5517" s="76">
        <v>30</v>
      </c>
    </row>
    <row r="5518" s="76" customFormat="1" spans="1:6">
      <c r="A5518">
        <v>5683</v>
      </c>
      <c r="B5518">
        <v>342019211</v>
      </c>
      <c r="C5518" s="76">
        <v>2019</v>
      </c>
      <c r="D5518" s="76" t="s">
        <v>37</v>
      </c>
      <c r="E5518" s="76">
        <v>1</v>
      </c>
      <c r="F5518" s="76">
        <v>100</v>
      </c>
    </row>
    <row r="5519" s="76" customFormat="1" spans="1:6">
      <c r="A5519">
        <v>5685</v>
      </c>
      <c r="B5519">
        <v>342019241</v>
      </c>
      <c r="C5519" s="76">
        <v>2019</v>
      </c>
      <c r="D5519" s="76" t="s">
        <v>33</v>
      </c>
      <c r="E5519" s="76" t="s">
        <v>32</v>
      </c>
      <c r="F5519" s="76">
        <v>8</v>
      </c>
    </row>
    <row r="5520" s="76" customFormat="1" spans="1:6">
      <c r="A5520">
        <v>5684</v>
      </c>
      <c r="B5520">
        <v>342019241</v>
      </c>
      <c r="C5520" s="76">
        <v>2019</v>
      </c>
      <c r="D5520" s="76" t="s">
        <v>33</v>
      </c>
      <c r="E5520" s="76" t="s">
        <v>32</v>
      </c>
      <c r="F5520" s="76">
        <v>4.6</v>
      </c>
    </row>
    <row r="5521" s="76" customFormat="1" spans="1:6">
      <c r="A5521">
        <v>5693</v>
      </c>
      <c r="B5521">
        <v>342019242</v>
      </c>
      <c r="C5521" s="76">
        <v>2019</v>
      </c>
      <c r="D5521" s="76" t="s">
        <v>35</v>
      </c>
      <c r="E5521" s="76" t="s">
        <v>32</v>
      </c>
      <c r="F5521" s="76">
        <v>1.2</v>
      </c>
    </row>
    <row r="5522" s="76" customFormat="1" spans="1:6">
      <c r="A5522">
        <v>5689</v>
      </c>
      <c r="B5522">
        <v>342019242</v>
      </c>
      <c r="C5522" s="76">
        <v>2019</v>
      </c>
      <c r="D5522" s="76" t="s">
        <v>35</v>
      </c>
      <c r="E5522" s="76" t="s">
        <v>32</v>
      </c>
      <c r="F5522" s="76">
        <v>0.75</v>
      </c>
    </row>
    <row r="5523" s="76" customFormat="1" spans="1:6">
      <c r="A5523">
        <v>5687</v>
      </c>
      <c r="B5523">
        <v>342019242</v>
      </c>
      <c r="C5523" s="76">
        <v>2019</v>
      </c>
      <c r="D5523" s="76" t="s">
        <v>35</v>
      </c>
      <c r="E5523" s="76" t="s">
        <v>32</v>
      </c>
      <c r="F5523" s="76">
        <v>1.2</v>
      </c>
    </row>
    <row r="5524" s="76" customFormat="1" spans="1:6">
      <c r="A5524">
        <v>5690</v>
      </c>
      <c r="B5524">
        <v>342019242</v>
      </c>
      <c r="C5524" s="76">
        <v>2019</v>
      </c>
      <c r="D5524" s="76" t="s">
        <v>35</v>
      </c>
      <c r="E5524" s="76" t="s">
        <v>32</v>
      </c>
      <c r="F5524" s="76">
        <v>0.9</v>
      </c>
    </row>
    <row r="5525" s="76" customFormat="1" spans="1:6">
      <c r="A5525">
        <v>5688</v>
      </c>
      <c r="B5525">
        <v>342019242</v>
      </c>
      <c r="C5525" s="76">
        <v>2019</v>
      </c>
      <c r="D5525" s="76" t="s">
        <v>35</v>
      </c>
      <c r="E5525" s="76" t="s">
        <v>32</v>
      </c>
      <c r="F5525" s="76">
        <v>1.5</v>
      </c>
    </row>
    <row r="5526" s="76" customFormat="1" spans="1:6">
      <c r="A5526">
        <v>5692</v>
      </c>
      <c r="B5526">
        <v>342019242</v>
      </c>
      <c r="C5526" s="76">
        <v>2019</v>
      </c>
      <c r="D5526" s="76" t="s">
        <v>35</v>
      </c>
      <c r="E5526" s="76" t="s">
        <v>32</v>
      </c>
      <c r="F5526" s="76">
        <v>1.2</v>
      </c>
    </row>
    <row r="5527" s="76" customFormat="1" spans="1:6">
      <c r="A5527">
        <v>5691</v>
      </c>
      <c r="B5527">
        <v>342019242</v>
      </c>
      <c r="C5527" s="76">
        <v>2019</v>
      </c>
      <c r="D5527" s="76" t="s">
        <v>35</v>
      </c>
      <c r="E5527" s="76" t="s">
        <v>32</v>
      </c>
      <c r="F5527" s="76">
        <v>3</v>
      </c>
    </row>
    <row r="5528" s="76" customFormat="1" spans="1:6">
      <c r="A5528">
        <v>5695</v>
      </c>
      <c r="B5528">
        <v>342019243</v>
      </c>
      <c r="C5528" s="76">
        <v>2019</v>
      </c>
      <c r="D5528" s="76" t="s">
        <v>38</v>
      </c>
      <c r="E5528" s="76" t="s">
        <v>32</v>
      </c>
      <c r="F5528" s="76">
        <v>3</v>
      </c>
    </row>
    <row r="5529" s="76" customFormat="1" spans="1:6">
      <c r="A5529">
        <v>5694</v>
      </c>
      <c r="B5529">
        <v>342019243</v>
      </c>
      <c r="C5529" s="76">
        <v>2019</v>
      </c>
      <c r="D5529" s="76" t="s">
        <v>38</v>
      </c>
      <c r="E5529" s="76" t="s">
        <v>32</v>
      </c>
      <c r="F5529" s="76">
        <v>1.1</v>
      </c>
    </row>
    <row r="5530" s="76" customFormat="1" spans="1:6">
      <c r="A5530">
        <v>5696</v>
      </c>
      <c r="B5530">
        <v>342019243</v>
      </c>
      <c r="C5530" s="76">
        <v>2019</v>
      </c>
      <c r="D5530" s="76" t="s">
        <v>38</v>
      </c>
      <c r="E5530" s="76" t="s">
        <v>32</v>
      </c>
      <c r="F5530" s="76">
        <v>3.75</v>
      </c>
    </row>
    <row r="5531" s="76" customFormat="1" spans="1:6">
      <c r="A5531">
        <v>5697</v>
      </c>
      <c r="B5531">
        <v>342019243</v>
      </c>
      <c r="C5531" s="76">
        <v>2019</v>
      </c>
      <c r="D5531" s="76" t="s">
        <v>38</v>
      </c>
      <c r="E5531" s="76" t="s">
        <v>32</v>
      </c>
      <c r="F5531" s="76">
        <v>3</v>
      </c>
    </row>
    <row r="5532" s="76" customFormat="1" spans="1:6">
      <c r="A5532">
        <v>5700</v>
      </c>
      <c r="B5532">
        <v>342019260</v>
      </c>
      <c r="C5532" s="76">
        <v>2019</v>
      </c>
      <c r="D5532" s="76" t="s">
        <v>34</v>
      </c>
      <c r="E5532" s="76" t="s">
        <v>32</v>
      </c>
      <c r="F5532" s="76">
        <v>2.58</v>
      </c>
    </row>
    <row r="5533" s="76" customFormat="1" spans="1:6">
      <c r="A5533">
        <v>5702</v>
      </c>
      <c r="B5533">
        <v>342019260</v>
      </c>
      <c r="C5533" s="76">
        <v>2019</v>
      </c>
      <c r="D5533" s="76" t="s">
        <v>34</v>
      </c>
      <c r="E5533" s="76">
        <v>14</v>
      </c>
      <c r="F5533" s="76">
        <v>2.8</v>
      </c>
    </row>
    <row r="5534" s="76" customFormat="1" spans="1:6">
      <c r="A5534">
        <v>5704</v>
      </c>
      <c r="B5534">
        <v>342019260</v>
      </c>
      <c r="C5534" s="76">
        <v>2019</v>
      </c>
      <c r="D5534" s="76" t="s">
        <v>34</v>
      </c>
      <c r="E5534" s="76" t="s">
        <v>32</v>
      </c>
      <c r="F5534" s="76">
        <v>0.5</v>
      </c>
    </row>
    <row r="5535" s="76" customFormat="1" spans="1:6">
      <c r="A5535">
        <v>5699</v>
      </c>
      <c r="B5535">
        <v>342019260</v>
      </c>
      <c r="C5535" s="76">
        <v>2019</v>
      </c>
      <c r="D5535" s="76" t="s">
        <v>34</v>
      </c>
      <c r="E5535" s="76" t="s">
        <v>32</v>
      </c>
      <c r="F5535" s="76">
        <v>10</v>
      </c>
    </row>
    <row r="5536" s="76" customFormat="1" spans="1:6">
      <c r="A5536">
        <v>5703</v>
      </c>
      <c r="B5536">
        <v>342019260</v>
      </c>
      <c r="C5536" s="76">
        <v>2019</v>
      </c>
      <c r="D5536" s="76" t="s">
        <v>34</v>
      </c>
      <c r="E5536" s="76" t="s">
        <v>32</v>
      </c>
      <c r="F5536" s="76">
        <v>4.83</v>
      </c>
    </row>
    <row r="5537" s="76" customFormat="1" spans="1:6">
      <c r="A5537">
        <v>5701</v>
      </c>
      <c r="B5537">
        <v>342019260</v>
      </c>
      <c r="C5537" s="76">
        <v>2019</v>
      </c>
      <c r="D5537" s="76" t="s">
        <v>34</v>
      </c>
      <c r="E5537" s="76">
        <v>23</v>
      </c>
      <c r="F5537" s="76">
        <v>4.6</v>
      </c>
    </row>
    <row r="5538" s="76" customFormat="1" spans="1:6">
      <c r="A5538">
        <v>5698</v>
      </c>
      <c r="B5538">
        <v>342019260</v>
      </c>
      <c r="C5538" s="76">
        <v>2019</v>
      </c>
      <c r="D5538" s="76" t="s">
        <v>34</v>
      </c>
      <c r="E5538" s="76" t="s">
        <v>32</v>
      </c>
      <c r="F5538" s="76">
        <v>4.84</v>
      </c>
    </row>
    <row r="5539" s="76" customFormat="1" spans="1:6">
      <c r="A5539">
        <v>5737</v>
      </c>
      <c r="B5539">
        <v>342019270</v>
      </c>
      <c r="C5539" s="76">
        <v>2019</v>
      </c>
      <c r="D5539" s="76" t="s">
        <v>31</v>
      </c>
      <c r="E5539" s="76" t="s">
        <v>32</v>
      </c>
      <c r="F5539" s="76">
        <v>0.6</v>
      </c>
    </row>
    <row r="5540" s="76" customFormat="1" spans="1:6">
      <c r="A5540">
        <v>5713</v>
      </c>
      <c r="B5540">
        <v>342019270</v>
      </c>
      <c r="C5540" s="76">
        <v>2019</v>
      </c>
      <c r="D5540" s="76" t="s">
        <v>31</v>
      </c>
      <c r="E5540" s="76" t="s">
        <v>32</v>
      </c>
      <c r="F5540" s="76">
        <v>9.06</v>
      </c>
    </row>
    <row r="5541" s="76" customFormat="1" spans="1:6">
      <c r="A5541">
        <v>5712</v>
      </c>
      <c r="B5541">
        <v>342019270</v>
      </c>
      <c r="C5541" s="76">
        <v>2019</v>
      </c>
      <c r="D5541" s="76" t="s">
        <v>31</v>
      </c>
      <c r="E5541" s="76" t="s">
        <v>32</v>
      </c>
      <c r="F5541" s="76">
        <v>4.58</v>
      </c>
    </row>
    <row r="5542" s="76" customFormat="1" spans="1:6">
      <c r="A5542">
        <v>5711</v>
      </c>
      <c r="B5542">
        <v>342019270</v>
      </c>
      <c r="C5542" s="76">
        <v>2019</v>
      </c>
      <c r="D5542" s="76" t="s">
        <v>31</v>
      </c>
      <c r="E5542" s="76" t="s">
        <v>32</v>
      </c>
      <c r="F5542" s="76">
        <v>4.5</v>
      </c>
    </row>
    <row r="5543" s="76" customFormat="1" spans="1:6">
      <c r="A5543">
        <v>5710</v>
      </c>
      <c r="B5543">
        <v>342019270</v>
      </c>
      <c r="C5543" s="76">
        <v>2019</v>
      </c>
      <c r="D5543" s="76" t="s">
        <v>31</v>
      </c>
      <c r="E5543" s="76" t="s">
        <v>32</v>
      </c>
      <c r="F5543" s="76">
        <v>4.28</v>
      </c>
    </row>
    <row r="5544" s="76" customFormat="1" spans="1:6">
      <c r="A5544">
        <v>5716</v>
      </c>
      <c r="B5544">
        <v>342019270</v>
      </c>
      <c r="C5544" s="76">
        <v>2019</v>
      </c>
      <c r="D5544" s="76" t="s">
        <v>31</v>
      </c>
      <c r="E5544" s="76" t="s">
        <v>32</v>
      </c>
      <c r="F5544" s="76">
        <v>1</v>
      </c>
    </row>
    <row r="5545" s="76" customFormat="1" spans="1:6">
      <c r="A5545">
        <v>5732</v>
      </c>
      <c r="B5545">
        <v>342019270</v>
      </c>
      <c r="C5545" s="76">
        <v>2019</v>
      </c>
      <c r="D5545" s="76" t="s">
        <v>31</v>
      </c>
      <c r="E5545" s="76" t="s">
        <v>32</v>
      </c>
      <c r="F5545" s="76">
        <v>0.13</v>
      </c>
    </row>
    <row r="5546" s="76" customFormat="1" spans="1:6">
      <c r="A5546">
        <v>5731</v>
      </c>
      <c r="B5546">
        <v>342019270</v>
      </c>
      <c r="C5546" s="76">
        <v>2019</v>
      </c>
      <c r="D5546" s="76" t="s">
        <v>31</v>
      </c>
      <c r="E5546" s="76" t="s">
        <v>32</v>
      </c>
      <c r="F5546" s="76">
        <v>2.72</v>
      </c>
    </row>
    <row r="5547" s="76" customFormat="1" spans="1:6">
      <c r="A5547">
        <v>5730</v>
      </c>
      <c r="B5547">
        <v>342019270</v>
      </c>
      <c r="C5547" s="76">
        <v>2019</v>
      </c>
      <c r="D5547" s="76" t="s">
        <v>31</v>
      </c>
      <c r="E5547" s="76" t="s">
        <v>32</v>
      </c>
      <c r="F5547" s="76">
        <v>1.13</v>
      </c>
    </row>
    <row r="5548" s="76" customFormat="1" spans="1:6">
      <c r="A5548">
        <v>5715</v>
      </c>
      <c r="B5548">
        <v>342019270</v>
      </c>
      <c r="C5548" s="76">
        <v>2019</v>
      </c>
      <c r="D5548" s="76" t="s">
        <v>31</v>
      </c>
      <c r="E5548" s="76" t="s">
        <v>32</v>
      </c>
      <c r="F5548" s="76">
        <v>8.5</v>
      </c>
    </row>
    <row r="5549" s="76" customFormat="1" spans="1:6">
      <c r="A5549">
        <v>5721</v>
      </c>
      <c r="B5549">
        <v>342019270</v>
      </c>
      <c r="C5549" s="76">
        <v>2019</v>
      </c>
      <c r="D5549" s="76" t="s">
        <v>31</v>
      </c>
      <c r="E5549" s="76" t="s">
        <v>32</v>
      </c>
      <c r="F5549" s="76">
        <v>2.8</v>
      </c>
    </row>
    <row r="5550" s="76" customFormat="1" spans="1:6">
      <c r="A5550">
        <v>5709</v>
      </c>
      <c r="B5550">
        <v>342019270</v>
      </c>
      <c r="C5550" s="76">
        <v>2019</v>
      </c>
      <c r="D5550" s="76" t="s">
        <v>31</v>
      </c>
      <c r="E5550" s="76" t="s">
        <v>32</v>
      </c>
      <c r="F5550" s="76">
        <v>0.4</v>
      </c>
    </row>
    <row r="5551" s="76" customFormat="1" spans="1:6">
      <c r="A5551">
        <v>5728</v>
      </c>
      <c r="B5551">
        <v>342019270</v>
      </c>
      <c r="C5551" s="76">
        <v>2019</v>
      </c>
      <c r="D5551" s="76" t="s">
        <v>31</v>
      </c>
      <c r="E5551" s="76" t="s">
        <v>32</v>
      </c>
      <c r="F5551" s="76">
        <v>7.63</v>
      </c>
    </row>
    <row r="5552" s="76" customFormat="1" spans="1:6">
      <c r="A5552">
        <v>5706</v>
      </c>
      <c r="B5552">
        <v>342019270</v>
      </c>
      <c r="C5552" s="76">
        <v>2019</v>
      </c>
      <c r="D5552" s="76" t="s">
        <v>31</v>
      </c>
      <c r="E5552" s="76" t="s">
        <v>32</v>
      </c>
      <c r="F5552" s="76">
        <v>26</v>
      </c>
    </row>
    <row r="5553" s="76" customFormat="1" spans="1:6">
      <c r="A5553">
        <v>5708</v>
      </c>
      <c r="B5553">
        <v>342019270</v>
      </c>
      <c r="C5553" s="76">
        <v>2019</v>
      </c>
      <c r="D5553" s="76" t="s">
        <v>31</v>
      </c>
      <c r="E5553" s="76" t="s">
        <v>32</v>
      </c>
      <c r="F5553" s="76">
        <v>3</v>
      </c>
    </row>
    <row r="5554" s="76" customFormat="1" spans="1:6">
      <c r="A5554">
        <v>5738</v>
      </c>
      <c r="B5554">
        <v>342019270</v>
      </c>
      <c r="C5554" s="76">
        <v>2019</v>
      </c>
      <c r="D5554" s="76" t="s">
        <v>31</v>
      </c>
      <c r="E5554" s="76" t="s">
        <v>32</v>
      </c>
      <c r="F5554" s="76">
        <v>2</v>
      </c>
    </row>
    <row r="5555" s="76" customFormat="1" spans="1:6">
      <c r="A5555">
        <v>5734</v>
      </c>
      <c r="B5555">
        <v>342019270</v>
      </c>
      <c r="C5555" s="76">
        <v>2019</v>
      </c>
      <c r="D5555" s="76" t="s">
        <v>31</v>
      </c>
      <c r="E5555" s="76" t="s">
        <v>32</v>
      </c>
      <c r="F5555" s="76">
        <v>4</v>
      </c>
    </row>
    <row r="5556" s="76" customFormat="1" spans="1:6">
      <c r="A5556">
        <v>5736</v>
      </c>
      <c r="B5556">
        <v>342019270</v>
      </c>
      <c r="C5556" s="76">
        <v>2019</v>
      </c>
      <c r="D5556" s="76" t="s">
        <v>31</v>
      </c>
      <c r="E5556" s="76" t="s">
        <v>32</v>
      </c>
      <c r="F5556" s="76">
        <v>3</v>
      </c>
    </row>
    <row r="5557" s="76" customFormat="1" spans="1:6">
      <c r="A5557">
        <v>5733</v>
      </c>
      <c r="B5557">
        <v>342019270</v>
      </c>
      <c r="C5557" s="76">
        <v>2019</v>
      </c>
      <c r="D5557" s="76" t="s">
        <v>31</v>
      </c>
      <c r="E5557" s="76" t="s">
        <v>32</v>
      </c>
      <c r="F5557" s="76">
        <v>4</v>
      </c>
    </row>
    <row r="5558" s="76" customFormat="1" spans="1:6">
      <c r="A5558">
        <v>5735</v>
      </c>
      <c r="B5558">
        <v>342019270</v>
      </c>
      <c r="C5558" s="76">
        <v>2019</v>
      </c>
      <c r="D5558" s="76" t="s">
        <v>31</v>
      </c>
      <c r="E5558" s="76" t="s">
        <v>32</v>
      </c>
      <c r="F5558" s="76">
        <v>3</v>
      </c>
    </row>
    <row r="5559" s="76" customFormat="1" spans="1:6">
      <c r="A5559">
        <v>5724</v>
      </c>
      <c r="B5559">
        <v>342019270</v>
      </c>
      <c r="C5559" s="76">
        <v>2019</v>
      </c>
      <c r="D5559" s="76" t="s">
        <v>31</v>
      </c>
      <c r="E5559" s="76" t="s">
        <v>32</v>
      </c>
      <c r="F5559" s="76">
        <v>0.35</v>
      </c>
    </row>
    <row r="5560" s="76" customFormat="1" spans="1:6">
      <c r="A5560">
        <v>5725</v>
      </c>
      <c r="B5560">
        <v>342019270</v>
      </c>
      <c r="C5560" s="76">
        <v>2019</v>
      </c>
      <c r="D5560" s="76" t="s">
        <v>31</v>
      </c>
      <c r="E5560" s="76" t="s">
        <v>32</v>
      </c>
      <c r="F5560" s="76">
        <v>4</v>
      </c>
    </row>
    <row r="5561" s="76" customFormat="1" spans="1:6">
      <c r="A5561">
        <v>5718</v>
      </c>
      <c r="B5561">
        <v>342019270</v>
      </c>
      <c r="C5561" s="76">
        <v>2019</v>
      </c>
      <c r="D5561" s="76" t="s">
        <v>31</v>
      </c>
      <c r="E5561" s="76" t="s">
        <v>32</v>
      </c>
      <c r="F5561" s="76">
        <v>0.14</v>
      </c>
    </row>
    <row r="5562" s="76" customFormat="1" spans="1:6">
      <c r="A5562">
        <v>5717</v>
      </c>
      <c r="B5562">
        <v>342019270</v>
      </c>
      <c r="C5562" s="76">
        <v>2019</v>
      </c>
      <c r="D5562" s="76" t="s">
        <v>31</v>
      </c>
      <c r="E5562" s="76" t="s">
        <v>32</v>
      </c>
      <c r="F5562" s="76">
        <v>1.69</v>
      </c>
    </row>
    <row r="5563" s="76" customFormat="1" spans="1:6">
      <c r="A5563">
        <v>5720</v>
      </c>
      <c r="B5563">
        <v>342019270</v>
      </c>
      <c r="C5563" s="76">
        <v>2019</v>
      </c>
      <c r="D5563" s="76" t="s">
        <v>31</v>
      </c>
      <c r="E5563" s="76" t="s">
        <v>32</v>
      </c>
      <c r="F5563" s="76">
        <v>1.45</v>
      </c>
    </row>
    <row r="5564" s="76" customFormat="1" spans="1:6">
      <c r="A5564">
        <v>5723</v>
      </c>
      <c r="B5564">
        <v>342019270</v>
      </c>
      <c r="C5564" s="76">
        <v>2019</v>
      </c>
      <c r="D5564" s="76" t="s">
        <v>31</v>
      </c>
      <c r="E5564" s="76" t="s">
        <v>32</v>
      </c>
      <c r="F5564" s="76">
        <v>0.1</v>
      </c>
    </row>
    <row r="5565" s="76" customFormat="1" spans="1:6">
      <c r="A5565">
        <v>5726</v>
      </c>
      <c r="B5565">
        <v>342019270</v>
      </c>
      <c r="C5565" s="76">
        <v>2019</v>
      </c>
      <c r="D5565" s="76" t="s">
        <v>31</v>
      </c>
      <c r="E5565" s="76" t="s">
        <v>32</v>
      </c>
      <c r="F5565" s="76">
        <v>0.2</v>
      </c>
    </row>
    <row r="5566" s="76" customFormat="1" spans="1:6">
      <c r="A5566">
        <v>5727</v>
      </c>
      <c r="B5566">
        <v>342019270</v>
      </c>
      <c r="C5566" s="76">
        <v>2019</v>
      </c>
      <c r="D5566" s="76" t="s">
        <v>31</v>
      </c>
      <c r="E5566" s="76" t="s">
        <v>32</v>
      </c>
      <c r="F5566" s="76">
        <v>0.55</v>
      </c>
    </row>
    <row r="5567" s="76" customFormat="1" spans="1:6">
      <c r="A5567">
        <v>5722</v>
      </c>
      <c r="B5567">
        <v>342019270</v>
      </c>
      <c r="C5567" s="76">
        <v>2019</v>
      </c>
      <c r="D5567" s="76" t="s">
        <v>31</v>
      </c>
      <c r="E5567" s="76" t="s">
        <v>32</v>
      </c>
      <c r="F5567" s="76">
        <v>2</v>
      </c>
    </row>
    <row r="5568" s="76" customFormat="1" spans="1:6">
      <c r="A5568">
        <v>5705</v>
      </c>
      <c r="B5568">
        <v>342019270</v>
      </c>
      <c r="C5568" s="76">
        <v>2019</v>
      </c>
      <c r="D5568" s="76" t="s">
        <v>31</v>
      </c>
      <c r="E5568" s="76">
        <v>1</v>
      </c>
      <c r="F5568" s="76">
        <v>2</v>
      </c>
    </row>
    <row r="5569" s="76" customFormat="1" spans="1:6">
      <c r="A5569">
        <v>5719</v>
      </c>
      <c r="B5569">
        <v>342019270</v>
      </c>
      <c r="C5569" s="76">
        <v>2019</v>
      </c>
      <c r="D5569" s="76" t="s">
        <v>31</v>
      </c>
      <c r="E5569" s="76" t="s">
        <v>32</v>
      </c>
      <c r="F5569" s="76">
        <v>3</v>
      </c>
    </row>
    <row r="5570" s="76" customFormat="1" spans="1:6">
      <c r="A5570">
        <v>5729</v>
      </c>
      <c r="B5570">
        <v>342019270</v>
      </c>
      <c r="C5570" s="76">
        <v>2019</v>
      </c>
      <c r="D5570" s="76" t="s">
        <v>31</v>
      </c>
      <c r="E5570" s="76" t="s">
        <v>32</v>
      </c>
      <c r="F5570" s="76">
        <v>3</v>
      </c>
    </row>
    <row r="5571" s="76" customFormat="1" spans="1:6">
      <c r="A5571">
        <v>5714</v>
      </c>
      <c r="B5571">
        <v>342019270</v>
      </c>
      <c r="C5571" s="76">
        <v>2019</v>
      </c>
      <c r="D5571" s="76" t="s">
        <v>31</v>
      </c>
      <c r="E5571" s="76" t="s">
        <v>32</v>
      </c>
      <c r="F5571" s="76">
        <v>4.84</v>
      </c>
    </row>
    <row r="5572" s="76" customFormat="1" spans="1:6">
      <c r="A5572">
        <v>5740</v>
      </c>
      <c r="B5572">
        <v>342020110</v>
      </c>
      <c r="C5572" s="76">
        <v>2020</v>
      </c>
      <c r="D5572" s="76" t="s">
        <v>40</v>
      </c>
      <c r="E5572" s="76" t="s">
        <v>32</v>
      </c>
      <c r="F5572" s="76">
        <v>0.06</v>
      </c>
    </row>
    <row r="5573" s="76" customFormat="1" spans="1:6">
      <c r="A5573">
        <v>5739</v>
      </c>
      <c r="B5573">
        <v>342020110</v>
      </c>
      <c r="C5573" s="76">
        <v>2020</v>
      </c>
      <c r="D5573" s="76" t="s">
        <v>40</v>
      </c>
      <c r="E5573" s="76" t="s">
        <v>32</v>
      </c>
      <c r="F5573" s="76">
        <v>0.04</v>
      </c>
    </row>
    <row r="5574" s="76" customFormat="1" spans="1:6">
      <c r="A5574">
        <v>5742</v>
      </c>
      <c r="B5574">
        <v>342020120</v>
      </c>
      <c r="C5574" s="76">
        <v>2020</v>
      </c>
      <c r="D5574" s="76" t="s">
        <v>42</v>
      </c>
      <c r="E5574" s="76" t="s">
        <v>32</v>
      </c>
      <c r="F5574" s="76">
        <v>120</v>
      </c>
    </row>
    <row r="5575" s="76" customFormat="1" spans="1:6">
      <c r="A5575">
        <v>5743</v>
      </c>
      <c r="B5575">
        <v>342020211</v>
      </c>
      <c r="C5575" s="76">
        <v>2020</v>
      </c>
      <c r="D5575" s="76" t="s">
        <v>37</v>
      </c>
      <c r="E5575" s="76" t="s">
        <v>32</v>
      </c>
      <c r="F5575" s="76">
        <v>3</v>
      </c>
    </row>
    <row r="5576" s="76" customFormat="1" spans="1:6">
      <c r="A5576">
        <v>5744</v>
      </c>
      <c r="B5576">
        <v>342020211</v>
      </c>
      <c r="C5576" s="76">
        <v>2020</v>
      </c>
      <c r="D5576" s="76" t="s">
        <v>37</v>
      </c>
      <c r="E5576" s="76" t="s">
        <v>32</v>
      </c>
      <c r="F5576" s="76">
        <v>3</v>
      </c>
    </row>
    <row r="5577" s="76" customFormat="1" spans="1:6">
      <c r="A5577">
        <v>5745</v>
      </c>
      <c r="B5577">
        <v>342020212</v>
      </c>
      <c r="C5577" s="76">
        <v>2020</v>
      </c>
      <c r="D5577" s="76" t="s">
        <v>39</v>
      </c>
      <c r="E5577" s="76" t="s">
        <v>32</v>
      </c>
      <c r="F5577" s="76">
        <v>1.8</v>
      </c>
    </row>
    <row r="5578" s="76" customFormat="1" spans="1:6">
      <c r="A5578">
        <v>5746</v>
      </c>
      <c r="B5578">
        <v>342020241</v>
      </c>
      <c r="C5578" s="76">
        <v>2020</v>
      </c>
      <c r="D5578" s="76" t="s">
        <v>33</v>
      </c>
      <c r="E5578" s="76" t="s">
        <v>32</v>
      </c>
      <c r="F5578" s="76">
        <v>8</v>
      </c>
    </row>
    <row r="5579" s="76" customFormat="1" spans="1:6">
      <c r="A5579">
        <v>5748</v>
      </c>
      <c r="B5579">
        <v>342020241</v>
      </c>
      <c r="C5579" s="76">
        <v>2020</v>
      </c>
      <c r="D5579" s="76" t="s">
        <v>33</v>
      </c>
      <c r="E5579" s="76" t="s">
        <v>32</v>
      </c>
      <c r="F5579" s="76">
        <v>2.4</v>
      </c>
    </row>
    <row r="5580" s="76" customFormat="1" spans="1:6">
      <c r="A5580">
        <v>5747</v>
      </c>
      <c r="B5580">
        <v>342020241</v>
      </c>
      <c r="C5580" s="76">
        <v>2020</v>
      </c>
      <c r="D5580" s="76" t="s">
        <v>33</v>
      </c>
      <c r="E5580" s="76" t="s">
        <v>32</v>
      </c>
      <c r="F5580" s="76">
        <v>16</v>
      </c>
    </row>
    <row r="5581" s="76" customFormat="1" spans="1:6">
      <c r="A5581">
        <v>5749</v>
      </c>
      <c r="B5581">
        <v>342020241</v>
      </c>
      <c r="C5581" s="76">
        <v>2020</v>
      </c>
      <c r="D5581" s="76" t="s">
        <v>33</v>
      </c>
      <c r="E5581" s="76" t="s">
        <v>32</v>
      </c>
      <c r="F5581" s="76">
        <v>0.9</v>
      </c>
    </row>
    <row r="5582" s="76" customFormat="1" spans="1:6">
      <c r="A5582">
        <v>5753</v>
      </c>
      <c r="B5582">
        <v>342020242</v>
      </c>
      <c r="C5582" s="76">
        <v>2020</v>
      </c>
      <c r="D5582" s="76" t="s">
        <v>35</v>
      </c>
      <c r="E5582" s="76" t="s">
        <v>32</v>
      </c>
      <c r="F5582" s="76">
        <v>0.9</v>
      </c>
    </row>
    <row r="5583" s="76" customFormat="1" spans="1:6">
      <c r="A5583">
        <v>5754</v>
      </c>
      <c r="B5583">
        <v>342020242</v>
      </c>
      <c r="C5583" s="76">
        <v>2020</v>
      </c>
      <c r="D5583" s="76" t="s">
        <v>35</v>
      </c>
      <c r="E5583" s="76" t="s">
        <v>32</v>
      </c>
      <c r="F5583" s="76">
        <v>0.75</v>
      </c>
    </row>
    <row r="5584" s="76" customFormat="1" spans="1:6">
      <c r="A5584">
        <v>5752</v>
      </c>
      <c r="B5584">
        <v>342020242</v>
      </c>
      <c r="C5584" s="76">
        <v>2020</v>
      </c>
      <c r="D5584" s="76" t="s">
        <v>35</v>
      </c>
      <c r="E5584" s="76" t="s">
        <v>32</v>
      </c>
      <c r="F5584" s="76">
        <v>5</v>
      </c>
    </row>
    <row r="5585" s="76" customFormat="1" spans="1:6">
      <c r="A5585">
        <v>5756</v>
      </c>
      <c r="B5585">
        <v>342020242</v>
      </c>
      <c r="C5585" s="76">
        <v>2020</v>
      </c>
      <c r="D5585" s="76" t="s">
        <v>35</v>
      </c>
      <c r="E5585" s="76" t="s">
        <v>32</v>
      </c>
      <c r="F5585" s="76">
        <v>0.2</v>
      </c>
    </row>
    <row r="5586" s="76" customFormat="1" spans="1:6">
      <c r="A5586">
        <v>5755</v>
      </c>
      <c r="B5586">
        <v>342020242</v>
      </c>
      <c r="C5586" s="76">
        <v>2020</v>
      </c>
      <c r="D5586" s="76" t="s">
        <v>35</v>
      </c>
      <c r="E5586" s="76" t="s">
        <v>32</v>
      </c>
      <c r="F5586" s="76">
        <v>1.5</v>
      </c>
    </row>
    <row r="5587" s="76" customFormat="1" spans="1:6">
      <c r="A5587">
        <v>5751</v>
      </c>
      <c r="B5587">
        <v>342020242</v>
      </c>
      <c r="C5587" s="76">
        <v>2020</v>
      </c>
      <c r="D5587" s="76" t="s">
        <v>35</v>
      </c>
      <c r="E5587" s="76" t="s">
        <v>32</v>
      </c>
      <c r="F5587" s="76">
        <v>1.8</v>
      </c>
    </row>
    <row r="5588" s="76" customFormat="1" spans="1:6">
      <c r="A5588">
        <v>5757</v>
      </c>
      <c r="B5588">
        <v>342020243</v>
      </c>
      <c r="C5588" s="76">
        <v>2020</v>
      </c>
      <c r="D5588" s="76" t="s">
        <v>38</v>
      </c>
      <c r="E5588" s="76" t="s">
        <v>32</v>
      </c>
      <c r="F5588" s="76">
        <v>4</v>
      </c>
    </row>
    <row r="5589" s="76" customFormat="1" spans="1:6">
      <c r="A5589">
        <v>5759</v>
      </c>
      <c r="B5589">
        <v>342020243</v>
      </c>
      <c r="C5589" s="76">
        <v>2020</v>
      </c>
      <c r="D5589" s="76" t="s">
        <v>38</v>
      </c>
      <c r="E5589" s="76" t="s">
        <v>32</v>
      </c>
      <c r="F5589" s="76">
        <v>3</v>
      </c>
    </row>
    <row r="5590" s="76" customFormat="1" spans="1:6">
      <c r="A5590">
        <v>5760</v>
      </c>
      <c r="B5590">
        <v>342020243</v>
      </c>
      <c r="C5590" s="76">
        <v>2020</v>
      </c>
      <c r="D5590" s="76" t="s">
        <v>38</v>
      </c>
      <c r="E5590" s="76" t="s">
        <v>32</v>
      </c>
      <c r="F5590" s="76">
        <v>3</v>
      </c>
    </row>
    <row r="5591" s="76" customFormat="1" spans="1:6">
      <c r="A5591">
        <v>5758</v>
      </c>
      <c r="B5591">
        <v>342020243</v>
      </c>
      <c r="C5591" s="76">
        <v>2020</v>
      </c>
      <c r="D5591" s="76" t="s">
        <v>38</v>
      </c>
      <c r="E5591" s="76" t="s">
        <v>32</v>
      </c>
      <c r="F5591" s="76">
        <v>4</v>
      </c>
    </row>
    <row r="5592" s="76" customFormat="1" spans="1:6">
      <c r="A5592">
        <v>5773</v>
      </c>
      <c r="B5592">
        <v>342020260</v>
      </c>
      <c r="C5592" s="76">
        <v>2020</v>
      </c>
      <c r="D5592" s="76" t="s">
        <v>34</v>
      </c>
      <c r="E5592" s="76">
        <v>7</v>
      </c>
      <c r="F5592" s="76">
        <v>1.4</v>
      </c>
    </row>
    <row r="5593" s="76" customFormat="1" spans="1:6">
      <c r="A5593">
        <v>5761</v>
      </c>
      <c r="B5593">
        <v>342020260</v>
      </c>
      <c r="C5593" s="76">
        <v>2020</v>
      </c>
      <c r="D5593" s="76" t="s">
        <v>34</v>
      </c>
      <c r="E5593" s="76">
        <v>1</v>
      </c>
      <c r="F5593" s="76">
        <v>0.25</v>
      </c>
    </row>
    <row r="5594" s="76" customFormat="1" spans="1:6">
      <c r="A5594">
        <v>5772</v>
      </c>
      <c r="B5594">
        <v>342020260</v>
      </c>
      <c r="C5594" s="76">
        <v>2020</v>
      </c>
      <c r="D5594" s="76" t="s">
        <v>34</v>
      </c>
      <c r="E5594" s="76">
        <v>10</v>
      </c>
      <c r="F5594" s="76">
        <v>2</v>
      </c>
    </row>
    <row r="5595" s="76" customFormat="1" spans="1:6">
      <c r="A5595">
        <v>5790</v>
      </c>
      <c r="B5595">
        <v>342020260</v>
      </c>
      <c r="C5595" s="76">
        <v>2020</v>
      </c>
      <c r="D5595" s="76" t="s">
        <v>34</v>
      </c>
      <c r="E5595" s="76" t="s">
        <v>32</v>
      </c>
      <c r="F5595" s="76">
        <v>0.53</v>
      </c>
    </row>
    <row r="5596" s="76" customFormat="1" spans="1:6">
      <c r="A5596">
        <v>5776</v>
      </c>
      <c r="B5596">
        <v>342020260</v>
      </c>
      <c r="C5596" s="76">
        <v>2020</v>
      </c>
      <c r="D5596" s="76" t="s">
        <v>34</v>
      </c>
      <c r="E5596" s="76" t="s">
        <v>32</v>
      </c>
      <c r="F5596" s="76">
        <v>4.5</v>
      </c>
    </row>
    <row r="5597" s="76" customFormat="1" spans="1:6">
      <c r="A5597">
        <v>5788</v>
      </c>
      <c r="B5597">
        <v>342020260</v>
      </c>
      <c r="C5597" s="76">
        <v>2020</v>
      </c>
      <c r="D5597" s="76" t="s">
        <v>34</v>
      </c>
      <c r="E5597" s="76" t="s">
        <v>32</v>
      </c>
      <c r="F5597" s="76">
        <v>0.64</v>
      </c>
    </row>
    <row r="5598" s="76" customFormat="1" spans="1:6">
      <c r="A5598">
        <v>5764</v>
      </c>
      <c r="B5598">
        <v>342020260</v>
      </c>
      <c r="C5598" s="76">
        <v>2020</v>
      </c>
      <c r="D5598" s="76" t="s">
        <v>34</v>
      </c>
      <c r="E5598" s="76">
        <v>23</v>
      </c>
      <c r="F5598" s="76">
        <v>4.98</v>
      </c>
    </row>
    <row r="5599" s="76" customFormat="1" spans="1:6">
      <c r="A5599">
        <v>5770</v>
      </c>
      <c r="B5599">
        <v>342020260</v>
      </c>
      <c r="C5599" s="76">
        <v>2020</v>
      </c>
      <c r="D5599" s="76" t="s">
        <v>34</v>
      </c>
      <c r="E5599" s="76">
        <v>20</v>
      </c>
      <c r="F5599" s="76">
        <v>5.02</v>
      </c>
    </row>
    <row r="5600" s="76" customFormat="1" spans="1:6">
      <c r="A5600">
        <v>5762</v>
      </c>
      <c r="B5600">
        <v>342020260</v>
      </c>
      <c r="C5600" s="76">
        <v>2020</v>
      </c>
      <c r="D5600" s="76" t="s">
        <v>34</v>
      </c>
      <c r="E5600" s="76">
        <v>16</v>
      </c>
      <c r="F5600" s="76">
        <v>5</v>
      </c>
    </row>
    <row r="5601" s="76" customFormat="1" spans="1:6">
      <c r="A5601">
        <v>5763</v>
      </c>
      <c r="B5601">
        <v>342020260</v>
      </c>
      <c r="C5601" s="76">
        <v>2020</v>
      </c>
      <c r="D5601" s="76" t="s">
        <v>34</v>
      </c>
      <c r="E5601" s="76">
        <v>31</v>
      </c>
      <c r="F5601" s="76">
        <v>10</v>
      </c>
    </row>
    <row r="5602" s="76" customFormat="1" spans="1:6">
      <c r="A5602">
        <v>5766</v>
      </c>
      <c r="B5602">
        <v>342020260</v>
      </c>
      <c r="C5602" s="76">
        <v>2020</v>
      </c>
      <c r="D5602" s="76" t="s">
        <v>34</v>
      </c>
      <c r="E5602" s="76">
        <v>16</v>
      </c>
      <c r="F5602" s="76">
        <v>5</v>
      </c>
    </row>
    <row r="5603" s="76" customFormat="1" spans="1:6">
      <c r="A5603">
        <v>5779</v>
      </c>
      <c r="B5603">
        <v>342020260</v>
      </c>
      <c r="C5603" s="76">
        <v>2020</v>
      </c>
      <c r="D5603" s="76" t="s">
        <v>34</v>
      </c>
      <c r="E5603" s="76" t="s">
        <v>32</v>
      </c>
      <c r="F5603" s="76">
        <v>3</v>
      </c>
    </row>
    <row r="5604" s="76" customFormat="1" spans="1:6">
      <c r="A5604">
        <v>5778</v>
      </c>
      <c r="B5604">
        <v>342020260</v>
      </c>
      <c r="C5604" s="76">
        <v>2020</v>
      </c>
      <c r="D5604" s="76" t="s">
        <v>34</v>
      </c>
      <c r="E5604" s="76" t="s">
        <v>32</v>
      </c>
      <c r="F5604" s="76">
        <v>1</v>
      </c>
    </row>
    <row r="5605" s="76" customFormat="1" spans="1:6">
      <c r="A5605">
        <v>5777</v>
      </c>
      <c r="B5605">
        <v>342020260</v>
      </c>
      <c r="C5605" s="76">
        <v>2020</v>
      </c>
      <c r="D5605" s="76" t="s">
        <v>34</v>
      </c>
      <c r="E5605" s="76" t="s">
        <v>32</v>
      </c>
      <c r="F5605" s="76">
        <v>3.08</v>
      </c>
    </row>
    <row r="5606" s="76" customFormat="1" spans="1:6">
      <c r="A5606">
        <v>5769</v>
      </c>
      <c r="B5606">
        <v>342020260</v>
      </c>
      <c r="C5606" s="76">
        <v>2020</v>
      </c>
      <c r="D5606" s="76" t="s">
        <v>34</v>
      </c>
      <c r="E5606" s="76">
        <v>19</v>
      </c>
      <c r="F5606" s="76">
        <v>5</v>
      </c>
    </row>
    <row r="5607" s="76" customFormat="1" spans="1:6">
      <c r="A5607">
        <v>5791</v>
      </c>
      <c r="B5607">
        <v>342020260</v>
      </c>
      <c r="C5607" s="76">
        <v>2020</v>
      </c>
      <c r="D5607" s="76" t="s">
        <v>34</v>
      </c>
      <c r="E5607" s="76" t="s">
        <v>32</v>
      </c>
      <c r="F5607" s="76">
        <v>0.5</v>
      </c>
    </row>
    <row r="5608" s="76" customFormat="1" spans="1:6">
      <c r="A5608">
        <v>5771</v>
      </c>
      <c r="B5608">
        <v>342020260</v>
      </c>
      <c r="C5608" s="76">
        <v>2020</v>
      </c>
      <c r="D5608" s="76" t="s">
        <v>34</v>
      </c>
      <c r="E5608" s="76">
        <v>43</v>
      </c>
      <c r="F5608" s="76">
        <v>8.6</v>
      </c>
    </row>
    <row r="5609" s="76" customFormat="1" spans="1:6">
      <c r="A5609">
        <v>5765</v>
      </c>
      <c r="B5609">
        <v>342020260</v>
      </c>
      <c r="C5609" s="76">
        <v>2020</v>
      </c>
      <c r="D5609" s="76" t="s">
        <v>34</v>
      </c>
      <c r="E5609" s="76" t="s">
        <v>32</v>
      </c>
      <c r="F5609" s="76">
        <v>10</v>
      </c>
    </row>
    <row r="5610" s="76" customFormat="1" spans="1:6">
      <c r="A5610">
        <v>5768</v>
      </c>
      <c r="B5610">
        <v>342020260</v>
      </c>
      <c r="C5610" s="76">
        <v>2020</v>
      </c>
      <c r="D5610" s="76" t="s">
        <v>34</v>
      </c>
      <c r="E5610" s="76" t="s">
        <v>32</v>
      </c>
      <c r="F5610" s="76">
        <v>5</v>
      </c>
    </row>
    <row r="5611" s="76" customFormat="1" spans="1:6">
      <c r="A5611">
        <v>5787</v>
      </c>
      <c r="B5611">
        <v>342020260</v>
      </c>
      <c r="C5611" s="76">
        <v>2020</v>
      </c>
      <c r="D5611" s="76" t="s">
        <v>34</v>
      </c>
      <c r="E5611" s="76" t="s">
        <v>32</v>
      </c>
      <c r="F5611" s="76">
        <v>2.75</v>
      </c>
    </row>
    <row r="5612" s="76" customFormat="1" spans="1:6">
      <c r="A5612">
        <v>5792</v>
      </c>
      <c r="B5612">
        <v>342020260</v>
      </c>
      <c r="C5612" s="76">
        <v>2020</v>
      </c>
      <c r="D5612" s="76" t="s">
        <v>34</v>
      </c>
      <c r="E5612" s="76" t="s">
        <v>32</v>
      </c>
      <c r="F5612" s="76">
        <v>5</v>
      </c>
    </row>
    <row r="5613" s="76" customFormat="1" spans="1:6">
      <c r="A5613">
        <v>5783</v>
      </c>
      <c r="B5613">
        <v>342020260</v>
      </c>
      <c r="C5613" s="76">
        <v>2020</v>
      </c>
      <c r="D5613" s="76" t="s">
        <v>34</v>
      </c>
      <c r="E5613" s="76" t="s">
        <v>32</v>
      </c>
      <c r="F5613" s="76">
        <v>2.5</v>
      </c>
    </row>
    <row r="5614" s="76" customFormat="1" spans="1:6">
      <c r="A5614">
        <v>5775</v>
      </c>
      <c r="B5614">
        <v>342020260</v>
      </c>
      <c r="C5614" s="76">
        <v>2020</v>
      </c>
      <c r="D5614" s="76" t="s">
        <v>34</v>
      </c>
      <c r="E5614" s="76" t="s">
        <v>32</v>
      </c>
      <c r="F5614" s="76">
        <v>5</v>
      </c>
    </row>
    <row r="5615" s="76" customFormat="1" spans="1:6">
      <c r="A5615">
        <v>5780</v>
      </c>
      <c r="B5615">
        <v>342020260</v>
      </c>
      <c r="C5615" s="76">
        <v>2020</v>
      </c>
      <c r="D5615" s="76" t="s">
        <v>34</v>
      </c>
      <c r="E5615" s="76" t="s">
        <v>32</v>
      </c>
      <c r="F5615" s="76">
        <v>2.64</v>
      </c>
    </row>
    <row r="5616" s="76" customFormat="1" spans="1:6">
      <c r="A5616">
        <v>5785</v>
      </c>
      <c r="B5616">
        <v>342020260</v>
      </c>
      <c r="C5616" s="76">
        <v>2020</v>
      </c>
      <c r="D5616" s="76" t="s">
        <v>34</v>
      </c>
      <c r="E5616" s="76" t="s">
        <v>32</v>
      </c>
      <c r="F5616" s="76">
        <v>5</v>
      </c>
    </row>
    <row r="5617" s="76" customFormat="1" spans="1:6">
      <c r="A5617">
        <v>5784</v>
      </c>
      <c r="B5617">
        <v>342020260</v>
      </c>
      <c r="C5617" s="76">
        <v>2020</v>
      </c>
      <c r="D5617" s="76" t="s">
        <v>34</v>
      </c>
      <c r="E5617" s="76" t="s">
        <v>32</v>
      </c>
      <c r="F5617" s="76">
        <v>5</v>
      </c>
    </row>
    <row r="5618" s="76" customFormat="1" spans="1:6">
      <c r="A5618">
        <v>5767</v>
      </c>
      <c r="B5618">
        <v>342020260</v>
      </c>
      <c r="C5618" s="76">
        <v>2020</v>
      </c>
      <c r="D5618" s="76" t="s">
        <v>34</v>
      </c>
      <c r="E5618" s="76">
        <v>15</v>
      </c>
      <c r="F5618" s="76">
        <v>3</v>
      </c>
    </row>
    <row r="5619" s="76" customFormat="1" spans="1:6">
      <c r="A5619">
        <v>5789</v>
      </c>
      <c r="B5619">
        <v>342020260</v>
      </c>
      <c r="C5619" s="76">
        <v>2020</v>
      </c>
      <c r="D5619" s="76" t="s">
        <v>34</v>
      </c>
      <c r="E5619" s="76" t="s">
        <v>32</v>
      </c>
      <c r="F5619" s="76">
        <v>5</v>
      </c>
    </row>
    <row r="5620" s="76" customFormat="1" spans="1:6">
      <c r="A5620">
        <v>5774</v>
      </c>
      <c r="B5620">
        <v>342020260</v>
      </c>
      <c r="C5620" s="76">
        <v>2020</v>
      </c>
      <c r="D5620" s="76" t="s">
        <v>34</v>
      </c>
      <c r="E5620" s="76">
        <v>9</v>
      </c>
      <c r="F5620" s="76">
        <v>2.5</v>
      </c>
    </row>
    <row r="5621" s="76" customFormat="1" spans="1:6">
      <c r="A5621">
        <v>5781</v>
      </c>
      <c r="B5621">
        <v>342020260</v>
      </c>
      <c r="C5621" s="76">
        <v>2020</v>
      </c>
      <c r="D5621" s="76" t="s">
        <v>34</v>
      </c>
      <c r="E5621" s="76" t="s">
        <v>32</v>
      </c>
      <c r="F5621" s="76">
        <v>10</v>
      </c>
    </row>
    <row r="5622" s="76" customFormat="1" spans="1:6">
      <c r="A5622">
        <v>5786</v>
      </c>
      <c r="B5622">
        <v>342020260</v>
      </c>
      <c r="C5622" s="76">
        <v>2020</v>
      </c>
      <c r="D5622" s="76" t="s">
        <v>34</v>
      </c>
      <c r="E5622" s="76" t="s">
        <v>32</v>
      </c>
      <c r="F5622" s="76">
        <v>5</v>
      </c>
    </row>
    <row r="5623" s="76" customFormat="1" spans="1:6">
      <c r="A5623">
        <v>5782</v>
      </c>
      <c r="B5623">
        <v>342020260</v>
      </c>
      <c r="C5623" s="76">
        <v>2020</v>
      </c>
      <c r="D5623" s="76" t="s">
        <v>34</v>
      </c>
      <c r="E5623" s="76" t="s">
        <v>32</v>
      </c>
      <c r="F5623" s="76">
        <v>5</v>
      </c>
    </row>
    <row r="5624" s="76" customFormat="1" spans="1:6">
      <c r="A5624">
        <v>5797</v>
      </c>
      <c r="B5624">
        <v>342020270</v>
      </c>
      <c r="C5624" s="76">
        <v>2020</v>
      </c>
      <c r="D5624" s="76" t="s">
        <v>31</v>
      </c>
      <c r="E5624" s="76" t="s">
        <v>32</v>
      </c>
      <c r="F5624" s="76">
        <v>4</v>
      </c>
    </row>
    <row r="5625" s="76" customFormat="1" spans="1:6">
      <c r="A5625">
        <v>5793</v>
      </c>
      <c r="B5625">
        <v>342020270</v>
      </c>
      <c r="C5625" s="76">
        <v>2020</v>
      </c>
      <c r="D5625" s="76" t="s">
        <v>31</v>
      </c>
      <c r="E5625" s="76" t="s">
        <v>32</v>
      </c>
      <c r="F5625" s="76">
        <v>0.05</v>
      </c>
    </row>
    <row r="5626" s="76" customFormat="1" spans="1:6">
      <c r="A5626">
        <v>5795</v>
      </c>
      <c r="B5626">
        <v>342020270</v>
      </c>
      <c r="C5626" s="76">
        <v>2020</v>
      </c>
      <c r="D5626" s="76" t="s">
        <v>31</v>
      </c>
      <c r="E5626" s="76" t="s">
        <v>32</v>
      </c>
      <c r="F5626" s="76">
        <v>10</v>
      </c>
    </row>
    <row r="5627" s="76" customFormat="1" spans="1:6">
      <c r="A5627">
        <v>5800</v>
      </c>
      <c r="B5627">
        <v>342020270</v>
      </c>
      <c r="C5627" s="76">
        <v>2020</v>
      </c>
      <c r="D5627" s="76" t="s">
        <v>31</v>
      </c>
      <c r="E5627" s="76" t="s">
        <v>32</v>
      </c>
      <c r="F5627" s="76">
        <v>4.9</v>
      </c>
    </row>
    <row r="5628" s="76" customFormat="1" spans="1:6">
      <c r="A5628">
        <v>5798</v>
      </c>
      <c r="B5628">
        <v>342020270</v>
      </c>
      <c r="C5628" s="76">
        <v>2020</v>
      </c>
      <c r="D5628" s="76" t="s">
        <v>31</v>
      </c>
      <c r="E5628" s="76" t="s">
        <v>32</v>
      </c>
      <c r="F5628" s="76">
        <v>6</v>
      </c>
    </row>
    <row r="5629" s="76" customFormat="1" spans="1:6">
      <c r="A5629">
        <v>5799</v>
      </c>
      <c r="B5629">
        <v>342020270</v>
      </c>
      <c r="C5629" s="76">
        <v>2020</v>
      </c>
      <c r="D5629" s="76" t="s">
        <v>31</v>
      </c>
      <c r="E5629" s="76" t="s">
        <v>32</v>
      </c>
      <c r="F5629" s="76">
        <v>10</v>
      </c>
    </row>
    <row r="5630" s="76" customFormat="1" spans="1:6">
      <c r="A5630">
        <v>5796</v>
      </c>
      <c r="B5630">
        <v>342020270</v>
      </c>
      <c r="C5630" s="76">
        <v>2020</v>
      </c>
      <c r="D5630" s="76" t="s">
        <v>31</v>
      </c>
      <c r="E5630" s="76" t="s">
        <v>32</v>
      </c>
      <c r="F5630" s="76">
        <v>1.18</v>
      </c>
    </row>
    <row r="5631" s="76" customFormat="1" spans="1:6">
      <c r="A5631">
        <v>5801</v>
      </c>
      <c r="B5631">
        <v>342021110</v>
      </c>
      <c r="C5631" s="76">
        <v>2021</v>
      </c>
      <c r="D5631" s="76" t="s">
        <v>40</v>
      </c>
      <c r="E5631" s="76" t="s">
        <v>32</v>
      </c>
      <c r="F5631" s="76">
        <v>1.25</v>
      </c>
    </row>
    <row r="5632" s="76" customFormat="1" spans="1:6">
      <c r="A5632">
        <v>5802</v>
      </c>
      <c r="B5632">
        <v>342021110</v>
      </c>
      <c r="C5632" s="76">
        <v>2021</v>
      </c>
      <c r="D5632" s="76" t="s">
        <v>40</v>
      </c>
      <c r="E5632" s="76" t="s">
        <v>32</v>
      </c>
      <c r="F5632" s="76">
        <v>1</v>
      </c>
    </row>
    <row r="5633" s="76" customFormat="1" spans="1:6">
      <c r="A5633">
        <v>5803</v>
      </c>
      <c r="B5633">
        <v>342021110</v>
      </c>
      <c r="C5633" s="76">
        <v>2021</v>
      </c>
      <c r="D5633" s="76" t="s">
        <v>40</v>
      </c>
      <c r="E5633" s="76" t="s">
        <v>32</v>
      </c>
      <c r="F5633" s="76">
        <v>1.1</v>
      </c>
    </row>
    <row r="5634" s="76" customFormat="1" spans="1:6">
      <c r="A5634">
        <v>5805</v>
      </c>
      <c r="B5634">
        <v>342021120</v>
      </c>
      <c r="C5634" s="76">
        <v>2021</v>
      </c>
      <c r="D5634" s="76" t="s">
        <v>42</v>
      </c>
      <c r="E5634" s="76">
        <v>1</v>
      </c>
      <c r="F5634" s="76">
        <v>30</v>
      </c>
    </row>
    <row r="5635" s="76" customFormat="1" spans="1:6">
      <c r="A5635">
        <v>5807</v>
      </c>
      <c r="B5635">
        <v>342021211</v>
      </c>
      <c r="C5635" s="76">
        <v>2021</v>
      </c>
      <c r="D5635" s="76" t="s">
        <v>37</v>
      </c>
      <c r="E5635" s="76" t="s">
        <v>32</v>
      </c>
      <c r="F5635" s="76">
        <v>18.3</v>
      </c>
    </row>
    <row r="5636" s="76" customFormat="1" spans="1:6">
      <c r="A5636">
        <v>5806</v>
      </c>
      <c r="B5636">
        <v>342021211</v>
      </c>
      <c r="C5636" s="76">
        <v>2021</v>
      </c>
      <c r="D5636" s="76" t="s">
        <v>37</v>
      </c>
      <c r="E5636" s="76" t="s">
        <v>32</v>
      </c>
      <c r="F5636" s="76">
        <v>1.5</v>
      </c>
    </row>
    <row r="5637" s="76" customFormat="1" spans="1:6">
      <c r="A5637">
        <v>5809</v>
      </c>
      <c r="B5637">
        <v>342021241</v>
      </c>
      <c r="C5637" s="76">
        <v>2021</v>
      </c>
      <c r="D5637" s="76" t="s">
        <v>33</v>
      </c>
      <c r="E5637" s="76" t="s">
        <v>32</v>
      </c>
      <c r="F5637" s="76">
        <v>1.8</v>
      </c>
    </row>
    <row r="5638" s="76" customFormat="1" spans="1:6">
      <c r="A5638">
        <v>5808</v>
      </c>
      <c r="B5638">
        <v>342021241</v>
      </c>
      <c r="C5638" s="76">
        <v>2021</v>
      </c>
      <c r="D5638" s="76" t="s">
        <v>33</v>
      </c>
      <c r="E5638" s="76" t="s">
        <v>32</v>
      </c>
      <c r="F5638" s="76">
        <v>1.2</v>
      </c>
    </row>
    <row r="5639" s="76" customFormat="1" spans="1:6">
      <c r="A5639">
        <v>5811</v>
      </c>
      <c r="B5639">
        <v>342021241</v>
      </c>
      <c r="C5639" s="76">
        <v>2021</v>
      </c>
      <c r="D5639" s="76" t="s">
        <v>33</v>
      </c>
      <c r="E5639" s="76" t="s">
        <v>32</v>
      </c>
      <c r="F5639" s="76">
        <v>3</v>
      </c>
    </row>
    <row r="5640" s="76" customFormat="1" spans="1:6">
      <c r="A5640">
        <v>5812</v>
      </c>
      <c r="B5640">
        <v>342021241</v>
      </c>
      <c r="C5640" s="76">
        <v>2021</v>
      </c>
      <c r="D5640" s="76" t="s">
        <v>33</v>
      </c>
      <c r="E5640" s="76" t="s">
        <v>32</v>
      </c>
      <c r="F5640" s="76">
        <v>15</v>
      </c>
    </row>
    <row r="5641" s="76" customFormat="1" spans="1:6">
      <c r="A5641">
        <v>5810</v>
      </c>
      <c r="B5641">
        <v>342021241</v>
      </c>
      <c r="C5641" s="76">
        <v>2021</v>
      </c>
      <c r="D5641" s="76" t="s">
        <v>33</v>
      </c>
      <c r="E5641" s="76" t="s">
        <v>32</v>
      </c>
      <c r="F5641" s="76">
        <v>5.5</v>
      </c>
    </row>
    <row r="5642" s="76" customFormat="1" spans="1:6">
      <c r="A5642">
        <v>5822</v>
      </c>
      <c r="B5642">
        <v>342021242</v>
      </c>
      <c r="C5642" s="76">
        <v>2021</v>
      </c>
      <c r="D5642" s="76" t="s">
        <v>35</v>
      </c>
      <c r="E5642" s="76" t="s">
        <v>32</v>
      </c>
      <c r="F5642" s="76">
        <v>1</v>
      </c>
    </row>
    <row r="5643" s="76" customFormat="1" spans="1:6">
      <c r="A5643">
        <v>5816</v>
      </c>
      <c r="B5643">
        <v>342021242</v>
      </c>
      <c r="C5643" s="76">
        <v>2021</v>
      </c>
      <c r="D5643" s="76" t="s">
        <v>35</v>
      </c>
      <c r="E5643" s="76" t="s">
        <v>32</v>
      </c>
      <c r="F5643" s="76">
        <v>0.9</v>
      </c>
    </row>
    <row r="5644" s="76" customFormat="1" spans="1:6">
      <c r="A5644">
        <v>5819</v>
      </c>
      <c r="B5644">
        <v>342021242</v>
      </c>
      <c r="C5644" s="76">
        <v>2021</v>
      </c>
      <c r="D5644" s="76" t="s">
        <v>35</v>
      </c>
      <c r="E5644" s="76" t="s">
        <v>32</v>
      </c>
      <c r="F5644" s="76">
        <v>2</v>
      </c>
    </row>
    <row r="5645" s="76" customFormat="1" spans="1:6">
      <c r="A5645">
        <v>5820</v>
      </c>
      <c r="B5645">
        <v>342021242</v>
      </c>
      <c r="C5645" s="76">
        <v>2021</v>
      </c>
      <c r="D5645" s="76" t="s">
        <v>35</v>
      </c>
      <c r="E5645" s="76" t="s">
        <v>32</v>
      </c>
      <c r="F5645" s="76">
        <v>8</v>
      </c>
    </row>
    <row r="5646" s="76" customFormat="1" spans="1:6">
      <c r="A5646">
        <v>5817</v>
      </c>
      <c r="B5646">
        <v>342021242</v>
      </c>
      <c r="C5646" s="76">
        <v>2021</v>
      </c>
      <c r="D5646" s="76" t="s">
        <v>35</v>
      </c>
      <c r="E5646" s="76" t="s">
        <v>32</v>
      </c>
      <c r="F5646" s="76">
        <v>1.2</v>
      </c>
    </row>
    <row r="5647" s="76" customFormat="1" spans="1:6">
      <c r="A5647">
        <v>5815</v>
      </c>
      <c r="B5647">
        <v>342021242</v>
      </c>
      <c r="C5647" s="76">
        <v>2021</v>
      </c>
      <c r="D5647" s="76" t="s">
        <v>35</v>
      </c>
      <c r="E5647" s="76" t="s">
        <v>32</v>
      </c>
      <c r="F5647" s="76">
        <v>0.9</v>
      </c>
    </row>
    <row r="5648" s="76" customFormat="1" spans="1:6">
      <c r="A5648">
        <v>5823</v>
      </c>
      <c r="B5648">
        <v>342021242</v>
      </c>
      <c r="C5648" s="76">
        <v>2021</v>
      </c>
      <c r="D5648" s="76" t="s">
        <v>35</v>
      </c>
      <c r="E5648" s="76" t="s">
        <v>32</v>
      </c>
      <c r="F5648" s="76">
        <v>1.2</v>
      </c>
    </row>
    <row r="5649" s="76" customFormat="1" spans="1:6">
      <c r="A5649">
        <v>5818</v>
      </c>
      <c r="B5649">
        <v>342021242</v>
      </c>
      <c r="C5649" s="76">
        <v>2021</v>
      </c>
      <c r="D5649" s="76" t="s">
        <v>35</v>
      </c>
      <c r="E5649" s="76" t="s">
        <v>32</v>
      </c>
      <c r="F5649" s="76">
        <v>1.08</v>
      </c>
    </row>
    <row r="5650" s="76" customFormat="1" spans="1:6">
      <c r="A5650">
        <v>5814</v>
      </c>
      <c r="B5650">
        <v>342021242</v>
      </c>
      <c r="C5650" s="76">
        <v>2021</v>
      </c>
      <c r="D5650" s="76" t="s">
        <v>35</v>
      </c>
      <c r="E5650" s="76">
        <v>2</v>
      </c>
      <c r="F5650" s="76">
        <v>1.5</v>
      </c>
    </row>
    <row r="5651" s="76" customFormat="1" spans="1:6">
      <c r="A5651">
        <v>5821</v>
      </c>
      <c r="B5651">
        <v>342021242</v>
      </c>
      <c r="C5651" s="76">
        <v>2021</v>
      </c>
      <c r="D5651" s="76" t="s">
        <v>35</v>
      </c>
      <c r="E5651" s="76" t="s">
        <v>32</v>
      </c>
      <c r="F5651" s="76">
        <v>1.5</v>
      </c>
    </row>
    <row r="5652" s="76" customFormat="1" spans="1:6">
      <c r="A5652">
        <v>5826</v>
      </c>
      <c r="B5652">
        <v>342021243</v>
      </c>
      <c r="C5652" s="76">
        <v>2021</v>
      </c>
      <c r="D5652" s="76" t="s">
        <v>38</v>
      </c>
      <c r="E5652" s="76" t="s">
        <v>32</v>
      </c>
      <c r="F5652" s="76">
        <v>0.7</v>
      </c>
    </row>
    <row r="5653" s="76" customFormat="1" spans="1:6">
      <c r="A5653">
        <v>5824</v>
      </c>
      <c r="B5653">
        <v>342021243</v>
      </c>
      <c r="C5653" s="76">
        <v>2021</v>
      </c>
      <c r="D5653" s="76" t="s">
        <v>38</v>
      </c>
      <c r="E5653" s="76" t="s">
        <v>32</v>
      </c>
      <c r="F5653" s="76">
        <v>3</v>
      </c>
    </row>
    <row r="5654" s="76" customFormat="1" spans="1:6">
      <c r="A5654">
        <v>5825</v>
      </c>
      <c r="B5654">
        <v>342021243</v>
      </c>
      <c r="C5654" s="76">
        <v>2021</v>
      </c>
      <c r="D5654" s="76" t="s">
        <v>38</v>
      </c>
      <c r="E5654" s="76" t="s">
        <v>32</v>
      </c>
      <c r="F5654" s="76">
        <v>3.5</v>
      </c>
    </row>
    <row r="5655" s="76" customFormat="1" spans="1:6">
      <c r="A5655">
        <v>5828</v>
      </c>
      <c r="B5655">
        <v>342021260</v>
      </c>
      <c r="C5655" s="76">
        <v>2021</v>
      </c>
      <c r="D5655" s="76" t="s">
        <v>34</v>
      </c>
      <c r="E5655" s="76">
        <v>31</v>
      </c>
      <c r="F5655" s="76">
        <v>6.2</v>
      </c>
    </row>
    <row r="5656" s="76" customFormat="1" spans="1:6">
      <c r="A5656">
        <v>5829</v>
      </c>
      <c r="B5656">
        <v>342021260</v>
      </c>
      <c r="C5656" s="76">
        <v>2021</v>
      </c>
      <c r="D5656" s="76" t="s">
        <v>34</v>
      </c>
      <c r="E5656" s="76">
        <v>6</v>
      </c>
      <c r="F5656" s="76">
        <v>1.75</v>
      </c>
    </row>
    <row r="5657" s="76" customFormat="1" spans="1:6">
      <c r="A5657">
        <v>5833</v>
      </c>
      <c r="B5657">
        <v>342021260</v>
      </c>
      <c r="C5657" s="76">
        <v>2021</v>
      </c>
      <c r="D5657" s="76" t="s">
        <v>34</v>
      </c>
      <c r="E5657" s="76" t="s">
        <v>32</v>
      </c>
      <c r="F5657" s="76">
        <v>9.47</v>
      </c>
    </row>
    <row r="5658" s="76" customFormat="1" spans="1:6">
      <c r="A5658">
        <v>5838</v>
      </c>
      <c r="B5658">
        <v>342021260</v>
      </c>
      <c r="C5658" s="76">
        <v>2021</v>
      </c>
      <c r="D5658" s="76" t="s">
        <v>34</v>
      </c>
      <c r="E5658" s="76" t="s">
        <v>32</v>
      </c>
      <c r="F5658" s="76">
        <v>4.36</v>
      </c>
    </row>
    <row r="5659" s="76" customFormat="1" spans="1:6">
      <c r="A5659">
        <v>5836</v>
      </c>
      <c r="B5659">
        <v>342021260</v>
      </c>
      <c r="C5659" s="76">
        <v>2021</v>
      </c>
      <c r="D5659" s="76" t="s">
        <v>34</v>
      </c>
      <c r="E5659" s="76">
        <v>7</v>
      </c>
      <c r="F5659" s="76">
        <v>1.6</v>
      </c>
    </row>
    <row r="5660" s="76" customFormat="1" spans="1:6">
      <c r="A5660">
        <v>5843</v>
      </c>
      <c r="B5660">
        <v>342021260</v>
      </c>
      <c r="C5660" s="76">
        <v>2021</v>
      </c>
      <c r="D5660" s="76" t="s">
        <v>34</v>
      </c>
      <c r="E5660" s="76" t="s">
        <v>32</v>
      </c>
      <c r="F5660" s="76">
        <v>5</v>
      </c>
    </row>
    <row r="5661" s="76" customFormat="1" spans="1:6">
      <c r="A5661">
        <v>5842</v>
      </c>
      <c r="B5661">
        <v>342021260</v>
      </c>
      <c r="C5661" s="76">
        <v>2021</v>
      </c>
      <c r="D5661" s="76" t="s">
        <v>34</v>
      </c>
      <c r="E5661" s="76" t="s">
        <v>32</v>
      </c>
      <c r="F5661" s="76">
        <v>5</v>
      </c>
    </row>
    <row r="5662" s="76" customFormat="1" spans="1:6">
      <c r="A5662">
        <v>5837</v>
      </c>
      <c r="B5662">
        <v>342021260</v>
      </c>
      <c r="C5662" s="76">
        <v>2021</v>
      </c>
      <c r="D5662" s="76" t="s">
        <v>34</v>
      </c>
      <c r="E5662" s="76" t="s">
        <v>32</v>
      </c>
      <c r="F5662" s="76">
        <v>4.46</v>
      </c>
    </row>
    <row r="5663" s="76" customFormat="1" spans="1:6">
      <c r="A5663">
        <v>5835</v>
      </c>
      <c r="B5663">
        <v>342021260</v>
      </c>
      <c r="C5663" s="76">
        <v>2021</v>
      </c>
      <c r="D5663" s="76" t="s">
        <v>34</v>
      </c>
      <c r="E5663" s="76" t="s">
        <v>32</v>
      </c>
      <c r="F5663" s="76">
        <v>8.5</v>
      </c>
    </row>
    <row r="5664" s="76" customFormat="1" spans="1:6">
      <c r="A5664">
        <v>5845</v>
      </c>
      <c r="B5664">
        <v>342021260</v>
      </c>
      <c r="C5664" s="76">
        <v>2021</v>
      </c>
      <c r="D5664" s="76" t="s">
        <v>34</v>
      </c>
      <c r="E5664" s="76" t="s">
        <v>32</v>
      </c>
      <c r="F5664" s="76">
        <v>2</v>
      </c>
    </row>
    <row r="5665" s="76" customFormat="1" spans="1:6">
      <c r="A5665">
        <v>5844</v>
      </c>
      <c r="B5665">
        <v>342021260</v>
      </c>
      <c r="C5665" s="76">
        <v>2021</v>
      </c>
      <c r="D5665" s="76" t="s">
        <v>34</v>
      </c>
      <c r="E5665" s="76" t="s">
        <v>32</v>
      </c>
      <c r="F5665" s="76">
        <v>5</v>
      </c>
    </row>
    <row r="5666" s="76" customFormat="1" spans="1:6">
      <c r="A5666">
        <v>5841</v>
      </c>
      <c r="B5666">
        <v>342021260</v>
      </c>
      <c r="C5666" s="76">
        <v>2021</v>
      </c>
      <c r="D5666" s="76" t="s">
        <v>34</v>
      </c>
      <c r="E5666" s="76" t="s">
        <v>32</v>
      </c>
      <c r="F5666" s="76">
        <v>9.9</v>
      </c>
    </row>
    <row r="5667" s="76" customFormat="1" spans="1:6">
      <c r="A5667">
        <v>5834</v>
      </c>
      <c r="B5667">
        <v>342021260</v>
      </c>
      <c r="C5667" s="76">
        <v>2021</v>
      </c>
      <c r="D5667" s="76" t="s">
        <v>34</v>
      </c>
      <c r="E5667" s="76" t="s">
        <v>32</v>
      </c>
      <c r="F5667" s="76">
        <v>4.5</v>
      </c>
    </row>
    <row r="5668" s="76" customFormat="1" spans="1:6">
      <c r="A5668">
        <v>5827</v>
      </c>
      <c r="B5668">
        <v>342021260</v>
      </c>
      <c r="C5668" s="76">
        <v>2021</v>
      </c>
      <c r="D5668" s="76" t="s">
        <v>34</v>
      </c>
      <c r="E5668" s="76">
        <v>7</v>
      </c>
      <c r="F5668" s="76">
        <v>1.4</v>
      </c>
    </row>
    <row r="5669" s="76" customFormat="1" spans="1:6">
      <c r="A5669">
        <v>5830</v>
      </c>
      <c r="B5669">
        <v>342021260</v>
      </c>
      <c r="C5669" s="76">
        <v>2021</v>
      </c>
      <c r="D5669" s="76" t="s">
        <v>34</v>
      </c>
      <c r="E5669" s="76">
        <v>10</v>
      </c>
      <c r="F5669" s="76">
        <v>1.5</v>
      </c>
    </row>
    <row r="5670" s="76" customFormat="1" spans="1:6">
      <c r="A5670">
        <v>5831</v>
      </c>
      <c r="B5670">
        <v>342021260</v>
      </c>
      <c r="C5670" s="76">
        <v>2021</v>
      </c>
      <c r="D5670" s="76" t="s">
        <v>34</v>
      </c>
      <c r="E5670" s="76" t="s">
        <v>32</v>
      </c>
      <c r="F5670" s="76">
        <v>10</v>
      </c>
    </row>
    <row r="5671" s="76" customFormat="1" spans="1:6">
      <c r="A5671">
        <v>5849</v>
      </c>
      <c r="B5671">
        <v>342021260</v>
      </c>
      <c r="C5671" s="76">
        <v>2021</v>
      </c>
      <c r="D5671" s="76" t="s">
        <v>34</v>
      </c>
      <c r="E5671" s="76" t="s">
        <v>32</v>
      </c>
      <c r="F5671" s="76">
        <v>1.5</v>
      </c>
    </row>
    <row r="5672" s="76" customFormat="1" spans="1:6">
      <c r="A5672">
        <v>5840</v>
      </c>
      <c r="B5672">
        <v>342021260</v>
      </c>
      <c r="C5672" s="76">
        <v>2021</v>
      </c>
      <c r="D5672" s="76" t="s">
        <v>34</v>
      </c>
      <c r="E5672" s="76" t="s">
        <v>32</v>
      </c>
      <c r="F5672" s="76">
        <v>5</v>
      </c>
    </row>
    <row r="5673" s="76" customFormat="1" spans="1:6">
      <c r="A5673">
        <v>5832</v>
      </c>
      <c r="B5673">
        <v>342021260</v>
      </c>
      <c r="C5673" s="76">
        <v>2021</v>
      </c>
      <c r="D5673" s="76" t="s">
        <v>34</v>
      </c>
      <c r="E5673" s="76" t="s">
        <v>32</v>
      </c>
      <c r="F5673" s="76">
        <v>5</v>
      </c>
    </row>
    <row r="5674" s="76" customFormat="1" spans="1:6">
      <c r="A5674">
        <v>5850</v>
      </c>
      <c r="B5674">
        <v>342021260</v>
      </c>
      <c r="C5674" s="76">
        <v>2021</v>
      </c>
      <c r="D5674" s="76" t="s">
        <v>34</v>
      </c>
      <c r="E5674" s="76" t="s">
        <v>32</v>
      </c>
      <c r="F5674" s="76">
        <v>1.06</v>
      </c>
    </row>
    <row r="5675" s="76" customFormat="1" spans="1:6">
      <c r="A5675">
        <v>5848</v>
      </c>
      <c r="B5675">
        <v>342021260</v>
      </c>
      <c r="C5675" s="76">
        <v>2021</v>
      </c>
      <c r="D5675" s="76" t="s">
        <v>34</v>
      </c>
      <c r="E5675" s="76" t="s">
        <v>32</v>
      </c>
      <c r="F5675" s="76">
        <v>1.5</v>
      </c>
    </row>
    <row r="5676" s="76" customFormat="1" spans="1:6">
      <c r="A5676">
        <v>5839</v>
      </c>
      <c r="B5676">
        <v>342021260</v>
      </c>
      <c r="C5676" s="76">
        <v>2021</v>
      </c>
      <c r="D5676" s="76" t="s">
        <v>34</v>
      </c>
      <c r="E5676" s="76" t="s">
        <v>32</v>
      </c>
      <c r="F5676" s="76">
        <v>1.5</v>
      </c>
    </row>
    <row r="5677" s="76" customFormat="1" spans="1:6">
      <c r="A5677">
        <v>5846</v>
      </c>
      <c r="B5677">
        <v>342021260</v>
      </c>
      <c r="C5677" s="76">
        <v>2021</v>
      </c>
      <c r="D5677" s="76" t="s">
        <v>34</v>
      </c>
      <c r="E5677" s="76" t="s">
        <v>32</v>
      </c>
      <c r="F5677" s="76">
        <v>2.5</v>
      </c>
    </row>
    <row r="5678" s="76" customFormat="1" spans="1:6">
      <c r="A5678">
        <v>5847</v>
      </c>
      <c r="B5678">
        <v>342021260</v>
      </c>
      <c r="C5678" s="76">
        <v>2021</v>
      </c>
      <c r="D5678" s="76" t="s">
        <v>34</v>
      </c>
      <c r="E5678" s="76" t="s">
        <v>32</v>
      </c>
      <c r="F5678" s="76">
        <v>1</v>
      </c>
    </row>
    <row r="5679" s="76" customFormat="1" spans="1:6">
      <c r="A5679">
        <v>5870</v>
      </c>
      <c r="B5679">
        <v>342021270</v>
      </c>
      <c r="C5679" s="76">
        <v>2021</v>
      </c>
      <c r="D5679" s="76" t="s">
        <v>31</v>
      </c>
      <c r="E5679" s="76" t="s">
        <v>32</v>
      </c>
      <c r="F5679" s="76">
        <v>1.5</v>
      </c>
    </row>
    <row r="5680" s="76" customFormat="1" spans="1:6">
      <c r="A5680">
        <v>5865</v>
      </c>
      <c r="B5680">
        <v>342021270</v>
      </c>
      <c r="C5680" s="76">
        <v>2021</v>
      </c>
      <c r="D5680" s="76" t="s">
        <v>31</v>
      </c>
      <c r="E5680" s="76" t="s">
        <v>32</v>
      </c>
      <c r="F5680" s="76">
        <v>1.64</v>
      </c>
    </row>
    <row r="5681" s="76" customFormat="1" spans="1:6">
      <c r="A5681">
        <v>5856</v>
      </c>
      <c r="B5681">
        <v>342021270</v>
      </c>
      <c r="C5681" s="76">
        <v>2021</v>
      </c>
      <c r="D5681" s="76" t="s">
        <v>31</v>
      </c>
      <c r="E5681" s="76" t="s">
        <v>32</v>
      </c>
      <c r="F5681" s="76">
        <v>5</v>
      </c>
    </row>
    <row r="5682" s="76" customFormat="1" spans="1:6">
      <c r="A5682">
        <v>5854</v>
      </c>
      <c r="B5682">
        <v>342021270</v>
      </c>
      <c r="C5682" s="76">
        <v>2021</v>
      </c>
      <c r="D5682" s="76" t="s">
        <v>31</v>
      </c>
      <c r="E5682" s="76" t="s">
        <v>32</v>
      </c>
      <c r="F5682" s="76">
        <v>2.1</v>
      </c>
    </row>
    <row r="5683" s="76" customFormat="1" spans="1:6">
      <c r="A5683">
        <v>5866</v>
      </c>
      <c r="B5683">
        <v>342021270</v>
      </c>
      <c r="C5683" s="76">
        <v>2021</v>
      </c>
      <c r="D5683" s="76" t="s">
        <v>31</v>
      </c>
      <c r="E5683" s="76" t="s">
        <v>32</v>
      </c>
      <c r="F5683" s="76">
        <v>2</v>
      </c>
    </row>
    <row r="5684" s="76" customFormat="1" spans="1:6">
      <c r="A5684">
        <v>5853</v>
      </c>
      <c r="B5684">
        <v>342021270</v>
      </c>
      <c r="C5684" s="76">
        <v>2021</v>
      </c>
      <c r="D5684" s="76" t="s">
        <v>31</v>
      </c>
      <c r="E5684" s="76" t="s">
        <v>32</v>
      </c>
      <c r="F5684" s="76">
        <v>1.5</v>
      </c>
    </row>
    <row r="5685" s="76" customFormat="1" spans="1:6">
      <c r="A5685">
        <v>5859</v>
      </c>
      <c r="B5685">
        <v>342021270</v>
      </c>
      <c r="C5685" s="76">
        <v>2021</v>
      </c>
      <c r="D5685" s="76" t="s">
        <v>31</v>
      </c>
      <c r="E5685" s="76" t="s">
        <v>32</v>
      </c>
      <c r="F5685" s="76">
        <v>0.5</v>
      </c>
    </row>
    <row r="5686" s="76" customFormat="1" spans="1:6">
      <c r="A5686">
        <v>5861</v>
      </c>
      <c r="B5686">
        <v>342021270</v>
      </c>
      <c r="C5686" s="76">
        <v>2021</v>
      </c>
      <c r="D5686" s="76" t="s">
        <v>31</v>
      </c>
      <c r="E5686" s="76" t="s">
        <v>32</v>
      </c>
      <c r="F5686" s="76">
        <v>0.73</v>
      </c>
    </row>
    <row r="5687" s="76" customFormat="1" spans="1:6">
      <c r="A5687">
        <v>5867</v>
      </c>
      <c r="B5687">
        <v>342021270</v>
      </c>
      <c r="C5687" s="76">
        <v>2021</v>
      </c>
      <c r="D5687" s="76" t="s">
        <v>31</v>
      </c>
      <c r="E5687" s="76" t="s">
        <v>32</v>
      </c>
      <c r="F5687" s="76">
        <v>25.09</v>
      </c>
    </row>
    <row r="5688" s="76" customFormat="1" spans="1:6">
      <c r="A5688">
        <v>5864</v>
      </c>
      <c r="B5688">
        <v>342021270</v>
      </c>
      <c r="C5688" s="76">
        <v>2021</v>
      </c>
      <c r="D5688" s="76" t="s">
        <v>31</v>
      </c>
      <c r="E5688" s="76" t="s">
        <v>32</v>
      </c>
      <c r="F5688" s="76">
        <v>0.9</v>
      </c>
    </row>
    <row r="5689" s="76" customFormat="1" spans="1:6">
      <c r="A5689">
        <v>5860</v>
      </c>
      <c r="B5689">
        <v>342021270</v>
      </c>
      <c r="C5689" s="76">
        <v>2021</v>
      </c>
      <c r="D5689" s="76" t="s">
        <v>31</v>
      </c>
      <c r="E5689" s="76" t="s">
        <v>32</v>
      </c>
      <c r="F5689" s="76">
        <v>2.22</v>
      </c>
    </row>
    <row r="5690" s="76" customFormat="1" spans="1:6">
      <c r="A5690">
        <v>5876</v>
      </c>
      <c r="B5690">
        <v>342021270</v>
      </c>
      <c r="C5690" s="76">
        <v>2021</v>
      </c>
      <c r="D5690" s="76" t="s">
        <v>31</v>
      </c>
      <c r="E5690" s="76" t="s">
        <v>32</v>
      </c>
      <c r="F5690" s="76">
        <v>8</v>
      </c>
    </row>
    <row r="5691" s="76" customFormat="1" spans="1:6">
      <c r="A5691">
        <v>5851</v>
      </c>
      <c r="B5691">
        <v>342021270</v>
      </c>
      <c r="C5691" s="76">
        <v>2021</v>
      </c>
      <c r="D5691" s="76" t="s">
        <v>31</v>
      </c>
      <c r="E5691" s="76">
        <v>1</v>
      </c>
      <c r="F5691" s="76">
        <v>8</v>
      </c>
    </row>
    <row r="5692" s="76" customFormat="1" spans="1:6">
      <c r="A5692">
        <v>5872</v>
      </c>
      <c r="B5692">
        <v>342021270</v>
      </c>
      <c r="C5692" s="76">
        <v>2021</v>
      </c>
      <c r="D5692" s="76" t="s">
        <v>31</v>
      </c>
      <c r="E5692" s="76" t="s">
        <v>32</v>
      </c>
      <c r="F5692" s="76">
        <v>10</v>
      </c>
    </row>
    <row r="5693" s="76" customFormat="1" spans="1:6">
      <c r="A5693">
        <v>5852</v>
      </c>
      <c r="B5693">
        <v>342021270</v>
      </c>
      <c r="C5693" s="76">
        <v>2021</v>
      </c>
      <c r="D5693" s="76" t="s">
        <v>31</v>
      </c>
      <c r="E5693" s="76">
        <v>1</v>
      </c>
      <c r="F5693" s="76">
        <v>4.9</v>
      </c>
    </row>
    <row r="5694" s="76" customFormat="1" spans="1:6">
      <c r="A5694">
        <v>5863</v>
      </c>
      <c r="B5694">
        <v>342021270</v>
      </c>
      <c r="C5694" s="76">
        <v>2021</v>
      </c>
      <c r="D5694" s="76" t="s">
        <v>31</v>
      </c>
      <c r="E5694" s="76">
        <v>26</v>
      </c>
      <c r="F5694" s="76">
        <v>0.24</v>
      </c>
    </row>
    <row r="5695" s="76" customFormat="1" spans="1:6">
      <c r="A5695">
        <v>5869</v>
      </c>
      <c r="B5695">
        <v>342021270</v>
      </c>
      <c r="C5695" s="76">
        <v>2021</v>
      </c>
      <c r="D5695" s="76" t="s">
        <v>31</v>
      </c>
      <c r="E5695" s="76" t="s">
        <v>32</v>
      </c>
      <c r="F5695" s="76">
        <v>9</v>
      </c>
    </row>
    <row r="5696" s="76" customFormat="1" spans="1:6">
      <c r="A5696">
        <v>5871</v>
      </c>
      <c r="B5696">
        <v>342021270</v>
      </c>
      <c r="C5696" s="76">
        <v>2021</v>
      </c>
      <c r="D5696" s="76" t="s">
        <v>31</v>
      </c>
      <c r="E5696" s="76" t="s">
        <v>32</v>
      </c>
      <c r="F5696" s="76">
        <v>3.3</v>
      </c>
    </row>
    <row r="5697" s="76" customFormat="1" spans="1:6">
      <c r="A5697">
        <v>5877</v>
      </c>
      <c r="B5697">
        <v>342021270</v>
      </c>
      <c r="C5697" s="76">
        <v>2021</v>
      </c>
      <c r="D5697" s="76" t="s">
        <v>31</v>
      </c>
      <c r="E5697" s="76" t="s">
        <v>32</v>
      </c>
      <c r="F5697" s="76">
        <v>9</v>
      </c>
    </row>
    <row r="5698" s="76" customFormat="1" spans="1:6">
      <c r="A5698">
        <v>5875</v>
      </c>
      <c r="B5698">
        <v>342021270</v>
      </c>
      <c r="C5698" s="76">
        <v>2021</v>
      </c>
      <c r="D5698" s="76" t="s">
        <v>31</v>
      </c>
      <c r="E5698" s="76" t="s">
        <v>32</v>
      </c>
      <c r="F5698" s="76">
        <v>5</v>
      </c>
    </row>
    <row r="5699" s="76" customFormat="1" spans="1:6">
      <c r="A5699">
        <v>5874</v>
      </c>
      <c r="B5699">
        <v>342021270</v>
      </c>
      <c r="C5699" s="76">
        <v>2021</v>
      </c>
      <c r="D5699" s="76" t="s">
        <v>31</v>
      </c>
      <c r="E5699" s="76" t="s">
        <v>32</v>
      </c>
      <c r="F5699" s="76">
        <v>1.53</v>
      </c>
    </row>
    <row r="5700" s="76" customFormat="1" spans="1:6">
      <c r="A5700">
        <v>5858</v>
      </c>
      <c r="B5700">
        <v>342021270</v>
      </c>
      <c r="C5700" s="76">
        <v>2021</v>
      </c>
      <c r="D5700" s="76" t="s">
        <v>31</v>
      </c>
      <c r="E5700" s="76" t="s">
        <v>32</v>
      </c>
      <c r="F5700" s="76">
        <v>0.18</v>
      </c>
    </row>
    <row r="5701" s="76" customFormat="1" spans="1:6">
      <c r="A5701">
        <v>5873</v>
      </c>
      <c r="B5701">
        <v>342021270</v>
      </c>
      <c r="C5701" s="76">
        <v>2021</v>
      </c>
      <c r="D5701" s="76" t="s">
        <v>31</v>
      </c>
      <c r="E5701" s="76" t="s">
        <v>32</v>
      </c>
      <c r="F5701" s="76">
        <v>6</v>
      </c>
    </row>
    <row r="5702" s="76" customFormat="1" spans="1:6">
      <c r="A5702">
        <v>5862</v>
      </c>
      <c r="B5702">
        <v>342021270</v>
      </c>
      <c r="C5702" s="76">
        <v>2021</v>
      </c>
      <c r="D5702" s="76" t="s">
        <v>31</v>
      </c>
      <c r="E5702" s="76">
        <v>8</v>
      </c>
      <c r="F5702" s="76">
        <v>0.18</v>
      </c>
    </row>
    <row r="5703" s="76" customFormat="1" spans="1:6">
      <c r="A5703">
        <v>5855</v>
      </c>
      <c r="B5703">
        <v>342021270</v>
      </c>
      <c r="C5703" s="76">
        <v>2021</v>
      </c>
      <c r="D5703" s="76" t="s">
        <v>31</v>
      </c>
      <c r="E5703" s="76">
        <v>1</v>
      </c>
      <c r="F5703" s="76">
        <v>4</v>
      </c>
    </row>
    <row r="5704" s="76" customFormat="1" spans="1:6">
      <c r="A5704">
        <v>5868</v>
      </c>
      <c r="B5704">
        <v>342021270</v>
      </c>
      <c r="C5704" s="76">
        <v>2021</v>
      </c>
      <c r="D5704" s="76" t="s">
        <v>31</v>
      </c>
      <c r="E5704" s="76" t="s">
        <v>32</v>
      </c>
      <c r="F5704" s="76">
        <v>4</v>
      </c>
    </row>
    <row r="5705" s="76" customFormat="1" spans="1:6">
      <c r="A5705">
        <v>5878</v>
      </c>
      <c r="B5705">
        <v>352012211</v>
      </c>
      <c r="C5705">
        <v>2012</v>
      </c>
      <c r="D5705" t="s">
        <v>37</v>
      </c>
      <c r="E5705">
        <v>1</v>
      </c>
      <c r="F5705">
        <v>67</v>
      </c>
    </row>
    <row r="5706" s="76" customFormat="1" spans="1:6">
      <c r="A5706">
        <v>5879</v>
      </c>
      <c r="B5706">
        <v>352012211</v>
      </c>
      <c r="C5706">
        <v>2012</v>
      </c>
      <c r="D5706" t="s">
        <v>37</v>
      </c>
      <c r="E5706">
        <v>1</v>
      </c>
      <c r="F5706">
        <v>30</v>
      </c>
    </row>
    <row r="5707" s="76" customFormat="1" spans="1:6">
      <c r="A5707">
        <v>5880</v>
      </c>
      <c r="B5707">
        <v>352012211</v>
      </c>
      <c r="C5707">
        <v>2012</v>
      </c>
      <c r="D5707" t="s">
        <v>37</v>
      </c>
      <c r="E5707">
        <v>1</v>
      </c>
      <c r="F5707">
        <v>30</v>
      </c>
    </row>
    <row r="5708" s="76" customFormat="1" spans="1:6">
      <c r="A5708">
        <v>5881</v>
      </c>
      <c r="B5708">
        <v>352012260</v>
      </c>
      <c r="C5708">
        <v>2012</v>
      </c>
      <c r="D5708" t="s">
        <v>34</v>
      </c>
      <c r="E5708">
        <v>24</v>
      </c>
      <c r="F5708">
        <v>4.8</v>
      </c>
    </row>
    <row r="5709" s="76" customFormat="1" spans="1:6">
      <c r="A5709">
        <v>5882</v>
      </c>
      <c r="B5709">
        <v>352012260</v>
      </c>
      <c r="C5709">
        <v>2012</v>
      </c>
      <c r="D5709" t="s">
        <v>34</v>
      </c>
      <c r="E5709">
        <v>25</v>
      </c>
      <c r="F5709">
        <v>4.98</v>
      </c>
    </row>
    <row r="5710" s="76" customFormat="1" spans="1:6">
      <c r="A5710">
        <v>5884</v>
      </c>
      <c r="B5710">
        <v>352013110</v>
      </c>
      <c r="C5710">
        <v>2013</v>
      </c>
      <c r="D5710" t="s">
        <v>40</v>
      </c>
      <c r="E5710">
        <v>2</v>
      </c>
      <c r="F5710">
        <v>6</v>
      </c>
    </row>
    <row r="5711" s="76" customFormat="1" spans="1:6">
      <c r="A5711">
        <v>5883</v>
      </c>
      <c r="B5711">
        <v>352013110</v>
      </c>
      <c r="C5711">
        <v>2013</v>
      </c>
      <c r="D5711" t="s">
        <v>40</v>
      </c>
      <c r="E5711">
        <v>2</v>
      </c>
      <c r="F5711">
        <v>8</v>
      </c>
    </row>
    <row r="5712" s="76" customFormat="1" spans="1:6">
      <c r="A5712">
        <v>5885</v>
      </c>
      <c r="B5712">
        <v>352013120</v>
      </c>
      <c r="C5712">
        <v>2013</v>
      </c>
      <c r="D5712" t="s">
        <v>42</v>
      </c>
      <c r="E5712">
        <v>4</v>
      </c>
      <c r="F5712">
        <v>120</v>
      </c>
    </row>
    <row r="5713" s="76" customFormat="1" spans="1:6">
      <c r="A5713">
        <v>5886</v>
      </c>
      <c r="B5713">
        <v>352013250</v>
      </c>
      <c r="C5713">
        <v>2013</v>
      </c>
      <c r="D5713" t="s">
        <v>44</v>
      </c>
      <c r="E5713">
        <v>1</v>
      </c>
      <c r="F5713">
        <v>108.9</v>
      </c>
    </row>
    <row r="5714" s="76" customFormat="1" spans="1:6">
      <c r="A5714">
        <v>5887</v>
      </c>
      <c r="B5714">
        <v>352013260</v>
      </c>
      <c r="C5714">
        <v>2013</v>
      </c>
      <c r="D5714" t="s">
        <v>34</v>
      </c>
      <c r="E5714">
        <v>16</v>
      </c>
      <c r="F5714">
        <v>3.2</v>
      </c>
    </row>
    <row r="5715" s="76" customFormat="1" spans="1:6">
      <c r="A5715">
        <v>5888</v>
      </c>
      <c r="B5715">
        <v>352013260</v>
      </c>
      <c r="C5715">
        <v>2013</v>
      </c>
      <c r="D5715" t="s">
        <v>34</v>
      </c>
      <c r="E5715">
        <v>24</v>
      </c>
      <c r="F5715">
        <v>4.8</v>
      </c>
    </row>
    <row r="5716" s="76" customFormat="1" spans="1:6">
      <c r="A5716">
        <v>5889</v>
      </c>
      <c r="B5716">
        <v>352013260</v>
      </c>
      <c r="C5716">
        <v>2013</v>
      </c>
      <c r="D5716" t="s">
        <v>34</v>
      </c>
      <c r="E5716">
        <v>24</v>
      </c>
      <c r="F5716">
        <v>4.8</v>
      </c>
    </row>
    <row r="5717" s="76" customFormat="1" spans="1:6">
      <c r="A5717">
        <v>5890</v>
      </c>
      <c r="B5717">
        <v>352014243</v>
      </c>
      <c r="C5717">
        <v>2014</v>
      </c>
      <c r="D5717" t="s">
        <v>38</v>
      </c>
      <c r="E5717">
        <v>1</v>
      </c>
      <c r="F5717">
        <v>1.5</v>
      </c>
    </row>
    <row r="5718" s="76" customFormat="1" spans="1:6">
      <c r="A5718">
        <v>5892</v>
      </c>
      <c r="B5718">
        <v>352014250</v>
      </c>
      <c r="C5718">
        <v>2014</v>
      </c>
      <c r="D5718" t="s">
        <v>44</v>
      </c>
      <c r="E5718">
        <v>1</v>
      </c>
      <c r="F5718">
        <v>108.9</v>
      </c>
    </row>
    <row r="5719" s="76" customFormat="1" spans="1:6">
      <c r="A5719">
        <v>5891</v>
      </c>
      <c r="B5719">
        <v>352014250</v>
      </c>
      <c r="C5719">
        <v>2014</v>
      </c>
      <c r="D5719" t="s">
        <v>44</v>
      </c>
      <c r="E5719">
        <v>1</v>
      </c>
      <c r="F5719">
        <v>108.9</v>
      </c>
    </row>
    <row r="5720" s="76" customFormat="1" spans="1:6">
      <c r="A5720">
        <v>5893</v>
      </c>
      <c r="B5720">
        <v>352014260</v>
      </c>
      <c r="C5720">
        <v>2014</v>
      </c>
      <c r="D5720" t="s">
        <v>34</v>
      </c>
      <c r="E5720">
        <v>3</v>
      </c>
      <c r="F5720">
        <v>0.6</v>
      </c>
    </row>
    <row r="5721" s="76" customFormat="1" spans="1:6">
      <c r="A5721">
        <v>5894</v>
      </c>
      <c r="B5721">
        <v>352014260</v>
      </c>
      <c r="C5721">
        <v>2014</v>
      </c>
      <c r="D5721" t="s">
        <v>34</v>
      </c>
      <c r="E5721">
        <v>7</v>
      </c>
      <c r="F5721">
        <v>1.4</v>
      </c>
    </row>
    <row r="5722" s="76" customFormat="1" spans="1:6">
      <c r="A5722">
        <v>5895</v>
      </c>
      <c r="B5722">
        <v>352014260</v>
      </c>
      <c r="C5722">
        <v>2014</v>
      </c>
      <c r="D5722" t="s">
        <v>34</v>
      </c>
      <c r="E5722">
        <v>24</v>
      </c>
      <c r="F5722">
        <v>4.8</v>
      </c>
    </row>
    <row r="5723" s="76" customFormat="1" spans="1:6">
      <c r="A5723">
        <v>5896</v>
      </c>
      <c r="B5723">
        <v>352014260</v>
      </c>
      <c r="C5723">
        <v>2014</v>
      </c>
      <c r="D5723" t="s">
        <v>34</v>
      </c>
      <c r="E5723">
        <v>23</v>
      </c>
      <c r="F5723">
        <v>3.45</v>
      </c>
    </row>
    <row r="5724" s="76" customFormat="1" spans="1:6">
      <c r="A5724">
        <v>5898</v>
      </c>
      <c r="B5724">
        <v>352014270</v>
      </c>
      <c r="C5724">
        <v>2014</v>
      </c>
      <c r="D5724" t="s">
        <v>31</v>
      </c>
      <c r="E5724">
        <v>1</v>
      </c>
      <c r="F5724">
        <v>1</v>
      </c>
    </row>
    <row r="5725" s="76" customFormat="1" spans="1:6">
      <c r="A5725">
        <v>5897</v>
      </c>
      <c r="B5725">
        <v>352014270</v>
      </c>
      <c r="C5725">
        <v>2014</v>
      </c>
      <c r="D5725" t="s">
        <v>31</v>
      </c>
      <c r="E5725">
        <v>1</v>
      </c>
      <c r="F5725">
        <v>2</v>
      </c>
    </row>
    <row r="5726" s="76" customFormat="1" spans="1:6">
      <c r="A5726">
        <v>5899</v>
      </c>
      <c r="B5726">
        <v>352015110</v>
      </c>
      <c r="C5726">
        <v>2015</v>
      </c>
      <c r="D5726" t="s">
        <v>40</v>
      </c>
      <c r="E5726">
        <v>2</v>
      </c>
      <c r="F5726">
        <v>11</v>
      </c>
    </row>
    <row r="5727" s="76" customFormat="1" spans="1:6">
      <c r="A5727">
        <v>5900</v>
      </c>
      <c r="B5727">
        <v>352015110</v>
      </c>
      <c r="C5727">
        <v>2015</v>
      </c>
      <c r="D5727" t="s">
        <v>40</v>
      </c>
      <c r="E5727" t="s">
        <v>32</v>
      </c>
      <c r="F5727">
        <v>11</v>
      </c>
    </row>
    <row r="5728" s="76" customFormat="1" spans="1:6">
      <c r="A5728">
        <v>5901</v>
      </c>
      <c r="B5728">
        <v>352015110</v>
      </c>
      <c r="C5728">
        <v>2015</v>
      </c>
      <c r="D5728" t="s">
        <v>40</v>
      </c>
      <c r="E5728" t="s">
        <v>32</v>
      </c>
      <c r="F5728">
        <v>0.15</v>
      </c>
    </row>
    <row r="5729" s="76" customFormat="1" spans="1:6">
      <c r="A5729">
        <v>5902</v>
      </c>
      <c r="B5729">
        <v>352015211</v>
      </c>
      <c r="C5729">
        <v>2015</v>
      </c>
      <c r="D5729" t="s">
        <v>37</v>
      </c>
      <c r="E5729">
        <v>2</v>
      </c>
      <c r="F5729">
        <v>200</v>
      </c>
    </row>
    <row r="5730" s="76" customFormat="1" spans="1:6">
      <c r="A5730">
        <v>5906</v>
      </c>
      <c r="B5730">
        <v>352015241</v>
      </c>
      <c r="C5730">
        <v>2015</v>
      </c>
      <c r="D5730" t="s">
        <v>33</v>
      </c>
      <c r="E5730" t="s">
        <v>32</v>
      </c>
      <c r="F5730">
        <v>5.2</v>
      </c>
    </row>
    <row r="5731" s="76" customFormat="1" spans="1:6">
      <c r="A5731">
        <v>5904</v>
      </c>
      <c r="B5731">
        <v>352015241</v>
      </c>
      <c r="C5731">
        <v>2015</v>
      </c>
      <c r="D5731" t="s">
        <v>33</v>
      </c>
      <c r="E5731">
        <v>1</v>
      </c>
      <c r="F5731">
        <v>0.9</v>
      </c>
    </row>
    <row r="5732" s="76" customFormat="1" spans="1:6">
      <c r="A5732">
        <v>5905</v>
      </c>
      <c r="B5732">
        <v>352015241</v>
      </c>
      <c r="C5732">
        <v>2015</v>
      </c>
      <c r="D5732" t="s">
        <v>33</v>
      </c>
      <c r="E5732" t="s">
        <v>32</v>
      </c>
      <c r="F5732">
        <v>1.5</v>
      </c>
    </row>
    <row r="5733" s="76" customFormat="1" spans="1:6">
      <c r="A5733">
        <v>5903</v>
      </c>
      <c r="B5733">
        <v>352015241</v>
      </c>
      <c r="C5733">
        <v>2015</v>
      </c>
      <c r="D5733" t="s">
        <v>33</v>
      </c>
      <c r="E5733">
        <v>1</v>
      </c>
      <c r="F5733">
        <v>1</v>
      </c>
    </row>
    <row r="5734" s="76" customFormat="1" spans="1:6">
      <c r="A5734" s="78">
        <v>5907</v>
      </c>
      <c r="B5734">
        <v>352015241</v>
      </c>
      <c r="C5734" s="78">
        <v>2015</v>
      </c>
      <c r="D5734" s="78" t="s">
        <v>33</v>
      </c>
      <c r="E5734" s="78" t="s">
        <v>32</v>
      </c>
      <c r="F5734" s="78">
        <v>1.5</v>
      </c>
    </row>
    <row r="5735" s="76" customFormat="1" spans="1:6">
      <c r="A5735">
        <v>5908</v>
      </c>
      <c r="B5735">
        <v>352015242</v>
      </c>
      <c r="C5735">
        <v>2015</v>
      </c>
      <c r="D5735" t="s">
        <v>35</v>
      </c>
      <c r="E5735" t="s">
        <v>32</v>
      </c>
      <c r="F5735">
        <v>1.2</v>
      </c>
    </row>
    <row r="5736" s="76" customFormat="1" spans="1:6">
      <c r="A5736">
        <v>5910</v>
      </c>
      <c r="B5736">
        <v>352015250</v>
      </c>
      <c r="C5736">
        <v>2015</v>
      </c>
      <c r="D5736" t="s">
        <v>44</v>
      </c>
      <c r="E5736">
        <v>1</v>
      </c>
      <c r="F5736">
        <v>108.9</v>
      </c>
    </row>
    <row r="5737" s="76" customFormat="1" spans="1:6">
      <c r="A5737">
        <v>5909</v>
      </c>
      <c r="B5737">
        <v>352015250</v>
      </c>
      <c r="C5737">
        <v>2015</v>
      </c>
      <c r="D5737" t="s">
        <v>44</v>
      </c>
      <c r="E5737">
        <v>1</v>
      </c>
      <c r="F5737">
        <v>108.9</v>
      </c>
    </row>
    <row r="5738" s="76" customFormat="1" spans="1:6">
      <c r="A5738">
        <v>5912</v>
      </c>
      <c r="B5738">
        <v>352015260</v>
      </c>
      <c r="C5738">
        <v>2015</v>
      </c>
      <c r="D5738" t="s">
        <v>34</v>
      </c>
      <c r="E5738">
        <v>10</v>
      </c>
      <c r="F5738">
        <v>1</v>
      </c>
    </row>
    <row r="5739" s="76" customFormat="1" spans="1:6">
      <c r="A5739">
        <v>5917</v>
      </c>
      <c r="B5739">
        <v>352015260</v>
      </c>
      <c r="C5739">
        <v>2015</v>
      </c>
      <c r="D5739" t="s">
        <v>34</v>
      </c>
      <c r="E5739" t="s">
        <v>32</v>
      </c>
      <c r="F5739">
        <v>1.4</v>
      </c>
    </row>
    <row r="5740" s="76" customFormat="1" spans="1:6">
      <c r="A5740">
        <v>5916</v>
      </c>
      <c r="B5740">
        <v>352015260</v>
      </c>
      <c r="C5740">
        <v>2015</v>
      </c>
      <c r="D5740" t="s">
        <v>34</v>
      </c>
      <c r="E5740" t="s">
        <v>32</v>
      </c>
      <c r="F5740">
        <v>2.8</v>
      </c>
    </row>
    <row r="5741" s="76" customFormat="1" spans="1:6">
      <c r="A5741">
        <v>5918</v>
      </c>
      <c r="B5741">
        <v>352015260</v>
      </c>
      <c r="C5741">
        <v>2015</v>
      </c>
      <c r="D5741" t="s">
        <v>34</v>
      </c>
      <c r="E5741" t="s">
        <v>32</v>
      </c>
      <c r="F5741">
        <v>0.2</v>
      </c>
    </row>
    <row r="5742" s="76" customFormat="1" spans="1:6">
      <c r="A5742">
        <v>5913</v>
      </c>
      <c r="B5742">
        <v>352015260</v>
      </c>
      <c r="C5742">
        <v>2015</v>
      </c>
      <c r="D5742" t="s">
        <v>34</v>
      </c>
      <c r="E5742">
        <v>4</v>
      </c>
      <c r="F5742">
        <v>1.6</v>
      </c>
    </row>
    <row r="5743" s="76" customFormat="1" spans="1:6">
      <c r="A5743">
        <v>5914</v>
      </c>
      <c r="B5743">
        <v>352015260</v>
      </c>
      <c r="C5743">
        <v>2015</v>
      </c>
      <c r="D5743" t="s">
        <v>34</v>
      </c>
      <c r="E5743">
        <v>15</v>
      </c>
      <c r="F5743">
        <v>3</v>
      </c>
    </row>
    <row r="5744" s="76" customFormat="1" spans="1:6">
      <c r="A5744">
        <v>5919</v>
      </c>
      <c r="B5744">
        <v>352015260</v>
      </c>
      <c r="C5744">
        <v>2015</v>
      </c>
      <c r="D5744" t="s">
        <v>34</v>
      </c>
      <c r="E5744" t="s">
        <v>32</v>
      </c>
      <c r="F5744">
        <v>5.55</v>
      </c>
    </row>
    <row r="5745" s="76" customFormat="1" spans="1:6">
      <c r="A5745">
        <v>5915</v>
      </c>
      <c r="B5745">
        <v>352015260</v>
      </c>
      <c r="C5745">
        <v>2015</v>
      </c>
      <c r="D5745" t="s">
        <v>34</v>
      </c>
      <c r="E5745">
        <v>5</v>
      </c>
      <c r="F5745">
        <v>1</v>
      </c>
    </row>
    <row r="5746" s="76" customFormat="1" spans="1:6">
      <c r="A5746">
        <v>5911</v>
      </c>
      <c r="B5746">
        <v>352015260</v>
      </c>
      <c r="C5746">
        <v>2015</v>
      </c>
      <c r="D5746" t="s">
        <v>34</v>
      </c>
      <c r="E5746">
        <v>15</v>
      </c>
      <c r="F5746">
        <v>3</v>
      </c>
    </row>
    <row r="5747" s="76" customFormat="1" spans="1:6">
      <c r="A5747">
        <v>5921</v>
      </c>
      <c r="B5747">
        <v>352015270</v>
      </c>
      <c r="C5747">
        <v>2015</v>
      </c>
      <c r="D5747" t="s">
        <v>31</v>
      </c>
      <c r="E5747" t="s">
        <v>32</v>
      </c>
      <c r="F5747">
        <v>0</v>
      </c>
    </row>
    <row r="5748" s="76" customFormat="1" spans="1:6">
      <c r="A5748">
        <v>5920</v>
      </c>
      <c r="B5748">
        <v>352015270</v>
      </c>
      <c r="C5748">
        <v>2015</v>
      </c>
      <c r="D5748" t="s">
        <v>31</v>
      </c>
      <c r="E5748" t="s">
        <v>32</v>
      </c>
      <c r="F5748">
        <v>3</v>
      </c>
    </row>
    <row r="5749" s="76" customFormat="1" spans="1:6">
      <c r="A5749">
        <v>5926</v>
      </c>
      <c r="B5749">
        <v>352016110</v>
      </c>
      <c r="C5749" s="76">
        <v>2016</v>
      </c>
      <c r="D5749" s="76" t="s">
        <v>40</v>
      </c>
      <c r="E5749" s="76" t="s">
        <v>32</v>
      </c>
      <c r="F5749" s="76">
        <v>0.08</v>
      </c>
    </row>
    <row r="5750" s="76" customFormat="1" spans="1:6">
      <c r="A5750">
        <v>5924</v>
      </c>
      <c r="B5750">
        <v>352016110</v>
      </c>
      <c r="C5750" s="76">
        <v>2016</v>
      </c>
      <c r="D5750" s="76" t="s">
        <v>40</v>
      </c>
      <c r="E5750" s="76" t="s">
        <v>32</v>
      </c>
      <c r="F5750" s="76">
        <v>0.36</v>
      </c>
    </row>
    <row r="5751" s="76" customFormat="1" spans="1:6">
      <c r="A5751">
        <v>5923</v>
      </c>
      <c r="B5751">
        <v>352016110</v>
      </c>
      <c r="C5751" s="76">
        <v>2016</v>
      </c>
      <c r="D5751" s="76" t="s">
        <v>40</v>
      </c>
      <c r="E5751" s="76" t="s">
        <v>32</v>
      </c>
      <c r="F5751" s="76">
        <v>0.4</v>
      </c>
    </row>
    <row r="5752" s="76" customFormat="1" spans="1:6">
      <c r="A5752">
        <v>5925</v>
      </c>
      <c r="B5752">
        <v>352016110</v>
      </c>
      <c r="C5752" s="76">
        <v>2016</v>
      </c>
      <c r="D5752" s="76" t="s">
        <v>40</v>
      </c>
      <c r="E5752" s="76" t="s">
        <v>32</v>
      </c>
      <c r="F5752" s="76">
        <v>0.3</v>
      </c>
    </row>
    <row r="5753" s="76" customFormat="1" spans="1:6">
      <c r="A5753">
        <v>5922</v>
      </c>
      <c r="B5753">
        <v>352016110</v>
      </c>
      <c r="C5753" s="76">
        <v>2016</v>
      </c>
      <c r="D5753" s="76" t="s">
        <v>40</v>
      </c>
      <c r="E5753" s="76" t="s">
        <v>32</v>
      </c>
      <c r="F5753" s="76">
        <v>0.3</v>
      </c>
    </row>
    <row r="5754" s="76" customFormat="1" spans="1:6">
      <c r="A5754">
        <v>5936</v>
      </c>
      <c r="B5754">
        <v>352016241</v>
      </c>
      <c r="C5754" s="76">
        <v>2016</v>
      </c>
      <c r="D5754" s="76" t="s">
        <v>33</v>
      </c>
      <c r="E5754" s="76" t="s">
        <v>32</v>
      </c>
      <c r="F5754" s="76">
        <v>1.2</v>
      </c>
    </row>
    <row r="5755" s="76" customFormat="1" spans="1:6">
      <c r="A5755">
        <v>5931</v>
      </c>
      <c r="B5755">
        <v>352016241</v>
      </c>
      <c r="C5755" s="76">
        <v>2016</v>
      </c>
      <c r="D5755" s="76" t="s">
        <v>33</v>
      </c>
      <c r="E5755" s="76" t="s">
        <v>32</v>
      </c>
      <c r="F5755" s="76">
        <v>1.8</v>
      </c>
    </row>
    <row r="5756" s="76" customFormat="1" spans="1:6">
      <c r="A5756">
        <v>5934</v>
      </c>
      <c r="B5756">
        <v>352016241</v>
      </c>
      <c r="C5756" s="76">
        <v>2016</v>
      </c>
      <c r="D5756" s="76" t="s">
        <v>33</v>
      </c>
      <c r="E5756" s="76" t="s">
        <v>32</v>
      </c>
      <c r="F5756" s="76">
        <v>0.6</v>
      </c>
    </row>
    <row r="5757" s="76" customFormat="1" spans="1:6">
      <c r="A5757">
        <v>5930</v>
      </c>
      <c r="B5757">
        <v>352016241</v>
      </c>
      <c r="C5757" s="76">
        <v>2016</v>
      </c>
      <c r="D5757" s="76" t="s">
        <v>33</v>
      </c>
      <c r="E5757" s="76" t="s">
        <v>32</v>
      </c>
      <c r="F5757" s="76">
        <v>3.25</v>
      </c>
    </row>
    <row r="5758" s="76" customFormat="1" spans="1:6">
      <c r="A5758">
        <v>5929</v>
      </c>
      <c r="B5758">
        <v>352016241</v>
      </c>
      <c r="C5758" s="76">
        <v>2016</v>
      </c>
      <c r="D5758" s="76" t="s">
        <v>33</v>
      </c>
      <c r="E5758" s="76" t="s">
        <v>32</v>
      </c>
      <c r="F5758" s="76">
        <v>1.2</v>
      </c>
    </row>
    <row r="5759" s="76" customFormat="1" spans="1:6">
      <c r="A5759">
        <v>5928</v>
      </c>
      <c r="B5759">
        <v>352016241</v>
      </c>
      <c r="C5759" s="76">
        <v>2016</v>
      </c>
      <c r="D5759" s="76" t="s">
        <v>33</v>
      </c>
      <c r="E5759" s="76" t="s">
        <v>32</v>
      </c>
      <c r="F5759" s="76">
        <v>11</v>
      </c>
    </row>
    <row r="5760" s="76" customFormat="1" spans="1:6">
      <c r="A5760">
        <v>5932</v>
      </c>
      <c r="B5760">
        <v>352016241</v>
      </c>
      <c r="C5760" s="76">
        <v>2016</v>
      </c>
      <c r="D5760" s="76" t="s">
        <v>33</v>
      </c>
      <c r="E5760" s="76" t="s">
        <v>32</v>
      </c>
      <c r="F5760" s="76">
        <v>1.2</v>
      </c>
    </row>
    <row r="5761" s="76" customFormat="1" spans="1:6">
      <c r="A5761">
        <v>5933</v>
      </c>
      <c r="B5761">
        <v>352016241</v>
      </c>
      <c r="C5761" s="76">
        <v>2016</v>
      </c>
      <c r="D5761" s="76" t="s">
        <v>33</v>
      </c>
      <c r="E5761" s="76" t="s">
        <v>32</v>
      </c>
      <c r="F5761" s="76">
        <v>0.8</v>
      </c>
    </row>
    <row r="5762" s="76" customFormat="1" spans="1:6">
      <c r="A5762">
        <v>5935</v>
      </c>
      <c r="B5762">
        <v>352016241</v>
      </c>
      <c r="C5762" s="76">
        <v>2016</v>
      </c>
      <c r="D5762" s="76" t="s">
        <v>33</v>
      </c>
      <c r="E5762" s="76" t="s">
        <v>32</v>
      </c>
      <c r="F5762" s="76">
        <v>10</v>
      </c>
    </row>
    <row r="5763" s="76" customFormat="1" spans="1:6">
      <c r="A5763">
        <v>5938</v>
      </c>
      <c r="B5763">
        <v>352016242</v>
      </c>
      <c r="C5763" s="76">
        <v>2016</v>
      </c>
      <c r="D5763" s="76" t="s">
        <v>35</v>
      </c>
      <c r="E5763" s="76" t="s">
        <v>32</v>
      </c>
      <c r="F5763" s="76">
        <v>0.6</v>
      </c>
    </row>
    <row r="5764" s="76" customFormat="1" spans="1:6">
      <c r="A5764">
        <v>5940</v>
      </c>
      <c r="B5764">
        <v>352016250</v>
      </c>
      <c r="C5764" s="76">
        <v>2016</v>
      </c>
      <c r="D5764" s="76" t="s">
        <v>44</v>
      </c>
      <c r="E5764" s="76">
        <v>1</v>
      </c>
      <c r="F5764" s="76">
        <v>108.9</v>
      </c>
    </row>
    <row r="5765" s="76" customFormat="1" spans="1:6">
      <c r="A5765">
        <v>5939</v>
      </c>
      <c r="B5765">
        <v>352016250</v>
      </c>
      <c r="C5765" s="76">
        <v>2016</v>
      </c>
      <c r="D5765" s="76" t="s">
        <v>44</v>
      </c>
      <c r="E5765" s="76">
        <v>1</v>
      </c>
      <c r="F5765" s="76">
        <v>108.9</v>
      </c>
    </row>
    <row r="5766" s="76" customFormat="1" spans="1:6">
      <c r="A5766">
        <v>5946</v>
      </c>
      <c r="B5766">
        <v>352016260</v>
      </c>
      <c r="C5766" s="76">
        <v>2016</v>
      </c>
      <c r="D5766" s="76" t="s">
        <v>34</v>
      </c>
      <c r="E5766" s="76">
        <v>5</v>
      </c>
      <c r="F5766" s="76">
        <v>1</v>
      </c>
    </row>
    <row r="5767" s="76" customFormat="1" spans="1:6">
      <c r="A5767">
        <v>5942</v>
      </c>
      <c r="B5767">
        <v>352016260</v>
      </c>
      <c r="C5767" s="76">
        <v>2016</v>
      </c>
      <c r="D5767" s="76" t="s">
        <v>34</v>
      </c>
      <c r="E5767" s="76">
        <v>17</v>
      </c>
      <c r="F5767" s="76">
        <v>3.4</v>
      </c>
    </row>
    <row r="5768" s="76" customFormat="1" spans="1:6">
      <c r="A5768">
        <v>5949</v>
      </c>
      <c r="B5768">
        <v>352016260</v>
      </c>
      <c r="C5768" s="76">
        <v>2016</v>
      </c>
      <c r="D5768" s="76" t="s">
        <v>34</v>
      </c>
      <c r="E5768" s="76" t="s">
        <v>32</v>
      </c>
      <c r="F5768" s="76">
        <v>4.8</v>
      </c>
    </row>
    <row r="5769" s="76" customFormat="1" spans="1:6">
      <c r="A5769">
        <v>5954</v>
      </c>
      <c r="B5769">
        <v>352016260</v>
      </c>
      <c r="C5769" s="76">
        <v>2016</v>
      </c>
      <c r="D5769" s="76" t="s">
        <v>34</v>
      </c>
      <c r="E5769" s="76" t="s">
        <v>32</v>
      </c>
      <c r="F5769" s="76">
        <v>2</v>
      </c>
    </row>
    <row r="5770" s="76" customFormat="1" spans="1:6">
      <c r="A5770">
        <v>5956</v>
      </c>
      <c r="B5770">
        <v>352016260</v>
      </c>
      <c r="C5770" s="76">
        <v>2016</v>
      </c>
      <c r="D5770" s="76" t="s">
        <v>34</v>
      </c>
      <c r="E5770" s="76" t="s">
        <v>32</v>
      </c>
      <c r="F5770" s="76">
        <v>0.6</v>
      </c>
    </row>
    <row r="5771" s="76" customFormat="1" spans="1:6">
      <c r="A5771">
        <v>5955</v>
      </c>
      <c r="B5771">
        <v>352016260</v>
      </c>
      <c r="C5771" s="76">
        <v>2016</v>
      </c>
      <c r="D5771" s="76" t="s">
        <v>34</v>
      </c>
      <c r="E5771" s="76" t="s">
        <v>32</v>
      </c>
      <c r="F5771" s="76">
        <v>4.8</v>
      </c>
    </row>
    <row r="5772" s="76" customFormat="1" spans="1:6">
      <c r="A5772">
        <v>5953</v>
      </c>
      <c r="B5772">
        <v>352016260</v>
      </c>
      <c r="C5772" s="76">
        <v>2016</v>
      </c>
      <c r="D5772" s="76" t="s">
        <v>34</v>
      </c>
      <c r="E5772" s="76">
        <v>24</v>
      </c>
      <c r="F5772" s="76">
        <v>4.8</v>
      </c>
    </row>
    <row r="5773" s="76" customFormat="1" spans="1:6">
      <c r="A5773">
        <v>5943</v>
      </c>
      <c r="B5773">
        <v>352016260</v>
      </c>
      <c r="C5773" s="76">
        <v>2016</v>
      </c>
      <c r="D5773" s="76" t="s">
        <v>34</v>
      </c>
      <c r="E5773" s="76">
        <v>24</v>
      </c>
      <c r="F5773" s="76">
        <v>4.8</v>
      </c>
    </row>
    <row r="5774" s="76" customFormat="1" spans="1:6">
      <c r="A5774">
        <v>5944</v>
      </c>
      <c r="B5774">
        <v>352016260</v>
      </c>
      <c r="C5774" s="76">
        <v>2016</v>
      </c>
      <c r="D5774" s="76" t="s">
        <v>34</v>
      </c>
      <c r="E5774" s="76">
        <v>19</v>
      </c>
      <c r="F5774" s="76">
        <v>4.75</v>
      </c>
    </row>
    <row r="5775" s="76" customFormat="1" spans="1:6">
      <c r="A5775">
        <v>5945</v>
      </c>
      <c r="B5775">
        <v>352016260</v>
      </c>
      <c r="C5775" s="76">
        <v>2016</v>
      </c>
      <c r="D5775" s="76" t="s">
        <v>34</v>
      </c>
      <c r="E5775" s="76">
        <v>19</v>
      </c>
      <c r="F5775" s="76">
        <v>4.75</v>
      </c>
    </row>
    <row r="5776" s="76" customFormat="1" spans="1:6">
      <c r="A5776">
        <v>5941</v>
      </c>
      <c r="B5776">
        <v>352016260</v>
      </c>
      <c r="C5776" s="76">
        <v>2016</v>
      </c>
      <c r="D5776" s="76" t="s">
        <v>34</v>
      </c>
      <c r="E5776" s="76">
        <v>15</v>
      </c>
      <c r="F5776" s="76">
        <v>3</v>
      </c>
    </row>
    <row r="5777" s="76" customFormat="1" spans="1:6">
      <c r="A5777">
        <v>5951</v>
      </c>
      <c r="B5777">
        <v>352016260</v>
      </c>
      <c r="C5777" s="76">
        <v>2016</v>
      </c>
      <c r="D5777" s="76" t="s">
        <v>34</v>
      </c>
      <c r="E5777" s="76" t="s">
        <v>32</v>
      </c>
      <c r="F5777" s="76">
        <v>0.5</v>
      </c>
    </row>
    <row r="5778" s="76" customFormat="1" spans="1:6">
      <c r="A5778">
        <v>5950</v>
      </c>
      <c r="B5778">
        <v>352016260</v>
      </c>
      <c r="C5778" s="76">
        <v>2016</v>
      </c>
      <c r="D5778" s="76" t="s">
        <v>34</v>
      </c>
      <c r="E5778" s="76" t="s">
        <v>32</v>
      </c>
      <c r="F5778" s="76">
        <v>5.75</v>
      </c>
    </row>
    <row r="5779" s="76" customFormat="1" spans="1:6">
      <c r="A5779">
        <v>5948</v>
      </c>
      <c r="B5779">
        <v>352016260</v>
      </c>
      <c r="C5779" s="76">
        <v>2016</v>
      </c>
      <c r="D5779" s="76" t="s">
        <v>34</v>
      </c>
      <c r="E5779" s="76" t="s">
        <v>32</v>
      </c>
      <c r="F5779" s="76">
        <v>5</v>
      </c>
    </row>
    <row r="5780" s="76" customFormat="1" spans="1:6">
      <c r="A5780">
        <v>5952</v>
      </c>
      <c r="B5780">
        <v>352016260</v>
      </c>
      <c r="C5780" s="76">
        <v>2016</v>
      </c>
      <c r="D5780" s="76" t="s">
        <v>34</v>
      </c>
      <c r="E5780" s="76" t="s">
        <v>32</v>
      </c>
      <c r="F5780" s="76">
        <v>3.6</v>
      </c>
    </row>
    <row r="5781" s="76" customFormat="1" spans="1:6">
      <c r="A5781">
        <v>5947</v>
      </c>
      <c r="B5781">
        <v>352016260</v>
      </c>
      <c r="C5781" s="76">
        <v>2016</v>
      </c>
      <c r="D5781" s="76" t="s">
        <v>34</v>
      </c>
      <c r="E5781" s="76" t="s">
        <v>32</v>
      </c>
      <c r="F5781" s="76">
        <v>1.6</v>
      </c>
    </row>
    <row r="5782" s="76" customFormat="1" spans="1:6">
      <c r="A5782">
        <v>5958</v>
      </c>
      <c r="B5782">
        <v>352016260</v>
      </c>
      <c r="C5782" s="76">
        <v>2016</v>
      </c>
      <c r="D5782" s="76" t="s">
        <v>34</v>
      </c>
      <c r="E5782" s="76" t="s">
        <v>32</v>
      </c>
      <c r="F5782" s="76">
        <v>4.8</v>
      </c>
    </row>
    <row r="5783" s="76" customFormat="1" spans="1:6">
      <c r="A5783">
        <v>5957</v>
      </c>
      <c r="B5783">
        <v>352016260</v>
      </c>
      <c r="C5783" s="76">
        <v>2016</v>
      </c>
      <c r="D5783" s="76" t="s">
        <v>34</v>
      </c>
      <c r="E5783" s="76" t="s">
        <v>32</v>
      </c>
      <c r="F5783" s="76">
        <v>2.2</v>
      </c>
    </row>
    <row r="5784" s="76" customFormat="1" spans="1:6">
      <c r="A5784">
        <v>5962</v>
      </c>
      <c r="B5784">
        <v>352016270</v>
      </c>
      <c r="C5784" s="76">
        <v>2016</v>
      </c>
      <c r="D5784" s="76" t="s">
        <v>31</v>
      </c>
      <c r="E5784" s="76" t="s">
        <v>32</v>
      </c>
      <c r="F5784" s="76">
        <v>0.73</v>
      </c>
    </row>
    <row r="5785" s="76" customFormat="1" spans="1:6">
      <c r="A5785">
        <v>5959</v>
      </c>
      <c r="B5785">
        <v>352016270</v>
      </c>
      <c r="C5785" s="76">
        <v>2016</v>
      </c>
      <c r="D5785" s="76" t="s">
        <v>31</v>
      </c>
      <c r="E5785" s="76" t="s">
        <v>32</v>
      </c>
      <c r="F5785" s="76">
        <v>2.03</v>
      </c>
    </row>
    <row r="5786" s="76" customFormat="1" spans="1:6">
      <c r="A5786">
        <v>5960</v>
      </c>
      <c r="B5786">
        <v>352016270</v>
      </c>
      <c r="C5786" s="76">
        <v>2016</v>
      </c>
      <c r="D5786" s="76" t="s">
        <v>31</v>
      </c>
      <c r="E5786" s="76" t="s">
        <v>32</v>
      </c>
      <c r="F5786" s="76">
        <v>3.58</v>
      </c>
    </row>
    <row r="5787" s="76" customFormat="1" spans="1:6">
      <c r="A5787">
        <v>5961</v>
      </c>
      <c r="B5787">
        <v>352016270</v>
      </c>
      <c r="C5787" s="76">
        <v>2016</v>
      </c>
      <c r="D5787" s="76" t="s">
        <v>31</v>
      </c>
      <c r="E5787" s="76" t="s">
        <v>32</v>
      </c>
      <c r="F5787" s="76">
        <v>8</v>
      </c>
    </row>
    <row r="5788" s="76" customFormat="1" spans="1:6">
      <c r="A5788">
        <v>5968</v>
      </c>
      <c r="B5788">
        <v>352017110</v>
      </c>
      <c r="C5788" s="76">
        <v>2017</v>
      </c>
      <c r="D5788" s="76" t="s">
        <v>40</v>
      </c>
      <c r="E5788" s="76" t="s">
        <v>32</v>
      </c>
      <c r="F5788" s="76">
        <v>0.16</v>
      </c>
    </row>
    <row r="5789" s="76" customFormat="1" spans="1:6">
      <c r="A5789">
        <v>5964</v>
      </c>
      <c r="B5789">
        <v>352017110</v>
      </c>
      <c r="C5789" s="76">
        <v>2017</v>
      </c>
      <c r="D5789" s="76" t="s">
        <v>40</v>
      </c>
      <c r="E5789" s="76" t="s">
        <v>32</v>
      </c>
      <c r="F5789" s="76">
        <v>20</v>
      </c>
    </row>
    <row r="5790" s="76" customFormat="1" spans="1:6">
      <c r="A5790">
        <v>5966</v>
      </c>
      <c r="B5790">
        <v>352017110</v>
      </c>
      <c r="C5790" s="76">
        <v>2017</v>
      </c>
      <c r="D5790" s="76" t="s">
        <v>40</v>
      </c>
      <c r="E5790" s="76" t="s">
        <v>32</v>
      </c>
      <c r="F5790" s="76">
        <v>0.69</v>
      </c>
    </row>
    <row r="5791" s="76" customFormat="1" spans="1:6">
      <c r="A5791">
        <v>5969</v>
      </c>
      <c r="B5791">
        <v>352017110</v>
      </c>
      <c r="C5791" s="76">
        <v>2017</v>
      </c>
      <c r="D5791" s="76" t="s">
        <v>40</v>
      </c>
      <c r="E5791" s="76" t="s">
        <v>32</v>
      </c>
      <c r="F5791" s="76">
        <v>0.96</v>
      </c>
    </row>
    <row r="5792" s="76" customFormat="1" spans="1:6">
      <c r="A5792">
        <v>5967</v>
      </c>
      <c r="B5792">
        <v>352017110</v>
      </c>
      <c r="C5792" s="76">
        <v>2017</v>
      </c>
      <c r="D5792" s="76" t="s">
        <v>40</v>
      </c>
      <c r="E5792" s="76" t="s">
        <v>32</v>
      </c>
      <c r="F5792" s="76">
        <v>0.15</v>
      </c>
    </row>
    <row r="5793" s="76" customFormat="1" spans="1:6">
      <c r="A5793">
        <v>5970</v>
      </c>
      <c r="B5793">
        <v>352017110</v>
      </c>
      <c r="C5793" s="76">
        <v>2017</v>
      </c>
      <c r="D5793" s="76" t="s">
        <v>40</v>
      </c>
      <c r="E5793" s="76" t="s">
        <v>32</v>
      </c>
      <c r="F5793" s="76">
        <v>3.82</v>
      </c>
    </row>
    <row r="5794" s="76" customFormat="1" spans="1:6">
      <c r="A5794">
        <v>5973</v>
      </c>
      <c r="B5794">
        <v>352017211</v>
      </c>
      <c r="C5794" s="76">
        <v>2017</v>
      </c>
      <c r="D5794" s="76" t="s">
        <v>37</v>
      </c>
      <c r="E5794" s="76" t="s">
        <v>32</v>
      </c>
      <c r="F5794" s="76">
        <v>1.6</v>
      </c>
    </row>
    <row r="5795" s="76" customFormat="1" spans="1:6">
      <c r="A5795">
        <v>5972</v>
      </c>
      <c r="B5795">
        <v>352017211</v>
      </c>
      <c r="C5795" s="76">
        <v>2017</v>
      </c>
      <c r="D5795" s="76" t="s">
        <v>37</v>
      </c>
      <c r="E5795" s="76" t="s">
        <v>32</v>
      </c>
      <c r="F5795" s="76">
        <v>3.61</v>
      </c>
    </row>
    <row r="5796" s="76" customFormat="1" spans="1:6">
      <c r="A5796">
        <v>5971</v>
      </c>
      <c r="B5796">
        <v>352017211</v>
      </c>
      <c r="C5796" s="76">
        <v>2017</v>
      </c>
      <c r="D5796" s="76" t="s">
        <v>37</v>
      </c>
      <c r="E5796" s="76">
        <v>2</v>
      </c>
      <c r="F5796" s="76">
        <v>200</v>
      </c>
    </row>
    <row r="5797" s="76" customFormat="1" spans="1:6">
      <c r="A5797">
        <v>5974</v>
      </c>
      <c r="B5797">
        <v>352017221</v>
      </c>
      <c r="C5797" s="76">
        <v>2017</v>
      </c>
      <c r="D5797" s="76" t="s">
        <v>30</v>
      </c>
      <c r="E5797" s="76">
        <v>1</v>
      </c>
      <c r="F5797" s="76">
        <v>3.18</v>
      </c>
    </row>
    <row r="5798" s="76" customFormat="1" spans="1:6">
      <c r="A5798">
        <v>5976</v>
      </c>
      <c r="B5798">
        <v>352017241</v>
      </c>
      <c r="C5798" s="76">
        <v>2017</v>
      </c>
      <c r="D5798" s="76" t="s">
        <v>33</v>
      </c>
      <c r="E5798" s="76" t="s">
        <v>32</v>
      </c>
      <c r="F5798" s="76">
        <v>3.7</v>
      </c>
    </row>
    <row r="5799" s="76" customFormat="1" spans="1:6">
      <c r="A5799">
        <v>5977</v>
      </c>
      <c r="B5799">
        <v>352017241</v>
      </c>
      <c r="C5799" s="76">
        <v>2017</v>
      </c>
      <c r="D5799" s="76" t="s">
        <v>33</v>
      </c>
      <c r="E5799" s="76" t="s">
        <v>32</v>
      </c>
      <c r="F5799" s="76">
        <v>3</v>
      </c>
    </row>
    <row r="5800" s="76" customFormat="1" spans="1:6">
      <c r="A5800">
        <v>5978</v>
      </c>
      <c r="B5800">
        <v>352017241</v>
      </c>
      <c r="C5800" s="76">
        <v>2017</v>
      </c>
      <c r="D5800" s="76" t="s">
        <v>33</v>
      </c>
      <c r="E5800" s="76" t="s">
        <v>32</v>
      </c>
      <c r="F5800" s="76">
        <v>0.9</v>
      </c>
    </row>
    <row r="5801" s="76" customFormat="1" spans="1:6">
      <c r="A5801">
        <v>5975</v>
      </c>
      <c r="B5801">
        <v>352017241</v>
      </c>
      <c r="C5801" s="76">
        <v>2017</v>
      </c>
      <c r="D5801" s="76" t="s">
        <v>33</v>
      </c>
      <c r="E5801" s="76" t="s">
        <v>32</v>
      </c>
      <c r="F5801" s="76">
        <v>0.6</v>
      </c>
    </row>
    <row r="5802" s="76" customFormat="1" spans="1:6">
      <c r="A5802">
        <v>5980</v>
      </c>
      <c r="B5802">
        <v>352017242</v>
      </c>
      <c r="C5802" s="76">
        <v>2017</v>
      </c>
      <c r="D5802" s="76" t="s">
        <v>35</v>
      </c>
      <c r="E5802" s="76" t="s">
        <v>32</v>
      </c>
      <c r="F5802" s="76">
        <v>0.2</v>
      </c>
    </row>
    <row r="5803" s="76" customFormat="1" spans="1:6">
      <c r="A5803">
        <v>5979</v>
      </c>
      <c r="B5803">
        <v>352017242</v>
      </c>
      <c r="C5803" s="76">
        <v>2017</v>
      </c>
      <c r="D5803" s="76" t="s">
        <v>35</v>
      </c>
      <c r="E5803" s="76" t="s">
        <v>32</v>
      </c>
      <c r="F5803" s="76">
        <v>1.5</v>
      </c>
    </row>
    <row r="5804" s="76" customFormat="1" spans="1:6">
      <c r="A5804">
        <v>5982</v>
      </c>
      <c r="B5804">
        <v>352017242</v>
      </c>
      <c r="C5804" s="76">
        <v>2017</v>
      </c>
      <c r="D5804" s="76" t="s">
        <v>35</v>
      </c>
      <c r="E5804" s="76" t="s">
        <v>32</v>
      </c>
      <c r="F5804" s="76">
        <v>3</v>
      </c>
    </row>
    <row r="5805" s="76" customFormat="1" spans="1:6">
      <c r="A5805">
        <v>5981</v>
      </c>
      <c r="B5805">
        <v>352017242</v>
      </c>
      <c r="C5805" s="76">
        <v>2017</v>
      </c>
      <c r="D5805" s="76" t="s">
        <v>35</v>
      </c>
      <c r="E5805" s="76" t="s">
        <v>32</v>
      </c>
      <c r="F5805" s="76">
        <v>4</v>
      </c>
    </row>
    <row r="5806" s="76" customFormat="1" spans="1:6">
      <c r="A5806">
        <v>5983</v>
      </c>
      <c r="B5806">
        <v>352017250</v>
      </c>
      <c r="C5806" s="76">
        <v>2017</v>
      </c>
      <c r="D5806" s="76" t="s">
        <v>44</v>
      </c>
      <c r="E5806" s="76">
        <v>1</v>
      </c>
      <c r="F5806" s="76">
        <v>108.9</v>
      </c>
    </row>
    <row r="5807" s="76" customFormat="1" spans="1:6">
      <c r="A5807">
        <v>5999</v>
      </c>
      <c r="B5807">
        <v>352017260</v>
      </c>
      <c r="C5807" s="76">
        <v>2017</v>
      </c>
      <c r="D5807" s="76" t="s">
        <v>34</v>
      </c>
      <c r="E5807" s="76" t="s">
        <v>32</v>
      </c>
      <c r="F5807" s="76">
        <v>7.66</v>
      </c>
    </row>
    <row r="5808" s="76" customFormat="1" spans="1:6">
      <c r="A5808">
        <v>5986</v>
      </c>
      <c r="B5808">
        <v>352017260</v>
      </c>
      <c r="C5808" s="76">
        <v>2017</v>
      </c>
      <c r="D5808" s="76" t="s">
        <v>34</v>
      </c>
      <c r="E5808" s="76">
        <v>7</v>
      </c>
      <c r="F5808" s="76">
        <v>1.4</v>
      </c>
    </row>
    <row r="5809" s="76" customFormat="1" spans="1:6">
      <c r="A5809">
        <v>6001</v>
      </c>
      <c r="B5809">
        <v>352017260</v>
      </c>
      <c r="C5809" s="76">
        <v>2017</v>
      </c>
      <c r="D5809" s="76" t="s">
        <v>34</v>
      </c>
      <c r="E5809" s="76" t="s">
        <v>32</v>
      </c>
      <c r="F5809" s="76">
        <v>2</v>
      </c>
    </row>
    <row r="5810" s="76" customFormat="1" spans="1:6">
      <c r="A5810">
        <v>5992</v>
      </c>
      <c r="B5810">
        <v>352017260</v>
      </c>
      <c r="C5810" s="76">
        <v>2017</v>
      </c>
      <c r="D5810" s="76" t="s">
        <v>34</v>
      </c>
      <c r="E5810" s="76">
        <v>15</v>
      </c>
      <c r="F5810" s="76">
        <v>3</v>
      </c>
    </row>
    <row r="5811" s="76" customFormat="1" spans="1:6">
      <c r="A5811">
        <v>6004</v>
      </c>
      <c r="B5811">
        <v>352017260</v>
      </c>
      <c r="C5811" s="76">
        <v>2017</v>
      </c>
      <c r="D5811" s="76" t="s">
        <v>34</v>
      </c>
      <c r="E5811" s="76" t="s">
        <v>32</v>
      </c>
      <c r="F5811" s="76">
        <v>1.6</v>
      </c>
    </row>
    <row r="5812" s="76" customFormat="1" spans="1:6">
      <c r="A5812">
        <v>5995</v>
      </c>
      <c r="B5812">
        <v>352017260</v>
      </c>
      <c r="C5812" s="76">
        <v>2017</v>
      </c>
      <c r="D5812" s="76" t="s">
        <v>34</v>
      </c>
      <c r="E5812" s="76" t="s">
        <v>32</v>
      </c>
      <c r="F5812" s="76">
        <v>1</v>
      </c>
    </row>
    <row r="5813" s="76" customFormat="1" spans="1:6">
      <c r="A5813">
        <v>6002</v>
      </c>
      <c r="B5813">
        <v>352017260</v>
      </c>
      <c r="C5813" s="76">
        <v>2017</v>
      </c>
      <c r="D5813" s="76" t="s">
        <v>34</v>
      </c>
      <c r="E5813" s="76" t="s">
        <v>32</v>
      </c>
      <c r="F5813" s="76">
        <v>1</v>
      </c>
    </row>
    <row r="5814" s="76" customFormat="1" spans="1:6">
      <c r="A5814">
        <v>6000</v>
      </c>
      <c r="B5814">
        <v>352017260</v>
      </c>
      <c r="C5814" s="76">
        <v>2017</v>
      </c>
      <c r="D5814" s="76" t="s">
        <v>34</v>
      </c>
      <c r="E5814" s="76" t="s">
        <v>32</v>
      </c>
      <c r="F5814" s="76">
        <v>3</v>
      </c>
    </row>
    <row r="5815" s="76" customFormat="1" spans="1:6">
      <c r="A5815">
        <v>5988</v>
      </c>
      <c r="B5815">
        <v>352017260</v>
      </c>
      <c r="C5815" s="76">
        <v>2017</v>
      </c>
      <c r="D5815" s="76" t="s">
        <v>34</v>
      </c>
      <c r="E5815" s="76">
        <v>22</v>
      </c>
      <c r="F5815" s="76">
        <v>4.84</v>
      </c>
    </row>
    <row r="5816" s="76" customFormat="1" spans="1:6">
      <c r="A5816">
        <v>5994</v>
      </c>
      <c r="B5816">
        <v>352017260</v>
      </c>
      <c r="C5816" s="76">
        <v>2017</v>
      </c>
      <c r="D5816" s="76" t="s">
        <v>34</v>
      </c>
      <c r="E5816" s="76">
        <v>24</v>
      </c>
      <c r="F5816" s="76">
        <v>4.8</v>
      </c>
    </row>
    <row r="5817" s="76" customFormat="1" spans="1:6">
      <c r="A5817">
        <v>5993</v>
      </c>
      <c r="B5817">
        <v>352017260</v>
      </c>
      <c r="C5817" s="76">
        <v>2017</v>
      </c>
      <c r="D5817" s="76" t="s">
        <v>34</v>
      </c>
      <c r="E5817" s="76">
        <v>25</v>
      </c>
      <c r="F5817" s="76">
        <v>10</v>
      </c>
    </row>
    <row r="5818" s="76" customFormat="1" spans="1:6">
      <c r="A5818">
        <v>5987</v>
      </c>
      <c r="B5818">
        <v>352017260</v>
      </c>
      <c r="C5818" s="76">
        <v>2017</v>
      </c>
      <c r="D5818" s="76" t="s">
        <v>34</v>
      </c>
      <c r="E5818" s="76">
        <v>4</v>
      </c>
      <c r="F5818" s="76">
        <v>2</v>
      </c>
    </row>
    <row r="5819" s="76" customFormat="1" spans="1:6">
      <c r="A5819">
        <v>5990</v>
      </c>
      <c r="B5819">
        <v>352017260</v>
      </c>
      <c r="C5819" s="76">
        <v>2017</v>
      </c>
      <c r="D5819" s="76" t="s">
        <v>34</v>
      </c>
      <c r="E5819" s="76">
        <v>20</v>
      </c>
      <c r="F5819" s="76">
        <v>4</v>
      </c>
    </row>
    <row r="5820" s="76" customFormat="1" spans="1:6">
      <c r="A5820">
        <v>5985</v>
      </c>
      <c r="B5820">
        <v>352017260</v>
      </c>
      <c r="C5820" s="76">
        <v>2017</v>
      </c>
      <c r="D5820" s="76" t="s">
        <v>34</v>
      </c>
      <c r="E5820" s="76" t="s">
        <v>32</v>
      </c>
      <c r="F5820" s="76">
        <v>1</v>
      </c>
    </row>
    <row r="5821" s="76" customFormat="1" spans="1:6">
      <c r="A5821">
        <v>5989</v>
      </c>
      <c r="B5821">
        <v>352017260</v>
      </c>
      <c r="C5821" s="76">
        <v>2017</v>
      </c>
      <c r="D5821" s="76" t="s">
        <v>34</v>
      </c>
      <c r="E5821" s="76">
        <v>22</v>
      </c>
      <c r="F5821" s="76">
        <v>4.84</v>
      </c>
    </row>
    <row r="5822" s="76" customFormat="1" spans="1:6">
      <c r="A5822">
        <v>6003</v>
      </c>
      <c r="B5822">
        <v>352017260</v>
      </c>
      <c r="C5822" s="76">
        <v>2017</v>
      </c>
      <c r="D5822" s="76" t="s">
        <v>34</v>
      </c>
      <c r="E5822" s="76" t="s">
        <v>32</v>
      </c>
      <c r="F5822" s="76">
        <v>0.8</v>
      </c>
    </row>
    <row r="5823" s="76" customFormat="1" spans="1:6">
      <c r="A5823">
        <v>5998</v>
      </c>
      <c r="B5823">
        <v>352017260</v>
      </c>
      <c r="C5823" s="76">
        <v>2017</v>
      </c>
      <c r="D5823" s="76" t="s">
        <v>34</v>
      </c>
      <c r="E5823" s="76" t="s">
        <v>32</v>
      </c>
      <c r="F5823" s="76">
        <v>2.7</v>
      </c>
    </row>
    <row r="5824" s="76" customFormat="1" spans="1:6">
      <c r="A5824">
        <v>5984</v>
      </c>
      <c r="B5824">
        <v>352017260</v>
      </c>
      <c r="C5824" s="76">
        <v>2017</v>
      </c>
      <c r="D5824" s="76" t="s">
        <v>34</v>
      </c>
      <c r="E5824" s="76" t="s">
        <v>32</v>
      </c>
      <c r="F5824" s="76">
        <v>3.75</v>
      </c>
    </row>
    <row r="5825" s="76" customFormat="1" spans="1:6">
      <c r="A5825">
        <v>5997</v>
      </c>
      <c r="B5825">
        <v>352017260</v>
      </c>
      <c r="C5825" s="76">
        <v>2017</v>
      </c>
      <c r="D5825" s="76" t="s">
        <v>34</v>
      </c>
      <c r="E5825" s="76" t="s">
        <v>32</v>
      </c>
      <c r="F5825" s="76">
        <v>4.75</v>
      </c>
    </row>
    <row r="5826" s="76" customFormat="1" spans="1:6">
      <c r="A5826">
        <v>5991</v>
      </c>
      <c r="B5826">
        <v>352017260</v>
      </c>
      <c r="C5826" s="76">
        <v>2017</v>
      </c>
      <c r="D5826" s="76" t="s">
        <v>34</v>
      </c>
      <c r="E5826" s="76" t="s">
        <v>32</v>
      </c>
      <c r="F5826" s="76">
        <v>0.2</v>
      </c>
    </row>
    <row r="5827" s="76" customFormat="1" spans="1:6">
      <c r="A5827">
        <v>5996</v>
      </c>
      <c r="B5827">
        <v>352017260</v>
      </c>
      <c r="C5827" s="76">
        <v>2017</v>
      </c>
      <c r="D5827" s="76" t="s">
        <v>34</v>
      </c>
      <c r="E5827" s="76" t="s">
        <v>32</v>
      </c>
      <c r="F5827" s="76">
        <v>4.75</v>
      </c>
    </row>
    <row r="5828" s="76" customFormat="1" spans="1:6">
      <c r="A5828">
        <v>6019</v>
      </c>
      <c r="B5828">
        <v>352017270</v>
      </c>
      <c r="C5828" s="76">
        <v>2017</v>
      </c>
      <c r="D5828" s="76" t="s">
        <v>31</v>
      </c>
      <c r="E5828" s="76" t="s">
        <v>32</v>
      </c>
      <c r="F5828" s="76">
        <v>0.69</v>
      </c>
    </row>
    <row r="5829" s="76" customFormat="1" spans="1:6">
      <c r="A5829">
        <v>6020</v>
      </c>
      <c r="B5829">
        <v>352017270</v>
      </c>
      <c r="C5829" s="76">
        <v>2017</v>
      </c>
      <c r="D5829" s="76" t="s">
        <v>31</v>
      </c>
      <c r="E5829" s="76" t="s">
        <v>32</v>
      </c>
      <c r="F5829" s="76">
        <v>2.13</v>
      </c>
    </row>
    <row r="5830" s="76" customFormat="1" spans="1:6">
      <c r="A5830">
        <v>6021</v>
      </c>
      <c r="B5830">
        <v>352017270</v>
      </c>
      <c r="C5830" s="76">
        <v>2017</v>
      </c>
      <c r="D5830" s="76" t="s">
        <v>31</v>
      </c>
      <c r="E5830" s="76" t="s">
        <v>32</v>
      </c>
      <c r="F5830" s="76">
        <v>0.98</v>
      </c>
    </row>
    <row r="5831" s="76" customFormat="1" spans="1:6">
      <c r="A5831">
        <v>6022</v>
      </c>
      <c r="B5831">
        <v>352017270</v>
      </c>
      <c r="C5831" s="76">
        <v>2017</v>
      </c>
      <c r="D5831" s="76" t="s">
        <v>31</v>
      </c>
      <c r="E5831" s="76" t="s">
        <v>32</v>
      </c>
      <c r="F5831" s="76">
        <v>1.42</v>
      </c>
    </row>
    <row r="5832" s="76" customFormat="1" spans="1:6">
      <c r="A5832">
        <v>6023</v>
      </c>
      <c r="B5832">
        <v>352017270</v>
      </c>
      <c r="C5832" s="76">
        <v>2017</v>
      </c>
      <c r="D5832" s="76" t="s">
        <v>31</v>
      </c>
      <c r="E5832" s="76" t="s">
        <v>32</v>
      </c>
      <c r="F5832" s="76">
        <v>1.93</v>
      </c>
    </row>
    <row r="5833" s="76" customFormat="1" spans="1:6">
      <c r="A5833">
        <v>6024</v>
      </c>
      <c r="B5833">
        <v>352017270</v>
      </c>
      <c r="C5833" s="76">
        <v>2017</v>
      </c>
      <c r="D5833" s="76" t="s">
        <v>31</v>
      </c>
      <c r="E5833" s="76" t="s">
        <v>32</v>
      </c>
      <c r="F5833" s="76">
        <v>1.53</v>
      </c>
    </row>
    <row r="5834" s="76" customFormat="1" spans="1:6">
      <c r="A5834">
        <v>6032</v>
      </c>
      <c r="B5834">
        <v>352017270</v>
      </c>
      <c r="C5834" s="76">
        <v>2017</v>
      </c>
      <c r="D5834" s="76" t="s">
        <v>31</v>
      </c>
      <c r="E5834" s="76" t="s">
        <v>32</v>
      </c>
      <c r="F5834" s="76">
        <v>1.15</v>
      </c>
    </row>
    <row r="5835" s="76" customFormat="1" spans="1:6">
      <c r="A5835">
        <v>6031</v>
      </c>
      <c r="B5835">
        <v>352017270</v>
      </c>
      <c r="C5835" s="76">
        <v>2017</v>
      </c>
      <c r="D5835" s="76" t="s">
        <v>31</v>
      </c>
      <c r="E5835" s="76" t="s">
        <v>32</v>
      </c>
      <c r="F5835" s="76">
        <v>1.21</v>
      </c>
    </row>
    <row r="5836" s="76" customFormat="1" spans="1:6">
      <c r="A5836">
        <v>6016</v>
      </c>
      <c r="B5836">
        <v>352017270</v>
      </c>
      <c r="C5836" s="76">
        <v>2017</v>
      </c>
      <c r="D5836" s="76" t="s">
        <v>31</v>
      </c>
      <c r="E5836" s="76" t="s">
        <v>32</v>
      </c>
      <c r="F5836" s="76">
        <v>2.95</v>
      </c>
    </row>
    <row r="5837" s="76" customFormat="1" spans="1:6">
      <c r="A5837">
        <v>6009</v>
      </c>
      <c r="B5837">
        <v>352017270</v>
      </c>
      <c r="C5837" s="76">
        <v>2017</v>
      </c>
      <c r="D5837" s="76" t="s">
        <v>31</v>
      </c>
      <c r="E5837" s="76" t="s">
        <v>32</v>
      </c>
      <c r="F5837" s="76">
        <v>7.58</v>
      </c>
    </row>
    <row r="5838" s="76" customFormat="1" spans="1:6">
      <c r="A5838">
        <v>6013</v>
      </c>
      <c r="B5838">
        <v>352017270</v>
      </c>
      <c r="C5838" s="76">
        <v>2017</v>
      </c>
      <c r="D5838" s="76" t="s">
        <v>31</v>
      </c>
      <c r="E5838" s="76" t="s">
        <v>32</v>
      </c>
      <c r="F5838" s="76">
        <v>1.16</v>
      </c>
    </row>
    <row r="5839" s="76" customFormat="1" spans="1:6">
      <c r="A5839">
        <v>6028</v>
      </c>
      <c r="B5839">
        <v>352017270</v>
      </c>
      <c r="C5839" s="76">
        <v>2017</v>
      </c>
      <c r="D5839" s="76" t="s">
        <v>31</v>
      </c>
      <c r="E5839" s="76" t="s">
        <v>32</v>
      </c>
      <c r="F5839" s="76">
        <v>2</v>
      </c>
    </row>
    <row r="5840" s="76" customFormat="1" spans="1:6">
      <c r="A5840">
        <v>6006</v>
      </c>
      <c r="B5840">
        <v>352017270</v>
      </c>
      <c r="C5840" s="76">
        <v>2017</v>
      </c>
      <c r="D5840" s="76" t="s">
        <v>31</v>
      </c>
      <c r="E5840" s="76" t="s">
        <v>32</v>
      </c>
      <c r="F5840" s="76">
        <v>0.61</v>
      </c>
    </row>
    <row r="5841" s="76" customFormat="1" spans="1:6">
      <c r="A5841">
        <v>6008</v>
      </c>
      <c r="B5841">
        <v>352017270</v>
      </c>
      <c r="C5841" s="76">
        <v>2017</v>
      </c>
      <c r="D5841" s="76" t="s">
        <v>31</v>
      </c>
      <c r="E5841" s="76" t="s">
        <v>32</v>
      </c>
      <c r="F5841" s="76">
        <v>0.75</v>
      </c>
    </row>
    <row r="5842" s="76" customFormat="1" spans="1:6">
      <c r="A5842">
        <v>6011</v>
      </c>
      <c r="B5842">
        <v>352017270</v>
      </c>
      <c r="C5842" s="76">
        <v>2017</v>
      </c>
      <c r="D5842" s="76" t="s">
        <v>31</v>
      </c>
      <c r="E5842" s="76">
        <v>1</v>
      </c>
      <c r="F5842" s="76">
        <v>1.6</v>
      </c>
    </row>
    <row r="5843" s="76" customFormat="1" spans="1:6">
      <c r="A5843">
        <v>6012</v>
      </c>
      <c r="B5843">
        <v>352017270</v>
      </c>
      <c r="C5843" s="76">
        <v>2017</v>
      </c>
      <c r="D5843" s="76" t="s">
        <v>31</v>
      </c>
      <c r="E5843" s="76">
        <v>1</v>
      </c>
      <c r="F5843" s="76">
        <v>4.78</v>
      </c>
    </row>
    <row r="5844" s="76" customFormat="1" spans="1:6">
      <c r="A5844">
        <v>6007</v>
      </c>
      <c r="B5844">
        <v>352017270</v>
      </c>
      <c r="C5844" s="76">
        <v>2017</v>
      </c>
      <c r="D5844" s="76" t="s">
        <v>31</v>
      </c>
      <c r="E5844" s="76" t="s">
        <v>32</v>
      </c>
      <c r="F5844" s="76">
        <v>1</v>
      </c>
    </row>
    <row r="5845" s="76" customFormat="1" spans="1:6">
      <c r="A5845">
        <v>6026</v>
      </c>
      <c r="B5845">
        <v>352017270</v>
      </c>
      <c r="C5845" s="76">
        <v>2017</v>
      </c>
      <c r="D5845" s="76" t="s">
        <v>31</v>
      </c>
      <c r="E5845" s="76" t="s">
        <v>32</v>
      </c>
      <c r="F5845" s="76">
        <v>1</v>
      </c>
    </row>
    <row r="5846" s="76" customFormat="1" spans="1:6">
      <c r="A5846">
        <v>6025</v>
      </c>
      <c r="B5846">
        <v>352017270</v>
      </c>
      <c r="C5846" s="76">
        <v>2017</v>
      </c>
      <c r="D5846" s="76" t="s">
        <v>31</v>
      </c>
      <c r="E5846" s="76" t="s">
        <v>32</v>
      </c>
      <c r="F5846" s="76">
        <v>2.97</v>
      </c>
    </row>
    <row r="5847" s="76" customFormat="1" spans="1:6">
      <c r="A5847">
        <v>6027</v>
      </c>
      <c r="B5847">
        <v>352017270</v>
      </c>
      <c r="C5847" s="76">
        <v>2017</v>
      </c>
      <c r="D5847" s="76" t="s">
        <v>31</v>
      </c>
      <c r="E5847" s="76" t="s">
        <v>32</v>
      </c>
      <c r="F5847" s="76">
        <v>2</v>
      </c>
    </row>
    <row r="5848" s="76" customFormat="1" spans="1:6">
      <c r="A5848">
        <v>6018</v>
      </c>
      <c r="B5848">
        <v>352017270</v>
      </c>
      <c r="C5848" s="76">
        <v>2017</v>
      </c>
      <c r="D5848" s="76" t="s">
        <v>31</v>
      </c>
      <c r="E5848" s="76" t="s">
        <v>32</v>
      </c>
      <c r="F5848" s="76">
        <v>1.34</v>
      </c>
    </row>
    <row r="5849" s="76" customFormat="1" spans="1:6">
      <c r="A5849">
        <v>6015</v>
      </c>
      <c r="B5849">
        <v>352017270</v>
      </c>
      <c r="C5849" s="76">
        <v>2017</v>
      </c>
      <c r="D5849" s="76" t="s">
        <v>31</v>
      </c>
      <c r="E5849" s="76" t="s">
        <v>32</v>
      </c>
      <c r="F5849" s="76">
        <v>0.45</v>
      </c>
    </row>
    <row r="5850" s="76" customFormat="1" spans="1:6">
      <c r="A5850">
        <v>6033</v>
      </c>
      <c r="B5850">
        <v>352017270</v>
      </c>
      <c r="C5850" s="76">
        <v>2017</v>
      </c>
      <c r="D5850" s="76" t="s">
        <v>31</v>
      </c>
      <c r="E5850" s="76" t="s">
        <v>32</v>
      </c>
      <c r="F5850" s="76">
        <v>1.52</v>
      </c>
    </row>
    <row r="5851" s="76" customFormat="1" spans="1:6">
      <c r="A5851">
        <v>6029</v>
      </c>
      <c r="B5851">
        <v>352017270</v>
      </c>
      <c r="C5851" s="76">
        <v>2017</v>
      </c>
      <c r="D5851" s="76" t="s">
        <v>31</v>
      </c>
      <c r="E5851" s="76" t="s">
        <v>32</v>
      </c>
      <c r="F5851" s="76">
        <v>1.5</v>
      </c>
    </row>
    <row r="5852" s="76" customFormat="1" spans="1:6">
      <c r="A5852">
        <v>6010</v>
      </c>
      <c r="B5852">
        <v>352017270</v>
      </c>
      <c r="C5852" s="76">
        <v>2017</v>
      </c>
      <c r="D5852" s="76" t="s">
        <v>31</v>
      </c>
      <c r="E5852" s="76" t="s">
        <v>32</v>
      </c>
      <c r="F5852" s="76">
        <v>5</v>
      </c>
    </row>
    <row r="5853" s="76" customFormat="1" spans="1:6">
      <c r="A5853">
        <v>6030</v>
      </c>
      <c r="B5853">
        <v>352017270</v>
      </c>
      <c r="C5853" s="76">
        <v>2017</v>
      </c>
      <c r="D5853" s="76" t="s">
        <v>31</v>
      </c>
      <c r="E5853" s="76" t="s">
        <v>32</v>
      </c>
      <c r="F5853" s="76">
        <v>1</v>
      </c>
    </row>
    <row r="5854" s="76" customFormat="1" spans="1:6">
      <c r="A5854">
        <v>6005</v>
      </c>
      <c r="B5854">
        <v>352017270</v>
      </c>
      <c r="C5854" s="76">
        <v>2017</v>
      </c>
      <c r="D5854" s="76" t="s">
        <v>31</v>
      </c>
      <c r="E5854" s="76" t="s">
        <v>32</v>
      </c>
      <c r="F5854" s="76">
        <v>1</v>
      </c>
    </row>
    <row r="5855" s="76" customFormat="1" spans="1:6">
      <c r="A5855">
        <v>6017</v>
      </c>
      <c r="B5855">
        <v>352017270</v>
      </c>
      <c r="C5855" s="76">
        <v>2017</v>
      </c>
      <c r="D5855" s="76" t="s">
        <v>31</v>
      </c>
      <c r="E5855" s="76" t="s">
        <v>32</v>
      </c>
      <c r="F5855" s="76">
        <v>1</v>
      </c>
    </row>
    <row r="5856" s="76" customFormat="1" spans="1:6">
      <c r="A5856">
        <v>6043</v>
      </c>
      <c r="B5856">
        <v>352018110</v>
      </c>
      <c r="C5856" s="76">
        <v>2018</v>
      </c>
      <c r="D5856" s="76" t="s">
        <v>40</v>
      </c>
      <c r="E5856" s="76" t="s">
        <v>32</v>
      </c>
      <c r="F5856" s="76">
        <v>0.74</v>
      </c>
    </row>
    <row r="5857" s="76" customFormat="1" spans="1:6">
      <c r="A5857">
        <v>6034</v>
      </c>
      <c r="B5857">
        <v>352018110</v>
      </c>
      <c r="C5857" s="76">
        <v>2018</v>
      </c>
      <c r="D5857" s="76" t="s">
        <v>40</v>
      </c>
      <c r="E5857" s="76">
        <v>1</v>
      </c>
      <c r="F5857" s="76">
        <v>10</v>
      </c>
    </row>
    <row r="5858" s="76" customFormat="1" spans="1:6">
      <c r="A5858">
        <v>6044</v>
      </c>
      <c r="B5858">
        <v>352018110</v>
      </c>
      <c r="C5858" s="76">
        <v>2018</v>
      </c>
      <c r="D5858" s="76" t="s">
        <v>40</v>
      </c>
      <c r="E5858" s="76" t="s">
        <v>32</v>
      </c>
      <c r="F5858" s="76">
        <v>1.25</v>
      </c>
    </row>
    <row r="5859" s="76" customFormat="1" spans="1:6">
      <c r="A5859">
        <v>6049</v>
      </c>
      <c r="B5859">
        <v>352018110</v>
      </c>
      <c r="C5859" s="76">
        <v>2018</v>
      </c>
      <c r="D5859" s="76" t="s">
        <v>40</v>
      </c>
      <c r="E5859" s="76" t="s">
        <v>32</v>
      </c>
      <c r="F5859" s="76">
        <v>0.1</v>
      </c>
    </row>
    <row r="5860" s="76" customFormat="1" spans="1:6">
      <c r="A5860">
        <v>6036</v>
      </c>
      <c r="B5860">
        <v>352018110</v>
      </c>
      <c r="C5860" s="76">
        <v>2018</v>
      </c>
      <c r="D5860" s="76" t="s">
        <v>40</v>
      </c>
      <c r="E5860" s="76" t="s">
        <v>32</v>
      </c>
      <c r="F5860" s="76">
        <v>0.08</v>
      </c>
    </row>
    <row r="5861" s="76" customFormat="1" spans="1:6">
      <c r="A5861">
        <v>6035</v>
      </c>
      <c r="B5861">
        <v>352018110</v>
      </c>
      <c r="C5861" s="76">
        <v>2018</v>
      </c>
      <c r="D5861" s="76" t="s">
        <v>40</v>
      </c>
      <c r="E5861" s="76" t="s">
        <v>32</v>
      </c>
      <c r="F5861" s="76">
        <v>0.22</v>
      </c>
    </row>
    <row r="5862" s="76" customFormat="1" spans="1:6">
      <c r="A5862">
        <v>6040</v>
      </c>
      <c r="B5862">
        <v>352018110</v>
      </c>
      <c r="C5862" s="76">
        <v>2018</v>
      </c>
      <c r="D5862" s="76" t="s">
        <v>40</v>
      </c>
      <c r="E5862" s="76" t="s">
        <v>32</v>
      </c>
      <c r="F5862" s="76">
        <v>0.86</v>
      </c>
    </row>
    <row r="5863" s="76" customFormat="1" spans="1:6">
      <c r="A5863">
        <v>6041</v>
      </c>
      <c r="B5863">
        <v>352018110</v>
      </c>
      <c r="C5863" s="76">
        <v>2018</v>
      </c>
      <c r="D5863" s="76" t="s">
        <v>40</v>
      </c>
      <c r="E5863" s="76" t="s">
        <v>32</v>
      </c>
      <c r="F5863" s="76">
        <v>0.09</v>
      </c>
    </row>
    <row r="5864" s="76" customFormat="1" spans="1:6">
      <c r="A5864">
        <v>6039</v>
      </c>
      <c r="B5864">
        <v>352018110</v>
      </c>
      <c r="C5864" s="76">
        <v>2018</v>
      </c>
      <c r="D5864" s="76" t="s">
        <v>40</v>
      </c>
      <c r="E5864" s="76" t="s">
        <v>32</v>
      </c>
      <c r="F5864" s="76">
        <v>0.12</v>
      </c>
    </row>
    <row r="5865" s="76" customFormat="1" spans="1:6">
      <c r="A5865">
        <v>6042</v>
      </c>
      <c r="B5865">
        <v>352018110</v>
      </c>
      <c r="C5865" s="76">
        <v>2018</v>
      </c>
      <c r="D5865" s="76" t="s">
        <v>40</v>
      </c>
      <c r="E5865" s="76" t="s">
        <v>32</v>
      </c>
      <c r="F5865" s="76">
        <v>0.15</v>
      </c>
    </row>
    <row r="5866" s="76" customFormat="1" spans="1:6">
      <c r="A5866">
        <v>6048</v>
      </c>
      <c r="B5866">
        <v>352018110</v>
      </c>
      <c r="C5866" s="76">
        <v>2018</v>
      </c>
      <c r="D5866" s="76" t="s">
        <v>40</v>
      </c>
      <c r="E5866" s="76" t="s">
        <v>32</v>
      </c>
      <c r="F5866" s="76">
        <v>0.2</v>
      </c>
    </row>
    <row r="5867" s="76" customFormat="1" spans="1:6">
      <c r="A5867">
        <v>6047</v>
      </c>
      <c r="B5867">
        <v>352018110</v>
      </c>
      <c r="C5867" s="76">
        <v>2018</v>
      </c>
      <c r="D5867" s="76" t="s">
        <v>40</v>
      </c>
      <c r="E5867" s="76" t="s">
        <v>32</v>
      </c>
      <c r="F5867" s="76">
        <v>0.03</v>
      </c>
    </row>
    <row r="5868" s="76" customFormat="1" spans="1:6">
      <c r="A5868">
        <v>6045</v>
      </c>
      <c r="B5868">
        <v>352018110</v>
      </c>
      <c r="C5868" s="76">
        <v>2018</v>
      </c>
      <c r="D5868" s="76" t="s">
        <v>40</v>
      </c>
      <c r="E5868" s="76" t="s">
        <v>32</v>
      </c>
      <c r="F5868" s="76">
        <v>0.2</v>
      </c>
    </row>
    <row r="5869" s="76" customFormat="1" spans="1:6">
      <c r="A5869">
        <v>6046</v>
      </c>
      <c r="B5869">
        <v>352018110</v>
      </c>
      <c r="C5869" s="76">
        <v>2018</v>
      </c>
      <c r="D5869" s="76" t="s">
        <v>40</v>
      </c>
      <c r="E5869" s="76" t="s">
        <v>32</v>
      </c>
      <c r="F5869" s="76">
        <v>0.61</v>
      </c>
    </row>
    <row r="5870" s="76" customFormat="1" spans="1:6">
      <c r="A5870">
        <v>6037</v>
      </c>
      <c r="B5870">
        <v>352018110</v>
      </c>
      <c r="C5870" s="76">
        <v>2018</v>
      </c>
      <c r="D5870" s="76" t="s">
        <v>40</v>
      </c>
      <c r="E5870" s="76" t="s">
        <v>32</v>
      </c>
      <c r="F5870" s="76">
        <v>0.9</v>
      </c>
    </row>
    <row r="5871" s="76" customFormat="1" spans="1:6">
      <c r="A5871">
        <v>6053</v>
      </c>
      <c r="B5871">
        <v>352018211</v>
      </c>
      <c r="C5871" s="76">
        <v>2018</v>
      </c>
      <c r="D5871" s="76" t="s">
        <v>37</v>
      </c>
      <c r="E5871" s="76" t="s">
        <v>32</v>
      </c>
      <c r="F5871" s="76">
        <v>1</v>
      </c>
    </row>
    <row r="5872" s="76" customFormat="1" spans="1:6">
      <c r="A5872">
        <v>6050</v>
      </c>
      <c r="B5872">
        <v>352018211</v>
      </c>
      <c r="C5872" s="76">
        <v>2018</v>
      </c>
      <c r="D5872" s="76" t="s">
        <v>37</v>
      </c>
      <c r="E5872" s="76" t="s">
        <v>32</v>
      </c>
      <c r="F5872" s="76">
        <v>10</v>
      </c>
    </row>
    <row r="5873" s="76" customFormat="1" spans="1:6">
      <c r="A5873">
        <v>6051</v>
      </c>
      <c r="B5873">
        <v>352018211</v>
      </c>
      <c r="C5873" s="76">
        <v>2018</v>
      </c>
      <c r="D5873" s="76" t="s">
        <v>37</v>
      </c>
      <c r="E5873" s="76">
        <v>1</v>
      </c>
      <c r="F5873" s="76">
        <v>35</v>
      </c>
    </row>
    <row r="5874" s="76" customFormat="1" spans="1:6">
      <c r="A5874">
        <v>6052</v>
      </c>
      <c r="B5874">
        <v>352018211</v>
      </c>
      <c r="C5874" s="76">
        <v>2018</v>
      </c>
      <c r="D5874" s="76" t="s">
        <v>37</v>
      </c>
      <c r="E5874" s="76" t="s">
        <v>32</v>
      </c>
      <c r="F5874" s="76">
        <v>3</v>
      </c>
    </row>
    <row r="5875" s="76" customFormat="1" spans="1:6">
      <c r="A5875">
        <v>6058</v>
      </c>
      <c r="B5875">
        <v>352018241</v>
      </c>
      <c r="C5875" s="76">
        <v>2018</v>
      </c>
      <c r="D5875" s="76" t="s">
        <v>33</v>
      </c>
      <c r="E5875" s="76" t="s">
        <v>32</v>
      </c>
      <c r="F5875" s="76">
        <v>0.9</v>
      </c>
    </row>
    <row r="5876" s="76" customFormat="1" spans="1:6">
      <c r="A5876">
        <v>6055</v>
      </c>
      <c r="B5876">
        <v>352018241</v>
      </c>
      <c r="C5876" s="76">
        <v>2018</v>
      </c>
      <c r="D5876" s="76" t="s">
        <v>33</v>
      </c>
      <c r="E5876" s="76" t="s">
        <v>32</v>
      </c>
      <c r="F5876" s="76">
        <v>8</v>
      </c>
    </row>
    <row r="5877" s="76" customFormat="1" spans="1:6">
      <c r="A5877">
        <v>6054</v>
      </c>
      <c r="B5877">
        <v>352018241</v>
      </c>
      <c r="C5877" s="76">
        <v>2018</v>
      </c>
      <c r="D5877" s="76" t="s">
        <v>33</v>
      </c>
      <c r="E5877" s="76" t="s">
        <v>32</v>
      </c>
      <c r="F5877" s="76">
        <v>7.2</v>
      </c>
    </row>
    <row r="5878" s="76" customFormat="1" spans="1:6">
      <c r="A5878">
        <v>6057</v>
      </c>
      <c r="B5878">
        <v>352018241</v>
      </c>
      <c r="C5878" s="76">
        <v>2018</v>
      </c>
      <c r="D5878" s="76" t="s">
        <v>33</v>
      </c>
      <c r="E5878" s="76" t="s">
        <v>32</v>
      </c>
      <c r="F5878" s="76">
        <v>0.9</v>
      </c>
    </row>
    <row r="5879" s="76" customFormat="1" spans="1:6">
      <c r="A5879">
        <v>6059</v>
      </c>
      <c r="B5879">
        <v>352018242</v>
      </c>
      <c r="C5879" s="76">
        <v>2018</v>
      </c>
      <c r="D5879" s="76" t="s">
        <v>35</v>
      </c>
      <c r="E5879" s="76" t="s">
        <v>32</v>
      </c>
      <c r="F5879" s="76">
        <v>1.8</v>
      </c>
    </row>
    <row r="5880" s="76" customFormat="1" spans="1:6">
      <c r="A5880">
        <v>6060</v>
      </c>
      <c r="B5880">
        <v>352018242</v>
      </c>
      <c r="C5880" s="76">
        <v>2018</v>
      </c>
      <c r="D5880" s="76" t="s">
        <v>35</v>
      </c>
      <c r="E5880" s="76" t="s">
        <v>32</v>
      </c>
      <c r="F5880" s="76">
        <v>3</v>
      </c>
    </row>
    <row r="5881" s="76" customFormat="1" spans="1:6">
      <c r="A5881">
        <v>6065</v>
      </c>
      <c r="B5881">
        <v>352018260</v>
      </c>
      <c r="C5881" s="76">
        <v>2018</v>
      </c>
      <c r="D5881" s="76" t="s">
        <v>34</v>
      </c>
      <c r="E5881" s="76" t="s">
        <v>32</v>
      </c>
      <c r="F5881" s="76">
        <v>1.98</v>
      </c>
    </row>
    <row r="5882" s="76" customFormat="1" spans="1:6">
      <c r="A5882">
        <v>6074</v>
      </c>
      <c r="B5882">
        <v>352018260</v>
      </c>
      <c r="C5882" s="76">
        <v>2018</v>
      </c>
      <c r="D5882" s="76" t="s">
        <v>34</v>
      </c>
      <c r="E5882" s="76" t="s">
        <v>32</v>
      </c>
      <c r="F5882" s="76">
        <v>2.8</v>
      </c>
    </row>
    <row r="5883" s="76" customFormat="1" spans="1:6">
      <c r="A5883">
        <v>6078</v>
      </c>
      <c r="B5883">
        <v>352018260</v>
      </c>
      <c r="C5883" s="76">
        <v>2018</v>
      </c>
      <c r="D5883" s="76" t="s">
        <v>34</v>
      </c>
      <c r="E5883" s="76" t="s">
        <v>32</v>
      </c>
      <c r="F5883" s="76">
        <v>5.74</v>
      </c>
    </row>
    <row r="5884" s="76" customFormat="1" spans="1:6">
      <c r="A5884">
        <v>6066</v>
      </c>
      <c r="B5884">
        <v>352018260</v>
      </c>
      <c r="C5884" s="76">
        <v>2018</v>
      </c>
      <c r="D5884" s="76" t="s">
        <v>34</v>
      </c>
      <c r="E5884" s="76" t="s">
        <v>32</v>
      </c>
      <c r="F5884" s="76">
        <v>1.8</v>
      </c>
    </row>
    <row r="5885" s="76" customFormat="1" spans="1:6">
      <c r="A5885">
        <v>6070</v>
      </c>
      <c r="B5885">
        <v>352018260</v>
      </c>
      <c r="C5885" s="76">
        <v>2018</v>
      </c>
      <c r="D5885" s="76" t="s">
        <v>34</v>
      </c>
      <c r="E5885" s="76" t="s">
        <v>32</v>
      </c>
      <c r="F5885" s="76">
        <v>3.2</v>
      </c>
    </row>
    <row r="5886" s="76" customFormat="1" spans="1:6">
      <c r="A5886">
        <v>6064</v>
      </c>
      <c r="B5886">
        <v>352018260</v>
      </c>
      <c r="C5886" s="76">
        <v>2018</v>
      </c>
      <c r="D5886" s="76" t="s">
        <v>34</v>
      </c>
      <c r="E5886" s="76" t="s">
        <v>32</v>
      </c>
      <c r="F5886" s="76">
        <v>3.8</v>
      </c>
    </row>
    <row r="5887" s="76" customFormat="1" spans="1:6">
      <c r="A5887">
        <v>6073</v>
      </c>
      <c r="B5887">
        <v>352018260</v>
      </c>
      <c r="C5887" s="76">
        <v>2018</v>
      </c>
      <c r="D5887" s="76" t="s">
        <v>34</v>
      </c>
      <c r="E5887" s="76" t="s">
        <v>32</v>
      </c>
      <c r="F5887" s="76">
        <v>1</v>
      </c>
    </row>
    <row r="5888" s="76" customFormat="1" spans="1:6">
      <c r="A5888">
        <v>6072</v>
      </c>
      <c r="B5888">
        <v>352018260</v>
      </c>
      <c r="C5888" s="76">
        <v>2018</v>
      </c>
      <c r="D5888" s="76" t="s">
        <v>34</v>
      </c>
      <c r="E5888" s="76" t="s">
        <v>32</v>
      </c>
      <c r="F5888" s="76">
        <v>1.98</v>
      </c>
    </row>
    <row r="5889" s="76" customFormat="1" spans="1:6">
      <c r="A5889">
        <v>6069</v>
      </c>
      <c r="B5889">
        <v>352018260</v>
      </c>
      <c r="C5889" s="76">
        <v>2018</v>
      </c>
      <c r="D5889" s="76" t="s">
        <v>34</v>
      </c>
      <c r="E5889" s="76" t="s">
        <v>32</v>
      </c>
      <c r="F5889" s="76">
        <v>0.35</v>
      </c>
    </row>
    <row r="5890" s="76" customFormat="1" spans="1:6">
      <c r="A5890">
        <v>6061</v>
      </c>
      <c r="B5890">
        <v>352018260</v>
      </c>
      <c r="C5890" s="76">
        <v>2018</v>
      </c>
      <c r="D5890" s="76" t="s">
        <v>34</v>
      </c>
      <c r="E5890" s="76">
        <v>10</v>
      </c>
      <c r="F5890" s="76">
        <v>5.74</v>
      </c>
    </row>
    <row r="5891" s="76" customFormat="1" spans="1:6">
      <c r="A5891">
        <v>6075</v>
      </c>
      <c r="B5891">
        <v>352018260</v>
      </c>
      <c r="C5891" s="76">
        <v>2018</v>
      </c>
      <c r="D5891" s="76" t="s">
        <v>34</v>
      </c>
      <c r="E5891" s="76" t="s">
        <v>32</v>
      </c>
      <c r="F5891" s="76">
        <v>2.6</v>
      </c>
    </row>
    <row r="5892" s="76" customFormat="1" spans="1:6">
      <c r="A5892">
        <v>6071</v>
      </c>
      <c r="B5892">
        <v>352018260</v>
      </c>
      <c r="C5892" s="76">
        <v>2018</v>
      </c>
      <c r="D5892" s="76" t="s">
        <v>34</v>
      </c>
      <c r="E5892" s="76" t="s">
        <v>32</v>
      </c>
      <c r="F5892" s="76">
        <v>0.75</v>
      </c>
    </row>
    <row r="5893" s="76" customFormat="1" spans="1:6">
      <c r="A5893">
        <v>6062</v>
      </c>
      <c r="B5893">
        <v>352018260</v>
      </c>
      <c r="C5893" s="76">
        <v>2018</v>
      </c>
      <c r="D5893" s="76" t="s">
        <v>34</v>
      </c>
      <c r="E5893" s="76">
        <v>19</v>
      </c>
      <c r="F5893" s="76">
        <v>4.75</v>
      </c>
    </row>
    <row r="5894" s="76" customFormat="1" spans="1:6">
      <c r="A5894">
        <v>6063</v>
      </c>
      <c r="B5894">
        <v>352018260</v>
      </c>
      <c r="C5894" s="76">
        <v>2018</v>
      </c>
      <c r="D5894" s="76" t="s">
        <v>34</v>
      </c>
      <c r="E5894" s="76" t="s">
        <v>32</v>
      </c>
      <c r="F5894" s="76">
        <v>1.2</v>
      </c>
    </row>
    <row r="5895" s="76" customFormat="1" spans="1:6">
      <c r="A5895">
        <v>6067</v>
      </c>
      <c r="B5895">
        <v>352018260</v>
      </c>
      <c r="C5895" s="76">
        <v>2018</v>
      </c>
      <c r="D5895" s="76" t="s">
        <v>34</v>
      </c>
      <c r="E5895" s="76" t="s">
        <v>32</v>
      </c>
      <c r="F5895" s="76">
        <v>3</v>
      </c>
    </row>
    <row r="5896" s="76" customFormat="1" spans="1:6">
      <c r="A5896">
        <v>6068</v>
      </c>
      <c r="B5896">
        <v>352018260</v>
      </c>
      <c r="C5896" s="76">
        <v>2018</v>
      </c>
      <c r="D5896" s="76" t="s">
        <v>34</v>
      </c>
      <c r="E5896" s="76" t="s">
        <v>32</v>
      </c>
      <c r="F5896" s="76">
        <v>7.2</v>
      </c>
    </row>
    <row r="5897" s="76" customFormat="1" spans="1:6">
      <c r="A5897">
        <v>6077</v>
      </c>
      <c r="B5897">
        <v>352018260</v>
      </c>
      <c r="C5897" s="76">
        <v>2018</v>
      </c>
      <c r="D5897" s="76" t="s">
        <v>34</v>
      </c>
      <c r="E5897" s="76" t="s">
        <v>32</v>
      </c>
      <c r="F5897" s="76">
        <v>2</v>
      </c>
    </row>
    <row r="5898" s="76" customFormat="1" spans="1:6">
      <c r="A5898">
        <v>6079</v>
      </c>
      <c r="B5898">
        <v>352018260</v>
      </c>
      <c r="C5898" s="76">
        <v>2018</v>
      </c>
      <c r="D5898" s="76" t="s">
        <v>34</v>
      </c>
      <c r="E5898" s="76" t="s">
        <v>32</v>
      </c>
      <c r="F5898" s="76">
        <v>2</v>
      </c>
    </row>
    <row r="5899" s="76" customFormat="1" spans="1:6">
      <c r="A5899">
        <v>6076</v>
      </c>
      <c r="B5899">
        <v>352018260</v>
      </c>
      <c r="C5899" s="76">
        <v>2018</v>
      </c>
      <c r="D5899" s="76" t="s">
        <v>34</v>
      </c>
      <c r="E5899" s="76" t="s">
        <v>32</v>
      </c>
      <c r="F5899" s="76">
        <v>3.74</v>
      </c>
    </row>
    <row r="5900" s="76" customFormat="1" spans="1:6">
      <c r="A5900">
        <v>6089</v>
      </c>
      <c r="B5900">
        <v>352018270</v>
      </c>
      <c r="C5900" s="76">
        <v>2018</v>
      </c>
      <c r="D5900" s="76" t="s">
        <v>31</v>
      </c>
      <c r="E5900" s="76" t="s">
        <v>32</v>
      </c>
      <c r="F5900" s="76">
        <v>0.12</v>
      </c>
    </row>
    <row r="5901" s="76" customFormat="1" spans="1:6">
      <c r="A5901">
        <v>6082</v>
      </c>
      <c r="B5901">
        <v>352018270</v>
      </c>
      <c r="C5901" s="76">
        <v>2018</v>
      </c>
      <c r="D5901" s="76" t="s">
        <v>31</v>
      </c>
      <c r="E5901" s="76" t="s">
        <v>32</v>
      </c>
      <c r="F5901" s="76">
        <v>0.01</v>
      </c>
    </row>
    <row r="5902" s="76" customFormat="1" spans="1:6">
      <c r="A5902">
        <v>6083</v>
      </c>
      <c r="B5902">
        <v>352018270</v>
      </c>
      <c r="C5902" s="76">
        <v>2018</v>
      </c>
      <c r="D5902" s="76" t="s">
        <v>31</v>
      </c>
      <c r="E5902" s="76" t="s">
        <v>32</v>
      </c>
      <c r="F5902" s="76">
        <v>0.01</v>
      </c>
    </row>
    <row r="5903" s="76" customFormat="1" spans="1:6">
      <c r="A5903">
        <v>6087</v>
      </c>
      <c r="B5903">
        <v>352018270</v>
      </c>
      <c r="C5903" s="76">
        <v>2018</v>
      </c>
      <c r="D5903" s="76" t="s">
        <v>31</v>
      </c>
      <c r="E5903" s="76" t="s">
        <v>32</v>
      </c>
      <c r="F5903" s="76">
        <v>0.05</v>
      </c>
    </row>
    <row r="5904" s="76" customFormat="1" spans="1:6">
      <c r="A5904">
        <v>6086</v>
      </c>
      <c r="B5904">
        <v>352018270</v>
      </c>
      <c r="C5904" s="76">
        <v>2018</v>
      </c>
      <c r="D5904" s="76" t="s">
        <v>31</v>
      </c>
      <c r="E5904" s="76" t="s">
        <v>32</v>
      </c>
      <c r="F5904" s="76">
        <v>0.13</v>
      </c>
    </row>
    <row r="5905" s="76" customFormat="1" spans="1:6">
      <c r="A5905">
        <v>6080</v>
      </c>
      <c r="B5905">
        <v>352018270</v>
      </c>
      <c r="C5905" s="76">
        <v>2018</v>
      </c>
      <c r="D5905" s="76" t="s">
        <v>31</v>
      </c>
      <c r="E5905" s="76" t="s">
        <v>32</v>
      </c>
      <c r="F5905" s="76">
        <v>1.73</v>
      </c>
    </row>
    <row r="5906" s="76" customFormat="1" spans="1:6">
      <c r="A5906">
        <v>6081</v>
      </c>
      <c r="B5906">
        <v>352018270</v>
      </c>
      <c r="C5906" s="76">
        <v>2018</v>
      </c>
      <c r="D5906" s="76" t="s">
        <v>31</v>
      </c>
      <c r="E5906" s="76" t="s">
        <v>32</v>
      </c>
      <c r="F5906" s="76">
        <v>1.8</v>
      </c>
    </row>
    <row r="5907" s="76" customFormat="1" spans="1:6">
      <c r="A5907">
        <v>6090</v>
      </c>
      <c r="B5907">
        <v>352018270</v>
      </c>
      <c r="C5907" s="76">
        <v>2018</v>
      </c>
      <c r="D5907" s="76" t="s">
        <v>31</v>
      </c>
      <c r="E5907" s="76" t="s">
        <v>32</v>
      </c>
      <c r="F5907" s="76">
        <v>2</v>
      </c>
    </row>
    <row r="5908" s="76" customFormat="1" spans="1:6">
      <c r="A5908">
        <v>6088</v>
      </c>
      <c r="B5908">
        <v>352018270</v>
      </c>
      <c r="C5908" s="76">
        <v>2018</v>
      </c>
      <c r="D5908" s="76" t="s">
        <v>31</v>
      </c>
      <c r="E5908" s="76" t="s">
        <v>32</v>
      </c>
      <c r="F5908" s="76">
        <v>0.8</v>
      </c>
    </row>
    <row r="5909" s="76" customFormat="1" spans="1:6">
      <c r="A5909">
        <v>6085</v>
      </c>
      <c r="B5909">
        <v>352018270</v>
      </c>
      <c r="C5909" s="76">
        <v>2018</v>
      </c>
      <c r="D5909" s="76" t="s">
        <v>31</v>
      </c>
      <c r="E5909" s="76" t="s">
        <v>32</v>
      </c>
      <c r="F5909" s="76">
        <v>1.44</v>
      </c>
    </row>
    <row r="5910" s="76" customFormat="1" spans="1:6">
      <c r="A5910">
        <v>6094</v>
      </c>
      <c r="B5910">
        <v>352019110</v>
      </c>
      <c r="C5910" s="76">
        <v>2019</v>
      </c>
      <c r="D5910" s="76" t="s">
        <v>40</v>
      </c>
      <c r="E5910" s="76" t="s">
        <v>32</v>
      </c>
      <c r="F5910" s="76">
        <v>0.33</v>
      </c>
    </row>
    <row r="5911" s="76" customFormat="1" spans="1:6">
      <c r="A5911">
        <v>6091</v>
      </c>
      <c r="B5911">
        <v>352019110</v>
      </c>
      <c r="C5911" s="76">
        <v>2019</v>
      </c>
      <c r="D5911" s="76" t="s">
        <v>40</v>
      </c>
      <c r="E5911" s="76" t="s">
        <v>32</v>
      </c>
      <c r="F5911" s="76">
        <v>0.1</v>
      </c>
    </row>
    <row r="5912" s="76" customFormat="1" spans="1:6">
      <c r="A5912">
        <v>6093</v>
      </c>
      <c r="B5912">
        <v>352019110</v>
      </c>
      <c r="C5912" s="76">
        <v>2019</v>
      </c>
      <c r="D5912" s="76" t="s">
        <v>40</v>
      </c>
      <c r="E5912" s="76" t="s">
        <v>32</v>
      </c>
      <c r="F5912" s="76">
        <v>0.15</v>
      </c>
    </row>
    <row r="5913" s="76" customFormat="1" spans="1:6">
      <c r="A5913">
        <v>6092</v>
      </c>
      <c r="B5913">
        <v>352019110</v>
      </c>
      <c r="C5913" s="76">
        <v>2019</v>
      </c>
      <c r="D5913" s="76" t="s">
        <v>40</v>
      </c>
      <c r="E5913" s="76" t="s">
        <v>32</v>
      </c>
      <c r="F5913" s="76">
        <v>0.04</v>
      </c>
    </row>
    <row r="5914" s="76" customFormat="1" spans="1:6">
      <c r="A5914">
        <v>6096</v>
      </c>
      <c r="B5914">
        <v>352019211</v>
      </c>
      <c r="C5914" s="76">
        <v>2019</v>
      </c>
      <c r="D5914" s="76" t="s">
        <v>37</v>
      </c>
      <c r="E5914" s="76" t="s">
        <v>32</v>
      </c>
      <c r="F5914" s="76">
        <v>4</v>
      </c>
    </row>
    <row r="5915" s="76" customFormat="1" spans="1:6">
      <c r="A5915">
        <v>6097</v>
      </c>
      <c r="B5915">
        <v>352019211</v>
      </c>
      <c r="C5915" s="76">
        <v>2019</v>
      </c>
      <c r="D5915" s="76" t="s">
        <v>37</v>
      </c>
      <c r="E5915" s="76" t="s">
        <v>32</v>
      </c>
      <c r="F5915" s="76">
        <v>8</v>
      </c>
    </row>
    <row r="5916" s="76" customFormat="1" spans="1:6">
      <c r="A5916">
        <v>6098</v>
      </c>
      <c r="B5916">
        <v>352019221</v>
      </c>
      <c r="C5916" s="76">
        <v>2019</v>
      </c>
      <c r="D5916" s="76" t="s">
        <v>30</v>
      </c>
      <c r="E5916" s="76" t="s">
        <v>32</v>
      </c>
      <c r="F5916" s="76">
        <v>0.3</v>
      </c>
    </row>
    <row r="5917" s="76" customFormat="1" spans="1:6">
      <c r="A5917">
        <v>6099</v>
      </c>
      <c r="B5917">
        <v>352019241</v>
      </c>
      <c r="C5917" s="76">
        <v>2019</v>
      </c>
      <c r="D5917" s="76" t="s">
        <v>33</v>
      </c>
      <c r="E5917" s="76" t="s">
        <v>32</v>
      </c>
      <c r="F5917" s="76">
        <v>0.9</v>
      </c>
    </row>
    <row r="5918" s="76" customFormat="1" spans="1:6">
      <c r="A5918">
        <v>6101</v>
      </c>
      <c r="B5918">
        <v>352019241</v>
      </c>
      <c r="C5918" s="76">
        <v>2019</v>
      </c>
      <c r="D5918" s="76" t="s">
        <v>33</v>
      </c>
      <c r="E5918" s="76" t="s">
        <v>32</v>
      </c>
      <c r="F5918" s="76">
        <v>1.8</v>
      </c>
    </row>
    <row r="5919" s="76" customFormat="1" spans="1:6">
      <c r="A5919">
        <v>6100</v>
      </c>
      <c r="B5919">
        <v>352019241</v>
      </c>
      <c r="C5919" s="76">
        <v>2019</v>
      </c>
      <c r="D5919" s="76" t="s">
        <v>33</v>
      </c>
      <c r="E5919" s="76" t="s">
        <v>32</v>
      </c>
      <c r="F5919" s="76">
        <v>16</v>
      </c>
    </row>
    <row r="5920" s="76" customFormat="1" spans="1:6">
      <c r="A5920">
        <v>6103</v>
      </c>
      <c r="B5920">
        <v>352019241</v>
      </c>
      <c r="C5920" s="76">
        <v>2019</v>
      </c>
      <c r="D5920" s="76" t="s">
        <v>33</v>
      </c>
      <c r="E5920" s="76" t="s">
        <v>32</v>
      </c>
      <c r="F5920" s="76">
        <v>0.75</v>
      </c>
    </row>
    <row r="5921" s="76" customFormat="1" spans="1:6">
      <c r="A5921">
        <v>6102</v>
      </c>
      <c r="B5921">
        <v>352019241</v>
      </c>
      <c r="C5921" s="76">
        <v>2019</v>
      </c>
      <c r="D5921" s="76" t="s">
        <v>33</v>
      </c>
      <c r="E5921" s="76" t="s">
        <v>32</v>
      </c>
      <c r="F5921" s="76">
        <v>1</v>
      </c>
    </row>
    <row r="5922" s="76" customFormat="1" spans="1:6">
      <c r="A5922">
        <v>6104</v>
      </c>
      <c r="B5922">
        <v>352019241</v>
      </c>
      <c r="C5922" s="76">
        <v>2019</v>
      </c>
      <c r="D5922" s="76" t="s">
        <v>33</v>
      </c>
      <c r="E5922" s="76" t="s">
        <v>32</v>
      </c>
      <c r="F5922" s="76">
        <v>1.5</v>
      </c>
    </row>
    <row r="5923" s="76" customFormat="1" spans="1:6">
      <c r="A5923">
        <v>6107</v>
      </c>
      <c r="B5923">
        <v>352019242</v>
      </c>
      <c r="C5923" s="76">
        <v>2019</v>
      </c>
      <c r="D5923" s="76" t="s">
        <v>35</v>
      </c>
      <c r="E5923" s="76" t="s">
        <v>32</v>
      </c>
      <c r="F5923" s="76">
        <v>1.2</v>
      </c>
    </row>
    <row r="5924" s="76" customFormat="1" spans="1:6">
      <c r="A5924">
        <v>6109</v>
      </c>
      <c r="B5924">
        <v>352019242</v>
      </c>
      <c r="C5924" s="76">
        <v>2019</v>
      </c>
      <c r="D5924" s="76" t="s">
        <v>35</v>
      </c>
      <c r="E5924" s="76" t="s">
        <v>32</v>
      </c>
      <c r="F5924" s="76">
        <v>2.4</v>
      </c>
    </row>
    <row r="5925" s="76" customFormat="1" spans="1:6">
      <c r="A5925">
        <v>6108</v>
      </c>
      <c r="B5925">
        <v>352019242</v>
      </c>
      <c r="C5925" s="76">
        <v>2019</v>
      </c>
      <c r="D5925" s="76" t="s">
        <v>35</v>
      </c>
      <c r="E5925" s="76" t="s">
        <v>32</v>
      </c>
      <c r="F5925" s="76">
        <v>1.2</v>
      </c>
    </row>
    <row r="5926" s="76" customFormat="1" spans="1:6">
      <c r="A5926">
        <v>6106</v>
      </c>
      <c r="B5926">
        <v>352019242</v>
      </c>
      <c r="C5926" s="76">
        <v>2019</v>
      </c>
      <c r="D5926" s="76" t="s">
        <v>35</v>
      </c>
      <c r="E5926" s="76" t="s">
        <v>32</v>
      </c>
      <c r="F5926" s="76">
        <v>2.4</v>
      </c>
    </row>
    <row r="5927" s="76" customFormat="1" spans="1:6">
      <c r="A5927">
        <v>6122</v>
      </c>
      <c r="B5927">
        <v>352019260</v>
      </c>
      <c r="C5927" s="76">
        <v>2019</v>
      </c>
      <c r="D5927" s="76" t="s">
        <v>34</v>
      </c>
      <c r="E5927" s="76" t="s">
        <v>32</v>
      </c>
      <c r="F5927" s="76">
        <v>7</v>
      </c>
    </row>
    <row r="5928" s="76" customFormat="1" spans="1:6">
      <c r="A5928">
        <v>6110</v>
      </c>
      <c r="B5928">
        <v>352019260</v>
      </c>
      <c r="C5928" s="76">
        <v>2019</v>
      </c>
      <c r="D5928" s="76" t="s">
        <v>34</v>
      </c>
      <c r="E5928" s="76">
        <v>15</v>
      </c>
      <c r="F5928" s="76">
        <v>3</v>
      </c>
    </row>
    <row r="5929" s="76" customFormat="1" spans="1:6">
      <c r="A5929">
        <v>6114</v>
      </c>
      <c r="B5929">
        <v>352019260</v>
      </c>
      <c r="C5929" s="76">
        <v>2019</v>
      </c>
      <c r="D5929" s="76" t="s">
        <v>34</v>
      </c>
      <c r="E5929" s="76">
        <v>9</v>
      </c>
      <c r="F5929" s="76">
        <v>1.8</v>
      </c>
    </row>
    <row r="5930" s="76" customFormat="1" spans="1:6">
      <c r="A5930">
        <v>6120</v>
      </c>
      <c r="B5930">
        <v>352019260</v>
      </c>
      <c r="C5930" s="76">
        <v>2019</v>
      </c>
      <c r="D5930" s="76" t="s">
        <v>34</v>
      </c>
      <c r="E5930" s="76">
        <v>8</v>
      </c>
      <c r="F5930" s="76">
        <v>1.6</v>
      </c>
    </row>
    <row r="5931" s="76" customFormat="1" spans="1:6">
      <c r="A5931">
        <v>6123</v>
      </c>
      <c r="B5931">
        <v>352019260</v>
      </c>
      <c r="C5931" s="76">
        <v>2019</v>
      </c>
      <c r="D5931" s="76" t="s">
        <v>34</v>
      </c>
      <c r="E5931" s="76" t="s">
        <v>32</v>
      </c>
      <c r="F5931" s="76">
        <v>9.4</v>
      </c>
    </row>
    <row r="5932" s="76" customFormat="1" spans="1:6">
      <c r="A5932">
        <v>6125</v>
      </c>
      <c r="B5932">
        <v>352019260</v>
      </c>
      <c r="C5932" s="76">
        <v>2019</v>
      </c>
      <c r="D5932" s="76" t="s">
        <v>34</v>
      </c>
      <c r="E5932" s="76" t="s">
        <v>32</v>
      </c>
      <c r="F5932" s="76">
        <v>3.24</v>
      </c>
    </row>
    <row r="5933" s="76" customFormat="1" spans="1:6">
      <c r="A5933">
        <v>6111</v>
      </c>
      <c r="B5933">
        <v>352019260</v>
      </c>
      <c r="C5933" s="76">
        <v>2019</v>
      </c>
      <c r="D5933" s="76" t="s">
        <v>34</v>
      </c>
      <c r="E5933" s="76">
        <v>9</v>
      </c>
      <c r="F5933" s="76">
        <v>1.98</v>
      </c>
    </row>
    <row r="5934" s="76" customFormat="1" spans="1:6">
      <c r="A5934">
        <v>6116</v>
      </c>
      <c r="B5934">
        <v>352019260</v>
      </c>
      <c r="C5934" s="76">
        <v>2019</v>
      </c>
      <c r="D5934" s="76" t="s">
        <v>34</v>
      </c>
      <c r="E5934" s="76">
        <v>7</v>
      </c>
      <c r="F5934" s="76">
        <v>2.42</v>
      </c>
    </row>
    <row r="5935" s="76" customFormat="1" spans="1:6">
      <c r="A5935">
        <v>6119</v>
      </c>
      <c r="B5935">
        <v>352019260</v>
      </c>
      <c r="C5935" s="76">
        <v>2019</v>
      </c>
      <c r="D5935" s="76" t="s">
        <v>34</v>
      </c>
      <c r="E5935" s="76">
        <v>15</v>
      </c>
      <c r="F5935" s="76">
        <v>3.35</v>
      </c>
    </row>
    <row r="5936" s="76" customFormat="1" spans="1:6">
      <c r="A5936">
        <v>6115</v>
      </c>
      <c r="B5936">
        <v>352019260</v>
      </c>
      <c r="C5936" s="76">
        <v>2019</v>
      </c>
      <c r="D5936" s="76" t="s">
        <v>34</v>
      </c>
      <c r="E5936" s="76">
        <v>38</v>
      </c>
      <c r="F5936" s="76">
        <v>15.2</v>
      </c>
    </row>
    <row r="5937" s="76" customFormat="1" spans="1:6">
      <c r="A5937">
        <v>6113</v>
      </c>
      <c r="B5937">
        <v>352019260</v>
      </c>
      <c r="C5937" s="76">
        <v>2019</v>
      </c>
      <c r="D5937" s="76" t="s">
        <v>34</v>
      </c>
      <c r="E5937" s="76">
        <v>24</v>
      </c>
      <c r="F5937" s="76">
        <v>4.8</v>
      </c>
    </row>
    <row r="5938" s="76" customFormat="1" spans="1:6">
      <c r="A5938">
        <v>6118</v>
      </c>
      <c r="B5938">
        <v>352019260</v>
      </c>
      <c r="C5938" s="76">
        <v>2019</v>
      </c>
      <c r="D5938" s="76" t="s">
        <v>34</v>
      </c>
      <c r="E5938" s="76">
        <v>22</v>
      </c>
      <c r="F5938" s="76">
        <v>4.84</v>
      </c>
    </row>
    <row r="5939" s="76" customFormat="1" spans="1:6">
      <c r="A5939">
        <v>6121</v>
      </c>
      <c r="B5939">
        <v>352019260</v>
      </c>
      <c r="C5939" s="76">
        <v>2019</v>
      </c>
      <c r="D5939" s="76" t="s">
        <v>34</v>
      </c>
      <c r="E5939" s="76">
        <v>24</v>
      </c>
      <c r="F5939" s="76">
        <v>4.8</v>
      </c>
    </row>
    <row r="5940" s="76" customFormat="1" spans="1:6">
      <c r="A5940">
        <v>6127</v>
      </c>
      <c r="B5940">
        <v>352019260</v>
      </c>
      <c r="C5940" s="76">
        <v>2019</v>
      </c>
      <c r="D5940" s="76" t="s">
        <v>34</v>
      </c>
      <c r="E5940" s="76" t="s">
        <v>32</v>
      </c>
      <c r="F5940" s="76">
        <v>4.32</v>
      </c>
    </row>
    <row r="5941" s="76" customFormat="1" spans="1:6">
      <c r="A5941">
        <v>6124</v>
      </c>
      <c r="B5941">
        <v>352019260</v>
      </c>
      <c r="C5941" s="76">
        <v>2019</v>
      </c>
      <c r="D5941" s="76" t="s">
        <v>34</v>
      </c>
      <c r="E5941" s="76" t="s">
        <v>32</v>
      </c>
      <c r="F5941" s="76">
        <v>0.8</v>
      </c>
    </row>
    <row r="5942" s="76" customFormat="1" spans="1:6">
      <c r="A5942">
        <v>6117</v>
      </c>
      <c r="B5942">
        <v>352019260</v>
      </c>
      <c r="C5942" s="76">
        <v>2019</v>
      </c>
      <c r="D5942" s="76" t="s">
        <v>34</v>
      </c>
      <c r="E5942" s="76" t="s">
        <v>32</v>
      </c>
      <c r="F5942" s="76">
        <v>2.4</v>
      </c>
    </row>
    <row r="5943" s="76" customFormat="1" spans="1:6">
      <c r="A5943">
        <v>6128</v>
      </c>
      <c r="B5943">
        <v>352019260</v>
      </c>
      <c r="C5943" s="76">
        <v>2019</v>
      </c>
      <c r="D5943" s="76" t="s">
        <v>34</v>
      </c>
      <c r="E5943" s="76" t="s">
        <v>32</v>
      </c>
      <c r="F5943" s="76">
        <v>0.8</v>
      </c>
    </row>
    <row r="5944" s="76" customFormat="1" spans="1:6">
      <c r="A5944">
        <v>6112</v>
      </c>
      <c r="B5944">
        <v>352019260</v>
      </c>
      <c r="C5944" s="76">
        <v>2019</v>
      </c>
      <c r="D5944" s="76" t="s">
        <v>34</v>
      </c>
      <c r="E5944" s="76">
        <v>24</v>
      </c>
      <c r="F5944" s="76">
        <v>7</v>
      </c>
    </row>
    <row r="5945" s="76" customFormat="1" spans="1:6">
      <c r="A5945">
        <v>6126</v>
      </c>
      <c r="B5945">
        <v>352019260</v>
      </c>
      <c r="C5945" s="76">
        <v>2019</v>
      </c>
      <c r="D5945" s="76" t="s">
        <v>34</v>
      </c>
      <c r="E5945" s="76" t="s">
        <v>32</v>
      </c>
      <c r="F5945" s="76">
        <v>2.8</v>
      </c>
    </row>
    <row r="5946" s="76" customFormat="1" spans="1:6">
      <c r="A5946">
        <v>6134</v>
      </c>
      <c r="B5946">
        <v>352019270</v>
      </c>
      <c r="C5946" s="76">
        <v>2019</v>
      </c>
      <c r="D5946" s="76" t="s">
        <v>31</v>
      </c>
      <c r="E5946" s="76" t="s">
        <v>32</v>
      </c>
      <c r="F5946" s="76">
        <v>1.42</v>
      </c>
    </row>
    <row r="5947" s="76" customFormat="1" spans="1:6">
      <c r="A5947">
        <v>6133</v>
      </c>
      <c r="B5947">
        <v>352019270</v>
      </c>
      <c r="C5947" s="76">
        <v>2019</v>
      </c>
      <c r="D5947" s="76" t="s">
        <v>31</v>
      </c>
      <c r="E5947" s="76" t="s">
        <v>32</v>
      </c>
      <c r="F5947" s="76">
        <v>1.38</v>
      </c>
    </row>
    <row r="5948" s="76" customFormat="1" spans="1:6">
      <c r="A5948">
        <v>6131</v>
      </c>
      <c r="B5948">
        <v>352019270</v>
      </c>
      <c r="C5948" s="76">
        <v>2019</v>
      </c>
      <c r="D5948" s="76" t="s">
        <v>31</v>
      </c>
      <c r="E5948" s="76" t="s">
        <v>32</v>
      </c>
      <c r="F5948" s="76">
        <v>0.41</v>
      </c>
    </row>
    <row r="5949" s="76" customFormat="1" spans="1:6">
      <c r="A5949">
        <v>6130</v>
      </c>
      <c r="B5949">
        <v>352019270</v>
      </c>
      <c r="C5949" s="76">
        <v>2019</v>
      </c>
      <c r="D5949" s="76" t="s">
        <v>31</v>
      </c>
      <c r="E5949" s="76" t="s">
        <v>32</v>
      </c>
      <c r="F5949" s="76">
        <v>0.68</v>
      </c>
    </row>
    <row r="5950" s="76" customFormat="1" spans="1:6">
      <c r="A5950">
        <v>6135</v>
      </c>
      <c r="B5950">
        <v>352019270</v>
      </c>
      <c r="C5950" s="76">
        <v>2019</v>
      </c>
      <c r="D5950" s="76" t="s">
        <v>31</v>
      </c>
      <c r="E5950" s="76" t="s">
        <v>32</v>
      </c>
      <c r="F5950" s="76">
        <v>1</v>
      </c>
    </row>
    <row r="5951" s="76" customFormat="1" spans="1:6">
      <c r="A5951">
        <v>6129</v>
      </c>
      <c r="B5951">
        <v>352019270</v>
      </c>
      <c r="C5951" s="76">
        <v>2019</v>
      </c>
      <c r="D5951" s="76" t="s">
        <v>31</v>
      </c>
      <c r="E5951" s="76" t="s">
        <v>32</v>
      </c>
      <c r="F5951" s="76">
        <v>0.89</v>
      </c>
    </row>
    <row r="5952" s="76" customFormat="1" spans="1:6">
      <c r="A5952">
        <v>6139</v>
      </c>
      <c r="B5952">
        <v>352020110</v>
      </c>
      <c r="C5952" s="76">
        <v>2020</v>
      </c>
      <c r="D5952" s="76" t="s">
        <v>40</v>
      </c>
      <c r="E5952" s="76" t="s">
        <v>32</v>
      </c>
      <c r="F5952" s="76">
        <v>0.1</v>
      </c>
    </row>
    <row r="5953" s="76" customFormat="1" spans="1:6">
      <c r="A5953">
        <v>6136</v>
      </c>
      <c r="B5953">
        <v>352020110</v>
      </c>
      <c r="C5953" s="76">
        <v>2020</v>
      </c>
      <c r="D5953" s="76" t="s">
        <v>40</v>
      </c>
      <c r="E5953" s="76" t="s">
        <v>32</v>
      </c>
      <c r="F5953" s="76">
        <v>0.45</v>
      </c>
    </row>
    <row r="5954" s="76" customFormat="1" spans="1:6">
      <c r="A5954">
        <v>6140</v>
      </c>
      <c r="B5954">
        <v>352020110</v>
      </c>
      <c r="C5954" s="76">
        <v>2020</v>
      </c>
      <c r="D5954" s="76" t="s">
        <v>40</v>
      </c>
      <c r="E5954" s="76" t="s">
        <v>32</v>
      </c>
      <c r="F5954" s="76">
        <v>9</v>
      </c>
    </row>
    <row r="5955" s="76" customFormat="1" spans="1:6">
      <c r="A5955">
        <v>6137</v>
      </c>
      <c r="B5955">
        <v>352020110</v>
      </c>
      <c r="C5955" s="76">
        <v>2020</v>
      </c>
      <c r="D5955" s="76" t="s">
        <v>40</v>
      </c>
      <c r="E5955" s="76" t="s">
        <v>32</v>
      </c>
      <c r="F5955" s="76">
        <v>0.75</v>
      </c>
    </row>
    <row r="5956" s="76" customFormat="1" spans="1:6">
      <c r="A5956">
        <v>6138</v>
      </c>
      <c r="B5956">
        <v>352020110</v>
      </c>
      <c r="C5956" s="76">
        <v>2020</v>
      </c>
      <c r="D5956" s="76" t="s">
        <v>40</v>
      </c>
      <c r="E5956" s="76" t="s">
        <v>32</v>
      </c>
      <c r="F5956" s="76">
        <v>0.15</v>
      </c>
    </row>
    <row r="5957" s="76" customFormat="1" spans="1:6">
      <c r="A5957">
        <v>6142</v>
      </c>
      <c r="B5957">
        <v>352020211</v>
      </c>
      <c r="C5957" s="76">
        <v>2020</v>
      </c>
      <c r="D5957" s="76" t="s">
        <v>37</v>
      </c>
      <c r="E5957" s="76">
        <v>2</v>
      </c>
      <c r="F5957" s="76">
        <v>132</v>
      </c>
    </row>
    <row r="5958" s="76" customFormat="1" spans="1:6">
      <c r="A5958">
        <v>6143</v>
      </c>
      <c r="B5958">
        <v>352020211</v>
      </c>
      <c r="C5958" s="76">
        <v>2020</v>
      </c>
      <c r="D5958" s="76" t="s">
        <v>37</v>
      </c>
      <c r="E5958" s="76" t="s">
        <v>32</v>
      </c>
      <c r="F5958" s="76">
        <v>6</v>
      </c>
    </row>
    <row r="5959" s="76" customFormat="1" spans="1:6">
      <c r="A5959">
        <v>6144</v>
      </c>
      <c r="B5959">
        <v>352020211</v>
      </c>
      <c r="C5959" s="76">
        <v>2020</v>
      </c>
      <c r="D5959" s="76" t="s">
        <v>37</v>
      </c>
      <c r="E5959" s="76" t="s">
        <v>32</v>
      </c>
      <c r="F5959" s="76">
        <v>10</v>
      </c>
    </row>
    <row r="5960" s="76" customFormat="1" spans="1:6">
      <c r="A5960">
        <v>6145</v>
      </c>
      <c r="B5960">
        <v>352020241</v>
      </c>
      <c r="C5960" s="76">
        <v>2020</v>
      </c>
      <c r="D5960" s="76" t="s">
        <v>33</v>
      </c>
      <c r="E5960" s="76" t="s">
        <v>32</v>
      </c>
      <c r="F5960" s="76">
        <v>5</v>
      </c>
    </row>
    <row r="5961" s="76" customFormat="1" spans="1:6">
      <c r="A5961">
        <v>6155</v>
      </c>
      <c r="B5961">
        <v>352020242</v>
      </c>
      <c r="C5961" s="76">
        <v>2020</v>
      </c>
      <c r="D5961" s="76" t="s">
        <v>35</v>
      </c>
      <c r="E5961" s="76" t="s">
        <v>32</v>
      </c>
      <c r="F5961" s="76">
        <v>1.8</v>
      </c>
    </row>
    <row r="5962" s="76" customFormat="1" spans="1:6">
      <c r="A5962">
        <v>6154</v>
      </c>
      <c r="B5962">
        <v>352020242</v>
      </c>
      <c r="C5962" s="76">
        <v>2020</v>
      </c>
      <c r="D5962" s="76" t="s">
        <v>35</v>
      </c>
      <c r="E5962" s="76" t="s">
        <v>32</v>
      </c>
      <c r="F5962" s="76">
        <v>1.2</v>
      </c>
    </row>
    <row r="5963" s="76" customFormat="1" spans="1:6">
      <c r="A5963">
        <v>6157</v>
      </c>
      <c r="B5963">
        <v>352020242</v>
      </c>
      <c r="C5963" s="76">
        <v>2020</v>
      </c>
      <c r="D5963" s="76" t="s">
        <v>35</v>
      </c>
      <c r="E5963" s="76" t="s">
        <v>32</v>
      </c>
      <c r="F5963" s="76">
        <v>0.9</v>
      </c>
    </row>
    <row r="5964" s="76" customFormat="1" spans="1:6">
      <c r="A5964">
        <v>6159</v>
      </c>
      <c r="B5964">
        <v>352020242</v>
      </c>
      <c r="C5964" s="76">
        <v>2020</v>
      </c>
      <c r="D5964" s="76" t="s">
        <v>35</v>
      </c>
      <c r="E5964" s="76" t="s">
        <v>32</v>
      </c>
      <c r="F5964" s="76">
        <v>1.5</v>
      </c>
    </row>
    <row r="5965" s="76" customFormat="1" spans="1:6">
      <c r="A5965">
        <v>6158</v>
      </c>
      <c r="B5965">
        <v>352020242</v>
      </c>
      <c r="C5965" s="76">
        <v>2020</v>
      </c>
      <c r="D5965" s="76" t="s">
        <v>35</v>
      </c>
      <c r="E5965" s="76" t="s">
        <v>32</v>
      </c>
      <c r="F5965" s="76">
        <v>2.5</v>
      </c>
    </row>
    <row r="5966" s="76" customFormat="1" spans="1:6">
      <c r="A5966">
        <v>6156</v>
      </c>
      <c r="B5966">
        <v>352020242</v>
      </c>
      <c r="C5966" s="76">
        <v>2020</v>
      </c>
      <c r="D5966" s="76" t="s">
        <v>35</v>
      </c>
      <c r="E5966" s="76" t="s">
        <v>32</v>
      </c>
      <c r="F5966" s="76">
        <v>2.3</v>
      </c>
    </row>
    <row r="5967" s="76" customFormat="1" spans="1:6">
      <c r="A5967">
        <v>6152</v>
      </c>
      <c r="B5967">
        <v>352020242</v>
      </c>
      <c r="C5967" s="76">
        <v>2020</v>
      </c>
      <c r="D5967" s="76" t="s">
        <v>35</v>
      </c>
      <c r="E5967" s="76" t="s">
        <v>32</v>
      </c>
      <c r="F5967" s="76">
        <v>1.2</v>
      </c>
    </row>
    <row r="5968" s="76" customFormat="1" spans="1:6">
      <c r="A5968">
        <v>6151</v>
      </c>
      <c r="B5968">
        <v>352020242</v>
      </c>
      <c r="C5968" s="76">
        <v>2020</v>
      </c>
      <c r="D5968" s="76" t="s">
        <v>35</v>
      </c>
      <c r="E5968" s="76" t="s">
        <v>32</v>
      </c>
      <c r="F5968" s="76">
        <v>1.5</v>
      </c>
    </row>
    <row r="5969" s="76" customFormat="1" spans="1:6">
      <c r="A5969">
        <v>6149</v>
      </c>
      <c r="B5969">
        <v>352020242</v>
      </c>
      <c r="C5969" s="76">
        <v>2020</v>
      </c>
      <c r="D5969" s="76" t="s">
        <v>35</v>
      </c>
      <c r="E5969" s="76" t="s">
        <v>32</v>
      </c>
      <c r="F5969" s="76">
        <v>0.9</v>
      </c>
    </row>
    <row r="5970" s="76" customFormat="1" spans="1:6">
      <c r="A5970">
        <v>6150</v>
      </c>
      <c r="B5970">
        <v>352020242</v>
      </c>
      <c r="C5970" s="76">
        <v>2020</v>
      </c>
      <c r="D5970" s="76" t="s">
        <v>35</v>
      </c>
      <c r="E5970" s="76" t="s">
        <v>32</v>
      </c>
      <c r="F5970" s="76">
        <v>3.6</v>
      </c>
    </row>
    <row r="5971" s="76" customFormat="1" spans="1:6">
      <c r="A5971">
        <v>6148</v>
      </c>
      <c r="B5971">
        <v>352020242</v>
      </c>
      <c r="C5971" s="76">
        <v>2020</v>
      </c>
      <c r="D5971" s="76" t="s">
        <v>35</v>
      </c>
      <c r="E5971" s="76" t="s">
        <v>32</v>
      </c>
      <c r="F5971" s="76">
        <v>1.2</v>
      </c>
    </row>
    <row r="5972" s="76" customFormat="1" spans="1:6">
      <c r="A5972">
        <v>6153</v>
      </c>
      <c r="B5972">
        <v>352020242</v>
      </c>
      <c r="C5972" s="76">
        <v>2020</v>
      </c>
      <c r="D5972" s="76" t="s">
        <v>35</v>
      </c>
      <c r="E5972" s="76" t="s">
        <v>32</v>
      </c>
      <c r="F5972" s="76">
        <v>1.5</v>
      </c>
    </row>
    <row r="5973" s="76" customFormat="1" spans="1:6">
      <c r="A5973">
        <v>6147</v>
      </c>
      <c r="B5973">
        <v>352020242</v>
      </c>
      <c r="C5973" s="76">
        <v>2020</v>
      </c>
      <c r="D5973" s="76" t="s">
        <v>35</v>
      </c>
      <c r="E5973" s="76" t="s">
        <v>32</v>
      </c>
      <c r="F5973" s="76">
        <v>0.38</v>
      </c>
    </row>
    <row r="5974" s="76" customFormat="1" spans="1:6">
      <c r="A5974">
        <v>6166</v>
      </c>
      <c r="B5974">
        <v>352020260</v>
      </c>
      <c r="C5974" s="76">
        <v>2020</v>
      </c>
      <c r="D5974" s="76" t="s">
        <v>34</v>
      </c>
      <c r="E5974" s="76">
        <v>15</v>
      </c>
      <c r="F5974" s="76">
        <v>3</v>
      </c>
    </row>
    <row r="5975" s="76" customFormat="1" spans="1:6">
      <c r="A5975">
        <v>6176</v>
      </c>
      <c r="B5975">
        <v>352020260</v>
      </c>
      <c r="C5975" s="76">
        <v>2020</v>
      </c>
      <c r="D5975" s="76" t="s">
        <v>34</v>
      </c>
      <c r="E5975" s="76" t="s">
        <v>32</v>
      </c>
      <c r="F5975" s="76">
        <v>3.9</v>
      </c>
    </row>
    <row r="5976" s="76" customFormat="1" spans="1:6">
      <c r="A5976">
        <v>6164</v>
      </c>
      <c r="B5976">
        <v>352020260</v>
      </c>
      <c r="C5976" s="76">
        <v>2020</v>
      </c>
      <c r="D5976" s="76" t="s">
        <v>34</v>
      </c>
      <c r="E5976" s="76">
        <v>1</v>
      </c>
      <c r="F5976" s="76">
        <v>0.22</v>
      </c>
    </row>
    <row r="5977" s="76" customFormat="1" spans="1:6">
      <c r="A5977">
        <v>6165</v>
      </c>
      <c r="B5977">
        <v>352020260</v>
      </c>
      <c r="C5977" s="76">
        <v>2020</v>
      </c>
      <c r="D5977" s="76" t="s">
        <v>34</v>
      </c>
      <c r="E5977" s="76">
        <v>3</v>
      </c>
      <c r="F5977" s="76">
        <v>0.6</v>
      </c>
    </row>
    <row r="5978" s="76" customFormat="1" spans="1:6">
      <c r="A5978">
        <v>6162</v>
      </c>
      <c r="B5978">
        <v>352020260</v>
      </c>
      <c r="C5978" s="76">
        <v>2020</v>
      </c>
      <c r="D5978" s="76" t="s">
        <v>34</v>
      </c>
      <c r="E5978" s="76" t="s">
        <v>32</v>
      </c>
      <c r="F5978" s="76">
        <v>3.24</v>
      </c>
    </row>
    <row r="5979" s="76" customFormat="1" spans="1:6">
      <c r="A5979">
        <v>6173</v>
      </c>
      <c r="B5979">
        <v>352020260</v>
      </c>
      <c r="C5979" s="76">
        <v>2020</v>
      </c>
      <c r="D5979" s="76" t="s">
        <v>34</v>
      </c>
      <c r="E5979" s="76">
        <v>12</v>
      </c>
      <c r="F5979" s="76">
        <v>4.32</v>
      </c>
    </row>
    <row r="5980" s="76" customFormat="1" spans="1:6">
      <c r="A5980">
        <v>6172</v>
      </c>
      <c r="B5980">
        <v>352020260</v>
      </c>
      <c r="C5980" s="76">
        <v>2020</v>
      </c>
      <c r="D5980" s="76" t="s">
        <v>34</v>
      </c>
      <c r="E5980" s="76">
        <v>13</v>
      </c>
      <c r="F5980" s="76">
        <v>4.68</v>
      </c>
    </row>
    <row r="5981" s="76" customFormat="1" spans="1:6">
      <c r="A5981">
        <v>6163</v>
      </c>
      <c r="B5981">
        <v>352020260</v>
      </c>
      <c r="C5981" s="76">
        <v>2020</v>
      </c>
      <c r="D5981" s="76" t="s">
        <v>34</v>
      </c>
      <c r="E5981" s="76">
        <v>12</v>
      </c>
      <c r="F5981" s="76">
        <v>4.32</v>
      </c>
    </row>
    <row r="5982" s="76" customFormat="1" spans="1:6">
      <c r="A5982">
        <v>6171</v>
      </c>
      <c r="B5982">
        <v>352020260</v>
      </c>
      <c r="C5982" s="76">
        <v>2020</v>
      </c>
      <c r="D5982" s="76" t="s">
        <v>34</v>
      </c>
      <c r="E5982" s="76">
        <v>20</v>
      </c>
      <c r="F5982" s="76">
        <v>4.6</v>
      </c>
    </row>
    <row r="5983" s="76" customFormat="1" spans="1:6">
      <c r="A5983">
        <v>6169</v>
      </c>
      <c r="B5983">
        <v>352020260</v>
      </c>
      <c r="C5983" s="76">
        <v>2020</v>
      </c>
      <c r="D5983" s="76" t="s">
        <v>34</v>
      </c>
      <c r="E5983" s="76">
        <v>16</v>
      </c>
      <c r="F5983" s="76">
        <v>4.8</v>
      </c>
    </row>
    <row r="5984" s="76" customFormat="1" spans="1:6">
      <c r="A5984">
        <v>6170</v>
      </c>
      <c r="B5984">
        <v>352020260</v>
      </c>
      <c r="C5984" s="76">
        <v>2020</v>
      </c>
      <c r="D5984" s="76" t="s">
        <v>34</v>
      </c>
      <c r="E5984" s="76">
        <v>18</v>
      </c>
      <c r="F5984" s="76">
        <v>3.96</v>
      </c>
    </row>
    <row r="5985" s="76" customFormat="1" spans="1:6">
      <c r="A5985">
        <v>6180</v>
      </c>
      <c r="B5985">
        <v>352020260</v>
      </c>
      <c r="C5985" s="76">
        <v>2020</v>
      </c>
      <c r="D5985" s="76" t="s">
        <v>34</v>
      </c>
      <c r="E5985" s="76" t="s">
        <v>32</v>
      </c>
      <c r="F5985" s="76">
        <v>4.32</v>
      </c>
    </row>
    <row r="5986" s="76" customFormat="1" spans="1:6">
      <c r="A5986">
        <v>6178</v>
      </c>
      <c r="B5986">
        <v>352020260</v>
      </c>
      <c r="C5986" s="76">
        <v>2020</v>
      </c>
      <c r="D5986" s="76" t="s">
        <v>34</v>
      </c>
      <c r="E5986" s="76" t="s">
        <v>32</v>
      </c>
      <c r="F5986" s="76">
        <v>4</v>
      </c>
    </row>
    <row r="5987" s="76" customFormat="1" spans="1:6">
      <c r="A5987">
        <v>6167</v>
      </c>
      <c r="B5987">
        <v>352020260</v>
      </c>
      <c r="C5987" s="76">
        <v>2020</v>
      </c>
      <c r="D5987" s="76" t="s">
        <v>34</v>
      </c>
      <c r="E5987" s="76">
        <v>31</v>
      </c>
      <c r="F5987" s="76">
        <v>19.33</v>
      </c>
    </row>
    <row r="5988" s="76" customFormat="1" spans="1:6">
      <c r="A5988">
        <v>6177</v>
      </c>
      <c r="B5988">
        <v>352020260</v>
      </c>
      <c r="C5988" s="76">
        <v>2020</v>
      </c>
      <c r="D5988" s="76" t="s">
        <v>34</v>
      </c>
      <c r="E5988" s="76" t="s">
        <v>32</v>
      </c>
      <c r="F5988" s="76">
        <v>4.8</v>
      </c>
    </row>
    <row r="5989" s="76" customFormat="1" spans="1:6">
      <c r="A5989">
        <v>6161</v>
      </c>
      <c r="B5989">
        <v>352020260</v>
      </c>
      <c r="C5989" s="76">
        <v>2020</v>
      </c>
      <c r="D5989" s="76" t="s">
        <v>34</v>
      </c>
      <c r="E5989" s="76" t="s">
        <v>32</v>
      </c>
      <c r="F5989" s="76">
        <v>4.6</v>
      </c>
    </row>
    <row r="5990" s="76" customFormat="1" spans="1:6">
      <c r="A5990">
        <v>6174</v>
      </c>
      <c r="B5990">
        <v>352020260</v>
      </c>
      <c r="C5990" s="76">
        <v>2020</v>
      </c>
      <c r="D5990" s="76" t="s">
        <v>34</v>
      </c>
      <c r="E5990" s="76">
        <v>30</v>
      </c>
      <c r="F5990" s="76">
        <v>12</v>
      </c>
    </row>
    <row r="5991" s="76" customFormat="1" spans="1:6">
      <c r="A5991">
        <v>6175</v>
      </c>
      <c r="B5991">
        <v>352020260</v>
      </c>
      <c r="C5991" s="76">
        <v>2020</v>
      </c>
      <c r="D5991" s="76" t="s">
        <v>34</v>
      </c>
      <c r="E5991" s="76">
        <v>8</v>
      </c>
      <c r="F5991" s="76">
        <v>3.2</v>
      </c>
    </row>
    <row r="5992" s="76" customFormat="1" spans="1:6">
      <c r="A5992">
        <v>6160</v>
      </c>
      <c r="B5992">
        <v>352020260</v>
      </c>
      <c r="C5992" s="76">
        <v>2020</v>
      </c>
      <c r="D5992" s="76" t="s">
        <v>34</v>
      </c>
      <c r="E5992" s="76">
        <v>24</v>
      </c>
      <c r="F5992" s="76">
        <v>4.8</v>
      </c>
    </row>
    <row r="5993" s="76" customFormat="1" spans="1:6">
      <c r="A5993">
        <v>6182</v>
      </c>
      <c r="B5993">
        <v>352020260</v>
      </c>
      <c r="C5993" s="76">
        <v>2020</v>
      </c>
      <c r="D5993" s="76" t="s">
        <v>34</v>
      </c>
      <c r="E5993" s="76" t="s">
        <v>32</v>
      </c>
      <c r="F5993" s="76">
        <v>3.75</v>
      </c>
    </row>
    <row r="5994" s="76" customFormat="1" spans="1:6">
      <c r="A5994">
        <v>6168</v>
      </c>
      <c r="B5994">
        <v>352020260</v>
      </c>
      <c r="C5994" s="76">
        <v>2020</v>
      </c>
      <c r="D5994" s="76" t="s">
        <v>34</v>
      </c>
      <c r="E5994" s="76">
        <v>9</v>
      </c>
      <c r="F5994" s="76">
        <v>1.98</v>
      </c>
    </row>
    <row r="5995" s="76" customFormat="1" spans="1:6">
      <c r="A5995">
        <v>6181</v>
      </c>
      <c r="B5995">
        <v>352020260</v>
      </c>
      <c r="C5995" s="76">
        <v>2020</v>
      </c>
      <c r="D5995" s="76" t="s">
        <v>34</v>
      </c>
      <c r="E5995" s="76" t="s">
        <v>32</v>
      </c>
      <c r="F5995" s="76">
        <v>3.96</v>
      </c>
    </row>
    <row r="5996" s="76" customFormat="1" spans="1:6">
      <c r="A5996">
        <v>6179</v>
      </c>
      <c r="B5996">
        <v>352020260</v>
      </c>
      <c r="C5996" s="76">
        <v>2020</v>
      </c>
      <c r="D5996" s="76" t="s">
        <v>34</v>
      </c>
      <c r="E5996" s="76" t="s">
        <v>32</v>
      </c>
      <c r="F5996" s="76">
        <v>4.8</v>
      </c>
    </row>
    <row r="5997" s="76" customFormat="1" spans="1:6">
      <c r="A5997">
        <v>6187</v>
      </c>
      <c r="B5997">
        <v>352020270</v>
      </c>
      <c r="C5997" s="76">
        <v>2020</v>
      </c>
      <c r="D5997" s="76" t="s">
        <v>31</v>
      </c>
      <c r="E5997" s="76" t="s">
        <v>32</v>
      </c>
      <c r="F5997" s="76">
        <v>0.25</v>
      </c>
    </row>
    <row r="5998" s="76" customFormat="1" spans="1:6">
      <c r="A5998">
        <v>6184</v>
      </c>
      <c r="B5998">
        <v>352020270</v>
      </c>
      <c r="C5998" s="76">
        <v>2020</v>
      </c>
      <c r="D5998" s="76" t="s">
        <v>31</v>
      </c>
      <c r="E5998" s="76" t="s">
        <v>32</v>
      </c>
      <c r="F5998" s="76">
        <v>0.14</v>
      </c>
    </row>
    <row r="5999" s="76" customFormat="1" spans="1:6">
      <c r="A5999">
        <v>6185</v>
      </c>
      <c r="B5999">
        <v>352020270</v>
      </c>
      <c r="C5999" s="76">
        <v>2020</v>
      </c>
      <c r="D5999" s="76" t="s">
        <v>31</v>
      </c>
      <c r="E5999" s="76" t="s">
        <v>32</v>
      </c>
      <c r="F5999" s="76">
        <v>0.03</v>
      </c>
    </row>
    <row r="6000" s="76" customFormat="1" spans="1:6">
      <c r="A6000">
        <v>6186</v>
      </c>
      <c r="B6000">
        <v>352020270</v>
      </c>
      <c r="C6000" s="76">
        <v>2020</v>
      </c>
      <c r="D6000" s="76" t="s">
        <v>31</v>
      </c>
      <c r="E6000" s="76" t="s">
        <v>32</v>
      </c>
      <c r="F6000" s="76">
        <v>0.08</v>
      </c>
    </row>
    <row r="6001" s="76" customFormat="1" spans="1:6">
      <c r="A6001">
        <v>6188</v>
      </c>
      <c r="B6001">
        <v>352020283</v>
      </c>
      <c r="C6001" s="76">
        <v>2020</v>
      </c>
      <c r="D6001" s="76" t="s">
        <v>41</v>
      </c>
      <c r="E6001" s="76" t="s">
        <v>32</v>
      </c>
      <c r="F6001" s="76">
        <v>3</v>
      </c>
    </row>
    <row r="6002" s="76" customFormat="1" spans="1:6">
      <c r="A6002">
        <v>6189</v>
      </c>
      <c r="B6002">
        <v>352021110</v>
      </c>
      <c r="C6002" s="76">
        <v>2021</v>
      </c>
      <c r="D6002" s="76" t="s">
        <v>40</v>
      </c>
      <c r="E6002" s="76" t="s">
        <v>32</v>
      </c>
      <c r="F6002" s="76">
        <v>0.32</v>
      </c>
    </row>
    <row r="6003" s="76" customFormat="1" spans="1:6">
      <c r="A6003">
        <v>6192</v>
      </c>
      <c r="B6003">
        <v>352021110</v>
      </c>
      <c r="C6003" s="76">
        <v>2021</v>
      </c>
      <c r="D6003" s="76" t="s">
        <v>40</v>
      </c>
      <c r="E6003" s="76" t="s">
        <v>32</v>
      </c>
      <c r="F6003" s="76">
        <v>0.3</v>
      </c>
    </row>
    <row r="6004" s="76" customFormat="1" spans="1:6">
      <c r="A6004">
        <v>6190</v>
      </c>
      <c r="B6004">
        <v>352021110</v>
      </c>
      <c r="C6004" s="76">
        <v>2021</v>
      </c>
      <c r="D6004" s="76" t="s">
        <v>40</v>
      </c>
      <c r="E6004" s="76" t="s">
        <v>32</v>
      </c>
      <c r="F6004" s="76">
        <v>0.08</v>
      </c>
    </row>
    <row r="6005" s="76" customFormat="1" spans="1:6">
      <c r="A6005">
        <v>6191</v>
      </c>
      <c r="B6005">
        <v>352021110</v>
      </c>
      <c r="C6005" s="76">
        <v>2021</v>
      </c>
      <c r="D6005" s="76" t="s">
        <v>40</v>
      </c>
      <c r="E6005" s="76" t="s">
        <v>32</v>
      </c>
      <c r="F6005" s="76">
        <v>0.6</v>
      </c>
    </row>
    <row r="6006" s="76" customFormat="1" spans="1:6">
      <c r="A6006">
        <v>6194</v>
      </c>
      <c r="B6006">
        <v>352021110</v>
      </c>
      <c r="C6006" s="76">
        <v>2021</v>
      </c>
      <c r="D6006" s="76" t="s">
        <v>40</v>
      </c>
      <c r="E6006" s="76" t="s">
        <v>32</v>
      </c>
      <c r="F6006" s="76">
        <v>1.2</v>
      </c>
    </row>
    <row r="6007" s="76" customFormat="1" spans="1:6">
      <c r="A6007">
        <v>6193</v>
      </c>
      <c r="B6007">
        <v>352021110</v>
      </c>
      <c r="C6007" s="76">
        <v>2021</v>
      </c>
      <c r="D6007" s="76" t="s">
        <v>40</v>
      </c>
      <c r="E6007" s="76" t="s">
        <v>32</v>
      </c>
      <c r="F6007" s="76">
        <v>0.06</v>
      </c>
    </row>
    <row r="6008" s="76" customFormat="1" spans="1:6">
      <c r="A6008">
        <v>6195</v>
      </c>
      <c r="B6008">
        <v>352021120</v>
      </c>
      <c r="C6008" s="76">
        <v>2021</v>
      </c>
      <c r="D6008" s="76" t="s">
        <v>42</v>
      </c>
      <c r="E6008" s="76">
        <v>2</v>
      </c>
      <c r="F6008" s="76">
        <v>60</v>
      </c>
    </row>
    <row r="6009" s="76" customFormat="1" spans="1:6">
      <c r="A6009">
        <v>6199</v>
      </c>
      <c r="B6009">
        <v>352021211</v>
      </c>
      <c r="C6009" s="76">
        <v>2021</v>
      </c>
      <c r="D6009" s="76" t="s">
        <v>37</v>
      </c>
      <c r="E6009" s="76" t="s">
        <v>32</v>
      </c>
      <c r="F6009" s="76">
        <v>2.1</v>
      </c>
    </row>
    <row r="6010" s="76" customFormat="1" spans="1:6">
      <c r="A6010">
        <v>6198</v>
      </c>
      <c r="B6010">
        <v>352021211</v>
      </c>
      <c r="C6010" s="76">
        <v>2021</v>
      </c>
      <c r="D6010" s="76" t="s">
        <v>37</v>
      </c>
      <c r="E6010" s="76" t="s">
        <v>32</v>
      </c>
      <c r="F6010" s="76">
        <v>1</v>
      </c>
    </row>
    <row r="6011" s="76" customFormat="1" spans="1:6">
      <c r="A6011">
        <v>6196</v>
      </c>
      <c r="B6011">
        <v>352021211</v>
      </c>
      <c r="C6011" s="76">
        <v>2021</v>
      </c>
      <c r="D6011" s="76" t="s">
        <v>37</v>
      </c>
      <c r="E6011" s="76">
        <v>1</v>
      </c>
      <c r="F6011" s="76">
        <v>100</v>
      </c>
    </row>
    <row r="6012" s="76" customFormat="1" spans="1:6">
      <c r="A6012">
        <v>6197</v>
      </c>
      <c r="B6012">
        <v>352021211</v>
      </c>
      <c r="C6012" s="76">
        <v>2021</v>
      </c>
      <c r="D6012" s="76" t="s">
        <v>37</v>
      </c>
      <c r="E6012" s="76" t="s">
        <v>32</v>
      </c>
      <c r="F6012" s="76">
        <v>9</v>
      </c>
    </row>
    <row r="6013" s="76" customFormat="1" spans="1:6">
      <c r="A6013">
        <v>6200</v>
      </c>
      <c r="B6013">
        <v>352021241</v>
      </c>
      <c r="C6013" s="76">
        <v>2021</v>
      </c>
      <c r="D6013" s="76" t="s">
        <v>33</v>
      </c>
      <c r="E6013" s="76" t="s">
        <v>32</v>
      </c>
      <c r="F6013" s="76">
        <v>2</v>
      </c>
    </row>
    <row r="6014" s="76" customFormat="1" spans="1:6">
      <c r="A6014">
        <v>6203</v>
      </c>
      <c r="B6014">
        <v>352021241</v>
      </c>
      <c r="C6014" s="76">
        <v>2021</v>
      </c>
      <c r="D6014" s="76" t="s">
        <v>33</v>
      </c>
      <c r="E6014" s="76" t="s">
        <v>32</v>
      </c>
      <c r="F6014" s="76">
        <v>7.2</v>
      </c>
    </row>
    <row r="6015" s="76" customFormat="1" spans="1:6">
      <c r="A6015">
        <v>6201</v>
      </c>
      <c r="B6015">
        <v>352021241</v>
      </c>
      <c r="C6015" s="76">
        <v>2021</v>
      </c>
      <c r="D6015" s="76" t="s">
        <v>33</v>
      </c>
      <c r="E6015" s="76" t="s">
        <v>32</v>
      </c>
      <c r="F6015" s="76">
        <v>6.4</v>
      </c>
    </row>
    <row r="6016" s="76" customFormat="1" spans="1:6">
      <c r="A6016">
        <v>6202</v>
      </c>
      <c r="B6016">
        <v>352021241</v>
      </c>
      <c r="C6016" s="76">
        <v>2021</v>
      </c>
      <c r="D6016" s="76" t="s">
        <v>33</v>
      </c>
      <c r="E6016" s="76" t="s">
        <v>32</v>
      </c>
      <c r="F6016" s="76">
        <v>1.2</v>
      </c>
    </row>
    <row r="6017" s="76" customFormat="1" spans="1:6">
      <c r="A6017">
        <v>6205</v>
      </c>
      <c r="B6017">
        <v>352021242</v>
      </c>
      <c r="C6017" s="76">
        <v>2021</v>
      </c>
      <c r="D6017" s="76" t="s">
        <v>35</v>
      </c>
      <c r="E6017" s="76" t="s">
        <v>32</v>
      </c>
      <c r="F6017" s="76">
        <v>3</v>
      </c>
    </row>
    <row r="6018" s="76" customFormat="1" spans="1:6">
      <c r="A6018">
        <v>6206</v>
      </c>
      <c r="B6018">
        <v>352021242</v>
      </c>
      <c r="C6018" s="76">
        <v>2021</v>
      </c>
      <c r="D6018" s="76" t="s">
        <v>35</v>
      </c>
      <c r="E6018" s="76" t="s">
        <v>32</v>
      </c>
      <c r="F6018" s="76">
        <v>4</v>
      </c>
    </row>
    <row r="6019" s="76" customFormat="1" spans="1:6">
      <c r="A6019">
        <v>6207</v>
      </c>
      <c r="B6019">
        <v>352021242</v>
      </c>
      <c r="C6019" s="76">
        <v>2021</v>
      </c>
      <c r="D6019" s="76" t="s">
        <v>35</v>
      </c>
      <c r="E6019" s="76" t="s">
        <v>32</v>
      </c>
      <c r="F6019" s="76">
        <v>2.5</v>
      </c>
    </row>
    <row r="6020" s="76" customFormat="1" spans="1:6">
      <c r="A6020">
        <v>6208</v>
      </c>
      <c r="B6020">
        <v>352021242</v>
      </c>
      <c r="C6020" s="76">
        <v>2021</v>
      </c>
      <c r="D6020" s="76" t="s">
        <v>35</v>
      </c>
      <c r="E6020" s="76" t="s">
        <v>32</v>
      </c>
      <c r="F6020" s="76">
        <v>3</v>
      </c>
    </row>
    <row r="6021" s="76" customFormat="1" spans="1:6">
      <c r="A6021">
        <v>6209</v>
      </c>
      <c r="B6021">
        <v>352021250</v>
      </c>
      <c r="C6021" s="76">
        <v>2021</v>
      </c>
      <c r="D6021" s="76" t="s">
        <v>44</v>
      </c>
      <c r="E6021" s="76">
        <v>1</v>
      </c>
      <c r="F6021" s="76">
        <v>116.1</v>
      </c>
    </row>
    <row r="6022" s="76" customFormat="1" spans="1:6">
      <c r="A6022">
        <v>6219</v>
      </c>
      <c r="B6022">
        <v>352021260</v>
      </c>
      <c r="C6022" s="76">
        <v>2021</v>
      </c>
      <c r="D6022" s="76" t="s">
        <v>34</v>
      </c>
      <c r="E6022" s="76" t="s">
        <v>32</v>
      </c>
      <c r="F6022" s="76">
        <v>26.7</v>
      </c>
    </row>
    <row r="6023" s="76" customFormat="1" spans="1:6">
      <c r="A6023">
        <v>6212</v>
      </c>
      <c r="B6023">
        <v>352021260</v>
      </c>
      <c r="C6023" s="76">
        <v>2021</v>
      </c>
      <c r="D6023" s="76" t="s">
        <v>34</v>
      </c>
      <c r="E6023" s="76">
        <v>20</v>
      </c>
      <c r="F6023" s="76">
        <v>4.53</v>
      </c>
    </row>
    <row r="6024" s="76" customFormat="1" spans="1:6">
      <c r="A6024">
        <v>6211</v>
      </c>
      <c r="B6024">
        <v>352021260</v>
      </c>
      <c r="C6024" s="76">
        <v>2021</v>
      </c>
      <c r="D6024" s="76" t="s">
        <v>34</v>
      </c>
      <c r="E6024" s="76">
        <v>17</v>
      </c>
      <c r="F6024" s="76">
        <v>3.4</v>
      </c>
    </row>
    <row r="6025" s="76" customFormat="1" spans="1:6">
      <c r="A6025">
        <v>6214</v>
      </c>
      <c r="B6025">
        <v>352021260</v>
      </c>
      <c r="C6025" s="76">
        <v>2021</v>
      </c>
      <c r="D6025" s="76" t="s">
        <v>34</v>
      </c>
      <c r="E6025" s="76" t="s">
        <v>32</v>
      </c>
      <c r="F6025" s="76">
        <v>1.5</v>
      </c>
    </row>
    <row r="6026" s="76" customFormat="1" spans="1:6">
      <c r="A6026">
        <v>6216</v>
      </c>
      <c r="B6026">
        <v>352021260</v>
      </c>
      <c r="C6026" s="76">
        <v>2021</v>
      </c>
      <c r="D6026" s="76" t="s">
        <v>34</v>
      </c>
      <c r="E6026" s="76">
        <v>46</v>
      </c>
      <c r="F6026" s="76">
        <v>29.92</v>
      </c>
    </row>
    <row r="6027" s="76" customFormat="1" spans="1:6">
      <c r="A6027">
        <v>6213</v>
      </c>
      <c r="B6027">
        <v>352021260</v>
      </c>
      <c r="C6027" s="76">
        <v>2021</v>
      </c>
      <c r="D6027" s="76" t="s">
        <v>34</v>
      </c>
      <c r="E6027" s="76">
        <v>16</v>
      </c>
      <c r="F6027" s="76">
        <v>4.36</v>
      </c>
    </row>
    <row r="6028" s="76" customFormat="1" spans="1:6">
      <c r="A6028">
        <v>6221</v>
      </c>
      <c r="B6028">
        <v>352021260</v>
      </c>
      <c r="C6028" s="76">
        <v>2021</v>
      </c>
      <c r="D6028" s="76" t="s">
        <v>34</v>
      </c>
      <c r="E6028" s="76">
        <v>14</v>
      </c>
      <c r="F6028" s="76">
        <v>8.68</v>
      </c>
    </row>
    <row r="6029" s="76" customFormat="1" spans="1:6">
      <c r="A6029">
        <v>6224</v>
      </c>
      <c r="B6029">
        <v>352021260</v>
      </c>
      <c r="C6029" s="76">
        <v>2021</v>
      </c>
      <c r="D6029" s="76" t="s">
        <v>34</v>
      </c>
      <c r="E6029" s="76" t="s">
        <v>32</v>
      </c>
      <c r="F6029" s="76">
        <v>28.52</v>
      </c>
    </row>
    <row r="6030" s="76" customFormat="1" spans="1:6">
      <c r="A6030">
        <v>6217</v>
      </c>
      <c r="B6030">
        <v>352021260</v>
      </c>
      <c r="C6030" s="76">
        <v>2021</v>
      </c>
      <c r="D6030" s="76" t="s">
        <v>34</v>
      </c>
      <c r="E6030" s="76">
        <v>3</v>
      </c>
      <c r="F6030" s="76">
        <v>1.2</v>
      </c>
    </row>
    <row r="6031" s="76" customFormat="1" spans="1:6">
      <c r="A6031">
        <v>6220</v>
      </c>
      <c r="B6031">
        <v>352021260</v>
      </c>
      <c r="C6031" s="76">
        <v>2021</v>
      </c>
      <c r="D6031" s="76" t="s">
        <v>34</v>
      </c>
      <c r="E6031" s="76">
        <v>1</v>
      </c>
      <c r="F6031" s="76">
        <v>0.5</v>
      </c>
    </row>
    <row r="6032" s="76" customFormat="1" spans="1:6">
      <c r="A6032">
        <v>6218</v>
      </c>
      <c r="B6032">
        <v>352021260</v>
      </c>
      <c r="C6032" s="76">
        <v>2021</v>
      </c>
      <c r="D6032" s="76" t="s">
        <v>34</v>
      </c>
      <c r="E6032" s="76">
        <v>52</v>
      </c>
      <c r="F6032" s="76">
        <v>20.8</v>
      </c>
    </row>
    <row r="6033" s="76" customFormat="1" spans="1:6">
      <c r="A6033">
        <v>6215</v>
      </c>
      <c r="B6033">
        <v>352021260</v>
      </c>
      <c r="C6033" s="76">
        <v>2021</v>
      </c>
      <c r="D6033" s="76" t="s">
        <v>34</v>
      </c>
      <c r="E6033" s="76" t="s">
        <v>32</v>
      </c>
      <c r="F6033" s="76">
        <v>42.2</v>
      </c>
    </row>
    <row r="6034" s="76" customFormat="1" spans="1:6">
      <c r="A6034">
        <v>6210</v>
      </c>
      <c r="B6034">
        <v>352021260</v>
      </c>
      <c r="C6034" s="76">
        <v>2021</v>
      </c>
      <c r="D6034" s="76" t="s">
        <v>34</v>
      </c>
      <c r="E6034" s="76">
        <v>13</v>
      </c>
      <c r="F6034" s="76">
        <v>2.86</v>
      </c>
    </row>
    <row r="6035" s="76" customFormat="1" spans="1:6">
      <c r="A6035">
        <v>6223</v>
      </c>
      <c r="B6035">
        <v>352021260</v>
      </c>
      <c r="C6035" s="76">
        <v>2021</v>
      </c>
      <c r="D6035" s="76" t="s">
        <v>34</v>
      </c>
      <c r="E6035" s="76" t="s">
        <v>32</v>
      </c>
      <c r="F6035" s="76">
        <v>49.6</v>
      </c>
    </row>
    <row r="6036" s="76" customFormat="1" spans="1:6">
      <c r="A6036">
        <v>6222</v>
      </c>
      <c r="B6036">
        <v>352021260</v>
      </c>
      <c r="C6036" s="76">
        <v>2021</v>
      </c>
      <c r="D6036" s="76" t="s">
        <v>34</v>
      </c>
      <c r="E6036" s="76">
        <v>37</v>
      </c>
      <c r="F6036" s="76">
        <v>29.78</v>
      </c>
    </row>
    <row r="6037" s="76" customFormat="1" spans="1:6">
      <c r="A6037">
        <v>6233</v>
      </c>
      <c r="B6037">
        <v>352021270</v>
      </c>
      <c r="C6037" s="76">
        <v>2021</v>
      </c>
      <c r="D6037" s="76" t="s">
        <v>31</v>
      </c>
      <c r="E6037" s="76" t="s">
        <v>32</v>
      </c>
      <c r="F6037" s="76">
        <v>0.73</v>
      </c>
    </row>
    <row r="6038" s="76" customFormat="1" spans="1:6">
      <c r="A6038">
        <v>6236</v>
      </c>
      <c r="B6038">
        <v>352021270</v>
      </c>
      <c r="C6038" s="76">
        <v>2021</v>
      </c>
      <c r="D6038" s="76" t="s">
        <v>31</v>
      </c>
      <c r="E6038" s="76" t="s">
        <v>32</v>
      </c>
      <c r="F6038" s="76">
        <v>0.29</v>
      </c>
    </row>
    <row r="6039" s="76" customFormat="1" spans="1:6">
      <c r="A6039">
        <v>6231</v>
      </c>
      <c r="B6039">
        <v>352021270</v>
      </c>
      <c r="C6039" s="76">
        <v>2021</v>
      </c>
      <c r="D6039" s="76" t="s">
        <v>31</v>
      </c>
      <c r="E6039" s="76" t="s">
        <v>32</v>
      </c>
      <c r="F6039" s="76">
        <v>0.45</v>
      </c>
    </row>
    <row r="6040" s="76" customFormat="1" spans="1:6">
      <c r="A6040">
        <v>6238</v>
      </c>
      <c r="B6040">
        <v>352021270</v>
      </c>
      <c r="C6040" s="76">
        <v>2021</v>
      </c>
      <c r="D6040" s="76" t="s">
        <v>31</v>
      </c>
      <c r="E6040" s="76" t="s">
        <v>32</v>
      </c>
      <c r="F6040" s="76">
        <v>0.39</v>
      </c>
    </row>
    <row r="6041" s="76" customFormat="1" spans="1:6">
      <c r="A6041">
        <v>6237</v>
      </c>
      <c r="B6041">
        <v>352021270</v>
      </c>
      <c r="C6041" s="76">
        <v>2021</v>
      </c>
      <c r="D6041" s="76" t="s">
        <v>31</v>
      </c>
      <c r="E6041" s="76" t="s">
        <v>32</v>
      </c>
      <c r="F6041" s="76">
        <v>0.57</v>
      </c>
    </row>
    <row r="6042" s="76" customFormat="1" spans="1:6">
      <c r="A6042">
        <v>6228</v>
      </c>
      <c r="B6042">
        <v>352021270</v>
      </c>
      <c r="C6042" s="76">
        <v>2021</v>
      </c>
      <c r="D6042" s="76" t="s">
        <v>31</v>
      </c>
      <c r="E6042" s="76" t="s">
        <v>32</v>
      </c>
      <c r="F6042" s="76">
        <v>1.26</v>
      </c>
    </row>
    <row r="6043" s="76" customFormat="1" spans="1:6">
      <c r="A6043">
        <v>6229</v>
      </c>
      <c r="B6043">
        <v>352021270</v>
      </c>
      <c r="C6043" s="76">
        <v>2021</v>
      </c>
      <c r="D6043" s="76" t="s">
        <v>31</v>
      </c>
      <c r="E6043" s="76" t="s">
        <v>32</v>
      </c>
      <c r="F6043" s="76">
        <v>0.75</v>
      </c>
    </row>
    <row r="6044" s="76" customFormat="1" spans="1:6">
      <c r="A6044">
        <v>6234</v>
      </c>
      <c r="B6044">
        <v>352021270</v>
      </c>
      <c r="C6044" s="76">
        <v>2021</v>
      </c>
      <c r="D6044" s="76" t="s">
        <v>31</v>
      </c>
      <c r="E6044" s="76" t="s">
        <v>32</v>
      </c>
      <c r="F6044" s="76">
        <v>0.42</v>
      </c>
    </row>
    <row r="6045" s="76" customFormat="1" spans="1:6">
      <c r="A6045">
        <v>6230</v>
      </c>
      <c r="B6045">
        <v>352021270</v>
      </c>
      <c r="C6045" s="76">
        <v>2021</v>
      </c>
      <c r="D6045" s="76" t="s">
        <v>31</v>
      </c>
      <c r="E6045" s="76" t="s">
        <v>32</v>
      </c>
      <c r="F6045" s="76">
        <v>0.21</v>
      </c>
    </row>
    <row r="6046" s="76" customFormat="1" spans="1:6">
      <c r="A6046">
        <v>6239</v>
      </c>
      <c r="B6046">
        <v>352021270</v>
      </c>
      <c r="C6046" s="76">
        <v>2021</v>
      </c>
      <c r="D6046" s="76" t="s">
        <v>31</v>
      </c>
      <c r="E6046" s="76" t="s">
        <v>32</v>
      </c>
      <c r="F6046" s="76">
        <v>5.06</v>
      </c>
    </row>
    <row r="6047" s="76" customFormat="1" spans="1:6">
      <c r="A6047">
        <v>6235</v>
      </c>
      <c r="B6047">
        <v>352021270</v>
      </c>
      <c r="C6047" s="76">
        <v>2021</v>
      </c>
      <c r="D6047" s="76" t="s">
        <v>31</v>
      </c>
      <c r="E6047" s="76" t="s">
        <v>32</v>
      </c>
      <c r="F6047" s="76">
        <v>0.25</v>
      </c>
    </row>
    <row r="6048" s="76" customFormat="1" spans="1:6">
      <c r="A6048">
        <v>6232</v>
      </c>
      <c r="B6048">
        <v>352021270</v>
      </c>
      <c r="C6048" s="76">
        <v>2021</v>
      </c>
      <c r="D6048" s="76" t="s">
        <v>31</v>
      </c>
      <c r="E6048" s="76" t="s">
        <v>32</v>
      </c>
      <c r="F6048" s="76">
        <v>0.27</v>
      </c>
    </row>
    <row r="6049" s="76" customFormat="1" spans="1:6">
      <c r="A6049">
        <v>6225</v>
      </c>
      <c r="B6049">
        <v>352021270</v>
      </c>
      <c r="C6049" s="76">
        <v>2021</v>
      </c>
      <c r="D6049" s="76" t="s">
        <v>31</v>
      </c>
      <c r="E6049" s="76" t="s">
        <v>32</v>
      </c>
      <c r="F6049" s="76">
        <v>0.06</v>
      </c>
    </row>
    <row r="6050" s="76" customFormat="1" spans="1:6">
      <c r="A6050">
        <v>6226</v>
      </c>
      <c r="B6050">
        <v>352021270</v>
      </c>
      <c r="C6050" s="76">
        <v>2021</v>
      </c>
      <c r="D6050" s="76" t="s">
        <v>31</v>
      </c>
      <c r="E6050" s="76" t="s">
        <v>32</v>
      </c>
      <c r="F6050" s="76">
        <v>0.4</v>
      </c>
    </row>
    <row r="6051" s="76" customFormat="1" spans="1:6">
      <c r="A6051">
        <v>6240</v>
      </c>
      <c r="B6051">
        <v>362012110</v>
      </c>
      <c r="C6051">
        <v>2012</v>
      </c>
      <c r="D6051" t="s">
        <v>40</v>
      </c>
      <c r="E6051">
        <v>2</v>
      </c>
      <c r="F6051">
        <v>2.4</v>
      </c>
    </row>
    <row r="6052" s="76" customFormat="1" spans="1:6">
      <c r="A6052">
        <v>6241</v>
      </c>
      <c r="B6052">
        <v>362012110</v>
      </c>
      <c r="C6052">
        <v>2012</v>
      </c>
      <c r="D6052" t="s">
        <v>40</v>
      </c>
      <c r="E6052">
        <v>1</v>
      </c>
      <c r="F6052">
        <v>2</v>
      </c>
    </row>
    <row r="6053" s="76" customFormat="1" spans="1:6">
      <c r="A6053">
        <v>6243</v>
      </c>
      <c r="B6053">
        <v>362012211</v>
      </c>
      <c r="C6053">
        <v>2012</v>
      </c>
      <c r="D6053" t="s">
        <v>37</v>
      </c>
      <c r="E6053">
        <v>1</v>
      </c>
      <c r="F6053">
        <v>64</v>
      </c>
    </row>
    <row r="6054" s="76" customFormat="1" spans="1:6">
      <c r="A6054">
        <v>6242</v>
      </c>
      <c r="B6054">
        <v>362012211</v>
      </c>
      <c r="C6054">
        <v>2012</v>
      </c>
      <c r="D6054" t="s">
        <v>37</v>
      </c>
      <c r="E6054">
        <v>1</v>
      </c>
      <c r="F6054">
        <v>66</v>
      </c>
    </row>
    <row r="6055" s="76" customFormat="1" spans="1:6">
      <c r="A6055">
        <v>6245</v>
      </c>
      <c r="B6055">
        <v>362012260</v>
      </c>
      <c r="C6055">
        <v>2012</v>
      </c>
      <c r="D6055" t="s">
        <v>34</v>
      </c>
      <c r="E6055">
        <v>6</v>
      </c>
      <c r="F6055">
        <v>1.2</v>
      </c>
    </row>
    <row r="6056" s="76" customFormat="1" spans="1:6">
      <c r="A6056">
        <v>6244</v>
      </c>
      <c r="B6056">
        <v>362012260</v>
      </c>
      <c r="C6056">
        <v>2012</v>
      </c>
      <c r="D6056" t="s">
        <v>34</v>
      </c>
      <c r="E6056">
        <v>14</v>
      </c>
      <c r="F6056">
        <v>2.1</v>
      </c>
    </row>
    <row r="6057" s="76" customFormat="1" spans="1:6">
      <c r="A6057">
        <v>6249</v>
      </c>
      <c r="B6057">
        <v>362013110</v>
      </c>
      <c r="C6057">
        <v>2013</v>
      </c>
      <c r="D6057" t="s">
        <v>40</v>
      </c>
      <c r="E6057">
        <v>2</v>
      </c>
      <c r="F6057">
        <v>8</v>
      </c>
    </row>
    <row r="6058" s="76" customFormat="1" spans="1:6">
      <c r="A6058">
        <v>6247</v>
      </c>
      <c r="B6058">
        <v>362013110</v>
      </c>
      <c r="C6058">
        <v>2013</v>
      </c>
      <c r="D6058" t="s">
        <v>40</v>
      </c>
      <c r="E6058">
        <v>1</v>
      </c>
      <c r="F6058">
        <v>1.2</v>
      </c>
    </row>
    <row r="6059" s="76" customFormat="1" spans="1:6">
      <c r="A6059">
        <v>6248</v>
      </c>
      <c r="B6059">
        <v>362013110</v>
      </c>
      <c r="C6059">
        <v>2013</v>
      </c>
      <c r="D6059" t="s">
        <v>40</v>
      </c>
      <c r="E6059">
        <v>3</v>
      </c>
      <c r="F6059">
        <v>3.51</v>
      </c>
    </row>
    <row r="6060" s="76" customFormat="1" spans="1:6">
      <c r="A6060">
        <v>6246</v>
      </c>
      <c r="B6060">
        <v>362013110</v>
      </c>
      <c r="C6060">
        <v>2013</v>
      </c>
      <c r="D6060" t="s">
        <v>40</v>
      </c>
      <c r="E6060">
        <v>6</v>
      </c>
      <c r="F6060">
        <v>12</v>
      </c>
    </row>
    <row r="6061" s="76" customFormat="1" spans="1:6">
      <c r="A6061">
        <v>6250</v>
      </c>
      <c r="B6061">
        <v>362013260</v>
      </c>
      <c r="C6061">
        <v>2013</v>
      </c>
      <c r="D6061" t="s">
        <v>34</v>
      </c>
      <c r="E6061">
        <v>18</v>
      </c>
      <c r="F6061">
        <v>3.6</v>
      </c>
    </row>
    <row r="6062" s="76" customFormat="1" spans="1:6">
      <c r="A6062">
        <v>6251</v>
      </c>
      <c r="B6062">
        <v>362013260</v>
      </c>
      <c r="C6062">
        <v>2013</v>
      </c>
      <c r="D6062" t="s">
        <v>34</v>
      </c>
      <c r="E6062">
        <v>24</v>
      </c>
      <c r="F6062">
        <v>4.8</v>
      </c>
    </row>
    <row r="6063" s="76" customFormat="1" spans="1:6">
      <c r="A6063">
        <v>6252</v>
      </c>
      <c r="B6063">
        <v>362013260</v>
      </c>
      <c r="C6063">
        <v>2013</v>
      </c>
      <c r="D6063" t="s">
        <v>34</v>
      </c>
      <c r="E6063">
        <v>24</v>
      </c>
      <c r="F6063">
        <v>4.8</v>
      </c>
    </row>
    <row r="6064" s="76" customFormat="1" spans="1:6">
      <c r="A6064">
        <v>6253</v>
      </c>
      <c r="B6064">
        <v>362013270</v>
      </c>
      <c r="C6064">
        <v>2013</v>
      </c>
      <c r="D6064" t="s">
        <v>31</v>
      </c>
      <c r="E6064" t="s">
        <v>32</v>
      </c>
      <c r="F6064">
        <v>2</v>
      </c>
    </row>
    <row r="6065" s="76" customFormat="1" spans="1:6">
      <c r="A6065">
        <v>6254</v>
      </c>
      <c r="B6065">
        <v>362014110</v>
      </c>
      <c r="C6065">
        <v>2014</v>
      </c>
      <c r="D6065" t="s">
        <v>40</v>
      </c>
      <c r="E6065">
        <v>5</v>
      </c>
      <c r="F6065">
        <v>20</v>
      </c>
    </row>
    <row r="6066" s="76" customFormat="1" spans="1:6">
      <c r="A6066">
        <v>6255</v>
      </c>
      <c r="B6066">
        <v>362014221</v>
      </c>
      <c r="C6066">
        <v>2014</v>
      </c>
      <c r="D6066" t="s">
        <v>30</v>
      </c>
      <c r="E6066">
        <v>3</v>
      </c>
      <c r="F6066">
        <v>8.7</v>
      </c>
    </row>
    <row r="6067" s="76" customFormat="1" spans="1:6">
      <c r="A6067">
        <v>6256</v>
      </c>
      <c r="B6067">
        <v>362014260</v>
      </c>
      <c r="C6067">
        <v>2014</v>
      </c>
      <c r="D6067" t="s">
        <v>34</v>
      </c>
      <c r="E6067">
        <v>24</v>
      </c>
      <c r="F6067">
        <v>4.8</v>
      </c>
    </row>
    <row r="6068" s="76" customFormat="1" spans="1:6">
      <c r="A6068">
        <v>6258</v>
      </c>
      <c r="B6068">
        <v>362014260</v>
      </c>
      <c r="C6068">
        <v>2014</v>
      </c>
      <c r="D6068" t="s">
        <v>34</v>
      </c>
      <c r="E6068">
        <v>24</v>
      </c>
      <c r="F6068">
        <v>4.8</v>
      </c>
    </row>
    <row r="6069" s="76" customFormat="1" spans="1:6">
      <c r="A6069">
        <v>6257</v>
      </c>
      <c r="B6069">
        <v>362014260</v>
      </c>
      <c r="C6069">
        <v>2014</v>
      </c>
      <c r="D6069" t="s">
        <v>34</v>
      </c>
      <c r="E6069">
        <v>22</v>
      </c>
      <c r="F6069">
        <v>4.62</v>
      </c>
    </row>
    <row r="6070" s="76" customFormat="1" spans="1:6">
      <c r="A6070">
        <v>6261</v>
      </c>
      <c r="B6070">
        <v>362014270</v>
      </c>
      <c r="C6070">
        <v>2014</v>
      </c>
      <c r="D6070" t="s">
        <v>31</v>
      </c>
      <c r="E6070">
        <v>1</v>
      </c>
      <c r="F6070">
        <v>2</v>
      </c>
    </row>
    <row r="6071" s="76" customFormat="1" spans="1:6">
      <c r="A6071">
        <v>6267</v>
      </c>
      <c r="B6071">
        <v>362014270</v>
      </c>
      <c r="C6071">
        <v>2014</v>
      </c>
      <c r="D6071" t="s">
        <v>31</v>
      </c>
      <c r="E6071">
        <v>1</v>
      </c>
      <c r="F6071">
        <v>0.73</v>
      </c>
    </row>
    <row r="6072" s="76" customFormat="1" spans="1:6">
      <c r="A6072">
        <v>6279</v>
      </c>
      <c r="B6072">
        <v>362014270</v>
      </c>
      <c r="C6072">
        <v>2014</v>
      </c>
      <c r="D6072" t="s">
        <v>31</v>
      </c>
      <c r="E6072">
        <v>138</v>
      </c>
      <c r="F6072">
        <v>0.25</v>
      </c>
    </row>
    <row r="6073" s="76" customFormat="1" spans="1:6">
      <c r="A6073">
        <v>6287</v>
      </c>
      <c r="B6073">
        <v>362014270</v>
      </c>
      <c r="C6073">
        <v>2014</v>
      </c>
      <c r="D6073" t="s">
        <v>31</v>
      </c>
      <c r="E6073">
        <v>24</v>
      </c>
      <c r="F6073">
        <v>0.09</v>
      </c>
    </row>
    <row r="6074" s="76" customFormat="1" spans="1:6">
      <c r="A6074">
        <v>6284</v>
      </c>
      <c r="B6074">
        <v>362014270</v>
      </c>
      <c r="C6074">
        <v>2014</v>
      </c>
      <c r="D6074" t="s">
        <v>31</v>
      </c>
      <c r="E6074">
        <v>112</v>
      </c>
      <c r="F6074">
        <v>0.13</v>
      </c>
    </row>
    <row r="6075" s="76" customFormat="1" spans="1:6">
      <c r="A6075">
        <v>6272</v>
      </c>
      <c r="B6075">
        <v>362014270</v>
      </c>
      <c r="C6075">
        <v>2014</v>
      </c>
      <c r="D6075" t="s">
        <v>31</v>
      </c>
      <c r="E6075">
        <v>183</v>
      </c>
      <c r="F6075">
        <v>0.35</v>
      </c>
    </row>
    <row r="6076" s="76" customFormat="1" spans="1:6">
      <c r="A6076">
        <v>6282</v>
      </c>
      <c r="B6076">
        <v>362014270</v>
      </c>
      <c r="C6076">
        <v>2014</v>
      </c>
      <c r="D6076" t="s">
        <v>31</v>
      </c>
      <c r="E6076">
        <v>1</v>
      </c>
      <c r="F6076">
        <v>0.2</v>
      </c>
    </row>
    <row r="6077" s="76" customFormat="1" spans="1:6">
      <c r="A6077">
        <v>6285</v>
      </c>
      <c r="B6077">
        <v>362014270</v>
      </c>
      <c r="C6077">
        <v>2014</v>
      </c>
      <c r="D6077" t="s">
        <v>31</v>
      </c>
      <c r="E6077">
        <v>53</v>
      </c>
      <c r="F6077">
        <v>0.12</v>
      </c>
    </row>
    <row r="6078" s="76" customFormat="1" spans="1:6">
      <c r="A6078">
        <v>6259</v>
      </c>
      <c r="B6078">
        <v>362014270</v>
      </c>
      <c r="C6078">
        <v>2014</v>
      </c>
      <c r="D6078" t="s">
        <v>31</v>
      </c>
      <c r="E6078"/>
      <c r="F6078">
        <v>1.3</v>
      </c>
    </row>
    <row r="6079" s="76" customFormat="1" spans="1:6">
      <c r="A6079">
        <v>6263</v>
      </c>
      <c r="B6079">
        <v>362014270</v>
      </c>
      <c r="C6079">
        <v>2014</v>
      </c>
      <c r="D6079" t="s">
        <v>31</v>
      </c>
      <c r="E6079">
        <v>1</v>
      </c>
      <c r="F6079">
        <v>0.93</v>
      </c>
    </row>
    <row r="6080" s="76" customFormat="1" spans="1:6">
      <c r="A6080">
        <v>6270</v>
      </c>
      <c r="B6080">
        <v>362014270</v>
      </c>
      <c r="C6080">
        <v>2014</v>
      </c>
      <c r="D6080" t="s">
        <v>31</v>
      </c>
      <c r="E6080">
        <v>1</v>
      </c>
      <c r="F6080">
        <v>0.5</v>
      </c>
    </row>
    <row r="6081" s="76" customFormat="1" spans="1:6">
      <c r="A6081">
        <v>6269</v>
      </c>
      <c r="B6081">
        <v>362014270</v>
      </c>
      <c r="C6081">
        <v>2014</v>
      </c>
      <c r="D6081" t="s">
        <v>31</v>
      </c>
      <c r="E6081">
        <v>1</v>
      </c>
      <c r="F6081">
        <v>0.5</v>
      </c>
    </row>
    <row r="6082" s="76" customFormat="1" spans="1:6">
      <c r="A6082">
        <v>6288</v>
      </c>
      <c r="B6082">
        <v>362014270</v>
      </c>
      <c r="C6082">
        <v>2014</v>
      </c>
      <c r="D6082" t="s">
        <v>31</v>
      </c>
      <c r="E6082">
        <v>46</v>
      </c>
      <c r="F6082">
        <v>0.07</v>
      </c>
    </row>
    <row r="6083" s="76" customFormat="1" spans="1:6">
      <c r="A6083">
        <v>6280</v>
      </c>
      <c r="B6083">
        <v>362014270</v>
      </c>
      <c r="C6083">
        <v>2014</v>
      </c>
      <c r="D6083" t="s">
        <v>31</v>
      </c>
      <c r="E6083">
        <v>1</v>
      </c>
      <c r="F6083">
        <v>0.22</v>
      </c>
    </row>
    <row r="6084" s="76" customFormat="1" spans="1:6">
      <c r="A6084">
        <v>6283</v>
      </c>
      <c r="B6084">
        <v>362014270</v>
      </c>
      <c r="C6084">
        <v>2014</v>
      </c>
      <c r="D6084" t="s">
        <v>31</v>
      </c>
      <c r="E6084">
        <v>149</v>
      </c>
      <c r="F6084">
        <v>0.15</v>
      </c>
    </row>
    <row r="6085" s="76" customFormat="1" spans="1:6">
      <c r="A6085">
        <v>6268</v>
      </c>
      <c r="B6085">
        <v>362014270</v>
      </c>
      <c r="C6085">
        <v>2014</v>
      </c>
      <c r="D6085" t="s">
        <v>31</v>
      </c>
      <c r="E6085">
        <v>1</v>
      </c>
      <c r="F6085">
        <v>0.51</v>
      </c>
    </row>
    <row r="6086" s="76" customFormat="1" spans="1:6">
      <c r="A6086">
        <v>6265</v>
      </c>
      <c r="B6086">
        <v>362014270</v>
      </c>
      <c r="C6086">
        <v>2014</v>
      </c>
      <c r="D6086" t="s">
        <v>31</v>
      </c>
      <c r="E6086">
        <v>1</v>
      </c>
      <c r="F6086">
        <v>0.83</v>
      </c>
    </row>
    <row r="6087" s="76" customFormat="1" spans="1:6">
      <c r="A6087">
        <v>6262</v>
      </c>
      <c r="B6087">
        <v>362014270</v>
      </c>
      <c r="C6087">
        <v>2014</v>
      </c>
      <c r="D6087" t="s">
        <v>31</v>
      </c>
      <c r="E6087">
        <v>319</v>
      </c>
      <c r="F6087">
        <v>1.24</v>
      </c>
    </row>
    <row r="6088" s="76" customFormat="1" spans="1:6">
      <c r="A6088">
        <v>6278</v>
      </c>
      <c r="B6088">
        <v>362014270</v>
      </c>
      <c r="C6088">
        <v>2014</v>
      </c>
      <c r="D6088" t="s">
        <v>31</v>
      </c>
      <c r="E6088">
        <v>549</v>
      </c>
      <c r="F6088">
        <v>0.3</v>
      </c>
    </row>
    <row r="6089" s="76" customFormat="1" spans="1:6">
      <c r="A6089">
        <v>6273</v>
      </c>
      <c r="B6089">
        <v>362014270</v>
      </c>
      <c r="C6089">
        <v>2014</v>
      </c>
      <c r="D6089" t="s">
        <v>31</v>
      </c>
      <c r="E6089">
        <v>1</v>
      </c>
      <c r="F6089">
        <v>0.31</v>
      </c>
    </row>
    <row r="6090" s="76" customFormat="1" spans="1:6">
      <c r="A6090">
        <v>6264</v>
      </c>
      <c r="B6090">
        <v>362014270</v>
      </c>
      <c r="C6090">
        <v>2014</v>
      </c>
      <c r="D6090" t="s">
        <v>31</v>
      </c>
      <c r="E6090">
        <v>1</v>
      </c>
      <c r="F6090">
        <v>0.85</v>
      </c>
    </row>
    <row r="6091" s="76" customFormat="1" spans="1:6">
      <c r="A6091">
        <v>6260</v>
      </c>
      <c r="B6091">
        <v>362014270</v>
      </c>
      <c r="C6091">
        <v>2014</v>
      </c>
      <c r="D6091" t="s">
        <v>31</v>
      </c>
      <c r="E6091">
        <v>1</v>
      </c>
      <c r="F6091">
        <v>2.1</v>
      </c>
    </row>
    <row r="6092" s="76" customFormat="1" spans="1:6">
      <c r="A6092">
        <v>6266</v>
      </c>
      <c r="B6092">
        <v>362014270</v>
      </c>
      <c r="C6092">
        <v>2014</v>
      </c>
      <c r="D6092" t="s">
        <v>31</v>
      </c>
      <c r="E6092">
        <v>1</v>
      </c>
      <c r="F6092">
        <v>0.8</v>
      </c>
    </row>
    <row r="6093" s="76" customFormat="1" spans="1:6">
      <c r="A6093">
        <v>6271</v>
      </c>
      <c r="B6093">
        <v>362014270</v>
      </c>
      <c r="C6093">
        <v>2014</v>
      </c>
      <c r="D6093" t="s">
        <v>31</v>
      </c>
      <c r="E6093">
        <v>123</v>
      </c>
      <c r="F6093">
        <v>0.46</v>
      </c>
    </row>
    <row r="6094" s="76" customFormat="1" spans="1:6">
      <c r="A6094">
        <v>6281</v>
      </c>
      <c r="B6094">
        <v>362014270</v>
      </c>
      <c r="C6094">
        <v>2014</v>
      </c>
      <c r="D6094" t="s">
        <v>31</v>
      </c>
      <c r="E6094">
        <v>1</v>
      </c>
      <c r="F6094">
        <v>0.2</v>
      </c>
    </row>
    <row r="6095" s="76" customFormat="1" spans="1:6">
      <c r="A6095">
        <v>6277</v>
      </c>
      <c r="B6095">
        <v>362014270</v>
      </c>
      <c r="C6095">
        <v>2014</v>
      </c>
      <c r="D6095" t="s">
        <v>31</v>
      </c>
      <c r="E6095">
        <v>1</v>
      </c>
      <c r="F6095">
        <v>0.3</v>
      </c>
    </row>
    <row r="6096" s="76" customFormat="1" spans="1:6">
      <c r="A6096">
        <v>6276</v>
      </c>
      <c r="B6096">
        <v>362014270</v>
      </c>
      <c r="C6096">
        <v>2014</v>
      </c>
      <c r="D6096" t="s">
        <v>31</v>
      </c>
      <c r="E6096">
        <v>1</v>
      </c>
      <c r="F6096">
        <v>0.3</v>
      </c>
    </row>
    <row r="6097" s="76" customFormat="1" spans="1:6">
      <c r="A6097">
        <v>6274</v>
      </c>
      <c r="B6097">
        <v>362014270</v>
      </c>
      <c r="C6097">
        <v>2014</v>
      </c>
      <c r="D6097" t="s">
        <v>31</v>
      </c>
      <c r="E6097">
        <v>1</v>
      </c>
      <c r="F6097">
        <v>0.3</v>
      </c>
    </row>
    <row r="6098" s="76" customFormat="1" spans="1:6">
      <c r="A6098">
        <v>6291</v>
      </c>
      <c r="B6098">
        <v>362014270</v>
      </c>
      <c r="C6098">
        <v>2014</v>
      </c>
      <c r="D6098" t="s">
        <v>31</v>
      </c>
      <c r="E6098">
        <v>1</v>
      </c>
      <c r="F6098">
        <v>0.05</v>
      </c>
    </row>
    <row r="6099" s="76" customFormat="1" spans="1:6">
      <c r="A6099">
        <v>6289</v>
      </c>
      <c r="B6099">
        <v>362014270</v>
      </c>
      <c r="C6099">
        <v>2014</v>
      </c>
      <c r="D6099" t="s">
        <v>31</v>
      </c>
      <c r="E6099">
        <v>1</v>
      </c>
      <c r="F6099">
        <v>0.06</v>
      </c>
    </row>
    <row r="6100" s="76" customFormat="1" spans="1:6">
      <c r="A6100">
        <v>6286</v>
      </c>
      <c r="B6100">
        <v>362014270</v>
      </c>
      <c r="C6100">
        <v>2014</v>
      </c>
      <c r="D6100" t="s">
        <v>31</v>
      </c>
      <c r="E6100">
        <v>1</v>
      </c>
      <c r="F6100">
        <v>0.11</v>
      </c>
    </row>
    <row r="6101" s="76" customFormat="1" spans="1:6">
      <c r="A6101">
        <v>6275</v>
      </c>
      <c r="B6101">
        <v>362014270</v>
      </c>
      <c r="C6101">
        <v>2014</v>
      </c>
      <c r="D6101" t="s">
        <v>31</v>
      </c>
      <c r="E6101">
        <v>1</v>
      </c>
      <c r="F6101">
        <v>0.3</v>
      </c>
    </row>
    <row r="6102" s="76" customFormat="1" spans="1:6">
      <c r="A6102">
        <v>6292</v>
      </c>
      <c r="B6102">
        <v>362014270</v>
      </c>
      <c r="C6102">
        <v>2014</v>
      </c>
      <c r="D6102" t="s">
        <v>31</v>
      </c>
      <c r="E6102">
        <v>21</v>
      </c>
      <c r="F6102">
        <v>0.01</v>
      </c>
    </row>
    <row r="6103" s="76" customFormat="1" spans="1:6">
      <c r="A6103">
        <v>6290</v>
      </c>
      <c r="B6103">
        <v>362014270</v>
      </c>
      <c r="C6103">
        <v>2014</v>
      </c>
      <c r="D6103" t="s">
        <v>31</v>
      </c>
      <c r="E6103">
        <v>111</v>
      </c>
      <c r="F6103">
        <v>0.06</v>
      </c>
    </row>
    <row r="6104" s="76" customFormat="1" spans="1:6">
      <c r="A6104">
        <v>6293</v>
      </c>
      <c r="B6104">
        <v>362015110</v>
      </c>
      <c r="C6104">
        <v>2015</v>
      </c>
      <c r="D6104" t="s">
        <v>40</v>
      </c>
      <c r="E6104">
        <v>2</v>
      </c>
      <c r="F6104">
        <v>8</v>
      </c>
    </row>
    <row r="6105" s="76" customFormat="1" spans="1:6">
      <c r="A6105">
        <v>6294</v>
      </c>
      <c r="B6105">
        <v>362015110</v>
      </c>
      <c r="C6105">
        <v>2015</v>
      </c>
      <c r="D6105" t="s">
        <v>40</v>
      </c>
      <c r="E6105" t="s">
        <v>32</v>
      </c>
      <c r="F6105">
        <v>4</v>
      </c>
    </row>
    <row r="6106" s="76" customFormat="1" spans="1:6">
      <c r="A6106">
        <v>6297</v>
      </c>
      <c r="B6106">
        <v>362015110</v>
      </c>
      <c r="C6106">
        <v>2015</v>
      </c>
      <c r="D6106" t="s">
        <v>40</v>
      </c>
      <c r="E6106" t="s">
        <v>32</v>
      </c>
      <c r="F6106">
        <v>0.08</v>
      </c>
    </row>
    <row r="6107" s="76" customFormat="1" spans="1:6">
      <c r="A6107">
        <v>6296</v>
      </c>
      <c r="B6107">
        <v>362015110</v>
      </c>
      <c r="C6107">
        <v>2015</v>
      </c>
      <c r="D6107" t="s">
        <v>40</v>
      </c>
      <c r="E6107" t="s">
        <v>32</v>
      </c>
      <c r="F6107">
        <v>0.63</v>
      </c>
    </row>
    <row r="6108" s="76" customFormat="1" spans="1:6">
      <c r="A6108">
        <v>6295</v>
      </c>
      <c r="B6108">
        <v>362015110</v>
      </c>
      <c r="C6108">
        <v>2015</v>
      </c>
      <c r="D6108" t="s">
        <v>40</v>
      </c>
      <c r="E6108" t="s">
        <v>32</v>
      </c>
      <c r="F6108">
        <v>0.08</v>
      </c>
    </row>
    <row r="6109" s="76" customFormat="1" spans="1:6">
      <c r="A6109">
        <v>6299</v>
      </c>
      <c r="B6109">
        <v>362015211</v>
      </c>
      <c r="C6109">
        <v>2015</v>
      </c>
      <c r="D6109" t="s">
        <v>37</v>
      </c>
      <c r="E6109">
        <v>1</v>
      </c>
      <c r="F6109">
        <v>100</v>
      </c>
    </row>
    <row r="6110" s="76" customFormat="1" spans="1:6">
      <c r="A6110">
        <v>6298</v>
      </c>
      <c r="B6110">
        <v>362015211</v>
      </c>
      <c r="C6110">
        <v>2015</v>
      </c>
      <c r="D6110" t="s">
        <v>37</v>
      </c>
      <c r="E6110">
        <v>2</v>
      </c>
      <c r="F6110">
        <v>132</v>
      </c>
    </row>
    <row r="6111" s="76" customFormat="1" spans="1:6">
      <c r="A6111">
        <v>6305</v>
      </c>
      <c r="B6111">
        <v>362015241</v>
      </c>
      <c r="C6111">
        <v>2015</v>
      </c>
      <c r="D6111" t="s">
        <v>33</v>
      </c>
      <c r="E6111" t="s">
        <v>32</v>
      </c>
      <c r="F6111">
        <v>0.35</v>
      </c>
    </row>
    <row r="6112" s="76" customFormat="1" spans="1:6">
      <c r="A6112">
        <v>6306</v>
      </c>
      <c r="B6112">
        <v>362015241</v>
      </c>
      <c r="C6112">
        <v>2015</v>
      </c>
      <c r="D6112" t="s">
        <v>33</v>
      </c>
      <c r="E6112" t="s">
        <v>32</v>
      </c>
      <c r="F6112">
        <v>0.6</v>
      </c>
    </row>
    <row r="6113" s="76" customFormat="1" spans="1:6">
      <c r="A6113">
        <v>6307</v>
      </c>
      <c r="B6113">
        <v>362015241</v>
      </c>
      <c r="C6113">
        <v>2015</v>
      </c>
      <c r="D6113" t="s">
        <v>33</v>
      </c>
      <c r="E6113" t="s">
        <v>32</v>
      </c>
      <c r="F6113">
        <v>0.15</v>
      </c>
    </row>
    <row r="6114" s="76" customFormat="1" spans="1:6">
      <c r="A6114">
        <v>6303</v>
      </c>
      <c r="B6114">
        <v>362015241</v>
      </c>
      <c r="C6114">
        <v>2015</v>
      </c>
      <c r="D6114" t="s">
        <v>33</v>
      </c>
      <c r="E6114" t="s">
        <v>32</v>
      </c>
      <c r="F6114">
        <v>0.6</v>
      </c>
    </row>
    <row r="6115" s="76" customFormat="1" spans="1:6">
      <c r="A6115">
        <v>6300</v>
      </c>
      <c r="B6115">
        <v>362015241</v>
      </c>
      <c r="C6115">
        <v>2015</v>
      </c>
      <c r="D6115" t="s">
        <v>33</v>
      </c>
      <c r="E6115">
        <v>1</v>
      </c>
      <c r="F6115">
        <v>0.6</v>
      </c>
    </row>
    <row r="6116" s="76" customFormat="1" spans="1:6">
      <c r="A6116">
        <v>6302</v>
      </c>
      <c r="B6116">
        <v>362015241</v>
      </c>
      <c r="C6116">
        <v>2015</v>
      </c>
      <c r="D6116" t="s">
        <v>33</v>
      </c>
      <c r="E6116">
        <v>1</v>
      </c>
      <c r="F6116">
        <v>1.8</v>
      </c>
    </row>
    <row r="6117" s="76" customFormat="1" spans="1:6">
      <c r="A6117">
        <v>6304</v>
      </c>
      <c r="B6117">
        <v>362015241</v>
      </c>
      <c r="C6117">
        <v>2015</v>
      </c>
      <c r="D6117" t="s">
        <v>33</v>
      </c>
      <c r="E6117" t="s">
        <v>32</v>
      </c>
      <c r="F6117">
        <v>10.8</v>
      </c>
    </row>
    <row r="6118" s="76" customFormat="1" spans="1:6">
      <c r="A6118">
        <v>6301</v>
      </c>
      <c r="B6118">
        <v>362015241</v>
      </c>
      <c r="C6118">
        <v>2015</v>
      </c>
      <c r="D6118" t="s">
        <v>33</v>
      </c>
      <c r="E6118">
        <v>1</v>
      </c>
      <c r="F6118">
        <v>1.76</v>
      </c>
    </row>
    <row r="6119" s="76" customFormat="1" spans="1:6">
      <c r="A6119">
        <v>6308</v>
      </c>
      <c r="B6119">
        <v>362015243</v>
      </c>
      <c r="C6119">
        <v>2015</v>
      </c>
      <c r="D6119" t="s">
        <v>38</v>
      </c>
      <c r="E6119" t="s">
        <v>32</v>
      </c>
      <c r="F6119">
        <v>3</v>
      </c>
    </row>
    <row r="6120" s="76" customFormat="1" spans="1:6">
      <c r="A6120">
        <v>6313</v>
      </c>
      <c r="B6120">
        <v>362015260</v>
      </c>
      <c r="C6120">
        <v>2015</v>
      </c>
      <c r="D6120" t="s">
        <v>34</v>
      </c>
      <c r="E6120" t="s">
        <v>32</v>
      </c>
      <c r="F6120">
        <v>1</v>
      </c>
    </row>
    <row r="6121" s="76" customFormat="1" spans="1:6">
      <c r="A6121">
        <v>6310</v>
      </c>
      <c r="B6121">
        <v>362015260</v>
      </c>
      <c r="C6121">
        <v>2015</v>
      </c>
      <c r="D6121" t="s">
        <v>34</v>
      </c>
      <c r="E6121">
        <v>19</v>
      </c>
      <c r="F6121">
        <v>4.75</v>
      </c>
    </row>
    <row r="6122" s="76" customFormat="1" spans="1:6">
      <c r="A6122">
        <v>6311</v>
      </c>
      <c r="B6122">
        <v>362015260</v>
      </c>
      <c r="C6122">
        <v>2015</v>
      </c>
      <c r="D6122" t="s">
        <v>34</v>
      </c>
      <c r="E6122">
        <v>24</v>
      </c>
      <c r="F6122">
        <v>4.8</v>
      </c>
    </row>
    <row r="6123" s="76" customFormat="1" spans="1:6">
      <c r="A6123">
        <v>6312</v>
      </c>
      <c r="B6123">
        <v>362015260</v>
      </c>
      <c r="C6123">
        <v>2015</v>
      </c>
      <c r="D6123" t="s">
        <v>34</v>
      </c>
      <c r="E6123">
        <v>40</v>
      </c>
      <c r="F6123">
        <v>8</v>
      </c>
    </row>
    <row r="6124" s="76" customFormat="1" spans="1:6">
      <c r="A6124">
        <v>6309</v>
      </c>
      <c r="B6124">
        <v>362015260</v>
      </c>
      <c r="C6124">
        <v>2015</v>
      </c>
      <c r="D6124" t="s">
        <v>34</v>
      </c>
      <c r="E6124">
        <v>24</v>
      </c>
      <c r="F6124">
        <v>4.8</v>
      </c>
    </row>
    <row r="6125" s="76" customFormat="1" spans="1:6">
      <c r="A6125">
        <v>6320</v>
      </c>
      <c r="B6125">
        <v>362015270</v>
      </c>
      <c r="C6125">
        <v>2015</v>
      </c>
      <c r="D6125" t="s">
        <v>31</v>
      </c>
      <c r="E6125" t="s">
        <v>32</v>
      </c>
      <c r="F6125">
        <v>0.6</v>
      </c>
    </row>
    <row r="6126" s="76" customFormat="1" spans="1:6">
      <c r="A6126">
        <v>6314</v>
      </c>
      <c r="B6126">
        <v>362015270</v>
      </c>
      <c r="C6126">
        <v>2015</v>
      </c>
      <c r="D6126" t="s">
        <v>31</v>
      </c>
      <c r="E6126" t="s">
        <v>32</v>
      </c>
      <c r="F6126">
        <v>0.37</v>
      </c>
    </row>
    <row r="6127" s="76" customFormat="1" spans="1:6">
      <c r="A6127">
        <v>6315</v>
      </c>
      <c r="B6127">
        <v>362015270</v>
      </c>
      <c r="C6127">
        <v>2015</v>
      </c>
      <c r="D6127" t="s">
        <v>31</v>
      </c>
      <c r="E6127" t="s">
        <v>32</v>
      </c>
      <c r="F6127">
        <v>2</v>
      </c>
    </row>
    <row r="6128" s="76" customFormat="1" spans="1:6">
      <c r="A6128">
        <v>6322</v>
      </c>
      <c r="B6128">
        <v>362015270</v>
      </c>
      <c r="C6128">
        <v>2015</v>
      </c>
      <c r="D6128" t="s">
        <v>31</v>
      </c>
      <c r="E6128" t="s">
        <v>32</v>
      </c>
      <c r="F6128">
        <v>3.5</v>
      </c>
    </row>
    <row r="6129" s="76" customFormat="1" spans="1:6">
      <c r="A6129">
        <v>6317</v>
      </c>
      <c r="B6129">
        <v>362015270</v>
      </c>
      <c r="C6129">
        <v>2015</v>
      </c>
      <c r="D6129" t="s">
        <v>31</v>
      </c>
      <c r="E6129" t="s">
        <v>32</v>
      </c>
      <c r="F6129">
        <v>1.15</v>
      </c>
    </row>
    <row r="6130" s="76" customFormat="1" spans="1:6">
      <c r="A6130">
        <v>6318</v>
      </c>
      <c r="B6130">
        <v>362015270</v>
      </c>
      <c r="C6130">
        <v>2015</v>
      </c>
      <c r="D6130" t="s">
        <v>31</v>
      </c>
      <c r="E6130" t="s">
        <v>32</v>
      </c>
      <c r="F6130">
        <v>1.95</v>
      </c>
    </row>
    <row r="6131" s="76" customFormat="1" spans="1:6">
      <c r="A6131">
        <v>6319</v>
      </c>
      <c r="B6131">
        <v>362015270</v>
      </c>
      <c r="C6131">
        <v>2015</v>
      </c>
      <c r="D6131" t="s">
        <v>31</v>
      </c>
      <c r="E6131" t="s">
        <v>32</v>
      </c>
      <c r="F6131">
        <v>0.84</v>
      </c>
    </row>
    <row r="6132" s="76" customFormat="1" spans="1:6">
      <c r="A6132">
        <v>6316</v>
      </c>
      <c r="B6132">
        <v>362015270</v>
      </c>
      <c r="C6132">
        <v>2015</v>
      </c>
      <c r="D6132" t="s">
        <v>31</v>
      </c>
      <c r="E6132">
        <v>25</v>
      </c>
      <c r="F6132">
        <v>2.5</v>
      </c>
    </row>
    <row r="6133" s="76" customFormat="1" spans="1:6">
      <c r="A6133">
        <v>6321</v>
      </c>
      <c r="B6133">
        <v>362015270</v>
      </c>
      <c r="C6133">
        <v>2015</v>
      </c>
      <c r="D6133" t="s">
        <v>31</v>
      </c>
      <c r="E6133" t="s">
        <v>32</v>
      </c>
      <c r="F6133">
        <v>2</v>
      </c>
    </row>
    <row r="6134" s="76" customFormat="1" spans="1:6">
      <c r="A6134">
        <v>6324</v>
      </c>
      <c r="B6134">
        <v>362016120</v>
      </c>
      <c r="C6134" s="76">
        <v>2016</v>
      </c>
      <c r="D6134" s="76" t="s">
        <v>42</v>
      </c>
      <c r="E6134" s="76">
        <v>4</v>
      </c>
      <c r="F6134" s="76">
        <v>120</v>
      </c>
    </row>
    <row r="6135" s="76" customFormat="1" spans="1:6">
      <c r="A6135">
        <v>6325</v>
      </c>
      <c r="B6135">
        <v>362016211</v>
      </c>
      <c r="C6135" s="76">
        <v>2016</v>
      </c>
      <c r="D6135" s="76" t="s">
        <v>37</v>
      </c>
      <c r="E6135" s="76">
        <v>1</v>
      </c>
      <c r="F6135" s="76">
        <v>100</v>
      </c>
    </row>
    <row r="6136" s="76" customFormat="1" spans="1:6">
      <c r="A6136">
        <v>6327</v>
      </c>
      <c r="B6136">
        <v>362016241</v>
      </c>
      <c r="C6136" s="76">
        <v>2016</v>
      </c>
      <c r="D6136" s="76" t="s">
        <v>33</v>
      </c>
      <c r="E6136" s="76" t="s">
        <v>32</v>
      </c>
      <c r="F6136" s="76">
        <v>0.9</v>
      </c>
    </row>
    <row r="6137" s="76" customFormat="1" spans="1:6">
      <c r="A6137">
        <v>6326</v>
      </c>
      <c r="B6137">
        <v>362016241</v>
      </c>
      <c r="C6137" s="76">
        <v>2016</v>
      </c>
      <c r="D6137" s="76" t="s">
        <v>33</v>
      </c>
      <c r="E6137" s="76" t="s">
        <v>32</v>
      </c>
      <c r="F6137" s="76">
        <v>10.5</v>
      </c>
    </row>
    <row r="6138" s="76" customFormat="1" spans="1:6">
      <c r="A6138">
        <v>6329</v>
      </c>
      <c r="B6138">
        <v>362016242</v>
      </c>
      <c r="C6138" s="76">
        <v>2016</v>
      </c>
      <c r="D6138" s="76" t="s">
        <v>35</v>
      </c>
      <c r="E6138" s="76" t="s">
        <v>32</v>
      </c>
      <c r="F6138" s="76">
        <v>0.9</v>
      </c>
    </row>
    <row r="6139" s="76" customFormat="1" spans="1:6">
      <c r="A6139">
        <v>6333</v>
      </c>
      <c r="B6139">
        <v>362016260</v>
      </c>
      <c r="C6139" s="76">
        <v>2016</v>
      </c>
      <c r="D6139" s="76" t="s">
        <v>34</v>
      </c>
      <c r="E6139" s="76" t="s">
        <v>32</v>
      </c>
      <c r="F6139" s="76">
        <v>1.2</v>
      </c>
    </row>
    <row r="6140" s="76" customFormat="1" spans="1:6">
      <c r="A6140">
        <v>6336</v>
      </c>
      <c r="B6140">
        <v>362016260</v>
      </c>
      <c r="C6140" s="76">
        <v>2016</v>
      </c>
      <c r="D6140" s="76" t="s">
        <v>34</v>
      </c>
      <c r="E6140" s="76" t="s">
        <v>32</v>
      </c>
      <c r="F6140" s="76">
        <v>5</v>
      </c>
    </row>
    <row r="6141" s="76" customFormat="1" spans="1:6">
      <c r="A6141">
        <v>6332</v>
      </c>
      <c r="B6141">
        <v>362016260</v>
      </c>
      <c r="C6141" s="76">
        <v>2016</v>
      </c>
      <c r="D6141" s="76" t="s">
        <v>34</v>
      </c>
      <c r="E6141" s="76" t="s">
        <v>32</v>
      </c>
      <c r="F6141" s="76">
        <v>4.8</v>
      </c>
    </row>
    <row r="6142" s="76" customFormat="1" spans="1:6">
      <c r="A6142">
        <v>6330</v>
      </c>
      <c r="B6142">
        <v>362016260</v>
      </c>
      <c r="C6142" s="76">
        <v>2016</v>
      </c>
      <c r="D6142" s="76" t="s">
        <v>34</v>
      </c>
      <c r="E6142" s="76">
        <v>22</v>
      </c>
      <c r="F6142" s="76">
        <v>4.4</v>
      </c>
    </row>
    <row r="6143" s="76" customFormat="1" spans="1:6">
      <c r="A6143">
        <v>6331</v>
      </c>
      <c r="B6143">
        <v>362016260</v>
      </c>
      <c r="C6143" s="76">
        <v>2016</v>
      </c>
      <c r="D6143" s="76" t="s">
        <v>34</v>
      </c>
      <c r="E6143" s="76">
        <v>13</v>
      </c>
      <c r="F6143" s="76">
        <v>2.6</v>
      </c>
    </row>
    <row r="6144" s="76" customFormat="1" spans="1:6">
      <c r="A6144">
        <v>6335</v>
      </c>
      <c r="B6144">
        <v>362016260</v>
      </c>
      <c r="C6144" s="76">
        <v>2016</v>
      </c>
      <c r="D6144" s="76" t="s">
        <v>34</v>
      </c>
      <c r="E6144" s="76">
        <v>16</v>
      </c>
      <c r="F6144" s="76">
        <v>4</v>
      </c>
    </row>
    <row r="6145" s="76" customFormat="1" spans="1:6">
      <c r="A6145">
        <v>6334</v>
      </c>
      <c r="B6145">
        <v>362016260</v>
      </c>
      <c r="C6145" s="76">
        <v>2016</v>
      </c>
      <c r="D6145" s="76" t="s">
        <v>34</v>
      </c>
      <c r="E6145" s="76">
        <v>24</v>
      </c>
      <c r="F6145" s="76">
        <v>4.8</v>
      </c>
    </row>
    <row r="6146" s="76" customFormat="1" spans="1:6">
      <c r="A6146">
        <v>6356</v>
      </c>
      <c r="B6146">
        <v>362016270</v>
      </c>
      <c r="C6146" s="76">
        <v>2016</v>
      </c>
      <c r="D6146" s="76" t="s">
        <v>31</v>
      </c>
      <c r="E6146" s="76" t="s">
        <v>32</v>
      </c>
      <c r="F6146" s="76">
        <v>8</v>
      </c>
    </row>
    <row r="6147" s="76" customFormat="1" spans="1:6">
      <c r="A6147">
        <v>6349</v>
      </c>
      <c r="B6147">
        <v>362016270</v>
      </c>
      <c r="C6147" s="76">
        <v>2016</v>
      </c>
      <c r="D6147" s="76" t="s">
        <v>31</v>
      </c>
      <c r="E6147" s="76" t="s">
        <v>32</v>
      </c>
      <c r="F6147" s="76">
        <v>0.04</v>
      </c>
    </row>
    <row r="6148" s="76" customFormat="1" spans="1:6">
      <c r="A6148">
        <v>6340</v>
      </c>
      <c r="B6148">
        <v>362016270</v>
      </c>
      <c r="C6148" s="76">
        <v>2016</v>
      </c>
      <c r="D6148" s="76" t="s">
        <v>31</v>
      </c>
      <c r="E6148" s="76" t="s">
        <v>32</v>
      </c>
      <c r="F6148" s="76">
        <v>5</v>
      </c>
    </row>
    <row r="6149" s="76" customFormat="1" spans="1:6">
      <c r="A6149">
        <v>6347</v>
      </c>
      <c r="B6149">
        <v>362016270</v>
      </c>
      <c r="C6149" s="76">
        <v>2016</v>
      </c>
      <c r="D6149" s="76" t="s">
        <v>31</v>
      </c>
      <c r="E6149" s="76" t="s">
        <v>32</v>
      </c>
      <c r="F6149" s="76">
        <v>2</v>
      </c>
    </row>
    <row r="6150" s="76" customFormat="1" spans="1:6">
      <c r="A6150">
        <v>6337</v>
      </c>
      <c r="B6150">
        <v>362016270</v>
      </c>
      <c r="C6150" s="76">
        <v>2016</v>
      </c>
      <c r="D6150" s="76" t="s">
        <v>31</v>
      </c>
      <c r="E6150" s="76" t="s">
        <v>32</v>
      </c>
      <c r="F6150" s="76">
        <v>5</v>
      </c>
    </row>
    <row r="6151" s="76" customFormat="1" spans="1:6">
      <c r="A6151">
        <v>6352</v>
      </c>
      <c r="B6151">
        <v>362016270</v>
      </c>
      <c r="C6151" s="76">
        <v>2016</v>
      </c>
      <c r="D6151" s="76" t="s">
        <v>31</v>
      </c>
      <c r="E6151" s="76" t="s">
        <v>32</v>
      </c>
      <c r="F6151" s="76">
        <v>7</v>
      </c>
    </row>
    <row r="6152" s="76" customFormat="1" spans="1:6">
      <c r="A6152">
        <v>6344</v>
      </c>
      <c r="B6152">
        <v>362016270</v>
      </c>
      <c r="C6152" s="76">
        <v>2016</v>
      </c>
      <c r="D6152" s="76" t="s">
        <v>31</v>
      </c>
      <c r="E6152" s="76" t="s">
        <v>32</v>
      </c>
      <c r="F6152" s="76">
        <v>2</v>
      </c>
    </row>
    <row r="6153" s="76" customFormat="1" spans="1:6">
      <c r="A6153">
        <v>6345</v>
      </c>
      <c r="B6153">
        <v>362016270</v>
      </c>
      <c r="C6153" s="76">
        <v>2016</v>
      </c>
      <c r="D6153" s="76" t="s">
        <v>31</v>
      </c>
      <c r="E6153" s="76" t="s">
        <v>32</v>
      </c>
      <c r="F6153" s="76">
        <v>2</v>
      </c>
    </row>
    <row r="6154" s="76" customFormat="1" spans="1:6">
      <c r="A6154">
        <v>6338</v>
      </c>
      <c r="B6154">
        <v>362016270</v>
      </c>
      <c r="C6154" s="76">
        <v>2016</v>
      </c>
      <c r="D6154" s="76" t="s">
        <v>31</v>
      </c>
      <c r="E6154" s="76" t="s">
        <v>32</v>
      </c>
      <c r="F6154" s="76">
        <v>5</v>
      </c>
    </row>
    <row r="6155" s="76" customFormat="1" spans="1:6">
      <c r="A6155">
        <v>6342</v>
      </c>
      <c r="B6155">
        <v>362016270</v>
      </c>
      <c r="C6155" s="76">
        <v>2016</v>
      </c>
      <c r="D6155" s="76" t="s">
        <v>31</v>
      </c>
      <c r="E6155" s="76" t="s">
        <v>32</v>
      </c>
      <c r="F6155" s="76">
        <v>1.05</v>
      </c>
    </row>
    <row r="6156" s="76" customFormat="1" spans="1:6">
      <c r="A6156">
        <v>6350</v>
      </c>
      <c r="B6156">
        <v>362016270</v>
      </c>
      <c r="C6156" s="76">
        <v>2016</v>
      </c>
      <c r="D6156" s="76" t="s">
        <v>31</v>
      </c>
      <c r="E6156" s="76" t="s">
        <v>32</v>
      </c>
      <c r="F6156" s="76">
        <v>7</v>
      </c>
    </row>
    <row r="6157" s="76" customFormat="1" spans="1:6">
      <c r="A6157">
        <v>6351</v>
      </c>
      <c r="B6157">
        <v>362016270</v>
      </c>
      <c r="C6157" s="76">
        <v>2016</v>
      </c>
      <c r="D6157" s="76" t="s">
        <v>31</v>
      </c>
      <c r="E6157" s="76" t="s">
        <v>32</v>
      </c>
      <c r="F6157" s="76">
        <v>12</v>
      </c>
    </row>
    <row r="6158" s="76" customFormat="1" spans="1:6">
      <c r="A6158">
        <v>6354</v>
      </c>
      <c r="B6158">
        <v>362016270</v>
      </c>
      <c r="C6158" s="76">
        <v>2016</v>
      </c>
      <c r="D6158" s="76" t="s">
        <v>31</v>
      </c>
      <c r="E6158" s="76" t="s">
        <v>32</v>
      </c>
      <c r="F6158" s="76">
        <v>6</v>
      </c>
    </row>
    <row r="6159" s="76" customFormat="1" spans="1:6">
      <c r="A6159">
        <v>6353</v>
      </c>
      <c r="B6159">
        <v>362016270</v>
      </c>
      <c r="C6159" s="76">
        <v>2016</v>
      </c>
      <c r="D6159" s="76" t="s">
        <v>31</v>
      </c>
      <c r="E6159" s="76" t="s">
        <v>32</v>
      </c>
      <c r="F6159" s="76">
        <v>5</v>
      </c>
    </row>
    <row r="6160" s="76" customFormat="1" spans="1:6">
      <c r="A6160">
        <v>6348</v>
      </c>
      <c r="B6160">
        <v>362016270</v>
      </c>
      <c r="C6160" s="76">
        <v>2016</v>
      </c>
      <c r="D6160" s="76" t="s">
        <v>31</v>
      </c>
      <c r="E6160" s="76" t="s">
        <v>32</v>
      </c>
      <c r="F6160" s="76">
        <v>2</v>
      </c>
    </row>
    <row r="6161" s="76" customFormat="1" spans="1:6">
      <c r="A6161">
        <v>6341</v>
      </c>
      <c r="B6161">
        <v>362016270</v>
      </c>
      <c r="C6161" s="76">
        <v>2016</v>
      </c>
      <c r="D6161" s="76" t="s">
        <v>31</v>
      </c>
      <c r="E6161" s="76" t="s">
        <v>32</v>
      </c>
      <c r="F6161" s="76">
        <v>2</v>
      </c>
    </row>
    <row r="6162" s="76" customFormat="1" spans="1:6">
      <c r="A6162">
        <v>6355</v>
      </c>
      <c r="B6162">
        <v>362016270</v>
      </c>
      <c r="C6162" s="76">
        <v>2016</v>
      </c>
      <c r="D6162" s="76" t="s">
        <v>31</v>
      </c>
      <c r="E6162" s="76" t="s">
        <v>32</v>
      </c>
      <c r="F6162" s="76">
        <v>7</v>
      </c>
    </row>
    <row r="6163" s="76" customFormat="1" spans="1:6">
      <c r="A6163">
        <v>6339</v>
      </c>
      <c r="B6163">
        <v>362016270</v>
      </c>
      <c r="C6163" s="76">
        <v>2016</v>
      </c>
      <c r="D6163" s="76" t="s">
        <v>31</v>
      </c>
      <c r="E6163" s="76" t="s">
        <v>32</v>
      </c>
      <c r="F6163" s="76">
        <v>5</v>
      </c>
    </row>
    <row r="6164" s="76" customFormat="1" spans="1:6">
      <c r="A6164">
        <v>6346</v>
      </c>
      <c r="B6164">
        <v>362016270</v>
      </c>
      <c r="C6164" s="76">
        <v>2016</v>
      </c>
      <c r="D6164" s="76" t="s">
        <v>31</v>
      </c>
      <c r="E6164" s="76" t="s">
        <v>32</v>
      </c>
      <c r="F6164" s="76">
        <v>3</v>
      </c>
    </row>
    <row r="6165" s="76" customFormat="1" spans="1:6">
      <c r="A6165">
        <v>6343</v>
      </c>
      <c r="B6165">
        <v>362016270</v>
      </c>
      <c r="C6165" s="76">
        <v>2016</v>
      </c>
      <c r="D6165" s="76" t="s">
        <v>31</v>
      </c>
      <c r="E6165" s="76" t="s">
        <v>32</v>
      </c>
      <c r="F6165" s="76">
        <v>2</v>
      </c>
    </row>
    <row r="6166" s="76" customFormat="1" spans="1:6">
      <c r="A6166">
        <v>6358</v>
      </c>
      <c r="B6166">
        <v>362017110</v>
      </c>
      <c r="C6166" s="76">
        <v>2017</v>
      </c>
      <c r="D6166" s="76" t="s">
        <v>40</v>
      </c>
      <c r="E6166" s="76" t="s">
        <v>32</v>
      </c>
      <c r="F6166" s="76">
        <v>11.04</v>
      </c>
    </row>
    <row r="6167" s="76" customFormat="1" spans="1:6">
      <c r="A6167">
        <v>6363</v>
      </c>
      <c r="B6167">
        <v>362017260</v>
      </c>
      <c r="C6167" s="76">
        <v>2017</v>
      </c>
      <c r="D6167" s="76" t="s">
        <v>34</v>
      </c>
      <c r="E6167" s="76" t="s">
        <v>32</v>
      </c>
      <c r="F6167" s="76">
        <v>2.75</v>
      </c>
    </row>
    <row r="6168" s="76" customFormat="1" spans="1:6">
      <c r="A6168">
        <v>6364</v>
      </c>
      <c r="B6168">
        <v>362017260</v>
      </c>
      <c r="C6168" s="76">
        <v>2017</v>
      </c>
      <c r="D6168" s="76" t="s">
        <v>34</v>
      </c>
      <c r="E6168" s="76" t="s">
        <v>32</v>
      </c>
      <c r="F6168" s="76">
        <v>5</v>
      </c>
    </row>
    <row r="6169" s="76" customFormat="1" spans="1:6">
      <c r="A6169">
        <v>6370</v>
      </c>
      <c r="B6169">
        <v>362017260</v>
      </c>
      <c r="C6169" s="76">
        <v>2017</v>
      </c>
      <c r="D6169" s="76" t="s">
        <v>34</v>
      </c>
      <c r="E6169" s="76" t="s">
        <v>32</v>
      </c>
      <c r="F6169" s="76">
        <v>7</v>
      </c>
    </row>
    <row r="6170" s="76" customFormat="1" spans="1:6">
      <c r="A6170">
        <v>6366</v>
      </c>
      <c r="B6170">
        <v>362017260</v>
      </c>
      <c r="C6170" s="76">
        <v>2017</v>
      </c>
      <c r="D6170" s="76" t="s">
        <v>34</v>
      </c>
      <c r="E6170" s="76">
        <v>2</v>
      </c>
      <c r="F6170" s="76">
        <v>0.46</v>
      </c>
    </row>
    <row r="6171" s="76" customFormat="1" spans="1:6">
      <c r="A6171">
        <v>6367</v>
      </c>
      <c r="B6171">
        <v>362017260</v>
      </c>
      <c r="C6171" s="76">
        <v>2017</v>
      </c>
      <c r="D6171" s="76" t="s">
        <v>34</v>
      </c>
      <c r="E6171" s="76">
        <v>50</v>
      </c>
      <c r="F6171" s="76">
        <v>10</v>
      </c>
    </row>
    <row r="6172" s="76" customFormat="1" spans="1:6">
      <c r="A6172">
        <v>6365</v>
      </c>
      <c r="B6172">
        <v>362017260</v>
      </c>
      <c r="C6172" s="76">
        <v>2017</v>
      </c>
      <c r="D6172" s="76" t="s">
        <v>34</v>
      </c>
      <c r="E6172" s="76">
        <v>3</v>
      </c>
      <c r="F6172" s="76">
        <v>3.6</v>
      </c>
    </row>
    <row r="6173" s="76" customFormat="1" spans="1:6">
      <c r="A6173">
        <v>6361</v>
      </c>
      <c r="B6173">
        <v>362017260</v>
      </c>
      <c r="C6173" s="76">
        <v>2017</v>
      </c>
      <c r="D6173" s="76" t="s">
        <v>34</v>
      </c>
      <c r="E6173" s="76">
        <v>13</v>
      </c>
      <c r="F6173" s="76">
        <v>3.25</v>
      </c>
    </row>
    <row r="6174" s="76" customFormat="1" spans="1:6">
      <c r="A6174">
        <v>6362</v>
      </c>
      <c r="B6174">
        <v>362017260</v>
      </c>
      <c r="C6174" s="76">
        <v>2017</v>
      </c>
      <c r="D6174" s="76" t="s">
        <v>34</v>
      </c>
      <c r="E6174" s="76">
        <v>20</v>
      </c>
      <c r="F6174" s="76">
        <v>4</v>
      </c>
    </row>
    <row r="6175" s="76" customFormat="1" spans="1:6">
      <c r="A6175">
        <v>6360</v>
      </c>
      <c r="B6175">
        <v>362017260</v>
      </c>
      <c r="C6175" s="76">
        <v>2017</v>
      </c>
      <c r="D6175" s="76" t="s">
        <v>34</v>
      </c>
      <c r="E6175" s="76">
        <v>33</v>
      </c>
      <c r="F6175" s="76">
        <v>6.6</v>
      </c>
    </row>
    <row r="6176" s="76" customFormat="1" spans="1:6">
      <c r="A6176">
        <v>6369</v>
      </c>
      <c r="B6176">
        <v>362017260</v>
      </c>
      <c r="C6176" s="76">
        <v>2017</v>
      </c>
      <c r="D6176" s="76" t="s">
        <v>34</v>
      </c>
      <c r="E6176" s="76" t="s">
        <v>32</v>
      </c>
      <c r="F6176" s="76">
        <v>7.6</v>
      </c>
    </row>
    <row r="6177" s="76" customFormat="1" spans="1:6">
      <c r="A6177">
        <v>6368</v>
      </c>
      <c r="B6177">
        <v>362017260</v>
      </c>
      <c r="C6177" s="76">
        <v>2017</v>
      </c>
      <c r="D6177" s="76" t="s">
        <v>34</v>
      </c>
      <c r="E6177" s="76" t="s">
        <v>32</v>
      </c>
      <c r="F6177" s="76">
        <v>3.2</v>
      </c>
    </row>
    <row r="6178" s="76" customFormat="1" spans="1:6">
      <c r="A6178">
        <v>6382</v>
      </c>
      <c r="B6178">
        <v>362017270</v>
      </c>
      <c r="C6178" s="76">
        <v>2017</v>
      </c>
      <c r="D6178" s="76" t="s">
        <v>31</v>
      </c>
      <c r="E6178" s="76" t="s">
        <v>32</v>
      </c>
      <c r="F6178" s="76">
        <v>1.6</v>
      </c>
    </row>
    <row r="6179" s="76" customFormat="1" spans="1:6">
      <c r="A6179">
        <v>6374</v>
      </c>
      <c r="B6179">
        <v>362017270</v>
      </c>
      <c r="C6179" s="76">
        <v>2017</v>
      </c>
      <c r="D6179" s="76" t="s">
        <v>31</v>
      </c>
      <c r="E6179" s="76">
        <v>1</v>
      </c>
      <c r="F6179" s="76">
        <v>8.06</v>
      </c>
    </row>
    <row r="6180" s="76" customFormat="1" spans="1:6">
      <c r="A6180">
        <v>6376</v>
      </c>
      <c r="B6180">
        <v>362017270</v>
      </c>
      <c r="C6180" s="76">
        <v>2017</v>
      </c>
      <c r="D6180" s="76" t="s">
        <v>31</v>
      </c>
      <c r="E6180" s="76" t="s">
        <v>32</v>
      </c>
      <c r="F6180" s="76">
        <v>3</v>
      </c>
    </row>
    <row r="6181" s="76" customFormat="1" spans="1:6">
      <c r="A6181">
        <v>6372</v>
      </c>
      <c r="B6181">
        <v>362017270</v>
      </c>
      <c r="C6181" s="76">
        <v>2017</v>
      </c>
      <c r="D6181" s="76" t="s">
        <v>31</v>
      </c>
      <c r="E6181" s="76">
        <v>1</v>
      </c>
      <c r="F6181" s="76">
        <v>1.68</v>
      </c>
    </row>
    <row r="6182" s="76" customFormat="1" spans="1:6">
      <c r="A6182">
        <v>6373</v>
      </c>
      <c r="B6182">
        <v>362017270</v>
      </c>
      <c r="C6182" s="76">
        <v>2017</v>
      </c>
      <c r="D6182" s="76" t="s">
        <v>31</v>
      </c>
      <c r="E6182" s="76" t="s">
        <v>32</v>
      </c>
      <c r="F6182" s="76">
        <v>1.8</v>
      </c>
    </row>
    <row r="6183" s="76" customFormat="1" spans="1:6">
      <c r="A6183">
        <v>6371</v>
      </c>
      <c r="B6183">
        <v>362017270</v>
      </c>
      <c r="C6183" s="76">
        <v>2017</v>
      </c>
      <c r="D6183" s="76" t="s">
        <v>31</v>
      </c>
      <c r="E6183" s="76">
        <v>1</v>
      </c>
      <c r="F6183" s="76">
        <v>11.55</v>
      </c>
    </row>
    <row r="6184" s="76" customFormat="1" spans="1:6">
      <c r="A6184">
        <v>6375</v>
      </c>
      <c r="B6184">
        <v>362017270</v>
      </c>
      <c r="C6184" s="76">
        <v>2017</v>
      </c>
      <c r="D6184" s="76" t="s">
        <v>31</v>
      </c>
      <c r="E6184" s="76">
        <v>1</v>
      </c>
      <c r="F6184" s="76">
        <v>3</v>
      </c>
    </row>
    <row r="6185" s="76" customFormat="1" spans="1:6">
      <c r="A6185">
        <v>6380</v>
      </c>
      <c r="B6185">
        <v>362017270</v>
      </c>
      <c r="C6185" s="76">
        <v>2017</v>
      </c>
      <c r="D6185" s="76" t="s">
        <v>31</v>
      </c>
      <c r="E6185" s="76" t="s">
        <v>32</v>
      </c>
      <c r="F6185" s="76">
        <v>3</v>
      </c>
    </row>
    <row r="6186" s="76" customFormat="1" spans="1:6">
      <c r="A6186">
        <v>6377</v>
      </c>
      <c r="B6186">
        <v>362017270</v>
      </c>
      <c r="C6186" s="76">
        <v>2017</v>
      </c>
      <c r="D6186" s="76" t="s">
        <v>31</v>
      </c>
      <c r="E6186" s="76" t="s">
        <v>32</v>
      </c>
      <c r="F6186" s="76">
        <v>15</v>
      </c>
    </row>
    <row r="6187" s="76" customFormat="1" spans="1:6">
      <c r="A6187">
        <v>6378</v>
      </c>
      <c r="B6187">
        <v>362017270</v>
      </c>
      <c r="C6187" s="76">
        <v>2017</v>
      </c>
      <c r="D6187" s="76" t="s">
        <v>31</v>
      </c>
      <c r="E6187" s="76" t="s">
        <v>32</v>
      </c>
      <c r="F6187" s="76">
        <v>3.7</v>
      </c>
    </row>
    <row r="6188" s="76" customFormat="1" spans="1:6">
      <c r="A6188">
        <v>6381</v>
      </c>
      <c r="B6188">
        <v>362017270</v>
      </c>
      <c r="C6188" s="76">
        <v>2017</v>
      </c>
      <c r="D6188" s="76" t="s">
        <v>31</v>
      </c>
      <c r="E6188" s="76" t="s">
        <v>32</v>
      </c>
      <c r="F6188" s="76">
        <v>6</v>
      </c>
    </row>
    <row r="6189" s="76" customFormat="1" spans="1:6">
      <c r="A6189">
        <v>6384</v>
      </c>
      <c r="B6189">
        <v>362018110</v>
      </c>
      <c r="C6189" s="76">
        <v>2018</v>
      </c>
      <c r="D6189" s="76" t="s">
        <v>40</v>
      </c>
      <c r="E6189" s="76">
        <v>3</v>
      </c>
      <c r="F6189" s="76">
        <v>4.8</v>
      </c>
    </row>
    <row r="6190" s="76" customFormat="1" spans="1:6">
      <c r="A6190">
        <v>6385</v>
      </c>
      <c r="B6190">
        <v>362018211</v>
      </c>
      <c r="C6190" s="76">
        <v>2018</v>
      </c>
      <c r="D6190" s="76" t="s">
        <v>37</v>
      </c>
      <c r="E6190" s="76">
        <v>2</v>
      </c>
      <c r="F6190" s="76">
        <v>200</v>
      </c>
    </row>
    <row r="6191" s="76" customFormat="1" spans="1:6">
      <c r="A6191">
        <v>6390</v>
      </c>
      <c r="B6191">
        <v>362018260</v>
      </c>
      <c r="C6191" s="76">
        <v>2018</v>
      </c>
      <c r="D6191" s="76" t="s">
        <v>34</v>
      </c>
      <c r="E6191" s="76">
        <v>13</v>
      </c>
      <c r="F6191" s="76">
        <v>2.6</v>
      </c>
    </row>
    <row r="6192" s="76" customFormat="1" spans="1:6">
      <c r="A6192">
        <v>6391</v>
      </c>
      <c r="B6192">
        <v>362018260</v>
      </c>
      <c r="C6192" s="76">
        <v>2018</v>
      </c>
      <c r="D6192" s="76" t="s">
        <v>34</v>
      </c>
      <c r="E6192" s="76">
        <v>15</v>
      </c>
      <c r="F6192" s="76">
        <v>3.75</v>
      </c>
    </row>
    <row r="6193" s="76" customFormat="1" spans="1:6">
      <c r="A6193">
        <v>6388</v>
      </c>
      <c r="B6193">
        <v>362018260</v>
      </c>
      <c r="C6193" s="76">
        <v>2018</v>
      </c>
      <c r="D6193" s="76" t="s">
        <v>34</v>
      </c>
      <c r="E6193" s="76" t="s">
        <v>32</v>
      </c>
      <c r="F6193" s="76">
        <v>3.75</v>
      </c>
    </row>
    <row r="6194" s="76" customFormat="1" spans="1:6">
      <c r="A6194">
        <v>6396</v>
      </c>
      <c r="B6194">
        <v>362018260</v>
      </c>
      <c r="C6194" s="76">
        <v>2018</v>
      </c>
      <c r="D6194" s="76" t="s">
        <v>34</v>
      </c>
      <c r="E6194" s="76" t="s">
        <v>32</v>
      </c>
      <c r="F6194" s="76">
        <v>14.4</v>
      </c>
    </row>
    <row r="6195" s="76" customFormat="1" spans="1:6">
      <c r="A6195">
        <v>6395</v>
      </c>
      <c r="B6195">
        <v>362018260</v>
      </c>
      <c r="C6195" s="76">
        <v>2018</v>
      </c>
      <c r="D6195" s="76" t="s">
        <v>34</v>
      </c>
      <c r="E6195" s="76" t="s">
        <v>32</v>
      </c>
      <c r="F6195" s="76">
        <v>6.4</v>
      </c>
    </row>
    <row r="6196" s="76" customFormat="1" spans="1:6">
      <c r="A6196">
        <v>6394</v>
      </c>
      <c r="B6196">
        <v>362018260</v>
      </c>
      <c r="C6196" s="76">
        <v>2018</v>
      </c>
      <c r="D6196" s="76" t="s">
        <v>34</v>
      </c>
      <c r="E6196" s="76" t="s">
        <v>32</v>
      </c>
      <c r="F6196" s="76">
        <v>5.6</v>
      </c>
    </row>
    <row r="6197" s="76" customFormat="1" spans="1:6">
      <c r="A6197">
        <v>6389</v>
      </c>
      <c r="B6197">
        <v>362018260</v>
      </c>
      <c r="C6197" s="76">
        <v>2018</v>
      </c>
      <c r="D6197" s="76" t="s">
        <v>34</v>
      </c>
      <c r="E6197" s="76">
        <v>36</v>
      </c>
      <c r="F6197" s="76">
        <v>8</v>
      </c>
    </row>
    <row r="6198" s="76" customFormat="1" spans="1:6">
      <c r="A6198">
        <v>6387</v>
      </c>
      <c r="B6198">
        <v>362018260</v>
      </c>
      <c r="C6198" s="76">
        <v>2018</v>
      </c>
      <c r="D6198" s="76" t="s">
        <v>34</v>
      </c>
      <c r="E6198" s="76">
        <v>10</v>
      </c>
      <c r="F6198" s="76">
        <v>2</v>
      </c>
    </row>
    <row r="6199" s="76" customFormat="1" spans="1:6">
      <c r="A6199">
        <v>6392</v>
      </c>
      <c r="B6199">
        <v>362018260</v>
      </c>
      <c r="C6199" s="76">
        <v>2018</v>
      </c>
      <c r="D6199" s="76" t="s">
        <v>34</v>
      </c>
      <c r="E6199" s="76">
        <v>23</v>
      </c>
      <c r="F6199" s="76">
        <v>4.6</v>
      </c>
    </row>
    <row r="6200" s="76" customFormat="1" spans="1:6">
      <c r="A6200">
        <v>6393</v>
      </c>
      <c r="B6200">
        <v>362018260</v>
      </c>
      <c r="C6200" s="76">
        <v>2018</v>
      </c>
      <c r="D6200" s="76" t="s">
        <v>34</v>
      </c>
      <c r="E6200" s="76" t="s">
        <v>32</v>
      </c>
      <c r="F6200" s="76">
        <v>10.8</v>
      </c>
    </row>
    <row r="6201" s="76" customFormat="1" spans="1:6">
      <c r="A6201">
        <v>6397</v>
      </c>
      <c r="B6201">
        <v>362018270</v>
      </c>
      <c r="C6201" s="76">
        <v>2018</v>
      </c>
      <c r="D6201" s="76" t="s">
        <v>31</v>
      </c>
      <c r="E6201" s="76" t="s">
        <v>32</v>
      </c>
      <c r="F6201" s="76">
        <v>2</v>
      </c>
    </row>
    <row r="6202" s="76" customFormat="1" spans="1:6">
      <c r="A6202">
        <v>6399</v>
      </c>
      <c r="B6202">
        <v>362018270</v>
      </c>
      <c r="C6202" s="76">
        <v>2018</v>
      </c>
      <c r="D6202" s="76" t="s">
        <v>31</v>
      </c>
      <c r="E6202" s="76" t="s">
        <v>32</v>
      </c>
      <c r="F6202" s="76">
        <v>0.04</v>
      </c>
    </row>
    <row r="6203" s="76" customFormat="1" spans="1:6">
      <c r="A6203">
        <v>6400</v>
      </c>
      <c r="B6203">
        <v>362019110</v>
      </c>
      <c r="C6203" s="76">
        <v>2019</v>
      </c>
      <c r="D6203" s="76" t="s">
        <v>40</v>
      </c>
      <c r="E6203" s="76" t="s">
        <v>32</v>
      </c>
      <c r="F6203" s="76">
        <v>6.4</v>
      </c>
    </row>
    <row r="6204" s="76" customFormat="1" spans="1:6">
      <c r="A6204">
        <v>6401</v>
      </c>
      <c r="B6204">
        <v>362019110</v>
      </c>
      <c r="C6204" s="76">
        <v>2019</v>
      </c>
      <c r="D6204" s="76" t="s">
        <v>40</v>
      </c>
      <c r="E6204" s="76" t="s">
        <v>32</v>
      </c>
      <c r="F6204" s="76">
        <v>18</v>
      </c>
    </row>
    <row r="6205" s="76" customFormat="1" spans="1:6">
      <c r="A6205">
        <v>6410</v>
      </c>
      <c r="B6205">
        <v>362019260</v>
      </c>
      <c r="C6205" s="76">
        <v>2019</v>
      </c>
      <c r="D6205" s="76" t="s">
        <v>34</v>
      </c>
      <c r="E6205" s="76">
        <v>2</v>
      </c>
      <c r="F6205" s="76">
        <v>0.4</v>
      </c>
    </row>
    <row r="6206" s="76" customFormat="1" spans="1:6">
      <c r="A6206">
        <v>6404</v>
      </c>
      <c r="B6206">
        <v>362019260</v>
      </c>
      <c r="C6206" s="76">
        <v>2019</v>
      </c>
      <c r="D6206" s="76" t="s">
        <v>34</v>
      </c>
      <c r="E6206" s="76">
        <v>25</v>
      </c>
      <c r="F6206" s="76">
        <v>6.2</v>
      </c>
    </row>
    <row r="6207" s="76" customFormat="1" spans="1:6">
      <c r="A6207">
        <v>6409</v>
      </c>
      <c r="B6207">
        <v>362019260</v>
      </c>
      <c r="C6207" s="76">
        <v>2019</v>
      </c>
      <c r="D6207" s="76" t="s">
        <v>34</v>
      </c>
      <c r="E6207" s="76">
        <v>6</v>
      </c>
      <c r="F6207" s="76">
        <v>1.4</v>
      </c>
    </row>
    <row r="6208" s="76" customFormat="1" spans="1:6">
      <c r="A6208">
        <v>6413</v>
      </c>
      <c r="B6208">
        <v>362019260</v>
      </c>
      <c r="C6208" s="76">
        <v>2019</v>
      </c>
      <c r="D6208" s="76" t="s">
        <v>34</v>
      </c>
      <c r="E6208" s="76" t="s">
        <v>32</v>
      </c>
      <c r="F6208" s="76">
        <v>4</v>
      </c>
    </row>
    <row r="6209" s="76" customFormat="1" spans="1:6">
      <c r="A6209">
        <v>6405</v>
      </c>
      <c r="B6209">
        <v>362019260</v>
      </c>
      <c r="C6209" s="76">
        <v>2019</v>
      </c>
      <c r="D6209" s="76" t="s">
        <v>34</v>
      </c>
      <c r="E6209" s="76">
        <v>5</v>
      </c>
      <c r="F6209" s="76">
        <v>1.1</v>
      </c>
    </row>
    <row r="6210" s="76" customFormat="1" spans="1:6">
      <c r="A6210">
        <v>6415</v>
      </c>
      <c r="B6210">
        <v>362019260</v>
      </c>
      <c r="C6210" s="76">
        <v>2019</v>
      </c>
      <c r="D6210" s="76" t="s">
        <v>34</v>
      </c>
      <c r="E6210" s="76" t="s">
        <v>32</v>
      </c>
      <c r="F6210" s="76">
        <v>4.84</v>
      </c>
    </row>
    <row r="6211" s="76" customFormat="1" spans="1:6">
      <c r="A6211">
        <v>6408</v>
      </c>
      <c r="B6211">
        <v>362019260</v>
      </c>
      <c r="C6211" s="76">
        <v>2019</v>
      </c>
      <c r="D6211" s="76" t="s">
        <v>34</v>
      </c>
      <c r="E6211" s="76">
        <v>32</v>
      </c>
      <c r="F6211" s="76">
        <v>9.4</v>
      </c>
    </row>
    <row r="6212" s="76" customFormat="1" spans="1:6">
      <c r="A6212">
        <v>6411</v>
      </c>
      <c r="B6212">
        <v>362019260</v>
      </c>
      <c r="C6212" s="76">
        <v>2019</v>
      </c>
      <c r="D6212" s="76" t="s">
        <v>34</v>
      </c>
      <c r="E6212" s="76">
        <v>20</v>
      </c>
      <c r="F6212" s="76">
        <v>4.2</v>
      </c>
    </row>
    <row r="6213" s="76" customFormat="1" spans="1:6">
      <c r="A6213">
        <v>6406</v>
      </c>
      <c r="B6213">
        <v>362019260</v>
      </c>
      <c r="C6213" s="76">
        <v>2019</v>
      </c>
      <c r="D6213" s="76" t="s">
        <v>34</v>
      </c>
      <c r="E6213" s="76">
        <v>30</v>
      </c>
      <c r="F6213" s="76">
        <v>6</v>
      </c>
    </row>
    <row r="6214" s="76" customFormat="1" spans="1:6">
      <c r="A6214">
        <v>6407</v>
      </c>
      <c r="B6214">
        <v>362019260</v>
      </c>
      <c r="C6214" s="76">
        <v>2019</v>
      </c>
      <c r="D6214" s="76" t="s">
        <v>34</v>
      </c>
      <c r="E6214" s="76">
        <v>22</v>
      </c>
      <c r="F6214" s="76">
        <v>4.84</v>
      </c>
    </row>
    <row r="6215" s="76" customFormat="1" spans="1:6">
      <c r="A6215">
        <v>6416</v>
      </c>
      <c r="B6215">
        <v>362019260</v>
      </c>
      <c r="C6215" s="76">
        <v>2019</v>
      </c>
      <c r="D6215" s="76" t="s">
        <v>34</v>
      </c>
      <c r="E6215" s="76" t="s">
        <v>32</v>
      </c>
      <c r="F6215" s="76">
        <v>4.2</v>
      </c>
    </row>
    <row r="6216" s="76" customFormat="1" spans="1:6">
      <c r="A6216">
        <v>6412</v>
      </c>
      <c r="B6216">
        <v>362019260</v>
      </c>
      <c r="C6216" s="76">
        <v>2019</v>
      </c>
      <c r="D6216" s="76" t="s">
        <v>34</v>
      </c>
      <c r="E6216" s="76" t="s">
        <v>32</v>
      </c>
      <c r="F6216" s="76">
        <v>4.79</v>
      </c>
    </row>
    <row r="6217" s="76" customFormat="1" spans="1:6">
      <c r="A6217">
        <v>6417</v>
      </c>
      <c r="B6217">
        <v>362019260</v>
      </c>
      <c r="C6217" s="76">
        <v>2019</v>
      </c>
      <c r="D6217" s="76" t="s">
        <v>34</v>
      </c>
      <c r="E6217" s="76" t="s">
        <v>32</v>
      </c>
      <c r="F6217" s="76">
        <v>4.8</v>
      </c>
    </row>
    <row r="6218" s="76" customFormat="1" spans="1:6">
      <c r="A6218">
        <v>6414</v>
      </c>
      <c r="B6218">
        <v>362019260</v>
      </c>
      <c r="C6218" s="76">
        <v>2019</v>
      </c>
      <c r="D6218" s="76" t="s">
        <v>34</v>
      </c>
      <c r="E6218" s="76" t="s">
        <v>32</v>
      </c>
      <c r="F6218" s="76">
        <v>5.2</v>
      </c>
    </row>
    <row r="6219" s="76" customFormat="1" spans="1:6">
      <c r="A6219">
        <v>6418</v>
      </c>
      <c r="B6219">
        <v>362019270</v>
      </c>
      <c r="C6219" s="76">
        <v>2019</v>
      </c>
      <c r="D6219" s="76" t="s">
        <v>31</v>
      </c>
      <c r="E6219" s="76" t="s">
        <v>32</v>
      </c>
      <c r="F6219" s="76">
        <v>15.97</v>
      </c>
    </row>
    <row r="6220" s="76" customFormat="1" spans="1:6">
      <c r="A6220">
        <v>6423</v>
      </c>
      <c r="B6220">
        <v>362019270</v>
      </c>
      <c r="C6220" s="76">
        <v>2019</v>
      </c>
      <c r="D6220" s="76" t="s">
        <v>31</v>
      </c>
      <c r="E6220" s="76" t="s">
        <v>32</v>
      </c>
      <c r="F6220" s="76">
        <v>10</v>
      </c>
    </row>
    <row r="6221" s="76" customFormat="1" spans="1:6">
      <c r="A6221">
        <v>6422</v>
      </c>
      <c r="B6221">
        <v>362019270</v>
      </c>
      <c r="C6221" s="76">
        <v>2019</v>
      </c>
      <c r="D6221" s="76" t="s">
        <v>31</v>
      </c>
      <c r="E6221" s="76" t="s">
        <v>32</v>
      </c>
      <c r="F6221" s="76">
        <v>7</v>
      </c>
    </row>
    <row r="6222" s="76" customFormat="1" spans="1:6">
      <c r="A6222">
        <v>6420</v>
      </c>
      <c r="B6222">
        <v>362019270</v>
      </c>
      <c r="C6222" s="76">
        <v>2019</v>
      </c>
      <c r="D6222" s="76" t="s">
        <v>31</v>
      </c>
      <c r="E6222" s="76" t="s">
        <v>32</v>
      </c>
      <c r="F6222" s="76">
        <v>25</v>
      </c>
    </row>
    <row r="6223" s="76" customFormat="1" spans="1:6">
      <c r="A6223">
        <v>6421</v>
      </c>
      <c r="B6223">
        <v>362019270</v>
      </c>
      <c r="C6223" s="76">
        <v>2019</v>
      </c>
      <c r="D6223" s="76" t="s">
        <v>31</v>
      </c>
      <c r="E6223" s="76" t="s">
        <v>32</v>
      </c>
      <c r="F6223" s="76">
        <v>5</v>
      </c>
    </row>
    <row r="6224" s="76" customFormat="1" spans="1:6">
      <c r="A6224">
        <v>6425</v>
      </c>
      <c r="B6224">
        <v>362020110</v>
      </c>
      <c r="C6224" s="76">
        <v>2020</v>
      </c>
      <c r="D6224" s="76" t="s">
        <v>40</v>
      </c>
      <c r="E6224" s="76" t="s">
        <v>32</v>
      </c>
      <c r="F6224" s="76">
        <v>0.14</v>
      </c>
    </row>
    <row r="6225" s="76" customFormat="1" spans="1:6">
      <c r="A6225">
        <v>6424</v>
      </c>
      <c r="B6225">
        <v>362020110</v>
      </c>
      <c r="C6225" s="76">
        <v>2020</v>
      </c>
      <c r="D6225" s="76" t="s">
        <v>40</v>
      </c>
      <c r="E6225" s="76" t="s">
        <v>32</v>
      </c>
      <c r="F6225" s="76">
        <v>6</v>
      </c>
    </row>
    <row r="6226" s="76" customFormat="1" spans="1:6">
      <c r="A6226">
        <v>6426</v>
      </c>
      <c r="B6226">
        <v>362020110</v>
      </c>
      <c r="C6226" s="76">
        <v>2020</v>
      </c>
      <c r="D6226" s="76" t="s">
        <v>40</v>
      </c>
      <c r="E6226" s="76" t="s">
        <v>32</v>
      </c>
      <c r="F6226" s="76">
        <v>0.07</v>
      </c>
    </row>
    <row r="6227" s="76" customFormat="1" spans="1:6">
      <c r="A6227">
        <v>6430</v>
      </c>
      <c r="B6227">
        <v>362020211</v>
      </c>
      <c r="C6227" s="76">
        <v>2020</v>
      </c>
      <c r="D6227" s="76" t="s">
        <v>37</v>
      </c>
      <c r="E6227" s="76" t="s">
        <v>32</v>
      </c>
      <c r="F6227" s="76">
        <v>2</v>
      </c>
    </row>
    <row r="6228" s="76" customFormat="1" spans="1:6">
      <c r="A6228">
        <v>6428</v>
      </c>
      <c r="B6228">
        <v>362020211</v>
      </c>
      <c r="C6228" s="76">
        <v>2020</v>
      </c>
      <c r="D6228" s="76" t="s">
        <v>37</v>
      </c>
      <c r="E6228" s="76">
        <v>2</v>
      </c>
      <c r="F6228" s="76">
        <v>132</v>
      </c>
    </row>
    <row r="6229" s="76" customFormat="1" spans="1:6">
      <c r="A6229">
        <v>6429</v>
      </c>
      <c r="B6229">
        <v>362020211</v>
      </c>
      <c r="C6229" s="76">
        <v>2020</v>
      </c>
      <c r="D6229" s="76" t="s">
        <v>37</v>
      </c>
      <c r="E6229" s="76">
        <v>2</v>
      </c>
      <c r="F6229" s="76">
        <v>4</v>
      </c>
    </row>
    <row r="6230" s="76" customFormat="1" spans="1:6">
      <c r="A6230">
        <v>6431</v>
      </c>
      <c r="B6230">
        <v>362020223</v>
      </c>
      <c r="C6230" s="76">
        <v>2020</v>
      </c>
      <c r="D6230" s="76" t="s">
        <v>36</v>
      </c>
      <c r="E6230" s="76" t="s">
        <v>32</v>
      </c>
      <c r="F6230" s="76">
        <v>1.2</v>
      </c>
    </row>
    <row r="6231" s="76" customFormat="1" spans="1:6">
      <c r="A6231">
        <v>6436</v>
      </c>
      <c r="B6231">
        <v>362020241</v>
      </c>
      <c r="C6231" s="76">
        <v>2020</v>
      </c>
      <c r="D6231" s="76" t="s">
        <v>33</v>
      </c>
      <c r="E6231" s="76" t="s">
        <v>32</v>
      </c>
      <c r="F6231" s="76">
        <v>1.55</v>
      </c>
    </row>
    <row r="6232" s="76" customFormat="1" spans="1:6">
      <c r="A6232">
        <v>6433</v>
      </c>
      <c r="B6232">
        <v>362020241</v>
      </c>
      <c r="C6232" s="76">
        <v>2020</v>
      </c>
      <c r="D6232" s="76" t="s">
        <v>33</v>
      </c>
      <c r="E6232" s="76" t="s">
        <v>32</v>
      </c>
      <c r="F6232" s="76">
        <v>25.6</v>
      </c>
    </row>
    <row r="6233" s="76" customFormat="1" spans="1:6">
      <c r="A6233">
        <v>6437</v>
      </c>
      <c r="B6233">
        <v>362020241</v>
      </c>
      <c r="C6233" s="76">
        <v>2020</v>
      </c>
      <c r="D6233" s="76" t="s">
        <v>33</v>
      </c>
      <c r="E6233" s="76" t="s">
        <v>32</v>
      </c>
      <c r="F6233" s="76">
        <v>5</v>
      </c>
    </row>
    <row r="6234" s="76" customFormat="1" spans="1:6">
      <c r="A6234">
        <v>6434</v>
      </c>
      <c r="B6234">
        <v>362020241</v>
      </c>
      <c r="C6234" s="76">
        <v>2020</v>
      </c>
      <c r="D6234" s="76" t="s">
        <v>33</v>
      </c>
      <c r="E6234" s="76" t="s">
        <v>32</v>
      </c>
      <c r="F6234" s="76">
        <v>16.65</v>
      </c>
    </row>
    <row r="6235" s="76" customFormat="1" spans="1:6">
      <c r="A6235">
        <v>6435</v>
      </c>
      <c r="B6235">
        <v>362020241</v>
      </c>
      <c r="C6235" s="76">
        <v>2020</v>
      </c>
      <c r="D6235" s="76" t="s">
        <v>33</v>
      </c>
      <c r="E6235" s="76" t="s">
        <v>32</v>
      </c>
      <c r="F6235" s="76">
        <v>4</v>
      </c>
    </row>
    <row r="6236" s="76" customFormat="1" spans="1:6">
      <c r="A6236">
        <v>6432</v>
      </c>
      <c r="B6236">
        <v>362020241</v>
      </c>
      <c r="C6236" s="76">
        <v>2020</v>
      </c>
      <c r="D6236" s="76" t="s">
        <v>33</v>
      </c>
      <c r="E6236" s="76" t="s">
        <v>32</v>
      </c>
      <c r="F6236" s="76">
        <v>33</v>
      </c>
    </row>
    <row r="6237" s="76" customFormat="1" spans="1:6">
      <c r="A6237">
        <v>6441</v>
      </c>
      <c r="B6237">
        <v>362020242</v>
      </c>
      <c r="C6237" s="76">
        <v>2020</v>
      </c>
      <c r="D6237" s="76" t="s">
        <v>35</v>
      </c>
      <c r="E6237" s="76" t="s">
        <v>32</v>
      </c>
      <c r="F6237" s="76">
        <v>8</v>
      </c>
    </row>
    <row r="6238" s="76" customFormat="1" spans="1:6">
      <c r="A6238">
        <v>6445</v>
      </c>
      <c r="B6238">
        <v>362020242</v>
      </c>
      <c r="C6238" s="76">
        <v>2020</v>
      </c>
      <c r="D6238" s="76" t="s">
        <v>35</v>
      </c>
      <c r="E6238" s="76" t="s">
        <v>32</v>
      </c>
      <c r="F6238" s="76">
        <v>0.6</v>
      </c>
    </row>
    <row r="6239" s="76" customFormat="1" spans="1:6">
      <c r="A6239">
        <v>6443</v>
      </c>
      <c r="B6239">
        <v>362020242</v>
      </c>
      <c r="C6239" s="76">
        <v>2020</v>
      </c>
      <c r="D6239" s="76" t="s">
        <v>35</v>
      </c>
      <c r="E6239" s="76" t="s">
        <v>32</v>
      </c>
      <c r="F6239" s="76">
        <v>1.5</v>
      </c>
    </row>
    <row r="6240" s="76" customFormat="1" spans="1:6">
      <c r="A6240">
        <v>6447</v>
      </c>
      <c r="B6240">
        <v>362020242</v>
      </c>
      <c r="C6240" s="76">
        <v>2020</v>
      </c>
      <c r="D6240" s="76" t="s">
        <v>35</v>
      </c>
      <c r="E6240" s="76" t="s">
        <v>32</v>
      </c>
      <c r="F6240" s="76">
        <v>1.2</v>
      </c>
    </row>
    <row r="6241" s="76" customFormat="1" spans="1:6">
      <c r="A6241">
        <v>6448</v>
      </c>
      <c r="B6241">
        <v>362020242</v>
      </c>
      <c r="C6241" s="76">
        <v>2020</v>
      </c>
      <c r="D6241" s="76" t="s">
        <v>35</v>
      </c>
      <c r="E6241" s="76" t="s">
        <v>32</v>
      </c>
      <c r="F6241" s="76">
        <v>0.75</v>
      </c>
    </row>
    <row r="6242" s="76" customFormat="1" spans="1:6">
      <c r="A6242">
        <v>6444</v>
      </c>
      <c r="B6242">
        <v>362020242</v>
      </c>
      <c r="C6242" s="76">
        <v>2020</v>
      </c>
      <c r="D6242" s="76" t="s">
        <v>35</v>
      </c>
      <c r="E6242" s="76" t="s">
        <v>32</v>
      </c>
      <c r="F6242" s="76">
        <v>1.5</v>
      </c>
    </row>
    <row r="6243" s="76" customFormat="1" spans="1:6">
      <c r="A6243">
        <v>6440</v>
      </c>
      <c r="B6243">
        <v>362020242</v>
      </c>
      <c r="C6243" s="76">
        <v>2020</v>
      </c>
      <c r="D6243" s="76" t="s">
        <v>35</v>
      </c>
      <c r="E6243" s="76" t="s">
        <v>32</v>
      </c>
      <c r="F6243" s="76">
        <v>2.5</v>
      </c>
    </row>
    <row r="6244" s="76" customFormat="1" spans="1:6">
      <c r="A6244">
        <v>6442</v>
      </c>
      <c r="B6244">
        <v>362020242</v>
      </c>
      <c r="C6244" s="76">
        <v>2020</v>
      </c>
      <c r="D6244" s="76" t="s">
        <v>35</v>
      </c>
      <c r="E6244" s="76" t="s">
        <v>32</v>
      </c>
      <c r="F6244" s="76">
        <v>2.5</v>
      </c>
    </row>
    <row r="6245" s="76" customFormat="1" spans="1:6">
      <c r="A6245">
        <v>6449</v>
      </c>
      <c r="B6245">
        <v>362020242</v>
      </c>
      <c r="C6245" s="76">
        <v>2020</v>
      </c>
      <c r="D6245" s="76" t="s">
        <v>35</v>
      </c>
      <c r="E6245" s="76" t="s">
        <v>32</v>
      </c>
      <c r="F6245" s="76">
        <v>1.6</v>
      </c>
    </row>
    <row r="6246" s="76" customFormat="1" spans="1:6">
      <c r="A6246">
        <v>6446</v>
      </c>
      <c r="B6246">
        <v>362020242</v>
      </c>
      <c r="C6246" s="76">
        <v>2020</v>
      </c>
      <c r="D6246" s="76" t="s">
        <v>35</v>
      </c>
      <c r="E6246" s="76" t="s">
        <v>32</v>
      </c>
      <c r="F6246" s="76">
        <v>2.5</v>
      </c>
    </row>
    <row r="6247" s="76" customFormat="1" spans="1:6">
      <c r="A6247">
        <v>6439</v>
      </c>
      <c r="B6247">
        <v>362020242</v>
      </c>
      <c r="C6247" s="76">
        <v>2020</v>
      </c>
      <c r="D6247" s="76" t="s">
        <v>35</v>
      </c>
      <c r="E6247" s="76" t="s">
        <v>32</v>
      </c>
      <c r="F6247" s="76">
        <v>2</v>
      </c>
    </row>
    <row r="6248" s="76" customFormat="1" spans="1:6">
      <c r="A6248">
        <v>6450</v>
      </c>
      <c r="B6248">
        <v>362020243</v>
      </c>
      <c r="C6248" s="76">
        <v>2020</v>
      </c>
      <c r="D6248" s="76" t="s">
        <v>38</v>
      </c>
      <c r="E6248" s="76" t="s">
        <v>32</v>
      </c>
      <c r="F6248" s="76">
        <v>3</v>
      </c>
    </row>
    <row r="6249" s="76" customFormat="1" spans="1:6">
      <c r="A6249">
        <v>6451</v>
      </c>
      <c r="B6249">
        <v>362020243</v>
      </c>
      <c r="C6249" s="76">
        <v>2020</v>
      </c>
      <c r="D6249" s="76" t="s">
        <v>38</v>
      </c>
      <c r="E6249" s="76" t="s">
        <v>32</v>
      </c>
      <c r="F6249" s="76">
        <v>3</v>
      </c>
    </row>
    <row r="6250" s="76" customFormat="1" spans="1:6">
      <c r="A6250">
        <v>6461</v>
      </c>
      <c r="B6250">
        <v>362020260</v>
      </c>
      <c r="C6250" s="76">
        <v>2020</v>
      </c>
      <c r="D6250" s="76" t="s">
        <v>34</v>
      </c>
      <c r="E6250" s="76">
        <v>8</v>
      </c>
      <c r="F6250" s="76">
        <v>1.6</v>
      </c>
    </row>
    <row r="6251" s="76" customFormat="1" spans="1:6">
      <c r="A6251">
        <v>6462</v>
      </c>
      <c r="B6251">
        <v>362020260</v>
      </c>
      <c r="C6251" s="76">
        <v>2020</v>
      </c>
      <c r="D6251" s="76" t="s">
        <v>34</v>
      </c>
      <c r="E6251" s="76">
        <v>7</v>
      </c>
      <c r="F6251" s="76">
        <v>2.1</v>
      </c>
    </row>
    <row r="6252" s="76" customFormat="1" spans="1:6">
      <c r="A6252">
        <v>6454</v>
      </c>
      <c r="B6252">
        <v>362020260</v>
      </c>
      <c r="C6252" s="76">
        <v>2020</v>
      </c>
      <c r="D6252" s="76" t="s">
        <v>34</v>
      </c>
      <c r="E6252" s="76">
        <v>22</v>
      </c>
      <c r="F6252" s="76">
        <v>7</v>
      </c>
    </row>
    <row r="6253" s="76" customFormat="1" spans="1:6">
      <c r="A6253">
        <v>6476</v>
      </c>
      <c r="B6253">
        <v>362020260</v>
      </c>
      <c r="C6253" s="76">
        <v>2020</v>
      </c>
      <c r="D6253" s="76" t="s">
        <v>34</v>
      </c>
      <c r="E6253" s="76" t="s">
        <v>32</v>
      </c>
      <c r="F6253" s="76">
        <v>5.4</v>
      </c>
    </row>
    <row r="6254" s="76" customFormat="1" spans="1:6">
      <c r="A6254">
        <v>6458</v>
      </c>
      <c r="B6254">
        <v>362020260</v>
      </c>
      <c r="C6254" s="76">
        <v>2020</v>
      </c>
      <c r="D6254" s="76" t="s">
        <v>34</v>
      </c>
      <c r="E6254" s="76">
        <v>15</v>
      </c>
      <c r="F6254" s="76">
        <v>3.3</v>
      </c>
    </row>
    <row r="6255" s="76" customFormat="1" spans="1:6">
      <c r="A6255">
        <v>6459</v>
      </c>
      <c r="B6255">
        <v>362020260</v>
      </c>
      <c r="C6255" s="76">
        <v>2020</v>
      </c>
      <c r="D6255" s="76" t="s">
        <v>34</v>
      </c>
      <c r="E6255" s="76">
        <v>36</v>
      </c>
      <c r="F6255" s="76">
        <v>7.92</v>
      </c>
    </row>
    <row r="6256" s="76" customFormat="1" spans="1:6">
      <c r="A6256">
        <v>6464</v>
      </c>
      <c r="B6256">
        <v>362020260</v>
      </c>
      <c r="C6256" s="76">
        <v>2020</v>
      </c>
      <c r="D6256" s="76" t="s">
        <v>34</v>
      </c>
      <c r="E6256" s="76">
        <v>12</v>
      </c>
      <c r="F6256" s="76">
        <v>2.6</v>
      </c>
    </row>
    <row r="6257" s="76" customFormat="1" spans="1:6">
      <c r="A6257">
        <v>6477</v>
      </c>
      <c r="B6257">
        <v>362020260</v>
      </c>
      <c r="C6257" s="76">
        <v>2020</v>
      </c>
      <c r="D6257" s="76" t="s">
        <v>34</v>
      </c>
      <c r="E6257" s="76" t="s">
        <v>32</v>
      </c>
      <c r="F6257" s="76">
        <v>6</v>
      </c>
    </row>
    <row r="6258" s="76" customFormat="1" spans="1:6">
      <c r="A6258">
        <v>6463</v>
      </c>
      <c r="B6258">
        <v>362020260</v>
      </c>
      <c r="C6258" s="76">
        <v>2020</v>
      </c>
      <c r="D6258" s="76" t="s">
        <v>34</v>
      </c>
      <c r="E6258" s="76">
        <v>23</v>
      </c>
      <c r="F6258" s="76">
        <v>5.06</v>
      </c>
    </row>
    <row r="6259" s="76" customFormat="1" spans="1:6">
      <c r="A6259">
        <v>6475</v>
      </c>
      <c r="B6259">
        <v>362020260</v>
      </c>
      <c r="C6259" s="76">
        <v>2020</v>
      </c>
      <c r="D6259" s="76" t="s">
        <v>34</v>
      </c>
      <c r="E6259" s="76" t="s">
        <v>32</v>
      </c>
      <c r="F6259" s="76">
        <v>5</v>
      </c>
    </row>
    <row r="6260" s="76" customFormat="1" spans="1:6">
      <c r="A6260">
        <v>6472</v>
      </c>
      <c r="B6260">
        <v>362020260</v>
      </c>
      <c r="C6260" s="76">
        <v>2020</v>
      </c>
      <c r="D6260" s="76" t="s">
        <v>34</v>
      </c>
      <c r="E6260" s="76" t="s">
        <v>32</v>
      </c>
      <c r="F6260" s="76">
        <v>7</v>
      </c>
    </row>
    <row r="6261" s="76" customFormat="1" spans="1:6">
      <c r="A6261">
        <v>6471</v>
      </c>
      <c r="B6261">
        <v>362020260</v>
      </c>
      <c r="C6261" s="76">
        <v>2020</v>
      </c>
      <c r="D6261" s="76" t="s">
        <v>34</v>
      </c>
      <c r="E6261" s="76" t="s">
        <v>32</v>
      </c>
      <c r="F6261" s="76">
        <v>8.2</v>
      </c>
    </row>
    <row r="6262" s="76" customFormat="1" spans="1:6">
      <c r="A6262">
        <v>6467</v>
      </c>
      <c r="B6262">
        <v>362020260</v>
      </c>
      <c r="C6262" s="76">
        <v>2020</v>
      </c>
      <c r="D6262" s="76" t="s">
        <v>34</v>
      </c>
      <c r="E6262" s="76">
        <v>55</v>
      </c>
      <c r="F6262" s="76">
        <v>12.6</v>
      </c>
    </row>
    <row r="6263" s="76" customFormat="1" spans="1:6">
      <c r="A6263">
        <v>6465</v>
      </c>
      <c r="B6263">
        <v>362020260</v>
      </c>
      <c r="C6263" s="76">
        <v>2020</v>
      </c>
      <c r="D6263" s="76" t="s">
        <v>34</v>
      </c>
      <c r="E6263" s="76">
        <v>21</v>
      </c>
      <c r="F6263" s="76">
        <v>4.8</v>
      </c>
    </row>
    <row r="6264" s="76" customFormat="1" spans="1:6">
      <c r="A6264">
        <v>6457</v>
      </c>
      <c r="B6264">
        <v>362020260</v>
      </c>
      <c r="C6264" s="76">
        <v>2020</v>
      </c>
      <c r="D6264" s="76" t="s">
        <v>34</v>
      </c>
      <c r="E6264" s="76">
        <v>50</v>
      </c>
      <c r="F6264" s="76">
        <v>10</v>
      </c>
    </row>
    <row r="6265" s="76" customFormat="1" spans="1:6">
      <c r="A6265">
        <v>6453</v>
      </c>
      <c r="B6265">
        <v>362020260</v>
      </c>
      <c r="C6265" s="76">
        <v>2020</v>
      </c>
      <c r="D6265" s="76" t="s">
        <v>34</v>
      </c>
      <c r="E6265" s="76">
        <v>44</v>
      </c>
      <c r="F6265" s="76">
        <v>11</v>
      </c>
    </row>
    <row r="6266" s="76" customFormat="1" spans="1:6">
      <c r="A6266">
        <v>6468</v>
      </c>
      <c r="B6266">
        <v>362020260</v>
      </c>
      <c r="C6266" s="76">
        <v>2020</v>
      </c>
      <c r="D6266" s="76" t="s">
        <v>34</v>
      </c>
      <c r="E6266" s="76">
        <v>35</v>
      </c>
      <c r="F6266" s="76">
        <v>7</v>
      </c>
    </row>
    <row r="6267" s="76" customFormat="1" spans="1:6">
      <c r="A6267">
        <v>6470</v>
      </c>
      <c r="B6267">
        <v>362020260</v>
      </c>
      <c r="C6267" s="76">
        <v>2020</v>
      </c>
      <c r="D6267" s="76" t="s">
        <v>34</v>
      </c>
      <c r="E6267" s="76">
        <v>20</v>
      </c>
      <c r="F6267" s="76">
        <v>6</v>
      </c>
    </row>
    <row r="6268" s="76" customFormat="1" spans="1:6">
      <c r="A6268">
        <v>6469</v>
      </c>
      <c r="B6268">
        <v>362020260</v>
      </c>
      <c r="C6268" s="76">
        <v>2020</v>
      </c>
      <c r="D6268" s="76" t="s">
        <v>34</v>
      </c>
      <c r="E6268" s="76">
        <v>32</v>
      </c>
      <c r="F6268" s="76">
        <v>8</v>
      </c>
    </row>
    <row r="6269" s="76" customFormat="1" spans="1:6">
      <c r="A6269">
        <v>6466</v>
      </c>
      <c r="B6269">
        <v>362020260</v>
      </c>
      <c r="C6269" s="76">
        <v>2020</v>
      </c>
      <c r="D6269" s="76" t="s">
        <v>34</v>
      </c>
      <c r="E6269" s="76">
        <v>65</v>
      </c>
      <c r="F6269" s="76">
        <v>13</v>
      </c>
    </row>
    <row r="6270" s="76" customFormat="1" spans="1:6">
      <c r="A6270">
        <v>6455</v>
      </c>
      <c r="B6270">
        <v>362020260</v>
      </c>
      <c r="C6270" s="76">
        <v>2020</v>
      </c>
      <c r="D6270" s="76" t="s">
        <v>34</v>
      </c>
      <c r="E6270" s="76">
        <v>30</v>
      </c>
      <c r="F6270" s="76">
        <v>6</v>
      </c>
    </row>
    <row r="6271" s="76" customFormat="1" spans="1:6">
      <c r="A6271">
        <v>6452</v>
      </c>
      <c r="B6271">
        <v>362020260</v>
      </c>
      <c r="C6271" s="76">
        <v>2020</v>
      </c>
      <c r="D6271" s="76" t="s">
        <v>34</v>
      </c>
      <c r="E6271" s="76">
        <v>26</v>
      </c>
      <c r="F6271" s="76">
        <v>6.4</v>
      </c>
    </row>
    <row r="6272" s="76" customFormat="1" spans="1:6">
      <c r="A6272">
        <v>6460</v>
      </c>
      <c r="B6272">
        <v>362020260</v>
      </c>
      <c r="C6272" s="76">
        <v>2020</v>
      </c>
      <c r="D6272" s="76" t="s">
        <v>34</v>
      </c>
      <c r="E6272" s="76">
        <v>19</v>
      </c>
      <c r="F6272" s="76">
        <v>4.75</v>
      </c>
    </row>
    <row r="6273" s="76" customFormat="1" spans="1:6">
      <c r="A6273">
        <v>6473</v>
      </c>
      <c r="B6273">
        <v>362020260</v>
      </c>
      <c r="C6273" s="76">
        <v>2020</v>
      </c>
      <c r="D6273" s="76" t="s">
        <v>34</v>
      </c>
      <c r="E6273" s="76" t="s">
        <v>32</v>
      </c>
      <c r="F6273" s="76">
        <v>5</v>
      </c>
    </row>
    <row r="6274" s="76" customFormat="1" spans="1:6">
      <c r="A6274">
        <v>6481</v>
      </c>
      <c r="B6274">
        <v>362020260</v>
      </c>
      <c r="C6274" s="76">
        <v>2020</v>
      </c>
      <c r="D6274" s="76" t="s">
        <v>34</v>
      </c>
      <c r="E6274" s="76" t="s">
        <v>32</v>
      </c>
      <c r="F6274" s="76">
        <v>4.53</v>
      </c>
    </row>
    <row r="6275" s="76" customFormat="1" spans="1:6">
      <c r="A6275">
        <v>6480</v>
      </c>
      <c r="B6275">
        <v>362020260</v>
      </c>
      <c r="C6275" s="76">
        <v>2020</v>
      </c>
      <c r="D6275" s="76" t="s">
        <v>34</v>
      </c>
      <c r="E6275" s="76" t="s">
        <v>32</v>
      </c>
      <c r="F6275" s="76">
        <v>7.92</v>
      </c>
    </row>
    <row r="6276" s="76" customFormat="1" spans="1:6">
      <c r="A6276">
        <v>6479</v>
      </c>
      <c r="B6276">
        <v>362020260</v>
      </c>
      <c r="C6276" s="76">
        <v>2020</v>
      </c>
      <c r="D6276" s="76" t="s">
        <v>34</v>
      </c>
      <c r="E6276" s="76" t="s">
        <v>32</v>
      </c>
      <c r="F6276" s="76">
        <v>5.06</v>
      </c>
    </row>
    <row r="6277" s="76" customFormat="1" spans="1:6">
      <c r="A6277">
        <v>6482</v>
      </c>
      <c r="B6277">
        <v>362020260</v>
      </c>
      <c r="C6277" s="76">
        <v>2020</v>
      </c>
      <c r="D6277" s="76" t="s">
        <v>34</v>
      </c>
      <c r="E6277" s="76" t="s">
        <v>32</v>
      </c>
      <c r="F6277" s="76">
        <v>8.49</v>
      </c>
    </row>
    <row r="6278" s="76" customFormat="1" spans="1:6">
      <c r="A6278">
        <v>6478</v>
      </c>
      <c r="B6278">
        <v>362020260</v>
      </c>
      <c r="C6278" s="76">
        <v>2020</v>
      </c>
      <c r="D6278" s="76" t="s">
        <v>34</v>
      </c>
      <c r="E6278" s="76" t="s">
        <v>32</v>
      </c>
      <c r="F6278" s="76">
        <v>9.59</v>
      </c>
    </row>
    <row r="6279" s="76" customFormat="1" spans="1:6">
      <c r="A6279">
        <v>6456</v>
      </c>
      <c r="B6279">
        <v>362020260</v>
      </c>
      <c r="C6279" s="76">
        <v>2020</v>
      </c>
      <c r="D6279" s="76" t="s">
        <v>34</v>
      </c>
      <c r="E6279" s="76">
        <v>30</v>
      </c>
      <c r="F6279" s="76">
        <v>6.55</v>
      </c>
    </row>
    <row r="6280" s="76" customFormat="1" spans="1:6">
      <c r="A6280">
        <v>6474</v>
      </c>
      <c r="B6280">
        <v>362020260</v>
      </c>
      <c r="C6280" s="76">
        <v>2020</v>
      </c>
      <c r="D6280" s="76" t="s">
        <v>34</v>
      </c>
      <c r="E6280" s="76" t="s">
        <v>32</v>
      </c>
      <c r="F6280" s="76">
        <v>10</v>
      </c>
    </row>
    <row r="6281" s="76" customFormat="1" spans="1:6">
      <c r="A6281">
        <v>6490</v>
      </c>
      <c r="B6281">
        <v>362020270</v>
      </c>
      <c r="C6281" s="76">
        <v>2020</v>
      </c>
      <c r="D6281" s="76" t="s">
        <v>31</v>
      </c>
      <c r="E6281" s="76" t="s">
        <v>32</v>
      </c>
      <c r="F6281" s="76">
        <v>10.43</v>
      </c>
    </row>
    <row r="6282" s="76" customFormat="1" spans="1:6">
      <c r="A6282">
        <v>6493</v>
      </c>
      <c r="B6282">
        <v>362020270</v>
      </c>
      <c r="C6282" s="76">
        <v>2020</v>
      </c>
      <c r="D6282" s="76" t="s">
        <v>31</v>
      </c>
      <c r="E6282" s="76" t="s">
        <v>32</v>
      </c>
      <c r="F6282" s="76">
        <v>8</v>
      </c>
    </row>
    <row r="6283" s="76" customFormat="1" spans="1:6">
      <c r="A6283">
        <v>6485</v>
      </c>
      <c r="B6283">
        <v>362020270</v>
      </c>
      <c r="C6283" s="76">
        <v>2020</v>
      </c>
      <c r="D6283" s="76" t="s">
        <v>31</v>
      </c>
      <c r="E6283" s="76" t="s">
        <v>32</v>
      </c>
      <c r="F6283" s="76">
        <v>26</v>
      </c>
    </row>
    <row r="6284" s="76" customFormat="1" spans="1:6">
      <c r="A6284">
        <v>6488</v>
      </c>
      <c r="B6284">
        <v>362020270</v>
      </c>
      <c r="C6284" s="76">
        <v>2020</v>
      </c>
      <c r="D6284" s="76" t="s">
        <v>31</v>
      </c>
      <c r="E6284" s="76" t="s">
        <v>32</v>
      </c>
      <c r="F6284" s="76">
        <v>10</v>
      </c>
    </row>
    <row r="6285" s="76" customFormat="1" spans="1:6">
      <c r="A6285">
        <v>6484</v>
      </c>
      <c r="B6285">
        <v>362020270</v>
      </c>
      <c r="C6285" s="76">
        <v>2020</v>
      </c>
      <c r="D6285" s="76" t="s">
        <v>31</v>
      </c>
      <c r="E6285" s="76" t="s">
        <v>32</v>
      </c>
      <c r="F6285" s="76">
        <v>10</v>
      </c>
    </row>
    <row r="6286" s="76" customFormat="1" spans="1:6">
      <c r="A6286">
        <v>6487</v>
      </c>
      <c r="B6286">
        <v>362020270</v>
      </c>
      <c r="C6286" s="76">
        <v>2020</v>
      </c>
      <c r="D6286" s="76" t="s">
        <v>31</v>
      </c>
      <c r="E6286" s="76" t="s">
        <v>32</v>
      </c>
      <c r="F6286" s="76">
        <v>3.1</v>
      </c>
    </row>
    <row r="6287" s="76" customFormat="1" spans="1:6">
      <c r="A6287">
        <v>6483</v>
      </c>
      <c r="B6287">
        <v>362020270</v>
      </c>
      <c r="C6287" s="76">
        <v>2020</v>
      </c>
      <c r="D6287" s="76" t="s">
        <v>31</v>
      </c>
      <c r="E6287" s="76" t="s">
        <v>32</v>
      </c>
      <c r="F6287" s="76">
        <v>10</v>
      </c>
    </row>
    <row r="6288" s="76" customFormat="1" spans="1:6">
      <c r="A6288">
        <v>6497</v>
      </c>
      <c r="B6288">
        <v>362020270</v>
      </c>
      <c r="C6288" s="76">
        <v>2020</v>
      </c>
      <c r="D6288" s="76" t="s">
        <v>31</v>
      </c>
      <c r="E6288" s="76" t="s">
        <v>32</v>
      </c>
      <c r="F6288" s="76">
        <v>6</v>
      </c>
    </row>
    <row r="6289" s="76" customFormat="1" spans="1:6">
      <c r="A6289">
        <v>6489</v>
      </c>
      <c r="B6289">
        <v>362020270</v>
      </c>
      <c r="C6289" s="76">
        <v>2020</v>
      </c>
      <c r="D6289" s="76" t="s">
        <v>31</v>
      </c>
      <c r="E6289" s="76" t="s">
        <v>32</v>
      </c>
      <c r="F6289" s="76">
        <v>7.5</v>
      </c>
    </row>
    <row r="6290" s="76" customFormat="1" spans="1:6">
      <c r="A6290">
        <v>6495</v>
      </c>
      <c r="B6290">
        <v>362020270</v>
      </c>
      <c r="C6290" s="76">
        <v>2020</v>
      </c>
      <c r="D6290" s="76" t="s">
        <v>31</v>
      </c>
      <c r="E6290" s="76" t="s">
        <v>32</v>
      </c>
      <c r="F6290" s="76">
        <v>0.02</v>
      </c>
    </row>
    <row r="6291" s="76" customFormat="1" spans="1:6">
      <c r="A6291">
        <v>6496</v>
      </c>
      <c r="B6291">
        <v>362020270</v>
      </c>
      <c r="C6291" s="76">
        <v>2020</v>
      </c>
      <c r="D6291" s="76" t="s">
        <v>31</v>
      </c>
      <c r="E6291" s="76" t="s">
        <v>32</v>
      </c>
      <c r="F6291" s="76">
        <v>0.03</v>
      </c>
    </row>
    <row r="6292" s="76" customFormat="1" spans="1:6">
      <c r="A6292">
        <v>6494</v>
      </c>
      <c r="B6292">
        <v>362020270</v>
      </c>
      <c r="C6292" s="76">
        <v>2020</v>
      </c>
      <c r="D6292" s="76" t="s">
        <v>31</v>
      </c>
      <c r="E6292" s="76" t="s">
        <v>32</v>
      </c>
      <c r="F6292" s="76">
        <v>0.45</v>
      </c>
    </row>
    <row r="6293" s="76" customFormat="1" spans="1:6">
      <c r="A6293">
        <v>6492</v>
      </c>
      <c r="B6293">
        <v>362020270</v>
      </c>
      <c r="C6293" s="76">
        <v>2020</v>
      </c>
      <c r="D6293" s="76" t="s">
        <v>31</v>
      </c>
      <c r="E6293" s="76" t="s">
        <v>32</v>
      </c>
      <c r="F6293" s="76">
        <v>6</v>
      </c>
    </row>
    <row r="6294" s="76" customFormat="1" spans="1:6">
      <c r="A6294">
        <v>6491</v>
      </c>
      <c r="B6294">
        <v>362020270</v>
      </c>
      <c r="C6294" s="76">
        <v>2020</v>
      </c>
      <c r="D6294" s="76" t="s">
        <v>31</v>
      </c>
      <c r="E6294" s="76" t="s">
        <v>32</v>
      </c>
      <c r="F6294" s="76">
        <v>9.3</v>
      </c>
    </row>
    <row r="6295" s="76" customFormat="1" spans="1:6">
      <c r="A6295">
        <v>6498</v>
      </c>
      <c r="B6295">
        <v>362020270</v>
      </c>
      <c r="C6295" s="76">
        <v>2020</v>
      </c>
      <c r="D6295" s="76" t="s">
        <v>31</v>
      </c>
      <c r="E6295" s="76" t="s">
        <v>32</v>
      </c>
      <c r="F6295" s="76">
        <v>8</v>
      </c>
    </row>
    <row r="6296" s="76" customFormat="1" spans="1:6">
      <c r="A6296">
        <v>6499</v>
      </c>
      <c r="B6296">
        <v>362021110</v>
      </c>
      <c r="C6296" s="76">
        <v>2021</v>
      </c>
      <c r="D6296" s="76" t="s">
        <v>40</v>
      </c>
      <c r="E6296" s="76" t="s">
        <v>32</v>
      </c>
      <c r="F6296" s="76">
        <v>1.12</v>
      </c>
    </row>
    <row r="6297" s="76" customFormat="1" spans="1:6">
      <c r="A6297">
        <v>6501</v>
      </c>
      <c r="B6297">
        <v>362021110</v>
      </c>
      <c r="C6297" s="76">
        <v>2021</v>
      </c>
      <c r="D6297" s="76" t="s">
        <v>40</v>
      </c>
      <c r="E6297" s="76" t="s">
        <v>32</v>
      </c>
      <c r="F6297" s="76">
        <v>1.26</v>
      </c>
    </row>
    <row r="6298" s="76" customFormat="1" spans="1:6">
      <c r="A6298">
        <v>6502</v>
      </c>
      <c r="B6298">
        <v>362021110</v>
      </c>
      <c r="C6298" s="76">
        <v>2021</v>
      </c>
      <c r="D6298" s="76" t="s">
        <v>40</v>
      </c>
      <c r="E6298" s="76" t="s">
        <v>32</v>
      </c>
      <c r="F6298" s="76">
        <v>0.2</v>
      </c>
    </row>
    <row r="6299" s="76" customFormat="1" spans="1:6">
      <c r="A6299">
        <v>6503</v>
      </c>
      <c r="B6299">
        <v>362021110</v>
      </c>
      <c r="C6299" s="76">
        <v>2021</v>
      </c>
      <c r="D6299" s="76" t="s">
        <v>40</v>
      </c>
      <c r="E6299" s="76" t="s">
        <v>32</v>
      </c>
      <c r="F6299" s="76">
        <v>0.5</v>
      </c>
    </row>
    <row r="6300" s="76" customFormat="1" spans="1:6">
      <c r="A6300">
        <v>6500</v>
      </c>
      <c r="B6300">
        <v>362021110</v>
      </c>
      <c r="C6300" s="76">
        <v>2021</v>
      </c>
      <c r="D6300" s="76" t="s">
        <v>40</v>
      </c>
      <c r="E6300" s="76" t="s">
        <v>32</v>
      </c>
      <c r="F6300" s="76">
        <v>13.3</v>
      </c>
    </row>
    <row r="6301" s="76" customFormat="1" spans="1:6">
      <c r="A6301">
        <v>6506</v>
      </c>
      <c r="B6301">
        <v>362021211</v>
      </c>
      <c r="C6301" s="76">
        <v>2021</v>
      </c>
      <c r="D6301" s="76" t="s">
        <v>37</v>
      </c>
      <c r="E6301" s="76" t="s">
        <v>32</v>
      </c>
      <c r="F6301" s="76">
        <v>4</v>
      </c>
    </row>
    <row r="6302" s="76" customFormat="1" spans="1:6">
      <c r="A6302">
        <v>6505</v>
      </c>
      <c r="B6302">
        <v>362021211</v>
      </c>
      <c r="C6302" s="76">
        <v>2021</v>
      </c>
      <c r="D6302" s="76" t="s">
        <v>37</v>
      </c>
      <c r="E6302" s="76">
        <v>2</v>
      </c>
      <c r="F6302" s="76">
        <v>200</v>
      </c>
    </row>
    <row r="6303" s="76" customFormat="1" spans="1:6">
      <c r="A6303">
        <v>6511</v>
      </c>
      <c r="B6303">
        <v>362021241</v>
      </c>
      <c r="C6303" s="76">
        <v>2021</v>
      </c>
      <c r="D6303" s="76" t="s">
        <v>33</v>
      </c>
      <c r="E6303" s="76" t="s">
        <v>32</v>
      </c>
      <c r="F6303" s="76">
        <v>1.8</v>
      </c>
    </row>
    <row r="6304" s="76" customFormat="1" spans="1:6">
      <c r="A6304">
        <v>6509</v>
      </c>
      <c r="B6304">
        <v>362021241</v>
      </c>
      <c r="C6304" s="76">
        <v>2021</v>
      </c>
      <c r="D6304" s="76" t="s">
        <v>33</v>
      </c>
      <c r="E6304" s="76" t="s">
        <v>32</v>
      </c>
      <c r="F6304" s="76">
        <v>6</v>
      </c>
    </row>
    <row r="6305" s="76" customFormat="1" spans="1:6">
      <c r="A6305">
        <v>6512</v>
      </c>
      <c r="B6305">
        <v>362021241</v>
      </c>
      <c r="C6305" s="76">
        <v>2021</v>
      </c>
      <c r="D6305" s="76" t="s">
        <v>33</v>
      </c>
      <c r="E6305" s="76" t="s">
        <v>32</v>
      </c>
      <c r="F6305" s="76">
        <v>8.5</v>
      </c>
    </row>
    <row r="6306" s="76" customFormat="1" spans="1:6">
      <c r="A6306">
        <v>6507</v>
      </c>
      <c r="B6306">
        <v>362021241</v>
      </c>
      <c r="C6306" s="76">
        <v>2021</v>
      </c>
      <c r="D6306" s="76" t="s">
        <v>33</v>
      </c>
      <c r="E6306" s="76" t="s">
        <v>32</v>
      </c>
      <c r="F6306" s="76">
        <v>1.2</v>
      </c>
    </row>
    <row r="6307" s="76" customFormat="1" spans="1:6">
      <c r="A6307">
        <v>6508</v>
      </c>
      <c r="B6307">
        <v>362021241</v>
      </c>
      <c r="C6307" s="76">
        <v>2021</v>
      </c>
      <c r="D6307" s="76" t="s">
        <v>33</v>
      </c>
      <c r="E6307" s="76" t="s">
        <v>32</v>
      </c>
      <c r="F6307" s="76">
        <v>0.9</v>
      </c>
    </row>
    <row r="6308" s="76" customFormat="1" spans="1:6">
      <c r="A6308">
        <v>6510</v>
      </c>
      <c r="B6308">
        <v>362021241</v>
      </c>
      <c r="C6308" s="76">
        <v>2021</v>
      </c>
      <c r="D6308" s="76" t="s">
        <v>33</v>
      </c>
      <c r="E6308" s="76" t="s">
        <v>32</v>
      </c>
      <c r="F6308" s="76">
        <v>1.5</v>
      </c>
    </row>
    <row r="6309" s="76" customFormat="1" spans="1:6">
      <c r="A6309">
        <v>6525</v>
      </c>
      <c r="B6309">
        <v>362021242</v>
      </c>
      <c r="C6309" s="76">
        <v>2021</v>
      </c>
      <c r="D6309" s="76" t="s">
        <v>35</v>
      </c>
      <c r="E6309" s="76" t="s">
        <v>32</v>
      </c>
      <c r="F6309" s="76">
        <v>1</v>
      </c>
    </row>
    <row r="6310" s="76" customFormat="1" spans="1:6">
      <c r="A6310">
        <v>6515</v>
      </c>
      <c r="B6310">
        <v>362021242</v>
      </c>
      <c r="C6310" s="76">
        <v>2021</v>
      </c>
      <c r="D6310" s="76" t="s">
        <v>35</v>
      </c>
      <c r="E6310" s="76" t="s">
        <v>32</v>
      </c>
      <c r="F6310" s="76">
        <v>5</v>
      </c>
    </row>
    <row r="6311" s="76" customFormat="1" spans="1:6">
      <c r="A6311">
        <v>6526</v>
      </c>
      <c r="B6311">
        <v>362021242</v>
      </c>
      <c r="C6311" s="76">
        <v>2021</v>
      </c>
      <c r="D6311" s="76" t="s">
        <v>35</v>
      </c>
      <c r="E6311" s="76" t="s">
        <v>32</v>
      </c>
      <c r="F6311" s="76">
        <v>1.2</v>
      </c>
    </row>
    <row r="6312" s="76" customFormat="1" spans="1:6">
      <c r="A6312">
        <v>6528</v>
      </c>
      <c r="B6312">
        <v>362021242</v>
      </c>
      <c r="C6312" s="76">
        <v>2021</v>
      </c>
      <c r="D6312" s="76" t="s">
        <v>35</v>
      </c>
      <c r="E6312" s="76" t="s">
        <v>32</v>
      </c>
      <c r="F6312" s="76">
        <v>1.5</v>
      </c>
    </row>
    <row r="6313" s="76" customFormat="1" spans="1:6">
      <c r="A6313">
        <v>6517</v>
      </c>
      <c r="B6313">
        <v>362021242</v>
      </c>
      <c r="C6313" s="76">
        <v>2021</v>
      </c>
      <c r="D6313" s="76" t="s">
        <v>35</v>
      </c>
      <c r="E6313" s="76" t="s">
        <v>32</v>
      </c>
      <c r="F6313" s="76">
        <v>1.2</v>
      </c>
    </row>
    <row r="6314" s="76" customFormat="1" spans="1:6">
      <c r="A6314">
        <v>6520</v>
      </c>
      <c r="B6314">
        <v>362021242</v>
      </c>
      <c r="C6314" s="76">
        <v>2021</v>
      </c>
      <c r="D6314" s="76" t="s">
        <v>35</v>
      </c>
      <c r="E6314" s="76" t="s">
        <v>32</v>
      </c>
      <c r="F6314" s="76">
        <v>1.2</v>
      </c>
    </row>
    <row r="6315" s="76" customFormat="1" spans="1:6">
      <c r="A6315">
        <v>6521</v>
      </c>
      <c r="B6315">
        <v>362021242</v>
      </c>
      <c r="C6315" s="76">
        <v>2021</v>
      </c>
      <c r="D6315" s="76" t="s">
        <v>35</v>
      </c>
      <c r="E6315" s="76" t="s">
        <v>32</v>
      </c>
      <c r="F6315" s="76">
        <v>1.2</v>
      </c>
    </row>
    <row r="6316" s="76" customFormat="1" spans="1:6">
      <c r="A6316">
        <v>6519</v>
      </c>
      <c r="B6316">
        <v>362021242</v>
      </c>
      <c r="C6316" s="76">
        <v>2021</v>
      </c>
      <c r="D6316" s="76" t="s">
        <v>35</v>
      </c>
      <c r="E6316" s="76" t="s">
        <v>32</v>
      </c>
      <c r="F6316" s="76">
        <v>1.5</v>
      </c>
    </row>
    <row r="6317" s="76" customFormat="1" spans="1:6">
      <c r="A6317">
        <v>6527</v>
      </c>
      <c r="B6317">
        <v>362021242</v>
      </c>
      <c r="C6317" s="76">
        <v>2021</v>
      </c>
      <c r="D6317" s="76" t="s">
        <v>35</v>
      </c>
      <c r="E6317" s="76" t="s">
        <v>32</v>
      </c>
      <c r="F6317" s="76">
        <v>1.5</v>
      </c>
    </row>
    <row r="6318" s="76" customFormat="1" spans="1:6">
      <c r="A6318">
        <v>6514</v>
      </c>
      <c r="B6318">
        <v>362021242</v>
      </c>
      <c r="C6318" s="76">
        <v>2021</v>
      </c>
      <c r="D6318" s="76" t="s">
        <v>35</v>
      </c>
      <c r="E6318" s="76" t="s">
        <v>32</v>
      </c>
      <c r="F6318" s="76">
        <v>4</v>
      </c>
    </row>
    <row r="6319" s="76" customFormat="1" spans="1:6">
      <c r="A6319">
        <v>6518</v>
      </c>
      <c r="B6319">
        <v>362021242</v>
      </c>
      <c r="C6319" s="76">
        <v>2021</v>
      </c>
      <c r="D6319" s="76" t="s">
        <v>35</v>
      </c>
      <c r="E6319" s="76" t="s">
        <v>32</v>
      </c>
      <c r="F6319" s="76">
        <v>1.2</v>
      </c>
    </row>
    <row r="6320" s="76" customFormat="1" spans="1:6">
      <c r="A6320">
        <v>6530</v>
      </c>
      <c r="B6320">
        <v>362021242</v>
      </c>
      <c r="C6320" s="76">
        <v>2021</v>
      </c>
      <c r="D6320" s="76" t="s">
        <v>35</v>
      </c>
      <c r="E6320" s="76" t="s">
        <v>32</v>
      </c>
      <c r="F6320" s="76">
        <v>2</v>
      </c>
    </row>
    <row r="6321" s="76" customFormat="1" spans="1:6">
      <c r="A6321">
        <v>6516</v>
      </c>
      <c r="B6321">
        <v>362021242</v>
      </c>
      <c r="C6321" s="76">
        <v>2021</v>
      </c>
      <c r="D6321" s="76" t="s">
        <v>35</v>
      </c>
      <c r="E6321" s="76" t="s">
        <v>32</v>
      </c>
      <c r="F6321" s="76">
        <v>1.5</v>
      </c>
    </row>
    <row r="6322" s="76" customFormat="1" spans="1:6">
      <c r="A6322">
        <v>6524</v>
      </c>
      <c r="B6322">
        <v>362021242</v>
      </c>
      <c r="C6322" s="76">
        <v>2021</v>
      </c>
      <c r="D6322" s="76" t="s">
        <v>35</v>
      </c>
      <c r="E6322" s="76" t="s">
        <v>32</v>
      </c>
      <c r="F6322" s="76">
        <v>2.9</v>
      </c>
    </row>
    <row r="6323" s="76" customFormat="1" spans="1:6">
      <c r="A6323">
        <v>6523</v>
      </c>
      <c r="B6323">
        <v>362021242</v>
      </c>
      <c r="C6323" s="76">
        <v>2021</v>
      </c>
      <c r="D6323" s="76" t="s">
        <v>35</v>
      </c>
      <c r="E6323" s="76" t="s">
        <v>32</v>
      </c>
      <c r="F6323" s="76">
        <v>0.9</v>
      </c>
    </row>
    <row r="6324" s="76" customFormat="1" spans="1:6">
      <c r="A6324">
        <v>6522</v>
      </c>
      <c r="B6324">
        <v>362021242</v>
      </c>
      <c r="C6324" s="76">
        <v>2021</v>
      </c>
      <c r="D6324" s="76" t="s">
        <v>35</v>
      </c>
      <c r="E6324" s="76" t="s">
        <v>32</v>
      </c>
      <c r="F6324" s="76">
        <v>1.5</v>
      </c>
    </row>
    <row r="6325" s="76" customFormat="1" spans="1:6">
      <c r="A6325">
        <v>6529</v>
      </c>
      <c r="B6325">
        <v>362021242</v>
      </c>
      <c r="C6325" s="76">
        <v>2021</v>
      </c>
      <c r="D6325" s="76" t="s">
        <v>35</v>
      </c>
      <c r="E6325" s="76" t="s">
        <v>32</v>
      </c>
      <c r="F6325" s="76">
        <v>1.2</v>
      </c>
    </row>
    <row r="6326" s="76" customFormat="1" spans="1:6">
      <c r="A6326">
        <v>6532</v>
      </c>
      <c r="B6326">
        <v>362021243</v>
      </c>
      <c r="C6326" s="76">
        <v>2021</v>
      </c>
      <c r="D6326" s="76" t="s">
        <v>38</v>
      </c>
      <c r="E6326" s="76" t="s">
        <v>32</v>
      </c>
      <c r="F6326" s="76">
        <v>3</v>
      </c>
    </row>
    <row r="6327" s="76" customFormat="1" spans="1:6">
      <c r="A6327">
        <v>6531</v>
      </c>
      <c r="B6327">
        <v>362021243</v>
      </c>
      <c r="C6327" s="76">
        <v>2021</v>
      </c>
      <c r="D6327" s="76" t="s">
        <v>38</v>
      </c>
      <c r="E6327" s="76">
        <v>1</v>
      </c>
      <c r="F6327" s="76">
        <v>3</v>
      </c>
    </row>
    <row r="6328" s="76" customFormat="1" spans="1:6">
      <c r="A6328">
        <v>6533</v>
      </c>
      <c r="B6328">
        <v>362021260</v>
      </c>
      <c r="C6328" s="76">
        <v>2021</v>
      </c>
      <c r="D6328" s="76" t="s">
        <v>34</v>
      </c>
      <c r="E6328" s="76">
        <v>14</v>
      </c>
      <c r="F6328" s="76">
        <v>2.8</v>
      </c>
    </row>
    <row r="6329" s="76" customFormat="1" spans="1:6">
      <c r="A6329">
        <v>6536</v>
      </c>
      <c r="B6329">
        <v>362021260</v>
      </c>
      <c r="C6329" s="76">
        <v>2021</v>
      </c>
      <c r="D6329" s="76" t="s">
        <v>34</v>
      </c>
      <c r="E6329" s="76">
        <v>9</v>
      </c>
      <c r="F6329" s="76">
        <v>2.7</v>
      </c>
    </row>
    <row r="6330" s="76" customFormat="1" spans="1:6">
      <c r="A6330">
        <v>6537</v>
      </c>
      <c r="B6330">
        <v>362021260</v>
      </c>
      <c r="C6330" s="76">
        <v>2021</v>
      </c>
      <c r="D6330" s="76" t="s">
        <v>34</v>
      </c>
      <c r="E6330" s="76">
        <v>3</v>
      </c>
      <c r="F6330" s="76">
        <v>1.8</v>
      </c>
    </row>
    <row r="6331" s="76" customFormat="1" spans="1:6">
      <c r="A6331">
        <v>6535</v>
      </c>
      <c r="B6331">
        <v>362021260</v>
      </c>
      <c r="C6331" s="76">
        <v>2021</v>
      </c>
      <c r="D6331" s="76" t="s">
        <v>34</v>
      </c>
      <c r="E6331" s="76">
        <v>7</v>
      </c>
      <c r="F6331" s="76">
        <v>2</v>
      </c>
    </row>
    <row r="6332" s="76" customFormat="1" spans="1:6">
      <c r="A6332">
        <v>6541</v>
      </c>
      <c r="B6332">
        <v>362021260</v>
      </c>
      <c r="C6332" s="76">
        <v>2021</v>
      </c>
      <c r="D6332" s="76" t="s">
        <v>34</v>
      </c>
      <c r="E6332" s="76" t="s">
        <v>32</v>
      </c>
      <c r="F6332" s="76">
        <v>0.32</v>
      </c>
    </row>
    <row r="6333" s="76" customFormat="1" spans="1:6">
      <c r="A6333">
        <v>6545</v>
      </c>
      <c r="B6333">
        <v>362021260</v>
      </c>
      <c r="C6333" s="76">
        <v>2021</v>
      </c>
      <c r="D6333" s="76" t="s">
        <v>34</v>
      </c>
      <c r="E6333" s="76" t="s">
        <v>32</v>
      </c>
      <c r="F6333" s="76">
        <v>2.25</v>
      </c>
    </row>
    <row r="6334" s="76" customFormat="1" spans="1:6">
      <c r="A6334">
        <v>6544</v>
      </c>
      <c r="B6334">
        <v>362021260</v>
      </c>
      <c r="C6334" s="76">
        <v>2021</v>
      </c>
      <c r="D6334" s="76" t="s">
        <v>34</v>
      </c>
      <c r="E6334" s="76" t="s">
        <v>32</v>
      </c>
      <c r="F6334" s="76">
        <v>1.75</v>
      </c>
    </row>
    <row r="6335" s="76" customFormat="1" spans="1:6">
      <c r="A6335">
        <v>6538</v>
      </c>
      <c r="B6335">
        <v>362021260</v>
      </c>
      <c r="C6335" s="76">
        <v>2021</v>
      </c>
      <c r="D6335" s="76" t="s">
        <v>34</v>
      </c>
      <c r="E6335" s="76">
        <v>13</v>
      </c>
      <c r="F6335" s="76">
        <v>4</v>
      </c>
    </row>
    <row r="6336" s="76" customFormat="1" spans="1:6">
      <c r="A6336">
        <v>6539</v>
      </c>
      <c r="B6336">
        <v>362021260</v>
      </c>
      <c r="C6336" s="76">
        <v>2021</v>
      </c>
      <c r="D6336" s="76" t="s">
        <v>34</v>
      </c>
      <c r="E6336" s="76">
        <v>20</v>
      </c>
      <c r="F6336" s="76">
        <v>4</v>
      </c>
    </row>
    <row r="6337" s="76" customFormat="1" spans="1:6">
      <c r="A6337">
        <v>6540</v>
      </c>
      <c r="B6337">
        <v>362021260</v>
      </c>
      <c r="C6337" s="76">
        <v>2021</v>
      </c>
      <c r="D6337" s="76" t="s">
        <v>34</v>
      </c>
      <c r="E6337" s="76">
        <v>20</v>
      </c>
      <c r="F6337" s="76">
        <v>4</v>
      </c>
    </row>
    <row r="6338" s="76" customFormat="1" spans="1:6">
      <c r="A6338">
        <v>6534</v>
      </c>
      <c r="B6338">
        <v>362021260</v>
      </c>
      <c r="C6338" s="76">
        <v>2021</v>
      </c>
      <c r="D6338" s="76" t="s">
        <v>34</v>
      </c>
      <c r="E6338" s="76">
        <v>9</v>
      </c>
      <c r="F6338" s="76">
        <v>3</v>
      </c>
    </row>
    <row r="6339" s="76" customFormat="1" spans="1:6">
      <c r="A6339">
        <v>6546</v>
      </c>
      <c r="B6339">
        <v>362021260</v>
      </c>
      <c r="C6339" s="76">
        <v>2021</v>
      </c>
      <c r="D6339" s="76" t="s">
        <v>34</v>
      </c>
      <c r="E6339" s="76" t="s">
        <v>32</v>
      </c>
      <c r="F6339" s="76">
        <v>2.31</v>
      </c>
    </row>
    <row r="6340" s="76" customFormat="1" spans="1:6">
      <c r="A6340">
        <v>6547</v>
      </c>
      <c r="B6340">
        <v>362021260</v>
      </c>
      <c r="C6340" s="76">
        <v>2021</v>
      </c>
      <c r="D6340" s="76" t="s">
        <v>34</v>
      </c>
      <c r="E6340" s="76" t="s">
        <v>32</v>
      </c>
      <c r="F6340" s="76">
        <v>2.31</v>
      </c>
    </row>
    <row r="6341" s="76" customFormat="1" spans="1:6">
      <c r="A6341">
        <v>6543</v>
      </c>
      <c r="B6341">
        <v>362021260</v>
      </c>
      <c r="C6341" s="76">
        <v>2021</v>
      </c>
      <c r="D6341" s="76" t="s">
        <v>34</v>
      </c>
      <c r="E6341" s="76" t="s">
        <v>32</v>
      </c>
      <c r="F6341" s="76">
        <v>1.25</v>
      </c>
    </row>
    <row r="6342" s="76" customFormat="1" spans="1:6">
      <c r="A6342">
        <v>6542</v>
      </c>
      <c r="B6342">
        <v>362021260</v>
      </c>
      <c r="C6342" s="76">
        <v>2021</v>
      </c>
      <c r="D6342" s="76" t="s">
        <v>34</v>
      </c>
      <c r="E6342" s="76" t="s">
        <v>32</v>
      </c>
      <c r="F6342" s="76">
        <v>1.35</v>
      </c>
    </row>
    <row r="6343" s="76" customFormat="1" spans="1:6">
      <c r="A6343">
        <v>6556</v>
      </c>
      <c r="B6343">
        <v>362021270</v>
      </c>
      <c r="C6343" s="76">
        <v>2021</v>
      </c>
      <c r="D6343" s="76" t="s">
        <v>31</v>
      </c>
      <c r="E6343" s="76" t="s">
        <v>32</v>
      </c>
      <c r="F6343" s="76">
        <v>42.54</v>
      </c>
    </row>
    <row r="6344" s="76" customFormat="1" spans="1:6">
      <c r="A6344">
        <v>6554</v>
      </c>
      <c r="B6344">
        <v>362021270</v>
      </c>
      <c r="C6344" s="76">
        <v>2021</v>
      </c>
      <c r="D6344" s="76" t="s">
        <v>31</v>
      </c>
      <c r="E6344" s="76" t="s">
        <v>32</v>
      </c>
      <c r="F6344" s="76">
        <v>10</v>
      </c>
    </row>
    <row r="6345" s="76" customFormat="1" spans="1:6">
      <c r="A6345">
        <v>6550</v>
      </c>
      <c r="B6345">
        <v>362021270</v>
      </c>
      <c r="C6345" s="76">
        <v>2021</v>
      </c>
      <c r="D6345" s="76" t="s">
        <v>31</v>
      </c>
      <c r="E6345" s="76">
        <v>1</v>
      </c>
      <c r="F6345" s="76">
        <v>4</v>
      </c>
    </row>
    <row r="6346" s="76" customFormat="1" spans="1:6">
      <c r="A6346">
        <v>6553</v>
      </c>
      <c r="B6346">
        <v>362021270</v>
      </c>
      <c r="C6346" s="76">
        <v>2021</v>
      </c>
      <c r="D6346" s="76" t="s">
        <v>31</v>
      </c>
      <c r="E6346" s="76" t="s">
        <v>32</v>
      </c>
      <c r="F6346" s="76">
        <v>12</v>
      </c>
    </row>
    <row r="6347" s="76" customFormat="1" spans="1:6">
      <c r="A6347">
        <v>6552</v>
      </c>
      <c r="B6347">
        <v>362021270</v>
      </c>
      <c r="C6347" s="76">
        <v>2021</v>
      </c>
      <c r="D6347" s="76" t="s">
        <v>31</v>
      </c>
      <c r="E6347" s="76" t="s">
        <v>32</v>
      </c>
      <c r="F6347" s="76">
        <v>1.5</v>
      </c>
    </row>
    <row r="6348" s="76" customFormat="1" spans="1:6">
      <c r="A6348">
        <v>6548</v>
      </c>
      <c r="B6348">
        <v>362021270</v>
      </c>
      <c r="C6348" s="76">
        <v>2021</v>
      </c>
      <c r="D6348" s="76" t="s">
        <v>31</v>
      </c>
      <c r="E6348" s="76" t="s">
        <v>32</v>
      </c>
      <c r="F6348" s="76">
        <v>7</v>
      </c>
    </row>
    <row r="6349" s="76" customFormat="1" spans="1:6">
      <c r="A6349">
        <v>6551</v>
      </c>
      <c r="B6349">
        <v>362021270</v>
      </c>
      <c r="C6349" s="76">
        <v>2021</v>
      </c>
      <c r="D6349" s="76" t="s">
        <v>31</v>
      </c>
      <c r="E6349" s="76" t="s">
        <v>32</v>
      </c>
      <c r="F6349" s="76">
        <v>17</v>
      </c>
    </row>
    <row r="6350" s="76" customFormat="1" spans="1:6">
      <c r="A6350">
        <v>6557</v>
      </c>
      <c r="B6350">
        <v>362021270</v>
      </c>
      <c r="C6350" s="76">
        <v>2021</v>
      </c>
      <c r="D6350" s="76" t="s">
        <v>31</v>
      </c>
      <c r="E6350" s="76" t="s">
        <v>32</v>
      </c>
      <c r="F6350" s="76">
        <v>33</v>
      </c>
    </row>
    <row r="6351" s="76" customFormat="1" spans="1:6">
      <c r="A6351">
        <v>6549</v>
      </c>
      <c r="B6351">
        <v>362021270</v>
      </c>
      <c r="C6351" s="76">
        <v>2021</v>
      </c>
      <c r="D6351" s="76" t="s">
        <v>31</v>
      </c>
      <c r="E6351" s="76" t="s">
        <v>32</v>
      </c>
      <c r="F6351" s="76">
        <v>3</v>
      </c>
    </row>
    <row r="6352" s="76" customFormat="1" spans="1:6">
      <c r="A6352">
        <v>6555</v>
      </c>
      <c r="B6352">
        <v>362021270</v>
      </c>
      <c r="C6352" s="76">
        <v>2021</v>
      </c>
      <c r="D6352" s="76" t="s">
        <v>31</v>
      </c>
      <c r="E6352" s="76" t="s">
        <v>32</v>
      </c>
      <c r="F6352" s="76">
        <v>5.22</v>
      </c>
    </row>
    <row r="6353" s="76" customFormat="1" spans="1:6">
      <c r="A6353">
        <v>6562</v>
      </c>
      <c r="B6353">
        <v>372012110</v>
      </c>
      <c r="C6353">
        <v>2012</v>
      </c>
      <c r="D6353" t="s">
        <v>40</v>
      </c>
      <c r="E6353">
        <v>7</v>
      </c>
      <c r="F6353">
        <v>0.07</v>
      </c>
    </row>
    <row r="6354" s="76" customFormat="1" spans="1:6">
      <c r="A6354">
        <v>6561</v>
      </c>
      <c r="B6354">
        <v>372012110</v>
      </c>
      <c r="C6354">
        <v>2012</v>
      </c>
      <c r="D6354" t="s">
        <v>40</v>
      </c>
      <c r="E6354">
        <v>3</v>
      </c>
      <c r="F6354">
        <v>0.09</v>
      </c>
    </row>
    <row r="6355" s="76" customFormat="1" spans="1:6">
      <c r="A6355">
        <v>6560</v>
      </c>
      <c r="B6355">
        <v>372012110</v>
      </c>
      <c r="C6355">
        <v>2012</v>
      </c>
      <c r="D6355" t="s">
        <v>40</v>
      </c>
      <c r="E6355">
        <v>5</v>
      </c>
      <c r="F6355">
        <v>0.12</v>
      </c>
    </row>
    <row r="6356" s="76" customFormat="1" spans="1:6">
      <c r="A6356">
        <v>6558</v>
      </c>
      <c r="B6356">
        <v>372012110</v>
      </c>
      <c r="C6356">
        <v>2012</v>
      </c>
      <c r="D6356" t="s">
        <v>40</v>
      </c>
      <c r="E6356">
        <v>7</v>
      </c>
      <c r="F6356">
        <v>0.37</v>
      </c>
    </row>
    <row r="6357" s="76" customFormat="1" spans="1:6">
      <c r="A6357">
        <v>6559</v>
      </c>
      <c r="B6357">
        <v>372012110</v>
      </c>
      <c r="C6357">
        <v>2012</v>
      </c>
      <c r="D6357" t="s">
        <v>40</v>
      </c>
      <c r="E6357">
        <v>1</v>
      </c>
      <c r="F6357">
        <v>0.03</v>
      </c>
    </row>
    <row r="6358" s="76" customFormat="1" spans="1:6">
      <c r="A6358">
        <v>6563</v>
      </c>
      <c r="B6358">
        <v>372012211</v>
      </c>
      <c r="C6358">
        <v>2012</v>
      </c>
      <c r="D6358" t="s">
        <v>37</v>
      </c>
      <c r="E6358">
        <v>1</v>
      </c>
      <c r="F6358">
        <v>30</v>
      </c>
    </row>
    <row r="6359" s="76" customFormat="1" spans="1:6">
      <c r="A6359">
        <v>6566</v>
      </c>
      <c r="B6359">
        <v>372012211</v>
      </c>
      <c r="C6359">
        <v>2012</v>
      </c>
      <c r="D6359" t="s">
        <v>37</v>
      </c>
      <c r="E6359">
        <v>1</v>
      </c>
      <c r="F6359">
        <v>35</v>
      </c>
    </row>
    <row r="6360" s="76" customFormat="1" spans="1:6">
      <c r="A6360">
        <v>6564</v>
      </c>
      <c r="B6360">
        <v>372012211</v>
      </c>
      <c r="C6360">
        <v>2012</v>
      </c>
      <c r="D6360" t="s">
        <v>37</v>
      </c>
      <c r="E6360">
        <v>3</v>
      </c>
      <c r="F6360">
        <v>23</v>
      </c>
    </row>
    <row r="6361" s="76" customFormat="1" spans="1:6">
      <c r="A6361">
        <v>6568</v>
      </c>
      <c r="B6361">
        <v>372012211</v>
      </c>
      <c r="C6361">
        <v>2012</v>
      </c>
      <c r="D6361" t="s">
        <v>37</v>
      </c>
      <c r="E6361">
        <v>2</v>
      </c>
      <c r="F6361">
        <v>200</v>
      </c>
    </row>
    <row r="6362" s="76" customFormat="1" spans="1:6">
      <c r="A6362">
        <v>6565</v>
      </c>
      <c r="B6362">
        <v>372012211</v>
      </c>
      <c r="C6362">
        <v>2012</v>
      </c>
      <c r="D6362" t="s">
        <v>37</v>
      </c>
      <c r="E6362">
        <v>1</v>
      </c>
      <c r="F6362">
        <v>15.5</v>
      </c>
    </row>
    <row r="6363" s="76" customFormat="1" spans="1:6">
      <c r="A6363">
        <v>6567</v>
      </c>
      <c r="B6363">
        <v>372012211</v>
      </c>
      <c r="C6363">
        <v>2012</v>
      </c>
      <c r="D6363" t="s">
        <v>37</v>
      </c>
      <c r="E6363">
        <v>1</v>
      </c>
      <c r="F6363">
        <v>33</v>
      </c>
    </row>
    <row r="6364" s="76" customFormat="1" spans="1:6">
      <c r="A6364">
        <v>6569</v>
      </c>
      <c r="B6364">
        <v>372012223</v>
      </c>
      <c r="C6364">
        <v>2012</v>
      </c>
      <c r="D6364" t="s">
        <v>36</v>
      </c>
      <c r="E6364">
        <v>2</v>
      </c>
      <c r="F6364">
        <v>0.4</v>
      </c>
    </row>
    <row r="6365" s="76" customFormat="1" spans="1:6">
      <c r="A6365">
        <v>6570</v>
      </c>
      <c r="B6365">
        <v>372012241</v>
      </c>
      <c r="C6365">
        <v>2012</v>
      </c>
      <c r="D6365" t="s">
        <v>33</v>
      </c>
      <c r="E6365">
        <v>1</v>
      </c>
      <c r="F6365">
        <v>1.2</v>
      </c>
    </row>
    <row r="6366" s="76" customFormat="1" spans="1:6">
      <c r="A6366">
        <v>6583</v>
      </c>
      <c r="B6366">
        <v>372012241</v>
      </c>
      <c r="C6366">
        <v>2012</v>
      </c>
      <c r="D6366" t="s">
        <v>33</v>
      </c>
      <c r="E6366">
        <v>1</v>
      </c>
      <c r="F6366">
        <v>0.6</v>
      </c>
    </row>
    <row r="6367" s="76" customFormat="1" spans="1:6">
      <c r="A6367">
        <v>6579</v>
      </c>
      <c r="B6367">
        <v>372012241</v>
      </c>
      <c r="C6367">
        <v>2012</v>
      </c>
      <c r="D6367" t="s">
        <v>33</v>
      </c>
      <c r="E6367">
        <v>1</v>
      </c>
      <c r="F6367">
        <v>1.2</v>
      </c>
    </row>
    <row r="6368" s="76" customFormat="1" spans="1:6">
      <c r="A6368">
        <v>6588</v>
      </c>
      <c r="B6368">
        <v>372012241</v>
      </c>
      <c r="C6368">
        <v>2012</v>
      </c>
      <c r="D6368" t="s">
        <v>33</v>
      </c>
      <c r="E6368">
        <v>1</v>
      </c>
      <c r="F6368">
        <v>2.4</v>
      </c>
    </row>
    <row r="6369" s="76" customFormat="1" spans="1:6">
      <c r="A6369">
        <v>6589</v>
      </c>
      <c r="B6369">
        <v>372012241</v>
      </c>
      <c r="C6369">
        <v>2012</v>
      </c>
      <c r="D6369" t="s">
        <v>33</v>
      </c>
      <c r="E6369">
        <v>1</v>
      </c>
      <c r="F6369">
        <v>1.5</v>
      </c>
    </row>
    <row r="6370" s="76" customFormat="1" spans="1:6">
      <c r="A6370">
        <v>6575</v>
      </c>
      <c r="B6370">
        <v>372012241</v>
      </c>
      <c r="C6370">
        <v>2012</v>
      </c>
      <c r="D6370" t="s">
        <v>33</v>
      </c>
      <c r="E6370">
        <v>1</v>
      </c>
      <c r="F6370">
        <v>2.5</v>
      </c>
    </row>
    <row r="6371" s="76" customFormat="1" spans="1:6">
      <c r="A6371">
        <v>6582</v>
      </c>
      <c r="B6371">
        <v>372012241</v>
      </c>
      <c r="C6371">
        <v>2012</v>
      </c>
      <c r="D6371" t="s">
        <v>33</v>
      </c>
      <c r="E6371">
        <v>1</v>
      </c>
      <c r="F6371">
        <v>0.9</v>
      </c>
    </row>
    <row r="6372" s="76" customFormat="1" spans="1:6">
      <c r="A6372">
        <v>6573</v>
      </c>
      <c r="B6372">
        <v>372012241</v>
      </c>
      <c r="C6372">
        <v>2012</v>
      </c>
      <c r="D6372" t="s">
        <v>33</v>
      </c>
      <c r="E6372">
        <v>1</v>
      </c>
      <c r="F6372">
        <v>4</v>
      </c>
    </row>
    <row r="6373" s="76" customFormat="1" spans="1:6">
      <c r="A6373">
        <v>6578</v>
      </c>
      <c r="B6373">
        <v>372012241</v>
      </c>
      <c r="C6373">
        <v>2012</v>
      </c>
      <c r="D6373" t="s">
        <v>33</v>
      </c>
      <c r="E6373">
        <v>1</v>
      </c>
      <c r="F6373">
        <v>1.2</v>
      </c>
    </row>
    <row r="6374" s="76" customFormat="1" spans="1:6">
      <c r="A6374">
        <v>6587</v>
      </c>
      <c r="B6374">
        <v>372012241</v>
      </c>
      <c r="C6374">
        <v>2012</v>
      </c>
      <c r="D6374" t="s">
        <v>33</v>
      </c>
      <c r="E6374">
        <v>1</v>
      </c>
      <c r="F6374">
        <v>0.5</v>
      </c>
    </row>
    <row r="6375" s="76" customFormat="1" spans="1:6">
      <c r="A6375">
        <v>6581</v>
      </c>
      <c r="B6375">
        <v>372012241</v>
      </c>
      <c r="C6375">
        <v>2012</v>
      </c>
      <c r="D6375" t="s">
        <v>33</v>
      </c>
      <c r="E6375">
        <v>1</v>
      </c>
      <c r="F6375">
        <v>1.2</v>
      </c>
    </row>
    <row r="6376" s="76" customFormat="1" spans="1:6">
      <c r="A6376">
        <v>6577</v>
      </c>
      <c r="B6376">
        <v>372012241</v>
      </c>
      <c r="C6376">
        <v>2012</v>
      </c>
      <c r="D6376" t="s">
        <v>33</v>
      </c>
      <c r="E6376">
        <v>1</v>
      </c>
      <c r="F6376">
        <v>1.2</v>
      </c>
    </row>
    <row r="6377" s="76" customFormat="1" spans="1:6">
      <c r="A6377">
        <v>6576</v>
      </c>
      <c r="B6377">
        <v>372012241</v>
      </c>
      <c r="C6377">
        <v>2012</v>
      </c>
      <c r="D6377" t="s">
        <v>33</v>
      </c>
      <c r="E6377">
        <v>2</v>
      </c>
      <c r="F6377">
        <v>1.3</v>
      </c>
    </row>
    <row r="6378" s="76" customFormat="1" spans="1:6">
      <c r="A6378">
        <v>6580</v>
      </c>
      <c r="B6378">
        <v>372012241</v>
      </c>
      <c r="C6378">
        <v>2012</v>
      </c>
      <c r="D6378" t="s">
        <v>33</v>
      </c>
      <c r="E6378">
        <v>1</v>
      </c>
      <c r="F6378">
        <v>1.2</v>
      </c>
    </row>
    <row r="6379" s="76" customFormat="1" spans="1:6">
      <c r="A6379">
        <v>6584</v>
      </c>
      <c r="B6379">
        <v>372012241</v>
      </c>
      <c r="C6379">
        <v>2012</v>
      </c>
      <c r="D6379" t="s">
        <v>33</v>
      </c>
      <c r="E6379">
        <v>1</v>
      </c>
      <c r="F6379">
        <v>0.6</v>
      </c>
    </row>
    <row r="6380" s="76" customFormat="1" spans="1:6">
      <c r="A6380">
        <v>6585</v>
      </c>
      <c r="B6380">
        <v>372012241</v>
      </c>
      <c r="C6380">
        <v>2012</v>
      </c>
      <c r="D6380" t="s">
        <v>33</v>
      </c>
      <c r="E6380">
        <v>1</v>
      </c>
      <c r="F6380">
        <v>0.6</v>
      </c>
    </row>
    <row r="6381" s="76" customFormat="1" spans="1:6">
      <c r="A6381">
        <v>6586</v>
      </c>
      <c r="B6381">
        <v>372012241</v>
      </c>
      <c r="C6381">
        <v>2012</v>
      </c>
      <c r="D6381" t="s">
        <v>33</v>
      </c>
      <c r="E6381">
        <v>1</v>
      </c>
      <c r="F6381">
        <v>0.6</v>
      </c>
    </row>
    <row r="6382" s="76" customFormat="1" spans="1:6">
      <c r="A6382">
        <v>6571</v>
      </c>
      <c r="B6382">
        <v>372012241</v>
      </c>
      <c r="C6382">
        <v>2012</v>
      </c>
      <c r="D6382" t="s">
        <v>33</v>
      </c>
      <c r="E6382">
        <v>1</v>
      </c>
      <c r="F6382">
        <v>1.5</v>
      </c>
    </row>
    <row r="6383" s="76" customFormat="1" spans="1:6">
      <c r="A6383">
        <v>6572</v>
      </c>
      <c r="B6383">
        <v>372012241</v>
      </c>
      <c r="C6383">
        <v>2012</v>
      </c>
      <c r="D6383" t="s">
        <v>33</v>
      </c>
      <c r="E6383">
        <v>1</v>
      </c>
      <c r="F6383">
        <v>4.5</v>
      </c>
    </row>
    <row r="6384" s="76" customFormat="1" spans="1:6">
      <c r="A6384">
        <v>6574</v>
      </c>
      <c r="B6384">
        <v>372012241</v>
      </c>
      <c r="C6384">
        <v>2012</v>
      </c>
      <c r="D6384" t="s">
        <v>33</v>
      </c>
      <c r="E6384">
        <v>1</v>
      </c>
      <c r="F6384">
        <v>0.3</v>
      </c>
    </row>
    <row r="6385" s="76" customFormat="1" spans="1:6">
      <c r="A6385">
        <v>6592</v>
      </c>
      <c r="B6385">
        <v>372012242</v>
      </c>
      <c r="C6385">
        <v>2012</v>
      </c>
      <c r="D6385" t="s">
        <v>35</v>
      </c>
      <c r="E6385">
        <v>1</v>
      </c>
      <c r="F6385">
        <v>1.5</v>
      </c>
    </row>
    <row r="6386" s="76" customFormat="1" spans="1:6">
      <c r="A6386">
        <v>6590</v>
      </c>
      <c r="B6386">
        <v>372012242</v>
      </c>
      <c r="C6386">
        <v>2012</v>
      </c>
      <c r="D6386" t="s">
        <v>35</v>
      </c>
      <c r="E6386">
        <v>2</v>
      </c>
      <c r="F6386">
        <v>3</v>
      </c>
    </row>
    <row r="6387" s="76" customFormat="1" spans="1:6">
      <c r="A6387">
        <v>6591</v>
      </c>
      <c r="B6387">
        <v>372012242</v>
      </c>
      <c r="C6387">
        <v>2012</v>
      </c>
      <c r="D6387" t="s">
        <v>35</v>
      </c>
      <c r="E6387">
        <v>2</v>
      </c>
      <c r="F6387">
        <v>0.17</v>
      </c>
    </row>
    <row r="6388" s="76" customFormat="1" spans="1:6">
      <c r="A6388">
        <v>6593</v>
      </c>
      <c r="B6388">
        <v>372012242</v>
      </c>
      <c r="C6388">
        <v>2012</v>
      </c>
      <c r="D6388" t="s">
        <v>35</v>
      </c>
      <c r="E6388">
        <v>2</v>
      </c>
      <c r="F6388">
        <v>0.1</v>
      </c>
    </row>
    <row r="6389" s="76" customFormat="1" spans="1:6">
      <c r="A6389">
        <v>6598</v>
      </c>
      <c r="B6389">
        <v>372012243</v>
      </c>
      <c r="C6389">
        <v>2012</v>
      </c>
      <c r="D6389" t="s">
        <v>38</v>
      </c>
      <c r="E6389">
        <v>1</v>
      </c>
      <c r="F6389">
        <v>1.5</v>
      </c>
    </row>
    <row r="6390" s="76" customFormat="1" spans="1:6">
      <c r="A6390">
        <v>6595</v>
      </c>
      <c r="B6390">
        <v>372012243</v>
      </c>
      <c r="C6390">
        <v>2012</v>
      </c>
      <c r="D6390" t="s">
        <v>38</v>
      </c>
      <c r="E6390">
        <v>1</v>
      </c>
      <c r="F6390">
        <v>3</v>
      </c>
    </row>
    <row r="6391" s="76" customFormat="1" spans="1:6">
      <c r="A6391">
        <v>6597</v>
      </c>
      <c r="B6391">
        <v>372012243</v>
      </c>
      <c r="C6391">
        <v>2012</v>
      </c>
      <c r="D6391" t="s">
        <v>38</v>
      </c>
      <c r="E6391">
        <v>1</v>
      </c>
      <c r="F6391">
        <v>0.3</v>
      </c>
    </row>
    <row r="6392" s="76" customFormat="1" spans="1:6">
      <c r="A6392">
        <v>6594</v>
      </c>
      <c r="B6392">
        <v>372012243</v>
      </c>
      <c r="C6392">
        <v>2012</v>
      </c>
      <c r="D6392" t="s">
        <v>38</v>
      </c>
      <c r="E6392">
        <v>2</v>
      </c>
      <c r="F6392">
        <v>3</v>
      </c>
    </row>
    <row r="6393" s="76" customFormat="1" spans="1:6">
      <c r="A6393">
        <v>6596</v>
      </c>
      <c r="B6393">
        <v>372012243</v>
      </c>
      <c r="C6393">
        <v>2012</v>
      </c>
      <c r="D6393" t="s">
        <v>38</v>
      </c>
      <c r="E6393">
        <v>1</v>
      </c>
      <c r="F6393">
        <v>3</v>
      </c>
    </row>
    <row r="6394" s="76" customFormat="1" spans="1:6">
      <c r="A6394">
        <v>6616</v>
      </c>
      <c r="B6394">
        <v>372012260</v>
      </c>
      <c r="C6394">
        <v>2012</v>
      </c>
      <c r="D6394" t="s">
        <v>34</v>
      </c>
      <c r="E6394">
        <v>4</v>
      </c>
      <c r="F6394">
        <v>0.6</v>
      </c>
    </row>
    <row r="6395" s="76" customFormat="1" spans="1:6">
      <c r="A6395">
        <v>6618</v>
      </c>
      <c r="B6395">
        <v>372012260</v>
      </c>
      <c r="C6395">
        <v>2012</v>
      </c>
      <c r="D6395" t="s">
        <v>34</v>
      </c>
      <c r="E6395">
        <v>33</v>
      </c>
      <c r="F6395">
        <v>4.95</v>
      </c>
    </row>
    <row r="6396" s="76" customFormat="1" spans="1:6">
      <c r="A6396">
        <v>6623</v>
      </c>
      <c r="B6396">
        <v>372012260</v>
      </c>
      <c r="C6396">
        <v>2012</v>
      </c>
      <c r="D6396" t="s">
        <v>34</v>
      </c>
      <c r="E6396">
        <v>99</v>
      </c>
      <c r="F6396">
        <v>14.85</v>
      </c>
    </row>
    <row r="6397" s="76" customFormat="1" spans="1:6">
      <c r="A6397">
        <v>6622</v>
      </c>
      <c r="B6397">
        <v>372012260</v>
      </c>
      <c r="C6397">
        <v>2012</v>
      </c>
      <c r="D6397" t="s">
        <v>34</v>
      </c>
      <c r="E6397">
        <v>21</v>
      </c>
      <c r="F6397">
        <v>4.2</v>
      </c>
    </row>
    <row r="6398" s="76" customFormat="1" spans="1:6">
      <c r="A6398">
        <v>6613</v>
      </c>
      <c r="B6398">
        <v>372012260</v>
      </c>
      <c r="C6398">
        <v>2012</v>
      </c>
      <c r="D6398" t="s">
        <v>34</v>
      </c>
      <c r="E6398">
        <v>10</v>
      </c>
      <c r="F6398">
        <v>1.5</v>
      </c>
    </row>
    <row r="6399" s="76" customFormat="1" spans="1:6">
      <c r="A6399">
        <v>6606</v>
      </c>
      <c r="B6399">
        <v>372012260</v>
      </c>
      <c r="C6399">
        <v>2012</v>
      </c>
      <c r="D6399" t="s">
        <v>34</v>
      </c>
      <c r="E6399">
        <v>33</v>
      </c>
      <c r="F6399">
        <v>4.95</v>
      </c>
    </row>
    <row r="6400" s="76" customFormat="1" spans="1:6">
      <c r="A6400">
        <v>6605</v>
      </c>
      <c r="B6400">
        <v>372012260</v>
      </c>
      <c r="C6400">
        <v>2012</v>
      </c>
      <c r="D6400" t="s">
        <v>34</v>
      </c>
      <c r="E6400">
        <v>33</v>
      </c>
      <c r="F6400">
        <v>4.95</v>
      </c>
    </row>
    <row r="6401" s="76" customFormat="1" spans="1:6">
      <c r="A6401">
        <v>6609</v>
      </c>
      <c r="B6401">
        <v>372012260</v>
      </c>
      <c r="C6401">
        <v>2012</v>
      </c>
      <c r="D6401" t="s">
        <v>34</v>
      </c>
      <c r="E6401">
        <v>33</v>
      </c>
      <c r="F6401">
        <v>4.95</v>
      </c>
    </row>
    <row r="6402" s="76" customFormat="1" spans="1:6">
      <c r="A6402">
        <v>6607</v>
      </c>
      <c r="B6402">
        <v>372012260</v>
      </c>
      <c r="C6402">
        <v>2012</v>
      </c>
      <c r="D6402" t="s">
        <v>34</v>
      </c>
      <c r="E6402">
        <v>33</v>
      </c>
      <c r="F6402">
        <v>4.95</v>
      </c>
    </row>
    <row r="6403" s="76" customFormat="1" spans="1:6">
      <c r="A6403">
        <v>6608</v>
      </c>
      <c r="B6403">
        <v>372012260</v>
      </c>
      <c r="C6403">
        <v>2012</v>
      </c>
      <c r="D6403" t="s">
        <v>34</v>
      </c>
      <c r="E6403">
        <v>33</v>
      </c>
      <c r="F6403">
        <v>4.95</v>
      </c>
    </row>
    <row r="6404" s="76" customFormat="1" spans="1:6">
      <c r="A6404">
        <v>6629</v>
      </c>
      <c r="B6404">
        <v>372012260</v>
      </c>
      <c r="C6404">
        <v>2012</v>
      </c>
      <c r="D6404" t="s">
        <v>34</v>
      </c>
      <c r="E6404">
        <v>3</v>
      </c>
      <c r="F6404">
        <v>0.02</v>
      </c>
    </row>
    <row r="6405" s="76" customFormat="1" spans="1:6">
      <c r="A6405">
        <v>6625</v>
      </c>
      <c r="B6405">
        <v>372012260</v>
      </c>
      <c r="C6405">
        <v>2012</v>
      </c>
      <c r="D6405" t="s">
        <v>34</v>
      </c>
      <c r="E6405">
        <v>20</v>
      </c>
      <c r="F6405">
        <v>4.95</v>
      </c>
    </row>
    <row r="6406" s="76" customFormat="1" spans="1:6">
      <c r="A6406">
        <v>6628</v>
      </c>
      <c r="B6406">
        <v>372012260</v>
      </c>
      <c r="C6406">
        <v>2012</v>
      </c>
      <c r="D6406" t="s">
        <v>34</v>
      </c>
      <c r="E6406">
        <v>5</v>
      </c>
      <c r="F6406">
        <v>0.98</v>
      </c>
    </row>
    <row r="6407" s="76" customFormat="1" spans="1:6">
      <c r="A6407">
        <v>6619</v>
      </c>
      <c r="B6407">
        <v>372012260</v>
      </c>
      <c r="C6407">
        <v>2012</v>
      </c>
      <c r="D6407" t="s">
        <v>34</v>
      </c>
      <c r="E6407">
        <v>25</v>
      </c>
      <c r="F6407">
        <v>4.98</v>
      </c>
    </row>
    <row r="6408" s="76" customFormat="1" spans="1:6">
      <c r="A6408">
        <v>6620</v>
      </c>
      <c r="B6408">
        <v>372012260</v>
      </c>
      <c r="C6408">
        <v>2012</v>
      </c>
      <c r="D6408" t="s">
        <v>34</v>
      </c>
      <c r="E6408">
        <v>25</v>
      </c>
      <c r="F6408">
        <v>4.98</v>
      </c>
    </row>
    <row r="6409" s="76" customFormat="1" spans="1:6">
      <c r="A6409">
        <v>6614</v>
      </c>
      <c r="B6409">
        <v>372012260</v>
      </c>
      <c r="C6409">
        <v>2012</v>
      </c>
      <c r="D6409" t="s">
        <v>34</v>
      </c>
      <c r="E6409">
        <v>20</v>
      </c>
      <c r="F6409">
        <v>5</v>
      </c>
    </row>
    <row r="6410" s="76" customFormat="1" spans="1:6">
      <c r="A6410">
        <v>6624</v>
      </c>
      <c r="B6410">
        <v>372012260</v>
      </c>
      <c r="C6410">
        <v>2012</v>
      </c>
      <c r="D6410" t="s">
        <v>34</v>
      </c>
      <c r="E6410">
        <v>33</v>
      </c>
      <c r="F6410">
        <v>4.95</v>
      </c>
    </row>
    <row r="6411" s="76" customFormat="1" spans="1:6">
      <c r="A6411">
        <v>6604</v>
      </c>
      <c r="B6411">
        <v>372012260</v>
      </c>
      <c r="C6411">
        <v>2012</v>
      </c>
      <c r="D6411" t="s">
        <v>34</v>
      </c>
      <c r="E6411">
        <v>8</v>
      </c>
      <c r="F6411">
        <v>1.2</v>
      </c>
    </row>
    <row r="6412" s="76" customFormat="1" spans="1:6">
      <c r="A6412">
        <v>6627</v>
      </c>
      <c r="B6412">
        <v>372012260</v>
      </c>
      <c r="C6412">
        <v>2012</v>
      </c>
      <c r="D6412" t="s">
        <v>34</v>
      </c>
      <c r="E6412">
        <v>6</v>
      </c>
      <c r="F6412">
        <v>1.18</v>
      </c>
    </row>
    <row r="6413" s="76" customFormat="1" spans="1:6">
      <c r="A6413">
        <v>6610</v>
      </c>
      <c r="B6413">
        <v>372012260</v>
      </c>
      <c r="C6413">
        <v>2012</v>
      </c>
      <c r="D6413" t="s">
        <v>34</v>
      </c>
      <c r="E6413">
        <v>33</v>
      </c>
      <c r="F6413">
        <v>4.95</v>
      </c>
    </row>
    <row r="6414" s="76" customFormat="1" spans="1:6">
      <c r="A6414">
        <v>6599</v>
      </c>
      <c r="B6414">
        <v>372012260</v>
      </c>
      <c r="C6414">
        <v>2012</v>
      </c>
      <c r="D6414" t="s">
        <v>34</v>
      </c>
      <c r="E6414">
        <v>13</v>
      </c>
      <c r="F6414">
        <v>1.95</v>
      </c>
    </row>
    <row r="6415" s="76" customFormat="1" spans="1:6">
      <c r="A6415">
        <v>6601</v>
      </c>
      <c r="B6415">
        <v>372012260</v>
      </c>
      <c r="C6415">
        <v>2012</v>
      </c>
      <c r="D6415" t="s">
        <v>34</v>
      </c>
      <c r="E6415">
        <v>24</v>
      </c>
      <c r="F6415">
        <v>4.8</v>
      </c>
    </row>
    <row r="6416" s="76" customFormat="1" spans="1:6">
      <c r="A6416">
        <v>6600</v>
      </c>
      <c r="B6416">
        <v>372012260</v>
      </c>
      <c r="C6416">
        <v>2012</v>
      </c>
      <c r="D6416" t="s">
        <v>34</v>
      </c>
      <c r="E6416">
        <v>33</v>
      </c>
      <c r="F6416">
        <v>4.95</v>
      </c>
    </row>
    <row r="6417" s="76" customFormat="1" spans="1:6">
      <c r="A6417">
        <v>6602</v>
      </c>
      <c r="B6417">
        <v>372012260</v>
      </c>
      <c r="C6417">
        <v>2012</v>
      </c>
      <c r="D6417" t="s">
        <v>34</v>
      </c>
      <c r="E6417">
        <v>33</v>
      </c>
      <c r="F6417">
        <v>4.95</v>
      </c>
    </row>
    <row r="6418" s="76" customFormat="1" spans="1:6">
      <c r="A6418">
        <v>6615</v>
      </c>
      <c r="B6418">
        <v>372012260</v>
      </c>
      <c r="C6418">
        <v>2012</v>
      </c>
      <c r="D6418" t="s">
        <v>34</v>
      </c>
      <c r="E6418">
        <v>9</v>
      </c>
      <c r="F6418">
        <v>2.7</v>
      </c>
    </row>
    <row r="6419" s="76" customFormat="1" spans="1:6">
      <c r="A6419">
        <v>6603</v>
      </c>
      <c r="B6419">
        <v>372012260</v>
      </c>
      <c r="C6419">
        <v>2012</v>
      </c>
      <c r="D6419" t="s">
        <v>34</v>
      </c>
      <c r="E6419">
        <v>32</v>
      </c>
      <c r="F6419">
        <v>4.8</v>
      </c>
    </row>
    <row r="6420" s="76" customFormat="1" spans="1:6">
      <c r="A6420">
        <v>6617</v>
      </c>
      <c r="B6420">
        <v>372012260</v>
      </c>
      <c r="C6420">
        <v>2012</v>
      </c>
      <c r="D6420" t="s">
        <v>34</v>
      </c>
      <c r="E6420">
        <v>26</v>
      </c>
      <c r="F6420">
        <v>3.9</v>
      </c>
    </row>
    <row r="6421" s="76" customFormat="1" spans="1:6">
      <c r="A6421">
        <v>6612</v>
      </c>
      <c r="B6421">
        <v>372012260</v>
      </c>
      <c r="C6421">
        <v>2012</v>
      </c>
      <c r="D6421" t="s">
        <v>34</v>
      </c>
      <c r="E6421">
        <v>33</v>
      </c>
      <c r="F6421">
        <v>4.95</v>
      </c>
    </row>
    <row r="6422" s="76" customFormat="1" spans="1:6">
      <c r="A6422">
        <v>6611</v>
      </c>
      <c r="B6422">
        <v>372012260</v>
      </c>
      <c r="C6422">
        <v>2012</v>
      </c>
      <c r="D6422" t="s">
        <v>34</v>
      </c>
      <c r="E6422">
        <v>24</v>
      </c>
      <c r="F6422">
        <v>4.8</v>
      </c>
    </row>
    <row r="6423" s="76" customFormat="1" spans="1:6">
      <c r="A6423">
        <v>6626</v>
      </c>
      <c r="B6423">
        <v>372012260</v>
      </c>
      <c r="C6423">
        <v>2012</v>
      </c>
      <c r="D6423" t="s">
        <v>34</v>
      </c>
      <c r="E6423">
        <v>33</v>
      </c>
      <c r="F6423">
        <v>4.95</v>
      </c>
    </row>
    <row r="6424" s="76" customFormat="1" spans="1:6">
      <c r="A6424">
        <v>6621</v>
      </c>
      <c r="B6424">
        <v>372012260</v>
      </c>
      <c r="C6424">
        <v>2012</v>
      </c>
      <c r="D6424" t="s">
        <v>34</v>
      </c>
      <c r="E6424">
        <v>32</v>
      </c>
      <c r="F6424">
        <v>4.8</v>
      </c>
    </row>
    <row r="6425" s="76" customFormat="1" spans="1:6">
      <c r="A6425">
        <v>6635</v>
      </c>
      <c r="B6425">
        <v>372012270</v>
      </c>
      <c r="C6425">
        <v>2012</v>
      </c>
      <c r="D6425" t="s">
        <v>31</v>
      </c>
      <c r="E6425" t="s">
        <v>32</v>
      </c>
      <c r="F6425">
        <v>0.75</v>
      </c>
    </row>
    <row r="6426" s="76" customFormat="1" spans="1:6">
      <c r="A6426">
        <v>6634</v>
      </c>
      <c r="B6426">
        <v>372012270</v>
      </c>
      <c r="C6426">
        <v>2012</v>
      </c>
      <c r="D6426" t="s">
        <v>31</v>
      </c>
      <c r="E6426" t="s">
        <v>32</v>
      </c>
      <c r="F6426">
        <v>1</v>
      </c>
    </row>
    <row r="6427" s="76" customFormat="1" spans="1:6">
      <c r="A6427">
        <v>6632</v>
      </c>
      <c r="B6427">
        <v>372012270</v>
      </c>
      <c r="C6427">
        <v>2012</v>
      </c>
      <c r="D6427" t="s">
        <v>31</v>
      </c>
      <c r="E6427" t="s">
        <v>32</v>
      </c>
      <c r="F6427">
        <v>2</v>
      </c>
    </row>
    <row r="6428" s="76" customFormat="1" spans="1:6">
      <c r="A6428">
        <v>6631</v>
      </c>
      <c r="B6428">
        <v>372012270</v>
      </c>
      <c r="C6428">
        <v>2012</v>
      </c>
      <c r="D6428" t="s">
        <v>31</v>
      </c>
      <c r="E6428" t="s">
        <v>32</v>
      </c>
      <c r="F6428">
        <v>0.15</v>
      </c>
    </row>
    <row r="6429" s="76" customFormat="1" spans="1:6">
      <c r="A6429">
        <v>6633</v>
      </c>
      <c r="B6429">
        <v>372012270</v>
      </c>
      <c r="C6429">
        <v>2012</v>
      </c>
      <c r="D6429" t="s">
        <v>31</v>
      </c>
      <c r="E6429" t="s">
        <v>32</v>
      </c>
      <c r="F6429">
        <v>2</v>
      </c>
    </row>
    <row r="6430" s="76" customFormat="1" spans="1:6">
      <c r="A6430">
        <v>6630</v>
      </c>
      <c r="B6430">
        <v>372012270</v>
      </c>
      <c r="C6430">
        <v>2012</v>
      </c>
      <c r="D6430" t="s">
        <v>31</v>
      </c>
      <c r="E6430" t="s">
        <v>32</v>
      </c>
      <c r="F6430">
        <v>0.9</v>
      </c>
    </row>
    <row r="6431" s="76" customFormat="1" spans="1:6">
      <c r="A6431">
        <v>6639</v>
      </c>
      <c r="B6431">
        <v>372013211</v>
      </c>
      <c r="C6431">
        <v>2013</v>
      </c>
      <c r="D6431" t="s">
        <v>37</v>
      </c>
      <c r="E6431">
        <v>2</v>
      </c>
      <c r="F6431">
        <v>6</v>
      </c>
    </row>
    <row r="6432" s="76" customFormat="1" spans="1:6">
      <c r="A6432">
        <v>6638</v>
      </c>
      <c r="B6432">
        <v>372013211</v>
      </c>
      <c r="C6432">
        <v>2013</v>
      </c>
      <c r="D6432" t="s">
        <v>37</v>
      </c>
      <c r="E6432">
        <v>1</v>
      </c>
      <c r="F6432">
        <v>35</v>
      </c>
    </row>
    <row r="6433" s="76" customFormat="1" spans="1:6">
      <c r="A6433">
        <v>6640</v>
      </c>
      <c r="B6433">
        <v>372013211</v>
      </c>
      <c r="C6433">
        <v>2013</v>
      </c>
      <c r="D6433" t="s">
        <v>37</v>
      </c>
      <c r="E6433">
        <v>1</v>
      </c>
      <c r="F6433">
        <v>35</v>
      </c>
    </row>
    <row r="6434" s="76" customFormat="1" spans="1:6">
      <c r="A6434">
        <v>6636</v>
      </c>
      <c r="B6434">
        <v>372013211</v>
      </c>
      <c r="C6434">
        <v>2013</v>
      </c>
      <c r="D6434" t="s">
        <v>37</v>
      </c>
      <c r="E6434">
        <v>2</v>
      </c>
      <c r="F6434">
        <v>60</v>
      </c>
    </row>
    <row r="6435" s="76" customFormat="1" spans="1:6">
      <c r="A6435">
        <v>6637</v>
      </c>
      <c r="B6435">
        <v>372013211</v>
      </c>
      <c r="C6435">
        <v>2013</v>
      </c>
      <c r="D6435" t="s">
        <v>37</v>
      </c>
      <c r="E6435">
        <v>10</v>
      </c>
      <c r="F6435">
        <v>120</v>
      </c>
    </row>
    <row r="6436" s="76" customFormat="1" spans="1:6">
      <c r="A6436">
        <v>6641</v>
      </c>
      <c r="B6436">
        <v>372013211</v>
      </c>
      <c r="C6436">
        <v>2013</v>
      </c>
      <c r="D6436" t="s">
        <v>37</v>
      </c>
      <c r="E6436">
        <v>1</v>
      </c>
      <c r="F6436">
        <v>33</v>
      </c>
    </row>
    <row r="6437" s="76" customFormat="1" spans="1:6">
      <c r="A6437">
        <v>6642</v>
      </c>
      <c r="B6437">
        <v>372013212</v>
      </c>
      <c r="C6437">
        <v>2013</v>
      </c>
      <c r="D6437" t="s">
        <v>39</v>
      </c>
      <c r="E6437">
        <v>1</v>
      </c>
      <c r="F6437">
        <v>0.6</v>
      </c>
    </row>
    <row r="6438" s="76" customFormat="1" spans="1:6">
      <c r="A6438">
        <v>6645</v>
      </c>
      <c r="B6438">
        <v>372013241</v>
      </c>
      <c r="C6438">
        <v>2013</v>
      </c>
      <c r="D6438" t="s">
        <v>33</v>
      </c>
      <c r="E6438">
        <v>1</v>
      </c>
      <c r="F6438">
        <v>1.5</v>
      </c>
    </row>
    <row r="6439" s="76" customFormat="1" spans="1:6">
      <c r="A6439">
        <v>6653</v>
      </c>
      <c r="B6439">
        <v>372013241</v>
      </c>
      <c r="C6439">
        <v>2013</v>
      </c>
      <c r="D6439" t="s">
        <v>33</v>
      </c>
      <c r="E6439">
        <v>2</v>
      </c>
      <c r="F6439">
        <v>2</v>
      </c>
    </row>
    <row r="6440" s="76" customFormat="1" spans="1:6">
      <c r="A6440">
        <v>6643</v>
      </c>
      <c r="B6440">
        <v>372013241</v>
      </c>
      <c r="C6440">
        <v>2013</v>
      </c>
      <c r="D6440" t="s">
        <v>33</v>
      </c>
      <c r="E6440">
        <v>1</v>
      </c>
      <c r="F6440">
        <v>0.3</v>
      </c>
    </row>
    <row r="6441" s="76" customFormat="1" spans="1:6">
      <c r="A6441">
        <v>6644</v>
      </c>
      <c r="B6441">
        <v>372013241</v>
      </c>
      <c r="C6441">
        <v>2013</v>
      </c>
      <c r="D6441" t="s">
        <v>33</v>
      </c>
      <c r="E6441">
        <v>1</v>
      </c>
      <c r="F6441">
        <v>2.4</v>
      </c>
    </row>
    <row r="6442" s="76" customFormat="1" spans="1:6">
      <c r="A6442">
        <v>6648</v>
      </c>
      <c r="B6442">
        <v>372013241</v>
      </c>
      <c r="C6442">
        <v>2013</v>
      </c>
      <c r="D6442" t="s">
        <v>33</v>
      </c>
      <c r="E6442">
        <v>1</v>
      </c>
      <c r="F6442">
        <v>0.6</v>
      </c>
    </row>
    <row r="6443" s="76" customFormat="1" spans="1:6">
      <c r="A6443">
        <v>6651</v>
      </c>
      <c r="B6443">
        <v>372013241</v>
      </c>
      <c r="C6443">
        <v>2013</v>
      </c>
      <c r="D6443" t="s">
        <v>33</v>
      </c>
      <c r="E6443">
        <v>1</v>
      </c>
      <c r="F6443">
        <v>10.5</v>
      </c>
    </row>
    <row r="6444" s="76" customFormat="1" spans="1:6">
      <c r="A6444">
        <v>6652</v>
      </c>
      <c r="B6444">
        <v>372013241</v>
      </c>
      <c r="C6444">
        <v>2013</v>
      </c>
      <c r="D6444" t="s">
        <v>33</v>
      </c>
      <c r="E6444">
        <v>1</v>
      </c>
      <c r="F6444">
        <v>0.9</v>
      </c>
    </row>
    <row r="6445" s="76" customFormat="1" spans="1:6">
      <c r="A6445">
        <v>6650</v>
      </c>
      <c r="B6445">
        <v>372013241</v>
      </c>
      <c r="C6445">
        <v>2013</v>
      </c>
      <c r="D6445" t="s">
        <v>33</v>
      </c>
      <c r="E6445">
        <v>1</v>
      </c>
      <c r="F6445">
        <v>1.2</v>
      </c>
    </row>
    <row r="6446" s="76" customFormat="1" spans="1:6">
      <c r="A6446">
        <v>6646</v>
      </c>
      <c r="B6446">
        <v>372013241</v>
      </c>
      <c r="C6446">
        <v>2013</v>
      </c>
      <c r="D6446" t="s">
        <v>33</v>
      </c>
      <c r="E6446">
        <v>1</v>
      </c>
      <c r="F6446">
        <v>1.5</v>
      </c>
    </row>
    <row r="6447" s="76" customFormat="1" spans="1:6">
      <c r="A6447">
        <v>6647</v>
      </c>
      <c r="B6447">
        <v>372013241</v>
      </c>
      <c r="C6447">
        <v>2013</v>
      </c>
      <c r="D6447" t="s">
        <v>33</v>
      </c>
      <c r="E6447">
        <v>1</v>
      </c>
      <c r="F6447">
        <v>1.2</v>
      </c>
    </row>
    <row r="6448" s="76" customFormat="1" spans="1:6">
      <c r="A6448">
        <v>6649</v>
      </c>
      <c r="B6448">
        <v>372013241</v>
      </c>
      <c r="C6448">
        <v>2013</v>
      </c>
      <c r="D6448" t="s">
        <v>33</v>
      </c>
      <c r="E6448">
        <v>1</v>
      </c>
      <c r="F6448">
        <v>3</v>
      </c>
    </row>
    <row r="6449" s="76" customFormat="1" spans="1:6">
      <c r="A6449">
        <v>6655</v>
      </c>
      <c r="B6449">
        <v>372013242</v>
      </c>
      <c r="C6449">
        <v>2013</v>
      </c>
      <c r="D6449" t="s">
        <v>35</v>
      </c>
      <c r="E6449">
        <v>2</v>
      </c>
      <c r="F6449">
        <v>1.5</v>
      </c>
    </row>
    <row r="6450" s="76" customFormat="1" spans="1:6">
      <c r="A6450">
        <v>6657</v>
      </c>
      <c r="B6450">
        <v>372013242</v>
      </c>
      <c r="C6450">
        <v>2013</v>
      </c>
      <c r="D6450" t="s">
        <v>35</v>
      </c>
      <c r="E6450">
        <v>1</v>
      </c>
      <c r="F6450">
        <v>1.2</v>
      </c>
    </row>
    <row r="6451" s="76" customFormat="1" spans="1:6">
      <c r="A6451">
        <v>6654</v>
      </c>
      <c r="B6451">
        <v>372013242</v>
      </c>
      <c r="C6451">
        <v>2013</v>
      </c>
      <c r="D6451" t="s">
        <v>35</v>
      </c>
      <c r="E6451">
        <v>2</v>
      </c>
      <c r="F6451">
        <v>1.2</v>
      </c>
    </row>
    <row r="6452" s="76" customFormat="1" spans="1:6">
      <c r="A6452">
        <v>6656</v>
      </c>
      <c r="B6452">
        <v>372013242</v>
      </c>
      <c r="C6452">
        <v>2013</v>
      </c>
      <c r="D6452" t="s">
        <v>35</v>
      </c>
      <c r="E6452">
        <v>1</v>
      </c>
      <c r="F6452">
        <v>1.2</v>
      </c>
    </row>
    <row r="6453" s="76" customFormat="1" spans="1:6">
      <c r="A6453">
        <v>6661</v>
      </c>
      <c r="B6453">
        <v>372013243</v>
      </c>
      <c r="C6453">
        <v>2013</v>
      </c>
      <c r="D6453" t="s">
        <v>38</v>
      </c>
      <c r="E6453">
        <v>1</v>
      </c>
      <c r="F6453">
        <v>1.2</v>
      </c>
    </row>
    <row r="6454" s="76" customFormat="1" spans="1:6">
      <c r="A6454">
        <v>6659</v>
      </c>
      <c r="B6454">
        <v>372013243</v>
      </c>
      <c r="C6454">
        <v>2013</v>
      </c>
      <c r="D6454" t="s">
        <v>38</v>
      </c>
      <c r="E6454">
        <v>2</v>
      </c>
      <c r="F6454">
        <v>3</v>
      </c>
    </row>
    <row r="6455" s="76" customFormat="1" spans="1:6">
      <c r="A6455">
        <v>6663</v>
      </c>
      <c r="B6455">
        <v>372013243</v>
      </c>
      <c r="C6455">
        <v>2013</v>
      </c>
      <c r="D6455" t="s">
        <v>38</v>
      </c>
      <c r="E6455">
        <v>2</v>
      </c>
      <c r="F6455">
        <v>3</v>
      </c>
    </row>
    <row r="6456" s="76" customFormat="1" spans="1:6">
      <c r="A6456">
        <v>6664</v>
      </c>
      <c r="B6456">
        <v>372013243</v>
      </c>
      <c r="C6456">
        <v>2013</v>
      </c>
      <c r="D6456" t="s">
        <v>38</v>
      </c>
      <c r="E6456">
        <v>1</v>
      </c>
      <c r="F6456">
        <v>0.3</v>
      </c>
    </row>
    <row r="6457" s="76" customFormat="1" spans="1:6">
      <c r="A6457">
        <v>6658</v>
      </c>
      <c r="B6457">
        <v>372013243</v>
      </c>
      <c r="C6457">
        <v>2013</v>
      </c>
      <c r="D6457" t="s">
        <v>38</v>
      </c>
      <c r="E6457">
        <v>2</v>
      </c>
      <c r="F6457">
        <v>0.1</v>
      </c>
    </row>
    <row r="6458" s="76" customFormat="1" spans="1:6">
      <c r="A6458">
        <v>6662</v>
      </c>
      <c r="B6458">
        <v>372013243</v>
      </c>
      <c r="C6458">
        <v>2013</v>
      </c>
      <c r="D6458" t="s">
        <v>38</v>
      </c>
      <c r="E6458">
        <v>1</v>
      </c>
      <c r="F6458">
        <v>3</v>
      </c>
    </row>
    <row r="6459" s="76" customFormat="1" spans="1:6">
      <c r="A6459">
        <v>6660</v>
      </c>
      <c r="B6459">
        <v>372013243</v>
      </c>
      <c r="C6459">
        <v>2013</v>
      </c>
      <c r="D6459" t="s">
        <v>38</v>
      </c>
      <c r="E6459">
        <v>1</v>
      </c>
      <c r="F6459">
        <v>2.5</v>
      </c>
    </row>
    <row r="6460" s="76" customFormat="1" spans="1:6">
      <c r="A6460">
        <v>6674</v>
      </c>
      <c r="B6460">
        <v>372013260</v>
      </c>
      <c r="C6460">
        <v>2013</v>
      </c>
      <c r="D6460" t="s">
        <v>34</v>
      </c>
      <c r="E6460">
        <v>7</v>
      </c>
      <c r="F6460">
        <v>1.05</v>
      </c>
    </row>
    <row r="6461" s="76" customFormat="1" spans="1:6">
      <c r="A6461">
        <v>6683</v>
      </c>
      <c r="B6461">
        <v>372013260</v>
      </c>
      <c r="C6461">
        <v>2013</v>
      </c>
      <c r="D6461" t="s">
        <v>34</v>
      </c>
      <c r="E6461">
        <v>33</v>
      </c>
      <c r="F6461">
        <v>4.95</v>
      </c>
    </row>
    <row r="6462" s="76" customFormat="1" spans="1:6">
      <c r="A6462">
        <v>6687</v>
      </c>
      <c r="B6462">
        <v>372013260</v>
      </c>
      <c r="C6462">
        <v>2013</v>
      </c>
      <c r="D6462" t="s">
        <v>34</v>
      </c>
      <c r="E6462">
        <v>66</v>
      </c>
      <c r="F6462">
        <v>9.9</v>
      </c>
    </row>
    <row r="6463" s="76" customFormat="1" spans="1:6">
      <c r="A6463">
        <v>6685</v>
      </c>
      <c r="B6463">
        <v>372013260</v>
      </c>
      <c r="C6463">
        <v>2013</v>
      </c>
      <c r="D6463" t="s">
        <v>34</v>
      </c>
      <c r="E6463">
        <v>1</v>
      </c>
      <c r="F6463">
        <v>0.18</v>
      </c>
    </row>
    <row r="6464" s="76" customFormat="1" spans="1:6">
      <c r="A6464">
        <v>6684</v>
      </c>
      <c r="B6464">
        <v>372013260</v>
      </c>
      <c r="C6464">
        <v>2013</v>
      </c>
      <c r="D6464" t="s">
        <v>34</v>
      </c>
      <c r="E6464">
        <v>37</v>
      </c>
      <c r="F6464">
        <v>5.55</v>
      </c>
    </row>
    <row r="6465" s="76" customFormat="1" spans="1:6">
      <c r="A6465">
        <v>6669</v>
      </c>
      <c r="B6465">
        <v>372013260</v>
      </c>
      <c r="C6465">
        <v>2013</v>
      </c>
      <c r="D6465" t="s">
        <v>34</v>
      </c>
      <c r="E6465">
        <v>14</v>
      </c>
      <c r="F6465">
        <v>2.1</v>
      </c>
    </row>
    <row r="6466" s="76" customFormat="1" spans="1:6">
      <c r="A6466">
        <v>6668</v>
      </c>
      <c r="B6466">
        <v>372013260</v>
      </c>
      <c r="C6466">
        <v>2013</v>
      </c>
      <c r="D6466" t="s">
        <v>34</v>
      </c>
      <c r="E6466">
        <v>33</v>
      </c>
      <c r="F6466">
        <v>4.95</v>
      </c>
    </row>
    <row r="6467" s="76" customFormat="1" spans="1:6">
      <c r="A6467">
        <v>6667</v>
      </c>
      <c r="B6467">
        <v>372013260</v>
      </c>
      <c r="C6467">
        <v>2013</v>
      </c>
      <c r="D6467" t="s">
        <v>34</v>
      </c>
      <c r="E6467">
        <v>33</v>
      </c>
      <c r="F6467">
        <v>4.95</v>
      </c>
    </row>
    <row r="6468" s="76" customFormat="1" spans="1:6">
      <c r="A6468">
        <v>6688</v>
      </c>
      <c r="B6468">
        <v>372013260</v>
      </c>
      <c r="C6468">
        <v>2013</v>
      </c>
      <c r="D6468" t="s">
        <v>34</v>
      </c>
      <c r="E6468">
        <v>58</v>
      </c>
      <c r="F6468">
        <v>4.93</v>
      </c>
    </row>
    <row r="6469" s="76" customFormat="1" spans="1:6">
      <c r="A6469">
        <v>6686</v>
      </c>
      <c r="B6469">
        <v>372013260</v>
      </c>
      <c r="C6469">
        <v>2013</v>
      </c>
      <c r="D6469" t="s">
        <v>34</v>
      </c>
      <c r="E6469">
        <v>20</v>
      </c>
      <c r="F6469">
        <v>4.95</v>
      </c>
    </row>
    <row r="6470" s="76" customFormat="1" spans="1:6">
      <c r="A6470">
        <v>6670</v>
      </c>
      <c r="B6470">
        <v>372013260</v>
      </c>
      <c r="C6470">
        <v>2013</v>
      </c>
      <c r="D6470" t="s">
        <v>34</v>
      </c>
      <c r="E6470">
        <v>33</v>
      </c>
      <c r="F6470">
        <v>4.95</v>
      </c>
    </row>
    <row r="6471" s="76" customFormat="1" spans="1:6">
      <c r="A6471">
        <v>6671</v>
      </c>
      <c r="B6471">
        <v>372013260</v>
      </c>
      <c r="C6471">
        <v>2013</v>
      </c>
      <c r="D6471" t="s">
        <v>34</v>
      </c>
      <c r="E6471">
        <v>33</v>
      </c>
      <c r="F6471">
        <v>4.95</v>
      </c>
    </row>
    <row r="6472" s="76" customFormat="1" spans="1:6">
      <c r="A6472">
        <v>6677</v>
      </c>
      <c r="B6472">
        <v>372013260</v>
      </c>
      <c r="C6472">
        <v>2013</v>
      </c>
      <c r="D6472" t="s">
        <v>34</v>
      </c>
      <c r="E6472">
        <v>33</v>
      </c>
      <c r="F6472">
        <v>4.95</v>
      </c>
    </row>
    <row r="6473" s="76" customFormat="1" spans="1:6">
      <c r="A6473">
        <v>6681</v>
      </c>
      <c r="B6473">
        <v>372013260</v>
      </c>
      <c r="C6473">
        <v>2013</v>
      </c>
      <c r="D6473" t="s">
        <v>34</v>
      </c>
      <c r="E6473">
        <v>25</v>
      </c>
      <c r="F6473">
        <v>4.98</v>
      </c>
    </row>
    <row r="6474" s="76" customFormat="1" spans="1:6">
      <c r="A6474">
        <v>6682</v>
      </c>
      <c r="B6474">
        <v>372013260</v>
      </c>
      <c r="C6474">
        <v>2013</v>
      </c>
      <c r="D6474" t="s">
        <v>34</v>
      </c>
      <c r="E6474">
        <v>25</v>
      </c>
      <c r="F6474">
        <v>4.98</v>
      </c>
    </row>
    <row r="6475" s="76" customFormat="1" spans="1:6">
      <c r="A6475">
        <v>6691</v>
      </c>
      <c r="B6475">
        <v>372013260</v>
      </c>
      <c r="C6475">
        <v>2013</v>
      </c>
      <c r="D6475" t="s">
        <v>34</v>
      </c>
      <c r="E6475">
        <v>33</v>
      </c>
      <c r="F6475">
        <v>4.95</v>
      </c>
    </row>
    <row r="6476" s="76" customFormat="1" spans="1:6">
      <c r="A6476">
        <v>6692</v>
      </c>
      <c r="B6476">
        <v>372013260</v>
      </c>
      <c r="C6476">
        <v>2013</v>
      </c>
      <c r="D6476" t="s">
        <v>34</v>
      </c>
      <c r="E6476">
        <v>20</v>
      </c>
      <c r="F6476">
        <v>3</v>
      </c>
    </row>
    <row r="6477" s="76" customFormat="1" spans="1:6">
      <c r="A6477">
        <v>6690</v>
      </c>
      <c r="B6477">
        <v>372013260</v>
      </c>
      <c r="C6477">
        <v>2013</v>
      </c>
      <c r="D6477" t="s">
        <v>34</v>
      </c>
      <c r="E6477">
        <v>24</v>
      </c>
      <c r="F6477">
        <v>4.8</v>
      </c>
    </row>
    <row r="6478" s="76" customFormat="1" spans="1:6">
      <c r="A6478">
        <v>6672</v>
      </c>
      <c r="B6478">
        <v>372013260</v>
      </c>
      <c r="C6478">
        <v>2013</v>
      </c>
      <c r="D6478" t="s">
        <v>34</v>
      </c>
      <c r="E6478">
        <v>33</v>
      </c>
      <c r="F6478">
        <v>4.95</v>
      </c>
    </row>
    <row r="6479" s="76" customFormat="1" spans="1:6">
      <c r="A6479">
        <v>6673</v>
      </c>
      <c r="B6479">
        <v>372013260</v>
      </c>
      <c r="C6479">
        <v>2013</v>
      </c>
      <c r="D6479" t="s">
        <v>34</v>
      </c>
      <c r="E6479">
        <v>24</v>
      </c>
      <c r="F6479">
        <v>3.6</v>
      </c>
    </row>
    <row r="6480" s="76" customFormat="1" spans="1:6">
      <c r="A6480">
        <v>6676</v>
      </c>
      <c r="B6480">
        <v>372013260</v>
      </c>
      <c r="C6480">
        <v>2013</v>
      </c>
      <c r="D6480" t="s">
        <v>34</v>
      </c>
      <c r="E6480">
        <v>33</v>
      </c>
      <c r="F6480">
        <v>4.95</v>
      </c>
    </row>
    <row r="6481" s="76" customFormat="1" spans="1:6">
      <c r="A6481">
        <v>6678</v>
      </c>
      <c r="B6481">
        <v>372013260</v>
      </c>
      <c r="C6481">
        <v>2013</v>
      </c>
      <c r="D6481" t="s">
        <v>34</v>
      </c>
      <c r="E6481">
        <v>24</v>
      </c>
      <c r="F6481">
        <v>4.8</v>
      </c>
    </row>
    <row r="6482" s="76" customFormat="1" spans="1:6">
      <c r="A6482">
        <v>6689</v>
      </c>
      <c r="B6482">
        <v>372013260</v>
      </c>
      <c r="C6482">
        <v>2013</v>
      </c>
      <c r="D6482" t="s">
        <v>34</v>
      </c>
      <c r="E6482">
        <v>33</v>
      </c>
      <c r="F6482">
        <v>4.95</v>
      </c>
    </row>
    <row r="6483" s="76" customFormat="1" spans="1:6">
      <c r="A6483">
        <v>6665</v>
      </c>
      <c r="B6483">
        <v>372013260</v>
      </c>
      <c r="C6483">
        <v>2013</v>
      </c>
      <c r="D6483" t="s">
        <v>34</v>
      </c>
      <c r="E6483">
        <v>33</v>
      </c>
      <c r="F6483">
        <v>4.95</v>
      </c>
    </row>
    <row r="6484" s="76" customFormat="1" spans="1:6">
      <c r="A6484">
        <v>6666</v>
      </c>
      <c r="B6484">
        <v>372013260</v>
      </c>
      <c r="C6484">
        <v>2013</v>
      </c>
      <c r="D6484" t="s">
        <v>34</v>
      </c>
      <c r="E6484">
        <v>33</v>
      </c>
      <c r="F6484">
        <v>4.95</v>
      </c>
    </row>
    <row r="6485" s="76" customFormat="1" spans="1:6">
      <c r="A6485">
        <v>6675</v>
      </c>
      <c r="B6485">
        <v>372013260</v>
      </c>
      <c r="C6485">
        <v>2013</v>
      </c>
      <c r="D6485" t="s">
        <v>34</v>
      </c>
      <c r="E6485">
        <v>7</v>
      </c>
      <c r="F6485">
        <v>1.05</v>
      </c>
    </row>
    <row r="6486" s="76" customFormat="1" spans="1:6">
      <c r="A6486">
        <v>6679</v>
      </c>
      <c r="B6486">
        <v>372013260</v>
      </c>
      <c r="C6486">
        <v>2013</v>
      </c>
      <c r="D6486" t="s">
        <v>34</v>
      </c>
      <c r="E6486">
        <v>16</v>
      </c>
      <c r="F6486">
        <v>2.4</v>
      </c>
    </row>
    <row r="6487" s="76" customFormat="1" spans="1:6">
      <c r="A6487">
        <v>6680</v>
      </c>
      <c r="B6487">
        <v>372013260</v>
      </c>
      <c r="C6487">
        <v>2013</v>
      </c>
      <c r="D6487" t="s">
        <v>34</v>
      </c>
      <c r="E6487">
        <v>58</v>
      </c>
      <c r="F6487">
        <v>4.93</v>
      </c>
    </row>
    <row r="6488" s="76" customFormat="1" spans="1:6">
      <c r="A6488">
        <v>6700</v>
      </c>
      <c r="B6488">
        <v>372013270</v>
      </c>
      <c r="C6488">
        <v>2013</v>
      </c>
      <c r="D6488" t="s">
        <v>31</v>
      </c>
      <c r="E6488" t="s">
        <v>32</v>
      </c>
      <c r="F6488">
        <v>1</v>
      </c>
    </row>
    <row r="6489" s="76" customFormat="1" spans="1:6">
      <c r="A6489">
        <v>6697</v>
      </c>
      <c r="B6489">
        <v>372013270</v>
      </c>
      <c r="C6489">
        <v>2013</v>
      </c>
      <c r="D6489" t="s">
        <v>31</v>
      </c>
      <c r="E6489" t="s">
        <v>32</v>
      </c>
      <c r="F6489">
        <v>0.1</v>
      </c>
    </row>
    <row r="6490" s="76" customFormat="1" spans="1:6">
      <c r="A6490">
        <v>6695</v>
      </c>
      <c r="B6490">
        <v>372013270</v>
      </c>
      <c r="C6490">
        <v>2013</v>
      </c>
      <c r="D6490" t="s">
        <v>31</v>
      </c>
      <c r="E6490" t="s">
        <v>32</v>
      </c>
      <c r="F6490">
        <v>1.4</v>
      </c>
    </row>
    <row r="6491" s="76" customFormat="1" spans="1:6">
      <c r="A6491">
        <v>6698</v>
      </c>
      <c r="B6491">
        <v>372013270</v>
      </c>
      <c r="C6491">
        <v>2013</v>
      </c>
      <c r="D6491" t="s">
        <v>31</v>
      </c>
      <c r="E6491" t="s">
        <v>32</v>
      </c>
      <c r="F6491">
        <v>1</v>
      </c>
    </row>
    <row r="6492" s="76" customFormat="1" spans="1:6">
      <c r="A6492">
        <v>6696</v>
      </c>
      <c r="B6492">
        <v>372013270</v>
      </c>
      <c r="C6492">
        <v>2013</v>
      </c>
      <c r="D6492" t="s">
        <v>31</v>
      </c>
      <c r="E6492" t="s">
        <v>32</v>
      </c>
      <c r="F6492">
        <v>1</v>
      </c>
    </row>
    <row r="6493" s="76" customFormat="1" spans="1:6">
      <c r="A6493">
        <v>6694</v>
      </c>
      <c r="B6493">
        <v>372013270</v>
      </c>
      <c r="C6493">
        <v>2013</v>
      </c>
      <c r="D6493" t="s">
        <v>31</v>
      </c>
      <c r="E6493" t="s">
        <v>32</v>
      </c>
      <c r="F6493">
        <v>3</v>
      </c>
    </row>
    <row r="6494" s="76" customFormat="1" spans="1:6">
      <c r="A6494">
        <v>6693</v>
      </c>
      <c r="B6494">
        <v>372013270</v>
      </c>
      <c r="C6494">
        <v>2013</v>
      </c>
      <c r="D6494" t="s">
        <v>31</v>
      </c>
      <c r="E6494" t="s">
        <v>32</v>
      </c>
      <c r="F6494">
        <v>0.98</v>
      </c>
    </row>
    <row r="6495" s="76" customFormat="1" spans="1:6">
      <c r="A6495">
        <v>6699</v>
      </c>
      <c r="B6495">
        <v>372013270</v>
      </c>
      <c r="C6495">
        <v>2013</v>
      </c>
      <c r="D6495" t="s">
        <v>31</v>
      </c>
      <c r="E6495" t="s">
        <v>32</v>
      </c>
      <c r="F6495">
        <v>0.5</v>
      </c>
    </row>
    <row r="6496" s="76" customFormat="1" spans="1:6">
      <c r="A6496">
        <v>6701</v>
      </c>
      <c r="B6496">
        <v>372014110</v>
      </c>
      <c r="C6496">
        <v>2014</v>
      </c>
      <c r="D6496" t="s">
        <v>40</v>
      </c>
      <c r="E6496">
        <v>1</v>
      </c>
      <c r="F6496">
        <v>0.08</v>
      </c>
    </row>
    <row r="6497" s="76" customFormat="1" spans="1:6">
      <c r="A6497">
        <v>6703</v>
      </c>
      <c r="B6497">
        <v>372014211</v>
      </c>
      <c r="C6497">
        <v>2014</v>
      </c>
      <c r="D6497" t="s">
        <v>37</v>
      </c>
      <c r="E6497">
        <v>1</v>
      </c>
      <c r="F6497">
        <v>35</v>
      </c>
    </row>
    <row r="6498" s="76" customFormat="1" ht="13.5" customHeight="1" spans="1:6">
      <c r="A6498">
        <v>6705</v>
      </c>
      <c r="B6498">
        <v>372014211</v>
      </c>
      <c r="C6498">
        <v>2014</v>
      </c>
      <c r="D6498" t="s">
        <v>37</v>
      </c>
      <c r="E6498">
        <v>1</v>
      </c>
      <c r="F6498">
        <v>15</v>
      </c>
    </row>
    <row r="6499" s="76" customFormat="1" spans="1:6">
      <c r="A6499">
        <v>6702</v>
      </c>
      <c r="B6499">
        <v>372014211</v>
      </c>
      <c r="C6499">
        <v>2014</v>
      </c>
      <c r="D6499" t="s">
        <v>37</v>
      </c>
      <c r="E6499">
        <v>2</v>
      </c>
      <c r="F6499">
        <v>60</v>
      </c>
    </row>
    <row r="6500" s="76" customFormat="1" spans="1:6">
      <c r="A6500">
        <v>6704</v>
      </c>
      <c r="B6500">
        <v>372014211</v>
      </c>
      <c r="C6500">
        <v>2014</v>
      </c>
      <c r="D6500" t="s">
        <v>37</v>
      </c>
      <c r="E6500">
        <v>1</v>
      </c>
      <c r="F6500">
        <v>30</v>
      </c>
    </row>
    <row r="6501" s="76" customFormat="1" spans="1:6">
      <c r="A6501">
        <v>6708</v>
      </c>
      <c r="B6501">
        <v>372014241</v>
      </c>
      <c r="C6501">
        <v>2014</v>
      </c>
      <c r="D6501" t="s">
        <v>33</v>
      </c>
      <c r="E6501">
        <v>1</v>
      </c>
      <c r="F6501">
        <v>0.6</v>
      </c>
    </row>
    <row r="6502" s="76" customFormat="1" spans="1:6">
      <c r="A6502">
        <v>6712</v>
      </c>
      <c r="B6502">
        <v>372014241</v>
      </c>
      <c r="C6502">
        <v>2014</v>
      </c>
      <c r="D6502" t="s">
        <v>33</v>
      </c>
      <c r="E6502">
        <v>1</v>
      </c>
      <c r="F6502">
        <v>3</v>
      </c>
    </row>
    <row r="6503" s="76" customFormat="1" spans="1:6">
      <c r="A6503">
        <v>6707</v>
      </c>
      <c r="B6503">
        <v>372014241</v>
      </c>
      <c r="C6503">
        <v>2014</v>
      </c>
      <c r="D6503" t="s">
        <v>33</v>
      </c>
      <c r="E6503">
        <v>1</v>
      </c>
      <c r="F6503">
        <v>0.6</v>
      </c>
    </row>
    <row r="6504" s="76" customFormat="1" spans="1:6">
      <c r="A6504">
        <v>6718</v>
      </c>
      <c r="B6504">
        <v>372014241</v>
      </c>
      <c r="C6504">
        <v>2014</v>
      </c>
      <c r="D6504" t="s">
        <v>33</v>
      </c>
      <c r="E6504">
        <v>1</v>
      </c>
      <c r="F6504">
        <v>0.8</v>
      </c>
    </row>
    <row r="6505" s="76" customFormat="1" spans="1:6">
      <c r="A6505">
        <v>6716</v>
      </c>
      <c r="B6505">
        <v>372014241</v>
      </c>
      <c r="C6505">
        <v>2014</v>
      </c>
      <c r="D6505" t="s">
        <v>33</v>
      </c>
      <c r="E6505">
        <v>1</v>
      </c>
      <c r="F6505">
        <v>0.9</v>
      </c>
    </row>
    <row r="6506" s="76" customFormat="1" spans="1:6">
      <c r="A6506">
        <v>6709</v>
      </c>
      <c r="B6506">
        <v>372014241</v>
      </c>
      <c r="C6506">
        <v>2014</v>
      </c>
      <c r="D6506" t="s">
        <v>33</v>
      </c>
      <c r="E6506">
        <v>2</v>
      </c>
      <c r="F6506">
        <v>5.5</v>
      </c>
    </row>
    <row r="6507" s="76" customFormat="1" spans="1:6">
      <c r="A6507">
        <v>6713</v>
      </c>
      <c r="B6507">
        <v>372014241</v>
      </c>
      <c r="C6507">
        <v>2014</v>
      </c>
      <c r="D6507" t="s">
        <v>33</v>
      </c>
      <c r="E6507">
        <v>4</v>
      </c>
      <c r="F6507">
        <v>2.2</v>
      </c>
    </row>
    <row r="6508" s="76" customFormat="1" spans="1:6">
      <c r="A6508">
        <v>6714</v>
      </c>
      <c r="B6508">
        <v>372014241</v>
      </c>
      <c r="C6508">
        <v>2014</v>
      </c>
      <c r="D6508" t="s">
        <v>33</v>
      </c>
      <c r="E6508">
        <v>1</v>
      </c>
      <c r="F6508">
        <v>1</v>
      </c>
    </row>
    <row r="6509" s="76" customFormat="1" spans="1:6">
      <c r="A6509">
        <v>6717</v>
      </c>
      <c r="B6509">
        <v>372014241</v>
      </c>
      <c r="C6509">
        <v>2014</v>
      </c>
      <c r="D6509" t="s">
        <v>33</v>
      </c>
      <c r="E6509">
        <v>1</v>
      </c>
      <c r="F6509">
        <v>0.9</v>
      </c>
    </row>
    <row r="6510" s="76" customFormat="1" spans="1:6">
      <c r="A6510">
        <v>6711</v>
      </c>
      <c r="B6510">
        <v>372014241</v>
      </c>
      <c r="C6510">
        <v>2014</v>
      </c>
      <c r="D6510" t="s">
        <v>33</v>
      </c>
      <c r="E6510">
        <v>1</v>
      </c>
      <c r="F6510">
        <v>5</v>
      </c>
    </row>
    <row r="6511" s="76" customFormat="1" spans="1:6">
      <c r="A6511">
        <v>6715</v>
      </c>
      <c r="B6511">
        <v>372014241</v>
      </c>
      <c r="C6511">
        <v>2014</v>
      </c>
      <c r="D6511" t="s">
        <v>33</v>
      </c>
      <c r="E6511">
        <v>1</v>
      </c>
      <c r="F6511">
        <v>0.9</v>
      </c>
    </row>
    <row r="6512" s="76" customFormat="1" spans="1:6">
      <c r="A6512">
        <v>6710</v>
      </c>
      <c r="B6512">
        <v>372014241</v>
      </c>
      <c r="C6512">
        <v>2014</v>
      </c>
      <c r="D6512" t="s">
        <v>33</v>
      </c>
      <c r="E6512">
        <v>1</v>
      </c>
      <c r="F6512">
        <v>5</v>
      </c>
    </row>
    <row r="6513" s="76" customFormat="1" spans="1:6">
      <c r="A6513">
        <v>6706</v>
      </c>
      <c r="B6513">
        <v>372014241</v>
      </c>
      <c r="C6513">
        <v>2014</v>
      </c>
      <c r="D6513" t="s">
        <v>33</v>
      </c>
      <c r="E6513">
        <v>1</v>
      </c>
      <c r="F6513">
        <v>0.6</v>
      </c>
    </row>
    <row r="6514" s="76" customFormat="1" spans="1:6">
      <c r="A6514">
        <v>6721</v>
      </c>
      <c r="B6514">
        <v>372014242</v>
      </c>
      <c r="C6514">
        <v>2014</v>
      </c>
      <c r="D6514" t="s">
        <v>35</v>
      </c>
      <c r="E6514">
        <v>1</v>
      </c>
      <c r="F6514">
        <v>1.5</v>
      </c>
    </row>
    <row r="6515" s="76" customFormat="1" spans="1:6">
      <c r="A6515">
        <v>6719</v>
      </c>
      <c r="B6515">
        <v>372014242</v>
      </c>
      <c r="C6515">
        <v>2014</v>
      </c>
      <c r="D6515" t="s">
        <v>35</v>
      </c>
      <c r="E6515">
        <v>2</v>
      </c>
      <c r="F6515">
        <v>1.8</v>
      </c>
    </row>
    <row r="6516" s="76" customFormat="1" spans="1:6">
      <c r="A6516">
        <v>6722</v>
      </c>
      <c r="B6516">
        <v>372014242</v>
      </c>
      <c r="C6516">
        <v>2014</v>
      </c>
      <c r="D6516" t="s">
        <v>35</v>
      </c>
      <c r="E6516">
        <v>1</v>
      </c>
      <c r="F6516">
        <v>1.5</v>
      </c>
    </row>
    <row r="6517" s="76" customFormat="1" spans="1:6">
      <c r="A6517">
        <v>6720</v>
      </c>
      <c r="B6517">
        <v>372014242</v>
      </c>
      <c r="C6517">
        <v>2014</v>
      </c>
      <c r="D6517" t="s">
        <v>35</v>
      </c>
      <c r="E6517">
        <v>1</v>
      </c>
      <c r="F6517">
        <v>1.5</v>
      </c>
    </row>
    <row r="6518" s="76" customFormat="1" spans="1:6">
      <c r="A6518">
        <v>6724</v>
      </c>
      <c r="B6518">
        <v>372014243</v>
      </c>
      <c r="C6518">
        <v>2014</v>
      </c>
      <c r="D6518" t="s">
        <v>38</v>
      </c>
      <c r="E6518">
        <v>1</v>
      </c>
      <c r="F6518">
        <v>1.2</v>
      </c>
    </row>
    <row r="6519" s="76" customFormat="1" spans="1:6">
      <c r="A6519">
        <v>6723</v>
      </c>
      <c r="B6519">
        <v>372014243</v>
      </c>
      <c r="C6519">
        <v>2014</v>
      </c>
      <c r="D6519" t="s">
        <v>38</v>
      </c>
      <c r="E6519">
        <v>1</v>
      </c>
      <c r="F6519">
        <v>3</v>
      </c>
    </row>
    <row r="6520" s="76" customFormat="1" spans="1:6">
      <c r="A6520">
        <v>6746</v>
      </c>
      <c r="B6520">
        <v>372014260</v>
      </c>
      <c r="C6520">
        <v>2014</v>
      </c>
      <c r="D6520" t="s">
        <v>34</v>
      </c>
      <c r="E6520">
        <v>2</v>
      </c>
      <c r="F6520">
        <v>0.3</v>
      </c>
    </row>
    <row r="6521" s="76" customFormat="1" spans="1:6">
      <c r="A6521">
        <v>6745</v>
      </c>
      <c r="B6521">
        <v>372014260</v>
      </c>
      <c r="C6521">
        <v>2014</v>
      </c>
      <c r="D6521" t="s">
        <v>34</v>
      </c>
      <c r="E6521">
        <v>20</v>
      </c>
      <c r="F6521">
        <v>4</v>
      </c>
    </row>
    <row r="6522" s="76" customFormat="1" spans="1:6">
      <c r="A6522">
        <v>6726</v>
      </c>
      <c r="B6522">
        <v>372014260</v>
      </c>
      <c r="C6522">
        <v>2014</v>
      </c>
      <c r="D6522" t="s">
        <v>34</v>
      </c>
      <c r="E6522">
        <v>5</v>
      </c>
      <c r="F6522">
        <v>0.75</v>
      </c>
    </row>
    <row r="6523" s="76" customFormat="1" spans="1:6">
      <c r="A6523">
        <v>6744</v>
      </c>
      <c r="B6523">
        <v>372014260</v>
      </c>
      <c r="C6523">
        <v>2014</v>
      </c>
      <c r="D6523" t="s">
        <v>34</v>
      </c>
      <c r="E6523">
        <v>27</v>
      </c>
      <c r="F6523">
        <v>4.86</v>
      </c>
    </row>
    <row r="6524" s="76" customFormat="1" spans="1:6">
      <c r="A6524">
        <v>6725</v>
      </c>
      <c r="B6524">
        <v>372014260</v>
      </c>
      <c r="C6524">
        <v>2014</v>
      </c>
      <c r="D6524" t="s">
        <v>34</v>
      </c>
      <c r="E6524">
        <v>33</v>
      </c>
      <c r="F6524">
        <v>4.95</v>
      </c>
    </row>
    <row r="6525" s="76" customFormat="1" spans="1:6">
      <c r="A6525">
        <v>6737</v>
      </c>
      <c r="B6525">
        <v>372014260</v>
      </c>
      <c r="C6525">
        <v>2014</v>
      </c>
      <c r="D6525" t="s">
        <v>34</v>
      </c>
      <c r="E6525">
        <v>33</v>
      </c>
      <c r="F6525">
        <v>4.95</v>
      </c>
    </row>
    <row r="6526" s="76" customFormat="1" spans="1:6">
      <c r="A6526">
        <v>6731</v>
      </c>
      <c r="B6526">
        <v>372014260</v>
      </c>
      <c r="C6526">
        <v>2014</v>
      </c>
      <c r="D6526" t="s">
        <v>34</v>
      </c>
      <c r="E6526">
        <v>33</v>
      </c>
      <c r="F6526">
        <v>4.95</v>
      </c>
    </row>
    <row r="6527" s="76" customFormat="1" spans="1:6">
      <c r="A6527">
        <v>6727</v>
      </c>
      <c r="B6527">
        <v>372014260</v>
      </c>
      <c r="C6527">
        <v>2014</v>
      </c>
      <c r="D6527" t="s">
        <v>34</v>
      </c>
      <c r="E6527">
        <v>25</v>
      </c>
      <c r="F6527">
        <v>4.95</v>
      </c>
    </row>
    <row r="6528" s="76" customFormat="1" spans="1:6">
      <c r="A6528">
        <v>6728</v>
      </c>
      <c r="B6528">
        <v>372014260</v>
      </c>
      <c r="C6528">
        <v>2014</v>
      </c>
      <c r="D6528" t="s">
        <v>34</v>
      </c>
      <c r="E6528">
        <v>33</v>
      </c>
      <c r="F6528">
        <v>4.95</v>
      </c>
    </row>
    <row r="6529" s="76" customFormat="1" spans="1:6">
      <c r="A6529">
        <v>6730</v>
      </c>
      <c r="B6529">
        <v>372014260</v>
      </c>
      <c r="C6529">
        <v>2014</v>
      </c>
      <c r="D6529" t="s">
        <v>34</v>
      </c>
      <c r="E6529">
        <v>25</v>
      </c>
      <c r="F6529">
        <v>4.98</v>
      </c>
    </row>
    <row r="6530" s="76" customFormat="1" spans="1:6">
      <c r="A6530">
        <v>6729</v>
      </c>
      <c r="B6530">
        <v>372014260</v>
      </c>
      <c r="C6530">
        <v>2014</v>
      </c>
      <c r="D6530" t="s">
        <v>34</v>
      </c>
      <c r="E6530">
        <v>24</v>
      </c>
      <c r="F6530">
        <v>4.8</v>
      </c>
    </row>
    <row r="6531" s="76" customFormat="1" spans="1:6">
      <c r="A6531">
        <v>6743</v>
      </c>
      <c r="B6531">
        <v>372014260</v>
      </c>
      <c r="C6531">
        <v>2014</v>
      </c>
      <c r="D6531" t="s">
        <v>34</v>
      </c>
      <c r="E6531">
        <v>23</v>
      </c>
      <c r="F6531">
        <v>4.83</v>
      </c>
    </row>
    <row r="6532" s="76" customFormat="1" spans="1:6">
      <c r="A6532">
        <v>6732</v>
      </c>
      <c r="B6532">
        <v>372014260</v>
      </c>
      <c r="C6532">
        <v>2014</v>
      </c>
      <c r="D6532" t="s">
        <v>34</v>
      </c>
      <c r="E6532">
        <v>29</v>
      </c>
      <c r="F6532">
        <v>4.95</v>
      </c>
    </row>
    <row r="6533" s="76" customFormat="1" spans="1:6">
      <c r="A6533">
        <v>6740</v>
      </c>
      <c r="B6533">
        <v>372014260</v>
      </c>
      <c r="C6533">
        <v>2014</v>
      </c>
      <c r="D6533" t="s">
        <v>34</v>
      </c>
      <c r="E6533">
        <v>25</v>
      </c>
      <c r="F6533">
        <v>4.98</v>
      </c>
    </row>
    <row r="6534" s="76" customFormat="1" spans="1:6">
      <c r="A6534">
        <v>6741</v>
      </c>
      <c r="B6534">
        <v>372014260</v>
      </c>
      <c r="C6534">
        <v>2014</v>
      </c>
      <c r="D6534" t="s">
        <v>34</v>
      </c>
      <c r="E6534">
        <v>17</v>
      </c>
      <c r="F6534">
        <v>2.55</v>
      </c>
    </row>
    <row r="6535" s="76" customFormat="1" spans="1:6">
      <c r="A6535">
        <v>6742</v>
      </c>
      <c r="B6535">
        <v>372014260</v>
      </c>
      <c r="C6535">
        <v>2014</v>
      </c>
      <c r="D6535" t="s">
        <v>34</v>
      </c>
      <c r="E6535">
        <v>23</v>
      </c>
      <c r="F6535">
        <v>3.45</v>
      </c>
    </row>
    <row r="6536" s="76" customFormat="1" spans="1:6">
      <c r="A6536">
        <v>6734</v>
      </c>
      <c r="B6536">
        <v>372014260</v>
      </c>
      <c r="C6536">
        <v>2014</v>
      </c>
      <c r="D6536" t="s">
        <v>34</v>
      </c>
      <c r="E6536">
        <v>25</v>
      </c>
      <c r="F6536">
        <v>4.93</v>
      </c>
    </row>
    <row r="6537" s="76" customFormat="1" spans="1:6">
      <c r="A6537">
        <v>6735</v>
      </c>
      <c r="B6537">
        <v>372014260</v>
      </c>
      <c r="C6537">
        <v>2014</v>
      </c>
      <c r="D6537" t="s">
        <v>34</v>
      </c>
      <c r="E6537">
        <v>33</v>
      </c>
      <c r="F6537">
        <v>4.95</v>
      </c>
    </row>
    <row r="6538" s="76" customFormat="1" spans="1:6">
      <c r="A6538">
        <v>6736</v>
      </c>
      <c r="B6538">
        <v>372014260</v>
      </c>
      <c r="C6538">
        <v>2014</v>
      </c>
      <c r="D6538" t="s">
        <v>34</v>
      </c>
      <c r="E6538">
        <v>24</v>
      </c>
      <c r="F6538">
        <v>3.6</v>
      </c>
    </row>
    <row r="6539" s="76" customFormat="1" spans="1:6">
      <c r="A6539">
        <v>6733</v>
      </c>
      <c r="B6539">
        <v>372014260</v>
      </c>
      <c r="C6539">
        <v>2014</v>
      </c>
      <c r="D6539" t="s">
        <v>34</v>
      </c>
      <c r="E6539">
        <v>24</v>
      </c>
      <c r="F6539">
        <v>4.8</v>
      </c>
    </row>
    <row r="6540" s="76" customFormat="1" spans="1:6">
      <c r="A6540">
        <v>6738</v>
      </c>
      <c r="B6540">
        <v>372014260</v>
      </c>
      <c r="C6540">
        <v>2014</v>
      </c>
      <c r="D6540" t="s">
        <v>34</v>
      </c>
      <c r="E6540">
        <v>29</v>
      </c>
      <c r="F6540">
        <v>4.35</v>
      </c>
    </row>
    <row r="6541" s="76" customFormat="1" spans="1:6">
      <c r="A6541">
        <v>6739</v>
      </c>
      <c r="B6541">
        <v>372014260</v>
      </c>
      <c r="C6541">
        <v>2014</v>
      </c>
      <c r="D6541" t="s">
        <v>34</v>
      </c>
      <c r="E6541">
        <v>29</v>
      </c>
      <c r="F6541">
        <v>4.35</v>
      </c>
    </row>
    <row r="6542" s="76" customFormat="1" spans="1:6">
      <c r="A6542">
        <v>6765</v>
      </c>
      <c r="B6542">
        <v>372014270</v>
      </c>
      <c r="C6542">
        <v>2014</v>
      </c>
      <c r="D6542" t="s">
        <v>31</v>
      </c>
      <c r="E6542">
        <v>1</v>
      </c>
      <c r="F6542">
        <v>0.05</v>
      </c>
    </row>
    <row r="6543" s="76" customFormat="1" spans="1:6">
      <c r="A6543">
        <v>6760</v>
      </c>
      <c r="B6543">
        <v>372014270</v>
      </c>
      <c r="C6543">
        <v>2014</v>
      </c>
      <c r="D6543" t="s">
        <v>31</v>
      </c>
      <c r="E6543">
        <v>8</v>
      </c>
      <c r="F6543">
        <v>0.31</v>
      </c>
    </row>
    <row r="6544" s="76" customFormat="1" spans="1:6">
      <c r="A6544">
        <v>6766</v>
      </c>
      <c r="B6544">
        <v>372014270</v>
      </c>
      <c r="C6544">
        <v>2014</v>
      </c>
      <c r="D6544" t="s">
        <v>31</v>
      </c>
      <c r="E6544">
        <v>1</v>
      </c>
      <c r="F6544">
        <v>0.01</v>
      </c>
    </row>
    <row r="6545" s="76" customFormat="1" spans="1:6">
      <c r="A6545">
        <v>6758</v>
      </c>
      <c r="B6545">
        <v>372014270</v>
      </c>
      <c r="C6545">
        <v>2014</v>
      </c>
      <c r="D6545" t="s">
        <v>31</v>
      </c>
      <c r="E6545">
        <v>1</v>
      </c>
      <c r="F6545">
        <v>0.4</v>
      </c>
    </row>
    <row r="6546" s="76" customFormat="1" spans="1:6">
      <c r="A6546">
        <v>6763</v>
      </c>
      <c r="B6546">
        <v>372014270</v>
      </c>
      <c r="C6546">
        <v>2014</v>
      </c>
      <c r="D6546" t="s">
        <v>31</v>
      </c>
      <c r="E6546">
        <v>1</v>
      </c>
      <c r="F6546">
        <v>0.07</v>
      </c>
    </row>
    <row r="6547" s="76" customFormat="1" spans="1:6">
      <c r="A6547">
        <v>6757</v>
      </c>
      <c r="B6547">
        <v>372014270</v>
      </c>
      <c r="C6547">
        <v>2014</v>
      </c>
      <c r="D6547" t="s">
        <v>31</v>
      </c>
      <c r="E6547">
        <v>1</v>
      </c>
      <c r="F6547">
        <v>0.44</v>
      </c>
    </row>
    <row r="6548" s="76" customFormat="1" spans="1:6">
      <c r="A6548">
        <v>6769</v>
      </c>
      <c r="B6548">
        <v>372014270</v>
      </c>
      <c r="C6548">
        <v>2014</v>
      </c>
      <c r="D6548" t="s">
        <v>31</v>
      </c>
      <c r="E6548">
        <v>1</v>
      </c>
      <c r="F6548">
        <v>0.01</v>
      </c>
    </row>
    <row r="6549" s="76" customFormat="1" spans="1:6">
      <c r="A6549">
        <v>6768</v>
      </c>
      <c r="B6549">
        <v>372014270</v>
      </c>
      <c r="C6549">
        <v>2014</v>
      </c>
      <c r="D6549" t="s">
        <v>31</v>
      </c>
      <c r="E6549">
        <v>1</v>
      </c>
      <c r="F6549">
        <v>0.01</v>
      </c>
    </row>
    <row r="6550" s="76" customFormat="1" spans="1:6">
      <c r="A6550">
        <v>6754</v>
      </c>
      <c r="B6550">
        <v>372014270</v>
      </c>
      <c r="C6550">
        <v>2014</v>
      </c>
      <c r="D6550" t="s">
        <v>31</v>
      </c>
      <c r="E6550">
        <v>1</v>
      </c>
      <c r="F6550">
        <v>0.5</v>
      </c>
    </row>
    <row r="6551" s="76" customFormat="1" spans="1:6">
      <c r="A6551">
        <v>6767</v>
      </c>
      <c r="B6551">
        <v>372014270</v>
      </c>
      <c r="C6551">
        <v>2014</v>
      </c>
      <c r="D6551" t="s">
        <v>31</v>
      </c>
      <c r="E6551">
        <v>1</v>
      </c>
      <c r="F6551">
        <v>0.01</v>
      </c>
    </row>
    <row r="6552" s="76" customFormat="1" spans="1:6">
      <c r="A6552">
        <v>6751</v>
      </c>
      <c r="B6552">
        <v>372014270</v>
      </c>
      <c r="C6552">
        <v>2014</v>
      </c>
      <c r="D6552" t="s">
        <v>31</v>
      </c>
      <c r="E6552">
        <v>1</v>
      </c>
      <c r="F6552">
        <v>1</v>
      </c>
    </row>
    <row r="6553" s="76" customFormat="1" spans="1:6">
      <c r="A6553">
        <v>6756</v>
      </c>
      <c r="B6553">
        <v>372014270</v>
      </c>
      <c r="C6553">
        <v>2014</v>
      </c>
      <c r="D6553" t="s">
        <v>31</v>
      </c>
      <c r="E6553"/>
      <c r="F6553">
        <v>0.45</v>
      </c>
    </row>
    <row r="6554" s="76" customFormat="1" spans="1:6">
      <c r="A6554">
        <v>6761</v>
      </c>
      <c r="B6554">
        <v>372014270</v>
      </c>
      <c r="C6554">
        <v>2014</v>
      </c>
      <c r="D6554" t="s">
        <v>31</v>
      </c>
      <c r="E6554">
        <v>1</v>
      </c>
      <c r="F6554">
        <v>0.2</v>
      </c>
    </row>
    <row r="6555" s="76" customFormat="1" spans="1:6">
      <c r="A6555">
        <v>6755</v>
      </c>
      <c r="B6555">
        <v>372014270</v>
      </c>
      <c r="C6555">
        <v>2014</v>
      </c>
      <c r="D6555" t="s">
        <v>31</v>
      </c>
      <c r="E6555">
        <v>1</v>
      </c>
      <c r="F6555">
        <v>0.5</v>
      </c>
    </row>
    <row r="6556" s="76" customFormat="1" spans="1:6">
      <c r="A6556">
        <v>6752</v>
      </c>
      <c r="B6556">
        <v>372014270</v>
      </c>
      <c r="C6556">
        <v>2014</v>
      </c>
      <c r="D6556" t="s">
        <v>31</v>
      </c>
      <c r="E6556">
        <v>1</v>
      </c>
      <c r="F6556">
        <v>0.59</v>
      </c>
    </row>
    <row r="6557" s="76" customFormat="1" spans="1:6">
      <c r="A6557">
        <v>6747</v>
      </c>
      <c r="B6557">
        <v>372014270</v>
      </c>
      <c r="C6557">
        <v>2014</v>
      </c>
      <c r="D6557" t="s">
        <v>31</v>
      </c>
      <c r="E6557">
        <v>1</v>
      </c>
      <c r="F6557">
        <v>3</v>
      </c>
    </row>
    <row r="6558" s="76" customFormat="1" spans="1:6">
      <c r="A6558">
        <v>6762</v>
      </c>
      <c r="B6558">
        <v>372014270</v>
      </c>
      <c r="C6558">
        <v>2014</v>
      </c>
      <c r="D6558" t="s">
        <v>31</v>
      </c>
      <c r="E6558">
        <v>1</v>
      </c>
      <c r="F6558">
        <v>0.07</v>
      </c>
    </row>
    <row r="6559" s="76" customFormat="1" spans="1:6">
      <c r="A6559">
        <v>6749</v>
      </c>
      <c r="B6559">
        <v>372014270</v>
      </c>
      <c r="C6559">
        <v>2014</v>
      </c>
      <c r="D6559" t="s">
        <v>31</v>
      </c>
      <c r="E6559">
        <v>1</v>
      </c>
      <c r="F6559">
        <v>2</v>
      </c>
    </row>
    <row r="6560" s="76" customFormat="1" spans="1:6">
      <c r="A6560">
        <v>6753</v>
      </c>
      <c r="B6560">
        <v>372014270</v>
      </c>
      <c r="C6560">
        <v>2014</v>
      </c>
      <c r="D6560" t="s">
        <v>31</v>
      </c>
      <c r="E6560">
        <v>1</v>
      </c>
      <c r="F6560">
        <v>0.5</v>
      </c>
    </row>
    <row r="6561" s="76" customFormat="1" spans="1:6">
      <c r="A6561">
        <v>6750</v>
      </c>
      <c r="B6561">
        <v>372014270</v>
      </c>
      <c r="C6561">
        <v>2014</v>
      </c>
      <c r="D6561" t="s">
        <v>31</v>
      </c>
      <c r="E6561">
        <v>1</v>
      </c>
      <c r="F6561">
        <v>2</v>
      </c>
    </row>
    <row r="6562" s="76" customFormat="1" spans="1:6">
      <c r="A6562">
        <v>6759</v>
      </c>
      <c r="B6562">
        <v>372014270</v>
      </c>
      <c r="C6562">
        <v>2014</v>
      </c>
      <c r="D6562" t="s">
        <v>31</v>
      </c>
      <c r="E6562">
        <v>1</v>
      </c>
      <c r="F6562">
        <v>0.35</v>
      </c>
    </row>
    <row r="6563" s="76" customFormat="1" spans="1:6">
      <c r="A6563">
        <v>6748</v>
      </c>
      <c r="B6563">
        <v>372014270</v>
      </c>
      <c r="C6563">
        <v>2014</v>
      </c>
      <c r="D6563" t="s">
        <v>31</v>
      </c>
      <c r="E6563">
        <v>1</v>
      </c>
      <c r="F6563">
        <v>2.5</v>
      </c>
    </row>
    <row r="6564" s="76" customFormat="1" spans="1:6">
      <c r="A6564">
        <v>6764</v>
      </c>
      <c r="B6564">
        <v>372014270</v>
      </c>
      <c r="C6564">
        <v>2014</v>
      </c>
      <c r="D6564" t="s">
        <v>31</v>
      </c>
      <c r="E6564">
        <v>1</v>
      </c>
      <c r="F6564">
        <v>0.05</v>
      </c>
    </row>
    <row r="6565" s="76" customFormat="1" spans="1:6">
      <c r="A6565">
        <v>6771</v>
      </c>
      <c r="B6565">
        <v>372015211</v>
      </c>
      <c r="C6565">
        <v>2015</v>
      </c>
      <c r="D6565" t="s">
        <v>37</v>
      </c>
      <c r="E6565">
        <v>1</v>
      </c>
      <c r="F6565">
        <v>100</v>
      </c>
    </row>
    <row r="6566" s="76" customFormat="1" spans="1:6">
      <c r="A6566">
        <v>6772</v>
      </c>
      <c r="B6566">
        <v>372015211</v>
      </c>
      <c r="C6566">
        <v>2015</v>
      </c>
      <c r="D6566" t="s">
        <v>37</v>
      </c>
      <c r="E6566">
        <v>2</v>
      </c>
      <c r="F6566">
        <v>70</v>
      </c>
    </row>
    <row r="6567" s="76" customFormat="1" spans="1:6">
      <c r="A6567">
        <v>6770</v>
      </c>
      <c r="B6567">
        <v>372015211</v>
      </c>
      <c r="C6567">
        <v>2015</v>
      </c>
      <c r="D6567" t="s">
        <v>37</v>
      </c>
      <c r="E6567">
        <v>2</v>
      </c>
      <c r="F6567">
        <v>70</v>
      </c>
    </row>
    <row r="6568" s="76" customFormat="1" spans="1:6">
      <c r="A6568">
        <v>6784</v>
      </c>
      <c r="B6568">
        <v>372015241</v>
      </c>
      <c r="C6568">
        <v>2015</v>
      </c>
      <c r="D6568" t="s">
        <v>33</v>
      </c>
      <c r="E6568">
        <v>1</v>
      </c>
      <c r="F6568">
        <v>1.5</v>
      </c>
    </row>
    <row r="6569" s="76" customFormat="1" spans="1:6">
      <c r="A6569">
        <v>6775</v>
      </c>
      <c r="B6569">
        <v>372015241</v>
      </c>
      <c r="C6569">
        <v>2015</v>
      </c>
      <c r="D6569" t="s">
        <v>33</v>
      </c>
      <c r="E6569">
        <v>1</v>
      </c>
      <c r="F6569">
        <v>0.9</v>
      </c>
    </row>
    <row r="6570" s="76" customFormat="1" spans="1:6">
      <c r="A6570">
        <v>6779</v>
      </c>
      <c r="B6570">
        <v>372015241</v>
      </c>
      <c r="C6570">
        <v>2015</v>
      </c>
      <c r="D6570" t="s">
        <v>33</v>
      </c>
      <c r="E6570">
        <v>1</v>
      </c>
      <c r="F6570">
        <v>2.5</v>
      </c>
    </row>
    <row r="6571" s="76" customFormat="1" spans="1:6">
      <c r="A6571">
        <v>6785</v>
      </c>
      <c r="B6571">
        <v>372015241</v>
      </c>
      <c r="C6571">
        <v>2015</v>
      </c>
      <c r="D6571" t="s">
        <v>33</v>
      </c>
      <c r="E6571">
        <v>1</v>
      </c>
      <c r="F6571">
        <v>2</v>
      </c>
    </row>
    <row r="6572" s="76" customFormat="1" spans="1:6">
      <c r="A6572">
        <v>6780</v>
      </c>
      <c r="B6572">
        <v>372015241</v>
      </c>
      <c r="C6572">
        <v>2015</v>
      </c>
      <c r="D6572" t="s">
        <v>33</v>
      </c>
      <c r="E6572">
        <v>1</v>
      </c>
      <c r="F6572">
        <v>0.59</v>
      </c>
    </row>
    <row r="6573" s="76" customFormat="1" spans="1:6">
      <c r="A6573">
        <v>6781</v>
      </c>
      <c r="B6573">
        <v>372015241</v>
      </c>
      <c r="C6573">
        <v>2015</v>
      </c>
      <c r="D6573" t="s">
        <v>33</v>
      </c>
      <c r="E6573">
        <v>1</v>
      </c>
      <c r="F6573">
        <v>0.6</v>
      </c>
    </row>
    <row r="6574" s="76" customFormat="1" spans="1:6">
      <c r="A6574">
        <v>6783</v>
      </c>
      <c r="B6574">
        <v>372015241</v>
      </c>
      <c r="C6574">
        <v>2015</v>
      </c>
      <c r="D6574" t="s">
        <v>33</v>
      </c>
      <c r="E6574">
        <v>1</v>
      </c>
      <c r="F6574">
        <v>0.45</v>
      </c>
    </row>
    <row r="6575" s="76" customFormat="1" spans="1:6">
      <c r="A6575">
        <v>6774</v>
      </c>
      <c r="B6575">
        <v>372015241</v>
      </c>
      <c r="C6575">
        <v>2015</v>
      </c>
      <c r="D6575" t="s">
        <v>33</v>
      </c>
      <c r="E6575">
        <v>1</v>
      </c>
      <c r="F6575">
        <v>0.6</v>
      </c>
    </row>
    <row r="6576" s="76" customFormat="1" spans="1:6">
      <c r="A6576">
        <v>6778</v>
      </c>
      <c r="B6576">
        <v>372015241</v>
      </c>
      <c r="C6576">
        <v>2015</v>
      </c>
      <c r="D6576" t="s">
        <v>33</v>
      </c>
      <c r="E6576">
        <v>1</v>
      </c>
      <c r="F6576">
        <v>0.3</v>
      </c>
    </row>
    <row r="6577" s="76" customFormat="1" spans="1:6">
      <c r="A6577">
        <v>6777</v>
      </c>
      <c r="B6577">
        <v>372015241</v>
      </c>
      <c r="C6577">
        <v>2015</v>
      </c>
      <c r="D6577" t="s">
        <v>33</v>
      </c>
      <c r="E6577">
        <v>1</v>
      </c>
      <c r="F6577">
        <v>2.5</v>
      </c>
    </row>
    <row r="6578" s="76" customFormat="1" spans="1:6">
      <c r="A6578">
        <v>6782</v>
      </c>
      <c r="B6578">
        <v>372015241</v>
      </c>
      <c r="C6578">
        <v>2015</v>
      </c>
      <c r="D6578" t="s">
        <v>33</v>
      </c>
      <c r="E6578">
        <v>1</v>
      </c>
      <c r="F6578">
        <v>1.5</v>
      </c>
    </row>
    <row r="6579" s="76" customFormat="1" spans="1:6">
      <c r="A6579">
        <v>6773</v>
      </c>
      <c r="B6579">
        <v>372015241</v>
      </c>
      <c r="C6579">
        <v>2015</v>
      </c>
      <c r="D6579" t="s">
        <v>33</v>
      </c>
      <c r="E6579">
        <v>1</v>
      </c>
      <c r="F6579">
        <v>10.02</v>
      </c>
    </row>
    <row r="6580" s="76" customFormat="1" spans="1:6">
      <c r="A6580">
        <v>6776</v>
      </c>
      <c r="B6580">
        <v>372015241</v>
      </c>
      <c r="C6580">
        <v>2015</v>
      </c>
      <c r="D6580" t="s">
        <v>33</v>
      </c>
      <c r="E6580">
        <v>1</v>
      </c>
      <c r="F6580">
        <v>0.9</v>
      </c>
    </row>
    <row r="6581" s="76" customFormat="1" spans="1:6">
      <c r="A6581">
        <v>6786</v>
      </c>
      <c r="B6581">
        <v>372015241</v>
      </c>
      <c r="C6581">
        <v>2015</v>
      </c>
      <c r="D6581" t="s">
        <v>33</v>
      </c>
      <c r="E6581">
        <v>1</v>
      </c>
      <c r="F6581">
        <v>0.4</v>
      </c>
    </row>
    <row r="6582" s="76" customFormat="1" spans="1:6">
      <c r="A6582">
        <v>6787</v>
      </c>
      <c r="B6582">
        <v>372015243</v>
      </c>
      <c r="C6582">
        <v>2015</v>
      </c>
      <c r="D6582" t="s">
        <v>38</v>
      </c>
      <c r="E6582">
        <v>1</v>
      </c>
      <c r="F6582">
        <v>3</v>
      </c>
    </row>
    <row r="6583" s="76" customFormat="1" spans="1:6">
      <c r="A6583">
        <v>6788</v>
      </c>
      <c r="B6583">
        <v>372015243</v>
      </c>
      <c r="C6583">
        <v>2015</v>
      </c>
      <c r="D6583" t="s">
        <v>38</v>
      </c>
      <c r="E6583">
        <v>1</v>
      </c>
      <c r="F6583">
        <v>3</v>
      </c>
    </row>
    <row r="6584" s="76" customFormat="1" spans="1:6">
      <c r="A6584">
        <v>6789</v>
      </c>
      <c r="B6584">
        <v>372015243</v>
      </c>
      <c r="C6584">
        <v>2015</v>
      </c>
      <c r="D6584" t="s">
        <v>38</v>
      </c>
      <c r="E6584">
        <v>2</v>
      </c>
      <c r="F6584">
        <v>3</v>
      </c>
    </row>
    <row r="6585" s="76" customFormat="1" spans="1:6">
      <c r="A6585">
        <v>6792</v>
      </c>
      <c r="B6585">
        <v>372015260</v>
      </c>
      <c r="C6585">
        <v>2015</v>
      </c>
      <c r="D6585" t="s">
        <v>34</v>
      </c>
      <c r="E6585">
        <v>4</v>
      </c>
      <c r="F6585">
        <v>0.8</v>
      </c>
    </row>
    <row r="6586" s="76" customFormat="1" spans="1:6">
      <c r="A6586">
        <v>6791</v>
      </c>
      <c r="B6586">
        <v>372015260</v>
      </c>
      <c r="C6586">
        <v>2015</v>
      </c>
      <c r="D6586" t="s">
        <v>34</v>
      </c>
      <c r="E6586">
        <v>1</v>
      </c>
      <c r="F6586">
        <v>0.15</v>
      </c>
    </row>
    <row r="6587" s="76" customFormat="1" spans="1:6">
      <c r="A6587">
        <v>6801</v>
      </c>
      <c r="B6587">
        <v>372015260</v>
      </c>
      <c r="C6587">
        <v>2015</v>
      </c>
      <c r="D6587" t="s">
        <v>34</v>
      </c>
      <c r="E6587">
        <v>25</v>
      </c>
      <c r="F6587">
        <v>5</v>
      </c>
    </row>
    <row r="6588" s="76" customFormat="1" spans="1:6">
      <c r="A6588">
        <v>6790</v>
      </c>
      <c r="B6588">
        <v>372015260</v>
      </c>
      <c r="C6588">
        <v>2015</v>
      </c>
      <c r="D6588" t="s">
        <v>34</v>
      </c>
      <c r="E6588">
        <v>33</v>
      </c>
      <c r="F6588">
        <v>4.95</v>
      </c>
    </row>
    <row r="6589" s="76" customFormat="1" spans="1:6">
      <c r="A6589">
        <v>6811</v>
      </c>
      <c r="B6589">
        <v>372015260</v>
      </c>
      <c r="C6589">
        <v>2015</v>
      </c>
      <c r="D6589" t="s">
        <v>34</v>
      </c>
      <c r="E6589">
        <v>33</v>
      </c>
      <c r="F6589">
        <v>4.95</v>
      </c>
    </row>
    <row r="6590" s="76" customFormat="1" spans="1:6">
      <c r="A6590">
        <v>6800</v>
      </c>
      <c r="B6590">
        <v>372015260</v>
      </c>
      <c r="C6590">
        <v>2015</v>
      </c>
      <c r="D6590" t="s">
        <v>34</v>
      </c>
      <c r="E6590">
        <v>2</v>
      </c>
      <c r="F6590">
        <v>0.4</v>
      </c>
    </row>
    <row r="6591" s="76" customFormat="1" spans="1:6">
      <c r="A6591">
        <v>6793</v>
      </c>
      <c r="B6591">
        <v>372015260</v>
      </c>
      <c r="C6591">
        <v>2015</v>
      </c>
      <c r="D6591" t="s">
        <v>34</v>
      </c>
      <c r="E6591">
        <v>8</v>
      </c>
      <c r="F6591">
        <v>1.6</v>
      </c>
    </row>
    <row r="6592" s="76" customFormat="1" spans="1:6">
      <c r="A6592">
        <v>6802</v>
      </c>
      <c r="B6592">
        <v>372015260</v>
      </c>
      <c r="C6592">
        <v>2015</v>
      </c>
      <c r="D6592" t="s">
        <v>34</v>
      </c>
      <c r="E6592">
        <v>22</v>
      </c>
      <c r="F6592">
        <v>4.38</v>
      </c>
    </row>
    <row r="6593" s="76" customFormat="1" spans="1:6">
      <c r="A6593">
        <v>6805</v>
      </c>
      <c r="B6593">
        <v>372015260</v>
      </c>
      <c r="C6593">
        <v>2015</v>
      </c>
      <c r="D6593" t="s">
        <v>34</v>
      </c>
      <c r="E6593">
        <v>11</v>
      </c>
      <c r="F6593">
        <v>2.2</v>
      </c>
    </row>
    <row r="6594" s="76" customFormat="1" spans="1:6">
      <c r="A6594">
        <v>6795</v>
      </c>
      <c r="B6594">
        <v>372015260</v>
      </c>
      <c r="C6594">
        <v>2015</v>
      </c>
      <c r="D6594" t="s">
        <v>34</v>
      </c>
      <c r="E6594">
        <v>12</v>
      </c>
      <c r="F6594">
        <v>1.8</v>
      </c>
    </row>
    <row r="6595" s="76" customFormat="1" spans="1:6">
      <c r="A6595">
        <v>6810</v>
      </c>
      <c r="B6595">
        <v>372015260</v>
      </c>
      <c r="C6595">
        <v>2015</v>
      </c>
      <c r="D6595" t="s">
        <v>34</v>
      </c>
      <c r="E6595">
        <v>9</v>
      </c>
      <c r="F6595">
        <v>4.41</v>
      </c>
    </row>
    <row r="6596" s="76" customFormat="1" spans="1:6">
      <c r="A6596">
        <v>6804</v>
      </c>
      <c r="B6596">
        <v>372015260</v>
      </c>
      <c r="C6596">
        <v>2015</v>
      </c>
      <c r="D6596" t="s">
        <v>34</v>
      </c>
      <c r="E6596">
        <v>25</v>
      </c>
      <c r="F6596">
        <v>4.99</v>
      </c>
    </row>
    <row r="6597" s="76" customFormat="1" spans="1:6">
      <c r="A6597">
        <v>6803</v>
      </c>
      <c r="B6597">
        <v>372015260</v>
      </c>
      <c r="C6597">
        <v>2015</v>
      </c>
      <c r="D6597" t="s">
        <v>34</v>
      </c>
      <c r="E6597">
        <v>25</v>
      </c>
      <c r="F6597">
        <v>4.99</v>
      </c>
    </row>
    <row r="6598" s="76" customFormat="1" spans="1:6">
      <c r="A6598">
        <v>6806</v>
      </c>
      <c r="B6598">
        <v>372015260</v>
      </c>
      <c r="C6598">
        <v>2015</v>
      </c>
      <c r="D6598" t="s">
        <v>34</v>
      </c>
      <c r="E6598">
        <v>25</v>
      </c>
      <c r="F6598">
        <v>4.98</v>
      </c>
    </row>
    <row r="6599" s="76" customFormat="1" spans="1:6">
      <c r="A6599">
        <v>6809</v>
      </c>
      <c r="B6599">
        <v>372015260</v>
      </c>
      <c r="C6599">
        <v>2015</v>
      </c>
      <c r="D6599" t="s">
        <v>34</v>
      </c>
      <c r="E6599">
        <v>25</v>
      </c>
      <c r="F6599">
        <v>4.98</v>
      </c>
    </row>
    <row r="6600" s="76" customFormat="1" spans="1:6">
      <c r="A6600">
        <v>6807</v>
      </c>
      <c r="B6600">
        <v>372015260</v>
      </c>
      <c r="C6600">
        <v>2015</v>
      </c>
      <c r="D6600" t="s">
        <v>34</v>
      </c>
      <c r="E6600">
        <v>24</v>
      </c>
      <c r="F6600">
        <v>4.99</v>
      </c>
    </row>
    <row r="6601" s="76" customFormat="1" spans="1:6">
      <c r="A6601">
        <v>6808</v>
      </c>
      <c r="B6601">
        <v>372015260</v>
      </c>
      <c r="C6601">
        <v>2015</v>
      </c>
      <c r="D6601" t="s">
        <v>34</v>
      </c>
      <c r="E6601">
        <v>20</v>
      </c>
      <c r="F6601">
        <v>3</v>
      </c>
    </row>
    <row r="6602" s="76" customFormat="1" spans="1:6">
      <c r="A6602">
        <v>6796</v>
      </c>
      <c r="B6602">
        <v>372015260</v>
      </c>
      <c r="C6602">
        <v>2015</v>
      </c>
      <c r="D6602" t="s">
        <v>34</v>
      </c>
      <c r="E6602">
        <v>24</v>
      </c>
      <c r="F6602">
        <v>4.8</v>
      </c>
    </row>
    <row r="6603" s="76" customFormat="1" spans="1:6">
      <c r="A6603">
        <v>6798</v>
      </c>
      <c r="B6603">
        <v>372015260</v>
      </c>
      <c r="C6603">
        <v>2015</v>
      </c>
      <c r="D6603" t="s">
        <v>34</v>
      </c>
      <c r="E6603">
        <v>24</v>
      </c>
      <c r="F6603">
        <v>4.8</v>
      </c>
    </row>
    <row r="6604" s="76" customFormat="1" spans="1:6">
      <c r="A6604">
        <v>6797</v>
      </c>
      <c r="B6604">
        <v>372015260</v>
      </c>
      <c r="C6604">
        <v>2015</v>
      </c>
      <c r="D6604" t="s">
        <v>34</v>
      </c>
      <c r="E6604">
        <v>25</v>
      </c>
      <c r="F6604">
        <v>5</v>
      </c>
    </row>
    <row r="6605" s="76" customFormat="1" spans="1:6">
      <c r="A6605">
        <v>6794</v>
      </c>
      <c r="B6605">
        <v>372015260</v>
      </c>
      <c r="C6605">
        <v>2015</v>
      </c>
      <c r="D6605" t="s">
        <v>34</v>
      </c>
      <c r="E6605">
        <v>25</v>
      </c>
      <c r="F6605">
        <v>4.95</v>
      </c>
    </row>
    <row r="6606" s="76" customFormat="1" spans="1:6">
      <c r="A6606">
        <v>6799</v>
      </c>
      <c r="B6606">
        <v>372015260</v>
      </c>
      <c r="C6606">
        <v>2015</v>
      </c>
      <c r="D6606" t="s">
        <v>34</v>
      </c>
      <c r="E6606">
        <v>33</v>
      </c>
      <c r="F6606">
        <v>4.95</v>
      </c>
    </row>
    <row r="6607" s="76" customFormat="1" spans="1:6">
      <c r="A6607">
        <v>6820</v>
      </c>
      <c r="B6607">
        <v>372015270</v>
      </c>
      <c r="C6607">
        <v>2015</v>
      </c>
      <c r="D6607" t="s">
        <v>31</v>
      </c>
      <c r="E6607" t="s">
        <v>32</v>
      </c>
      <c r="F6607">
        <v>1</v>
      </c>
    </row>
    <row r="6608" s="76" customFormat="1" spans="1:6">
      <c r="A6608">
        <v>6825</v>
      </c>
      <c r="B6608">
        <v>372015270</v>
      </c>
      <c r="C6608">
        <v>2015</v>
      </c>
      <c r="D6608" t="s">
        <v>31</v>
      </c>
      <c r="E6608" t="s">
        <v>32</v>
      </c>
      <c r="F6608">
        <v>0.11</v>
      </c>
    </row>
    <row r="6609" s="76" customFormat="1" spans="1:6">
      <c r="A6609">
        <v>6840</v>
      </c>
      <c r="B6609">
        <v>372015270</v>
      </c>
      <c r="C6609">
        <v>2015</v>
      </c>
      <c r="D6609" t="s">
        <v>31</v>
      </c>
      <c r="E6609">
        <v>3</v>
      </c>
      <c r="F6609">
        <v>0.28</v>
      </c>
    </row>
    <row r="6610" s="76" customFormat="1" spans="1:6">
      <c r="A6610">
        <v>6831</v>
      </c>
      <c r="B6610">
        <v>372015270</v>
      </c>
      <c r="C6610">
        <v>2015</v>
      </c>
      <c r="D6610" t="s">
        <v>31</v>
      </c>
      <c r="E6610" t="s">
        <v>32</v>
      </c>
      <c r="F6610">
        <v>0.02</v>
      </c>
    </row>
    <row r="6611" s="76" customFormat="1" spans="1:6">
      <c r="A6611">
        <v>6832</v>
      </c>
      <c r="B6611">
        <v>372015270</v>
      </c>
      <c r="C6611">
        <v>2015</v>
      </c>
      <c r="D6611" t="s">
        <v>31</v>
      </c>
      <c r="E6611" t="s">
        <v>32</v>
      </c>
      <c r="F6611">
        <v>1.6</v>
      </c>
    </row>
    <row r="6612" s="76" customFormat="1" spans="1:6">
      <c r="A6612">
        <v>6822</v>
      </c>
      <c r="B6612">
        <v>372015270</v>
      </c>
      <c r="C6612">
        <v>2015</v>
      </c>
      <c r="D6612" t="s">
        <v>31</v>
      </c>
      <c r="E6612" t="s">
        <v>32</v>
      </c>
      <c r="F6612">
        <v>0.01</v>
      </c>
    </row>
    <row r="6613" s="76" customFormat="1" spans="1:6">
      <c r="A6613">
        <v>6826</v>
      </c>
      <c r="B6613">
        <v>372015270</v>
      </c>
      <c r="C6613">
        <v>2015</v>
      </c>
      <c r="D6613" t="s">
        <v>31</v>
      </c>
      <c r="E6613" t="s">
        <v>32</v>
      </c>
      <c r="F6613">
        <v>1.4</v>
      </c>
    </row>
    <row r="6614" s="76" customFormat="1" spans="1:6">
      <c r="A6614">
        <v>6853</v>
      </c>
      <c r="B6614">
        <v>372015270</v>
      </c>
      <c r="C6614">
        <v>2015</v>
      </c>
      <c r="D6614" t="s">
        <v>31</v>
      </c>
      <c r="E6614">
        <v>1</v>
      </c>
      <c r="F6614">
        <v>2</v>
      </c>
    </row>
    <row r="6615" s="76" customFormat="1" spans="1:6">
      <c r="A6615">
        <v>6837</v>
      </c>
      <c r="B6615">
        <v>372015270</v>
      </c>
      <c r="C6615">
        <v>2015</v>
      </c>
      <c r="D6615" t="s">
        <v>31</v>
      </c>
      <c r="E6615" t="s">
        <v>32</v>
      </c>
      <c r="F6615">
        <v>0.06</v>
      </c>
    </row>
    <row r="6616" s="76" customFormat="1" spans="1:6">
      <c r="A6616">
        <v>6830</v>
      </c>
      <c r="B6616">
        <v>372015270</v>
      </c>
      <c r="C6616">
        <v>2015</v>
      </c>
      <c r="D6616" t="s">
        <v>31</v>
      </c>
      <c r="E6616" t="s">
        <v>32</v>
      </c>
      <c r="F6616">
        <v>0.01</v>
      </c>
    </row>
    <row r="6617" s="76" customFormat="1" spans="1:6">
      <c r="A6617">
        <v>6858</v>
      </c>
      <c r="B6617">
        <v>372015270</v>
      </c>
      <c r="C6617">
        <v>2015</v>
      </c>
      <c r="D6617" t="s">
        <v>31</v>
      </c>
      <c r="E6617">
        <v>1</v>
      </c>
      <c r="F6617">
        <v>2</v>
      </c>
    </row>
    <row r="6618" s="76" customFormat="1" spans="1:6">
      <c r="A6618">
        <v>6836</v>
      </c>
      <c r="B6618">
        <v>372015270</v>
      </c>
      <c r="C6618">
        <v>2015</v>
      </c>
      <c r="D6618" t="s">
        <v>31</v>
      </c>
      <c r="E6618" t="s">
        <v>32</v>
      </c>
      <c r="F6618">
        <v>0.2</v>
      </c>
    </row>
    <row r="6619" s="76" customFormat="1" spans="1:6">
      <c r="A6619">
        <v>6850</v>
      </c>
      <c r="B6619">
        <v>372015270</v>
      </c>
      <c r="C6619">
        <v>2015</v>
      </c>
      <c r="D6619" t="s">
        <v>31</v>
      </c>
      <c r="E6619" t="s">
        <v>32</v>
      </c>
      <c r="F6619">
        <v>0.26</v>
      </c>
    </row>
    <row r="6620" s="76" customFormat="1" spans="1:6">
      <c r="A6620">
        <v>6843</v>
      </c>
      <c r="B6620">
        <v>372015270</v>
      </c>
      <c r="C6620">
        <v>2015</v>
      </c>
      <c r="D6620" t="s">
        <v>31</v>
      </c>
      <c r="E6620" t="s">
        <v>32</v>
      </c>
      <c r="F6620">
        <v>0.07</v>
      </c>
    </row>
    <row r="6621" s="76" customFormat="1" spans="1:6">
      <c r="A6621">
        <v>6817</v>
      </c>
      <c r="B6621">
        <v>372015270</v>
      </c>
      <c r="C6621">
        <v>2015</v>
      </c>
      <c r="D6621" t="s">
        <v>31</v>
      </c>
      <c r="E6621" t="s">
        <v>32</v>
      </c>
      <c r="F6621">
        <v>1.38</v>
      </c>
    </row>
    <row r="6622" s="76" customFormat="1" spans="1:6">
      <c r="A6622">
        <v>6857</v>
      </c>
      <c r="B6622">
        <v>372015270</v>
      </c>
      <c r="C6622">
        <v>2015</v>
      </c>
      <c r="D6622" t="s">
        <v>31</v>
      </c>
      <c r="E6622" t="s">
        <v>32</v>
      </c>
      <c r="F6622">
        <v>2</v>
      </c>
    </row>
    <row r="6623" s="76" customFormat="1" spans="1:6">
      <c r="A6623">
        <v>6835</v>
      </c>
      <c r="B6623">
        <v>372015270</v>
      </c>
      <c r="C6623">
        <v>2015</v>
      </c>
      <c r="D6623" t="s">
        <v>31</v>
      </c>
      <c r="E6623" t="s">
        <v>32</v>
      </c>
      <c r="F6623">
        <v>0.3</v>
      </c>
    </row>
    <row r="6624" s="76" customFormat="1" spans="1:6">
      <c r="A6624">
        <v>6813</v>
      </c>
      <c r="B6624">
        <v>372015270</v>
      </c>
      <c r="C6624">
        <v>2015</v>
      </c>
      <c r="D6624" t="s">
        <v>31</v>
      </c>
      <c r="E6624" t="s">
        <v>32</v>
      </c>
      <c r="F6624">
        <v>2</v>
      </c>
    </row>
    <row r="6625" s="76" customFormat="1" spans="1:6">
      <c r="A6625">
        <v>6844</v>
      </c>
      <c r="B6625">
        <v>372015270</v>
      </c>
      <c r="C6625">
        <v>2015</v>
      </c>
      <c r="D6625" t="s">
        <v>31</v>
      </c>
      <c r="E6625">
        <v>1</v>
      </c>
      <c r="F6625">
        <v>3</v>
      </c>
    </row>
    <row r="6626" s="76" customFormat="1" spans="1:6">
      <c r="A6626">
        <v>6821</v>
      </c>
      <c r="B6626">
        <v>372015270</v>
      </c>
      <c r="C6626">
        <v>2015</v>
      </c>
      <c r="D6626" t="s">
        <v>31</v>
      </c>
      <c r="E6626" t="s">
        <v>32</v>
      </c>
      <c r="F6626">
        <v>0.02</v>
      </c>
    </row>
    <row r="6627" s="76" customFormat="1" spans="1:6">
      <c r="A6627">
        <v>6829</v>
      </c>
      <c r="B6627">
        <v>372015270</v>
      </c>
      <c r="C6627">
        <v>2015</v>
      </c>
      <c r="D6627" t="s">
        <v>31</v>
      </c>
      <c r="E6627" t="s">
        <v>32</v>
      </c>
      <c r="F6627">
        <v>0.01</v>
      </c>
    </row>
    <row r="6628" s="76" customFormat="1" spans="1:6">
      <c r="A6628">
        <v>6845</v>
      </c>
      <c r="B6628">
        <v>372015270</v>
      </c>
      <c r="C6628">
        <v>2015</v>
      </c>
      <c r="D6628" t="s">
        <v>31</v>
      </c>
      <c r="E6628">
        <v>37</v>
      </c>
      <c r="F6628">
        <v>4</v>
      </c>
    </row>
    <row r="6629" s="76" customFormat="1" spans="1:6">
      <c r="A6629">
        <v>6846</v>
      </c>
      <c r="B6629">
        <v>372015270</v>
      </c>
      <c r="C6629">
        <v>2015</v>
      </c>
      <c r="D6629" t="s">
        <v>31</v>
      </c>
      <c r="E6629" t="s">
        <v>32</v>
      </c>
      <c r="F6629">
        <v>0.01</v>
      </c>
    </row>
    <row r="6630" s="76" customFormat="1" spans="1:6">
      <c r="A6630">
        <v>6841</v>
      </c>
      <c r="B6630">
        <v>372015270</v>
      </c>
      <c r="C6630">
        <v>2015</v>
      </c>
      <c r="D6630" t="s">
        <v>31</v>
      </c>
      <c r="E6630" t="s">
        <v>32</v>
      </c>
      <c r="F6630">
        <v>0.01</v>
      </c>
    </row>
    <row r="6631" s="76" customFormat="1" spans="1:6">
      <c r="A6631">
        <v>6818</v>
      </c>
      <c r="B6631">
        <v>372015270</v>
      </c>
      <c r="C6631">
        <v>2015</v>
      </c>
      <c r="D6631" t="s">
        <v>31</v>
      </c>
      <c r="E6631" t="s">
        <v>32</v>
      </c>
      <c r="F6631">
        <v>0.7</v>
      </c>
    </row>
    <row r="6632" s="76" customFormat="1" spans="1:6">
      <c r="A6632">
        <v>6819</v>
      </c>
      <c r="B6632">
        <v>372015270</v>
      </c>
      <c r="C6632">
        <v>2015</v>
      </c>
      <c r="D6632" t="s">
        <v>31</v>
      </c>
      <c r="E6632" t="s">
        <v>32</v>
      </c>
      <c r="F6632">
        <v>1.2</v>
      </c>
    </row>
    <row r="6633" s="76" customFormat="1" spans="1:6">
      <c r="A6633">
        <v>6838</v>
      </c>
      <c r="B6633">
        <v>372015270</v>
      </c>
      <c r="C6633">
        <v>2015</v>
      </c>
      <c r="D6633" t="s">
        <v>31</v>
      </c>
      <c r="E6633" t="s">
        <v>32</v>
      </c>
      <c r="F6633">
        <v>0.3</v>
      </c>
    </row>
    <row r="6634" s="76" customFormat="1" spans="1:6">
      <c r="A6634">
        <v>6828</v>
      </c>
      <c r="B6634">
        <v>372015270</v>
      </c>
      <c r="C6634">
        <v>2015</v>
      </c>
      <c r="D6634" t="s">
        <v>31</v>
      </c>
      <c r="E6634" t="s">
        <v>32</v>
      </c>
      <c r="F6634">
        <v>2</v>
      </c>
    </row>
    <row r="6635" s="76" customFormat="1" spans="1:6">
      <c r="A6635">
        <v>6847</v>
      </c>
      <c r="B6635">
        <v>372015270</v>
      </c>
      <c r="C6635">
        <v>2015</v>
      </c>
      <c r="D6635" t="s">
        <v>31</v>
      </c>
      <c r="E6635" t="s">
        <v>32</v>
      </c>
      <c r="F6635">
        <v>0.53</v>
      </c>
    </row>
    <row r="6636" s="76" customFormat="1" spans="1:6">
      <c r="A6636">
        <v>6816</v>
      </c>
      <c r="B6636">
        <v>372015270</v>
      </c>
      <c r="C6636">
        <v>2015</v>
      </c>
      <c r="D6636" t="s">
        <v>31</v>
      </c>
      <c r="E6636" t="s">
        <v>32</v>
      </c>
      <c r="F6636">
        <v>1.51</v>
      </c>
    </row>
    <row r="6637" s="76" customFormat="1" spans="1:6">
      <c r="A6637">
        <v>6848</v>
      </c>
      <c r="B6637">
        <v>372015270</v>
      </c>
      <c r="C6637">
        <v>2015</v>
      </c>
      <c r="D6637" t="s">
        <v>31</v>
      </c>
      <c r="E6637" t="s">
        <v>32</v>
      </c>
      <c r="F6637">
        <v>1</v>
      </c>
    </row>
    <row r="6638" s="76" customFormat="1" spans="1:6">
      <c r="A6638">
        <v>6812</v>
      </c>
      <c r="B6638">
        <v>372015270</v>
      </c>
      <c r="C6638">
        <v>2015</v>
      </c>
      <c r="D6638" t="s">
        <v>31</v>
      </c>
      <c r="E6638" t="s">
        <v>32</v>
      </c>
      <c r="F6638">
        <v>1.2</v>
      </c>
    </row>
    <row r="6639" s="76" customFormat="1" spans="1:6">
      <c r="A6639">
        <v>6823</v>
      </c>
      <c r="B6639">
        <v>372015270</v>
      </c>
      <c r="C6639">
        <v>2015</v>
      </c>
      <c r="D6639" t="s">
        <v>31</v>
      </c>
      <c r="E6639" t="s">
        <v>32</v>
      </c>
      <c r="F6639">
        <v>0.45</v>
      </c>
    </row>
    <row r="6640" s="76" customFormat="1" spans="1:6">
      <c r="A6640">
        <v>6851</v>
      </c>
      <c r="B6640">
        <v>372015270</v>
      </c>
      <c r="C6640">
        <v>2015</v>
      </c>
      <c r="D6640" t="s">
        <v>31</v>
      </c>
      <c r="E6640" t="s">
        <v>32</v>
      </c>
      <c r="F6640">
        <v>0.15</v>
      </c>
    </row>
    <row r="6641" s="76" customFormat="1" spans="1:6">
      <c r="A6641">
        <v>6852</v>
      </c>
      <c r="B6641">
        <v>372015270</v>
      </c>
      <c r="C6641">
        <v>2015</v>
      </c>
      <c r="D6641" t="s">
        <v>31</v>
      </c>
      <c r="E6641" t="s">
        <v>32</v>
      </c>
      <c r="F6641">
        <v>0.03</v>
      </c>
    </row>
    <row r="6642" s="76" customFormat="1" spans="1:6">
      <c r="A6642">
        <v>6815</v>
      </c>
      <c r="B6642">
        <v>372015270</v>
      </c>
      <c r="C6642">
        <v>2015</v>
      </c>
      <c r="D6642" t="s">
        <v>31</v>
      </c>
      <c r="E6642" t="s">
        <v>32</v>
      </c>
      <c r="F6642">
        <v>3</v>
      </c>
    </row>
    <row r="6643" s="76" customFormat="1" spans="1:6">
      <c r="A6643">
        <v>6839</v>
      </c>
      <c r="B6643">
        <v>372015270</v>
      </c>
      <c r="C6643">
        <v>2015</v>
      </c>
      <c r="D6643" t="s">
        <v>31</v>
      </c>
      <c r="E6643" t="s">
        <v>32</v>
      </c>
      <c r="F6643">
        <v>0.1</v>
      </c>
    </row>
    <row r="6644" s="76" customFormat="1" spans="1:6">
      <c r="A6644">
        <v>6814</v>
      </c>
      <c r="B6644">
        <v>372015270</v>
      </c>
      <c r="C6644">
        <v>2015</v>
      </c>
      <c r="D6644" t="s">
        <v>31</v>
      </c>
      <c r="E6644" t="s">
        <v>32</v>
      </c>
      <c r="F6644">
        <v>3</v>
      </c>
    </row>
    <row r="6645" s="76" customFormat="1" spans="1:6">
      <c r="A6645">
        <v>6842</v>
      </c>
      <c r="B6645">
        <v>372015270</v>
      </c>
      <c r="C6645">
        <v>2015</v>
      </c>
      <c r="D6645" t="s">
        <v>31</v>
      </c>
      <c r="E6645" t="s">
        <v>32</v>
      </c>
      <c r="F6645">
        <v>0.14</v>
      </c>
    </row>
    <row r="6646" s="76" customFormat="1" spans="1:6">
      <c r="A6646">
        <v>6827</v>
      </c>
      <c r="B6646">
        <v>372015270</v>
      </c>
      <c r="C6646">
        <v>2015</v>
      </c>
      <c r="D6646" t="s">
        <v>31</v>
      </c>
      <c r="E6646" t="s">
        <v>32</v>
      </c>
      <c r="F6646">
        <v>0.03</v>
      </c>
    </row>
    <row r="6647" s="76" customFormat="1" spans="1:6">
      <c r="A6647">
        <v>6833</v>
      </c>
      <c r="B6647">
        <v>372015270</v>
      </c>
      <c r="C6647">
        <v>2015</v>
      </c>
      <c r="D6647" t="s">
        <v>31</v>
      </c>
      <c r="E6647" t="s">
        <v>32</v>
      </c>
      <c r="F6647">
        <v>0.01</v>
      </c>
    </row>
    <row r="6648" s="76" customFormat="1" spans="1:6">
      <c r="A6648">
        <v>6834</v>
      </c>
      <c r="B6648">
        <v>372015270</v>
      </c>
      <c r="C6648">
        <v>2015</v>
      </c>
      <c r="D6648" t="s">
        <v>31</v>
      </c>
      <c r="E6648" t="s">
        <v>32</v>
      </c>
      <c r="F6648">
        <v>0.06</v>
      </c>
    </row>
    <row r="6649" s="76" customFormat="1" spans="1:6">
      <c r="A6649">
        <v>6855</v>
      </c>
      <c r="B6649">
        <v>372015270</v>
      </c>
      <c r="C6649">
        <v>2015</v>
      </c>
      <c r="D6649" t="s">
        <v>31</v>
      </c>
      <c r="E6649" t="s">
        <v>32</v>
      </c>
      <c r="F6649">
        <v>0.09</v>
      </c>
    </row>
    <row r="6650" s="76" customFormat="1" spans="1:6">
      <c r="A6650">
        <v>6856</v>
      </c>
      <c r="B6650">
        <v>372015270</v>
      </c>
      <c r="C6650">
        <v>2015</v>
      </c>
      <c r="D6650" t="s">
        <v>31</v>
      </c>
      <c r="E6650" t="s">
        <v>32</v>
      </c>
      <c r="F6650">
        <v>0.58</v>
      </c>
    </row>
    <row r="6651" s="76" customFormat="1" spans="1:6">
      <c r="A6651">
        <v>6849</v>
      </c>
      <c r="B6651">
        <v>372015270</v>
      </c>
      <c r="C6651">
        <v>2015</v>
      </c>
      <c r="D6651" t="s">
        <v>31</v>
      </c>
      <c r="E6651" t="s">
        <v>32</v>
      </c>
      <c r="F6651">
        <v>0.22</v>
      </c>
    </row>
    <row r="6652" s="76" customFormat="1" spans="1:6">
      <c r="A6652">
        <v>6854</v>
      </c>
      <c r="B6652">
        <v>372015270</v>
      </c>
      <c r="C6652">
        <v>2015</v>
      </c>
      <c r="D6652" t="s">
        <v>31</v>
      </c>
      <c r="E6652">
        <v>1</v>
      </c>
      <c r="F6652">
        <v>2</v>
      </c>
    </row>
    <row r="6653" s="76" customFormat="1" spans="1:6">
      <c r="A6653">
        <v>6824</v>
      </c>
      <c r="B6653">
        <v>372015270</v>
      </c>
      <c r="C6653">
        <v>2015</v>
      </c>
      <c r="D6653" t="s">
        <v>31</v>
      </c>
      <c r="E6653" t="s">
        <v>32</v>
      </c>
      <c r="F6653">
        <v>0.02</v>
      </c>
    </row>
    <row r="6654" s="76" customFormat="1" spans="1:6">
      <c r="A6654">
        <v>6862</v>
      </c>
      <c r="B6654">
        <v>372016211</v>
      </c>
      <c r="C6654" s="76">
        <v>2016</v>
      </c>
      <c r="D6654" s="76" t="s">
        <v>37</v>
      </c>
      <c r="E6654" s="76">
        <v>1</v>
      </c>
      <c r="F6654" s="76">
        <v>100</v>
      </c>
    </row>
    <row r="6655" s="76" customFormat="1" spans="1:6">
      <c r="A6655">
        <v>6861</v>
      </c>
      <c r="B6655">
        <v>372016211</v>
      </c>
      <c r="C6655" s="76">
        <v>2016</v>
      </c>
      <c r="D6655" s="76" t="s">
        <v>37</v>
      </c>
      <c r="E6655" s="76">
        <v>1</v>
      </c>
      <c r="F6655" s="76">
        <v>66</v>
      </c>
    </row>
    <row r="6656" s="76" customFormat="1" spans="1:6">
      <c r="A6656">
        <v>6866</v>
      </c>
      <c r="B6656">
        <v>372016211</v>
      </c>
      <c r="C6656" s="76">
        <v>2016</v>
      </c>
      <c r="D6656" s="76" t="s">
        <v>37</v>
      </c>
      <c r="E6656" s="76" t="s">
        <v>32</v>
      </c>
      <c r="F6656" s="76">
        <v>241</v>
      </c>
    </row>
    <row r="6657" s="76" customFormat="1" spans="1:6">
      <c r="A6657">
        <v>6872</v>
      </c>
      <c r="B6657">
        <v>372016211</v>
      </c>
      <c r="C6657" s="76">
        <v>2016</v>
      </c>
      <c r="D6657" s="76" t="s">
        <v>37</v>
      </c>
      <c r="E6657" s="76" t="s">
        <v>32</v>
      </c>
      <c r="F6657" s="76">
        <v>6</v>
      </c>
    </row>
    <row r="6658" s="76" customFormat="1" spans="1:6">
      <c r="A6658">
        <v>6864</v>
      </c>
      <c r="B6658">
        <v>372016211</v>
      </c>
      <c r="C6658" s="76">
        <v>2016</v>
      </c>
      <c r="D6658" s="76" t="s">
        <v>37</v>
      </c>
      <c r="E6658" s="76" t="s">
        <v>32</v>
      </c>
      <c r="F6658" s="76">
        <v>0.6</v>
      </c>
    </row>
    <row r="6659" s="76" customFormat="1" spans="1:6">
      <c r="A6659">
        <v>6865</v>
      </c>
      <c r="B6659">
        <v>372016211</v>
      </c>
      <c r="C6659" s="76">
        <v>2016</v>
      </c>
      <c r="D6659" s="76" t="s">
        <v>37</v>
      </c>
      <c r="E6659" s="76" t="s">
        <v>32</v>
      </c>
      <c r="F6659" s="76">
        <v>1.5</v>
      </c>
    </row>
    <row r="6660" s="76" customFormat="1" spans="1:6">
      <c r="A6660">
        <v>6871</v>
      </c>
      <c r="B6660">
        <v>372016211</v>
      </c>
      <c r="C6660" s="76">
        <v>2016</v>
      </c>
      <c r="D6660" s="76" t="s">
        <v>37</v>
      </c>
      <c r="E6660" s="76" t="s">
        <v>32</v>
      </c>
      <c r="F6660" s="76">
        <v>27</v>
      </c>
    </row>
    <row r="6661" s="76" customFormat="1" spans="1:6">
      <c r="A6661">
        <v>6874</v>
      </c>
      <c r="B6661">
        <v>372016211</v>
      </c>
      <c r="C6661" s="76">
        <v>2016</v>
      </c>
      <c r="D6661" s="76" t="s">
        <v>37</v>
      </c>
      <c r="E6661" s="76" t="s">
        <v>32</v>
      </c>
      <c r="F6661" s="76">
        <v>3.5</v>
      </c>
    </row>
    <row r="6662" s="76" customFormat="1" spans="1:6">
      <c r="A6662">
        <v>6869</v>
      </c>
      <c r="B6662">
        <v>372016211</v>
      </c>
      <c r="C6662" s="76">
        <v>2016</v>
      </c>
      <c r="D6662" s="76" t="s">
        <v>37</v>
      </c>
      <c r="E6662" s="76" t="s">
        <v>32</v>
      </c>
      <c r="F6662" s="76">
        <v>15.86</v>
      </c>
    </row>
    <row r="6663" s="76" customFormat="1" spans="1:6">
      <c r="A6663">
        <v>6867</v>
      </c>
      <c r="B6663">
        <v>372016211</v>
      </c>
      <c r="C6663" s="76">
        <v>2016</v>
      </c>
      <c r="D6663" s="76" t="s">
        <v>37</v>
      </c>
      <c r="E6663" s="76">
        <v>1</v>
      </c>
      <c r="F6663" s="76">
        <v>35</v>
      </c>
    </row>
    <row r="6664" s="76" customFormat="1" spans="1:6">
      <c r="A6664">
        <v>6860</v>
      </c>
      <c r="B6664">
        <v>372016211</v>
      </c>
      <c r="C6664" s="76">
        <v>2016</v>
      </c>
      <c r="D6664" s="76" t="s">
        <v>37</v>
      </c>
      <c r="E6664" s="76">
        <v>2</v>
      </c>
      <c r="F6664" s="76">
        <v>200</v>
      </c>
    </row>
    <row r="6665" s="76" customFormat="1" spans="1:6">
      <c r="A6665">
        <v>6873</v>
      </c>
      <c r="B6665">
        <v>372016211</v>
      </c>
      <c r="C6665" s="76">
        <v>2016</v>
      </c>
      <c r="D6665" s="76" t="s">
        <v>37</v>
      </c>
      <c r="E6665" s="76" t="s">
        <v>32</v>
      </c>
      <c r="F6665" s="76">
        <v>6</v>
      </c>
    </row>
    <row r="6666" s="76" customFormat="1" spans="1:6">
      <c r="A6666">
        <v>6868</v>
      </c>
      <c r="B6666">
        <v>372016211</v>
      </c>
      <c r="C6666" s="76">
        <v>2016</v>
      </c>
      <c r="D6666" s="76" t="s">
        <v>37</v>
      </c>
      <c r="E6666" s="76" t="s">
        <v>32</v>
      </c>
      <c r="F6666" s="76">
        <v>66</v>
      </c>
    </row>
    <row r="6667" s="76" customFormat="1" spans="1:6">
      <c r="A6667">
        <v>6863</v>
      </c>
      <c r="B6667">
        <v>372016211</v>
      </c>
      <c r="C6667" s="76">
        <v>2016</v>
      </c>
      <c r="D6667" s="76" t="s">
        <v>37</v>
      </c>
      <c r="E6667" s="76" t="s">
        <v>32</v>
      </c>
      <c r="F6667" s="76">
        <v>1.5</v>
      </c>
    </row>
    <row r="6668" s="76" customFormat="1" spans="1:6">
      <c r="A6668">
        <v>6870</v>
      </c>
      <c r="B6668">
        <v>372016211</v>
      </c>
      <c r="C6668" s="76">
        <v>2016</v>
      </c>
      <c r="D6668" s="76" t="s">
        <v>37</v>
      </c>
      <c r="E6668" s="76" t="s">
        <v>32</v>
      </c>
      <c r="F6668" s="76">
        <v>23.5</v>
      </c>
    </row>
    <row r="6669" s="76" customFormat="1" spans="1:6">
      <c r="A6669">
        <v>6875</v>
      </c>
      <c r="B6669">
        <v>372016221</v>
      </c>
      <c r="C6669" s="76">
        <v>2016</v>
      </c>
      <c r="D6669" s="76" t="s">
        <v>30</v>
      </c>
      <c r="E6669" s="76" t="s">
        <v>32</v>
      </c>
      <c r="F6669" s="76">
        <v>0.1</v>
      </c>
    </row>
    <row r="6670" s="76" customFormat="1" spans="1:6">
      <c r="A6670">
        <v>6893</v>
      </c>
      <c r="B6670">
        <v>372016241</v>
      </c>
      <c r="C6670" s="76">
        <v>2016</v>
      </c>
      <c r="D6670" s="76" t="s">
        <v>33</v>
      </c>
      <c r="E6670" s="76" t="s">
        <v>32</v>
      </c>
      <c r="F6670" s="76">
        <v>3</v>
      </c>
    </row>
    <row r="6671" s="76" customFormat="1" spans="1:6">
      <c r="A6671">
        <v>6882</v>
      </c>
      <c r="B6671">
        <v>372016241</v>
      </c>
      <c r="C6671" s="76">
        <v>2016</v>
      </c>
      <c r="D6671" s="76" t="s">
        <v>33</v>
      </c>
      <c r="E6671" s="76" t="s">
        <v>32</v>
      </c>
      <c r="F6671" s="76">
        <v>3</v>
      </c>
    </row>
    <row r="6672" s="76" customFormat="1" spans="1:6">
      <c r="A6672">
        <v>6881</v>
      </c>
      <c r="B6672">
        <v>372016241</v>
      </c>
      <c r="C6672" s="76">
        <v>2016</v>
      </c>
      <c r="D6672" s="76" t="s">
        <v>33</v>
      </c>
      <c r="E6672" s="76" t="s">
        <v>32</v>
      </c>
      <c r="F6672" s="76">
        <v>1.5</v>
      </c>
    </row>
    <row r="6673" s="76" customFormat="1" spans="1:6">
      <c r="A6673">
        <v>6890</v>
      </c>
      <c r="B6673">
        <v>372016241</v>
      </c>
      <c r="C6673" s="76">
        <v>2016</v>
      </c>
      <c r="D6673" s="76" t="s">
        <v>33</v>
      </c>
      <c r="E6673" s="76" t="s">
        <v>32</v>
      </c>
      <c r="F6673" s="76">
        <v>1.2</v>
      </c>
    </row>
    <row r="6674" s="76" customFormat="1" spans="1:6">
      <c r="A6674">
        <v>6886</v>
      </c>
      <c r="B6674">
        <v>372016241</v>
      </c>
      <c r="C6674" s="76">
        <v>2016</v>
      </c>
      <c r="D6674" s="76" t="s">
        <v>33</v>
      </c>
      <c r="E6674" s="76" t="s">
        <v>32</v>
      </c>
      <c r="F6674" s="76">
        <v>0.75</v>
      </c>
    </row>
    <row r="6675" s="76" customFormat="1" spans="1:6">
      <c r="A6675">
        <v>6887</v>
      </c>
      <c r="B6675">
        <v>372016241</v>
      </c>
      <c r="C6675" s="76">
        <v>2016</v>
      </c>
      <c r="D6675" s="76" t="s">
        <v>33</v>
      </c>
      <c r="E6675" s="76" t="s">
        <v>32</v>
      </c>
      <c r="F6675" s="76">
        <v>5</v>
      </c>
    </row>
    <row r="6676" s="76" customFormat="1" spans="1:6">
      <c r="A6676">
        <v>6877</v>
      </c>
      <c r="B6676">
        <v>372016241</v>
      </c>
      <c r="C6676" s="76">
        <v>2016</v>
      </c>
      <c r="D6676" s="76" t="s">
        <v>33</v>
      </c>
      <c r="E6676" s="76" t="s">
        <v>32</v>
      </c>
      <c r="F6676" s="76">
        <v>6</v>
      </c>
    </row>
    <row r="6677" s="76" customFormat="1" spans="1:6">
      <c r="A6677">
        <v>6895</v>
      </c>
      <c r="B6677">
        <v>372016241</v>
      </c>
      <c r="C6677" s="76">
        <v>2016</v>
      </c>
      <c r="D6677" s="76" t="s">
        <v>33</v>
      </c>
      <c r="E6677" s="76" t="s">
        <v>32</v>
      </c>
      <c r="F6677" s="76">
        <v>3</v>
      </c>
    </row>
    <row r="6678" s="76" customFormat="1" spans="1:6">
      <c r="A6678">
        <v>6896</v>
      </c>
      <c r="B6678">
        <v>372016241</v>
      </c>
      <c r="C6678" s="76">
        <v>2016</v>
      </c>
      <c r="D6678" s="76" t="s">
        <v>33</v>
      </c>
      <c r="E6678" s="76" t="s">
        <v>32</v>
      </c>
      <c r="F6678" s="76">
        <v>21</v>
      </c>
    </row>
    <row r="6679" s="76" customFormat="1" spans="1:6">
      <c r="A6679">
        <v>6876</v>
      </c>
      <c r="B6679">
        <v>372016241</v>
      </c>
      <c r="C6679" s="76">
        <v>2016</v>
      </c>
      <c r="D6679" s="76" t="s">
        <v>33</v>
      </c>
      <c r="E6679" s="76" t="s">
        <v>32</v>
      </c>
      <c r="F6679" s="76">
        <v>1.5</v>
      </c>
    </row>
    <row r="6680" s="76" customFormat="1" spans="1:6">
      <c r="A6680">
        <v>6889</v>
      </c>
      <c r="B6680">
        <v>372016241</v>
      </c>
      <c r="C6680" s="76">
        <v>2016</v>
      </c>
      <c r="D6680" s="76" t="s">
        <v>33</v>
      </c>
      <c r="E6680" s="76" t="s">
        <v>32</v>
      </c>
      <c r="F6680" s="76">
        <v>1.2</v>
      </c>
    </row>
    <row r="6681" s="76" customFormat="1" spans="1:6">
      <c r="A6681">
        <v>6885</v>
      </c>
      <c r="B6681">
        <v>372016241</v>
      </c>
      <c r="C6681" s="76">
        <v>2016</v>
      </c>
      <c r="D6681" s="76" t="s">
        <v>33</v>
      </c>
      <c r="E6681" s="76" t="s">
        <v>32</v>
      </c>
      <c r="F6681" s="76">
        <v>1.2</v>
      </c>
    </row>
    <row r="6682" s="76" customFormat="1" spans="1:6">
      <c r="A6682">
        <v>6878</v>
      </c>
      <c r="B6682">
        <v>372016241</v>
      </c>
      <c r="C6682" s="76">
        <v>2016</v>
      </c>
      <c r="D6682" s="76" t="s">
        <v>33</v>
      </c>
      <c r="E6682" s="76" t="s">
        <v>32</v>
      </c>
      <c r="F6682" s="76">
        <v>1.2</v>
      </c>
    </row>
    <row r="6683" s="76" customFormat="1" spans="1:6">
      <c r="A6683">
        <v>6880</v>
      </c>
      <c r="B6683">
        <v>372016241</v>
      </c>
      <c r="C6683" s="76">
        <v>2016</v>
      </c>
      <c r="D6683" s="76" t="s">
        <v>33</v>
      </c>
      <c r="E6683" s="76" t="s">
        <v>32</v>
      </c>
      <c r="F6683" s="76">
        <v>1.5</v>
      </c>
    </row>
    <row r="6684" s="76" customFormat="1" spans="1:6">
      <c r="A6684">
        <v>6883</v>
      </c>
      <c r="B6684">
        <v>372016241</v>
      </c>
      <c r="C6684" s="76">
        <v>2016</v>
      </c>
      <c r="D6684" s="76" t="s">
        <v>33</v>
      </c>
      <c r="E6684" s="76" t="s">
        <v>32</v>
      </c>
      <c r="F6684" s="76">
        <v>1.2</v>
      </c>
    </row>
    <row r="6685" s="76" customFormat="1" spans="1:6">
      <c r="A6685">
        <v>6884</v>
      </c>
      <c r="B6685">
        <v>372016241</v>
      </c>
      <c r="C6685" s="76">
        <v>2016</v>
      </c>
      <c r="D6685" s="76" t="s">
        <v>33</v>
      </c>
      <c r="E6685" s="76" t="s">
        <v>32</v>
      </c>
      <c r="F6685" s="76">
        <v>0.6</v>
      </c>
    </row>
    <row r="6686" s="76" customFormat="1" spans="1:6">
      <c r="A6686">
        <v>6894</v>
      </c>
      <c r="B6686">
        <v>372016241</v>
      </c>
      <c r="C6686" s="76">
        <v>2016</v>
      </c>
      <c r="D6686" s="76" t="s">
        <v>33</v>
      </c>
      <c r="E6686" s="76" t="s">
        <v>32</v>
      </c>
      <c r="F6686" s="76">
        <v>2.5</v>
      </c>
    </row>
    <row r="6687" s="76" customFormat="1" spans="1:6">
      <c r="A6687">
        <v>6888</v>
      </c>
      <c r="B6687">
        <v>372016241</v>
      </c>
      <c r="C6687" s="76">
        <v>2016</v>
      </c>
      <c r="D6687" s="76" t="s">
        <v>33</v>
      </c>
      <c r="E6687" s="76" t="s">
        <v>32</v>
      </c>
      <c r="F6687" s="76">
        <v>3</v>
      </c>
    </row>
    <row r="6688" s="76" customFormat="1" spans="1:6">
      <c r="A6688">
        <v>6879</v>
      </c>
      <c r="B6688">
        <v>372016241</v>
      </c>
      <c r="C6688" s="76">
        <v>2016</v>
      </c>
      <c r="D6688" s="76" t="s">
        <v>33</v>
      </c>
      <c r="E6688" s="76" t="s">
        <v>32</v>
      </c>
      <c r="F6688" s="76">
        <v>1.5</v>
      </c>
    </row>
    <row r="6689" s="76" customFormat="1" spans="1:6">
      <c r="A6689">
        <v>6891</v>
      </c>
      <c r="B6689">
        <v>372016241</v>
      </c>
      <c r="C6689" s="76">
        <v>2016</v>
      </c>
      <c r="D6689" s="76" t="s">
        <v>33</v>
      </c>
      <c r="E6689" s="76" t="s">
        <v>32</v>
      </c>
      <c r="F6689" s="76">
        <v>5</v>
      </c>
    </row>
    <row r="6690" s="76" customFormat="1" spans="1:6">
      <c r="A6690">
        <v>6892</v>
      </c>
      <c r="B6690">
        <v>372016241</v>
      </c>
      <c r="C6690" s="76">
        <v>2016</v>
      </c>
      <c r="D6690" s="76" t="s">
        <v>33</v>
      </c>
      <c r="E6690" s="76" t="s">
        <v>32</v>
      </c>
      <c r="F6690" s="76">
        <v>2.5</v>
      </c>
    </row>
    <row r="6691" s="76" customFormat="1" spans="1:6">
      <c r="A6691">
        <v>6899</v>
      </c>
      <c r="B6691">
        <v>372016243</v>
      </c>
      <c r="C6691" s="76">
        <v>2016</v>
      </c>
      <c r="D6691" s="76" t="s">
        <v>38</v>
      </c>
      <c r="E6691" s="76" t="s">
        <v>32</v>
      </c>
      <c r="F6691" s="76">
        <v>2.4</v>
      </c>
    </row>
    <row r="6692" s="76" customFormat="1" spans="1:6">
      <c r="A6692">
        <v>6902</v>
      </c>
      <c r="B6692">
        <v>372016243</v>
      </c>
      <c r="C6692" s="76">
        <v>2016</v>
      </c>
      <c r="D6692" s="76" t="s">
        <v>38</v>
      </c>
      <c r="E6692" s="76" t="s">
        <v>32</v>
      </c>
      <c r="F6692" s="76">
        <v>0.6</v>
      </c>
    </row>
    <row r="6693" s="76" customFormat="1" spans="1:6">
      <c r="A6693">
        <v>6898</v>
      </c>
      <c r="B6693">
        <v>372016243</v>
      </c>
      <c r="C6693" s="76">
        <v>2016</v>
      </c>
      <c r="D6693" s="76" t="s">
        <v>38</v>
      </c>
      <c r="E6693" s="76" t="s">
        <v>32</v>
      </c>
      <c r="F6693" s="76">
        <v>0.7</v>
      </c>
    </row>
    <row r="6694" s="76" customFormat="1" spans="1:6">
      <c r="A6694">
        <v>6903</v>
      </c>
      <c r="B6694">
        <v>372016243</v>
      </c>
      <c r="C6694" s="76">
        <v>2016</v>
      </c>
      <c r="D6694" s="76" t="s">
        <v>38</v>
      </c>
      <c r="E6694" s="76" t="s">
        <v>32</v>
      </c>
      <c r="F6694" s="76">
        <v>8</v>
      </c>
    </row>
    <row r="6695" s="76" customFormat="1" spans="1:6">
      <c r="A6695">
        <v>6904</v>
      </c>
      <c r="B6695">
        <v>372016243</v>
      </c>
      <c r="C6695" s="76">
        <v>2016</v>
      </c>
      <c r="D6695" s="76" t="s">
        <v>38</v>
      </c>
      <c r="E6695" s="76" t="s">
        <v>32</v>
      </c>
      <c r="F6695" s="76">
        <v>2.5</v>
      </c>
    </row>
    <row r="6696" s="76" customFormat="1" spans="1:6">
      <c r="A6696">
        <v>6901</v>
      </c>
      <c r="B6696">
        <v>372016243</v>
      </c>
      <c r="C6696" s="76">
        <v>2016</v>
      </c>
      <c r="D6696" s="76" t="s">
        <v>38</v>
      </c>
      <c r="E6696" s="76" t="s">
        <v>32</v>
      </c>
      <c r="F6696" s="76">
        <v>0.7</v>
      </c>
    </row>
    <row r="6697" s="76" customFormat="1" spans="1:6">
      <c r="A6697">
        <v>6900</v>
      </c>
      <c r="B6697">
        <v>372016243</v>
      </c>
      <c r="C6697" s="76">
        <v>2016</v>
      </c>
      <c r="D6697" s="76" t="s">
        <v>38</v>
      </c>
      <c r="E6697" s="76" t="s">
        <v>32</v>
      </c>
      <c r="F6697" s="76">
        <v>3</v>
      </c>
    </row>
    <row r="6698" s="76" customFormat="1" spans="1:6">
      <c r="A6698">
        <v>6921</v>
      </c>
      <c r="B6698">
        <v>372016260</v>
      </c>
      <c r="C6698" s="76">
        <v>2016</v>
      </c>
      <c r="D6698" s="76" t="s">
        <v>34</v>
      </c>
      <c r="E6698" s="76" t="s">
        <v>32</v>
      </c>
      <c r="F6698" s="76">
        <v>4.6</v>
      </c>
    </row>
    <row r="6699" s="76" customFormat="1" spans="1:6">
      <c r="A6699">
        <v>6907</v>
      </c>
      <c r="B6699">
        <v>372016260</v>
      </c>
      <c r="C6699" s="76">
        <v>2016</v>
      </c>
      <c r="D6699" s="76" t="s">
        <v>34</v>
      </c>
      <c r="E6699" s="76">
        <v>105</v>
      </c>
      <c r="F6699" s="76">
        <v>20.7</v>
      </c>
    </row>
    <row r="6700" s="76" customFormat="1" spans="1:6">
      <c r="A6700">
        <v>6925</v>
      </c>
      <c r="B6700">
        <v>372016260</v>
      </c>
      <c r="C6700" s="76">
        <v>2016</v>
      </c>
      <c r="D6700" s="76" t="s">
        <v>34</v>
      </c>
      <c r="E6700" s="76">
        <v>33</v>
      </c>
      <c r="F6700" s="76">
        <v>4.95</v>
      </c>
    </row>
    <row r="6701" s="76" customFormat="1" spans="1:6">
      <c r="A6701">
        <v>6908</v>
      </c>
      <c r="B6701">
        <v>372016260</v>
      </c>
      <c r="C6701" s="76">
        <v>2016</v>
      </c>
      <c r="D6701" s="76" t="s">
        <v>34</v>
      </c>
      <c r="E6701" s="76">
        <v>20</v>
      </c>
      <c r="F6701" s="76">
        <v>4.6</v>
      </c>
    </row>
    <row r="6702" s="76" customFormat="1" spans="1:6">
      <c r="A6702">
        <v>6905</v>
      </c>
      <c r="B6702">
        <v>372016260</v>
      </c>
      <c r="C6702" s="76">
        <v>2016</v>
      </c>
      <c r="D6702" s="76" t="s">
        <v>34</v>
      </c>
      <c r="E6702" s="76">
        <v>25</v>
      </c>
      <c r="F6702" s="76">
        <v>5</v>
      </c>
    </row>
    <row r="6703" s="76" customFormat="1" spans="1:6">
      <c r="A6703">
        <v>6922</v>
      </c>
      <c r="B6703">
        <v>372016260</v>
      </c>
      <c r="C6703" s="76">
        <v>2016</v>
      </c>
      <c r="D6703" s="76" t="s">
        <v>34</v>
      </c>
      <c r="E6703" s="76" t="s">
        <v>32</v>
      </c>
      <c r="F6703" s="76">
        <v>4.98</v>
      </c>
    </row>
    <row r="6704" s="76" customFormat="1" spans="1:6">
      <c r="A6704">
        <v>6923</v>
      </c>
      <c r="B6704">
        <v>372016260</v>
      </c>
      <c r="C6704" s="76">
        <v>2016</v>
      </c>
      <c r="D6704" s="76" t="s">
        <v>34</v>
      </c>
      <c r="E6704" s="76" t="s">
        <v>32</v>
      </c>
      <c r="F6704" s="76">
        <v>0.02</v>
      </c>
    </row>
    <row r="6705" s="76" customFormat="1" spans="1:6">
      <c r="A6705">
        <v>6918</v>
      </c>
      <c r="B6705">
        <v>372016260</v>
      </c>
      <c r="C6705" s="76">
        <v>2016</v>
      </c>
      <c r="D6705" s="76" t="s">
        <v>34</v>
      </c>
      <c r="E6705" s="76" t="s">
        <v>32</v>
      </c>
      <c r="F6705" s="76">
        <v>4.99</v>
      </c>
    </row>
    <row r="6706" s="76" customFormat="1" spans="1:6">
      <c r="A6706">
        <v>6919</v>
      </c>
      <c r="B6706">
        <v>372016260</v>
      </c>
      <c r="C6706" s="76">
        <v>2016</v>
      </c>
      <c r="D6706" s="76" t="s">
        <v>34</v>
      </c>
      <c r="E6706" s="76" t="s">
        <v>32</v>
      </c>
      <c r="F6706" s="76">
        <v>4.98</v>
      </c>
    </row>
    <row r="6707" s="76" customFormat="1" spans="1:6">
      <c r="A6707">
        <v>6911</v>
      </c>
      <c r="B6707">
        <v>372016260</v>
      </c>
      <c r="C6707" s="76">
        <v>2016</v>
      </c>
      <c r="D6707" s="76" t="s">
        <v>34</v>
      </c>
      <c r="E6707" s="76">
        <v>25</v>
      </c>
      <c r="F6707" s="76">
        <v>4.98</v>
      </c>
    </row>
    <row r="6708" s="76" customFormat="1" spans="1:6">
      <c r="A6708">
        <v>6913</v>
      </c>
      <c r="B6708">
        <v>372016260</v>
      </c>
      <c r="C6708" s="76">
        <v>2016</v>
      </c>
      <c r="D6708" s="76" t="s">
        <v>34</v>
      </c>
      <c r="E6708" s="76">
        <v>33</v>
      </c>
      <c r="F6708" s="76">
        <v>4.95</v>
      </c>
    </row>
    <row r="6709" s="76" customFormat="1" spans="1:6">
      <c r="A6709">
        <v>6915</v>
      </c>
      <c r="B6709">
        <v>372016260</v>
      </c>
      <c r="C6709" s="76">
        <v>2016</v>
      </c>
      <c r="D6709" s="76" t="s">
        <v>34</v>
      </c>
      <c r="E6709" s="76">
        <v>26</v>
      </c>
      <c r="F6709" s="76">
        <v>5.46</v>
      </c>
    </row>
    <row r="6710" s="76" customFormat="1" spans="1:6">
      <c r="A6710">
        <v>6909</v>
      </c>
      <c r="B6710">
        <v>372016260</v>
      </c>
      <c r="C6710" s="76">
        <v>2016</v>
      </c>
      <c r="D6710" s="76" t="s">
        <v>34</v>
      </c>
      <c r="E6710" s="76">
        <v>22</v>
      </c>
      <c r="F6710" s="76">
        <v>4.8</v>
      </c>
    </row>
    <row r="6711" s="76" customFormat="1" spans="1:6">
      <c r="A6711">
        <v>6912</v>
      </c>
      <c r="B6711">
        <v>372016260</v>
      </c>
      <c r="C6711" s="76">
        <v>2016</v>
      </c>
      <c r="D6711" s="76" t="s">
        <v>34</v>
      </c>
      <c r="E6711" s="76">
        <v>33</v>
      </c>
      <c r="F6711" s="76">
        <v>4.95</v>
      </c>
    </row>
    <row r="6712" s="76" customFormat="1" spans="1:6">
      <c r="A6712">
        <v>6910</v>
      </c>
      <c r="B6712">
        <v>372016260</v>
      </c>
      <c r="C6712" s="76">
        <v>2016</v>
      </c>
      <c r="D6712" s="76" t="s">
        <v>34</v>
      </c>
      <c r="E6712" s="76">
        <v>25</v>
      </c>
      <c r="F6712" s="76">
        <v>4.98</v>
      </c>
    </row>
    <row r="6713" s="76" customFormat="1" spans="1:6">
      <c r="A6713">
        <v>6917</v>
      </c>
      <c r="B6713">
        <v>372016260</v>
      </c>
      <c r="C6713" s="76">
        <v>2016</v>
      </c>
      <c r="D6713" s="76" t="s">
        <v>34</v>
      </c>
      <c r="E6713" s="76" t="s">
        <v>32</v>
      </c>
      <c r="F6713" s="76">
        <v>4.8</v>
      </c>
    </row>
    <row r="6714" s="76" customFormat="1" spans="1:6">
      <c r="A6714">
        <v>6906</v>
      </c>
      <c r="B6714">
        <v>372016260</v>
      </c>
      <c r="C6714" s="76">
        <v>2016</v>
      </c>
      <c r="D6714" s="76" t="s">
        <v>34</v>
      </c>
      <c r="E6714" s="76">
        <v>25</v>
      </c>
      <c r="F6714" s="76">
        <v>4.95</v>
      </c>
    </row>
    <row r="6715" s="76" customFormat="1" spans="1:6">
      <c r="A6715">
        <v>6914</v>
      </c>
      <c r="B6715">
        <v>372016260</v>
      </c>
      <c r="C6715" s="76">
        <v>2016</v>
      </c>
      <c r="D6715" s="76" t="s">
        <v>34</v>
      </c>
      <c r="E6715" s="76">
        <v>25</v>
      </c>
      <c r="F6715" s="76">
        <v>4.95</v>
      </c>
    </row>
    <row r="6716" s="76" customFormat="1" spans="1:6">
      <c r="A6716">
        <v>6920</v>
      </c>
      <c r="B6716">
        <v>372016260</v>
      </c>
      <c r="C6716" s="76">
        <v>2016</v>
      </c>
      <c r="D6716" s="76" t="s">
        <v>34</v>
      </c>
      <c r="E6716" s="76" t="s">
        <v>32</v>
      </c>
      <c r="F6716" s="76">
        <v>4.95</v>
      </c>
    </row>
    <row r="6717" s="76" customFormat="1" spans="1:6">
      <c r="A6717">
        <v>6916</v>
      </c>
      <c r="B6717">
        <v>372016260</v>
      </c>
      <c r="C6717" s="76">
        <v>2016</v>
      </c>
      <c r="D6717" s="76" t="s">
        <v>34</v>
      </c>
      <c r="E6717" s="76" t="s">
        <v>32</v>
      </c>
      <c r="F6717" s="76">
        <v>1.6</v>
      </c>
    </row>
    <row r="6718" s="76" customFormat="1" spans="1:6">
      <c r="A6718">
        <v>6924</v>
      </c>
      <c r="B6718">
        <v>372016260</v>
      </c>
      <c r="C6718" s="76">
        <v>2016</v>
      </c>
      <c r="D6718" s="76" t="s">
        <v>34</v>
      </c>
      <c r="E6718" s="76" t="s">
        <v>32</v>
      </c>
      <c r="F6718" s="76">
        <v>4.95</v>
      </c>
    </row>
    <row r="6719" s="76" customFormat="1" spans="1:6">
      <c r="A6719">
        <v>6959</v>
      </c>
      <c r="B6719">
        <v>372016270</v>
      </c>
      <c r="C6719" s="76">
        <v>2016</v>
      </c>
      <c r="D6719" s="76" t="s">
        <v>31</v>
      </c>
      <c r="E6719" s="76" t="s">
        <v>32</v>
      </c>
      <c r="F6719" s="76">
        <v>2</v>
      </c>
    </row>
    <row r="6720" s="76" customFormat="1" spans="1:6">
      <c r="A6720">
        <v>6943</v>
      </c>
      <c r="B6720">
        <v>372016270</v>
      </c>
      <c r="C6720" s="76">
        <v>2016</v>
      </c>
      <c r="D6720" s="76" t="s">
        <v>31</v>
      </c>
      <c r="E6720" s="76" t="s">
        <v>32</v>
      </c>
      <c r="F6720" s="76">
        <v>1.5</v>
      </c>
    </row>
    <row r="6721" s="76" customFormat="1" spans="1:6">
      <c r="A6721">
        <v>6998</v>
      </c>
      <c r="B6721">
        <v>372016270</v>
      </c>
      <c r="C6721" s="76">
        <v>2016</v>
      </c>
      <c r="D6721" s="76" t="s">
        <v>31</v>
      </c>
      <c r="E6721" s="76" t="s">
        <v>32</v>
      </c>
      <c r="F6721" s="76">
        <v>1</v>
      </c>
    </row>
    <row r="6722" s="76" customFormat="1" spans="1:6">
      <c r="A6722">
        <v>6981</v>
      </c>
      <c r="B6722">
        <v>372016270</v>
      </c>
      <c r="C6722" s="76">
        <v>2016</v>
      </c>
      <c r="D6722" s="76" t="s">
        <v>31</v>
      </c>
      <c r="E6722" s="76" t="s">
        <v>32</v>
      </c>
      <c r="F6722" s="76">
        <v>1</v>
      </c>
    </row>
    <row r="6723" s="76" customFormat="1" spans="1:6">
      <c r="A6723">
        <v>6965</v>
      </c>
      <c r="B6723">
        <v>372016270</v>
      </c>
      <c r="C6723" s="76">
        <v>2016</v>
      </c>
      <c r="D6723" s="76" t="s">
        <v>31</v>
      </c>
      <c r="E6723" s="76" t="s">
        <v>32</v>
      </c>
      <c r="F6723" s="76">
        <v>2</v>
      </c>
    </row>
    <row r="6724" s="76" customFormat="1" spans="1:6">
      <c r="A6724">
        <v>6964</v>
      </c>
      <c r="B6724">
        <v>372016270</v>
      </c>
      <c r="C6724" s="76">
        <v>2016</v>
      </c>
      <c r="D6724" s="76" t="s">
        <v>31</v>
      </c>
      <c r="E6724" s="76" t="s">
        <v>32</v>
      </c>
      <c r="F6724" s="76">
        <v>1.05</v>
      </c>
    </row>
    <row r="6725" s="76" customFormat="1" spans="1:6">
      <c r="A6725">
        <v>6927</v>
      </c>
      <c r="B6725">
        <v>372016270</v>
      </c>
      <c r="C6725" s="76">
        <v>2016</v>
      </c>
      <c r="D6725" s="76" t="s">
        <v>31</v>
      </c>
      <c r="E6725" s="76" t="s">
        <v>32</v>
      </c>
      <c r="F6725" s="76">
        <v>0.1</v>
      </c>
    </row>
    <row r="6726" s="76" customFormat="1" spans="1:6">
      <c r="A6726">
        <v>6930</v>
      </c>
      <c r="B6726">
        <v>372016270</v>
      </c>
      <c r="C6726" s="76">
        <v>2016</v>
      </c>
      <c r="D6726" s="76" t="s">
        <v>31</v>
      </c>
      <c r="E6726" s="76" t="s">
        <v>32</v>
      </c>
      <c r="F6726" s="76">
        <v>0.7</v>
      </c>
    </row>
    <row r="6727" s="76" customFormat="1" spans="1:6">
      <c r="A6727">
        <v>6995</v>
      </c>
      <c r="B6727">
        <v>372016270</v>
      </c>
      <c r="C6727" s="76">
        <v>2016</v>
      </c>
      <c r="D6727" s="76" t="s">
        <v>31</v>
      </c>
      <c r="E6727" s="76" t="s">
        <v>32</v>
      </c>
      <c r="F6727" s="76">
        <v>2</v>
      </c>
    </row>
    <row r="6728" s="76" customFormat="1" spans="1:6">
      <c r="A6728">
        <v>7009</v>
      </c>
      <c r="B6728">
        <v>372016270</v>
      </c>
      <c r="C6728" s="76">
        <v>2016</v>
      </c>
      <c r="D6728" s="76" t="s">
        <v>31</v>
      </c>
      <c r="E6728" s="76" t="s">
        <v>32</v>
      </c>
      <c r="F6728" s="76">
        <v>1</v>
      </c>
    </row>
    <row r="6729" s="76" customFormat="1" spans="1:6">
      <c r="A6729">
        <v>6976</v>
      </c>
      <c r="B6729">
        <v>372016270</v>
      </c>
      <c r="C6729" s="76">
        <v>2016</v>
      </c>
      <c r="D6729" s="76" t="s">
        <v>31</v>
      </c>
      <c r="E6729" s="76" t="s">
        <v>32</v>
      </c>
      <c r="F6729" s="76">
        <v>1</v>
      </c>
    </row>
    <row r="6730" s="76" customFormat="1" spans="1:6">
      <c r="A6730">
        <v>6988</v>
      </c>
      <c r="B6730">
        <v>372016270</v>
      </c>
      <c r="C6730" s="76">
        <v>2016</v>
      </c>
      <c r="D6730" s="76" t="s">
        <v>31</v>
      </c>
      <c r="E6730" s="76" t="s">
        <v>32</v>
      </c>
      <c r="F6730" s="76">
        <v>4</v>
      </c>
    </row>
    <row r="6731" s="76" customFormat="1" spans="1:6">
      <c r="A6731">
        <v>6996</v>
      </c>
      <c r="B6731">
        <v>372016270</v>
      </c>
      <c r="C6731" s="76">
        <v>2016</v>
      </c>
      <c r="D6731" s="76" t="s">
        <v>31</v>
      </c>
      <c r="E6731" s="76" t="s">
        <v>32</v>
      </c>
      <c r="F6731" s="76">
        <v>1</v>
      </c>
    </row>
    <row r="6732" s="76" customFormat="1" spans="1:6">
      <c r="A6732">
        <v>7002</v>
      </c>
      <c r="B6732">
        <v>372016270</v>
      </c>
      <c r="C6732" s="76">
        <v>2016</v>
      </c>
      <c r="D6732" s="76" t="s">
        <v>31</v>
      </c>
      <c r="E6732" s="76" t="s">
        <v>32</v>
      </c>
      <c r="F6732" s="76">
        <v>2</v>
      </c>
    </row>
    <row r="6733" s="76" customFormat="1" spans="1:6">
      <c r="A6733">
        <v>7010</v>
      </c>
      <c r="B6733">
        <v>372016270</v>
      </c>
      <c r="C6733" s="76">
        <v>2016</v>
      </c>
      <c r="D6733" s="76" t="s">
        <v>31</v>
      </c>
      <c r="E6733" s="76" t="s">
        <v>32</v>
      </c>
      <c r="F6733" s="76">
        <v>2</v>
      </c>
    </row>
    <row r="6734" s="76" customFormat="1" spans="1:6">
      <c r="A6734">
        <v>6975</v>
      </c>
      <c r="B6734">
        <v>372016270</v>
      </c>
      <c r="C6734" s="76">
        <v>2016</v>
      </c>
      <c r="D6734" s="76" t="s">
        <v>31</v>
      </c>
      <c r="E6734" s="76" t="s">
        <v>32</v>
      </c>
      <c r="F6734" s="76">
        <v>2</v>
      </c>
    </row>
    <row r="6735" s="76" customFormat="1" spans="1:6">
      <c r="A6735">
        <v>6994</v>
      </c>
      <c r="B6735">
        <v>372016270</v>
      </c>
      <c r="C6735" s="76">
        <v>2016</v>
      </c>
      <c r="D6735" s="76" t="s">
        <v>31</v>
      </c>
      <c r="E6735" s="76" t="s">
        <v>32</v>
      </c>
      <c r="F6735" s="76">
        <v>2</v>
      </c>
    </row>
    <row r="6736" s="76" customFormat="1" spans="1:6">
      <c r="A6736">
        <v>6926</v>
      </c>
      <c r="B6736">
        <v>372016270</v>
      </c>
      <c r="C6736" s="76">
        <v>2016</v>
      </c>
      <c r="D6736" s="76" t="s">
        <v>31</v>
      </c>
      <c r="E6736" s="76" t="s">
        <v>32</v>
      </c>
      <c r="F6736" s="76">
        <v>1.2</v>
      </c>
    </row>
    <row r="6737" s="76" customFormat="1" spans="1:6">
      <c r="A6737">
        <v>6936</v>
      </c>
      <c r="B6737">
        <v>372016270</v>
      </c>
      <c r="C6737" s="76">
        <v>2016</v>
      </c>
      <c r="D6737" s="76" t="s">
        <v>31</v>
      </c>
      <c r="E6737" s="76" t="s">
        <v>32</v>
      </c>
      <c r="F6737" s="76">
        <v>2</v>
      </c>
    </row>
    <row r="6738" s="76" customFormat="1" spans="1:6">
      <c r="A6738">
        <v>6962</v>
      </c>
      <c r="B6738">
        <v>372016270</v>
      </c>
      <c r="C6738" s="76">
        <v>2016</v>
      </c>
      <c r="D6738" s="76" t="s">
        <v>31</v>
      </c>
      <c r="E6738" s="76" t="s">
        <v>32</v>
      </c>
      <c r="F6738" s="76">
        <v>2</v>
      </c>
    </row>
    <row r="6739" s="76" customFormat="1" spans="1:6">
      <c r="A6739">
        <v>6971</v>
      </c>
      <c r="B6739">
        <v>372016270</v>
      </c>
      <c r="C6739" s="76">
        <v>2016</v>
      </c>
      <c r="D6739" s="76" t="s">
        <v>31</v>
      </c>
      <c r="E6739" s="76" t="s">
        <v>32</v>
      </c>
      <c r="F6739" s="76">
        <v>2</v>
      </c>
    </row>
    <row r="6740" s="76" customFormat="1" spans="1:6">
      <c r="A6740">
        <v>7006</v>
      </c>
      <c r="B6740">
        <v>372016270</v>
      </c>
      <c r="C6740" s="76">
        <v>2016</v>
      </c>
      <c r="D6740" s="76" t="s">
        <v>31</v>
      </c>
      <c r="E6740" s="76" t="s">
        <v>32</v>
      </c>
      <c r="F6740" s="76">
        <v>2</v>
      </c>
    </row>
    <row r="6741" s="76" customFormat="1" spans="1:6">
      <c r="A6741">
        <v>7001</v>
      </c>
      <c r="B6741">
        <v>372016270</v>
      </c>
      <c r="C6741" s="76">
        <v>2016</v>
      </c>
      <c r="D6741" s="76" t="s">
        <v>31</v>
      </c>
      <c r="E6741" s="76" t="s">
        <v>32</v>
      </c>
      <c r="F6741" s="76">
        <v>2</v>
      </c>
    </row>
    <row r="6742" s="76" customFormat="1" spans="1:6">
      <c r="A6742">
        <v>6992</v>
      </c>
      <c r="B6742">
        <v>372016270</v>
      </c>
      <c r="C6742" s="76">
        <v>2016</v>
      </c>
      <c r="D6742" s="76" t="s">
        <v>31</v>
      </c>
      <c r="E6742" s="76" t="s">
        <v>32</v>
      </c>
      <c r="F6742" s="76">
        <v>0.6</v>
      </c>
    </row>
    <row r="6743" s="76" customFormat="1" spans="1:6">
      <c r="A6743">
        <v>6978</v>
      </c>
      <c r="B6743">
        <v>372016270</v>
      </c>
      <c r="C6743" s="76">
        <v>2016</v>
      </c>
      <c r="D6743" s="76" t="s">
        <v>31</v>
      </c>
      <c r="E6743" s="76" t="s">
        <v>32</v>
      </c>
      <c r="F6743" s="76">
        <v>2</v>
      </c>
    </row>
    <row r="6744" s="76" customFormat="1" spans="1:6">
      <c r="A6744">
        <v>6960</v>
      </c>
      <c r="B6744">
        <v>372016270</v>
      </c>
      <c r="C6744" s="76">
        <v>2016</v>
      </c>
      <c r="D6744" s="76" t="s">
        <v>31</v>
      </c>
      <c r="E6744" s="76" t="s">
        <v>32</v>
      </c>
      <c r="F6744" s="76">
        <v>1</v>
      </c>
    </row>
    <row r="6745" s="76" customFormat="1" spans="1:6">
      <c r="A6745">
        <v>6980</v>
      </c>
      <c r="B6745">
        <v>372016270</v>
      </c>
      <c r="C6745" s="76">
        <v>2016</v>
      </c>
      <c r="D6745" s="76" t="s">
        <v>31</v>
      </c>
      <c r="E6745" s="76" t="s">
        <v>32</v>
      </c>
      <c r="F6745" s="76">
        <v>2</v>
      </c>
    </row>
    <row r="6746" s="76" customFormat="1" spans="1:6">
      <c r="A6746">
        <v>6938</v>
      </c>
      <c r="B6746">
        <v>372016270</v>
      </c>
      <c r="C6746" s="76">
        <v>2016</v>
      </c>
      <c r="D6746" s="76" t="s">
        <v>31</v>
      </c>
      <c r="E6746" s="76" t="s">
        <v>32</v>
      </c>
      <c r="F6746" s="76">
        <v>2</v>
      </c>
    </row>
    <row r="6747" s="76" customFormat="1" spans="1:6">
      <c r="A6747">
        <v>6991</v>
      </c>
      <c r="B6747">
        <v>372016270</v>
      </c>
      <c r="C6747" s="76">
        <v>2016</v>
      </c>
      <c r="D6747" s="76" t="s">
        <v>31</v>
      </c>
      <c r="E6747" s="76" t="s">
        <v>32</v>
      </c>
      <c r="F6747" s="76">
        <v>1</v>
      </c>
    </row>
    <row r="6748" s="76" customFormat="1" spans="1:6">
      <c r="A6748">
        <v>6935</v>
      </c>
      <c r="B6748">
        <v>372016270</v>
      </c>
      <c r="C6748" s="76">
        <v>2016</v>
      </c>
      <c r="D6748" s="76" t="s">
        <v>31</v>
      </c>
      <c r="E6748" s="76" t="s">
        <v>32</v>
      </c>
      <c r="F6748" s="76">
        <v>2</v>
      </c>
    </row>
    <row r="6749" s="76" customFormat="1" spans="1:6">
      <c r="A6749">
        <v>7000</v>
      </c>
      <c r="B6749">
        <v>372016270</v>
      </c>
      <c r="C6749" s="76">
        <v>2016</v>
      </c>
      <c r="D6749" s="76" t="s">
        <v>31</v>
      </c>
      <c r="E6749" s="76" t="s">
        <v>32</v>
      </c>
      <c r="F6749" s="76">
        <v>7</v>
      </c>
    </row>
    <row r="6750" s="76" customFormat="1" spans="1:6">
      <c r="A6750">
        <v>6997</v>
      </c>
      <c r="B6750">
        <v>372016270</v>
      </c>
      <c r="C6750" s="76">
        <v>2016</v>
      </c>
      <c r="D6750" s="76" t="s">
        <v>31</v>
      </c>
      <c r="E6750" s="76" t="s">
        <v>32</v>
      </c>
      <c r="F6750" s="76">
        <v>2.8</v>
      </c>
    </row>
    <row r="6751" s="76" customFormat="1" spans="1:6">
      <c r="A6751">
        <v>6989</v>
      </c>
      <c r="B6751">
        <v>372016270</v>
      </c>
      <c r="C6751" s="76">
        <v>2016</v>
      </c>
      <c r="D6751" s="76" t="s">
        <v>31</v>
      </c>
      <c r="E6751" s="76" t="s">
        <v>32</v>
      </c>
      <c r="F6751" s="76">
        <v>4</v>
      </c>
    </row>
    <row r="6752" s="76" customFormat="1" spans="1:6">
      <c r="A6752">
        <v>6946</v>
      </c>
      <c r="B6752">
        <v>372016270</v>
      </c>
      <c r="C6752" s="76">
        <v>2016</v>
      </c>
      <c r="D6752" s="76" t="s">
        <v>31</v>
      </c>
      <c r="E6752" s="76" t="s">
        <v>32</v>
      </c>
      <c r="F6752" s="76">
        <v>2</v>
      </c>
    </row>
    <row r="6753" s="76" customFormat="1" spans="1:6">
      <c r="A6753">
        <v>6941</v>
      </c>
      <c r="B6753">
        <v>372016270</v>
      </c>
      <c r="C6753" s="76">
        <v>2016</v>
      </c>
      <c r="D6753" s="76" t="s">
        <v>31</v>
      </c>
      <c r="E6753" s="76" t="s">
        <v>32</v>
      </c>
      <c r="F6753" s="76">
        <v>2</v>
      </c>
    </row>
    <row r="6754" s="76" customFormat="1" spans="1:6">
      <c r="A6754">
        <v>6950</v>
      </c>
      <c r="B6754">
        <v>372016270</v>
      </c>
      <c r="C6754" s="76">
        <v>2016</v>
      </c>
      <c r="D6754" s="76" t="s">
        <v>31</v>
      </c>
      <c r="E6754" s="76" t="s">
        <v>32</v>
      </c>
      <c r="F6754" s="76">
        <v>4</v>
      </c>
    </row>
    <row r="6755" s="76" customFormat="1" spans="1:6">
      <c r="A6755">
        <v>6970</v>
      </c>
      <c r="B6755">
        <v>372016270</v>
      </c>
      <c r="C6755" s="76">
        <v>2016</v>
      </c>
      <c r="D6755" s="76" t="s">
        <v>31</v>
      </c>
      <c r="E6755" s="76" t="s">
        <v>32</v>
      </c>
      <c r="F6755" s="76">
        <v>1</v>
      </c>
    </row>
    <row r="6756" s="76" customFormat="1" spans="1:6">
      <c r="A6756">
        <v>6937</v>
      </c>
      <c r="B6756">
        <v>372016270</v>
      </c>
      <c r="C6756" s="76">
        <v>2016</v>
      </c>
      <c r="D6756" s="76" t="s">
        <v>31</v>
      </c>
      <c r="E6756" s="76" t="s">
        <v>32</v>
      </c>
      <c r="F6756" s="76">
        <v>1</v>
      </c>
    </row>
    <row r="6757" s="76" customFormat="1" spans="1:6">
      <c r="A6757">
        <v>6977</v>
      </c>
      <c r="B6757">
        <v>372016270</v>
      </c>
      <c r="C6757" s="76">
        <v>2016</v>
      </c>
      <c r="D6757" s="76" t="s">
        <v>31</v>
      </c>
      <c r="E6757" s="76" t="s">
        <v>32</v>
      </c>
      <c r="F6757" s="76">
        <v>2</v>
      </c>
    </row>
    <row r="6758" s="76" customFormat="1" spans="1:6">
      <c r="A6758">
        <v>6974</v>
      </c>
      <c r="B6758">
        <v>372016270</v>
      </c>
      <c r="C6758" s="76">
        <v>2016</v>
      </c>
      <c r="D6758" s="76" t="s">
        <v>31</v>
      </c>
      <c r="E6758" s="76" t="s">
        <v>32</v>
      </c>
      <c r="F6758" s="76">
        <v>2</v>
      </c>
    </row>
    <row r="6759" s="76" customFormat="1" spans="1:6">
      <c r="A6759">
        <v>6949</v>
      </c>
      <c r="B6759">
        <v>372016270</v>
      </c>
      <c r="C6759" s="76">
        <v>2016</v>
      </c>
      <c r="D6759" s="76" t="s">
        <v>31</v>
      </c>
      <c r="E6759" s="76" t="s">
        <v>32</v>
      </c>
      <c r="F6759" s="76">
        <v>2</v>
      </c>
    </row>
    <row r="6760" s="76" customFormat="1" spans="1:6">
      <c r="A6760">
        <v>6969</v>
      </c>
      <c r="B6760">
        <v>372016270</v>
      </c>
      <c r="C6760" s="76">
        <v>2016</v>
      </c>
      <c r="D6760" s="76" t="s">
        <v>31</v>
      </c>
      <c r="E6760" s="76" t="s">
        <v>32</v>
      </c>
      <c r="F6760" s="76">
        <v>2</v>
      </c>
    </row>
    <row r="6761" s="76" customFormat="1" spans="1:6">
      <c r="A6761">
        <v>6931</v>
      </c>
      <c r="B6761">
        <v>372016270</v>
      </c>
      <c r="C6761" s="76">
        <v>2016</v>
      </c>
      <c r="D6761" s="76" t="s">
        <v>31</v>
      </c>
      <c r="E6761" s="76" t="s">
        <v>32</v>
      </c>
      <c r="F6761" s="76">
        <v>2</v>
      </c>
    </row>
    <row r="6762" s="76" customFormat="1" spans="1:6">
      <c r="A6762">
        <v>6966</v>
      </c>
      <c r="B6762">
        <v>372016270</v>
      </c>
      <c r="C6762" s="76">
        <v>2016</v>
      </c>
      <c r="D6762" s="76" t="s">
        <v>31</v>
      </c>
      <c r="E6762" s="76" t="s">
        <v>32</v>
      </c>
      <c r="F6762" s="76">
        <v>2</v>
      </c>
    </row>
    <row r="6763" s="76" customFormat="1" spans="1:6">
      <c r="A6763">
        <v>6945</v>
      </c>
      <c r="B6763">
        <v>372016270</v>
      </c>
      <c r="C6763" s="76">
        <v>2016</v>
      </c>
      <c r="D6763" s="76" t="s">
        <v>31</v>
      </c>
      <c r="E6763" s="76" t="s">
        <v>32</v>
      </c>
      <c r="F6763" s="76">
        <v>2</v>
      </c>
    </row>
    <row r="6764" s="76" customFormat="1" spans="1:6">
      <c r="A6764">
        <v>6956</v>
      </c>
      <c r="B6764">
        <v>372016270</v>
      </c>
      <c r="C6764" s="76">
        <v>2016</v>
      </c>
      <c r="D6764" s="76" t="s">
        <v>31</v>
      </c>
      <c r="E6764" s="76" t="s">
        <v>32</v>
      </c>
      <c r="F6764" s="76">
        <v>4.91</v>
      </c>
    </row>
    <row r="6765" s="76" customFormat="1" spans="1:6">
      <c r="A6765">
        <v>6955</v>
      </c>
      <c r="B6765">
        <v>372016270</v>
      </c>
      <c r="C6765" s="76">
        <v>2016</v>
      </c>
      <c r="D6765" s="76" t="s">
        <v>31</v>
      </c>
      <c r="E6765" s="76" t="s">
        <v>32</v>
      </c>
      <c r="F6765" s="76">
        <v>2</v>
      </c>
    </row>
    <row r="6766" s="76" customFormat="1" spans="1:6">
      <c r="A6766">
        <v>6942</v>
      </c>
      <c r="B6766">
        <v>372016270</v>
      </c>
      <c r="C6766" s="76">
        <v>2016</v>
      </c>
      <c r="D6766" s="76" t="s">
        <v>31</v>
      </c>
      <c r="E6766" s="76" t="s">
        <v>32</v>
      </c>
      <c r="F6766" s="76">
        <v>4</v>
      </c>
    </row>
    <row r="6767" s="76" customFormat="1" spans="1:6">
      <c r="A6767">
        <v>6968</v>
      </c>
      <c r="B6767">
        <v>372016270</v>
      </c>
      <c r="C6767" s="76">
        <v>2016</v>
      </c>
      <c r="D6767" s="76" t="s">
        <v>31</v>
      </c>
      <c r="E6767" s="76" t="s">
        <v>32</v>
      </c>
      <c r="F6767" s="76">
        <v>3</v>
      </c>
    </row>
    <row r="6768" s="76" customFormat="1" spans="1:6">
      <c r="A6768">
        <v>6953</v>
      </c>
      <c r="B6768">
        <v>372016270</v>
      </c>
      <c r="C6768" s="76">
        <v>2016</v>
      </c>
      <c r="D6768" s="76" t="s">
        <v>31</v>
      </c>
      <c r="E6768" s="76" t="s">
        <v>32</v>
      </c>
      <c r="F6768" s="76">
        <v>1</v>
      </c>
    </row>
    <row r="6769" s="76" customFormat="1" spans="1:6">
      <c r="A6769">
        <v>6948</v>
      </c>
      <c r="B6769">
        <v>372016270</v>
      </c>
      <c r="C6769" s="76">
        <v>2016</v>
      </c>
      <c r="D6769" s="76" t="s">
        <v>31</v>
      </c>
      <c r="E6769" s="76" t="s">
        <v>32</v>
      </c>
      <c r="F6769" s="76">
        <v>2</v>
      </c>
    </row>
    <row r="6770" s="76" customFormat="1" spans="1:6">
      <c r="A6770">
        <v>6958</v>
      </c>
      <c r="B6770">
        <v>372016270</v>
      </c>
      <c r="C6770" s="76">
        <v>2016</v>
      </c>
      <c r="D6770" s="76" t="s">
        <v>31</v>
      </c>
      <c r="E6770" s="76" t="s">
        <v>32</v>
      </c>
      <c r="F6770" s="76">
        <v>2</v>
      </c>
    </row>
    <row r="6771" s="76" customFormat="1" spans="1:6">
      <c r="A6771">
        <v>7003</v>
      </c>
      <c r="B6771">
        <v>372016270</v>
      </c>
      <c r="C6771" s="76">
        <v>2016</v>
      </c>
      <c r="D6771" s="76" t="s">
        <v>31</v>
      </c>
      <c r="E6771" s="76" t="s">
        <v>32</v>
      </c>
      <c r="F6771" s="76">
        <v>4</v>
      </c>
    </row>
    <row r="6772" s="76" customFormat="1" spans="1:6">
      <c r="A6772">
        <v>6933</v>
      </c>
      <c r="B6772">
        <v>372016270</v>
      </c>
      <c r="C6772" s="76">
        <v>2016</v>
      </c>
      <c r="D6772" s="76" t="s">
        <v>31</v>
      </c>
      <c r="E6772" s="76" t="s">
        <v>32</v>
      </c>
      <c r="F6772" s="76">
        <v>1.5</v>
      </c>
    </row>
    <row r="6773" s="76" customFormat="1" spans="1:6">
      <c r="A6773">
        <v>6934</v>
      </c>
      <c r="B6773">
        <v>372016270</v>
      </c>
      <c r="C6773" s="76">
        <v>2016</v>
      </c>
      <c r="D6773" s="76" t="s">
        <v>31</v>
      </c>
      <c r="E6773" s="76" t="s">
        <v>32</v>
      </c>
      <c r="F6773" s="76">
        <v>2</v>
      </c>
    </row>
    <row r="6774" s="76" customFormat="1" spans="1:6">
      <c r="A6774">
        <v>6940</v>
      </c>
      <c r="B6774">
        <v>372016270</v>
      </c>
      <c r="C6774" s="76">
        <v>2016</v>
      </c>
      <c r="D6774" s="76" t="s">
        <v>31</v>
      </c>
      <c r="E6774" s="76" t="s">
        <v>32</v>
      </c>
      <c r="F6774" s="76">
        <v>5</v>
      </c>
    </row>
    <row r="6775" s="76" customFormat="1" spans="1:6">
      <c r="A6775">
        <v>6967</v>
      </c>
      <c r="B6775">
        <v>372016270</v>
      </c>
      <c r="C6775" s="76">
        <v>2016</v>
      </c>
      <c r="D6775" s="76" t="s">
        <v>31</v>
      </c>
      <c r="E6775" s="76" t="s">
        <v>32</v>
      </c>
      <c r="F6775" s="76">
        <v>2</v>
      </c>
    </row>
    <row r="6776" s="76" customFormat="1" spans="1:6">
      <c r="A6776">
        <v>6990</v>
      </c>
      <c r="B6776">
        <v>372016270</v>
      </c>
      <c r="C6776" s="76">
        <v>2016</v>
      </c>
      <c r="D6776" s="76" t="s">
        <v>31</v>
      </c>
      <c r="E6776" s="76" t="s">
        <v>32</v>
      </c>
      <c r="F6776" s="76">
        <v>0.8</v>
      </c>
    </row>
    <row r="6777" s="76" customFormat="1" spans="1:6">
      <c r="A6777">
        <v>7007</v>
      </c>
      <c r="B6777">
        <v>372016270</v>
      </c>
      <c r="C6777" s="76">
        <v>2016</v>
      </c>
      <c r="D6777" s="76" t="s">
        <v>31</v>
      </c>
      <c r="E6777" s="76" t="s">
        <v>32</v>
      </c>
      <c r="F6777" s="76">
        <v>2</v>
      </c>
    </row>
    <row r="6778" s="76" customFormat="1" spans="1:6">
      <c r="A6778">
        <v>6928</v>
      </c>
      <c r="B6778">
        <v>372016270</v>
      </c>
      <c r="C6778" s="76">
        <v>2016</v>
      </c>
      <c r="D6778" s="76" t="s">
        <v>31</v>
      </c>
      <c r="E6778" s="76" t="s">
        <v>32</v>
      </c>
      <c r="F6778" s="76">
        <v>3</v>
      </c>
    </row>
    <row r="6779" s="76" customFormat="1" spans="1:6">
      <c r="A6779">
        <v>6932</v>
      </c>
      <c r="B6779">
        <v>372016270</v>
      </c>
      <c r="C6779" s="76">
        <v>2016</v>
      </c>
      <c r="D6779" s="76" t="s">
        <v>31</v>
      </c>
      <c r="E6779" s="76" t="s">
        <v>32</v>
      </c>
      <c r="F6779" s="76">
        <v>2</v>
      </c>
    </row>
    <row r="6780" s="76" customFormat="1" spans="1:6">
      <c r="A6780">
        <v>6961</v>
      </c>
      <c r="B6780">
        <v>372016270</v>
      </c>
      <c r="C6780" s="76">
        <v>2016</v>
      </c>
      <c r="D6780" s="76" t="s">
        <v>31</v>
      </c>
      <c r="E6780" s="76" t="s">
        <v>32</v>
      </c>
      <c r="F6780" s="76">
        <v>5</v>
      </c>
    </row>
    <row r="6781" s="76" customFormat="1" spans="1:6">
      <c r="A6781">
        <v>6929</v>
      </c>
      <c r="B6781">
        <v>372016270</v>
      </c>
      <c r="C6781" s="76">
        <v>2016</v>
      </c>
      <c r="D6781" s="76" t="s">
        <v>31</v>
      </c>
      <c r="E6781" s="76" t="s">
        <v>32</v>
      </c>
      <c r="F6781" s="76">
        <v>1</v>
      </c>
    </row>
    <row r="6782" s="76" customFormat="1" spans="1:6">
      <c r="A6782">
        <v>6999</v>
      </c>
      <c r="B6782">
        <v>372016270</v>
      </c>
      <c r="C6782" s="76">
        <v>2016</v>
      </c>
      <c r="D6782" s="76" t="s">
        <v>31</v>
      </c>
      <c r="E6782" s="76" t="s">
        <v>32</v>
      </c>
      <c r="F6782" s="76">
        <v>2</v>
      </c>
    </row>
    <row r="6783" s="76" customFormat="1" spans="1:6">
      <c r="A6783">
        <v>6979</v>
      </c>
      <c r="B6783">
        <v>372016270</v>
      </c>
      <c r="C6783" s="76">
        <v>2016</v>
      </c>
      <c r="D6783" s="76" t="s">
        <v>31</v>
      </c>
      <c r="E6783" s="76" t="s">
        <v>32</v>
      </c>
      <c r="F6783" s="76">
        <v>12</v>
      </c>
    </row>
    <row r="6784" s="76" customFormat="1" spans="1:6">
      <c r="A6784">
        <v>6957</v>
      </c>
      <c r="B6784">
        <v>372016270</v>
      </c>
      <c r="C6784" s="76">
        <v>2016</v>
      </c>
      <c r="D6784" s="76" t="s">
        <v>31</v>
      </c>
      <c r="E6784" s="76" t="s">
        <v>32</v>
      </c>
      <c r="F6784" s="76">
        <v>2</v>
      </c>
    </row>
    <row r="6785" s="76" customFormat="1" spans="1:6">
      <c r="A6785">
        <v>6993</v>
      </c>
      <c r="B6785">
        <v>372016270</v>
      </c>
      <c r="C6785" s="76">
        <v>2016</v>
      </c>
      <c r="D6785" s="76" t="s">
        <v>31</v>
      </c>
      <c r="E6785" s="76" t="s">
        <v>32</v>
      </c>
      <c r="F6785" s="76">
        <v>2</v>
      </c>
    </row>
    <row r="6786" s="76" customFormat="1" spans="1:6">
      <c r="A6786">
        <v>7008</v>
      </c>
      <c r="B6786">
        <v>372016270</v>
      </c>
      <c r="C6786" s="76">
        <v>2016</v>
      </c>
      <c r="D6786" s="76" t="s">
        <v>31</v>
      </c>
      <c r="E6786" s="76" t="s">
        <v>32</v>
      </c>
      <c r="F6786" s="76">
        <v>1.62</v>
      </c>
    </row>
    <row r="6787" s="76" customFormat="1" spans="1:6">
      <c r="A6787">
        <v>6973</v>
      </c>
      <c r="B6787">
        <v>372016270</v>
      </c>
      <c r="C6787" s="76">
        <v>2016</v>
      </c>
      <c r="D6787" s="76" t="s">
        <v>31</v>
      </c>
      <c r="E6787" s="76" t="s">
        <v>32</v>
      </c>
      <c r="F6787" s="76">
        <v>4.9</v>
      </c>
    </row>
    <row r="6788" s="76" customFormat="1" spans="1:6">
      <c r="A6788">
        <v>6972</v>
      </c>
      <c r="B6788">
        <v>372016270</v>
      </c>
      <c r="C6788" s="76">
        <v>2016</v>
      </c>
      <c r="D6788" s="76" t="s">
        <v>31</v>
      </c>
      <c r="E6788" s="76" t="s">
        <v>32</v>
      </c>
      <c r="F6788" s="76">
        <v>4.9</v>
      </c>
    </row>
    <row r="6789" s="76" customFormat="1" spans="1:6">
      <c r="A6789">
        <v>6985</v>
      </c>
      <c r="B6789">
        <v>372016270</v>
      </c>
      <c r="C6789" s="76">
        <v>2016</v>
      </c>
      <c r="D6789" s="76" t="s">
        <v>31</v>
      </c>
      <c r="E6789" s="76" t="s">
        <v>32</v>
      </c>
      <c r="F6789" s="76">
        <v>3</v>
      </c>
    </row>
    <row r="6790" s="76" customFormat="1" spans="1:6">
      <c r="A6790">
        <v>6986</v>
      </c>
      <c r="B6790">
        <v>372016270</v>
      </c>
      <c r="C6790" s="76">
        <v>2016</v>
      </c>
      <c r="D6790" s="76" t="s">
        <v>31</v>
      </c>
      <c r="E6790" s="76" t="s">
        <v>32</v>
      </c>
      <c r="F6790" s="76">
        <v>2</v>
      </c>
    </row>
    <row r="6791" s="76" customFormat="1" spans="1:6">
      <c r="A6791">
        <v>6951</v>
      </c>
      <c r="B6791">
        <v>372016270</v>
      </c>
      <c r="C6791" s="76">
        <v>2016</v>
      </c>
      <c r="D6791" s="76" t="s">
        <v>31</v>
      </c>
      <c r="E6791" s="76" t="s">
        <v>32</v>
      </c>
      <c r="F6791" s="76">
        <v>4</v>
      </c>
    </row>
    <row r="6792" s="76" customFormat="1" spans="1:6">
      <c r="A6792">
        <v>6963</v>
      </c>
      <c r="B6792">
        <v>372016270</v>
      </c>
      <c r="C6792" s="76">
        <v>2016</v>
      </c>
      <c r="D6792" s="76" t="s">
        <v>31</v>
      </c>
      <c r="E6792" s="76" t="s">
        <v>32</v>
      </c>
      <c r="F6792" s="76">
        <v>1.25</v>
      </c>
    </row>
    <row r="6793" s="76" customFormat="1" spans="1:6">
      <c r="A6793">
        <v>6944</v>
      </c>
      <c r="B6793">
        <v>372016270</v>
      </c>
      <c r="C6793" s="76">
        <v>2016</v>
      </c>
      <c r="D6793" s="76" t="s">
        <v>31</v>
      </c>
      <c r="E6793" s="76" t="s">
        <v>32</v>
      </c>
      <c r="F6793" s="76">
        <v>10</v>
      </c>
    </row>
    <row r="6794" s="76" customFormat="1" spans="1:6">
      <c r="A6794">
        <v>6984</v>
      </c>
      <c r="B6794">
        <v>372016270</v>
      </c>
      <c r="C6794" s="76">
        <v>2016</v>
      </c>
      <c r="D6794" s="76" t="s">
        <v>31</v>
      </c>
      <c r="E6794" s="76" t="s">
        <v>32</v>
      </c>
      <c r="F6794" s="76">
        <v>2</v>
      </c>
    </row>
    <row r="6795" s="76" customFormat="1" spans="1:6">
      <c r="A6795">
        <v>6952</v>
      </c>
      <c r="B6795">
        <v>372016270</v>
      </c>
      <c r="C6795" s="76">
        <v>2016</v>
      </c>
      <c r="D6795" s="76" t="s">
        <v>31</v>
      </c>
      <c r="E6795" s="76" t="s">
        <v>32</v>
      </c>
      <c r="F6795" s="76">
        <v>1.5</v>
      </c>
    </row>
    <row r="6796" s="76" customFormat="1" spans="1:6">
      <c r="A6796">
        <v>7004</v>
      </c>
      <c r="B6796">
        <v>372016270</v>
      </c>
      <c r="C6796" s="76">
        <v>2016</v>
      </c>
      <c r="D6796" s="76" t="s">
        <v>31</v>
      </c>
      <c r="E6796" s="76" t="s">
        <v>32</v>
      </c>
      <c r="F6796" s="76">
        <v>3</v>
      </c>
    </row>
    <row r="6797" s="76" customFormat="1" spans="1:6">
      <c r="A6797">
        <v>6947</v>
      </c>
      <c r="B6797">
        <v>372016270</v>
      </c>
      <c r="C6797" s="76">
        <v>2016</v>
      </c>
      <c r="D6797" s="76" t="s">
        <v>31</v>
      </c>
      <c r="E6797" s="76" t="s">
        <v>32</v>
      </c>
      <c r="F6797" s="76">
        <v>1.2</v>
      </c>
    </row>
    <row r="6798" s="76" customFormat="1" spans="1:6">
      <c r="A6798">
        <v>6939</v>
      </c>
      <c r="B6798">
        <v>372016270</v>
      </c>
      <c r="C6798" s="76">
        <v>2016</v>
      </c>
      <c r="D6798" s="76" t="s">
        <v>31</v>
      </c>
      <c r="E6798" s="76" t="s">
        <v>32</v>
      </c>
      <c r="F6798" s="76">
        <v>2</v>
      </c>
    </row>
    <row r="6799" s="76" customFormat="1" spans="1:6">
      <c r="A6799">
        <v>6954</v>
      </c>
      <c r="B6799">
        <v>372016270</v>
      </c>
      <c r="C6799" s="76">
        <v>2016</v>
      </c>
      <c r="D6799" s="76" t="s">
        <v>31</v>
      </c>
      <c r="E6799" s="76" t="s">
        <v>32</v>
      </c>
      <c r="F6799" s="76">
        <v>3</v>
      </c>
    </row>
    <row r="6800" s="76" customFormat="1" spans="1:6">
      <c r="A6800">
        <v>6982</v>
      </c>
      <c r="B6800">
        <v>372016270</v>
      </c>
      <c r="C6800" s="76">
        <v>2016</v>
      </c>
      <c r="D6800" s="76" t="s">
        <v>31</v>
      </c>
      <c r="E6800" s="76" t="s">
        <v>32</v>
      </c>
      <c r="F6800" s="76">
        <v>4.85</v>
      </c>
    </row>
    <row r="6801" s="76" customFormat="1" spans="1:6">
      <c r="A6801">
        <v>6983</v>
      </c>
      <c r="B6801">
        <v>372016270</v>
      </c>
      <c r="C6801" s="76">
        <v>2016</v>
      </c>
      <c r="D6801" s="76" t="s">
        <v>31</v>
      </c>
      <c r="E6801" s="76" t="s">
        <v>32</v>
      </c>
      <c r="F6801" s="76">
        <v>2</v>
      </c>
    </row>
    <row r="6802" s="76" customFormat="1" spans="1:6">
      <c r="A6802">
        <v>7005</v>
      </c>
      <c r="B6802">
        <v>372016270</v>
      </c>
      <c r="C6802" s="76">
        <v>2016</v>
      </c>
      <c r="D6802" s="76" t="s">
        <v>31</v>
      </c>
      <c r="E6802" s="76" t="s">
        <v>32</v>
      </c>
      <c r="F6802" s="76">
        <v>2</v>
      </c>
    </row>
    <row r="6803" s="76" customFormat="1" spans="1:6">
      <c r="A6803">
        <v>6987</v>
      </c>
      <c r="B6803">
        <v>372016270</v>
      </c>
      <c r="C6803" s="76">
        <v>2016</v>
      </c>
      <c r="D6803" s="76" t="s">
        <v>31</v>
      </c>
      <c r="E6803" s="76" t="s">
        <v>32</v>
      </c>
      <c r="F6803" s="76">
        <v>2</v>
      </c>
    </row>
    <row r="6804" s="76" customFormat="1" spans="1:6">
      <c r="A6804">
        <v>7025</v>
      </c>
      <c r="B6804">
        <v>372017211</v>
      </c>
      <c r="C6804" s="76">
        <v>2017</v>
      </c>
      <c r="D6804" s="76" t="s">
        <v>37</v>
      </c>
      <c r="E6804" s="76" t="s">
        <v>32</v>
      </c>
      <c r="F6804" s="76">
        <v>2</v>
      </c>
    </row>
    <row r="6805" s="76" customFormat="1" spans="1:6">
      <c r="A6805">
        <v>7023</v>
      </c>
      <c r="B6805">
        <v>372017211</v>
      </c>
      <c r="C6805" s="76">
        <v>2017</v>
      </c>
      <c r="D6805" s="76" t="s">
        <v>37</v>
      </c>
      <c r="E6805" s="76" t="s">
        <v>32</v>
      </c>
      <c r="F6805" s="76">
        <v>3</v>
      </c>
    </row>
    <row r="6806" s="76" customFormat="1" spans="1:6">
      <c r="A6806">
        <v>7026</v>
      </c>
      <c r="B6806">
        <v>372017211</v>
      </c>
      <c r="C6806" s="76">
        <v>2017</v>
      </c>
      <c r="D6806" s="76" t="s">
        <v>37</v>
      </c>
      <c r="E6806" s="76" t="s">
        <v>32</v>
      </c>
      <c r="F6806" s="76">
        <v>1.5</v>
      </c>
    </row>
    <row r="6807" s="76" customFormat="1" spans="1:6">
      <c r="A6807">
        <v>7013</v>
      </c>
      <c r="B6807">
        <v>372017211</v>
      </c>
      <c r="C6807" s="76">
        <v>2017</v>
      </c>
      <c r="D6807" s="76" t="s">
        <v>37</v>
      </c>
      <c r="E6807" s="76">
        <v>1</v>
      </c>
      <c r="F6807" s="76">
        <v>66</v>
      </c>
    </row>
    <row r="6808" s="76" customFormat="1" spans="1:6">
      <c r="A6808">
        <v>7022</v>
      </c>
      <c r="B6808">
        <v>372017211</v>
      </c>
      <c r="C6808" s="76">
        <v>2017</v>
      </c>
      <c r="D6808" s="76" t="s">
        <v>37</v>
      </c>
      <c r="E6808" s="76" t="s">
        <v>32</v>
      </c>
      <c r="F6808" s="76">
        <v>4.8</v>
      </c>
    </row>
    <row r="6809" s="76" customFormat="1" spans="1:6">
      <c r="A6809">
        <v>7029</v>
      </c>
      <c r="B6809">
        <v>372017211</v>
      </c>
      <c r="C6809" s="76">
        <v>2017</v>
      </c>
      <c r="D6809" s="76" t="s">
        <v>37</v>
      </c>
      <c r="E6809" s="76" t="s">
        <v>32</v>
      </c>
      <c r="F6809" s="76">
        <v>2.5</v>
      </c>
    </row>
    <row r="6810" s="76" customFormat="1" spans="1:6">
      <c r="A6810">
        <v>7018</v>
      </c>
      <c r="B6810">
        <v>372017211</v>
      </c>
      <c r="C6810" s="76">
        <v>2017</v>
      </c>
      <c r="D6810" s="76" t="s">
        <v>37</v>
      </c>
      <c r="E6810" s="76" t="s">
        <v>32</v>
      </c>
      <c r="F6810" s="76">
        <v>635</v>
      </c>
    </row>
    <row r="6811" s="76" customFormat="1" spans="1:6">
      <c r="A6811">
        <v>7024</v>
      </c>
      <c r="B6811">
        <v>372017211</v>
      </c>
      <c r="C6811" s="76">
        <v>2017</v>
      </c>
      <c r="D6811" s="76" t="s">
        <v>37</v>
      </c>
      <c r="E6811" s="76" t="s">
        <v>32</v>
      </c>
      <c r="F6811" s="76">
        <v>2.5</v>
      </c>
    </row>
    <row r="6812" s="76" customFormat="1" spans="1:6">
      <c r="A6812">
        <v>7020</v>
      </c>
      <c r="B6812">
        <v>372017211</v>
      </c>
      <c r="C6812" s="76">
        <v>2017</v>
      </c>
      <c r="D6812" s="76" t="s">
        <v>37</v>
      </c>
      <c r="E6812" s="76" t="s">
        <v>32</v>
      </c>
      <c r="F6812" s="76">
        <v>2</v>
      </c>
    </row>
    <row r="6813" s="76" customFormat="1" spans="1:6">
      <c r="A6813">
        <v>7031</v>
      </c>
      <c r="B6813">
        <v>372017211</v>
      </c>
      <c r="C6813" s="76">
        <v>2017</v>
      </c>
      <c r="D6813" s="76" t="s">
        <v>37</v>
      </c>
      <c r="E6813" s="76" t="s">
        <v>32</v>
      </c>
      <c r="F6813" s="76">
        <v>3</v>
      </c>
    </row>
    <row r="6814" s="76" customFormat="1" spans="1:6">
      <c r="A6814">
        <v>7019</v>
      </c>
      <c r="B6814">
        <v>372017211</v>
      </c>
      <c r="C6814" s="76">
        <v>2017</v>
      </c>
      <c r="D6814" s="76" t="s">
        <v>37</v>
      </c>
      <c r="E6814" s="76" t="s">
        <v>32</v>
      </c>
      <c r="F6814" s="76">
        <v>3</v>
      </c>
    </row>
    <row r="6815" s="76" customFormat="1" spans="1:6">
      <c r="A6815">
        <v>7028</v>
      </c>
      <c r="B6815">
        <v>372017211</v>
      </c>
      <c r="C6815" s="76">
        <v>2017</v>
      </c>
      <c r="D6815" s="76" t="s">
        <v>37</v>
      </c>
      <c r="E6815" s="76" t="s">
        <v>32</v>
      </c>
      <c r="F6815" s="76">
        <v>0.6</v>
      </c>
    </row>
    <row r="6816" s="76" customFormat="1" spans="1:6">
      <c r="A6816">
        <v>7014</v>
      </c>
      <c r="B6816">
        <v>372017211</v>
      </c>
      <c r="C6816" s="76">
        <v>2017</v>
      </c>
      <c r="D6816" s="76" t="s">
        <v>37</v>
      </c>
      <c r="E6816" s="76" t="s">
        <v>32</v>
      </c>
      <c r="F6816" s="76">
        <v>0.6</v>
      </c>
    </row>
    <row r="6817" s="76" customFormat="1" spans="1:6">
      <c r="A6817">
        <v>7016</v>
      </c>
      <c r="B6817">
        <v>372017211</v>
      </c>
      <c r="C6817" s="76">
        <v>2017</v>
      </c>
      <c r="D6817" s="76" t="s">
        <v>37</v>
      </c>
      <c r="E6817" s="76">
        <v>1</v>
      </c>
      <c r="F6817" s="76">
        <v>35</v>
      </c>
    </row>
    <row r="6818" s="76" customFormat="1" spans="1:6">
      <c r="A6818">
        <v>7030</v>
      </c>
      <c r="B6818">
        <v>372017211</v>
      </c>
      <c r="C6818" s="76">
        <v>2017</v>
      </c>
      <c r="D6818" s="76" t="s">
        <v>37</v>
      </c>
      <c r="E6818" s="76" t="s">
        <v>32</v>
      </c>
      <c r="F6818" s="76">
        <v>2</v>
      </c>
    </row>
    <row r="6819" s="76" customFormat="1" spans="1:6">
      <c r="A6819">
        <v>7021</v>
      </c>
      <c r="B6819">
        <v>372017211</v>
      </c>
      <c r="C6819" s="76">
        <v>2017</v>
      </c>
      <c r="D6819" s="76" t="s">
        <v>37</v>
      </c>
      <c r="E6819" s="76" t="s">
        <v>32</v>
      </c>
      <c r="F6819" s="76">
        <v>0.6</v>
      </c>
    </row>
    <row r="6820" s="76" customFormat="1" spans="1:6">
      <c r="A6820">
        <v>7015</v>
      </c>
      <c r="B6820">
        <v>372017211</v>
      </c>
      <c r="C6820" s="76">
        <v>2017</v>
      </c>
      <c r="D6820" s="76" t="s">
        <v>37</v>
      </c>
      <c r="E6820" s="76" t="s">
        <v>32</v>
      </c>
      <c r="F6820" s="76">
        <v>0.3</v>
      </c>
    </row>
    <row r="6821" s="76" customFormat="1" spans="1:6">
      <c r="A6821">
        <v>7017</v>
      </c>
      <c r="B6821">
        <v>372017211</v>
      </c>
      <c r="C6821" s="76">
        <v>2017</v>
      </c>
      <c r="D6821" s="76" t="s">
        <v>37</v>
      </c>
      <c r="E6821" s="76" t="s">
        <v>32</v>
      </c>
      <c r="F6821" s="76">
        <v>2.5</v>
      </c>
    </row>
    <row r="6822" s="76" customFormat="1" spans="1:6">
      <c r="A6822">
        <v>7027</v>
      </c>
      <c r="B6822">
        <v>372017211</v>
      </c>
      <c r="C6822" s="76">
        <v>2017</v>
      </c>
      <c r="D6822" s="76" t="s">
        <v>37</v>
      </c>
      <c r="E6822" s="76" t="s">
        <v>32</v>
      </c>
      <c r="F6822" s="76">
        <v>2.4</v>
      </c>
    </row>
    <row r="6823" s="76" customFormat="1" spans="1:6">
      <c r="A6823">
        <v>7036</v>
      </c>
      <c r="B6823">
        <v>372017241</v>
      </c>
      <c r="C6823" s="76">
        <v>2017</v>
      </c>
      <c r="D6823" s="76" t="s">
        <v>33</v>
      </c>
      <c r="E6823" s="76" t="s">
        <v>32</v>
      </c>
      <c r="F6823" s="76">
        <v>2.5</v>
      </c>
    </row>
    <row r="6824" s="76" customFormat="1" spans="1:6">
      <c r="A6824">
        <v>7034</v>
      </c>
      <c r="B6824">
        <v>372017241</v>
      </c>
      <c r="C6824" s="76">
        <v>2017</v>
      </c>
      <c r="D6824" s="76" t="s">
        <v>33</v>
      </c>
      <c r="E6824" s="76" t="s">
        <v>32</v>
      </c>
      <c r="F6824" s="76">
        <v>1.6</v>
      </c>
    </row>
    <row r="6825" s="76" customFormat="1" spans="1:6">
      <c r="A6825">
        <v>7035</v>
      </c>
      <c r="B6825">
        <v>372017241</v>
      </c>
      <c r="C6825" s="76">
        <v>2017</v>
      </c>
      <c r="D6825" s="76" t="s">
        <v>33</v>
      </c>
      <c r="E6825" s="76" t="s">
        <v>32</v>
      </c>
      <c r="F6825" s="76">
        <v>2</v>
      </c>
    </row>
    <row r="6826" s="76" customFormat="1" spans="1:6">
      <c r="A6826">
        <v>7038</v>
      </c>
      <c r="B6826">
        <v>372017241</v>
      </c>
      <c r="C6826" s="76">
        <v>2017</v>
      </c>
      <c r="D6826" s="76" t="s">
        <v>33</v>
      </c>
      <c r="E6826" s="76" t="s">
        <v>32</v>
      </c>
      <c r="F6826" s="76">
        <v>2</v>
      </c>
    </row>
    <row r="6827" s="76" customFormat="1" spans="1:6">
      <c r="A6827">
        <v>7037</v>
      </c>
      <c r="B6827">
        <v>372017241</v>
      </c>
      <c r="C6827" s="76">
        <v>2017</v>
      </c>
      <c r="D6827" s="76" t="s">
        <v>33</v>
      </c>
      <c r="E6827" s="76" t="s">
        <v>32</v>
      </c>
      <c r="F6827" s="76">
        <v>0.7</v>
      </c>
    </row>
    <row r="6828" s="76" customFormat="1" spans="1:6">
      <c r="A6828">
        <v>7032</v>
      </c>
      <c r="B6828">
        <v>372017241</v>
      </c>
      <c r="C6828" s="76">
        <v>2017</v>
      </c>
      <c r="D6828" s="76" t="s">
        <v>33</v>
      </c>
      <c r="E6828" s="76" t="s">
        <v>32</v>
      </c>
      <c r="F6828" s="76">
        <v>1</v>
      </c>
    </row>
    <row r="6829" s="76" customFormat="1" spans="1:6">
      <c r="A6829">
        <v>7051</v>
      </c>
      <c r="B6829">
        <v>372017242</v>
      </c>
      <c r="C6829" s="76">
        <v>2017</v>
      </c>
      <c r="D6829" s="76" t="s">
        <v>35</v>
      </c>
      <c r="E6829" s="76" t="s">
        <v>32</v>
      </c>
      <c r="F6829" s="76">
        <v>1.2</v>
      </c>
    </row>
    <row r="6830" s="76" customFormat="1" spans="1:6">
      <c r="A6830">
        <v>7040</v>
      </c>
      <c r="B6830">
        <v>372017242</v>
      </c>
      <c r="C6830" s="76">
        <v>2017</v>
      </c>
      <c r="D6830" s="76" t="s">
        <v>35</v>
      </c>
      <c r="E6830" s="76" t="s">
        <v>32</v>
      </c>
      <c r="F6830" s="76">
        <v>1.2</v>
      </c>
    </row>
    <row r="6831" s="76" customFormat="1" spans="1:6">
      <c r="A6831">
        <v>7043</v>
      </c>
      <c r="B6831">
        <v>372017242</v>
      </c>
      <c r="C6831" s="76">
        <v>2017</v>
      </c>
      <c r="D6831" s="76" t="s">
        <v>35</v>
      </c>
      <c r="E6831" s="76" t="s">
        <v>32</v>
      </c>
      <c r="F6831" s="76">
        <v>1.2</v>
      </c>
    </row>
    <row r="6832" s="76" customFormat="1" spans="1:6">
      <c r="A6832">
        <v>7045</v>
      </c>
      <c r="B6832">
        <v>372017242</v>
      </c>
      <c r="C6832" s="76">
        <v>2017</v>
      </c>
      <c r="D6832" s="76" t="s">
        <v>35</v>
      </c>
      <c r="E6832" s="76" t="s">
        <v>32</v>
      </c>
      <c r="F6832" s="76">
        <v>0.6</v>
      </c>
    </row>
    <row r="6833" s="76" customFormat="1" spans="1:6">
      <c r="A6833">
        <v>7053</v>
      </c>
      <c r="B6833">
        <v>372017242</v>
      </c>
      <c r="C6833" s="76">
        <v>2017</v>
      </c>
      <c r="D6833" s="76" t="s">
        <v>35</v>
      </c>
      <c r="E6833" s="76" t="s">
        <v>32</v>
      </c>
      <c r="F6833" s="76">
        <v>0.6</v>
      </c>
    </row>
    <row r="6834" s="76" customFormat="1" spans="1:6">
      <c r="A6834">
        <v>7042</v>
      </c>
      <c r="B6834">
        <v>372017242</v>
      </c>
      <c r="C6834" s="76">
        <v>2017</v>
      </c>
      <c r="D6834" s="76" t="s">
        <v>35</v>
      </c>
      <c r="E6834" s="76" t="s">
        <v>32</v>
      </c>
      <c r="F6834" s="76">
        <v>2</v>
      </c>
    </row>
    <row r="6835" s="76" customFormat="1" spans="1:6">
      <c r="A6835">
        <v>7052</v>
      </c>
      <c r="B6835">
        <v>372017242</v>
      </c>
      <c r="C6835" s="76">
        <v>2017</v>
      </c>
      <c r="D6835" s="76" t="s">
        <v>35</v>
      </c>
      <c r="E6835" s="76" t="s">
        <v>32</v>
      </c>
      <c r="F6835" s="76">
        <v>1.5</v>
      </c>
    </row>
    <row r="6836" s="76" customFormat="1" spans="1:6">
      <c r="A6836">
        <v>7049</v>
      </c>
      <c r="B6836">
        <v>372017242</v>
      </c>
      <c r="C6836" s="76">
        <v>2017</v>
      </c>
      <c r="D6836" s="76" t="s">
        <v>35</v>
      </c>
      <c r="E6836" s="76" t="s">
        <v>32</v>
      </c>
      <c r="F6836" s="76">
        <v>0.75</v>
      </c>
    </row>
    <row r="6837" s="76" customFormat="1" spans="1:6">
      <c r="A6837">
        <v>7058</v>
      </c>
      <c r="B6837">
        <v>372017242</v>
      </c>
      <c r="C6837" s="76">
        <v>2017</v>
      </c>
      <c r="D6837" s="76" t="s">
        <v>35</v>
      </c>
      <c r="E6837" s="76" t="s">
        <v>32</v>
      </c>
      <c r="F6837" s="76">
        <v>1.5</v>
      </c>
    </row>
    <row r="6838" s="76" customFormat="1" spans="1:6">
      <c r="A6838">
        <v>7046</v>
      </c>
      <c r="B6838">
        <v>372017242</v>
      </c>
      <c r="C6838" s="76">
        <v>2017</v>
      </c>
      <c r="D6838" s="76" t="s">
        <v>35</v>
      </c>
      <c r="E6838" s="76" t="s">
        <v>32</v>
      </c>
      <c r="F6838" s="76">
        <v>1.5</v>
      </c>
    </row>
    <row r="6839" s="76" customFormat="1" spans="1:6">
      <c r="A6839">
        <v>7054</v>
      </c>
      <c r="B6839">
        <v>372017242</v>
      </c>
      <c r="C6839" s="76">
        <v>2017</v>
      </c>
      <c r="D6839" s="76" t="s">
        <v>35</v>
      </c>
      <c r="E6839" s="76" t="s">
        <v>32</v>
      </c>
      <c r="F6839" s="76">
        <v>1.5</v>
      </c>
    </row>
    <row r="6840" s="76" customFormat="1" spans="1:6">
      <c r="A6840">
        <v>7057</v>
      </c>
      <c r="B6840">
        <v>372017242</v>
      </c>
      <c r="C6840" s="76">
        <v>2017</v>
      </c>
      <c r="D6840" s="76" t="s">
        <v>35</v>
      </c>
      <c r="E6840" s="76" t="s">
        <v>32</v>
      </c>
      <c r="F6840" s="76">
        <v>0.9</v>
      </c>
    </row>
    <row r="6841" s="76" customFormat="1" spans="1:6">
      <c r="A6841">
        <v>7048</v>
      </c>
      <c r="B6841">
        <v>372017242</v>
      </c>
      <c r="C6841" s="76">
        <v>2017</v>
      </c>
      <c r="D6841" s="76" t="s">
        <v>35</v>
      </c>
      <c r="E6841" s="76" t="s">
        <v>32</v>
      </c>
      <c r="F6841" s="76">
        <v>1.2</v>
      </c>
    </row>
    <row r="6842" s="76" customFormat="1" spans="1:6">
      <c r="A6842">
        <v>7039</v>
      </c>
      <c r="B6842">
        <v>372017242</v>
      </c>
      <c r="C6842" s="76">
        <v>2017</v>
      </c>
      <c r="D6842" s="76" t="s">
        <v>35</v>
      </c>
      <c r="E6842" s="76" t="s">
        <v>32</v>
      </c>
      <c r="F6842" s="76">
        <v>1.5</v>
      </c>
    </row>
    <row r="6843" s="76" customFormat="1" spans="1:6">
      <c r="A6843">
        <v>7041</v>
      </c>
      <c r="B6843">
        <v>372017242</v>
      </c>
      <c r="C6843" s="76">
        <v>2017</v>
      </c>
      <c r="D6843" s="76" t="s">
        <v>35</v>
      </c>
      <c r="E6843" s="76" t="s">
        <v>32</v>
      </c>
      <c r="F6843" s="76">
        <v>1.2</v>
      </c>
    </row>
    <row r="6844" s="76" customFormat="1" spans="1:6">
      <c r="A6844">
        <v>7047</v>
      </c>
      <c r="B6844">
        <v>372017242</v>
      </c>
      <c r="C6844" s="76">
        <v>2017</v>
      </c>
      <c r="D6844" s="76" t="s">
        <v>35</v>
      </c>
      <c r="E6844" s="76" t="s">
        <v>32</v>
      </c>
      <c r="F6844" s="76">
        <v>1.2</v>
      </c>
    </row>
    <row r="6845" s="76" customFormat="1" spans="1:6">
      <c r="A6845">
        <v>7050</v>
      </c>
      <c r="B6845">
        <v>372017242</v>
      </c>
      <c r="C6845" s="76">
        <v>2017</v>
      </c>
      <c r="D6845" s="76" t="s">
        <v>35</v>
      </c>
      <c r="E6845" s="76" t="s">
        <v>32</v>
      </c>
      <c r="F6845" s="76">
        <v>1.2</v>
      </c>
    </row>
    <row r="6846" s="76" customFormat="1" spans="1:6">
      <c r="A6846">
        <v>7055</v>
      </c>
      <c r="B6846">
        <v>372017242</v>
      </c>
      <c r="C6846" s="76">
        <v>2017</v>
      </c>
      <c r="D6846" s="76" t="s">
        <v>35</v>
      </c>
      <c r="E6846" s="76" t="s">
        <v>32</v>
      </c>
      <c r="F6846" s="76">
        <v>0.9</v>
      </c>
    </row>
    <row r="6847" s="76" customFormat="1" spans="1:6">
      <c r="A6847">
        <v>7056</v>
      </c>
      <c r="B6847">
        <v>372017242</v>
      </c>
      <c r="C6847" s="76">
        <v>2017</v>
      </c>
      <c r="D6847" s="76" t="s">
        <v>35</v>
      </c>
      <c r="E6847" s="76" t="s">
        <v>32</v>
      </c>
      <c r="F6847" s="76">
        <v>0.9</v>
      </c>
    </row>
    <row r="6848" s="76" customFormat="1" spans="1:6">
      <c r="A6848">
        <v>7044</v>
      </c>
      <c r="B6848">
        <v>372017242</v>
      </c>
      <c r="C6848" s="76">
        <v>2017</v>
      </c>
      <c r="D6848" s="76" t="s">
        <v>35</v>
      </c>
      <c r="E6848" s="76" t="s">
        <v>32</v>
      </c>
      <c r="F6848" s="76">
        <v>1.8</v>
      </c>
    </row>
    <row r="6849" s="76" customFormat="1" spans="1:6">
      <c r="A6849">
        <v>7059</v>
      </c>
      <c r="B6849">
        <v>372017242</v>
      </c>
      <c r="C6849" s="76">
        <v>2017</v>
      </c>
      <c r="D6849" s="76" t="s">
        <v>35</v>
      </c>
      <c r="E6849" s="76" t="s">
        <v>32</v>
      </c>
      <c r="F6849" s="76">
        <v>1.2</v>
      </c>
    </row>
    <row r="6850" s="76" customFormat="1" spans="1:6">
      <c r="A6850">
        <v>7067</v>
      </c>
      <c r="B6850">
        <v>372017243</v>
      </c>
      <c r="C6850" s="76">
        <v>2017</v>
      </c>
      <c r="D6850" s="76" t="s">
        <v>38</v>
      </c>
      <c r="E6850" s="76" t="s">
        <v>32</v>
      </c>
      <c r="F6850" s="76">
        <v>1.5</v>
      </c>
    </row>
    <row r="6851" s="76" customFormat="1" spans="1:6">
      <c r="A6851">
        <v>7061</v>
      </c>
      <c r="B6851">
        <v>372017243</v>
      </c>
      <c r="C6851" s="76">
        <v>2017</v>
      </c>
      <c r="D6851" s="76" t="s">
        <v>38</v>
      </c>
      <c r="E6851" s="76" t="s">
        <v>32</v>
      </c>
      <c r="F6851" s="76">
        <v>0.7</v>
      </c>
    </row>
    <row r="6852" s="76" customFormat="1" spans="1:6">
      <c r="A6852">
        <v>7060</v>
      </c>
      <c r="B6852">
        <v>372017243</v>
      </c>
      <c r="C6852" s="76">
        <v>2017</v>
      </c>
      <c r="D6852" s="76" t="s">
        <v>38</v>
      </c>
      <c r="E6852" s="76" t="s">
        <v>32</v>
      </c>
      <c r="F6852" s="76">
        <v>2.4</v>
      </c>
    </row>
    <row r="6853" s="76" customFormat="1" spans="1:6">
      <c r="A6853">
        <v>7063</v>
      </c>
      <c r="B6853">
        <v>372017243</v>
      </c>
      <c r="C6853" s="76">
        <v>2017</v>
      </c>
      <c r="D6853" s="76" t="s">
        <v>38</v>
      </c>
      <c r="E6853" s="76" t="s">
        <v>32</v>
      </c>
      <c r="F6853" s="76">
        <v>4</v>
      </c>
    </row>
    <row r="6854" s="76" customFormat="1" spans="1:6">
      <c r="A6854">
        <v>7062</v>
      </c>
      <c r="B6854">
        <v>372017243</v>
      </c>
      <c r="C6854" s="76">
        <v>2017</v>
      </c>
      <c r="D6854" s="76" t="s">
        <v>38</v>
      </c>
      <c r="E6854" s="76" t="s">
        <v>32</v>
      </c>
      <c r="F6854" s="76">
        <v>1.5</v>
      </c>
    </row>
    <row r="6855" s="76" customFormat="1" spans="1:6">
      <c r="A6855">
        <v>7064</v>
      </c>
      <c r="B6855">
        <v>372017243</v>
      </c>
      <c r="C6855" s="76">
        <v>2017</v>
      </c>
      <c r="D6855" s="76" t="s">
        <v>38</v>
      </c>
      <c r="E6855" s="76" t="s">
        <v>32</v>
      </c>
      <c r="F6855" s="76">
        <v>1.2</v>
      </c>
    </row>
    <row r="6856" s="76" customFormat="1" spans="1:6">
      <c r="A6856">
        <v>7066</v>
      </c>
      <c r="B6856">
        <v>372017243</v>
      </c>
      <c r="C6856" s="76">
        <v>2017</v>
      </c>
      <c r="D6856" s="76" t="s">
        <v>38</v>
      </c>
      <c r="E6856" s="76" t="s">
        <v>32</v>
      </c>
      <c r="F6856" s="76">
        <v>1.5</v>
      </c>
    </row>
    <row r="6857" s="76" customFormat="1" spans="1:6">
      <c r="A6857">
        <v>7065</v>
      </c>
      <c r="B6857">
        <v>372017243</v>
      </c>
      <c r="C6857" s="76">
        <v>2017</v>
      </c>
      <c r="D6857" s="76" t="s">
        <v>38</v>
      </c>
      <c r="E6857" s="76" t="s">
        <v>32</v>
      </c>
      <c r="F6857" s="76">
        <v>1.2</v>
      </c>
    </row>
    <row r="6858" s="76" customFormat="1" spans="1:6">
      <c r="A6858">
        <v>7093</v>
      </c>
      <c r="B6858">
        <v>372017260</v>
      </c>
      <c r="C6858" s="76">
        <v>2017</v>
      </c>
      <c r="D6858" s="76" t="s">
        <v>34</v>
      </c>
      <c r="E6858" s="76" t="s">
        <v>32</v>
      </c>
      <c r="F6858" s="76">
        <v>4.4</v>
      </c>
    </row>
    <row r="6859" s="76" customFormat="1" spans="1:6">
      <c r="A6859">
        <v>7088</v>
      </c>
      <c r="B6859">
        <v>372017260</v>
      </c>
      <c r="C6859" s="76">
        <v>2017</v>
      </c>
      <c r="D6859" s="76" t="s">
        <v>34</v>
      </c>
      <c r="E6859" s="76" t="s">
        <v>32</v>
      </c>
      <c r="F6859" s="76">
        <v>5</v>
      </c>
    </row>
    <row r="6860" s="76" customFormat="1" spans="1:6">
      <c r="A6860">
        <v>7083</v>
      </c>
      <c r="B6860">
        <v>372017260</v>
      </c>
      <c r="C6860" s="76">
        <v>2017</v>
      </c>
      <c r="D6860" s="76" t="s">
        <v>34</v>
      </c>
      <c r="E6860" s="76" t="s">
        <v>32</v>
      </c>
      <c r="F6860" s="76">
        <v>4.95</v>
      </c>
    </row>
    <row r="6861" s="76" customFormat="1" spans="1:6">
      <c r="A6861">
        <v>7085</v>
      </c>
      <c r="B6861">
        <v>372017260</v>
      </c>
      <c r="C6861" s="76">
        <v>2017</v>
      </c>
      <c r="D6861" s="76" t="s">
        <v>34</v>
      </c>
      <c r="E6861" s="76" t="s">
        <v>32</v>
      </c>
      <c r="F6861" s="76">
        <v>9.6</v>
      </c>
    </row>
    <row r="6862" s="76" customFormat="1" spans="1:6">
      <c r="A6862">
        <v>7092</v>
      </c>
      <c r="B6862">
        <v>372017260</v>
      </c>
      <c r="C6862" s="76">
        <v>2017</v>
      </c>
      <c r="D6862" s="76" t="s">
        <v>34</v>
      </c>
      <c r="E6862" s="76" t="s">
        <v>32</v>
      </c>
      <c r="F6862" s="76">
        <v>2.45</v>
      </c>
    </row>
    <row r="6863" s="76" customFormat="1" spans="1:6">
      <c r="A6863">
        <v>7091</v>
      </c>
      <c r="B6863">
        <v>372017260</v>
      </c>
      <c r="C6863" s="76">
        <v>2017</v>
      </c>
      <c r="D6863" s="76" t="s">
        <v>34</v>
      </c>
      <c r="E6863" s="76" t="s">
        <v>32</v>
      </c>
      <c r="F6863" s="76">
        <v>4.8</v>
      </c>
    </row>
    <row r="6864" s="76" customFormat="1" spans="1:6">
      <c r="A6864">
        <v>7073</v>
      </c>
      <c r="B6864">
        <v>372017260</v>
      </c>
      <c r="C6864" s="76">
        <v>2017</v>
      </c>
      <c r="D6864" s="76" t="s">
        <v>34</v>
      </c>
      <c r="E6864" s="76">
        <v>27</v>
      </c>
      <c r="F6864" s="76">
        <v>5.94</v>
      </c>
    </row>
    <row r="6865" s="76" customFormat="1" spans="1:6">
      <c r="A6865">
        <v>7095</v>
      </c>
      <c r="B6865">
        <v>372017260</v>
      </c>
      <c r="C6865" s="76">
        <v>2017</v>
      </c>
      <c r="D6865" s="76" t="s">
        <v>34</v>
      </c>
      <c r="E6865" s="76">
        <v>33</v>
      </c>
      <c r="F6865" s="76">
        <v>4.95</v>
      </c>
    </row>
    <row r="6866" s="76" customFormat="1" spans="1:6">
      <c r="A6866">
        <v>7074</v>
      </c>
      <c r="B6866">
        <v>372017260</v>
      </c>
      <c r="C6866" s="76">
        <v>2017</v>
      </c>
      <c r="D6866" s="76" t="s">
        <v>34</v>
      </c>
      <c r="E6866" s="76" t="s">
        <v>32</v>
      </c>
      <c r="F6866" s="76">
        <v>10</v>
      </c>
    </row>
    <row r="6867" s="76" customFormat="1" spans="1:6">
      <c r="A6867">
        <v>7076</v>
      </c>
      <c r="B6867">
        <v>372017260</v>
      </c>
      <c r="C6867" s="76">
        <v>2017</v>
      </c>
      <c r="D6867" s="76" t="s">
        <v>34</v>
      </c>
      <c r="E6867" s="76">
        <v>18</v>
      </c>
      <c r="F6867" s="76">
        <v>3.6</v>
      </c>
    </row>
    <row r="6868" s="76" customFormat="1" spans="1:6">
      <c r="A6868">
        <v>7089</v>
      </c>
      <c r="B6868">
        <v>372017260</v>
      </c>
      <c r="C6868" s="76">
        <v>2017</v>
      </c>
      <c r="D6868" s="76" t="s">
        <v>34</v>
      </c>
      <c r="E6868" s="76" t="s">
        <v>32</v>
      </c>
      <c r="F6868" s="76">
        <v>4.98</v>
      </c>
    </row>
    <row r="6869" s="76" customFormat="1" spans="1:6">
      <c r="A6869">
        <v>7087</v>
      </c>
      <c r="B6869">
        <v>372017260</v>
      </c>
      <c r="C6869" s="76">
        <v>2017</v>
      </c>
      <c r="D6869" s="76" t="s">
        <v>34</v>
      </c>
      <c r="E6869" s="76" t="s">
        <v>32</v>
      </c>
      <c r="F6869" s="76">
        <v>5.46</v>
      </c>
    </row>
    <row r="6870" s="76" customFormat="1" spans="1:6">
      <c r="A6870">
        <v>7068</v>
      </c>
      <c r="B6870">
        <v>372017260</v>
      </c>
      <c r="C6870" s="76">
        <v>2017</v>
      </c>
      <c r="D6870" s="76" t="s">
        <v>34</v>
      </c>
      <c r="E6870" s="76">
        <v>20</v>
      </c>
      <c r="F6870" s="76">
        <v>4.4</v>
      </c>
    </row>
    <row r="6871" s="76" customFormat="1" spans="1:6">
      <c r="A6871">
        <v>7079</v>
      </c>
      <c r="B6871">
        <v>372017260</v>
      </c>
      <c r="C6871" s="76">
        <v>2017</v>
      </c>
      <c r="D6871" s="76" t="s">
        <v>34</v>
      </c>
      <c r="E6871" s="76">
        <v>60</v>
      </c>
      <c r="F6871" s="76">
        <v>15</v>
      </c>
    </row>
    <row r="6872" s="76" customFormat="1" spans="1:6">
      <c r="A6872">
        <v>7077</v>
      </c>
      <c r="B6872">
        <v>372017260</v>
      </c>
      <c r="C6872" s="76">
        <v>2017</v>
      </c>
      <c r="D6872" s="76" t="s">
        <v>34</v>
      </c>
      <c r="E6872" s="76">
        <v>125</v>
      </c>
      <c r="F6872" s="76">
        <v>25</v>
      </c>
    </row>
    <row r="6873" s="76" customFormat="1" spans="1:6">
      <c r="A6873">
        <v>7070</v>
      </c>
      <c r="B6873">
        <v>372017260</v>
      </c>
      <c r="C6873" s="76">
        <v>2017</v>
      </c>
      <c r="D6873" s="76" t="s">
        <v>34</v>
      </c>
      <c r="E6873" s="76">
        <v>25</v>
      </c>
      <c r="F6873" s="76">
        <v>4.99</v>
      </c>
    </row>
    <row r="6874" s="76" customFormat="1" spans="1:6">
      <c r="A6874">
        <v>7096</v>
      </c>
      <c r="B6874">
        <v>372017260</v>
      </c>
      <c r="C6874" s="76">
        <v>2017</v>
      </c>
      <c r="D6874" s="76" t="s">
        <v>34</v>
      </c>
      <c r="E6874" s="76">
        <v>25</v>
      </c>
      <c r="F6874" s="76">
        <v>4.95</v>
      </c>
    </row>
    <row r="6875" s="76" customFormat="1" spans="1:6">
      <c r="A6875">
        <v>7072</v>
      </c>
      <c r="B6875">
        <v>372017260</v>
      </c>
      <c r="C6875" s="76">
        <v>2017</v>
      </c>
      <c r="D6875" s="76" t="s">
        <v>34</v>
      </c>
      <c r="E6875" s="76">
        <v>1</v>
      </c>
      <c r="F6875" s="76">
        <v>4.8</v>
      </c>
    </row>
    <row r="6876" s="76" customFormat="1" spans="1:6">
      <c r="A6876">
        <v>7094</v>
      </c>
      <c r="B6876">
        <v>372017260</v>
      </c>
      <c r="C6876" s="76">
        <v>2017</v>
      </c>
      <c r="D6876" s="76" t="s">
        <v>34</v>
      </c>
      <c r="E6876" s="76">
        <v>33</v>
      </c>
      <c r="F6876" s="76">
        <v>4.95</v>
      </c>
    </row>
    <row r="6877" s="76" customFormat="1" spans="1:6">
      <c r="A6877">
        <v>7086</v>
      </c>
      <c r="B6877">
        <v>372017260</v>
      </c>
      <c r="C6877" s="76">
        <v>2017</v>
      </c>
      <c r="D6877" s="76" t="s">
        <v>34</v>
      </c>
      <c r="E6877" s="76" t="s">
        <v>32</v>
      </c>
      <c r="F6877" s="76">
        <v>14</v>
      </c>
    </row>
    <row r="6878" s="76" customFormat="1" spans="1:6">
      <c r="A6878">
        <v>7071</v>
      </c>
      <c r="B6878">
        <v>372017260</v>
      </c>
      <c r="C6878" s="76">
        <v>2017</v>
      </c>
      <c r="D6878" s="76" t="s">
        <v>34</v>
      </c>
      <c r="E6878" s="76">
        <v>24</v>
      </c>
      <c r="F6878" s="76">
        <v>4.8</v>
      </c>
    </row>
    <row r="6879" s="76" customFormat="1" spans="1:6">
      <c r="A6879">
        <v>7069</v>
      </c>
      <c r="B6879">
        <v>372017260</v>
      </c>
      <c r="C6879" s="76">
        <v>2017</v>
      </c>
      <c r="D6879" s="76" t="s">
        <v>34</v>
      </c>
      <c r="E6879" s="76">
        <v>22</v>
      </c>
      <c r="F6879" s="76">
        <v>4.4</v>
      </c>
    </row>
    <row r="6880" s="76" customFormat="1" spans="1:6">
      <c r="A6880">
        <v>7090</v>
      </c>
      <c r="B6880">
        <v>372017260</v>
      </c>
      <c r="C6880" s="76">
        <v>2017</v>
      </c>
      <c r="D6880" s="76" t="s">
        <v>34</v>
      </c>
      <c r="E6880" s="76" t="s">
        <v>32</v>
      </c>
      <c r="F6880" s="76">
        <v>4.8</v>
      </c>
    </row>
    <row r="6881" s="76" customFormat="1" spans="1:6">
      <c r="A6881">
        <v>7075</v>
      </c>
      <c r="B6881">
        <v>372017260</v>
      </c>
      <c r="C6881" s="76">
        <v>2017</v>
      </c>
      <c r="D6881" s="76" t="s">
        <v>34</v>
      </c>
      <c r="E6881" s="76">
        <v>20</v>
      </c>
      <c r="F6881" s="76">
        <v>4</v>
      </c>
    </row>
    <row r="6882" s="76" customFormat="1" spans="1:6">
      <c r="A6882">
        <v>7084</v>
      </c>
      <c r="B6882">
        <v>372017260</v>
      </c>
      <c r="C6882" s="76">
        <v>2017</v>
      </c>
      <c r="D6882" s="76" t="s">
        <v>34</v>
      </c>
      <c r="E6882" s="76" t="s">
        <v>32</v>
      </c>
      <c r="F6882" s="76">
        <v>4.8</v>
      </c>
    </row>
    <row r="6883" s="76" customFormat="1" spans="1:6">
      <c r="A6883">
        <v>7080</v>
      </c>
      <c r="B6883">
        <v>372017260</v>
      </c>
      <c r="C6883" s="76">
        <v>2017</v>
      </c>
      <c r="D6883" s="76" t="s">
        <v>34</v>
      </c>
      <c r="E6883" s="76">
        <v>50</v>
      </c>
      <c r="F6883" s="76">
        <v>10</v>
      </c>
    </row>
    <row r="6884" s="76" customFormat="1" spans="1:6">
      <c r="A6884">
        <v>7078</v>
      </c>
      <c r="B6884">
        <v>372017260</v>
      </c>
      <c r="C6884" s="76">
        <v>2017</v>
      </c>
      <c r="D6884" s="76" t="s">
        <v>34</v>
      </c>
      <c r="E6884" s="76" t="s">
        <v>32</v>
      </c>
      <c r="F6884" s="76">
        <v>4.4</v>
      </c>
    </row>
    <row r="6885" s="76" customFormat="1" spans="1:6">
      <c r="A6885">
        <v>7082</v>
      </c>
      <c r="B6885">
        <v>372017260</v>
      </c>
      <c r="C6885" s="76">
        <v>2017</v>
      </c>
      <c r="D6885" s="76" t="s">
        <v>34</v>
      </c>
      <c r="E6885" s="76">
        <v>20</v>
      </c>
      <c r="F6885" s="76">
        <v>5</v>
      </c>
    </row>
    <row r="6886" s="76" customFormat="1" spans="1:6">
      <c r="A6886">
        <v>7081</v>
      </c>
      <c r="B6886">
        <v>372017260</v>
      </c>
      <c r="C6886" s="76">
        <v>2017</v>
      </c>
      <c r="D6886" s="76" t="s">
        <v>34</v>
      </c>
      <c r="E6886" s="76">
        <v>20</v>
      </c>
      <c r="F6886" s="76">
        <v>5</v>
      </c>
    </row>
    <row r="6887" s="76" customFormat="1" spans="1:6">
      <c r="A6887">
        <v>7191</v>
      </c>
      <c r="B6887">
        <v>372017270</v>
      </c>
      <c r="C6887" s="76">
        <v>2017</v>
      </c>
      <c r="D6887" s="76" t="s">
        <v>31</v>
      </c>
      <c r="E6887" s="76" t="s">
        <v>32</v>
      </c>
      <c r="F6887" s="76">
        <v>8.31</v>
      </c>
    </row>
    <row r="6888" s="76" customFormat="1" spans="1:6">
      <c r="A6888">
        <v>7189</v>
      </c>
      <c r="B6888">
        <v>372017270</v>
      </c>
      <c r="C6888" s="76">
        <v>2017</v>
      </c>
      <c r="D6888" s="76" t="s">
        <v>31</v>
      </c>
      <c r="E6888" s="76" t="s">
        <v>32</v>
      </c>
      <c r="F6888" s="76">
        <v>1.1</v>
      </c>
    </row>
    <row r="6889" s="76" customFormat="1" spans="1:6">
      <c r="A6889">
        <v>7098</v>
      </c>
      <c r="B6889">
        <v>372017270</v>
      </c>
      <c r="C6889" s="76">
        <v>2017</v>
      </c>
      <c r="D6889" s="76" t="s">
        <v>31</v>
      </c>
      <c r="E6889" s="76" t="s">
        <v>32</v>
      </c>
      <c r="F6889" s="76">
        <v>18.8</v>
      </c>
    </row>
    <row r="6890" s="76" customFormat="1" spans="1:6">
      <c r="A6890">
        <v>7180</v>
      </c>
      <c r="B6890">
        <v>372017270</v>
      </c>
      <c r="C6890" s="76">
        <v>2017</v>
      </c>
      <c r="D6890" s="76" t="s">
        <v>31</v>
      </c>
      <c r="E6890" s="76" t="s">
        <v>32</v>
      </c>
      <c r="F6890" s="76">
        <v>1</v>
      </c>
    </row>
    <row r="6891" s="76" customFormat="1" spans="1:6">
      <c r="A6891">
        <v>7186</v>
      </c>
      <c r="B6891">
        <v>372017270</v>
      </c>
      <c r="C6891" s="76">
        <v>2017</v>
      </c>
      <c r="D6891" s="76" t="s">
        <v>31</v>
      </c>
      <c r="E6891" s="76" t="s">
        <v>32</v>
      </c>
      <c r="F6891" s="76">
        <v>0.07</v>
      </c>
    </row>
    <row r="6892" s="76" customFormat="1" spans="1:6">
      <c r="A6892">
        <v>7184</v>
      </c>
      <c r="B6892">
        <v>372017270</v>
      </c>
      <c r="C6892" s="76">
        <v>2017</v>
      </c>
      <c r="D6892" s="76" t="s">
        <v>31</v>
      </c>
      <c r="E6892" s="76" t="s">
        <v>32</v>
      </c>
      <c r="F6892" s="76">
        <v>0.2</v>
      </c>
    </row>
    <row r="6893" s="76" customFormat="1" spans="1:6">
      <c r="A6893">
        <v>7116</v>
      </c>
      <c r="B6893">
        <v>372017270</v>
      </c>
      <c r="C6893" s="76">
        <v>2017</v>
      </c>
      <c r="D6893" s="76" t="s">
        <v>31</v>
      </c>
      <c r="E6893" s="76">
        <v>1</v>
      </c>
      <c r="F6893" s="76">
        <v>0.5</v>
      </c>
    </row>
    <row r="6894" s="76" customFormat="1" spans="1:6">
      <c r="A6894">
        <v>7192</v>
      </c>
      <c r="B6894">
        <v>372017270</v>
      </c>
      <c r="C6894" s="76">
        <v>2017</v>
      </c>
      <c r="D6894" s="76" t="s">
        <v>31</v>
      </c>
      <c r="E6894" s="76" t="s">
        <v>32</v>
      </c>
      <c r="F6894" s="76">
        <v>2</v>
      </c>
    </row>
    <row r="6895" s="76" customFormat="1" spans="1:6">
      <c r="A6895">
        <v>7148</v>
      </c>
      <c r="B6895">
        <v>372017270</v>
      </c>
      <c r="C6895" s="76">
        <v>2017</v>
      </c>
      <c r="D6895" s="76" t="s">
        <v>31</v>
      </c>
      <c r="E6895" s="76" t="s">
        <v>32</v>
      </c>
      <c r="F6895" s="76">
        <v>0.95</v>
      </c>
    </row>
    <row r="6896" s="76" customFormat="1" spans="1:6">
      <c r="A6896">
        <v>7141</v>
      </c>
      <c r="B6896">
        <v>372017270</v>
      </c>
      <c r="C6896" s="76">
        <v>2017</v>
      </c>
      <c r="D6896" s="76" t="s">
        <v>31</v>
      </c>
      <c r="E6896" s="76" t="s">
        <v>32</v>
      </c>
      <c r="F6896" s="76">
        <v>1</v>
      </c>
    </row>
    <row r="6897" s="76" customFormat="1" spans="1:6">
      <c r="A6897">
        <v>7097</v>
      </c>
      <c r="B6897">
        <v>372017270</v>
      </c>
      <c r="C6897" s="76">
        <v>2017</v>
      </c>
      <c r="D6897" s="76" t="s">
        <v>31</v>
      </c>
      <c r="E6897" s="76" t="s">
        <v>32</v>
      </c>
      <c r="F6897" s="76">
        <v>0.3</v>
      </c>
    </row>
    <row r="6898" s="76" customFormat="1" spans="1:6">
      <c r="A6898">
        <v>7136</v>
      </c>
      <c r="B6898">
        <v>372017270</v>
      </c>
      <c r="C6898" s="76">
        <v>2017</v>
      </c>
      <c r="D6898" s="76" t="s">
        <v>31</v>
      </c>
      <c r="E6898" s="76" t="s">
        <v>32</v>
      </c>
      <c r="F6898" s="76">
        <v>1.8</v>
      </c>
    </row>
    <row r="6899" s="76" customFormat="1" spans="1:6">
      <c r="A6899">
        <v>7122</v>
      </c>
      <c r="B6899">
        <v>372017270</v>
      </c>
      <c r="C6899" s="76">
        <v>2017</v>
      </c>
      <c r="D6899" s="76" t="s">
        <v>31</v>
      </c>
      <c r="E6899" s="76" t="s">
        <v>32</v>
      </c>
      <c r="F6899" s="76">
        <v>5</v>
      </c>
    </row>
    <row r="6900" s="76" customFormat="1" spans="1:6">
      <c r="A6900">
        <v>7176</v>
      </c>
      <c r="B6900">
        <v>372017270</v>
      </c>
      <c r="C6900" s="76">
        <v>2017</v>
      </c>
      <c r="D6900" s="76" t="s">
        <v>31</v>
      </c>
      <c r="E6900" s="76" t="s">
        <v>32</v>
      </c>
      <c r="F6900" s="76">
        <v>0.9</v>
      </c>
    </row>
    <row r="6901" s="76" customFormat="1" spans="1:6">
      <c r="A6901">
        <v>7187</v>
      </c>
      <c r="B6901">
        <v>372017270</v>
      </c>
      <c r="C6901" s="76">
        <v>2017</v>
      </c>
      <c r="D6901" s="76" t="s">
        <v>31</v>
      </c>
      <c r="E6901" s="76" t="s">
        <v>32</v>
      </c>
      <c r="F6901" s="76">
        <v>4</v>
      </c>
    </row>
    <row r="6902" s="76" customFormat="1" spans="1:6">
      <c r="A6902">
        <v>7131</v>
      </c>
      <c r="B6902">
        <v>372017270</v>
      </c>
      <c r="C6902" s="76">
        <v>2017</v>
      </c>
      <c r="D6902" s="76" t="s">
        <v>31</v>
      </c>
      <c r="E6902" s="76" t="s">
        <v>32</v>
      </c>
      <c r="F6902" s="76">
        <v>1</v>
      </c>
    </row>
    <row r="6903" s="76" customFormat="1" spans="1:6">
      <c r="A6903">
        <v>7173</v>
      </c>
      <c r="B6903">
        <v>372017270</v>
      </c>
      <c r="C6903" s="76">
        <v>2017</v>
      </c>
      <c r="D6903" s="76" t="s">
        <v>31</v>
      </c>
      <c r="E6903" s="76" t="s">
        <v>32</v>
      </c>
      <c r="F6903" s="76">
        <v>8</v>
      </c>
    </row>
    <row r="6904" s="76" customFormat="1" spans="1:6">
      <c r="A6904">
        <v>7172</v>
      </c>
      <c r="B6904">
        <v>372017270</v>
      </c>
      <c r="C6904" s="76">
        <v>2017</v>
      </c>
      <c r="D6904" s="76" t="s">
        <v>31</v>
      </c>
      <c r="E6904" s="76" t="s">
        <v>32</v>
      </c>
      <c r="F6904" s="76">
        <v>6</v>
      </c>
    </row>
    <row r="6905" s="76" customFormat="1" spans="1:6">
      <c r="A6905">
        <v>7132</v>
      </c>
      <c r="B6905">
        <v>372017270</v>
      </c>
      <c r="C6905" s="76">
        <v>2017</v>
      </c>
      <c r="D6905" s="76" t="s">
        <v>31</v>
      </c>
      <c r="E6905" s="76" t="s">
        <v>32</v>
      </c>
      <c r="F6905" s="76">
        <v>2</v>
      </c>
    </row>
    <row r="6906" s="76" customFormat="1" spans="1:6">
      <c r="A6906">
        <v>7134</v>
      </c>
      <c r="B6906">
        <v>372017270</v>
      </c>
      <c r="C6906" s="76">
        <v>2017</v>
      </c>
      <c r="D6906" s="76" t="s">
        <v>31</v>
      </c>
      <c r="E6906" s="76" t="s">
        <v>32</v>
      </c>
      <c r="F6906" s="76">
        <v>4</v>
      </c>
    </row>
    <row r="6907" s="76" customFormat="1" spans="1:6">
      <c r="A6907">
        <v>7169</v>
      </c>
      <c r="B6907">
        <v>372017270</v>
      </c>
      <c r="C6907" s="76">
        <v>2017</v>
      </c>
      <c r="D6907" s="76" t="s">
        <v>31</v>
      </c>
      <c r="E6907" s="76" t="s">
        <v>32</v>
      </c>
      <c r="F6907" s="76">
        <v>1.99</v>
      </c>
    </row>
    <row r="6908" s="76" customFormat="1" spans="1:6">
      <c r="A6908">
        <v>7171</v>
      </c>
      <c r="B6908">
        <v>372017270</v>
      </c>
      <c r="C6908" s="76">
        <v>2017</v>
      </c>
      <c r="D6908" s="76" t="s">
        <v>31</v>
      </c>
      <c r="E6908" s="76" t="s">
        <v>32</v>
      </c>
      <c r="F6908" s="76">
        <v>1</v>
      </c>
    </row>
    <row r="6909" s="76" customFormat="1" spans="1:6">
      <c r="A6909">
        <v>7168</v>
      </c>
      <c r="B6909">
        <v>372017270</v>
      </c>
      <c r="C6909" s="76">
        <v>2017</v>
      </c>
      <c r="D6909" s="76" t="s">
        <v>31</v>
      </c>
      <c r="E6909" s="76" t="s">
        <v>32</v>
      </c>
      <c r="F6909" s="76">
        <v>1</v>
      </c>
    </row>
    <row r="6910" s="76" customFormat="1" spans="1:6">
      <c r="A6910">
        <v>7170</v>
      </c>
      <c r="B6910">
        <v>372017270</v>
      </c>
      <c r="C6910" s="76">
        <v>2017</v>
      </c>
      <c r="D6910" s="76" t="s">
        <v>31</v>
      </c>
      <c r="E6910" s="76" t="s">
        <v>32</v>
      </c>
      <c r="F6910" s="76">
        <v>1</v>
      </c>
    </row>
    <row r="6911" s="76" customFormat="1" spans="1:6">
      <c r="A6911">
        <v>7147</v>
      </c>
      <c r="B6911">
        <v>372017270</v>
      </c>
      <c r="C6911" s="76">
        <v>2017</v>
      </c>
      <c r="D6911" s="76" t="s">
        <v>31</v>
      </c>
      <c r="E6911" s="76" t="s">
        <v>32</v>
      </c>
      <c r="F6911" s="76">
        <v>3</v>
      </c>
    </row>
    <row r="6912" s="76" customFormat="1" spans="1:6">
      <c r="A6912">
        <v>7149</v>
      </c>
      <c r="B6912">
        <v>372017270</v>
      </c>
      <c r="C6912" s="76">
        <v>2017</v>
      </c>
      <c r="D6912" s="76" t="s">
        <v>31</v>
      </c>
      <c r="E6912" s="76" t="s">
        <v>32</v>
      </c>
      <c r="F6912" s="76">
        <v>3</v>
      </c>
    </row>
    <row r="6913" s="76" customFormat="1" spans="1:6">
      <c r="A6913">
        <v>7183</v>
      </c>
      <c r="B6913">
        <v>372017270</v>
      </c>
      <c r="C6913" s="76">
        <v>2017</v>
      </c>
      <c r="D6913" s="76" t="s">
        <v>31</v>
      </c>
      <c r="E6913" s="76" t="s">
        <v>32</v>
      </c>
      <c r="F6913" s="76">
        <v>7</v>
      </c>
    </row>
    <row r="6914" s="76" customFormat="1" spans="1:6">
      <c r="A6914">
        <v>7145</v>
      </c>
      <c r="B6914">
        <v>372017270</v>
      </c>
      <c r="C6914" s="76">
        <v>2017</v>
      </c>
      <c r="D6914" s="76" t="s">
        <v>31</v>
      </c>
      <c r="E6914" s="76" t="s">
        <v>32</v>
      </c>
      <c r="F6914" s="76">
        <v>3</v>
      </c>
    </row>
    <row r="6915" s="76" customFormat="1" spans="1:6">
      <c r="A6915">
        <v>7144</v>
      </c>
      <c r="B6915">
        <v>372017270</v>
      </c>
      <c r="C6915" s="76">
        <v>2017</v>
      </c>
      <c r="D6915" s="76" t="s">
        <v>31</v>
      </c>
      <c r="E6915" s="76" t="s">
        <v>32</v>
      </c>
      <c r="F6915" s="76">
        <v>2</v>
      </c>
    </row>
    <row r="6916" s="76" customFormat="1" spans="1:6">
      <c r="A6916">
        <v>7182</v>
      </c>
      <c r="B6916">
        <v>372017270</v>
      </c>
      <c r="C6916" s="76">
        <v>2017</v>
      </c>
      <c r="D6916" s="76" t="s">
        <v>31</v>
      </c>
      <c r="E6916" s="76" t="s">
        <v>32</v>
      </c>
      <c r="F6916" s="76">
        <v>0.01</v>
      </c>
    </row>
    <row r="6917" s="76" customFormat="1" spans="1:6">
      <c r="A6917">
        <v>7188</v>
      </c>
      <c r="B6917">
        <v>372017270</v>
      </c>
      <c r="C6917" s="76">
        <v>2017</v>
      </c>
      <c r="D6917" s="76" t="s">
        <v>31</v>
      </c>
      <c r="E6917" s="76" t="s">
        <v>32</v>
      </c>
      <c r="F6917" s="76">
        <v>4</v>
      </c>
    </row>
    <row r="6918" s="76" customFormat="1" spans="1:6">
      <c r="A6918">
        <v>7140</v>
      </c>
      <c r="B6918">
        <v>372017270</v>
      </c>
      <c r="C6918" s="76">
        <v>2017</v>
      </c>
      <c r="D6918" s="76" t="s">
        <v>31</v>
      </c>
      <c r="E6918" s="76" t="s">
        <v>32</v>
      </c>
      <c r="F6918" s="76">
        <v>1.4</v>
      </c>
    </row>
    <row r="6919" s="76" customFormat="1" spans="1:6">
      <c r="A6919">
        <v>7100</v>
      </c>
      <c r="B6919">
        <v>372017270</v>
      </c>
      <c r="C6919" s="76">
        <v>2017</v>
      </c>
      <c r="D6919" s="76" t="s">
        <v>31</v>
      </c>
      <c r="E6919" s="76" t="s">
        <v>32</v>
      </c>
      <c r="F6919" s="76">
        <v>0.63</v>
      </c>
    </row>
    <row r="6920" s="76" customFormat="1" spans="1:6">
      <c r="A6920">
        <v>7158</v>
      </c>
      <c r="B6920">
        <v>372017270</v>
      </c>
      <c r="C6920" s="76">
        <v>2017</v>
      </c>
      <c r="D6920" s="76" t="s">
        <v>31</v>
      </c>
      <c r="E6920" s="76" t="s">
        <v>32</v>
      </c>
      <c r="F6920" s="76">
        <v>10</v>
      </c>
    </row>
    <row r="6921" s="76" customFormat="1" spans="1:6">
      <c r="A6921">
        <v>7143</v>
      </c>
      <c r="B6921">
        <v>372017270</v>
      </c>
      <c r="C6921" s="76">
        <v>2017</v>
      </c>
      <c r="D6921" s="76" t="s">
        <v>31</v>
      </c>
      <c r="E6921" s="76" t="s">
        <v>32</v>
      </c>
      <c r="F6921" s="76">
        <v>2</v>
      </c>
    </row>
    <row r="6922" s="76" customFormat="1" spans="1:6">
      <c r="A6922">
        <v>7156</v>
      </c>
      <c r="B6922">
        <v>372017270</v>
      </c>
      <c r="C6922" s="76">
        <v>2017</v>
      </c>
      <c r="D6922" s="76" t="s">
        <v>31</v>
      </c>
      <c r="E6922" s="76" t="s">
        <v>32</v>
      </c>
      <c r="F6922" s="76">
        <v>1</v>
      </c>
    </row>
    <row r="6923" s="76" customFormat="1" spans="1:6">
      <c r="A6923">
        <v>7160</v>
      </c>
      <c r="B6923">
        <v>372017270</v>
      </c>
      <c r="C6923" s="76">
        <v>2017</v>
      </c>
      <c r="D6923" s="76" t="s">
        <v>31</v>
      </c>
      <c r="E6923" s="76" t="s">
        <v>32</v>
      </c>
      <c r="F6923" s="76">
        <v>2</v>
      </c>
    </row>
    <row r="6924" s="76" customFormat="1" spans="1:6">
      <c r="A6924">
        <v>7129</v>
      </c>
      <c r="B6924">
        <v>372017270</v>
      </c>
      <c r="C6924" s="76">
        <v>2017</v>
      </c>
      <c r="D6924" s="76" t="s">
        <v>31</v>
      </c>
      <c r="E6924" s="76" t="s">
        <v>32</v>
      </c>
      <c r="F6924" s="76">
        <v>1</v>
      </c>
    </row>
    <row r="6925" s="76" customFormat="1" spans="1:6">
      <c r="A6925">
        <v>7123</v>
      </c>
      <c r="B6925">
        <v>372017270</v>
      </c>
      <c r="C6925" s="76">
        <v>2017</v>
      </c>
      <c r="D6925" s="76" t="s">
        <v>31</v>
      </c>
      <c r="E6925" s="76" t="s">
        <v>32</v>
      </c>
      <c r="F6925" s="76">
        <v>4</v>
      </c>
    </row>
    <row r="6926" s="76" customFormat="1" spans="1:6">
      <c r="A6926">
        <v>7111</v>
      </c>
      <c r="B6926">
        <v>372017270</v>
      </c>
      <c r="C6926" s="76">
        <v>2017</v>
      </c>
      <c r="D6926" s="76" t="s">
        <v>31</v>
      </c>
      <c r="E6926" s="76" t="s">
        <v>32</v>
      </c>
      <c r="F6926" s="76">
        <v>8</v>
      </c>
    </row>
    <row r="6927" s="76" customFormat="1" spans="1:6">
      <c r="A6927">
        <v>7112</v>
      </c>
      <c r="B6927">
        <v>372017270</v>
      </c>
      <c r="C6927" s="76">
        <v>2017</v>
      </c>
      <c r="D6927" s="76" t="s">
        <v>31</v>
      </c>
      <c r="E6927" s="76" t="s">
        <v>32</v>
      </c>
      <c r="F6927" s="76">
        <v>2</v>
      </c>
    </row>
    <row r="6928" s="76" customFormat="1" spans="1:6">
      <c r="A6928">
        <v>7121</v>
      </c>
      <c r="B6928">
        <v>372017270</v>
      </c>
      <c r="C6928" s="76">
        <v>2017</v>
      </c>
      <c r="D6928" s="76" t="s">
        <v>31</v>
      </c>
      <c r="E6928" s="76" t="s">
        <v>32</v>
      </c>
      <c r="F6928" s="76">
        <v>1</v>
      </c>
    </row>
    <row r="6929" s="76" customFormat="1" spans="1:6">
      <c r="A6929">
        <v>7137</v>
      </c>
      <c r="B6929">
        <v>372017270</v>
      </c>
      <c r="C6929" s="76">
        <v>2017</v>
      </c>
      <c r="D6929" s="76" t="s">
        <v>31</v>
      </c>
      <c r="E6929" s="76" t="s">
        <v>32</v>
      </c>
      <c r="F6929" s="76">
        <v>3</v>
      </c>
    </row>
    <row r="6930" s="76" customFormat="1" spans="1:6">
      <c r="A6930">
        <v>7114</v>
      </c>
      <c r="B6930">
        <v>372017270</v>
      </c>
      <c r="C6930" s="76">
        <v>2017</v>
      </c>
      <c r="D6930" s="76" t="s">
        <v>31</v>
      </c>
      <c r="E6930" s="76" t="s">
        <v>32</v>
      </c>
      <c r="F6930" s="76">
        <v>2</v>
      </c>
    </row>
    <row r="6931" s="76" customFormat="1" spans="1:6">
      <c r="A6931">
        <v>7127</v>
      </c>
      <c r="B6931">
        <v>372017270</v>
      </c>
      <c r="C6931" s="76">
        <v>2017</v>
      </c>
      <c r="D6931" s="76" t="s">
        <v>31</v>
      </c>
      <c r="E6931" s="76" t="s">
        <v>32</v>
      </c>
      <c r="F6931" s="76">
        <v>1</v>
      </c>
    </row>
    <row r="6932" s="76" customFormat="1" spans="1:6">
      <c r="A6932">
        <v>7193</v>
      </c>
      <c r="B6932">
        <v>372017270</v>
      </c>
      <c r="C6932" s="76">
        <v>2017</v>
      </c>
      <c r="D6932" s="76" t="s">
        <v>31</v>
      </c>
      <c r="E6932" s="76" t="s">
        <v>32</v>
      </c>
      <c r="F6932" s="76">
        <v>4</v>
      </c>
    </row>
    <row r="6933" s="76" customFormat="1" spans="1:6">
      <c r="A6933">
        <v>7105</v>
      </c>
      <c r="B6933">
        <v>372017270</v>
      </c>
      <c r="C6933" s="76">
        <v>2017</v>
      </c>
      <c r="D6933" s="76" t="s">
        <v>31</v>
      </c>
      <c r="E6933" s="76" t="s">
        <v>32</v>
      </c>
      <c r="F6933" s="76">
        <v>0.57</v>
      </c>
    </row>
    <row r="6934" s="76" customFormat="1" spans="1:6">
      <c r="A6934">
        <v>7106</v>
      </c>
      <c r="B6934">
        <v>372017270</v>
      </c>
      <c r="C6934" s="76">
        <v>2017</v>
      </c>
      <c r="D6934" s="76" t="s">
        <v>31</v>
      </c>
      <c r="E6934" s="76" t="s">
        <v>32</v>
      </c>
      <c r="F6934" s="76">
        <v>0.66</v>
      </c>
    </row>
    <row r="6935" s="76" customFormat="1" spans="1:6">
      <c r="A6935">
        <v>7104</v>
      </c>
      <c r="B6935">
        <v>372017270</v>
      </c>
      <c r="C6935" s="76">
        <v>2017</v>
      </c>
      <c r="D6935" s="76" t="s">
        <v>31</v>
      </c>
      <c r="E6935" s="76" t="s">
        <v>32</v>
      </c>
      <c r="F6935" s="76">
        <v>0.55</v>
      </c>
    </row>
    <row r="6936" s="76" customFormat="1" spans="1:6">
      <c r="A6936">
        <v>7124</v>
      </c>
      <c r="B6936">
        <v>372017270</v>
      </c>
      <c r="C6936" s="76">
        <v>2017</v>
      </c>
      <c r="D6936" s="76" t="s">
        <v>31</v>
      </c>
      <c r="E6936" s="76" t="s">
        <v>32</v>
      </c>
      <c r="F6936" s="76">
        <v>2</v>
      </c>
    </row>
    <row r="6937" s="76" customFormat="1" spans="1:6">
      <c r="A6937">
        <v>7138</v>
      </c>
      <c r="B6937">
        <v>372017270</v>
      </c>
      <c r="C6937" s="76">
        <v>2017</v>
      </c>
      <c r="D6937" s="76" t="s">
        <v>31</v>
      </c>
      <c r="E6937" s="76" t="s">
        <v>32</v>
      </c>
      <c r="F6937" s="76">
        <v>2</v>
      </c>
    </row>
    <row r="6938" s="76" customFormat="1" spans="1:6">
      <c r="A6938">
        <v>7167</v>
      </c>
      <c r="B6938">
        <v>372017270</v>
      </c>
      <c r="C6938" s="76">
        <v>2017</v>
      </c>
      <c r="D6938" s="76" t="s">
        <v>31</v>
      </c>
      <c r="E6938" s="76" t="s">
        <v>32</v>
      </c>
      <c r="F6938" s="76">
        <v>2</v>
      </c>
    </row>
    <row r="6939" s="76" customFormat="1" spans="1:6">
      <c r="A6939">
        <v>7157</v>
      </c>
      <c r="B6939">
        <v>372017270</v>
      </c>
      <c r="C6939" s="76">
        <v>2017</v>
      </c>
      <c r="D6939" s="76" t="s">
        <v>31</v>
      </c>
      <c r="E6939" s="76" t="s">
        <v>32</v>
      </c>
      <c r="F6939" s="76">
        <v>2</v>
      </c>
    </row>
    <row r="6940" s="76" customFormat="1" spans="1:6">
      <c r="A6940">
        <v>7185</v>
      </c>
      <c r="B6940">
        <v>372017270</v>
      </c>
      <c r="C6940" s="76">
        <v>2017</v>
      </c>
      <c r="D6940" s="76" t="s">
        <v>31</v>
      </c>
      <c r="E6940" s="76" t="s">
        <v>32</v>
      </c>
      <c r="F6940" s="76">
        <v>0.52</v>
      </c>
    </row>
    <row r="6941" s="76" customFormat="1" spans="1:6">
      <c r="A6941">
        <v>7146</v>
      </c>
      <c r="B6941">
        <v>372017270</v>
      </c>
      <c r="C6941" s="76">
        <v>2017</v>
      </c>
      <c r="D6941" s="76" t="s">
        <v>31</v>
      </c>
      <c r="E6941" s="76" t="s">
        <v>32</v>
      </c>
      <c r="F6941" s="76">
        <v>3</v>
      </c>
    </row>
    <row r="6942" s="76" customFormat="1" spans="1:6">
      <c r="A6942">
        <v>7133</v>
      </c>
      <c r="B6942">
        <v>372017270</v>
      </c>
      <c r="C6942" s="76">
        <v>2017</v>
      </c>
      <c r="D6942" s="76" t="s">
        <v>31</v>
      </c>
      <c r="E6942" s="76" t="s">
        <v>32</v>
      </c>
      <c r="F6942" s="76">
        <v>2</v>
      </c>
    </row>
    <row r="6943" s="76" customFormat="1" spans="1:6">
      <c r="A6943">
        <v>7103</v>
      </c>
      <c r="B6943">
        <v>372017270</v>
      </c>
      <c r="C6943" s="76">
        <v>2017</v>
      </c>
      <c r="D6943" s="76" t="s">
        <v>31</v>
      </c>
      <c r="E6943" s="76" t="s">
        <v>32</v>
      </c>
      <c r="F6943" s="76">
        <v>2.64</v>
      </c>
    </row>
    <row r="6944" s="76" customFormat="1" spans="1:6">
      <c r="A6944">
        <v>7190</v>
      </c>
      <c r="B6944">
        <v>372017270</v>
      </c>
      <c r="C6944" s="76">
        <v>2017</v>
      </c>
      <c r="D6944" s="76" t="s">
        <v>31</v>
      </c>
      <c r="E6944" s="76" t="s">
        <v>32</v>
      </c>
      <c r="F6944" s="76">
        <v>0.89</v>
      </c>
    </row>
    <row r="6945" s="76" customFormat="1" spans="1:6">
      <c r="A6945">
        <v>7101</v>
      </c>
      <c r="B6945">
        <v>372017270</v>
      </c>
      <c r="C6945" s="76">
        <v>2017</v>
      </c>
      <c r="D6945" s="76" t="s">
        <v>31</v>
      </c>
      <c r="E6945" s="76" t="s">
        <v>32</v>
      </c>
      <c r="F6945" s="76">
        <v>0.66</v>
      </c>
    </row>
    <row r="6946" s="76" customFormat="1" spans="1:6">
      <c r="A6946">
        <v>7099</v>
      </c>
      <c r="B6946">
        <v>372017270</v>
      </c>
      <c r="C6946" s="76">
        <v>2017</v>
      </c>
      <c r="D6946" s="76" t="s">
        <v>31</v>
      </c>
      <c r="E6946" s="76" t="s">
        <v>32</v>
      </c>
      <c r="F6946" s="76">
        <v>1.75</v>
      </c>
    </row>
    <row r="6947" s="76" customFormat="1" spans="1:6">
      <c r="A6947">
        <v>7159</v>
      </c>
      <c r="B6947">
        <v>372017270</v>
      </c>
      <c r="C6947" s="76">
        <v>2017</v>
      </c>
      <c r="D6947" s="76" t="s">
        <v>31</v>
      </c>
      <c r="E6947" s="76" t="s">
        <v>32</v>
      </c>
      <c r="F6947" s="76">
        <v>3</v>
      </c>
    </row>
    <row r="6948" s="76" customFormat="1" spans="1:6">
      <c r="A6948">
        <v>7125</v>
      </c>
      <c r="B6948">
        <v>372017270</v>
      </c>
      <c r="C6948" s="76">
        <v>2017</v>
      </c>
      <c r="D6948" s="76" t="s">
        <v>31</v>
      </c>
      <c r="E6948" s="76" t="s">
        <v>32</v>
      </c>
      <c r="F6948" s="76">
        <v>1</v>
      </c>
    </row>
    <row r="6949" s="76" customFormat="1" spans="1:6">
      <c r="A6949">
        <v>7102</v>
      </c>
      <c r="B6949">
        <v>372017270</v>
      </c>
      <c r="C6949" s="76">
        <v>2017</v>
      </c>
      <c r="D6949" s="76" t="s">
        <v>31</v>
      </c>
      <c r="E6949" s="76" t="s">
        <v>32</v>
      </c>
      <c r="F6949" s="76">
        <v>2</v>
      </c>
    </row>
    <row r="6950" s="76" customFormat="1" spans="1:6">
      <c r="A6950">
        <v>7150</v>
      </c>
      <c r="B6950">
        <v>372017270</v>
      </c>
      <c r="C6950" s="76">
        <v>2017</v>
      </c>
      <c r="D6950" s="76" t="s">
        <v>31</v>
      </c>
      <c r="E6950" s="76" t="s">
        <v>32</v>
      </c>
      <c r="F6950" s="76">
        <v>2</v>
      </c>
    </row>
    <row r="6951" s="76" customFormat="1" spans="1:6">
      <c r="A6951">
        <v>7178</v>
      </c>
      <c r="B6951">
        <v>372017270</v>
      </c>
      <c r="C6951" s="76">
        <v>2017</v>
      </c>
      <c r="D6951" s="76" t="s">
        <v>31</v>
      </c>
      <c r="E6951" s="76" t="s">
        <v>32</v>
      </c>
      <c r="F6951" s="76">
        <v>2</v>
      </c>
    </row>
    <row r="6952" s="76" customFormat="1" spans="1:6">
      <c r="A6952">
        <v>7120</v>
      </c>
      <c r="B6952">
        <v>372017270</v>
      </c>
      <c r="C6952" s="76">
        <v>2017</v>
      </c>
      <c r="D6952" s="76" t="s">
        <v>31</v>
      </c>
      <c r="E6952" s="76" t="s">
        <v>32</v>
      </c>
      <c r="F6952" s="76">
        <v>3</v>
      </c>
    </row>
    <row r="6953" s="76" customFormat="1" spans="1:6">
      <c r="A6953">
        <v>7126</v>
      </c>
      <c r="B6953">
        <v>372017270</v>
      </c>
      <c r="C6953" s="76">
        <v>2017</v>
      </c>
      <c r="D6953" s="76" t="s">
        <v>31</v>
      </c>
      <c r="E6953" s="76" t="s">
        <v>32</v>
      </c>
      <c r="F6953" s="76">
        <v>3</v>
      </c>
    </row>
    <row r="6954" s="76" customFormat="1" spans="1:6">
      <c r="A6954">
        <v>7113</v>
      </c>
      <c r="B6954">
        <v>372017270</v>
      </c>
      <c r="C6954" s="76">
        <v>2017</v>
      </c>
      <c r="D6954" s="76" t="s">
        <v>31</v>
      </c>
      <c r="E6954" s="76">
        <v>1</v>
      </c>
      <c r="F6954" s="76">
        <v>3</v>
      </c>
    </row>
    <row r="6955" s="76" customFormat="1" spans="1:6">
      <c r="A6955">
        <v>7115</v>
      </c>
      <c r="B6955">
        <v>372017270</v>
      </c>
      <c r="C6955" s="76">
        <v>2017</v>
      </c>
      <c r="D6955" s="76" t="s">
        <v>31</v>
      </c>
      <c r="E6955" s="76" t="s">
        <v>32</v>
      </c>
      <c r="F6955" s="76">
        <v>1</v>
      </c>
    </row>
    <row r="6956" s="76" customFormat="1" spans="1:6">
      <c r="A6956">
        <v>7163</v>
      </c>
      <c r="B6956">
        <v>372017270</v>
      </c>
      <c r="C6956" s="76">
        <v>2017</v>
      </c>
      <c r="D6956" s="76" t="s">
        <v>31</v>
      </c>
      <c r="E6956" s="76" t="s">
        <v>32</v>
      </c>
      <c r="F6956" s="76">
        <v>1</v>
      </c>
    </row>
    <row r="6957" s="76" customFormat="1" spans="1:6">
      <c r="A6957">
        <v>7166</v>
      </c>
      <c r="B6957">
        <v>372017270</v>
      </c>
      <c r="C6957" s="76">
        <v>2017</v>
      </c>
      <c r="D6957" s="76" t="s">
        <v>31</v>
      </c>
      <c r="E6957" s="76" t="s">
        <v>32</v>
      </c>
      <c r="F6957" s="76">
        <v>5</v>
      </c>
    </row>
    <row r="6958" s="76" customFormat="1" spans="1:6">
      <c r="A6958">
        <v>7165</v>
      </c>
      <c r="B6958">
        <v>372017270</v>
      </c>
      <c r="C6958" s="76">
        <v>2017</v>
      </c>
      <c r="D6958" s="76" t="s">
        <v>31</v>
      </c>
      <c r="E6958" s="76" t="s">
        <v>32</v>
      </c>
      <c r="F6958" s="76">
        <v>3</v>
      </c>
    </row>
    <row r="6959" s="76" customFormat="1" spans="1:6">
      <c r="A6959">
        <v>7164</v>
      </c>
      <c r="B6959">
        <v>372017270</v>
      </c>
      <c r="C6959" s="76">
        <v>2017</v>
      </c>
      <c r="D6959" s="76" t="s">
        <v>31</v>
      </c>
      <c r="E6959" s="76" t="s">
        <v>32</v>
      </c>
      <c r="F6959" s="76">
        <v>4</v>
      </c>
    </row>
    <row r="6960" s="76" customFormat="1" spans="1:6">
      <c r="A6960">
        <v>7162</v>
      </c>
      <c r="B6960">
        <v>372017270</v>
      </c>
      <c r="C6960" s="76">
        <v>2017</v>
      </c>
      <c r="D6960" s="76" t="s">
        <v>31</v>
      </c>
      <c r="E6960" s="76" t="s">
        <v>32</v>
      </c>
      <c r="F6960" s="76">
        <v>4</v>
      </c>
    </row>
    <row r="6961" s="76" customFormat="1" spans="1:6">
      <c r="A6961">
        <v>7195</v>
      </c>
      <c r="B6961">
        <v>372017270</v>
      </c>
      <c r="C6961" s="76">
        <v>2017</v>
      </c>
      <c r="D6961" s="76" t="s">
        <v>31</v>
      </c>
      <c r="E6961" s="76" t="s">
        <v>32</v>
      </c>
      <c r="F6961" s="76">
        <v>10</v>
      </c>
    </row>
    <row r="6962" s="76" customFormat="1" spans="1:6">
      <c r="A6962">
        <v>7201</v>
      </c>
      <c r="B6962">
        <v>372017270</v>
      </c>
      <c r="C6962" s="76">
        <v>2017</v>
      </c>
      <c r="D6962" s="76" t="s">
        <v>31</v>
      </c>
      <c r="E6962" s="76" t="s">
        <v>32</v>
      </c>
      <c r="F6962" s="76">
        <v>1</v>
      </c>
    </row>
    <row r="6963" s="76" customFormat="1" spans="1:6">
      <c r="A6963">
        <v>7117</v>
      </c>
      <c r="B6963">
        <v>372017270</v>
      </c>
      <c r="C6963" s="76">
        <v>2017</v>
      </c>
      <c r="D6963" s="76" t="s">
        <v>31</v>
      </c>
      <c r="E6963" s="76" t="s">
        <v>32</v>
      </c>
      <c r="F6963" s="76">
        <v>1.98</v>
      </c>
    </row>
    <row r="6964" s="76" customFormat="1" spans="1:6">
      <c r="A6964">
        <v>7155</v>
      </c>
      <c r="B6964">
        <v>372017270</v>
      </c>
      <c r="C6964" s="76">
        <v>2017</v>
      </c>
      <c r="D6964" s="76" t="s">
        <v>31</v>
      </c>
      <c r="E6964" s="76" t="s">
        <v>32</v>
      </c>
      <c r="F6964" s="76">
        <v>3</v>
      </c>
    </row>
    <row r="6965" s="76" customFormat="1" spans="1:6">
      <c r="A6965">
        <v>7154</v>
      </c>
      <c r="B6965">
        <v>372017270</v>
      </c>
      <c r="C6965" s="76">
        <v>2017</v>
      </c>
      <c r="D6965" s="76" t="s">
        <v>31</v>
      </c>
      <c r="E6965" s="76" t="s">
        <v>32</v>
      </c>
      <c r="F6965" s="76">
        <v>10</v>
      </c>
    </row>
    <row r="6966" s="76" customFormat="1" spans="1:6">
      <c r="A6966">
        <v>7153</v>
      </c>
      <c r="B6966">
        <v>372017270</v>
      </c>
      <c r="C6966" s="76">
        <v>2017</v>
      </c>
      <c r="D6966" s="76" t="s">
        <v>31</v>
      </c>
      <c r="E6966" s="76" t="s">
        <v>32</v>
      </c>
      <c r="F6966" s="76">
        <v>5</v>
      </c>
    </row>
    <row r="6967" s="76" customFormat="1" spans="1:6">
      <c r="A6967">
        <v>7110</v>
      </c>
      <c r="B6967">
        <v>372017270</v>
      </c>
      <c r="C6967" s="76">
        <v>2017</v>
      </c>
      <c r="D6967" s="76" t="s">
        <v>31</v>
      </c>
      <c r="E6967" s="76" t="s">
        <v>32</v>
      </c>
      <c r="F6967" s="76">
        <v>0.45</v>
      </c>
    </row>
    <row r="6968" s="76" customFormat="1" spans="1:6">
      <c r="A6968">
        <v>7174</v>
      </c>
      <c r="B6968">
        <v>372017270</v>
      </c>
      <c r="C6968" s="76">
        <v>2017</v>
      </c>
      <c r="D6968" s="76" t="s">
        <v>31</v>
      </c>
      <c r="E6968" s="76" t="s">
        <v>32</v>
      </c>
      <c r="F6968" s="76">
        <v>2</v>
      </c>
    </row>
    <row r="6969" s="76" customFormat="1" spans="1:6">
      <c r="A6969">
        <v>7161</v>
      </c>
      <c r="B6969">
        <v>372017270</v>
      </c>
      <c r="C6969" s="76">
        <v>2017</v>
      </c>
      <c r="D6969" s="76" t="s">
        <v>31</v>
      </c>
      <c r="E6969" s="76" t="s">
        <v>32</v>
      </c>
      <c r="F6969" s="76">
        <v>2</v>
      </c>
    </row>
    <row r="6970" s="76" customFormat="1" spans="1:6">
      <c r="A6970">
        <v>7175</v>
      </c>
      <c r="B6970">
        <v>372017270</v>
      </c>
      <c r="C6970" s="76">
        <v>2017</v>
      </c>
      <c r="D6970" s="76" t="s">
        <v>31</v>
      </c>
      <c r="E6970" s="76" t="s">
        <v>32</v>
      </c>
      <c r="F6970" s="76">
        <v>4</v>
      </c>
    </row>
    <row r="6971" s="76" customFormat="1" spans="1:6">
      <c r="A6971">
        <v>7107</v>
      </c>
      <c r="B6971">
        <v>372017270</v>
      </c>
      <c r="C6971" s="76">
        <v>2017</v>
      </c>
      <c r="D6971" s="76" t="s">
        <v>31</v>
      </c>
      <c r="E6971" s="76" t="s">
        <v>32</v>
      </c>
      <c r="F6971" s="76">
        <v>0.6</v>
      </c>
    </row>
    <row r="6972" s="76" customFormat="1" spans="1:6">
      <c r="A6972">
        <v>7108</v>
      </c>
      <c r="B6972">
        <v>372017270</v>
      </c>
      <c r="C6972" s="76">
        <v>2017</v>
      </c>
      <c r="D6972" s="76" t="s">
        <v>31</v>
      </c>
      <c r="E6972" s="76" t="s">
        <v>32</v>
      </c>
      <c r="F6972" s="76">
        <v>0.45</v>
      </c>
    </row>
    <row r="6973" s="76" customFormat="1" spans="1:6">
      <c r="A6973">
        <v>7109</v>
      </c>
      <c r="B6973">
        <v>372017270</v>
      </c>
      <c r="C6973" s="76">
        <v>2017</v>
      </c>
      <c r="D6973" s="76" t="s">
        <v>31</v>
      </c>
      <c r="E6973" s="76" t="s">
        <v>32</v>
      </c>
      <c r="F6973" s="76">
        <v>0.38</v>
      </c>
    </row>
    <row r="6974" s="76" customFormat="1" spans="1:6">
      <c r="A6974">
        <v>7198</v>
      </c>
      <c r="B6974">
        <v>372017270</v>
      </c>
      <c r="C6974" s="76">
        <v>2017</v>
      </c>
      <c r="D6974" s="76" t="s">
        <v>31</v>
      </c>
      <c r="E6974" s="76" t="s">
        <v>32</v>
      </c>
      <c r="F6974" s="76">
        <v>10</v>
      </c>
    </row>
    <row r="6975" s="76" customFormat="1" spans="1:6">
      <c r="A6975">
        <v>7118</v>
      </c>
      <c r="B6975">
        <v>372017270</v>
      </c>
      <c r="C6975" s="76">
        <v>2017</v>
      </c>
      <c r="D6975" s="76" t="s">
        <v>31</v>
      </c>
      <c r="E6975" s="76" t="s">
        <v>32</v>
      </c>
      <c r="F6975" s="76">
        <v>10</v>
      </c>
    </row>
    <row r="6976" s="76" customFormat="1" spans="1:6">
      <c r="A6976">
        <v>7199</v>
      </c>
      <c r="B6976">
        <v>372017270</v>
      </c>
      <c r="C6976" s="76">
        <v>2017</v>
      </c>
      <c r="D6976" s="76" t="s">
        <v>31</v>
      </c>
      <c r="E6976" s="76" t="s">
        <v>32</v>
      </c>
      <c r="F6976" s="76">
        <v>5</v>
      </c>
    </row>
    <row r="6977" s="76" customFormat="1" spans="1:6">
      <c r="A6977">
        <v>7197</v>
      </c>
      <c r="B6977">
        <v>372017270</v>
      </c>
      <c r="C6977" s="76">
        <v>2017</v>
      </c>
      <c r="D6977" s="76" t="s">
        <v>31</v>
      </c>
      <c r="E6977" s="76" t="s">
        <v>32</v>
      </c>
      <c r="F6977" s="76">
        <v>5</v>
      </c>
    </row>
    <row r="6978" s="76" customFormat="1" spans="1:6">
      <c r="A6978">
        <v>7196</v>
      </c>
      <c r="B6978">
        <v>372017270</v>
      </c>
      <c r="C6978" s="76">
        <v>2017</v>
      </c>
      <c r="D6978" s="76" t="s">
        <v>31</v>
      </c>
      <c r="E6978" s="76" t="s">
        <v>32</v>
      </c>
      <c r="F6978" s="76">
        <v>10</v>
      </c>
    </row>
    <row r="6979" s="76" customFormat="1" spans="1:6">
      <c r="A6979">
        <v>7135</v>
      </c>
      <c r="B6979">
        <v>372017270</v>
      </c>
      <c r="C6979" s="76">
        <v>2017</v>
      </c>
      <c r="D6979" s="76" t="s">
        <v>31</v>
      </c>
      <c r="E6979" s="76" t="s">
        <v>32</v>
      </c>
      <c r="F6979" s="76">
        <v>2.27</v>
      </c>
    </row>
    <row r="6980" s="76" customFormat="1" spans="1:6">
      <c r="A6980">
        <v>7139</v>
      </c>
      <c r="B6980">
        <v>372017270</v>
      </c>
      <c r="C6980" s="76">
        <v>2017</v>
      </c>
      <c r="D6980" s="76" t="s">
        <v>31</v>
      </c>
      <c r="E6980" s="76" t="s">
        <v>32</v>
      </c>
      <c r="F6980" s="76">
        <v>1.3</v>
      </c>
    </row>
    <row r="6981" s="76" customFormat="1" spans="1:6">
      <c r="A6981">
        <v>7181</v>
      </c>
      <c r="B6981">
        <v>372017270</v>
      </c>
      <c r="C6981" s="76">
        <v>2017</v>
      </c>
      <c r="D6981" s="76" t="s">
        <v>31</v>
      </c>
      <c r="E6981" s="76" t="s">
        <v>32</v>
      </c>
      <c r="F6981" s="76">
        <v>2</v>
      </c>
    </row>
    <row r="6982" s="76" customFormat="1" spans="1:6">
      <c r="A6982">
        <v>7200</v>
      </c>
      <c r="B6982">
        <v>372017270</v>
      </c>
      <c r="C6982" s="76">
        <v>2017</v>
      </c>
      <c r="D6982" s="76" t="s">
        <v>31</v>
      </c>
      <c r="E6982" s="76" t="s">
        <v>32</v>
      </c>
      <c r="F6982" s="76">
        <v>2</v>
      </c>
    </row>
    <row r="6983" s="76" customFormat="1" spans="1:6">
      <c r="A6983">
        <v>7177</v>
      </c>
      <c r="B6983">
        <v>372017270</v>
      </c>
      <c r="C6983" s="76">
        <v>2017</v>
      </c>
      <c r="D6983" s="76" t="s">
        <v>31</v>
      </c>
      <c r="E6983" s="76" t="s">
        <v>32</v>
      </c>
      <c r="F6983" s="76">
        <v>3</v>
      </c>
    </row>
    <row r="6984" s="76" customFormat="1" spans="1:6">
      <c r="A6984">
        <v>7179</v>
      </c>
      <c r="B6984">
        <v>372017270</v>
      </c>
      <c r="C6984" s="76">
        <v>2017</v>
      </c>
      <c r="D6984" s="76" t="s">
        <v>31</v>
      </c>
      <c r="E6984" s="76" t="s">
        <v>32</v>
      </c>
      <c r="F6984" s="76">
        <v>3</v>
      </c>
    </row>
    <row r="6985" s="76" customFormat="1" spans="1:6">
      <c r="A6985">
        <v>7119</v>
      </c>
      <c r="B6985">
        <v>372017270</v>
      </c>
      <c r="C6985" s="76">
        <v>2017</v>
      </c>
      <c r="D6985" s="76" t="s">
        <v>31</v>
      </c>
      <c r="E6985" s="76" t="s">
        <v>32</v>
      </c>
      <c r="F6985" s="76">
        <v>10</v>
      </c>
    </row>
    <row r="6986" s="76" customFormat="1" spans="1:6">
      <c r="A6986">
        <v>7142</v>
      </c>
      <c r="B6986">
        <v>372017270</v>
      </c>
      <c r="C6986" s="76">
        <v>2017</v>
      </c>
      <c r="D6986" s="76" t="s">
        <v>31</v>
      </c>
      <c r="E6986" s="76" t="s">
        <v>32</v>
      </c>
      <c r="F6986" s="76">
        <v>1.76</v>
      </c>
    </row>
    <row r="6987" s="76" customFormat="1" spans="1:6">
      <c r="A6987">
        <v>7152</v>
      </c>
      <c r="B6987">
        <v>372017270</v>
      </c>
      <c r="C6987" s="76">
        <v>2017</v>
      </c>
      <c r="D6987" s="76" t="s">
        <v>31</v>
      </c>
      <c r="E6987" s="76" t="s">
        <v>32</v>
      </c>
      <c r="F6987" s="76">
        <v>2</v>
      </c>
    </row>
    <row r="6988" s="76" customFormat="1" spans="1:6">
      <c r="A6988">
        <v>7151</v>
      </c>
      <c r="B6988">
        <v>372017270</v>
      </c>
      <c r="C6988" s="76">
        <v>2017</v>
      </c>
      <c r="D6988" s="76" t="s">
        <v>31</v>
      </c>
      <c r="E6988" s="76" t="s">
        <v>32</v>
      </c>
      <c r="F6988" s="76">
        <v>1</v>
      </c>
    </row>
    <row r="6989" s="76" customFormat="1" spans="1:6">
      <c r="A6989">
        <v>7130</v>
      </c>
      <c r="B6989">
        <v>372017270</v>
      </c>
      <c r="C6989" s="76">
        <v>2017</v>
      </c>
      <c r="D6989" s="76" t="s">
        <v>31</v>
      </c>
      <c r="E6989" s="76" t="s">
        <v>32</v>
      </c>
      <c r="F6989" s="76">
        <v>4.95</v>
      </c>
    </row>
    <row r="6990" s="76" customFormat="1" spans="1:6">
      <c r="A6990">
        <v>7194</v>
      </c>
      <c r="B6990">
        <v>372017270</v>
      </c>
      <c r="C6990" s="76">
        <v>2017</v>
      </c>
      <c r="D6990" s="76" t="s">
        <v>31</v>
      </c>
      <c r="E6990" s="76" t="s">
        <v>32</v>
      </c>
      <c r="F6990" s="76">
        <v>2</v>
      </c>
    </row>
    <row r="6991" s="76" customFormat="1" spans="1:6">
      <c r="A6991">
        <v>7202</v>
      </c>
      <c r="B6991">
        <v>372018110</v>
      </c>
      <c r="C6991" s="76">
        <v>2018</v>
      </c>
      <c r="D6991" s="76" t="s">
        <v>40</v>
      </c>
      <c r="E6991" s="76" t="s">
        <v>32</v>
      </c>
      <c r="F6991" s="76">
        <v>0.05</v>
      </c>
    </row>
    <row r="6992" s="76" customFormat="1" spans="1:6">
      <c r="A6992">
        <v>7204</v>
      </c>
      <c r="B6992">
        <v>372018211</v>
      </c>
      <c r="C6992" s="76">
        <v>2018</v>
      </c>
      <c r="D6992" s="76" t="s">
        <v>37</v>
      </c>
      <c r="E6992" s="76">
        <v>1</v>
      </c>
      <c r="F6992" s="76">
        <v>30</v>
      </c>
    </row>
    <row r="6993" s="76" customFormat="1" spans="1:6">
      <c r="A6993">
        <v>7209</v>
      </c>
      <c r="B6993">
        <v>372018211</v>
      </c>
      <c r="C6993" s="76">
        <v>2018</v>
      </c>
      <c r="D6993" s="76" t="s">
        <v>37</v>
      </c>
      <c r="E6993" s="76" t="s">
        <v>32</v>
      </c>
      <c r="F6993" s="76">
        <v>2.4</v>
      </c>
    </row>
    <row r="6994" s="76" customFormat="1" spans="1:6">
      <c r="A6994">
        <v>7213</v>
      </c>
      <c r="B6994">
        <v>372018211</v>
      </c>
      <c r="C6994" s="76">
        <v>2018</v>
      </c>
      <c r="D6994" s="76" t="s">
        <v>37</v>
      </c>
      <c r="E6994" s="76" t="s">
        <v>32</v>
      </c>
      <c r="F6994" s="76">
        <v>3.9</v>
      </c>
    </row>
    <row r="6995" s="76" customFormat="1" spans="1:6">
      <c r="A6995">
        <v>7211</v>
      </c>
      <c r="B6995">
        <v>372018211</v>
      </c>
      <c r="C6995" s="76">
        <v>2018</v>
      </c>
      <c r="D6995" s="76" t="s">
        <v>37</v>
      </c>
      <c r="E6995" s="76" t="s">
        <v>32</v>
      </c>
      <c r="F6995" s="76">
        <v>3</v>
      </c>
    </row>
    <row r="6996" s="76" customFormat="1" spans="1:6">
      <c r="A6996">
        <v>7210</v>
      </c>
      <c r="B6996">
        <v>372018211</v>
      </c>
      <c r="C6996" s="76">
        <v>2018</v>
      </c>
      <c r="D6996" s="76" t="s">
        <v>37</v>
      </c>
      <c r="E6996" s="76" t="s">
        <v>32</v>
      </c>
      <c r="F6996" s="76">
        <v>5.4</v>
      </c>
    </row>
    <row r="6997" s="76" customFormat="1" spans="1:6">
      <c r="A6997">
        <v>7206</v>
      </c>
      <c r="B6997">
        <v>372018211</v>
      </c>
      <c r="C6997" s="76">
        <v>2018</v>
      </c>
      <c r="D6997" s="76" t="s">
        <v>37</v>
      </c>
      <c r="E6997" s="76" t="s">
        <v>32</v>
      </c>
      <c r="F6997" s="76">
        <v>1.2</v>
      </c>
    </row>
    <row r="6998" s="76" customFormat="1" spans="1:6">
      <c r="A6998">
        <v>7214</v>
      </c>
      <c r="B6998">
        <v>372018211</v>
      </c>
      <c r="C6998" s="76">
        <v>2018</v>
      </c>
      <c r="D6998" s="76" t="s">
        <v>37</v>
      </c>
      <c r="E6998" s="76" t="s">
        <v>32</v>
      </c>
      <c r="F6998" s="76">
        <v>4</v>
      </c>
    </row>
    <row r="6999" s="76" customFormat="1" spans="1:6">
      <c r="A6999">
        <v>7207</v>
      </c>
      <c r="B6999">
        <v>372018211</v>
      </c>
      <c r="C6999" s="76">
        <v>2018</v>
      </c>
      <c r="D6999" s="76" t="s">
        <v>37</v>
      </c>
      <c r="E6999" s="76" t="s">
        <v>32</v>
      </c>
      <c r="F6999" s="76">
        <v>1.8</v>
      </c>
    </row>
    <row r="7000" s="76" customFormat="1" spans="1:6">
      <c r="A7000">
        <v>7212</v>
      </c>
      <c r="B7000">
        <v>372018211</v>
      </c>
      <c r="C7000" s="76">
        <v>2018</v>
      </c>
      <c r="D7000" s="76" t="s">
        <v>37</v>
      </c>
      <c r="E7000" s="76" t="s">
        <v>32</v>
      </c>
      <c r="F7000" s="76">
        <v>3.9</v>
      </c>
    </row>
    <row r="7001" s="76" customFormat="1" spans="1:6">
      <c r="A7001">
        <v>7215</v>
      </c>
      <c r="B7001">
        <v>372018211</v>
      </c>
      <c r="C7001" s="76">
        <v>2018</v>
      </c>
      <c r="D7001" s="76" t="s">
        <v>37</v>
      </c>
      <c r="E7001" s="76" t="s">
        <v>32</v>
      </c>
      <c r="F7001" s="76">
        <v>4.9</v>
      </c>
    </row>
    <row r="7002" s="76" customFormat="1" spans="1:6">
      <c r="A7002">
        <v>7208</v>
      </c>
      <c r="B7002">
        <v>372018211</v>
      </c>
      <c r="C7002" s="76">
        <v>2018</v>
      </c>
      <c r="D7002" s="76" t="s">
        <v>37</v>
      </c>
      <c r="E7002" s="76" t="s">
        <v>32</v>
      </c>
      <c r="F7002" s="76">
        <v>3</v>
      </c>
    </row>
    <row r="7003" s="76" customFormat="1" spans="1:6">
      <c r="A7003">
        <v>7205</v>
      </c>
      <c r="B7003">
        <v>372018211</v>
      </c>
      <c r="C7003" s="76">
        <v>2018</v>
      </c>
      <c r="D7003" s="76" t="s">
        <v>37</v>
      </c>
      <c r="E7003" s="76" t="s">
        <v>32</v>
      </c>
      <c r="F7003" s="76">
        <v>0.6</v>
      </c>
    </row>
    <row r="7004" s="76" customFormat="1" spans="1:6">
      <c r="A7004">
        <v>7216</v>
      </c>
      <c r="B7004">
        <v>372018221</v>
      </c>
      <c r="C7004" s="76">
        <v>2018</v>
      </c>
      <c r="D7004" s="76" t="s">
        <v>30</v>
      </c>
      <c r="E7004" s="76" t="s">
        <v>32</v>
      </c>
      <c r="F7004" s="76">
        <v>0.6</v>
      </c>
    </row>
    <row r="7005" s="76" customFormat="1" spans="1:6">
      <c r="A7005">
        <v>7226</v>
      </c>
      <c r="B7005">
        <v>372018241</v>
      </c>
      <c r="C7005" s="76">
        <v>2018</v>
      </c>
      <c r="D7005" s="76" t="s">
        <v>33</v>
      </c>
      <c r="E7005" s="76" t="s">
        <v>32</v>
      </c>
      <c r="F7005" s="76">
        <v>6.5</v>
      </c>
    </row>
    <row r="7006" s="76" customFormat="1" spans="1:6">
      <c r="A7006">
        <v>7224</v>
      </c>
      <c r="B7006">
        <v>372018241</v>
      </c>
      <c r="C7006" s="76">
        <v>2018</v>
      </c>
      <c r="D7006" s="76" t="s">
        <v>33</v>
      </c>
      <c r="E7006" s="76" t="s">
        <v>32</v>
      </c>
      <c r="F7006" s="76">
        <v>0.7</v>
      </c>
    </row>
    <row r="7007" s="76" customFormat="1" spans="1:6">
      <c r="A7007">
        <v>7223</v>
      </c>
      <c r="B7007">
        <v>372018241</v>
      </c>
      <c r="C7007" s="76">
        <v>2018</v>
      </c>
      <c r="D7007" s="76" t="s">
        <v>33</v>
      </c>
      <c r="E7007" s="76" t="s">
        <v>32</v>
      </c>
      <c r="F7007" s="76">
        <v>0.6</v>
      </c>
    </row>
    <row r="7008" s="76" customFormat="1" spans="1:6">
      <c r="A7008">
        <v>7222</v>
      </c>
      <c r="B7008">
        <v>372018241</v>
      </c>
      <c r="C7008" s="76">
        <v>2018</v>
      </c>
      <c r="D7008" s="76" t="s">
        <v>33</v>
      </c>
      <c r="E7008" s="76" t="s">
        <v>32</v>
      </c>
      <c r="F7008" s="76">
        <v>1.2</v>
      </c>
    </row>
    <row r="7009" s="76" customFormat="1" spans="1:6">
      <c r="A7009">
        <v>7219</v>
      </c>
      <c r="B7009">
        <v>372018241</v>
      </c>
      <c r="C7009" s="76">
        <v>2018</v>
      </c>
      <c r="D7009" s="76" t="s">
        <v>33</v>
      </c>
      <c r="E7009" s="76" t="s">
        <v>32</v>
      </c>
      <c r="F7009" s="76">
        <v>1.2</v>
      </c>
    </row>
    <row r="7010" s="76" customFormat="1" spans="1:6">
      <c r="A7010">
        <v>7225</v>
      </c>
      <c r="B7010">
        <v>372018241</v>
      </c>
      <c r="C7010" s="76">
        <v>2018</v>
      </c>
      <c r="D7010" s="76" t="s">
        <v>33</v>
      </c>
      <c r="E7010" s="76" t="s">
        <v>32</v>
      </c>
      <c r="F7010" s="76">
        <v>5</v>
      </c>
    </row>
    <row r="7011" s="76" customFormat="1" spans="1:6">
      <c r="A7011">
        <v>7221</v>
      </c>
      <c r="B7011">
        <v>372018241</v>
      </c>
      <c r="C7011" s="76">
        <v>2018</v>
      </c>
      <c r="D7011" s="76" t="s">
        <v>33</v>
      </c>
      <c r="E7011" s="76" t="s">
        <v>32</v>
      </c>
      <c r="F7011" s="76">
        <v>9.24</v>
      </c>
    </row>
    <row r="7012" s="76" customFormat="1" spans="1:6">
      <c r="A7012">
        <v>7220</v>
      </c>
      <c r="B7012">
        <v>372018241</v>
      </c>
      <c r="C7012" s="76">
        <v>2018</v>
      </c>
      <c r="D7012" s="76" t="s">
        <v>33</v>
      </c>
      <c r="E7012" s="76" t="s">
        <v>32</v>
      </c>
      <c r="F7012" s="76">
        <v>3</v>
      </c>
    </row>
    <row r="7013" s="76" customFormat="1" spans="1:6">
      <c r="A7013">
        <v>7227</v>
      </c>
      <c r="B7013">
        <v>372018241</v>
      </c>
      <c r="C7013" s="76">
        <v>2018</v>
      </c>
      <c r="D7013" s="76" t="s">
        <v>33</v>
      </c>
      <c r="E7013" s="76" t="s">
        <v>32</v>
      </c>
      <c r="F7013" s="76">
        <v>1.19</v>
      </c>
    </row>
    <row r="7014" s="76" customFormat="1" spans="1:6">
      <c r="A7014">
        <v>7217</v>
      </c>
      <c r="B7014">
        <v>372018241</v>
      </c>
      <c r="C7014" s="76">
        <v>2018</v>
      </c>
      <c r="D7014" s="76" t="s">
        <v>33</v>
      </c>
      <c r="E7014" s="76" t="s">
        <v>32</v>
      </c>
      <c r="F7014" s="76">
        <v>0.5</v>
      </c>
    </row>
    <row r="7015" s="76" customFormat="1" spans="1:6">
      <c r="A7015">
        <v>7241</v>
      </c>
      <c r="B7015">
        <v>372018242</v>
      </c>
      <c r="C7015" s="76">
        <v>2018</v>
      </c>
      <c r="D7015" s="76" t="s">
        <v>35</v>
      </c>
      <c r="E7015" s="76" t="s">
        <v>32</v>
      </c>
      <c r="F7015" s="76">
        <v>1.5</v>
      </c>
    </row>
    <row r="7016" s="76" customFormat="1" spans="1:6">
      <c r="A7016">
        <v>7232</v>
      </c>
      <c r="B7016">
        <v>372018242</v>
      </c>
      <c r="C7016" s="76">
        <v>2018</v>
      </c>
      <c r="D7016" s="76" t="s">
        <v>35</v>
      </c>
      <c r="E7016" s="76" t="s">
        <v>32</v>
      </c>
      <c r="F7016" s="76">
        <v>1.8</v>
      </c>
    </row>
    <row r="7017" s="76" customFormat="1" spans="1:6">
      <c r="A7017">
        <v>7233</v>
      </c>
      <c r="B7017">
        <v>372018242</v>
      </c>
      <c r="C7017" s="76">
        <v>2018</v>
      </c>
      <c r="D7017" s="76" t="s">
        <v>35</v>
      </c>
      <c r="E7017" s="76" t="s">
        <v>32</v>
      </c>
      <c r="F7017" s="76">
        <v>1.2</v>
      </c>
    </row>
    <row r="7018" s="76" customFormat="1" spans="1:6">
      <c r="A7018">
        <v>7244</v>
      </c>
      <c r="B7018">
        <v>372018242</v>
      </c>
      <c r="C7018" s="76">
        <v>2018</v>
      </c>
      <c r="D7018" s="76" t="s">
        <v>35</v>
      </c>
      <c r="E7018" s="76" t="s">
        <v>32</v>
      </c>
      <c r="F7018" s="76">
        <v>1.2</v>
      </c>
    </row>
    <row r="7019" s="76" customFormat="1" spans="1:6">
      <c r="A7019">
        <v>7235</v>
      </c>
      <c r="B7019">
        <v>372018242</v>
      </c>
      <c r="C7019" s="76">
        <v>2018</v>
      </c>
      <c r="D7019" s="76" t="s">
        <v>35</v>
      </c>
      <c r="E7019" s="76" t="s">
        <v>32</v>
      </c>
      <c r="F7019" s="76">
        <v>1.5</v>
      </c>
    </row>
    <row r="7020" s="76" customFormat="1" spans="1:6">
      <c r="A7020">
        <v>7240</v>
      </c>
      <c r="B7020">
        <v>372018242</v>
      </c>
      <c r="C7020" s="76">
        <v>2018</v>
      </c>
      <c r="D7020" s="76" t="s">
        <v>35</v>
      </c>
      <c r="E7020" s="76" t="s">
        <v>32</v>
      </c>
      <c r="F7020" s="76">
        <v>3</v>
      </c>
    </row>
    <row r="7021" s="76" customFormat="1" spans="1:6">
      <c r="A7021">
        <v>7234</v>
      </c>
      <c r="B7021">
        <v>372018242</v>
      </c>
      <c r="C7021" s="76">
        <v>2018</v>
      </c>
      <c r="D7021" s="76" t="s">
        <v>35</v>
      </c>
      <c r="E7021" s="76" t="s">
        <v>32</v>
      </c>
      <c r="F7021" s="76">
        <v>0.75</v>
      </c>
    </row>
    <row r="7022" s="76" customFormat="1" spans="1:6">
      <c r="A7022">
        <v>7230</v>
      </c>
      <c r="B7022">
        <v>372018242</v>
      </c>
      <c r="C7022" s="76">
        <v>2018</v>
      </c>
      <c r="D7022" s="76" t="s">
        <v>35</v>
      </c>
      <c r="E7022" s="76" t="s">
        <v>32</v>
      </c>
      <c r="F7022" s="76">
        <v>1.2</v>
      </c>
    </row>
    <row r="7023" s="76" customFormat="1" spans="1:6">
      <c r="A7023">
        <v>7237</v>
      </c>
      <c r="B7023">
        <v>372018242</v>
      </c>
      <c r="C7023" s="76">
        <v>2018</v>
      </c>
      <c r="D7023" s="76" t="s">
        <v>35</v>
      </c>
      <c r="E7023" s="76" t="s">
        <v>32</v>
      </c>
      <c r="F7023" s="76">
        <v>0.75</v>
      </c>
    </row>
    <row r="7024" s="76" customFormat="1" spans="1:6">
      <c r="A7024">
        <v>7228</v>
      </c>
      <c r="B7024">
        <v>372018242</v>
      </c>
      <c r="C7024" s="76">
        <v>2018</v>
      </c>
      <c r="D7024" s="76" t="s">
        <v>35</v>
      </c>
      <c r="E7024" s="76" t="s">
        <v>32</v>
      </c>
      <c r="F7024" s="76">
        <v>0.6</v>
      </c>
    </row>
    <row r="7025" s="76" customFormat="1" spans="1:6">
      <c r="A7025">
        <v>7236</v>
      </c>
      <c r="B7025">
        <v>372018242</v>
      </c>
      <c r="C7025" s="76">
        <v>2018</v>
      </c>
      <c r="D7025" s="76" t="s">
        <v>35</v>
      </c>
      <c r="E7025" s="76" t="s">
        <v>32</v>
      </c>
      <c r="F7025" s="76">
        <v>1.2</v>
      </c>
    </row>
    <row r="7026" s="76" customFormat="1" spans="1:6">
      <c r="A7026">
        <v>7242</v>
      </c>
      <c r="B7026">
        <v>372018242</v>
      </c>
      <c r="C7026" s="76">
        <v>2018</v>
      </c>
      <c r="D7026" s="76" t="s">
        <v>35</v>
      </c>
      <c r="E7026" s="76" t="s">
        <v>32</v>
      </c>
      <c r="F7026" s="76">
        <v>0.9</v>
      </c>
    </row>
    <row r="7027" s="76" customFormat="1" spans="1:6">
      <c r="A7027">
        <v>7231</v>
      </c>
      <c r="B7027">
        <v>372018242</v>
      </c>
      <c r="C7027" s="76">
        <v>2018</v>
      </c>
      <c r="D7027" s="76" t="s">
        <v>35</v>
      </c>
      <c r="E7027" s="76" t="s">
        <v>32</v>
      </c>
      <c r="F7027" s="76">
        <v>1.5</v>
      </c>
    </row>
    <row r="7028" s="76" customFormat="1" spans="1:6">
      <c r="A7028">
        <v>7229</v>
      </c>
      <c r="B7028">
        <v>372018242</v>
      </c>
      <c r="C7028" s="76">
        <v>2018</v>
      </c>
      <c r="D7028" s="76" t="s">
        <v>35</v>
      </c>
      <c r="E7028" s="76" t="s">
        <v>32</v>
      </c>
      <c r="F7028" s="76">
        <v>1.2</v>
      </c>
    </row>
    <row r="7029" s="76" customFormat="1" spans="1:6">
      <c r="A7029">
        <v>7238</v>
      </c>
      <c r="B7029">
        <v>372018242</v>
      </c>
      <c r="C7029" s="76">
        <v>2018</v>
      </c>
      <c r="D7029" s="76" t="s">
        <v>35</v>
      </c>
      <c r="E7029" s="76" t="s">
        <v>32</v>
      </c>
      <c r="F7029" s="76">
        <v>1.2</v>
      </c>
    </row>
    <row r="7030" s="76" customFormat="1" spans="1:6">
      <c r="A7030">
        <v>7243</v>
      </c>
      <c r="B7030">
        <v>372018242</v>
      </c>
      <c r="C7030" s="76">
        <v>2018</v>
      </c>
      <c r="D7030" s="76" t="s">
        <v>35</v>
      </c>
      <c r="E7030" s="76" t="s">
        <v>32</v>
      </c>
      <c r="F7030" s="76">
        <v>7</v>
      </c>
    </row>
    <row r="7031" s="76" customFormat="1" spans="1:6">
      <c r="A7031">
        <v>7239</v>
      </c>
      <c r="B7031">
        <v>372018242</v>
      </c>
      <c r="C7031" s="76">
        <v>2018</v>
      </c>
      <c r="D7031" s="76" t="s">
        <v>35</v>
      </c>
      <c r="E7031" s="76" t="s">
        <v>32</v>
      </c>
      <c r="F7031" s="76">
        <v>1.5</v>
      </c>
    </row>
    <row r="7032" s="76" customFormat="1" spans="1:6">
      <c r="A7032">
        <v>7246</v>
      </c>
      <c r="B7032">
        <v>372018243</v>
      </c>
      <c r="C7032" s="76">
        <v>2018</v>
      </c>
      <c r="D7032" s="76" t="s">
        <v>38</v>
      </c>
      <c r="E7032" s="76" t="s">
        <v>32</v>
      </c>
      <c r="F7032" s="76">
        <v>3</v>
      </c>
    </row>
    <row r="7033" s="76" customFormat="1" spans="1:6">
      <c r="A7033">
        <v>7249</v>
      </c>
      <c r="B7033">
        <v>372018243</v>
      </c>
      <c r="C7033" s="76">
        <v>2018</v>
      </c>
      <c r="D7033" s="76" t="s">
        <v>38</v>
      </c>
      <c r="E7033" s="76" t="s">
        <v>32</v>
      </c>
      <c r="F7033" s="76">
        <v>1.5</v>
      </c>
    </row>
    <row r="7034" s="76" customFormat="1" spans="1:6">
      <c r="A7034">
        <v>7245</v>
      </c>
      <c r="B7034">
        <v>372018243</v>
      </c>
      <c r="C7034" s="76">
        <v>2018</v>
      </c>
      <c r="D7034" s="76" t="s">
        <v>38</v>
      </c>
      <c r="E7034" s="76" t="s">
        <v>32</v>
      </c>
      <c r="F7034" s="76">
        <v>3</v>
      </c>
    </row>
    <row r="7035" s="76" customFormat="1" spans="1:6">
      <c r="A7035">
        <v>7248</v>
      </c>
      <c r="B7035">
        <v>372018243</v>
      </c>
      <c r="C7035" s="76">
        <v>2018</v>
      </c>
      <c r="D7035" s="76" t="s">
        <v>38</v>
      </c>
      <c r="E7035" s="76" t="s">
        <v>32</v>
      </c>
      <c r="F7035" s="76">
        <v>3</v>
      </c>
    </row>
    <row r="7036" s="76" customFormat="1" spans="1:6">
      <c r="A7036">
        <v>7247</v>
      </c>
      <c r="B7036">
        <v>372018243</v>
      </c>
      <c r="C7036" s="76">
        <v>2018</v>
      </c>
      <c r="D7036" s="76" t="s">
        <v>38</v>
      </c>
      <c r="E7036" s="76" t="s">
        <v>32</v>
      </c>
      <c r="F7036" s="76">
        <v>3</v>
      </c>
    </row>
    <row r="7037" s="76" customFormat="1" spans="1:6">
      <c r="A7037">
        <v>7250</v>
      </c>
      <c r="B7037">
        <v>372018243</v>
      </c>
      <c r="C7037" s="76">
        <v>2018</v>
      </c>
      <c r="D7037" s="76" t="s">
        <v>38</v>
      </c>
      <c r="E7037" s="76" t="s">
        <v>32</v>
      </c>
      <c r="F7037" s="76">
        <v>4.8</v>
      </c>
    </row>
    <row r="7038" s="76" customFormat="1" spans="1:6">
      <c r="A7038">
        <v>7251</v>
      </c>
      <c r="B7038">
        <v>372018250</v>
      </c>
      <c r="C7038" s="76">
        <v>2018</v>
      </c>
      <c r="D7038" s="76" t="s">
        <v>44</v>
      </c>
      <c r="E7038" s="76">
        <v>1</v>
      </c>
      <c r="F7038" s="76">
        <v>125</v>
      </c>
    </row>
    <row r="7039" s="76" customFormat="1" spans="1:6">
      <c r="A7039">
        <v>7261</v>
      </c>
      <c r="B7039">
        <v>372018260</v>
      </c>
      <c r="C7039" s="76">
        <v>2018</v>
      </c>
      <c r="D7039" s="76" t="s">
        <v>34</v>
      </c>
      <c r="E7039" s="76" t="s">
        <v>32</v>
      </c>
      <c r="F7039" s="76">
        <v>5</v>
      </c>
    </row>
    <row r="7040" s="76" customFormat="1" spans="1:6">
      <c r="A7040">
        <v>7255</v>
      </c>
      <c r="B7040">
        <v>372018260</v>
      </c>
      <c r="C7040" s="76">
        <v>2018</v>
      </c>
      <c r="D7040" s="76" t="s">
        <v>34</v>
      </c>
      <c r="E7040" s="76" t="s">
        <v>32</v>
      </c>
      <c r="F7040" s="76">
        <v>8</v>
      </c>
    </row>
    <row r="7041" s="76" customFormat="1" spans="1:6">
      <c r="A7041">
        <v>7264</v>
      </c>
      <c r="B7041">
        <v>372018260</v>
      </c>
      <c r="C7041" s="76">
        <v>2018</v>
      </c>
      <c r="D7041" s="76" t="s">
        <v>34</v>
      </c>
      <c r="E7041" s="76" t="s">
        <v>32</v>
      </c>
      <c r="F7041" s="76">
        <v>0.8</v>
      </c>
    </row>
    <row r="7042" s="76" customFormat="1" spans="1:6">
      <c r="A7042">
        <v>7253</v>
      </c>
      <c r="B7042">
        <v>372018260</v>
      </c>
      <c r="C7042" s="76">
        <v>2018</v>
      </c>
      <c r="D7042" s="76" t="s">
        <v>34</v>
      </c>
      <c r="E7042" s="76" t="s">
        <v>32</v>
      </c>
      <c r="F7042" s="76">
        <v>0.6</v>
      </c>
    </row>
    <row r="7043" s="76" customFormat="1" spans="1:6">
      <c r="A7043">
        <v>7260</v>
      </c>
      <c r="B7043">
        <v>372018260</v>
      </c>
      <c r="C7043" s="76">
        <v>2018</v>
      </c>
      <c r="D7043" s="76" t="s">
        <v>34</v>
      </c>
      <c r="E7043" s="76" t="s">
        <v>32</v>
      </c>
      <c r="F7043" s="76">
        <v>0.6</v>
      </c>
    </row>
    <row r="7044" s="76" customFormat="1" spans="1:6">
      <c r="A7044">
        <v>7258</v>
      </c>
      <c r="B7044">
        <v>372018260</v>
      </c>
      <c r="C7044" s="76">
        <v>2018</v>
      </c>
      <c r="D7044" s="76" t="s">
        <v>34</v>
      </c>
      <c r="E7044" s="76">
        <v>10</v>
      </c>
      <c r="F7044" s="76">
        <v>2</v>
      </c>
    </row>
    <row r="7045" s="76" customFormat="1" spans="1:6">
      <c r="A7045">
        <v>7266</v>
      </c>
      <c r="B7045">
        <v>372018260</v>
      </c>
      <c r="C7045" s="76">
        <v>2018</v>
      </c>
      <c r="D7045" s="76" t="s">
        <v>34</v>
      </c>
      <c r="E7045" s="76" t="s">
        <v>32</v>
      </c>
      <c r="F7045" s="76">
        <v>8</v>
      </c>
    </row>
    <row r="7046" s="76" customFormat="1" spans="1:6">
      <c r="A7046">
        <v>7254</v>
      </c>
      <c r="B7046">
        <v>372018260</v>
      </c>
      <c r="C7046" s="76">
        <v>2018</v>
      </c>
      <c r="D7046" s="76" t="s">
        <v>34</v>
      </c>
      <c r="E7046" s="76">
        <v>5</v>
      </c>
      <c r="F7046" s="76">
        <v>1.23</v>
      </c>
    </row>
    <row r="7047" s="76" customFormat="1" spans="1:6">
      <c r="A7047">
        <v>7259</v>
      </c>
      <c r="B7047">
        <v>372018260</v>
      </c>
      <c r="C7047" s="76">
        <v>2018</v>
      </c>
      <c r="D7047" s="76" t="s">
        <v>34</v>
      </c>
      <c r="E7047" s="76" t="s">
        <v>32</v>
      </c>
      <c r="F7047" s="76">
        <v>7.6</v>
      </c>
    </row>
    <row r="7048" s="76" customFormat="1" spans="1:6">
      <c r="A7048">
        <v>7265</v>
      </c>
      <c r="B7048">
        <v>372018260</v>
      </c>
      <c r="C7048" s="76">
        <v>2018</v>
      </c>
      <c r="D7048" s="76" t="s">
        <v>34</v>
      </c>
      <c r="E7048" s="76" t="s">
        <v>32</v>
      </c>
      <c r="F7048" s="76">
        <v>10</v>
      </c>
    </row>
    <row r="7049" s="76" customFormat="1" spans="1:6">
      <c r="A7049">
        <v>7252</v>
      </c>
      <c r="B7049">
        <v>372018260</v>
      </c>
      <c r="C7049" s="76">
        <v>2018</v>
      </c>
      <c r="D7049" s="76" t="s">
        <v>34</v>
      </c>
      <c r="E7049" s="76">
        <v>50</v>
      </c>
      <c r="F7049" s="76">
        <v>9.9</v>
      </c>
    </row>
    <row r="7050" s="76" customFormat="1" spans="1:6">
      <c r="A7050">
        <v>7268</v>
      </c>
      <c r="B7050">
        <v>372018260</v>
      </c>
      <c r="C7050" s="76">
        <v>2018</v>
      </c>
      <c r="D7050" s="76" t="s">
        <v>34</v>
      </c>
      <c r="E7050" s="76" t="s">
        <v>32</v>
      </c>
      <c r="F7050" s="76">
        <v>10</v>
      </c>
    </row>
    <row r="7051" s="76" customFormat="1" spans="1:6">
      <c r="A7051">
        <v>7267</v>
      </c>
      <c r="B7051">
        <v>372018260</v>
      </c>
      <c r="C7051" s="76">
        <v>2018</v>
      </c>
      <c r="D7051" s="76" t="s">
        <v>34</v>
      </c>
      <c r="E7051" s="76" t="s">
        <v>32</v>
      </c>
      <c r="F7051" s="76">
        <v>6.25</v>
      </c>
    </row>
    <row r="7052" s="76" customFormat="1" spans="1:6">
      <c r="A7052">
        <v>7262</v>
      </c>
      <c r="B7052">
        <v>372018260</v>
      </c>
      <c r="C7052" s="76">
        <v>2018</v>
      </c>
      <c r="D7052" s="76" t="s">
        <v>34</v>
      </c>
      <c r="E7052" s="76" t="s">
        <v>32</v>
      </c>
      <c r="F7052" s="76">
        <v>5</v>
      </c>
    </row>
    <row r="7053" s="76" customFormat="1" spans="1:6">
      <c r="A7053">
        <v>7256</v>
      </c>
      <c r="B7053">
        <v>372018260</v>
      </c>
      <c r="C7053" s="76">
        <v>2018</v>
      </c>
      <c r="D7053" s="76" t="s">
        <v>34</v>
      </c>
      <c r="E7053" s="76">
        <v>30</v>
      </c>
      <c r="F7053" s="76">
        <v>4.8</v>
      </c>
    </row>
    <row r="7054" s="76" customFormat="1" spans="1:6">
      <c r="A7054">
        <v>7257</v>
      </c>
      <c r="B7054">
        <v>372018260</v>
      </c>
      <c r="C7054" s="76">
        <v>2018</v>
      </c>
      <c r="D7054" s="76" t="s">
        <v>34</v>
      </c>
      <c r="E7054" s="76">
        <v>18</v>
      </c>
      <c r="F7054" s="76">
        <v>3.6</v>
      </c>
    </row>
    <row r="7055" s="76" customFormat="1" spans="1:6">
      <c r="A7055">
        <v>7263</v>
      </c>
      <c r="B7055">
        <v>372018260</v>
      </c>
      <c r="C7055" s="76">
        <v>2018</v>
      </c>
      <c r="D7055" s="76" t="s">
        <v>34</v>
      </c>
      <c r="E7055" s="76" t="s">
        <v>32</v>
      </c>
      <c r="F7055" s="76">
        <v>11</v>
      </c>
    </row>
    <row r="7056" s="76" customFormat="1" spans="1:6">
      <c r="A7056">
        <v>7286</v>
      </c>
      <c r="B7056">
        <v>372018270</v>
      </c>
      <c r="C7056" s="76">
        <v>2018</v>
      </c>
      <c r="D7056" s="76" t="s">
        <v>31</v>
      </c>
      <c r="E7056" s="76" t="s">
        <v>32</v>
      </c>
      <c r="F7056" s="76">
        <v>2.13</v>
      </c>
    </row>
    <row r="7057" s="76" customFormat="1" spans="1:6">
      <c r="A7057">
        <v>7296</v>
      </c>
      <c r="B7057">
        <v>372018270</v>
      </c>
      <c r="C7057" s="76">
        <v>2018</v>
      </c>
      <c r="D7057" s="76" t="s">
        <v>31</v>
      </c>
      <c r="E7057" s="76" t="s">
        <v>32</v>
      </c>
      <c r="F7057" s="76">
        <v>2</v>
      </c>
    </row>
    <row r="7058" s="76" customFormat="1" spans="1:6">
      <c r="A7058">
        <v>7284</v>
      </c>
      <c r="B7058">
        <v>372018270</v>
      </c>
      <c r="C7058" s="76">
        <v>2018</v>
      </c>
      <c r="D7058" s="76" t="s">
        <v>31</v>
      </c>
      <c r="E7058" s="76" t="s">
        <v>32</v>
      </c>
      <c r="F7058" s="76">
        <v>10.97</v>
      </c>
    </row>
    <row r="7059" s="76" customFormat="1" spans="1:6">
      <c r="A7059">
        <v>7303</v>
      </c>
      <c r="B7059">
        <v>372018270</v>
      </c>
      <c r="C7059" s="76">
        <v>2018</v>
      </c>
      <c r="D7059" s="76" t="s">
        <v>31</v>
      </c>
      <c r="E7059" s="76" t="s">
        <v>32</v>
      </c>
      <c r="F7059" s="76">
        <v>2.5</v>
      </c>
    </row>
    <row r="7060" s="76" customFormat="1" spans="1:6">
      <c r="A7060">
        <v>7312</v>
      </c>
      <c r="B7060">
        <v>372018270</v>
      </c>
      <c r="C7060" s="76">
        <v>2018</v>
      </c>
      <c r="D7060" s="76" t="s">
        <v>31</v>
      </c>
      <c r="E7060" s="76" t="s">
        <v>32</v>
      </c>
      <c r="F7060" s="76">
        <v>6</v>
      </c>
    </row>
    <row r="7061" s="76" customFormat="1" spans="1:6">
      <c r="A7061">
        <v>7302</v>
      </c>
      <c r="B7061">
        <v>372018270</v>
      </c>
      <c r="C7061" s="76">
        <v>2018</v>
      </c>
      <c r="D7061" s="76" t="s">
        <v>31</v>
      </c>
      <c r="E7061" s="76" t="s">
        <v>32</v>
      </c>
      <c r="F7061" s="76">
        <v>1</v>
      </c>
    </row>
    <row r="7062" s="76" customFormat="1" spans="1:6">
      <c r="A7062">
        <v>7276</v>
      </c>
      <c r="B7062">
        <v>372018270</v>
      </c>
      <c r="C7062" s="76">
        <v>2018</v>
      </c>
      <c r="D7062" s="76" t="s">
        <v>31</v>
      </c>
      <c r="E7062" s="76" t="s">
        <v>32</v>
      </c>
      <c r="F7062" s="76">
        <v>0.7</v>
      </c>
    </row>
    <row r="7063" s="76" customFormat="1" spans="1:6">
      <c r="A7063">
        <v>7305</v>
      </c>
      <c r="B7063">
        <v>372018270</v>
      </c>
      <c r="C7063" s="76">
        <v>2018</v>
      </c>
      <c r="D7063" s="76" t="s">
        <v>31</v>
      </c>
      <c r="E7063" s="76" t="s">
        <v>32</v>
      </c>
      <c r="F7063" s="76">
        <v>1</v>
      </c>
    </row>
    <row r="7064" s="76" customFormat="1" spans="1:6">
      <c r="A7064">
        <v>7274</v>
      </c>
      <c r="B7064">
        <v>372018270</v>
      </c>
      <c r="C7064" s="76">
        <v>2018</v>
      </c>
      <c r="D7064" s="76" t="s">
        <v>31</v>
      </c>
      <c r="E7064" s="76" t="s">
        <v>32</v>
      </c>
      <c r="F7064" s="76">
        <v>3</v>
      </c>
    </row>
    <row r="7065" s="76" customFormat="1" spans="1:6">
      <c r="A7065">
        <v>7273</v>
      </c>
      <c r="B7065">
        <v>372018270</v>
      </c>
      <c r="C7065" s="76">
        <v>2018</v>
      </c>
      <c r="D7065" s="76" t="s">
        <v>31</v>
      </c>
      <c r="E7065" s="76" t="s">
        <v>32</v>
      </c>
      <c r="F7065" s="76">
        <v>1.97</v>
      </c>
    </row>
    <row r="7066" s="76" customFormat="1" spans="1:6">
      <c r="A7066">
        <v>7281</v>
      </c>
      <c r="B7066">
        <v>372018270</v>
      </c>
      <c r="C7066" s="76">
        <v>2018</v>
      </c>
      <c r="D7066" s="76" t="s">
        <v>31</v>
      </c>
      <c r="E7066" s="76" t="s">
        <v>32</v>
      </c>
      <c r="F7066" s="76">
        <v>3</v>
      </c>
    </row>
    <row r="7067" s="76" customFormat="1" spans="1:6">
      <c r="A7067">
        <v>7282</v>
      </c>
      <c r="B7067">
        <v>372018270</v>
      </c>
      <c r="C7067" s="76">
        <v>2018</v>
      </c>
      <c r="D7067" s="76" t="s">
        <v>31</v>
      </c>
      <c r="E7067" s="76" t="s">
        <v>32</v>
      </c>
      <c r="F7067" s="76">
        <v>1</v>
      </c>
    </row>
    <row r="7068" s="76" customFormat="1" spans="1:6">
      <c r="A7068">
        <v>7304</v>
      </c>
      <c r="B7068">
        <v>372018270</v>
      </c>
      <c r="C7068" s="76">
        <v>2018</v>
      </c>
      <c r="D7068" s="76" t="s">
        <v>31</v>
      </c>
      <c r="E7068" s="76" t="s">
        <v>32</v>
      </c>
      <c r="F7068" s="76">
        <v>1</v>
      </c>
    </row>
    <row r="7069" s="76" customFormat="1" spans="1:6">
      <c r="A7069">
        <v>7295</v>
      </c>
      <c r="B7069">
        <v>372018270</v>
      </c>
      <c r="C7069" s="76">
        <v>2018</v>
      </c>
      <c r="D7069" s="76" t="s">
        <v>31</v>
      </c>
      <c r="E7069" s="76" t="s">
        <v>32</v>
      </c>
      <c r="F7069" s="76">
        <v>0.6</v>
      </c>
    </row>
    <row r="7070" s="76" customFormat="1" spans="1:6">
      <c r="A7070">
        <v>7300</v>
      </c>
      <c r="B7070">
        <v>372018270</v>
      </c>
      <c r="C7070" s="76">
        <v>2018</v>
      </c>
      <c r="D7070" s="76" t="s">
        <v>31</v>
      </c>
      <c r="E7070" s="76" t="s">
        <v>32</v>
      </c>
      <c r="F7070" s="76">
        <v>1.7</v>
      </c>
    </row>
    <row r="7071" s="76" customFormat="1" spans="1:6">
      <c r="A7071">
        <v>7280</v>
      </c>
      <c r="B7071">
        <v>372018270</v>
      </c>
      <c r="C7071" s="76">
        <v>2018</v>
      </c>
      <c r="D7071" s="76" t="s">
        <v>31</v>
      </c>
      <c r="E7071" s="76" t="s">
        <v>32</v>
      </c>
      <c r="F7071" s="76">
        <v>1.5</v>
      </c>
    </row>
    <row r="7072" s="76" customFormat="1" spans="1:6">
      <c r="A7072">
        <v>7283</v>
      </c>
      <c r="B7072">
        <v>372018270</v>
      </c>
      <c r="C7072" s="76">
        <v>2018</v>
      </c>
      <c r="D7072" s="76" t="s">
        <v>31</v>
      </c>
      <c r="E7072" s="76" t="s">
        <v>32</v>
      </c>
      <c r="F7072" s="76">
        <v>1</v>
      </c>
    </row>
    <row r="7073" s="76" customFormat="1" spans="1:6">
      <c r="A7073">
        <v>7307</v>
      </c>
      <c r="B7073">
        <v>372018270</v>
      </c>
      <c r="C7073" s="76">
        <v>2018</v>
      </c>
      <c r="D7073" s="76" t="s">
        <v>31</v>
      </c>
      <c r="E7073" s="76" t="s">
        <v>32</v>
      </c>
      <c r="F7073" s="76">
        <v>1</v>
      </c>
    </row>
    <row r="7074" s="76" customFormat="1" spans="1:6">
      <c r="A7074">
        <v>7310</v>
      </c>
      <c r="B7074">
        <v>372018270</v>
      </c>
      <c r="C7074" s="76">
        <v>2018</v>
      </c>
      <c r="D7074" s="76" t="s">
        <v>31</v>
      </c>
      <c r="E7074" s="76" t="s">
        <v>32</v>
      </c>
      <c r="F7074" s="76">
        <v>10</v>
      </c>
    </row>
    <row r="7075" s="76" customFormat="1" spans="1:6">
      <c r="A7075">
        <v>7309</v>
      </c>
      <c r="B7075">
        <v>372018270</v>
      </c>
      <c r="C7075" s="76">
        <v>2018</v>
      </c>
      <c r="D7075" s="76" t="s">
        <v>31</v>
      </c>
      <c r="E7075" s="76" t="s">
        <v>32</v>
      </c>
      <c r="F7075" s="76">
        <v>1</v>
      </c>
    </row>
    <row r="7076" s="76" customFormat="1" spans="1:6">
      <c r="A7076">
        <v>7275</v>
      </c>
      <c r="B7076">
        <v>372018270</v>
      </c>
      <c r="C7076" s="76">
        <v>2018</v>
      </c>
      <c r="D7076" s="76" t="s">
        <v>31</v>
      </c>
      <c r="E7076" s="76" t="s">
        <v>32</v>
      </c>
      <c r="F7076" s="76">
        <v>1</v>
      </c>
    </row>
    <row r="7077" s="76" customFormat="1" spans="1:6">
      <c r="A7077">
        <v>7297</v>
      </c>
      <c r="B7077">
        <v>372018270</v>
      </c>
      <c r="C7077" s="76">
        <v>2018</v>
      </c>
      <c r="D7077" s="76" t="s">
        <v>31</v>
      </c>
      <c r="E7077" s="76" t="s">
        <v>32</v>
      </c>
      <c r="F7077" s="76">
        <v>1</v>
      </c>
    </row>
    <row r="7078" s="76" customFormat="1" spans="1:6">
      <c r="A7078">
        <v>7298</v>
      </c>
      <c r="B7078">
        <v>372018270</v>
      </c>
      <c r="C7078" s="76">
        <v>2018</v>
      </c>
      <c r="D7078" s="76" t="s">
        <v>31</v>
      </c>
      <c r="E7078" s="76" t="s">
        <v>32</v>
      </c>
      <c r="F7078" s="76">
        <v>0.7</v>
      </c>
    </row>
    <row r="7079" s="76" customFormat="1" spans="1:6">
      <c r="A7079">
        <v>7306</v>
      </c>
      <c r="B7079">
        <v>372018270</v>
      </c>
      <c r="C7079" s="76">
        <v>2018</v>
      </c>
      <c r="D7079" s="76" t="s">
        <v>31</v>
      </c>
      <c r="E7079" s="76" t="s">
        <v>32</v>
      </c>
      <c r="F7079" s="76">
        <v>2</v>
      </c>
    </row>
    <row r="7080" s="76" customFormat="1" spans="1:6">
      <c r="A7080">
        <v>7288</v>
      </c>
      <c r="B7080">
        <v>372018270</v>
      </c>
      <c r="C7080" s="76">
        <v>2018</v>
      </c>
      <c r="D7080" s="76" t="s">
        <v>31</v>
      </c>
      <c r="E7080" s="76" t="s">
        <v>32</v>
      </c>
      <c r="F7080" s="76">
        <v>0.75</v>
      </c>
    </row>
    <row r="7081" s="76" customFormat="1" spans="1:6">
      <c r="A7081">
        <v>7269</v>
      </c>
      <c r="B7081">
        <v>372018270</v>
      </c>
      <c r="C7081" s="76">
        <v>2018</v>
      </c>
      <c r="D7081" s="76" t="s">
        <v>31</v>
      </c>
      <c r="E7081" s="76" t="s">
        <v>32</v>
      </c>
      <c r="F7081" s="76">
        <v>10</v>
      </c>
    </row>
    <row r="7082" s="76" customFormat="1" spans="1:6">
      <c r="A7082">
        <v>7271</v>
      </c>
      <c r="B7082">
        <v>372018270</v>
      </c>
      <c r="C7082" s="76">
        <v>2018</v>
      </c>
      <c r="D7082" s="76" t="s">
        <v>31</v>
      </c>
      <c r="E7082" s="76" t="s">
        <v>32</v>
      </c>
      <c r="F7082" s="76">
        <v>0.11</v>
      </c>
    </row>
    <row r="7083" s="76" customFormat="1" spans="1:6">
      <c r="A7083">
        <v>7289</v>
      </c>
      <c r="B7083">
        <v>372018270</v>
      </c>
      <c r="C7083" s="76">
        <v>2018</v>
      </c>
      <c r="D7083" s="76" t="s">
        <v>31</v>
      </c>
      <c r="E7083" s="76" t="s">
        <v>32</v>
      </c>
      <c r="F7083" s="76">
        <v>0.05</v>
      </c>
    </row>
    <row r="7084" s="76" customFormat="1" spans="1:6">
      <c r="A7084">
        <v>7270</v>
      </c>
      <c r="B7084">
        <v>372018270</v>
      </c>
      <c r="C7084" s="76">
        <v>2018</v>
      </c>
      <c r="D7084" s="76" t="s">
        <v>31</v>
      </c>
      <c r="E7084" s="76" t="s">
        <v>32</v>
      </c>
      <c r="F7084" s="76">
        <v>0.24</v>
      </c>
    </row>
    <row r="7085" s="76" customFormat="1" spans="1:6">
      <c r="A7085">
        <v>7285</v>
      </c>
      <c r="B7085">
        <v>372018270</v>
      </c>
      <c r="C7085" s="76">
        <v>2018</v>
      </c>
      <c r="D7085" s="76" t="s">
        <v>31</v>
      </c>
      <c r="E7085" s="76" t="s">
        <v>32</v>
      </c>
      <c r="F7085" s="76">
        <v>0.33</v>
      </c>
    </row>
    <row r="7086" s="76" customFormat="1" spans="1:6">
      <c r="A7086">
        <v>7277</v>
      </c>
      <c r="B7086">
        <v>372018270</v>
      </c>
      <c r="C7086" s="76">
        <v>2018</v>
      </c>
      <c r="D7086" s="76" t="s">
        <v>31</v>
      </c>
      <c r="E7086" s="76" t="s">
        <v>32</v>
      </c>
      <c r="F7086" s="76">
        <v>1.2</v>
      </c>
    </row>
    <row r="7087" s="76" customFormat="1" spans="1:6">
      <c r="A7087">
        <v>7279</v>
      </c>
      <c r="B7087">
        <v>372018270</v>
      </c>
      <c r="C7087" s="76">
        <v>2018</v>
      </c>
      <c r="D7087" s="76" t="s">
        <v>31</v>
      </c>
      <c r="E7087" s="76" t="s">
        <v>32</v>
      </c>
      <c r="F7087" s="76">
        <v>2</v>
      </c>
    </row>
    <row r="7088" s="76" customFormat="1" spans="1:6">
      <c r="A7088">
        <v>7278</v>
      </c>
      <c r="B7088">
        <v>372018270</v>
      </c>
      <c r="C7088" s="76">
        <v>2018</v>
      </c>
      <c r="D7088" s="76" t="s">
        <v>31</v>
      </c>
      <c r="E7088" s="76" t="s">
        <v>32</v>
      </c>
      <c r="F7088" s="76">
        <v>1.2</v>
      </c>
    </row>
    <row r="7089" s="76" customFormat="1" spans="1:6">
      <c r="A7089">
        <v>7308</v>
      </c>
      <c r="B7089">
        <v>372018270</v>
      </c>
      <c r="C7089" s="76">
        <v>2018</v>
      </c>
      <c r="D7089" s="76" t="s">
        <v>31</v>
      </c>
      <c r="E7089" s="76" t="s">
        <v>32</v>
      </c>
      <c r="F7089" s="76">
        <v>2</v>
      </c>
    </row>
    <row r="7090" s="76" customFormat="1" spans="1:6">
      <c r="A7090">
        <v>7313</v>
      </c>
      <c r="B7090">
        <v>372018270</v>
      </c>
      <c r="C7090" s="76">
        <v>2018</v>
      </c>
      <c r="D7090" s="76" t="s">
        <v>31</v>
      </c>
      <c r="E7090" s="76" t="s">
        <v>32</v>
      </c>
      <c r="F7090" s="76">
        <v>1</v>
      </c>
    </row>
    <row r="7091" s="76" customFormat="1" spans="1:6">
      <c r="A7091">
        <v>7272</v>
      </c>
      <c r="B7091">
        <v>372018270</v>
      </c>
      <c r="C7091" s="76">
        <v>2018</v>
      </c>
      <c r="D7091" s="76" t="s">
        <v>31</v>
      </c>
      <c r="E7091" s="76" t="s">
        <v>32</v>
      </c>
      <c r="F7091" s="76">
        <v>5</v>
      </c>
    </row>
    <row r="7092" s="76" customFormat="1" spans="1:6">
      <c r="A7092">
        <v>7293</v>
      </c>
      <c r="B7092">
        <v>372018270</v>
      </c>
      <c r="C7092" s="76">
        <v>2018</v>
      </c>
      <c r="D7092" s="76" t="s">
        <v>31</v>
      </c>
      <c r="E7092" s="76" t="s">
        <v>32</v>
      </c>
      <c r="F7092" s="76">
        <v>10</v>
      </c>
    </row>
    <row r="7093" s="76" customFormat="1" spans="1:6">
      <c r="A7093">
        <v>7294</v>
      </c>
      <c r="B7093">
        <v>372018270</v>
      </c>
      <c r="C7093" s="76">
        <v>2018</v>
      </c>
      <c r="D7093" s="76" t="s">
        <v>31</v>
      </c>
      <c r="E7093" s="76" t="s">
        <v>32</v>
      </c>
      <c r="F7093" s="76">
        <v>5</v>
      </c>
    </row>
    <row r="7094" s="76" customFormat="1" spans="1:6">
      <c r="A7094">
        <v>7291</v>
      </c>
      <c r="B7094">
        <v>372018270</v>
      </c>
      <c r="C7094" s="76">
        <v>2018</v>
      </c>
      <c r="D7094" s="76" t="s">
        <v>31</v>
      </c>
      <c r="E7094" s="76" t="s">
        <v>32</v>
      </c>
      <c r="F7094" s="76">
        <v>5</v>
      </c>
    </row>
    <row r="7095" s="76" customFormat="1" spans="1:6">
      <c r="A7095">
        <v>7287</v>
      </c>
      <c r="B7095">
        <v>372018270</v>
      </c>
      <c r="C7095" s="76">
        <v>2018</v>
      </c>
      <c r="D7095" s="76" t="s">
        <v>31</v>
      </c>
      <c r="E7095" s="76" t="s">
        <v>32</v>
      </c>
      <c r="F7095" s="76">
        <v>2</v>
      </c>
    </row>
    <row r="7096" s="76" customFormat="1" spans="1:6">
      <c r="A7096">
        <v>7301</v>
      </c>
      <c r="B7096">
        <v>372018270</v>
      </c>
      <c r="C7096" s="76">
        <v>2018</v>
      </c>
      <c r="D7096" s="76" t="s">
        <v>31</v>
      </c>
      <c r="E7096" s="76" t="s">
        <v>32</v>
      </c>
      <c r="F7096" s="76">
        <v>1</v>
      </c>
    </row>
    <row r="7097" s="76" customFormat="1" spans="1:6">
      <c r="A7097">
        <v>7290</v>
      </c>
      <c r="B7097">
        <v>372018270</v>
      </c>
      <c r="C7097" s="76">
        <v>2018</v>
      </c>
      <c r="D7097" s="76" t="s">
        <v>31</v>
      </c>
      <c r="E7097" s="76" t="s">
        <v>32</v>
      </c>
      <c r="F7097" s="76">
        <v>1</v>
      </c>
    </row>
    <row r="7098" s="76" customFormat="1" spans="1:6">
      <c r="A7098">
        <v>7311</v>
      </c>
      <c r="B7098">
        <v>372018270</v>
      </c>
      <c r="C7098" s="76">
        <v>2018</v>
      </c>
      <c r="D7098" s="76" t="s">
        <v>31</v>
      </c>
      <c r="E7098" s="76" t="s">
        <v>32</v>
      </c>
      <c r="F7098" s="76">
        <v>1</v>
      </c>
    </row>
    <row r="7099" s="76" customFormat="1" spans="1:6">
      <c r="A7099">
        <v>7299</v>
      </c>
      <c r="B7099">
        <v>372018270</v>
      </c>
      <c r="C7099" s="76">
        <v>2018</v>
      </c>
      <c r="D7099" s="76" t="s">
        <v>31</v>
      </c>
      <c r="E7099" s="76" t="s">
        <v>32</v>
      </c>
      <c r="F7099" s="76">
        <v>1</v>
      </c>
    </row>
    <row r="7100" s="76" customFormat="1" spans="1:6">
      <c r="A7100">
        <v>7321</v>
      </c>
      <c r="B7100">
        <v>372019211</v>
      </c>
      <c r="C7100" s="76">
        <v>2019</v>
      </c>
      <c r="D7100" s="76" t="s">
        <v>37</v>
      </c>
      <c r="E7100" s="76" t="s">
        <v>32</v>
      </c>
      <c r="F7100" s="76">
        <v>5</v>
      </c>
    </row>
    <row r="7101" s="76" customFormat="1" spans="1:6">
      <c r="A7101">
        <v>7325</v>
      </c>
      <c r="B7101">
        <v>372019211</v>
      </c>
      <c r="C7101" s="76">
        <v>2019</v>
      </c>
      <c r="D7101" s="76" t="s">
        <v>37</v>
      </c>
      <c r="E7101" s="76" t="s">
        <v>32</v>
      </c>
      <c r="F7101" s="76">
        <v>2.5</v>
      </c>
    </row>
    <row r="7102" s="76" customFormat="1" spans="1:6">
      <c r="A7102">
        <v>7319</v>
      </c>
      <c r="B7102">
        <v>372019211</v>
      </c>
      <c r="C7102" s="76">
        <v>2019</v>
      </c>
      <c r="D7102" s="76" t="s">
        <v>37</v>
      </c>
      <c r="E7102" s="76" t="s">
        <v>32</v>
      </c>
      <c r="F7102" s="76">
        <v>1.8</v>
      </c>
    </row>
    <row r="7103" s="76" customFormat="1" spans="1:6">
      <c r="A7103">
        <v>7317</v>
      </c>
      <c r="B7103">
        <v>372019211</v>
      </c>
      <c r="C7103" s="76">
        <v>2019</v>
      </c>
      <c r="D7103" s="76" t="s">
        <v>37</v>
      </c>
      <c r="E7103" s="76" t="s">
        <v>32</v>
      </c>
      <c r="F7103" s="76">
        <v>0.1</v>
      </c>
    </row>
    <row r="7104" s="76" customFormat="1" spans="1:6">
      <c r="A7104">
        <v>7315</v>
      </c>
      <c r="B7104">
        <v>372019211</v>
      </c>
      <c r="C7104" s="76">
        <v>2019</v>
      </c>
      <c r="D7104" s="76" t="s">
        <v>37</v>
      </c>
      <c r="E7104" s="76" t="s">
        <v>32</v>
      </c>
      <c r="F7104" s="76">
        <v>4.8</v>
      </c>
    </row>
    <row r="7105" s="76" customFormat="1" spans="1:6">
      <c r="A7105">
        <v>7316</v>
      </c>
      <c r="B7105">
        <v>372019211</v>
      </c>
      <c r="C7105" s="76">
        <v>2019</v>
      </c>
      <c r="D7105" s="76" t="s">
        <v>37</v>
      </c>
      <c r="E7105" s="76" t="s">
        <v>32</v>
      </c>
      <c r="F7105" s="76">
        <v>0.6</v>
      </c>
    </row>
    <row r="7106" s="76" customFormat="1" spans="1:6">
      <c r="A7106">
        <v>7323</v>
      </c>
      <c r="B7106">
        <v>372019211</v>
      </c>
      <c r="C7106" s="76">
        <v>2019</v>
      </c>
      <c r="D7106" s="76" t="s">
        <v>37</v>
      </c>
      <c r="E7106" s="76" t="s">
        <v>32</v>
      </c>
      <c r="F7106" s="76">
        <v>2.5</v>
      </c>
    </row>
    <row r="7107" s="76" customFormat="1" spans="1:6">
      <c r="A7107">
        <v>7322</v>
      </c>
      <c r="B7107">
        <v>372019211</v>
      </c>
      <c r="C7107" s="76">
        <v>2019</v>
      </c>
      <c r="D7107" s="76" t="s">
        <v>37</v>
      </c>
      <c r="E7107" s="76">
        <v>1</v>
      </c>
      <c r="F7107" s="76">
        <v>35</v>
      </c>
    </row>
    <row r="7108" s="76" customFormat="1" spans="1:6">
      <c r="A7108">
        <v>7320</v>
      </c>
      <c r="B7108">
        <v>372019211</v>
      </c>
      <c r="C7108" s="76">
        <v>2019</v>
      </c>
      <c r="D7108" s="76" t="s">
        <v>37</v>
      </c>
      <c r="E7108" s="76" t="s">
        <v>32</v>
      </c>
      <c r="F7108" s="76">
        <v>1.2</v>
      </c>
    </row>
    <row r="7109" s="76" customFormat="1" spans="1:6">
      <c r="A7109">
        <v>7318</v>
      </c>
      <c r="B7109">
        <v>372019211</v>
      </c>
      <c r="C7109" s="76">
        <v>2019</v>
      </c>
      <c r="D7109" s="76" t="s">
        <v>37</v>
      </c>
      <c r="E7109" s="76">
        <v>2</v>
      </c>
      <c r="F7109" s="76">
        <v>70</v>
      </c>
    </row>
    <row r="7110" s="76" customFormat="1" spans="1:6">
      <c r="A7110">
        <v>7324</v>
      </c>
      <c r="B7110">
        <v>372019211</v>
      </c>
      <c r="C7110" s="76">
        <v>2019</v>
      </c>
      <c r="D7110" s="76" t="s">
        <v>37</v>
      </c>
      <c r="E7110" s="76" t="s">
        <v>32</v>
      </c>
      <c r="F7110" s="76">
        <v>1.5</v>
      </c>
    </row>
    <row r="7111" s="76" customFormat="1" spans="1:6">
      <c r="A7111">
        <v>7326</v>
      </c>
      <c r="B7111">
        <v>372019221</v>
      </c>
      <c r="C7111" s="76">
        <v>2019</v>
      </c>
      <c r="D7111" s="76" t="s">
        <v>30</v>
      </c>
      <c r="E7111" s="76" t="s">
        <v>32</v>
      </c>
      <c r="F7111" s="76">
        <v>0.66</v>
      </c>
    </row>
    <row r="7112" s="76" customFormat="1" spans="1:6">
      <c r="A7112">
        <v>7330</v>
      </c>
      <c r="B7112">
        <v>372019241</v>
      </c>
      <c r="C7112" s="76">
        <v>2019</v>
      </c>
      <c r="D7112" s="76" t="s">
        <v>33</v>
      </c>
      <c r="E7112" s="76" t="s">
        <v>32</v>
      </c>
      <c r="F7112" s="76">
        <v>1.6</v>
      </c>
    </row>
    <row r="7113" s="76" customFormat="1" spans="1:6">
      <c r="A7113">
        <v>7329</v>
      </c>
      <c r="B7113">
        <v>372019241</v>
      </c>
      <c r="C7113" s="76">
        <v>2019</v>
      </c>
      <c r="D7113" s="76" t="s">
        <v>33</v>
      </c>
      <c r="E7113" s="76" t="s">
        <v>32</v>
      </c>
      <c r="F7113" s="76">
        <v>2.5</v>
      </c>
    </row>
    <row r="7114" s="76" customFormat="1" spans="1:6">
      <c r="A7114">
        <v>7334</v>
      </c>
      <c r="B7114">
        <v>372019241</v>
      </c>
      <c r="C7114" s="76">
        <v>2019</v>
      </c>
      <c r="D7114" s="76" t="s">
        <v>33</v>
      </c>
      <c r="E7114" s="76" t="s">
        <v>32</v>
      </c>
      <c r="F7114" s="76">
        <v>0.6</v>
      </c>
    </row>
    <row r="7115" s="76" customFormat="1" spans="1:6">
      <c r="A7115">
        <v>7333</v>
      </c>
      <c r="B7115">
        <v>372019241</v>
      </c>
      <c r="C7115" s="76">
        <v>2019</v>
      </c>
      <c r="D7115" s="76" t="s">
        <v>33</v>
      </c>
      <c r="E7115" s="76" t="s">
        <v>32</v>
      </c>
      <c r="F7115" s="76">
        <v>1.2</v>
      </c>
    </row>
    <row r="7116" s="76" customFormat="1" spans="1:6">
      <c r="A7116">
        <v>7339</v>
      </c>
      <c r="B7116">
        <v>372019241</v>
      </c>
      <c r="C7116" s="76">
        <v>2019</v>
      </c>
      <c r="D7116" s="76" t="s">
        <v>33</v>
      </c>
      <c r="E7116" s="76" t="s">
        <v>32</v>
      </c>
      <c r="F7116" s="76">
        <v>0.6</v>
      </c>
    </row>
    <row r="7117" s="76" customFormat="1" spans="1:6">
      <c r="A7117">
        <v>7331</v>
      </c>
      <c r="B7117">
        <v>372019241</v>
      </c>
      <c r="C7117" s="76">
        <v>2019</v>
      </c>
      <c r="D7117" s="76" t="s">
        <v>33</v>
      </c>
      <c r="E7117" s="76" t="s">
        <v>32</v>
      </c>
      <c r="F7117" s="76">
        <v>0.9</v>
      </c>
    </row>
    <row r="7118" s="76" customFormat="1" spans="1:6">
      <c r="A7118">
        <v>7332</v>
      </c>
      <c r="B7118">
        <v>372019241</v>
      </c>
      <c r="C7118" s="76">
        <v>2019</v>
      </c>
      <c r="D7118" s="76" t="s">
        <v>33</v>
      </c>
      <c r="E7118" s="76" t="s">
        <v>32</v>
      </c>
      <c r="F7118" s="76">
        <v>3</v>
      </c>
    </row>
    <row r="7119" s="76" customFormat="1" spans="1:6">
      <c r="A7119">
        <v>7341</v>
      </c>
      <c r="B7119">
        <v>372019241</v>
      </c>
      <c r="C7119" s="76">
        <v>2019</v>
      </c>
      <c r="D7119" s="76" t="s">
        <v>33</v>
      </c>
      <c r="E7119" s="76" t="s">
        <v>32</v>
      </c>
      <c r="F7119" s="76">
        <v>0.75</v>
      </c>
    </row>
    <row r="7120" s="76" customFormat="1" spans="1:6">
      <c r="A7120">
        <v>7327</v>
      </c>
      <c r="B7120">
        <v>372019241</v>
      </c>
      <c r="C7120" s="76">
        <v>2019</v>
      </c>
      <c r="D7120" s="76" t="s">
        <v>33</v>
      </c>
      <c r="E7120" s="76" t="s">
        <v>32</v>
      </c>
      <c r="F7120" s="76">
        <v>2.5</v>
      </c>
    </row>
    <row r="7121" s="76" customFormat="1" spans="1:6">
      <c r="A7121">
        <v>7338</v>
      </c>
      <c r="B7121">
        <v>372019241</v>
      </c>
      <c r="C7121" s="76">
        <v>2019</v>
      </c>
      <c r="D7121" s="76" t="s">
        <v>33</v>
      </c>
      <c r="E7121" s="76" t="s">
        <v>32</v>
      </c>
      <c r="F7121" s="76">
        <v>1.2</v>
      </c>
    </row>
    <row r="7122" s="76" customFormat="1" spans="1:6">
      <c r="A7122">
        <v>7340</v>
      </c>
      <c r="B7122">
        <v>372019241</v>
      </c>
      <c r="C7122" s="76">
        <v>2019</v>
      </c>
      <c r="D7122" s="76" t="s">
        <v>33</v>
      </c>
      <c r="E7122" s="76" t="s">
        <v>32</v>
      </c>
      <c r="F7122" s="76">
        <v>0.6</v>
      </c>
    </row>
    <row r="7123" s="76" customFormat="1" spans="1:6">
      <c r="A7123">
        <v>7337</v>
      </c>
      <c r="B7123">
        <v>372019241</v>
      </c>
      <c r="C7123" s="76">
        <v>2019</v>
      </c>
      <c r="D7123" s="76" t="s">
        <v>33</v>
      </c>
      <c r="E7123" s="76" t="s">
        <v>32</v>
      </c>
      <c r="F7123" s="76">
        <v>4</v>
      </c>
    </row>
    <row r="7124" s="76" customFormat="1" spans="1:6">
      <c r="A7124">
        <v>7336</v>
      </c>
      <c r="B7124">
        <v>372019241</v>
      </c>
      <c r="C7124" s="76">
        <v>2019</v>
      </c>
      <c r="D7124" s="76" t="s">
        <v>33</v>
      </c>
      <c r="E7124" s="76" t="s">
        <v>32</v>
      </c>
      <c r="F7124" s="76">
        <v>3.5</v>
      </c>
    </row>
    <row r="7125" s="76" customFormat="1" spans="1:6">
      <c r="A7125">
        <v>7335</v>
      </c>
      <c r="B7125">
        <v>372019241</v>
      </c>
      <c r="C7125" s="76">
        <v>2019</v>
      </c>
      <c r="D7125" s="76" t="s">
        <v>33</v>
      </c>
      <c r="E7125" s="76" t="s">
        <v>32</v>
      </c>
      <c r="F7125" s="76">
        <v>0.9</v>
      </c>
    </row>
    <row r="7126" s="76" customFormat="1" spans="1:6">
      <c r="A7126">
        <v>7328</v>
      </c>
      <c r="B7126">
        <v>372019241</v>
      </c>
      <c r="C7126" s="76">
        <v>2019</v>
      </c>
      <c r="D7126" s="76" t="s">
        <v>33</v>
      </c>
      <c r="E7126" s="76" t="s">
        <v>32</v>
      </c>
      <c r="F7126" s="76">
        <v>1.2</v>
      </c>
    </row>
    <row r="7127" s="76" customFormat="1" spans="1:6">
      <c r="A7127">
        <v>7347</v>
      </c>
      <c r="B7127">
        <v>372019242</v>
      </c>
      <c r="C7127" s="76">
        <v>2019</v>
      </c>
      <c r="D7127" s="76" t="s">
        <v>35</v>
      </c>
      <c r="E7127" s="76" t="s">
        <v>32</v>
      </c>
      <c r="F7127" s="76">
        <v>1.8</v>
      </c>
    </row>
    <row r="7128" s="76" customFormat="1" spans="1:6">
      <c r="A7128">
        <v>7346</v>
      </c>
      <c r="B7128">
        <v>372019242</v>
      </c>
      <c r="C7128" s="76">
        <v>2019</v>
      </c>
      <c r="D7128" s="76" t="s">
        <v>35</v>
      </c>
      <c r="E7128" s="76" t="s">
        <v>32</v>
      </c>
      <c r="F7128" s="76">
        <v>1</v>
      </c>
    </row>
    <row r="7129" s="76" customFormat="1" spans="1:6">
      <c r="A7129">
        <v>7352</v>
      </c>
      <c r="B7129">
        <v>372019242</v>
      </c>
      <c r="C7129" s="76">
        <v>2019</v>
      </c>
      <c r="D7129" s="76" t="s">
        <v>35</v>
      </c>
      <c r="E7129" s="76" t="s">
        <v>32</v>
      </c>
      <c r="F7129" s="76">
        <v>2.5</v>
      </c>
    </row>
    <row r="7130" s="76" customFormat="1" spans="1:6">
      <c r="A7130">
        <v>7353</v>
      </c>
      <c r="B7130">
        <v>372019242</v>
      </c>
      <c r="C7130" s="76">
        <v>2019</v>
      </c>
      <c r="D7130" s="76" t="s">
        <v>35</v>
      </c>
      <c r="E7130" s="76" t="s">
        <v>32</v>
      </c>
      <c r="F7130" s="76">
        <v>1.5</v>
      </c>
    </row>
    <row r="7131" s="76" customFormat="1" spans="1:6">
      <c r="A7131">
        <v>7350</v>
      </c>
      <c r="B7131">
        <v>372019242</v>
      </c>
      <c r="C7131" s="76">
        <v>2019</v>
      </c>
      <c r="D7131" s="76" t="s">
        <v>35</v>
      </c>
      <c r="E7131" s="76" t="s">
        <v>32</v>
      </c>
      <c r="F7131" s="76">
        <v>6</v>
      </c>
    </row>
    <row r="7132" s="76" customFormat="1" spans="1:6">
      <c r="A7132">
        <v>7345</v>
      </c>
      <c r="B7132">
        <v>372019242</v>
      </c>
      <c r="C7132" s="76">
        <v>2019</v>
      </c>
      <c r="D7132" s="76" t="s">
        <v>35</v>
      </c>
      <c r="E7132" s="76" t="s">
        <v>32</v>
      </c>
      <c r="F7132" s="76">
        <v>6</v>
      </c>
    </row>
    <row r="7133" s="76" customFormat="1" spans="1:6">
      <c r="A7133">
        <v>7349</v>
      </c>
      <c r="B7133">
        <v>372019242</v>
      </c>
      <c r="C7133" s="76">
        <v>2019</v>
      </c>
      <c r="D7133" s="76" t="s">
        <v>35</v>
      </c>
      <c r="E7133" s="76" t="s">
        <v>32</v>
      </c>
      <c r="F7133" s="76">
        <v>1.5</v>
      </c>
    </row>
    <row r="7134" s="76" customFormat="1" spans="1:6">
      <c r="A7134">
        <v>7351</v>
      </c>
      <c r="B7134">
        <v>372019242</v>
      </c>
      <c r="C7134" s="76">
        <v>2019</v>
      </c>
      <c r="D7134" s="76" t="s">
        <v>35</v>
      </c>
      <c r="E7134" s="76" t="s">
        <v>32</v>
      </c>
      <c r="F7134" s="76">
        <v>0.9</v>
      </c>
    </row>
    <row r="7135" s="76" customFormat="1" spans="1:6">
      <c r="A7135">
        <v>7354</v>
      </c>
      <c r="B7135">
        <v>372019242</v>
      </c>
      <c r="C7135" s="76">
        <v>2019</v>
      </c>
      <c r="D7135" s="76" t="s">
        <v>35</v>
      </c>
      <c r="E7135" s="76" t="s">
        <v>32</v>
      </c>
      <c r="F7135" s="76">
        <v>2.5</v>
      </c>
    </row>
    <row r="7136" s="76" customFormat="1" spans="1:6">
      <c r="A7136">
        <v>7348</v>
      </c>
      <c r="B7136">
        <v>372019242</v>
      </c>
      <c r="C7136" s="76">
        <v>2019</v>
      </c>
      <c r="D7136" s="76" t="s">
        <v>35</v>
      </c>
      <c r="E7136" s="76" t="s">
        <v>32</v>
      </c>
      <c r="F7136" s="76">
        <v>1.2</v>
      </c>
    </row>
    <row r="7137" s="76" customFormat="1" spans="1:6">
      <c r="A7137">
        <v>7343</v>
      </c>
      <c r="B7137">
        <v>372019242</v>
      </c>
      <c r="C7137" s="76">
        <v>2019</v>
      </c>
      <c r="D7137" s="76" t="s">
        <v>35</v>
      </c>
      <c r="E7137" s="76" t="s">
        <v>32</v>
      </c>
      <c r="F7137" s="76">
        <v>2.4</v>
      </c>
    </row>
    <row r="7138" s="76" customFormat="1" spans="1:6">
      <c r="A7138">
        <v>7344</v>
      </c>
      <c r="B7138">
        <v>372019242</v>
      </c>
      <c r="C7138" s="76">
        <v>2019</v>
      </c>
      <c r="D7138" s="76" t="s">
        <v>35</v>
      </c>
      <c r="E7138" s="76" t="s">
        <v>32</v>
      </c>
      <c r="F7138" s="76">
        <v>1.5</v>
      </c>
    </row>
    <row r="7139" s="76" customFormat="1" spans="1:6">
      <c r="A7139">
        <v>7355</v>
      </c>
      <c r="B7139">
        <v>372019242</v>
      </c>
      <c r="C7139" s="76">
        <v>2019</v>
      </c>
      <c r="D7139" s="76" t="s">
        <v>35</v>
      </c>
      <c r="E7139" s="76" t="s">
        <v>32</v>
      </c>
      <c r="F7139" s="76">
        <v>1.8</v>
      </c>
    </row>
    <row r="7140" s="76" customFormat="1" spans="1:6">
      <c r="A7140">
        <v>7356</v>
      </c>
      <c r="B7140">
        <v>372019243</v>
      </c>
      <c r="C7140" s="76">
        <v>2019</v>
      </c>
      <c r="D7140" s="76" t="s">
        <v>38</v>
      </c>
      <c r="E7140" s="76" t="s">
        <v>32</v>
      </c>
      <c r="F7140" s="76">
        <v>3.5</v>
      </c>
    </row>
    <row r="7141" s="76" customFormat="1" spans="1:6">
      <c r="A7141">
        <v>7358</v>
      </c>
      <c r="B7141">
        <v>372019243</v>
      </c>
      <c r="C7141" s="76">
        <v>2019</v>
      </c>
      <c r="D7141" s="76" t="s">
        <v>38</v>
      </c>
      <c r="E7141" s="76" t="s">
        <v>32</v>
      </c>
      <c r="F7141" s="76">
        <v>3</v>
      </c>
    </row>
    <row r="7142" s="76" customFormat="1" spans="1:6">
      <c r="A7142">
        <v>7357</v>
      </c>
      <c r="B7142">
        <v>372019243</v>
      </c>
      <c r="C7142" s="76">
        <v>2019</v>
      </c>
      <c r="D7142" s="76" t="s">
        <v>38</v>
      </c>
      <c r="E7142" s="76" t="s">
        <v>32</v>
      </c>
      <c r="F7142" s="76">
        <v>23.5</v>
      </c>
    </row>
    <row r="7143" s="76" customFormat="1" spans="1:6">
      <c r="A7143">
        <v>7359</v>
      </c>
      <c r="B7143">
        <v>372019250</v>
      </c>
      <c r="C7143" s="76">
        <v>2019</v>
      </c>
      <c r="D7143" s="76" t="s">
        <v>44</v>
      </c>
      <c r="E7143" s="76">
        <v>1</v>
      </c>
      <c r="F7143" s="76">
        <v>125</v>
      </c>
    </row>
    <row r="7144" s="76" customFormat="1" spans="1:6">
      <c r="A7144">
        <v>7383</v>
      </c>
      <c r="B7144">
        <v>372019260</v>
      </c>
      <c r="C7144" s="76">
        <v>2019</v>
      </c>
      <c r="D7144" s="76" t="s">
        <v>34</v>
      </c>
      <c r="E7144" s="76" t="s">
        <v>32</v>
      </c>
      <c r="F7144" s="76">
        <v>4.99</v>
      </c>
    </row>
    <row r="7145" s="76" customFormat="1" spans="1:6">
      <c r="A7145">
        <v>7368</v>
      </c>
      <c r="B7145">
        <v>372019260</v>
      </c>
      <c r="C7145" s="76">
        <v>2019</v>
      </c>
      <c r="D7145" s="76" t="s">
        <v>34</v>
      </c>
      <c r="E7145" s="76">
        <v>16</v>
      </c>
      <c r="F7145" s="76">
        <v>4</v>
      </c>
    </row>
    <row r="7146" s="76" customFormat="1" spans="1:6">
      <c r="A7146">
        <v>7396</v>
      </c>
      <c r="B7146">
        <v>372019260</v>
      </c>
      <c r="C7146" s="76">
        <v>2019</v>
      </c>
      <c r="D7146" s="76" t="s">
        <v>34</v>
      </c>
      <c r="E7146" s="76" t="s">
        <v>32</v>
      </c>
      <c r="F7146" s="76">
        <v>5</v>
      </c>
    </row>
    <row r="7147" s="76" customFormat="1" spans="1:6">
      <c r="A7147">
        <v>7395</v>
      </c>
      <c r="B7147">
        <v>372019260</v>
      </c>
      <c r="C7147" s="76">
        <v>2019</v>
      </c>
      <c r="D7147" s="76" t="s">
        <v>34</v>
      </c>
      <c r="E7147" s="76" t="s">
        <v>32</v>
      </c>
      <c r="F7147" s="76">
        <v>5</v>
      </c>
    </row>
    <row r="7148" s="76" customFormat="1" spans="1:6">
      <c r="A7148">
        <v>7386</v>
      </c>
      <c r="B7148">
        <v>372019260</v>
      </c>
      <c r="C7148" s="76">
        <v>2019</v>
      </c>
      <c r="D7148" s="76" t="s">
        <v>34</v>
      </c>
      <c r="E7148" s="76" t="s">
        <v>32</v>
      </c>
      <c r="F7148" s="76">
        <v>15</v>
      </c>
    </row>
    <row r="7149" s="76" customFormat="1" spans="1:6">
      <c r="A7149">
        <v>7375</v>
      </c>
      <c r="B7149">
        <v>372019260</v>
      </c>
      <c r="C7149" s="76">
        <v>2019</v>
      </c>
      <c r="D7149" s="76" t="s">
        <v>34</v>
      </c>
      <c r="E7149" s="76" t="s">
        <v>32</v>
      </c>
      <c r="F7149" s="76">
        <v>5</v>
      </c>
    </row>
    <row r="7150" s="76" customFormat="1" spans="1:6">
      <c r="A7150">
        <v>7373</v>
      </c>
      <c r="B7150">
        <v>372019260</v>
      </c>
      <c r="C7150" s="76">
        <v>2019</v>
      </c>
      <c r="D7150" s="76" t="s">
        <v>34</v>
      </c>
      <c r="E7150" s="76">
        <v>10</v>
      </c>
      <c r="F7150" s="76">
        <v>3</v>
      </c>
    </row>
    <row r="7151" s="76" customFormat="1" spans="1:6">
      <c r="A7151">
        <v>7377</v>
      </c>
      <c r="B7151">
        <v>372019260</v>
      </c>
      <c r="C7151" s="76">
        <v>2019</v>
      </c>
      <c r="D7151" s="76" t="s">
        <v>34</v>
      </c>
      <c r="E7151" s="76" t="s">
        <v>32</v>
      </c>
      <c r="F7151" s="76">
        <v>10</v>
      </c>
    </row>
    <row r="7152" s="76" customFormat="1" spans="1:6">
      <c r="A7152">
        <v>7378</v>
      </c>
      <c r="B7152">
        <v>372019260</v>
      </c>
      <c r="C7152" s="76">
        <v>2019</v>
      </c>
      <c r="D7152" s="76" t="s">
        <v>34</v>
      </c>
      <c r="E7152" s="76" t="s">
        <v>32</v>
      </c>
      <c r="F7152" s="76">
        <v>2.08</v>
      </c>
    </row>
    <row r="7153" s="76" customFormat="1" spans="1:6">
      <c r="A7153">
        <v>7390</v>
      </c>
      <c r="B7153">
        <v>372019260</v>
      </c>
      <c r="C7153" s="76">
        <v>2019</v>
      </c>
      <c r="D7153" s="76" t="s">
        <v>34</v>
      </c>
      <c r="E7153" s="76" t="s">
        <v>32</v>
      </c>
      <c r="F7153" s="76">
        <v>8</v>
      </c>
    </row>
    <row r="7154" s="76" customFormat="1" spans="1:6">
      <c r="A7154">
        <v>7385</v>
      </c>
      <c r="B7154">
        <v>372019260</v>
      </c>
      <c r="C7154" s="76">
        <v>2019</v>
      </c>
      <c r="D7154" s="76" t="s">
        <v>34</v>
      </c>
      <c r="E7154" s="76" t="s">
        <v>32</v>
      </c>
      <c r="F7154" s="76">
        <v>4.8</v>
      </c>
    </row>
    <row r="7155" s="76" customFormat="1" spans="1:6">
      <c r="A7155">
        <v>7382</v>
      </c>
      <c r="B7155">
        <v>372019260</v>
      </c>
      <c r="C7155" s="76">
        <v>2019</v>
      </c>
      <c r="D7155" s="76" t="s">
        <v>34</v>
      </c>
      <c r="E7155" s="76" t="s">
        <v>32</v>
      </c>
      <c r="F7155" s="76">
        <v>2.6</v>
      </c>
    </row>
    <row r="7156" s="76" customFormat="1" spans="1:6">
      <c r="A7156">
        <v>7387</v>
      </c>
      <c r="B7156">
        <v>372019260</v>
      </c>
      <c r="C7156" s="76">
        <v>2019</v>
      </c>
      <c r="D7156" s="76" t="s">
        <v>34</v>
      </c>
      <c r="E7156" s="76" t="s">
        <v>32</v>
      </c>
      <c r="F7156" s="76">
        <v>11.6</v>
      </c>
    </row>
    <row r="7157" s="76" customFormat="1" spans="1:6">
      <c r="A7157">
        <v>7361</v>
      </c>
      <c r="B7157">
        <v>372019260</v>
      </c>
      <c r="C7157" s="76">
        <v>2019</v>
      </c>
      <c r="D7157" s="76" t="s">
        <v>34</v>
      </c>
      <c r="E7157" s="76">
        <v>13</v>
      </c>
      <c r="F7157" s="76">
        <v>5.2</v>
      </c>
    </row>
    <row r="7158" s="76" customFormat="1" spans="1:6">
      <c r="A7158">
        <v>7389</v>
      </c>
      <c r="B7158">
        <v>372019260</v>
      </c>
      <c r="C7158" s="76">
        <v>2019</v>
      </c>
      <c r="D7158" s="76" t="s">
        <v>34</v>
      </c>
      <c r="E7158" s="76" t="s">
        <v>32</v>
      </c>
      <c r="F7158" s="76">
        <v>4.8</v>
      </c>
    </row>
    <row r="7159" s="76" customFormat="1" spans="1:6">
      <c r="A7159">
        <v>7394</v>
      </c>
      <c r="B7159">
        <v>372019260</v>
      </c>
      <c r="C7159" s="76">
        <v>2019</v>
      </c>
      <c r="D7159" s="76" t="s">
        <v>34</v>
      </c>
      <c r="E7159" s="76" t="s">
        <v>32</v>
      </c>
      <c r="F7159" s="76">
        <v>5</v>
      </c>
    </row>
    <row r="7160" s="76" customFormat="1" spans="1:6">
      <c r="A7160">
        <v>7388</v>
      </c>
      <c r="B7160">
        <v>372019260</v>
      </c>
      <c r="C7160" s="76">
        <v>2019</v>
      </c>
      <c r="D7160" s="76" t="s">
        <v>34</v>
      </c>
      <c r="E7160" s="76" t="s">
        <v>32</v>
      </c>
      <c r="F7160" s="76">
        <v>0.9</v>
      </c>
    </row>
    <row r="7161" s="76" customFormat="1" spans="1:6">
      <c r="A7161">
        <v>7399</v>
      </c>
      <c r="B7161">
        <v>372019260</v>
      </c>
      <c r="C7161" s="76">
        <v>2019</v>
      </c>
      <c r="D7161" s="76" t="s">
        <v>34</v>
      </c>
      <c r="E7161" s="76" t="s">
        <v>32</v>
      </c>
      <c r="F7161" s="76">
        <v>2.75</v>
      </c>
    </row>
    <row r="7162" s="76" customFormat="1" spans="1:6">
      <c r="A7162">
        <v>7360</v>
      </c>
      <c r="B7162">
        <v>372019260</v>
      </c>
      <c r="C7162" s="76">
        <v>2019</v>
      </c>
      <c r="D7162" s="76" t="s">
        <v>34</v>
      </c>
      <c r="E7162" s="76">
        <v>50</v>
      </c>
      <c r="F7162" s="76">
        <v>10</v>
      </c>
    </row>
    <row r="7163" s="76" customFormat="1" spans="1:6">
      <c r="A7163">
        <v>7363</v>
      </c>
      <c r="B7163">
        <v>372019260</v>
      </c>
      <c r="C7163" s="76">
        <v>2019</v>
      </c>
      <c r="D7163" s="76" t="s">
        <v>34</v>
      </c>
      <c r="E7163" s="76">
        <v>15</v>
      </c>
      <c r="F7163" s="76">
        <v>3.5</v>
      </c>
    </row>
    <row r="7164" s="76" customFormat="1" spans="1:6">
      <c r="A7164">
        <v>7393</v>
      </c>
      <c r="B7164">
        <v>372019260</v>
      </c>
      <c r="C7164" s="76">
        <v>2019</v>
      </c>
      <c r="D7164" s="76" t="s">
        <v>34</v>
      </c>
      <c r="E7164" s="76" t="s">
        <v>32</v>
      </c>
      <c r="F7164" s="76">
        <v>7</v>
      </c>
    </row>
    <row r="7165" s="76" customFormat="1" spans="1:6">
      <c r="A7165">
        <v>7397</v>
      </c>
      <c r="B7165">
        <v>372019260</v>
      </c>
      <c r="C7165" s="76">
        <v>2019</v>
      </c>
      <c r="D7165" s="76" t="s">
        <v>34</v>
      </c>
      <c r="E7165" s="76" t="s">
        <v>32</v>
      </c>
      <c r="F7165" s="76">
        <v>3.94</v>
      </c>
    </row>
    <row r="7166" s="76" customFormat="1" spans="1:6">
      <c r="A7166">
        <v>7384</v>
      </c>
      <c r="B7166">
        <v>372019260</v>
      </c>
      <c r="C7166" s="76">
        <v>2019</v>
      </c>
      <c r="D7166" s="76" t="s">
        <v>34</v>
      </c>
      <c r="E7166" s="76" t="s">
        <v>32</v>
      </c>
      <c r="F7166" s="76">
        <v>3.75</v>
      </c>
    </row>
    <row r="7167" s="76" customFormat="1" spans="1:6">
      <c r="A7167">
        <v>7392</v>
      </c>
      <c r="B7167">
        <v>372019260</v>
      </c>
      <c r="C7167" s="76">
        <v>2019</v>
      </c>
      <c r="D7167" s="76" t="s">
        <v>34</v>
      </c>
      <c r="E7167" s="76" t="s">
        <v>32</v>
      </c>
      <c r="F7167" s="76">
        <v>9.89</v>
      </c>
    </row>
    <row r="7168" s="76" customFormat="1" spans="1:6">
      <c r="A7168">
        <v>7376</v>
      </c>
      <c r="B7168">
        <v>372019260</v>
      </c>
      <c r="C7168" s="76">
        <v>2019</v>
      </c>
      <c r="D7168" s="76" t="s">
        <v>34</v>
      </c>
      <c r="E7168" s="76" t="s">
        <v>32</v>
      </c>
      <c r="F7168" s="76">
        <v>15</v>
      </c>
    </row>
    <row r="7169" s="76" customFormat="1" spans="1:6">
      <c r="A7169">
        <v>7398</v>
      </c>
      <c r="B7169">
        <v>372019260</v>
      </c>
      <c r="C7169" s="76">
        <v>2019</v>
      </c>
      <c r="D7169" s="76" t="s">
        <v>34</v>
      </c>
      <c r="E7169" s="76" t="s">
        <v>32</v>
      </c>
      <c r="F7169" s="76">
        <v>5</v>
      </c>
    </row>
    <row r="7170" s="76" customFormat="1" spans="1:6">
      <c r="A7170">
        <v>7372</v>
      </c>
      <c r="B7170">
        <v>372019260</v>
      </c>
      <c r="C7170" s="76">
        <v>2019</v>
      </c>
      <c r="D7170" s="76" t="s">
        <v>34</v>
      </c>
      <c r="E7170" s="76">
        <v>25</v>
      </c>
      <c r="F7170" s="76">
        <v>5</v>
      </c>
    </row>
    <row r="7171" s="76" customFormat="1" spans="1:6">
      <c r="A7171">
        <v>7391</v>
      </c>
      <c r="B7171">
        <v>372019260</v>
      </c>
      <c r="C7171" s="76">
        <v>2019</v>
      </c>
      <c r="D7171" s="76" t="s">
        <v>34</v>
      </c>
      <c r="E7171" s="76" t="s">
        <v>32</v>
      </c>
      <c r="F7171" s="76">
        <v>0.14</v>
      </c>
    </row>
    <row r="7172" s="76" customFormat="1" spans="1:6">
      <c r="A7172">
        <v>7380</v>
      </c>
      <c r="B7172">
        <v>372019260</v>
      </c>
      <c r="C7172" s="76">
        <v>2019</v>
      </c>
      <c r="D7172" s="76" t="s">
        <v>34</v>
      </c>
      <c r="E7172" s="76">
        <v>24</v>
      </c>
      <c r="F7172" s="76">
        <v>4.8</v>
      </c>
    </row>
    <row r="7173" s="76" customFormat="1" spans="1:6">
      <c r="A7173">
        <v>7370</v>
      </c>
      <c r="B7173">
        <v>372019260</v>
      </c>
      <c r="C7173" s="76">
        <v>2019</v>
      </c>
      <c r="D7173" s="76" t="s">
        <v>34</v>
      </c>
      <c r="E7173" s="76" t="s">
        <v>32</v>
      </c>
      <c r="F7173" s="76">
        <v>2</v>
      </c>
    </row>
    <row r="7174" s="76" customFormat="1" spans="1:6">
      <c r="A7174">
        <v>7364</v>
      </c>
      <c r="B7174">
        <v>372019260</v>
      </c>
      <c r="C7174" s="76">
        <v>2019</v>
      </c>
      <c r="D7174" s="76" t="s">
        <v>34</v>
      </c>
      <c r="E7174" s="76">
        <v>25</v>
      </c>
      <c r="F7174" s="76">
        <v>4.98</v>
      </c>
    </row>
    <row r="7175" s="76" customFormat="1" spans="1:6">
      <c r="A7175">
        <v>7366</v>
      </c>
      <c r="B7175">
        <v>372019260</v>
      </c>
      <c r="C7175" s="76">
        <v>2019</v>
      </c>
      <c r="D7175" s="76" t="s">
        <v>34</v>
      </c>
      <c r="E7175" s="76">
        <v>18</v>
      </c>
      <c r="F7175" s="76">
        <v>3.96</v>
      </c>
    </row>
    <row r="7176" s="76" customFormat="1" spans="1:6">
      <c r="A7176">
        <v>7365</v>
      </c>
      <c r="B7176">
        <v>372019260</v>
      </c>
      <c r="C7176" s="76">
        <v>2019</v>
      </c>
      <c r="D7176" s="76" t="s">
        <v>34</v>
      </c>
      <c r="E7176" s="76">
        <v>25</v>
      </c>
      <c r="F7176" s="76">
        <v>5</v>
      </c>
    </row>
    <row r="7177" s="76" customFormat="1" spans="1:6">
      <c r="A7177">
        <v>7381</v>
      </c>
      <c r="B7177">
        <v>372019260</v>
      </c>
      <c r="C7177" s="76">
        <v>2019</v>
      </c>
      <c r="D7177" s="76" t="s">
        <v>34</v>
      </c>
      <c r="E7177" s="76">
        <v>10</v>
      </c>
      <c r="F7177" s="76">
        <v>1.5</v>
      </c>
    </row>
    <row r="7178" s="76" customFormat="1" spans="1:6">
      <c r="A7178">
        <v>7374</v>
      </c>
      <c r="B7178">
        <v>372019260</v>
      </c>
      <c r="C7178" s="76">
        <v>2019</v>
      </c>
      <c r="D7178" s="76" t="s">
        <v>34</v>
      </c>
      <c r="E7178" s="76">
        <v>24</v>
      </c>
      <c r="F7178" s="76">
        <v>6</v>
      </c>
    </row>
    <row r="7179" s="76" customFormat="1" spans="1:6">
      <c r="A7179">
        <v>7369</v>
      </c>
      <c r="B7179">
        <v>372019260</v>
      </c>
      <c r="C7179" s="76">
        <v>2019</v>
      </c>
      <c r="D7179" s="76" t="s">
        <v>34</v>
      </c>
      <c r="E7179" s="76">
        <v>30</v>
      </c>
      <c r="F7179" s="76">
        <v>6.6</v>
      </c>
    </row>
    <row r="7180" s="76" customFormat="1" spans="1:6">
      <c r="A7180">
        <v>7362</v>
      </c>
      <c r="B7180">
        <v>372019260</v>
      </c>
      <c r="C7180" s="76">
        <v>2019</v>
      </c>
      <c r="D7180" s="76" t="s">
        <v>34</v>
      </c>
      <c r="E7180" s="76">
        <v>1</v>
      </c>
      <c r="F7180" s="76">
        <v>0.2</v>
      </c>
    </row>
    <row r="7181" s="76" customFormat="1" spans="1:6">
      <c r="A7181">
        <v>7379</v>
      </c>
      <c r="B7181">
        <v>372019260</v>
      </c>
      <c r="C7181" s="76">
        <v>2019</v>
      </c>
      <c r="D7181" s="76" t="s">
        <v>34</v>
      </c>
      <c r="E7181" s="76">
        <v>23</v>
      </c>
      <c r="F7181" s="76">
        <v>6</v>
      </c>
    </row>
    <row r="7182" s="76" customFormat="1" spans="1:6">
      <c r="A7182">
        <v>7367</v>
      </c>
      <c r="B7182">
        <v>372019260</v>
      </c>
      <c r="C7182" s="76">
        <v>2019</v>
      </c>
      <c r="D7182" s="76" t="s">
        <v>34</v>
      </c>
      <c r="E7182" s="76" t="s">
        <v>32</v>
      </c>
      <c r="F7182" s="76">
        <v>4.8</v>
      </c>
    </row>
    <row r="7183" s="76" customFormat="1" spans="1:6">
      <c r="A7183">
        <v>7371</v>
      </c>
      <c r="B7183">
        <v>372019260</v>
      </c>
      <c r="C7183" s="76">
        <v>2019</v>
      </c>
      <c r="D7183" s="76" t="s">
        <v>34</v>
      </c>
      <c r="E7183" s="76" t="s">
        <v>32</v>
      </c>
      <c r="F7183" s="76">
        <v>3.8</v>
      </c>
    </row>
    <row r="7184" s="76" customFormat="1" spans="1:6">
      <c r="A7184">
        <v>7404</v>
      </c>
      <c r="B7184">
        <v>372019270</v>
      </c>
      <c r="C7184" s="76">
        <v>2019</v>
      </c>
      <c r="D7184" s="76" t="s">
        <v>31</v>
      </c>
      <c r="E7184" s="76" t="s">
        <v>32</v>
      </c>
      <c r="F7184" s="76">
        <v>2.05</v>
      </c>
    </row>
    <row r="7185" s="76" customFormat="1" spans="1:6">
      <c r="A7185">
        <v>7406</v>
      </c>
      <c r="B7185">
        <v>372019270</v>
      </c>
      <c r="C7185" s="76">
        <v>2019</v>
      </c>
      <c r="D7185" s="76" t="s">
        <v>31</v>
      </c>
      <c r="E7185" s="76" t="s">
        <v>32</v>
      </c>
      <c r="F7185" s="76">
        <v>1</v>
      </c>
    </row>
    <row r="7186" s="76" customFormat="1" spans="1:6">
      <c r="A7186">
        <v>7403</v>
      </c>
      <c r="B7186">
        <v>372019270</v>
      </c>
      <c r="C7186" s="76">
        <v>2019</v>
      </c>
      <c r="D7186" s="76" t="s">
        <v>31</v>
      </c>
      <c r="E7186" s="76" t="s">
        <v>32</v>
      </c>
      <c r="F7186" s="76">
        <v>7.28</v>
      </c>
    </row>
    <row r="7187" s="76" customFormat="1" spans="1:6">
      <c r="A7187">
        <v>7414</v>
      </c>
      <c r="B7187">
        <v>372019270</v>
      </c>
      <c r="C7187" s="76">
        <v>2019</v>
      </c>
      <c r="D7187" s="76" t="s">
        <v>31</v>
      </c>
      <c r="E7187" s="76" t="s">
        <v>32</v>
      </c>
      <c r="F7187" s="76">
        <v>3.5</v>
      </c>
    </row>
    <row r="7188" s="76" customFormat="1" spans="1:6">
      <c r="A7188">
        <v>7407</v>
      </c>
      <c r="B7188">
        <v>372019270</v>
      </c>
      <c r="C7188" s="76">
        <v>2019</v>
      </c>
      <c r="D7188" s="76" t="s">
        <v>31</v>
      </c>
      <c r="E7188" s="76" t="s">
        <v>32</v>
      </c>
      <c r="F7188" s="76">
        <v>0.7</v>
      </c>
    </row>
    <row r="7189" s="76" customFormat="1" spans="1:6">
      <c r="A7189">
        <v>7410</v>
      </c>
      <c r="B7189">
        <v>372019270</v>
      </c>
      <c r="C7189" s="76">
        <v>2019</v>
      </c>
      <c r="D7189" s="76" t="s">
        <v>31</v>
      </c>
      <c r="E7189" s="76" t="s">
        <v>32</v>
      </c>
      <c r="F7189" s="76">
        <v>6</v>
      </c>
    </row>
    <row r="7190" s="76" customFormat="1" spans="1:6">
      <c r="A7190">
        <v>7409</v>
      </c>
      <c r="B7190">
        <v>372019270</v>
      </c>
      <c r="C7190" s="76">
        <v>2019</v>
      </c>
      <c r="D7190" s="76" t="s">
        <v>31</v>
      </c>
      <c r="E7190" s="76" t="s">
        <v>32</v>
      </c>
      <c r="F7190" s="76">
        <v>3.2</v>
      </c>
    </row>
    <row r="7191" s="76" customFormat="1" spans="1:6">
      <c r="A7191">
        <v>7400</v>
      </c>
      <c r="B7191">
        <v>372019270</v>
      </c>
      <c r="C7191" s="76">
        <v>2019</v>
      </c>
      <c r="D7191" s="76" t="s">
        <v>31</v>
      </c>
      <c r="E7191" s="76" t="s">
        <v>32</v>
      </c>
      <c r="F7191" s="76">
        <v>0.03</v>
      </c>
    </row>
    <row r="7192" s="76" customFormat="1" spans="1:6">
      <c r="A7192">
        <v>7416</v>
      </c>
      <c r="B7192">
        <v>372019270</v>
      </c>
      <c r="C7192" s="76">
        <v>2019</v>
      </c>
      <c r="D7192" s="76" t="s">
        <v>31</v>
      </c>
      <c r="E7192" s="76" t="s">
        <v>32</v>
      </c>
      <c r="F7192" s="76">
        <v>2</v>
      </c>
    </row>
    <row r="7193" s="76" customFormat="1" spans="1:6">
      <c r="A7193">
        <v>7405</v>
      </c>
      <c r="B7193">
        <v>372019270</v>
      </c>
      <c r="C7193" s="76">
        <v>2019</v>
      </c>
      <c r="D7193" s="76" t="s">
        <v>31</v>
      </c>
      <c r="E7193" s="76" t="s">
        <v>32</v>
      </c>
      <c r="F7193" s="76">
        <v>2</v>
      </c>
    </row>
    <row r="7194" s="76" customFormat="1" spans="1:6">
      <c r="A7194">
        <v>7417</v>
      </c>
      <c r="B7194">
        <v>372019270</v>
      </c>
      <c r="C7194" s="76">
        <v>2019</v>
      </c>
      <c r="D7194" s="76" t="s">
        <v>31</v>
      </c>
      <c r="E7194" s="76" t="s">
        <v>32</v>
      </c>
      <c r="F7194" s="76">
        <v>1</v>
      </c>
    </row>
    <row r="7195" s="76" customFormat="1" spans="1:6">
      <c r="A7195">
        <v>7413</v>
      </c>
      <c r="B7195">
        <v>372019270</v>
      </c>
      <c r="C7195" s="76">
        <v>2019</v>
      </c>
      <c r="D7195" s="76" t="s">
        <v>31</v>
      </c>
      <c r="E7195" s="76" t="s">
        <v>32</v>
      </c>
      <c r="F7195" s="76">
        <v>3</v>
      </c>
    </row>
    <row r="7196" s="76" customFormat="1" spans="1:6">
      <c r="A7196">
        <v>7411</v>
      </c>
      <c r="B7196">
        <v>372019270</v>
      </c>
      <c r="C7196" s="76">
        <v>2019</v>
      </c>
      <c r="D7196" s="76" t="s">
        <v>31</v>
      </c>
      <c r="E7196" s="76" t="s">
        <v>32</v>
      </c>
      <c r="F7196" s="76">
        <v>2</v>
      </c>
    </row>
    <row r="7197" s="76" customFormat="1" spans="1:6">
      <c r="A7197">
        <v>7412</v>
      </c>
      <c r="B7197">
        <v>372019270</v>
      </c>
      <c r="C7197" s="76">
        <v>2019</v>
      </c>
      <c r="D7197" s="76" t="s">
        <v>31</v>
      </c>
      <c r="E7197" s="76" t="s">
        <v>32</v>
      </c>
      <c r="F7197" s="76">
        <v>2</v>
      </c>
    </row>
    <row r="7198" s="76" customFormat="1" spans="1:6">
      <c r="A7198">
        <v>7402</v>
      </c>
      <c r="B7198">
        <v>372019270</v>
      </c>
      <c r="C7198" s="76">
        <v>2019</v>
      </c>
      <c r="D7198" s="76" t="s">
        <v>31</v>
      </c>
      <c r="E7198" s="76" t="s">
        <v>32</v>
      </c>
      <c r="F7198" s="76">
        <v>2</v>
      </c>
    </row>
    <row r="7199" s="76" customFormat="1" spans="1:6">
      <c r="A7199">
        <v>7408</v>
      </c>
      <c r="B7199">
        <v>372019270</v>
      </c>
      <c r="C7199" s="76">
        <v>2019</v>
      </c>
      <c r="D7199" s="76" t="s">
        <v>31</v>
      </c>
      <c r="E7199" s="76" t="s">
        <v>32</v>
      </c>
      <c r="F7199" s="76">
        <v>1</v>
      </c>
    </row>
    <row r="7200" s="76" customFormat="1" spans="1:6">
      <c r="A7200">
        <v>7415</v>
      </c>
      <c r="B7200">
        <v>372019270</v>
      </c>
      <c r="C7200" s="76">
        <v>2019</v>
      </c>
      <c r="D7200" s="76" t="s">
        <v>31</v>
      </c>
      <c r="E7200" s="76" t="s">
        <v>32</v>
      </c>
      <c r="F7200" s="76">
        <v>2.5</v>
      </c>
    </row>
    <row r="7201" s="76" customFormat="1" spans="1:6">
      <c r="A7201">
        <v>7423</v>
      </c>
      <c r="B7201">
        <v>372020211</v>
      </c>
      <c r="C7201" s="76">
        <v>2020</v>
      </c>
      <c r="D7201" s="76" t="s">
        <v>37</v>
      </c>
      <c r="E7201" s="76" t="s">
        <v>32</v>
      </c>
      <c r="F7201" s="76">
        <v>5</v>
      </c>
    </row>
    <row r="7202" s="76" customFormat="1" spans="1:6">
      <c r="A7202">
        <v>7431</v>
      </c>
      <c r="B7202">
        <v>372020211</v>
      </c>
      <c r="C7202" s="76">
        <v>2020</v>
      </c>
      <c r="D7202" s="76" t="s">
        <v>37</v>
      </c>
      <c r="E7202" s="76" t="s">
        <v>32</v>
      </c>
      <c r="F7202" s="76">
        <v>4.1</v>
      </c>
    </row>
    <row r="7203" s="76" customFormat="1" spans="1:6">
      <c r="A7203">
        <v>7435</v>
      </c>
      <c r="B7203">
        <v>372020211</v>
      </c>
      <c r="C7203" s="76">
        <v>2020</v>
      </c>
      <c r="D7203" s="76" t="s">
        <v>37</v>
      </c>
      <c r="E7203" s="76" t="s">
        <v>32</v>
      </c>
      <c r="F7203" s="76">
        <v>1.5</v>
      </c>
    </row>
    <row r="7204" s="76" customFormat="1" spans="1:6">
      <c r="A7204">
        <v>7442</v>
      </c>
      <c r="B7204">
        <v>372020211</v>
      </c>
      <c r="C7204" s="76">
        <v>2020</v>
      </c>
      <c r="D7204" s="76" t="s">
        <v>37</v>
      </c>
      <c r="E7204" s="76" t="s">
        <v>32</v>
      </c>
      <c r="F7204" s="76">
        <v>5</v>
      </c>
    </row>
    <row r="7205" s="76" customFormat="1" spans="1:6">
      <c r="A7205">
        <v>7418</v>
      </c>
      <c r="B7205">
        <v>372020211</v>
      </c>
      <c r="C7205" s="76">
        <v>2020</v>
      </c>
      <c r="D7205" s="76" t="s">
        <v>37</v>
      </c>
      <c r="E7205" s="76" t="s">
        <v>32</v>
      </c>
      <c r="F7205" s="76">
        <v>7</v>
      </c>
    </row>
    <row r="7206" s="76" customFormat="1" spans="1:6">
      <c r="A7206">
        <v>7439</v>
      </c>
      <c r="B7206">
        <v>372020211</v>
      </c>
      <c r="C7206" s="76">
        <v>2020</v>
      </c>
      <c r="D7206" s="76" t="s">
        <v>37</v>
      </c>
      <c r="E7206" s="76" t="s">
        <v>32</v>
      </c>
      <c r="F7206" s="76">
        <v>1.5</v>
      </c>
    </row>
    <row r="7207" s="76" customFormat="1" spans="1:6">
      <c r="A7207">
        <v>7436</v>
      </c>
      <c r="B7207">
        <v>372020211</v>
      </c>
      <c r="C7207" s="76">
        <v>2020</v>
      </c>
      <c r="D7207" s="76" t="s">
        <v>37</v>
      </c>
      <c r="E7207" s="76" t="s">
        <v>32</v>
      </c>
      <c r="F7207" s="76">
        <v>6</v>
      </c>
    </row>
    <row r="7208" s="76" customFormat="1" spans="1:6">
      <c r="A7208">
        <v>7433</v>
      </c>
      <c r="B7208">
        <v>372020211</v>
      </c>
      <c r="C7208" s="76">
        <v>2020</v>
      </c>
      <c r="D7208" s="76" t="s">
        <v>37</v>
      </c>
      <c r="E7208" s="76" t="s">
        <v>32</v>
      </c>
      <c r="F7208" s="76">
        <v>3</v>
      </c>
    </row>
    <row r="7209" s="76" customFormat="1" spans="1:6">
      <c r="A7209">
        <v>7438</v>
      </c>
      <c r="B7209">
        <v>372020211</v>
      </c>
      <c r="C7209" s="76">
        <v>2020</v>
      </c>
      <c r="D7209" s="76" t="s">
        <v>37</v>
      </c>
      <c r="E7209" s="76" t="s">
        <v>32</v>
      </c>
      <c r="F7209" s="76">
        <v>1.5</v>
      </c>
    </row>
    <row r="7210" s="76" customFormat="1" spans="1:6">
      <c r="A7210">
        <v>7443</v>
      </c>
      <c r="B7210">
        <v>372020211</v>
      </c>
      <c r="C7210" s="76">
        <v>2020</v>
      </c>
      <c r="D7210" s="76" t="s">
        <v>37</v>
      </c>
      <c r="E7210" s="76" t="s">
        <v>32</v>
      </c>
      <c r="F7210" s="76">
        <v>2.5</v>
      </c>
    </row>
    <row r="7211" s="76" customFormat="1" spans="1:6">
      <c r="A7211">
        <v>7424</v>
      </c>
      <c r="B7211">
        <v>372020211</v>
      </c>
      <c r="C7211" s="76">
        <v>2020</v>
      </c>
      <c r="D7211" s="76" t="s">
        <v>37</v>
      </c>
      <c r="E7211" s="76" t="s">
        <v>32</v>
      </c>
      <c r="F7211" s="76">
        <v>15</v>
      </c>
    </row>
    <row r="7212" s="76" customFormat="1" spans="1:6">
      <c r="A7212">
        <v>7422</v>
      </c>
      <c r="B7212">
        <v>372020211</v>
      </c>
      <c r="C7212" s="76">
        <v>2020</v>
      </c>
      <c r="D7212" s="76" t="s">
        <v>37</v>
      </c>
      <c r="E7212" s="76">
        <v>2</v>
      </c>
      <c r="F7212" s="76">
        <v>200</v>
      </c>
    </row>
    <row r="7213" s="76" customFormat="1" spans="1:6">
      <c r="A7213">
        <v>7444</v>
      </c>
      <c r="B7213">
        <v>372020211</v>
      </c>
      <c r="C7213" s="76">
        <v>2020</v>
      </c>
      <c r="D7213" s="76" t="s">
        <v>37</v>
      </c>
      <c r="E7213" s="76" t="s">
        <v>32</v>
      </c>
      <c r="F7213" s="76">
        <v>1.8</v>
      </c>
    </row>
    <row r="7214" s="76" customFormat="1" spans="1:6">
      <c r="A7214">
        <v>7429</v>
      </c>
      <c r="B7214">
        <v>372020211</v>
      </c>
      <c r="C7214" s="76">
        <v>2020</v>
      </c>
      <c r="D7214" s="76" t="s">
        <v>37</v>
      </c>
      <c r="E7214" s="76" t="s">
        <v>32</v>
      </c>
      <c r="F7214" s="76">
        <v>3.1</v>
      </c>
    </row>
    <row r="7215" s="76" customFormat="1" spans="1:6">
      <c r="A7215">
        <v>7430</v>
      </c>
      <c r="B7215">
        <v>372020211</v>
      </c>
      <c r="C7215" s="76">
        <v>2020</v>
      </c>
      <c r="D7215" s="76" t="s">
        <v>37</v>
      </c>
      <c r="E7215" s="76" t="s">
        <v>32</v>
      </c>
      <c r="F7215" s="76">
        <v>2.4</v>
      </c>
    </row>
    <row r="7216" s="76" customFormat="1" spans="1:6">
      <c r="A7216">
        <v>7428</v>
      </c>
      <c r="B7216">
        <v>372020211</v>
      </c>
      <c r="C7216" s="76">
        <v>2020</v>
      </c>
      <c r="D7216" s="76" t="s">
        <v>37</v>
      </c>
      <c r="E7216" s="76" t="s">
        <v>32</v>
      </c>
      <c r="F7216" s="76">
        <v>3</v>
      </c>
    </row>
    <row r="7217" s="76" customFormat="1" spans="1:6">
      <c r="A7217">
        <v>7425</v>
      </c>
      <c r="B7217">
        <v>372020211</v>
      </c>
      <c r="C7217" s="76">
        <v>2020</v>
      </c>
      <c r="D7217" s="76" t="s">
        <v>37</v>
      </c>
      <c r="E7217" s="76" t="s">
        <v>32</v>
      </c>
      <c r="F7217" s="76">
        <v>0.1</v>
      </c>
    </row>
    <row r="7218" s="76" customFormat="1" spans="1:6">
      <c r="A7218">
        <v>7419</v>
      </c>
      <c r="B7218">
        <v>372020211</v>
      </c>
      <c r="C7218" s="76">
        <v>2020</v>
      </c>
      <c r="D7218" s="76" t="s">
        <v>37</v>
      </c>
      <c r="E7218" s="76">
        <v>2</v>
      </c>
      <c r="F7218" s="76">
        <v>200</v>
      </c>
    </row>
    <row r="7219" s="76" customFormat="1" spans="1:6">
      <c r="A7219">
        <v>7440</v>
      </c>
      <c r="B7219">
        <v>372020211</v>
      </c>
      <c r="C7219" s="76">
        <v>2020</v>
      </c>
      <c r="D7219" s="76" t="s">
        <v>37</v>
      </c>
      <c r="E7219" s="76" t="s">
        <v>32</v>
      </c>
      <c r="F7219" s="76">
        <v>6.5</v>
      </c>
    </row>
    <row r="7220" s="76" customFormat="1" spans="1:6">
      <c r="A7220">
        <v>7437</v>
      </c>
      <c r="B7220">
        <v>372020211</v>
      </c>
      <c r="C7220" s="76">
        <v>2020</v>
      </c>
      <c r="D7220" s="76" t="s">
        <v>37</v>
      </c>
      <c r="E7220" s="76">
        <v>1</v>
      </c>
      <c r="F7220" s="76">
        <v>35</v>
      </c>
    </row>
    <row r="7221" s="76" customFormat="1" spans="1:6">
      <c r="A7221">
        <v>7441</v>
      </c>
      <c r="B7221">
        <v>372020211</v>
      </c>
      <c r="C7221" s="76">
        <v>2020</v>
      </c>
      <c r="D7221" s="76" t="s">
        <v>37</v>
      </c>
      <c r="E7221" s="76" t="s">
        <v>32</v>
      </c>
      <c r="F7221" s="76">
        <v>3</v>
      </c>
    </row>
    <row r="7222" s="76" customFormat="1" spans="1:6">
      <c r="A7222">
        <v>7426</v>
      </c>
      <c r="B7222">
        <v>372020211</v>
      </c>
      <c r="C7222" s="76">
        <v>2020</v>
      </c>
      <c r="D7222" s="76" t="s">
        <v>37</v>
      </c>
      <c r="E7222" s="76" t="s">
        <v>32</v>
      </c>
      <c r="F7222" s="76">
        <v>1</v>
      </c>
    </row>
    <row r="7223" s="76" customFormat="1" spans="1:6">
      <c r="A7223">
        <v>7434</v>
      </c>
      <c r="B7223">
        <v>372020211</v>
      </c>
      <c r="C7223" s="76">
        <v>2020</v>
      </c>
      <c r="D7223" s="76" t="s">
        <v>37</v>
      </c>
      <c r="E7223" s="76" t="s">
        <v>32</v>
      </c>
      <c r="F7223" s="76">
        <v>5</v>
      </c>
    </row>
    <row r="7224" s="76" customFormat="1" spans="1:6">
      <c r="A7224">
        <v>7427</v>
      </c>
      <c r="B7224">
        <v>372020211</v>
      </c>
      <c r="C7224" s="76">
        <v>2020</v>
      </c>
      <c r="D7224" s="76" t="s">
        <v>37</v>
      </c>
      <c r="E7224" s="76" t="s">
        <v>32</v>
      </c>
      <c r="F7224" s="76">
        <v>2.5</v>
      </c>
    </row>
    <row r="7225" s="76" customFormat="1" spans="1:6">
      <c r="A7225">
        <v>7432</v>
      </c>
      <c r="B7225">
        <v>372020211</v>
      </c>
      <c r="C7225" s="76">
        <v>2020</v>
      </c>
      <c r="D7225" s="76" t="s">
        <v>37</v>
      </c>
      <c r="E7225" s="76" t="s">
        <v>32</v>
      </c>
      <c r="F7225" s="76">
        <v>1.5</v>
      </c>
    </row>
    <row r="7226" s="76" customFormat="1" spans="1:6">
      <c r="A7226">
        <v>7421</v>
      </c>
      <c r="B7226">
        <v>372020211</v>
      </c>
      <c r="C7226" s="76">
        <v>2020</v>
      </c>
      <c r="D7226" s="76" t="s">
        <v>37</v>
      </c>
      <c r="E7226" s="76" t="s">
        <v>32</v>
      </c>
      <c r="F7226" s="76">
        <v>3.7</v>
      </c>
    </row>
    <row r="7227" s="76" customFormat="1" spans="1:6">
      <c r="A7227">
        <v>7420</v>
      </c>
      <c r="B7227">
        <v>372020211</v>
      </c>
      <c r="C7227" s="76">
        <v>2020</v>
      </c>
      <c r="D7227" s="76" t="s">
        <v>37</v>
      </c>
      <c r="E7227" s="76" t="s">
        <v>32</v>
      </c>
      <c r="F7227" s="76">
        <v>0.6</v>
      </c>
    </row>
    <row r="7228" s="76" customFormat="1" spans="1:6">
      <c r="A7228">
        <v>7447</v>
      </c>
      <c r="B7228">
        <v>372020241</v>
      </c>
      <c r="C7228" s="76">
        <v>2020</v>
      </c>
      <c r="D7228" s="76" t="s">
        <v>33</v>
      </c>
      <c r="E7228" s="76" t="s">
        <v>32</v>
      </c>
      <c r="F7228" s="76">
        <v>1.2</v>
      </c>
    </row>
    <row r="7229" s="76" customFormat="1" spans="1:6">
      <c r="A7229">
        <v>7445</v>
      </c>
      <c r="B7229">
        <v>372020241</v>
      </c>
      <c r="C7229" s="76">
        <v>2020</v>
      </c>
      <c r="D7229" s="76" t="s">
        <v>33</v>
      </c>
      <c r="E7229" s="76" t="s">
        <v>32</v>
      </c>
      <c r="F7229" s="76">
        <v>7</v>
      </c>
    </row>
    <row r="7230" s="76" customFormat="1" spans="1:6">
      <c r="A7230">
        <v>7448</v>
      </c>
      <c r="B7230">
        <v>372020241</v>
      </c>
      <c r="C7230" s="76">
        <v>2020</v>
      </c>
      <c r="D7230" s="76" t="s">
        <v>33</v>
      </c>
      <c r="E7230" s="76" t="s">
        <v>32</v>
      </c>
      <c r="F7230" s="76">
        <v>0.9</v>
      </c>
    </row>
    <row r="7231" s="76" customFormat="1" spans="1:6">
      <c r="A7231">
        <v>7453</v>
      </c>
      <c r="B7231">
        <v>372020241</v>
      </c>
      <c r="C7231" s="76">
        <v>2020</v>
      </c>
      <c r="D7231" s="76" t="s">
        <v>33</v>
      </c>
      <c r="E7231" s="76" t="s">
        <v>32</v>
      </c>
      <c r="F7231" s="76">
        <v>3</v>
      </c>
    </row>
    <row r="7232" s="76" customFormat="1" spans="1:6">
      <c r="A7232">
        <v>7446</v>
      </c>
      <c r="B7232">
        <v>372020241</v>
      </c>
      <c r="C7232" s="76">
        <v>2020</v>
      </c>
      <c r="D7232" s="76" t="s">
        <v>33</v>
      </c>
      <c r="E7232" s="76" t="s">
        <v>32</v>
      </c>
      <c r="F7232" s="76">
        <v>3</v>
      </c>
    </row>
    <row r="7233" s="76" customFormat="1" spans="1:6">
      <c r="A7233">
        <v>7451</v>
      </c>
      <c r="B7233">
        <v>372020241</v>
      </c>
      <c r="C7233" s="76">
        <v>2020</v>
      </c>
      <c r="D7233" s="76" t="s">
        <v>33</v>
      </c>
      <c r="E7233" s="76" t="s">
        <v>32</v>
      </c>
      <c r="F7233" s="76">
        <v>3</v>
      </c>
    </row>
    <row r="7234" s="76" customFormat="1" spans="1:6">
      <c r="A7234">
        <v>7449</v>
      </c>
      <c r="B7234">
        <v>372020241</v>
      </c>
      <c r="C7234" s="76">
        <v>2020</v>
      </c>
      <c r="D7234" s="76" t="s">
        <v>33</v>
      </c>
      <c r="E7234" s="76" t="s">
        <v>32</v>
      </c>
      <c r="F7234" s="76">
        <v>0.6</v>
      </c>
    </row>
    <row r="7235" s="76" customFormat="1" spans="1:6">
      <c r="A7235">
        <v>7450</v>
      </c>
      <c r="B7235">
        <v>372020241</v>
      </c>
      <c r="C7235" s="76">
        <v>2020</v>
      </c>
      <c r="D7235" s="76" t="s">
        <v>33</v>
      </c>
      <c r="E7235" s="76" t="s">
        <v>32</v>
      </c>
      <c r="F7235" s="76">
        <v>2.1</v>
      </c>
    </row>
    <row r="7236" s="76" customFormat="1" spans="1:6">
      <c r="A7236">
        <v>7454</v>
      </c>
      <c r="B7236">
        <v>372020241</v>
      </c>
      <c r="C7236" s="76">
        <v>2020</v>
      </c>
      <c r="D7236" s="76" t="s">
        <v>33</v>
      </c>
      <c r="E7236" s="76" t="s">
        <v>32</v>
      </c>
      <c r="F7236" s="76">
        <v>1.2</v>
      </c>
    </row>
    <row r="7237" s="76" customFormat="1" spans="1:6">
      <c r="A7237">
        <v>7452</v>
      </c>
      <c r="B7237">
        <v>372020241</v>
      </c>
      <c r="C7237" s="76">
        <v>2020</v>
      </c>
      <c r="D7237" s="76" t="s">
        <v>33</v>
      </c>
      <c r="E7237" s="76" t="s">
        <v>32</v>
      </c>
      <c r="F7237" s="76">
        <v>0.6</v>
      </c>
    </row>
    <row r="7238" s="76" customFormat="1" spans="1:6">
      <c r="A7238">
        <v>7476</v>
      </c>
      <c r="B7238">
        <v>372020242</v>
      </c>
      <c r="C7238" s="76">
        <v>2020</v>
      </c>
      <c r="D7238" s="76" t="s">
        <v>35</v>
      </c>
      <c r="E7238" s="76" t="s">
        <v>32</v>
      </c>
      <c r="F7238" s="76">
        <v>0.9</v>
      </c>
    </row>
    <row r="7239" s="76" customFormat="1" spans="1:6">
      <c r="A7239">
        <v>7458</v>
      </c>
      <c r="B7239">
        <v>372020242</v>
      </c>
      <c r="C7239" s="76">
        <v>2020</v>
      </c>
      <c r="D7239" s="76" t="s">
        <v>35</v>
      </c>
      <c r="E7239" s="76" t="s">
        <v>32</v>
      </c>
      <c r="F7239" s="76">
        <v>0.6</v>
      </c>
    </row>
    <row r="7240" s="76" customFormat="1" spans="1:6">
      <c r="A7240">
        <v>7466</v>
      </c>
      <c r="B7240">
        <v>372020242</v>
      </c>
      <c r="C7240" s="76">
        <v>2020</v>
      </c>
      <c r="D7240" s="76" t="s">
        <v>35</v>
      </c>
      <c r="E7240" s="76" t="s">
        <v>32</v>
      </c>
      <c r="F7240" s="76">
        <v>0.9</v>
      </c>
    </row>
    <row r="7241" s="76" customFormat="1" spans="1:6">
      <c r="A7241">
        <v>7480</v>
      </c>
      <c r="B7241">
        <v>372020242</v>
      </c>
      <c r="C7241" s="76">
        <v>2020</v>
      </c>
      <c r="D7241" s="76" t="s">
        <v>35</v>
      </c>
      <c r="E7241" s="76" t="s">
        <v>32</v>
      </c>
      <c r="F7241" s="76">
        <v>1.2</v>
      </c>
    </row>
    <row r="7242" s="76" customFormat="1" spans="1:6">
      <c r="A7242">
        <v>7462</v>
      </c>
      <c r="B7242">
        <v>372020242</v>
      </c>
      <c r="C7242" s="76">
        <v>2020</v>
      </c>
      <c r="D7242" s="76" t="s">
        <v>35</v>
      </c>
      <c r="E7242" s="76" t="s">
        <v>32</v>
      </c>
      <c r="F7242" s="76">
        <v>1.5</v>
      </c>
    </row>
    <row r="7243" s="76" customFormat="1" spans="1:6">
      <c r="A7243">
        <v>7463</v>
      </c>
      <c r="B7243">
        <v>372020242</v>
      </c>
      <c r="C7243" s="76">
        <v>2020</v>
      </c>
      <c r="D7243" s="76" t="s">
        <v>35</v>
      </c>
      <c r="E7243" s="76" t="s">
        <v>32</v>
      </c>
      <c r="F7243" s="76">
        <v>1.2</v>
      </c>
    </row>
    <row r="7244" s="76" customFormat="1" spans="1:6">
      <c r="A7244">
        <v>7470</v>
      </c>
      <c r="B7244">
        <v>372020242</v>
      </c>
      <c r="C7244" s="76">
        <v>2020</v>
      </c>
      <c r="D7244" s="76" t="s">
        <v>35</v>
      </c>
      <c r="E7244" s="76" t="s">
        <v>32</v>
      </c>
      <c r="F7244" s="76">
        <v>1.5</v>
      </c>
    </row>
    <row r="7245" s="76" customFormat="1" spans="1:6">
      <c r="A7245">
        <v>7472</v>
      </c>
      <c r="B7245">
        <v>372020242</v>
      </c>
      <c r="C7245" s="76">
        <v>2020</v>
      </c>
      <c r="D7245" s="76" t="s">
        <v>35</v>
      </c>
      <c r="E7245" s="76" t="s">
        <v>32</v>
      </c>
      <c r="F7245" s="76">
        <v>1.5</v>
      </c>
    </row>
    <row r="7246" s="76" customFormat="1" spans="1:6">
      <c r="A7246">
        <v>7475</v>
      </c>
      <c r="B7246">
        <v>372020242</v>
      </c>
      <c r="C7246" s="76">
        <v>2020</v>
      </c>
      <c r="D7246" s="76" t="s">
        <v>35</v>
      </c>
      <c r="E7246" s="76" t="s">
        <v>32</v>
      </c>
      <c r="F7246" s="76">
        <v>1.5</v>
      </c>
    </row>
    <row r="7247" s="76" customFormat="1" spans="1:6">
      <c r="A7247">
        <v>7473</v>
      </c>
      <c r="B7247">
        <v>372020242</v>
      </c>
      <c r="C7247" s="76">
        <v>2020</v>
      </c>
      <c r="D7247" s="76" t="s">
        <v>35</v>
      </c>
      <c r="E7247" s="76" t="s">
        <v>32</v>
      </c>
      <c r="F7247" s="76">
        <v>1.2</v>
      </c>
    </row>
    <row r="7248" s="76" customFormat="1" spans="1:6">
      <c r="A7248">
        <v>7467</v>
      </c>
      <c r="B7248">
        <v>372020242</v>
      </c>
      <c r="C7248" s="76">
        <v>2020</v>
      </c>
      <c r="D7248" s="76" t="s">
        <v>35</v>
      </c>
      <c r="E7248" s="76" t="s">
        <v>32</v>
      </c>
      <c r="F7248" s="76">
        <v>1.8</v>
      </c>
    </row>
    <row r="7249" s="76" customFormat="1" spans="1:6">
      <c r="A7249">
        <v>7459</v>
      </c>
      <c r="B7249">
        <v>372020242</v>
      </c>
      <c r="C7249" s="76">
        <v>2020</v>
      </c>
      <c r="D7249" s="76" t="s">
        <v>35</v>
      </c>
      <c r="E7249" s="76" t="s">
        <v>32</v>
      </c>
      <c r="F7249" s="76">
        <v>1.2</v>
      </c>
    </row>
    <row r="7250" s="76" customFormat="1" spans="1:6">
      <c r="A7250">
        <v>7457</v>
      </c>
      <c r="B7250">
        <v>372020242</v>
      </c>
      <c r="C7250" s="76">
        <v>2020</v>
      </c>
      <c r="D7250" s="76" t="s">
        <v>35</v>
      </c>
      <c r="E7250" s="76" t="s">
        <v>32</v>
      </c>
      <c r="F7250" s="76">
        <v>1.2</v>
      </c>
    </row>
    <row r="7251" s="76" customFormat="1" spans="1:6">
      <c r="A7251">
        <v>7469</v>
      </c>
      <c r="B7251">
        <v>372020242</v>
      </c>
      <c r="C7251" s="76">
        <v>2020</v>
      </c>
      <c r="D7251" s="76" t="s">
        <v>35</v>
      </c>
      <c r="E7251" s="76" t="s">
        <v>32</v>
      </c>
      <c r="F7251" s="76">
        <v>0.9</v>
      </c>
    </row>
    <row r="7252" s="76" customFormat="1" spans="1:6">
      <c r="A7252">
        <v>7478</v>
      </c>
      <c r="B7252">
        <v>372020242</v>
      </c>
      <c r="C7252" s="76">
        <v>2020</v>
      </c>
      <c r="D7252" s="76" t="s">
        <v>35</v>
      </c>
      <c r="E7252" s="76" t="s">
        <v>32</v>
      </c>
      <c r="F7252" s="76">
        <v>0.9</v>
      </c>
    </row>
    <row r="7253" s="76" customFormat="1" spans="1:6">
      <c r="A7253">
        <v>7477</v>
      </c>
      <c r="B7253">
        <v>372020242</v>
      </c>
      <c r="C7253" s="76">
        <v>2020</v>
      </c>
      <c r="D7253" s="76" t="s">
        <v>35</v>
      </c>
      <c r="E7253" s="76" t="s">
        <v>32</v>
      </c>
      <c r="F7253" s="76">
        <v>0.9</v>
      </c>
    </row>
    <row r="7254" s="76" customFormat="1" spans="1:6">
      <c r="A7254">
        <v>7456</v>
      </c>
      <c r="B7254">
        <v>372020242</v>
      </c>
      <c r="C7254" s="76">
        <v>2020</v>
      </c>
      <c r="D7254" s="76" t="s">
        <v>35</v>
      </c>
      <c r="E7254" s="76" t="s">
        <v>32</v>
      </c>
      <c r="F7254" s="76">
        <v>2.5</v>
      </c>
    </row>
    <row r="7255" s="76" customFormat="1" spans="1:6">
      <c r="A7255">
        <v>7474</v>
      </c>
      <c r="B7255">
        <v>372020242</v>
      </c>
      <c r="C7255" s="76">
        <v>2020</v>
      </c>
      <c r="D7255" s="76" t="s">
        <v>35</v>
      </c>
      <c r="E7255" s="76" t="s">
        <v>32</v>
      </c>
      <c r="F7255" s="76">
        <v>3.5</v>
      </c>
    </row>
    <row r="7256" s="76" customFormat="1" spans="1:6">
      <c r="A7256">
        <v>7461</v>
      </c>
      <c r="B7256">
        <v>372020242</v>
      </c>
      <c r="C7256" s="76">
        <v>2020</v>
      </c>
      <c r="D7256" s="76" t="s">
        <v>35</v>
      </c>
      <c r="E7256" s="76" t="s">
        <v>32</v>
      </c>
      <c r="F7256" s="76">
        <v>1</v>
      </c>
    </row>
    <row r="7257" s="76" customFormat="1" spans="1:6">
      <c r="A7257">
        <v>7464</v>
      </c>
      <c r="B7257">
        <v>372020242</v>
      </c>
      <c r="C7257" s="76">
        <v>2020</v>
      </c>
      <c r="D7257" s="76" t="s">
        <v>35</v>
      </c>
      <c r="E7257" s="76" t="s">
        <v>32</v>
      </c>
      <c r="F7257" s="76">
        <v>1.2</v>
      </c>
    </row>
    <row r="7258" s="76" customFormat="1" spans="1:6">
      <c r="A7258">
        <v>7465</v>
      </c>
      <c r="B7258">
        <v>372020242</v>
      </c>
      <c r="C7258" s="76">
        <v>2020</v>
      </c>
      <c r="D7258" s="76" t="s">
        <v>35</v>
      </c>
      <c r="E7258" s="76" t="s">
        <v>32</v>
      </c>
      <c r="F7258" s="76">
        <v>1.2</v>
      </c>
    </row>
    <row r="7259" s="76" customFormat="1" spans="1:6">
      <c r="A7259">
        <v>7468</v>
      </c>
      <c r="B7259">
        <v>372020242</v>
      </c>
      <c r="C7259" s="76">
        <v>2020</v>
      </c>
      <c r="D7259" s="76" t="s">
        <v>35</v>
      </c>
      <c r="E7259" s="76" t="s">
        <v>32</v>
      </c>
      <c r="F7259" s="76">
        <v>1.5</v>
      </c>
    </row>
    <row r="7260" s="76" customFormat="1" spans="1:6">
      <c r="A7260">
        <v>7471</v>
      </c>
      <c r="B7260">
        <v>372020242</v>
      </c>
      <c r="C7260" s="76">
        <v>2020</v>
      </c>
      <c r="D7260" s="76" t="s">
        <v>35</v>
      </c>
      <c r="E7260" s="76" t="s">
        <v>32</v>
      </c>
      <c r="F7260" s="76">
        <v>1.2</v>
      </c>
    </row>
    <row r="7261" s="76" customFormat="1" spans="1:6">
      <c r="A7261">
        <v>7460</v>
      </c>
      <c r="B7261">
        <v>372020242</v>
      </c>
      <c r="C7261" s="76">
        <v>2020</v>
      </c>
      <c r="D7261" s="76" t="s">
        <v>35</v>
      </c>
      <c r="E7261" s="76" t="s">
        <v>32</v>
      </c>
      <c r="F7261" s="76">
        <v>0.8</v>
      </c>
    </row>
    <row r="7262" s="76" customFormat="1" spans="1:6">
      <c r="A7262">
        <v>7479</v>
      </c>
      <c r="B7262">
        <v>372020242</v>
      </c>
      <c r="C7262" s="76">
        <v>2020</v>
      </c>
      <c r="D7262" s="76" t="s">
        <v>35</v>
      </c>
      <c r="E7262" s="76" t="s">
        <v>32</v>
      </c>
      <c r="F7262" s="76">
        <v>0.9</v>
      </c>
    </row>
    <row r="7263" s="76" customFormat="1" spans="1:6">
      <c r="A7263">
        <v>7495</v>
      </c>
      <c r="B7263">
        <v>372020243</v>
      </c>
      <c r="C7263" s="76">
        <v>2020</v>
      </c>
      <c r="D7263" s="76" t="s">
        <v>38</v>
      </c>
      <c r="E7263" s="76" t="s">
        <v>32</v>
      </c>
      <c r="F7263" s="76">
        <v>1.5</v>
      </c>
    </row>
    <row r="7264" s="76" customFormat="1" spans="1:6">
      <c r="A7264">
        <v>7487</v>
      </c>
      <c r="B7264">
        <v>372020243</v>
      </c>
      <c r="C7264" s="76">
        <v>2020</v>
      </c>
      <c r="D7264" s="76" t="s">
        <v>38</v>
      </c>
      <c r="E7264" s="76" t="s">
        <v>32</v>
      </c>
      <c r="F7264" s="76">
        <v>3</v>
      </c>
    </row>
    <row r="7265" s="76" customFormat="1" spans="1:6">
      <c r="A7265">
        <v>7490</v>
      </c>
      <c r="B7265">
        <v>372020243</v>
      </c>
      <c r="C7265" s="76">
        <v>2020</v>
      </c>
      <c r="D7265" s="76" t="s">
        <v>38</v>
      </c>
      <c r="E7265" s="76" t="s">
        <v>32</v>
      </c>
      <c r="F7265" s="76">
        <v>3</v>
      </c>
    </row>
    <row r="7266" s="76" customFormat="1" spans="1:6">
      <c r="A7266">
        <v>7486</v>
      </c>
      <c r="B7266">
        <v>372020243</v>
      </c>
      <c r="C7266" s="76">
        <v>2020</v>
      </c>
      <c r="D7266" s="76" t="s">
        <v>38</v>
      </c>
      <c r="E7266" s="76" t="s">
        <v>32</v>
      </c>
      <c r="F7266" s="76">
        <v>0.58</v>
      </c>
    </row>
    <row r="7267" s="76" customFormat="1" spans="1:6">
      <c r="A7267">
        <v>7492</v>
      </c>
      <c r="B7267">
        <v>372020243</v>
      </c>
      <c r="C7267" s="76">
        <v>2020</v>
      </c>
      <c r="D7267" s="76" t="s">
        <v>38</v>
      </c>
      <c r="E7267" s="76" t="s">
        <v>32</v>
      </c>
      <c r="F7267" s="76">
        <v>3</v>
      </c>
    </row>
    <row r="7268" s="76" customFormat="1" spans="1:6">
      <c r="A7268">
        <v>7482</v>
      </c>
      <c r="B7268">
        <v>372020243</v>
      </c>
      <c r="C7268" s="76">
        <v>2020</v>
      </c>
      <c r="D7268" s="76" t="s">
        <v>38</v>
      </c>
      <c r="E7268" s="76" t="s">
        <v>32</v>
      </c>
      <c r="F7268" s="76">
        <v>3</v>
      </c>
    </row>
    <row r="7269" s="76" customFormat="1" spans="1:6">
      <c r="A7269">
        <v>7493</v>
      </c>
      <c r="B7269">
        <v>372020243</v>
      </c>
      <c r="C7269" s="76">
        <v>2020</v>
      </c>
      <c r="D7269" s="76" t="s">
        <v>38</v>
      </c>
      <c r="E7269" s="76" t="s">
        <v>32</v>
      </c>
      <c r="F7269" s="76">
        <v>3</v>
      </c>
    </row>
    <row r="7270" s="76" customFormat="1" spans="1:6">
      <c r="A7270">
        <v>7494</v>
      </c>
      <c r="B7270">
        <v>372020243</v>
      </c>
      <c r="C7270" s="76">
        <v>2020</v>
      </c>
      <c r="D7270" s="76" t="s">
        <v>38</v>
      </c>
      <c r="E7270" s="76" t="s">
        <v>32</v>
      </c>
      <c r="F7270" s="76">
        <v>3</v>
      </c>
    </row>
    <row r="7271" s="76" customFormat="1" spans="1:6">
      <c r="A7271">
        <v>7481</v>
      </c>
      <c r="B7271">
        <v>372020243</v>
      </c>
      <c r="C7271" s="76">
        <v>2020</v>
      </c>
      <c r="D7271" s="76" t="s">
        <v>38</v>
      </c>
      <c r="E7271" s="76">
        <v>1</v>
      </c>
      <c r="F7271" s="76">
        <v>3</v>
      </c>
    </row>
    <row r="7272" s="76" customFormat="1" spans="1:6">
      <c r="A7272">
        <v>7483</v>
      </c>
      <c r="B7272">
        <v>372020243</v>
      </c>
      <c r="C7272" s="76">
        <v>2020</v>
      </c>
      <c r="D7272" s="76" t="s">
        <v>38</v>
      </c>
      <c r="E7272" s="76" t="s">
        <v>32</v>
      </c>
      <c r="F7272" s="76">
        <v>3</v>
      </c>
    </row>
    <row r="7273" s="76" customFormat="1" spans="1:6">
      <c r="A7273">
        <v>7488</v>
      </c>
      <c r="B7273">
        <v>372020243</v>
      </c>
      <c r="C7273" s="76">
        <v>2020</v>
      </c>
      <c r="D7273" s="76" t="s">
        <v>38</v>
      </c>
      <c r="E7273" s="76" t="s">
        <v>32</v>
      </c>
      <c r="F7273" s="76">
        <v>3</v>
      </c>
    </row>
    <row r="7274" s="76" customFormat="1" spans="1:6">
      <c r="A7274">
        <v>7489</v>
      </c>
      <c r="B7274">
        <v>372020243</v>
      </c>
      <c r="C7274" s="76">
        <v>2020</v>
      </c>
      <c r="D7274" s="76" t="s">
        <v>38</v>
      </c>
      <c r="E7274" s="76" t="s">
        <v>32</v>
      </c>
      <c r="F7274" s="76">
        <v>3</v>
      </c>
    </row>
    <row r="7275" s="76" customFormat="1" spans="1:6">
      <c r="A7275">
        <v>7485</v>
      </c>
      <c r="B7275">
        <v>372020243</v>
      </c>
      <c r="C7275" s="76">
        <v>2020</v>
      </c>
      <c r="D7275" s="76" t="s">
        <v>38</v>
      </c>
      <c r="E7275" s="76" t="s">
        <v>32</v>
      </c>
      <c r="F7275" s="76">
        <v>3</v>
      </c>
    </row>
    <row r="7276" s="76" customFormat="1" spans="1:6">
      <c r="A7276">
        <v>7484</v>
      </c>
      <c r="B7276">
        <v>372020243</v>
      </c>
      <c r="C7276" s="76">
        <v>2020</v>
      </c>
      <c r="D7276" s="76" t="s">
        <v>38</v>
      </c>
      <c r="E7276" s="76" t="s">
        <v>32</v>
      </c>
      <c r="F7276" s="76">
        <v>1.5</v>
      </c>
    </row>
    <row r="7277" s="76" customFormat="1" spans="1:6">
      <c r="A7277">
        <v>7491</v>
      </c>
      <c r="B7277">
        <v>372020243</v>
      </c>
      <c r="C7277" s="76">
        <v>2020</v>
      </c>
      <c r="D7277" s="76" t="s">
        <v>38</v>
      </c>
      <c r="E7277" s="76" t="s">
        <v>32</v>
      </c>
      <c r="F7277" s="76">
        <v>3</v>
      </c>
    </row>
    <row r="7278" s="76" customFormat="1" spans="1:6">
      <c r="A7278">
        <v>7525</v>
      </c>
      <c r="B7278">
        <v>372020260</v>
      </c>
      <c r="C7278" s="76">
        <v>2020</v>
      </c>
      <c r="D7278" s="76" t="s">
        <v>34</v>
      </c>
      <c r="E7278" s="76" t="s">
        <v>32</v>
      </c>
      <c r="F7278" s="76">
        <v>5</v>
      </c>
    </row>
    <row r="7279" s="76" customFormat="1" spans="1:6">
      <c r="A7279">
        <v>7526</v>
      </c>
      <c r="B7279">
        <v>372020260</v>
      </c>
      <c r="C7279" s="76">
        <v>2020</v>
      </c>
      <c r="D7279" s="76" t="s">
        <v>34</v>
      </c>
      <c r="E7279" s="76">
        <v>3</v>
      </c>
      <c r="F7279" s="76">
        <v>0.75</v>
      </c>
    </row>
    <row r="7280" s="76" customFormat="1" spans="1:6">
      <c r="A7280">
        <v>7541</v>
      </c>
      <c r="B7280">
        <v>372020260</v>
      </c>
      <c r="C7280" s="76">
        <v>2020</v>
      </c>
      <c r="D7280" s="76" t="s">
        <v>34</v>
      </c>
      <c r="E7280" s="76" t="s">
        <v>32</v>
      </c>
      <c r="F7280" s="76">
        <v>5</v>
      </c>
    </row>
    <row r="7281" s="76" customFormat="1" spans="1:6">
      <c r="A7281">
        <v>7558</v>
      </c>
      <c r="B7281">
        <v>372020260</v>
      </c>
      <c r="C7281" s="76">
        <v>2020</v>
      </c>
      <c r="D7281" s="76" t="s">
        <v>34</v>
      </c>
      <c r="E7281" s="76" t="s">
        <v>32</v>
      </c>
      <c r="F7281" s="76">
        <v>10</v>
      </c>
    </row>
    <row r="7282" s="76" customFormat="1" spans="1:6">
      <c r="A7282">
        <v>7574</v>
      </c>
      <c r="B7282">
        <v>372020260</v>
      </c>
      <c r="C7282" s="76">
        <v>2020</v>
      </c>
      <c r="D7282" s="76" t="s">
        <v>34</v>
      </c>
      <c r="E7282" s="76" t="s">
        <v>32</v>
      </c>
      <c r="F7282" s="76">
        <v>6</v>
      </c>
    </row>
    <row r="7283" s="76" customFormat="1" spans="1:6">
      <c r="A7283">
        <v>7573</v>
      </c>
      <c r="B7283">
        <v>372020260</v>
      </c>
      <c r="C7283" s="76">
        <v>2020</v>
      </c>
      <c r="D7283" s="76" t="s">
        <v>34</v>
      </c>
      <c r="E7283" s="76" t="s">
        <v>32</v>
      </c>
      <c r="F7283" s="76">
        <v>5</v>
      </c>
    </row>
    <row r="7284" s="76" customFormat="1" spans="1:6">
      <c r="A7284">
        <v>7545</v>
      </c>
      <c r="B7284">
        <v>372020260</v>
      </c>
      <c r="C7284" s="76">
        <v>2020</v>
      </c>
      <c r="D7284" s="76" t="s">
        <v>34</v>
      </c>
      <c r="E7284" s="76" t="s">
        <v>32</v>
      </c>
      <c r="F7284" s="76">
        <v>10</v>
      </c>
    </row>
    <row r="7285" s="76" customFormat="1" spans="1:6">
      <c r="A7285">
        <v>7546</v>
      </c>
      <c r="B7285">
        <v>372020260</v>
      </c>
      <c r="C7285" s="76">
        <v>2020</v>
      </c>
      <c r="D7285" s="76" t="s">
        <v>34</v>
      </c>
      <c r="E7285" s="76" t="s">
        <v>32</v>
      </c>
      <c r="F7285" s="76">
        <v>1.86</v>
      </c>
    </row>
    <row r="7286" s="76" customFormat="1" spans="1:6">
      <c r="A7286">
        <v>7561</v>
      </c>
      <c r="B7286">
        <v>372020260</v>
      </c>
      <c r="C7286" s="76">
        <v>2020</v>
      </c>
      <c r="D7286" s="76" t="s">
        <v>34</v>
      </c>
      <c r="E7286" s="76" t="s">
        <v>32</v>
      </c>
      <c r="F7286" s="76">
        <v>2.5</v>
      </c>
    </row>
    <row r="7287" s="76" customFormat="1" spans="1:6">
      <c r="A7287">
        <v>7523</v>
      </c>
      <c r="B7287">
        <v>372020260</v>
      </c>
      <c r="C7287" s="76">
        <v>2020</v>
      </c>
      <c r="D7287" s="76" t="s">
        <v>34</v>
      </c>
      <c r="E7287" s="76">
        <v>33</v>
      </c>
      <c r="F7287" s="76">
        <v>8.25</v>
      </c>
    </row>
    <row r="7288" s="76" customFormat="1" spans="1:6">
      <c r="A7288">
        <v>7547</v>
      </c>
      <c r="B7288">
        <v>372020260</v>
      </c>
      <c r="C7288" s="76">
        <v>2020</v>
      </c>
      <c r="D7288" s="76" t="s">
        <v>34</v>
      </c>
      <c r="E7288" s="76" t="s">
        <v>32</v>
      </c>
      <c r="F7288" s="76">
        <v>5</v>
      </c>
    </row>
    <row r="7289" s="76" customFormat="1" spans="1:6">
      <c r="A7289">
        <v>7571</v>
      </c>
      <c r="B7289">
        <v>372020260</v>
      </c>
      <c r="C7289" s="76">
        <v>2020</v>
      </c>
      <c r="D7289" s="76" t="s">
        <v>34</v>
      </c>
      <c r="E7289" s="76" t="s">
        <v>32</v>
      </c>
      <c r="F7289" s="76">
        <v>2</v>
      </c>
    </row>
    <row r="7290" s="76" customFormat="1" spans="1:6">
      <c r="A7290">
        <v>7539</v>
      </c>
      <c r="B7290">
        <v>372020260</v>
      </c>
      <c r="C7290" s="76">
        <v>2020</v>
      </c>
      <c r="D7290" s="76" t="s">
        <v>34</v>
      </c>
      <c r="E7290" s="76" t="s">
        <v>32</v>
      </c>
      <c r="F7290" s="76">
        <v>4.82</v>
      </c>
    </row>
    <row r="7291" s="76" customFormat="1" spans="1:6">
      <c r="A7291">
        <v>7543</v>
      </c>
      <c r="B7291">
        <v>372020260</v>
      </c>
      <c r="C7291" s="76">
        <v>2020</v>
      </c>
      <c r="D7291" s="76" t="s">
        <v>34</v>
      </c>
      <c r="E7291" s="76" t="s">
        <v>32</v>
      </c>
      <c r="F7291" s="76">
        <v>3.4</v>
      </c>
    </row>
    <row r="7292" s="76" customFormat="1" spans="1:6">
      <c r="A7292">
        <v>7505</v>
      </c>
      <c r="B7292">
        <v>372020260</v>
      </c>
      <c r="C7292" s="76">
        <v>2020</v>
      </c>
      <c r="D7292" s="76" t="s">
        <v>34</v>
      </c>
      <c r="E7292" s="76">
        <v>13</v>
      </c>
      <c r="F7292" s="76">
        <v>4.29</v>
      </c>
    </row>
    <row r="7293" s="76" customFormat="1" spans="1:6">
      <c r="A7293">
        <v>7560</v>
      </c>
      <c r="B7293">
        <v>372020260</v>
      </c>
      <c r="C7293" s="76">
        <v>2020</v>
      </c>
      <c r="D7293" s="76" t="s">
        <v>34</v>
      </c>
      <c r="E7293" s="76" t="s">
        <v>32</v>
      </c>
      <c r="F7293" s="76">
        <v>4.08</v>
      </c>
    </row>
    <row r="7294" s="76" customFormat="1" spans="1:6">
      <c r="A7294">
        <v>7503</v>
      </c>
      <c r="B7294">
        <v>372020260</v>
      </c>
      <c r="C7294" s="76">
        <v>2020</v>
      </c>
      <c r="D7294" s="76" t="s">
        <v>34</v>
      </c>
      <c r="E7294" s="76">
        <v>28</v>
      </c>
      <c r="F7294" s="76">
        <v>7</v>
      </c>
    </row>
    <row r="7295" s="76" customFormat="1" spans="1:6">
      <c r="A7295">
        <v>7557</v>
      </c>
      <c r="B7295">
        <v>372020260</v>
      </c>
      <c r="C7295" s="76">
        <v>2020</v>
      </c>
      <c r="D7295" s="76" t="s">
        <v>34</v>
      </c>
      <c r="E7295" s="76" t="s">
        <v>32</v>
      </c>
      <c r="F7295" s="76">
        <v>5.94</v>
      </c>
    </row>
    <row r="7296" s="76" customFormat="1" spans="1:6">
      <c r="A7296">
        <v>7556</v>
      </c>
      <c r="B7296">
        <v>372020260</v>
      </c>
      <c r="C7296" s="76">
        <v>2020</v>
      </c>
      <c r="D7296" s="76" t="s">
        <v>34</v>
      </c>
      <c r="E7296" s="76" t="s">
        <v>32</v>
      </c>
      <c r="F7296" s="76">
        <v>4.95</v>
      </c>
    </row>
    <row r="7297" s="76" customFormat="1" spans="1:6">
      <c r="A7297">
        <v>7524</v>
      </c>
      <c r="B7297">
        <v>372020260</v>
      </c>
      <c r="C7297" s="76">
        <v>2020</v>
      </c>
      <c r="D7297" s="76" t="s">
        <v>34</v>
      </c>
      <c r="E7297" s="76">
        <v>20</v>
      </c>
      <c r="F7297" s="76">
        <v>5</v>
      </c>
    </row>
    <row r="7298" s="76" customFormat="1" spans="1:6">
      <c r="A7298">
        <v>7522</v>
      </c>
      <c r="B7298">
        <v>372020260</v>
      </c>
      <c r="C7298" s="76">
        <v>2020</v>
      </c>
      <c r="D7298" s="76" t="s">
        <v>34</v>
      </c>
      <c r="E7298" s="76">
        <v>50</v>
      </c>
      <c r="F7298" s="76">
        <v>10</v>
      </c>
    </row>
    <row r="7299" s="76" customFormat="1" spans="1:6">
      <c r="A7299">
        <v>7538</v>
      </c>
      <c r="B7299">
        <v>372020260</v>
      </c>
      <c r="C7299" s="76">
        <v>2020</v>
      </c>
      <c r="D7299" s="76" t="s">
        <v>34</v>
      </c>
      <c r="E7299" s="76" t="s">
        <v>32</v>
      </c>
      <c r="F7299" s="76">
        <v>3</v>
      </c>
    </row>
    <row r="7300" s="76" customFormat="1" spans="1:6">
      <c r="A7300">
        <v>7521</v>
      </c>
      <c r="B7300">
        <v>372020260</v>
      </c>
      <c r="C7300" s="76">
        <v>2020</v>
      </c>
      <c r="D7300" s="76" t="s">
        <v>34</v>
      </c>
      <c r="E7300" s="76">
        <v>20</v>
      </c>
      <c r="F7300" s="76">
        <v>5</v>
      </c>
    </row>
    <row r="7301" s="76" customFormat="1" spans="1:6">
      <c r="A7301">
        <v>7552</v>
      </c>
      <c r="B7301">
        <v>372020260</v>
      </c>
      <c r="C7301" s="76">
        <v>2020</v>
      </c>
      <c r="D7301" s="76" t="s">
        <v>34</v>
      </c>
      <c r="E7301" s="76" t="s">
        <v>32</v>
      </c>
      <c r="F7301" s="76">
        <v>5</v>
      </c>
    </row>
    <row r="7302" s="76" customFormat="1" spans="1:6">
      <c r="A7302">
        <v>7553</v>
      </c>
      <c r="B7302">
        <v>372020260</v>
      </c>
      <c r="C7302" s="76">
        <v>2020</v>
      </c>
      <c r="D7302" s="76" t="s">
        <v>34</v>
      </c>
      <c r="E7302" s="76" t="s">
        <v>32</v>
      </c>
      <c r="F7302" s="76">
        <v>5</v>
      </c>
    </row>
    <row r="7303" s="76" customFormat="1" spans="1:6">
      <c r="A7303">
        <v>7542</v>
      </c>
      <c r="B7303">
        <v>372020260</v>
      </c>
      <c r="C7303" s="76">
        <v>2020</v>
      </c>
      <c r="D7303" s="76" t="s">
        <v>34</v>
      </c>
      <c r="E7303" s="76" t="s">
        <v>32</v>
      </c>
      <c r="F7303" s="76">
        <v>10</v>
      </c>
    </row>
    <row r="7304" s="76" customFormat="1" spans="1:6">
      <c r="A7304">
        <v>7507</v>
      </c>
      <c r="B7304">
        <v>372020260</v>
      </c>
      <c r="C7304" s="76">
        <v>2020</v>
      </c>
      <c r="D7304" s="76" t="s">
        <v>34</v>
      </c>
      <c r="E7304" s="76">
        <v>12</v>
      </c>
      <c r="F7304" s="76">
        <v>4.8</v>
      </c>
    </row>
    <row r="7305" s="76" customFormat="1" spans="1:6">
      <c r="A7305">
        <v>7551</v>
      </c>
      <c r="B7305">
        <v>372020260</v>
      </c>
      <c r="C7305" s="76">
        <v>2020</v>
      </c>
      <c r="D7305" s="76" t="s">
        <v>34</v>
      </c>
      <c r="E7305" s="76" t="s">
        <v>32</v>
      </c>
      <c r="F7305" s="76">
        <v>5</v>
      </c>
    </row>
    <row r="7306" s="76" customFormat="1" spans="1:6">
      <c r="A7306">
        <v>7500</v>
      </c>
      <c r="B7306">
        <v>372020260</v>
      </c>
      <c r="C7306" s="76">
        <v>2020</v>
      </c>
      <c r="D7306" s="76" t="s">
        <v>34</v>
      </c>
      <c r="E7306" s="76">
        <v>20</v>
      </c>
      <c r="F7306" s="76">
        <v>5</v>
      </c>
    </row>
    <row r="7307" s="76" customFormat="1" spans="1:6">
      <c r="A7307">
        <v>7544</v>
      </c>
      <c r="B7307">
        <v>372020260</v>
      </c>
      <c r="C7307" s="76">
        <v>2020</v>
      </c>
      <c r="D7307" s="76" t="s">
        <v>34</v>
      </c>
      <c r="E7307" s="76" t="s">
        <v>32</v>
      </c>
      <c r="F7307" s="76">
        <v>5</v>
      </c>
    </row>
    <row r="7308" s="76" customFormat="1" spans="1:6">
      <c r="A7308">
        <v>7564</v>
      </c>
      <c r="B7308">
        <v>372020260</v>
      </c>
      <c r="C7308" s="76">
        <v>2020</v>
      </c>
      <c r="D7308" s="76" t="s">
        <v>34</v>
      </c>
      <c r="E7308" s="76" t="s">
        <v>32</v>
      </c>
      <c r="F7308" s="76">
        <v>5</v>
      </c>
    </row>
    <row r="7309" s="76" customFormat="1" spans="1:6">
      <c r="A7309">
        <v>7501</v>
      </c>
      <c r="B7309">
        <v>372020260</v>
      </c>
      <c r="C7309" s="76">
        <v>2020</v>
      </c>
      <c r="D7309" s="76" t="s">
        <v>34</v>
      </c>
      <c r="E7309" s="76">
        <v>40</v>
      </c>
      <c r="F7309" s="76">
        <v>10</v>
      </c>
    </row>
    <row r="7310" s="76" customFormat="1" spans="1:6">
      <c r="A7310">
        <v>7559</v>
      </c>
      <c r="B7310">
        <v>372020260</v>
      </c>
      <c r="C7310" s="76">
        <v>2020</v>
      </c>
      <c r="D7310" s="76" t="s">
        <v>34</v>
      </c>
      <c r="E7310" s="76" t="s">
        <v>32</v>
      </c>
      <c r="F7310" s="76">
        <v>5</v>
      </c>
    </row>
    <row r="7311" s="76" customFormat="1" spans="1:6">
      <c r="A7311">
        <v>7554</v>
      </c>
      <c r="B7311">
        <v>372020260</v>
      </c>
      <c r="C7311" s="76">
        <v>2020</v>
      </c>
      <c r="D7311" s="76" t="s">
        <v>34</v>
      </c>
      <c r="E7311" s="76" t="s">
        <v>32</v>
      </c>
      <c r="F7311" s="76">
        <v>4.99</v>
      </c>
    </row>
    <row r="7312" s="76" customFormat="1" spans="1:6">
      <c r="A7312">
        <v>7549</v>
      </c>
      <c r="B7312">
        <v>372020260</v>
      </c>
      <c r="C7312" s="76">
        <v>2020</v>
      </c>
      <c r="D7312" s="76" t="s">
        <v>34</v>
      </c>
      <c r="E7312" s="76" t="s">
        <v>32</v>
      </c>
      <c r="F7312" s="76">
        <v>5</v>
      </c>
    </row>
    <row r="7313" s="76" customFormat="1" spans="1:6">
      <c r="A7313">
        <v>7537</v>
      </c>
      <c r="B7313">
        <v>372020260</v>
      </c>
      <c r="C7313" s="76">
        <v>2020</v>
      </c>
      <c r="D7313" s="76" t="s">
        <v>34</v>
      </c>
      <c r="E7313" s="76" t="s">
        <v>32</v>
      </c>
      <c r="F7313" s="76">
        <v>10</v>
      </c>
    </row>
    <row r="7314" s="76" customFormat="1" spans="1:6">
      <c r="A7314">
        <v>7508</v>
      </c>
      <c r="B7314">
        <v>372020260</v>
      </c>
      <c r="C7314" s="76">
        <v>2020</v>
      </c>
      <c r="D7314" s="76" t="s">
        <v>34</v>
      </c>
      <c r="E7314" s="76">
        <v>50</v>
      </c>
      <c r="F7314" s="76">
        <v>10</v>
      </c>
    </row>
    <row r="7315" s="76" customFormat="1" spans="1:6">
      <c r="A7315">
        <v>7506</v>
      </c>
      <c r="B7315">
        <v>372020260</v>
      </c>
      <c r="C7315" s="76">
        <v>2020</v>
      </c>
      <c r="D7315" s="76" t="s">
        <v>34</v>
      </c>
      <c r="E7315" s="76">
        <v>22</v>
      </c>
      <c r="F7315" s="76">
        <v>4.4</v>
      </c>
    </row>
    <row r="7316" s="76" customFormat="1" spans="1:6">
      <c r="A7316">
        <v>7513</v>
      </c>
      <c r="B7316">
        <v>372020260</v>
      </c>
      <c r="C7316" s="76">
        <v>2020</v>
      </c>
      <c r="D7316" s="76" t="s">
        <v>34</v>
      </c>
      <c r="E7316" s="76">
        <v>25</v>
      </c>
      <c r="F7316" s="76">
        <v>4.95</v>
      </c>
    </row>
    <row r="7317" s="76" customFormat="1" spans="1:6">
      <c r="A7317">
        <v>7514</v>
      </c>
      <c r="B7317">
        <v>372020260</v>
      </c>
      <c r="C7317" s="76">
        <v>2020</v>
      </c>
      <c r="D7317" s="76" t="s">
        <v>34</v>
      </c>
      <c r="E7317" s="76">
        <v>11</v>
      </c>
      <c r="F7317" s="76">
        <v>3.3</v>
      </c>
    </row>
    <row r="7318" s="76" customFormat="1" spans="1:6">
      <c r="A7318">
        <v>7530</v>
      </c>
      <c r="B7318">
        <v>372020260</v>
      </c>
      <c r="C7318" s="76">
        <v>2020</v>
      </c>
      <c r="D7318" s="76" t="s">
        <v>34</v>
      </c>
      <c r="E7318" s="76">
        <v>17</v>
      </c>
      <c r="F7318" s="76">
        <v>5.1</v>
      </c>
    </row>
    <row r="7319" s="76" customFormat="1" spans="1:6">
      <c r="A7319">
        <v>7529</v>
      </c>
      <c r="B7319">
        <v>372020260</v>
      </c>
      <c r="C7319" s="76">
        <v>2020</v>
      </c>
      <c r="D7319" s="76" t="s">
        <v>34</v>
      </c>
      <c r="E7319" s="76">
        <v>17</v>
      </c>
      <c r="F7319" s="76">
        <v>5.1</v>
      </c>
    </row>
    <row r="7320" s="76" customFormat="1" spans="1:6">
      <c r="A7320">
        <v>7572</v>
      </c>
      <c r="B7320">
        <v>372020260</v>
      </c>
      <c r="C7320" s="76">
        <v>2020</v>
      </c>
      <c r="D7320" s="76" t="s">
        <v>34</v>
      </c>
      <c r="E7320" s="76" t="s">
        <v>32</v>
      </c>
      <c r="F7320" s="76">
        <v>5</v>
      </c>
    </row>
    <row r="7321" s="76" customFormat="1" spans="1:6">
      <c r="A7321">
        <v>7568</v>
      </c>
      <c r="B7321">
        <v>372020260</v>
      </c>
      <c r="C7321" s="76">
        <v>2020</v>
      </c>
      <c r="D7321" s="76" t="s">
        <v>34</v>
      </c>
      <c r="E7321" s="76" t="s">
        <v>32</v>
      </c>
      <c r="F7321" s="76">
        <v>5</v>
      </c>
    </row>
    <row r="7322" s="76" customFormat="1" spans="1:6">
      <c r="A7322">
        <v>7498</v>
      </c>
      <c r="B7322">
        <v>372020260</v>
      </c>
      <c r="C7322" s="76">
        <v>2020</v>
      </c>
      <c r="D7322" s="76" t="s">
        <v>34</v>
      </c>
      <c r="E7322" s="76">
        <v>19</v>
      </c>
      <c r="F7322" s="76">
        <v>4.99</v>
      </c>
    </row>
    <row r="7323" s="76" customFormat="1" spans="1:6">
      <c r="A7323">
        <v>7516</v>
      </c>
      <c r="B7323">
        <v>372020260</v>
      </c>
      <c r="C7323" s="76">
        <v>2020</v>
      </c>
      <c r="D7323" s="76" t="s">
        <v>34</v>
      </c>
      <c r="E7323" s="76">
        <v>26</v>
      </c>
      <c r="F7323" s="76">
        <v>8</v>
      </c>
    </row>
    <row r="7324" s="76" customFormat="1" spans="1:6">
      <c r="A7324">
        <v>7569</v>
      </c>
      <c r="B7324">
        <v>372020260</v>
      </c>
      <c r="C7324" s="76">
        <v>2020</v>
      </c>
      <c r="D7324" s="76" t="s">
        <v>34</v>
      </c>
      <c r="E7324" s="76" t="s">
        <v>32</v>
      </c>
      <c r="F7324" s="76">
        <v>5</v>
      </c>
    </row>
    <row r="7325" s="76" customFormat="1" spans="1:6">
      <c r="A7325">
        <v>7555</v>
      </c>
      <c r="B7325">
        <v>372020260</v>
      </c>
      <c r="C7325" s="76">
        <v>2020</v>
      </c>
      <c r="D7325" s="76" t="s">
        <v>34</v>
      </c>
      <c r="E7325" s="76" t="s">
        <v>32</v>
      </c>
      <c r="F7325" s="76">
        <v>10</v>
      </c>
    </row>
    <row r="7326" s="76" customFormat="1" spans="1:6">
      <c r="A7326">
        <v>7540</v>
      </c>
      <c r="B7326">
        <v>372020260</v>
      </c>
      <c r="C7326" s="76">
        <v>2020</v>
      </c>
      <c r="D7326" s="76" t="s">
        <v>34</v>
      </c>
      <c r="E7326" s="76" t="s">
        <v>32</v>
      </c>
      <c r="F7326" s="76">
        <v>8</v>
      </c>
    </row>
    <row r="7327" s="76" customFormat="1" spans="1:6">
      <c r="A7327">
        <v>7504</v>
      </c>
      <c r="B7327">
        <v>372020260</v>
      </c>
      <c r="C7327" s="76">
        <v>2020</v>
      </c>
      <c r="D7327" s="76" t="s">
        <v>34</v>
      </c>
      <c r="E7327" s="76">
        <v>40</v>
      </c>
      <c r="F7327" s="76">
        <v>10</v>
      </c>
    </row>
    <row r="7328" s="76" customFormat="1" spans="1:6">
      <c r="A7328">
        <v>7562</v>
      </c>
      <c r="B7328">
        <v>372020260</v>
      </c>
      <c r="C7328" s="76">
        <v>2020</v>
      </c>
      <c r="D7328" s="76" t="s">
        <v>34</v>
      </c>
      <c r="E7328" s="76" t="s">
        <v>32</v>
      </c>
      <c r="F7328" s="76">
        <v>10</v>
      </c>
    </row>
    <row r="7329" s="76" customFormat="1" spans="1:6">
      <c r="A7329">
        <v>7518</v>
      </c>
      <c r="B7329">
        <v>372020260</v>
      </c>
      <c r="C7329" s="76">
        <v>2020</v>
      </c>
      <c r="D7329" s="76" t="s">
        <v>34</v>
      </c>
      <c r="E7329" s="76">
        <v>20</v>
      </c>
      <c r="F7329" s="76">
        <v>6</v>
      </c>
    </row>
    <row r="7330" s="76" customFormat="1" spans="1:6">
      <c r="A7330">
        <v>7527</v>
      </c>
      <c r="B7330">
        <v>372020260</v>
      </c>
      <c r="C7330" s="76">
        <v>2020</v>
      </c>
      <c r="D7330" s="76" t="s">
        <v>34</v>
      </c>
      <c r="E7330" s="76">
        <v>20</v>
      </c>
      <c r="F7330" s="76">
        <v>5</v>
      </c>
    </row>
    <row r="7331" s="76" customFormat="1" spans="1:6">
      <c r="A7331">
        <v>7567</v>
      </c>
      <c r="B7331">
        <v>372020260</v>
      </c>
      <c r="C7331" s="76">
        <v>2020</v>
      </c>
      <c r="D7331" s="76" t="s">
        <v>34</v>
      </c>
      <c r="E7331" s="76" t="s">
        <v>32</v>
      </c>
      <c r="F7331" s="76">
        <v>3.5</v>
      </c>
    </row>
    <row r="7332" s="76" customFormat="1" spans="1:6">
      <c r="A7332">
        <v>7497</v>
      </c>
      <c r="B7332">
        <v>372020260</v>
      </c>
      <c r="C7332" s="76">
        <v>2020</v>
      </c>
      <c r="D7332" s="76" t="s">
        <v>34</v>
      </c>
      <c r="E7332" s="76">
        <v>18</v>
      </c>
      <c r="F7332" s="76">
        <v>3.96</v>
      </c>
    </row>
    <row r="7333" s="76" customFormat="1" spans="1:6">
      <c r="A7333">
        <v>7515</v>
      </c>
      <c r="B7333">
        <v>372020260</v>
      </c>
      <c r="C7333" s="76">
        <v>2020</v>
      </c>
      <c r="D7333" s="76" t="s">
        <v>34</v>
      </c>
      <c r="E7333" s="76">
        <v>25</v>
      </c>
      <c r="F7333" s="76">
        <v>5</v>
      </c>
    </row>
    <row r="7334" s="76" customFormat="1" spans="1:6">
      <c r="A7334">
        <v>7533</v>
      </c>
      <c r="B7334">
        <v>372020260</v>
      </c>
      <c r="C7334" s="76">
        <v>2020</v>
      </c>
      <c r="D7334" s="76" t="s">
        <v>34</v>
      </c>
      <c r="E7334" s="76">
        <v>15</v>
      </c>
      <c r="F7334" s="76">
        <v>4.8</v>
      </c>
    </row>
    <row r="7335" s="76" customFormat="1" spans="1:6">
      <c r="A7335">
        <v>7520</v>
      </c>
      <c r="B7335">
        <v>372020260</v>
      </c>
      <c r="C7335" s="76">
        <v>2020</v>
      </c>
      <c r="D7335" s="76" t="s">
        <v>34</v>
      </c>
      <c r="E7335" s="76">
        <v>20</v>
      </c>
      <c r="F7335" s="76">
        <v>5</v>
      </c>
    </row>
    <row r="7336" s="76" customFormat="1" spans="1:6">
      <c r="A7336">
        <v>7517</v>
      </c>
      <c r="B7336">
        <v>372020260</v>
      </c>
      <c r="C7336" s="76">
        <v>2020</v>
      </c>
      <c r="D7336" s="76" t="s">
        <v>34</v>
      </c>
      <c r="E7336" s="76">
        <v>20</v>
      </c>
      <c r="F7336" s="76">
        <v>5</v>
      </c>
    </row>
    <row r="7337" s="76" customFormat="1" spans="1:6">
      <c r="A7337">
        <v>7510</v>
      </c>
      <c r="B7337">
        <v>372020260</v>
      </c>
      <c r="C7337" s="76">
        <v>2020</v>
      </c>
      <c r="D7337" s="76" t="s">
        <v>34</v>
      </c>
      <c r="E7337" s="76">
        <v>25</v>
      </c>
      <c r="F7337" s="76">
        <v>5</v>
      </c>
    </row>
    <row r="7338" s="76" customFormat="1" spans="1:6">
      <c r="A7338">
        <v>7535</v>
      </c>
      <c r="B7338">
        <v>372020260</v>
      </c>
      <c r="C7338" s="76">
        <v>2020</v>
      </c>
      <c r="D7338" s="76" t="s">
        <v>34</v>
      </c>
      <c r="E7338" s="76">
        <v>17</v>
      </c>
      <c r="F7338" s="76">
        <v>5</v>
      </c>
    </row>
    <row r="7339" s="76" customFormat="1" spans="1:6">
      <c r="A7339">
        <v>7509</v>
      </c>
      <c r="B7339">
        <v>372020260</v>
      </c>
      <c r="C7339" s="76">
        <v>2020</v>
      </c>
      <c r="D7339" s="76" t="s">
        <v>34</v>
      </c>
      <c r="E7339" s="76">
        <v>48</v>
      </c>
      <c r="F7339" s="76">
        <v>9.6</v>
      </c>
    </row>
    <row r="7340" s="76" customFormat="1" spans="1:6">
      <c r="A7340">
        <v>7499</v>
      </c>
      <c r="B7340">
        <v>372020260</v>
      </c>
      <c r="C7340" s="76">
        <v>2020</v>
      </c>
      <c r="D7340" s="76" t="s">
        <v>34</v>
      </c>
      <c r="E7340" s="76">
        <v>14</v>
      </c>
      <c r="F7340" s="76">
        <v>3.5</v>
      </c>
    </row>
    <row r="7341" s="76" customFormat="1" spans="1:6">
      <c r="A7341">
        <v>7511</v>
      </c>
      <c r="B7341">
        <v>372020260</v>
      </c>
      <c r="C7341" s="76">
        <v>2020</v>
      </c>
      <c r="D7341" s="76" t="s">
        <v>34</v>
      </c>
      <c r="E7341" s="76">
        <v>49</v>
      </c>
      <c r="F7341" s="76">
        <v>9.8</v>
      </c>
    </row>
    <row r="7342" s="76" customFormat="1" spans="1:6">
      <c r="A7342">
        <v>7519</v>
      </c>
      <c r="B7342">
        <v>372020260</v>
      </c>
      <c r="C7342" s="76">
        <v>2020</v>
      </c>
      <c r="D7342" s="76" t="s">
        <v>34</v>
      </c>
      <c r="E7342" s="76">
        <v>12</v>
      </c>
      <c r="F7342" s="76">
        <v>3.45</v>
      </c>
    </row>
    <row r="7343" s="76" customFormat="1" spans="1:6">
      <c r="A7343">
        <v>7528</v>
      </c>
      <c r="B7343">
        <v>372020260</v>
      </c>
      <c r="C7343" s="76">
        <v>2020</v>
      </c>
      <c r="D7343" s="76" t="s">
        <v>34</v>
      </c>
      <c r="E7343" s="76">
        <v>16</v>
      </c>
      <c r="F7343" s="76">
        <v>4</v>
      </c>
    </row>
    <row r="7344" s="76" customFormat="1" spans="1:6">
      <c r="A7344">
        <v>7512</v>
      </c>
      <c r="B7344">
        <v>372020260</v>
      </c>
      <c r="C7344" s="76">
        <v>2020</v>
      </c>
      <c r="D7344" s="76" t="s">
        <v>34</v>
      </c>
      <c r="E7344" s="76">
        <v>8</v>
      </c>
      <c r="F7344" s="76">
        <v>2</v>
      </c>
    </row>
    <row r="7345" s="76" customFormat="1" spans="1:6">
      <c r="A7345">
        <v>7536</v>
      </c>
      <c r="B7345">
        <v>372020260</v>
      </c>
      <c r="C7345" s="76">
        <v>2020</v>
      </c>
      <c r="D7345" s="76" t="s">
        <v>34</v>
      </c>
      <c r="E7345" s="76">
        <v>16</v>
      </c>
      <c r="F7345" s="76">
        <v>5</v>
      </c>
    </row>
    <row r="7346" s="76" customFormat="1" spans="1:6">
      <c r="A7346">
        <v>7496</v>
      </c>
      <c r="B7346">
        <v>372020260</v>
      </c>
      <c r="C7346" s="76">
        <v>2020</v>
      </c>
      <c r="D7346" s="76" t="s">
        <v>34</v>
      </c>
      <c r="E7346" s="76">
        <v>24</v>
      </c>
      <c r="F7346" s="76">
        <v>4.8</v>
      </c>
    </row>
    <row r="7347" s="76" customFormat="1" spans="1:6">
      <c r="A7347">
        <v>7534</v>
      </c>
      <c r="B7347">
        <v>372020260</v>
      </c>
      <c r="C7347" s="76">
        <v>2020</v>
      </c>
      <c r="D7347" s="76" t="s">
        <v>34</v>
      </c>
      <c r="E7347" s="76">
        <v>16</v>
      </c>
      <c r="F7347" s="76">
        <v>4.8</v>
      </c>
    </row>
    <row r="7348" s="76" customFormat="1" spans="1:6">
      <c r="A7348">
        <v>7502</v>
      </c>
      <c r="B7348">
        <v>372020260</v>
      </c>
      <c r="C7348" s="76">
        <v>2020</v>
      </c>
      <c r="D7348" s="76" t="s">
        <v>34</v>
      </c>
      <c r="E7348" s="76">
        <v>20</v>
      </c>
      <c r="F7348" s="76">
        <v>4</v>
      </c>
    </row>
    <row r="7349" s="76" customFormat="1" spans="1:6">
      <c r="A7349">
        <v>7548</v>
      </c>
      <c r="B7349">
        <v>372020260</v>
      </c>
      <c r="C7349" s="76">
        <v>2020</v>
      </c>
      <c r="D7349" s="76" t="s">
        <v>34</v>
      </c>
      <c r="E7349" s="76" t="s">
        <v>32</v>
      </c>
      <c r="F7349" s="76">
        <v>4.98</v>
      </c>
    </row>
    <row r="7350" s="76" customFormat="1" spans="1:6">
      <c r="A7350">
        <v>7532</v>
      </c>
      <c r="B7350">
        <v>372020260</v>
      </c>
      <c r="C7350" s="76">
        <v>2020</v>
      </c>
      <c r="D7350" s="76" t="s">
        <v>34</v>
      </c>
      <c r="E7350" s="76">
        <v>14</v>
      </c>
      <c r="F7350" s="76">
        <v>4</v>
      </c>
    </row>
    <row r="7351" s="76" customFormat="1" spans="1:6">
      <c r="A7351">
        <v>7550</v>
      </c>
      <c r="B7351">
        <v>372020260</v>
      </c>
      <c r="C7351" s="76">
        <v>2020</v>
      </c>
      <c r="D7351" s="76" t="s">
        <v>34</v>
      </c>
      <c r="E7351" s="76" t="s">
        <v>32</v>
      </c>
      <c r="F7351" s="76">
        <v>5</v>
      </c>
    </row>
    <row r="7352" s="76" customFormat="1" spans="1:6">
      <c r="A7352">
        <v>7566</v>
      </c>
      <c r="B7352">
        <v>372020260</v>
      </c>
      <c r="C7352" s="76">
        <v>2020</v>
      </c>
      <c r="D7352" s="76" t="s">
        <v>34</v>
      </c>
      <c r="E7352" s="76" t="s">
        <v>32</v>
      </c>
      <c r="F7352" s="76">
        <v>5</v>
      </c>
    </row>
    <row r="7353" s="76" customFormat="1" spans="1:6">
      <c r="A7353">
        <v>7531</v>
      </c>
      <c r="B7353">
        <v>372020260</v>
      </c>
      <c r="C7353" s="76">
        <v>2020</v>
      </c>
      <c r="D7353" s="76" t="s">
        <v>34</v>
      </c>
      <c r="E7353" s="76" t="s">
        <v>32</v>
      </c>
      <c r="F7353" s="76">
        <v>5</v>
      </c>
    </row>
    <row r="7354" s="76" customFormat="1" spans="1:6">
      <c r="A7354">
        <v>7563</v>
      </c>
      <c r="B7354">
        <v>372020260</v>
      </c>
      <c r="C7354" s="76">
        <v>2020</v>
      </c>
      <c r="D7354" s="76" t="s">
        <v>34</v>
      </c>
      <c r="E7354" s="76" t="s">
        <v>32</v>
      </c>
      <c r="F7354" s="76">
        <v>5</v>
      </c>
    </row>
    <row r="7355" s="76" customFormat="1" spans="1:6">
      <c r="A7355">
        <v>7565</v>
      </c>
      <c r="B7355">
        <v>372020260</v>
      </c>
      <c r="C7355" s="76">
        <v>2020</v>
      </c>
      <c r="D7355" s="76" t="s">
        <v>34</v>
      </c>
      <c r="E7355" s="76" t="s">
        <v>32</v>
      </c>
      <c r="F7355" s="76">
        <v>9.9</v>
      </c>
    </row>
    <row r="7356" s="76" customFormat="1" spans="1:6">
      <c r="A7356">
        <v>7570</v>
      </c>
      <c r="B7356">
        <v>372020260</v>
      </c>
      <c r="C7356" s="76">
        <v>2020</v>
      </c>
      <c r="D7356" s="76" t="s">
        <v>34</v>
      </c>
      <c r="E7356" s="76" t="s">
        <v>32</v>
      </c>
      <c r="F7356" s="76">
        <v>4.4</v>
      </c>
    </row>
    <row r="7357" s="76" customFormat="1" spans="1:6">
      <c r="A7357">
        <v>7581</v>
      </c>
      <c r="B7357">
        <v>372020270</v>
      </c>
      <c r="C7357" s="76">
        <v>2020</v>
      </c>
      <c r="D7357" s="76" t="s">
        <v>31</v>
      </c>
      <c r="E7357" s="76" t="s">
        <v>32</v>
      </c>
      <c r="F7357" s="76">
        <v>4.19</v>
      </c>
    </row>
    <row r="7358" s="76" customFormat="1" spans="1:6">
      <c r="A7358">
        <v>7579</v>
      </c>
      <c r="B7358">
        <v>372020270</v>
      </c>
      <c r="C7358" s="76">
        <v>2020</v>
      </c>
      <c r="D7358" s="76" t="s">
        <v>31</v>
      </c>
      <c r="E7358" s="76" t="s">
        <v>32</v>
      </c>
      <c r="F7358" s="76">
        <v>17.39</v>
      </c>
    </row>
    <row r="7359" s="76" customFormat="1" spans="1:6">
      <c r="A7359">
        <v>7599</v>
      </c>
      <c r="B7359">
        <v>372020270</v>
      </c>
      <c r="C7359" s="76">
        <v>2020</v>
      </c>
      <c r="D7359" s="76" t="s">
        <v>31</v>
      </c>
      <c r="E7359" s="76" t="s">
        <v>32</v>
      </c>
      <c r="F7359" s="76">
        <v>4.9</v>
      </c>
    </row>
    <row r="7360" s="76" customFormat="1" spans="1:6">
      <c r="A7360">
        <v>7597</v>
      </c>
      <c r="B7360">
        <v>372020270</v>
      </c>
      <c r="C7360" s="76">
        <v>2020</v>
      </c>
      <c r="D7360" s="76" t="s">
        <v>31</v>
      </c>
      <c r="E7360" s="76" t="s">
        <v>32</v>
      </c>
      <c r="F7360" s="76">
        <v>11</v>
      </c>
    </row>
    <row r="7361" s="76" customFormat="1" spans="1:6">
      <c r="A7361">
        <v>7602</v>
      </c>
      <c r="B7361">
        <v>372020270</v>
      </c>
      <c r="C7361" s="76">
        <v>2020</v>
      </c>
      <c r="D7361" s="76" t="s">
        <v>31</v>
      </c>
      <c r="E7361" s="76" t="s">
        <v>32</v>
      </c>
      <c r="F7361" s="76">
        <v>3</v>
      </c>
    </row>
    <row r="7362" s="76" customFormat="1" spans="1:6">
      <c r="A7362">
        <v>7578</v>
      </c>
      <c r="B7362">
        <v>372020270</v>
      </c>
      <c r="C7362" s="76">
        <v>2020</v>
      </c>
      <c r="D7362" s="76" t="s">
        <v>31</v>
      </c>
      <c r="E7362" s="76" t="s">
        <v>32</v>
      </c>
      <c r="F7362" s="76">
        <v>2</v>
      </c>
    </row>
    <row r="7363" s="76" customFormat="1" spans="1:6">
      <c r="A7363">
        <v>7582</v>
      </c>
      <c r="B7363">
        <v>372020270</v>
      </c>
      <c r="C7363" s="76">
        <v>2020</v>
      </c>
      <c r="D7363" s="76" t="s">
        <v>31</v>
      </c>
      <c r="E7363" s="76" t="s">
        <v>32</v>
      </c>
      <c r="F7363" s="76">
        <v>1.85</v>
      </c>
    </row>
    <row r="7364" s="76" customFormat="1" spans="1:6">
      <c r="A7364">
        <v>7603</v>
      </c>
      <c r="B7364">
        <v>372020270</v>
      </c>
      <c r="C7364" s="76">
        <v>2020</v>
      </c>
      <c r="D7364" s="76" t="s">
        <v>31</v>
      </c>
      <c r="E7364" s="76" t="s">
        <v>32</v>
      </c>
      <c r="F7364" s="76">
        <v>3</v>
      </c>
    </row>
    <row r="7365" s="76" customFormat="1" spans="1:6">
      <c r="A7365">
        <v>7600</v>
      </c>
      <c r="B7365">
        <v>372020270</v>
      </c>
      <c r="C7365" s="76">
        <v>2020</v>
      </c>
      <c r="D7365" s="76" t="s">
        <v>31</v>
      </c>
      <c r="E7365" s="76" t="s">
        <v>32</v>
      </c>
      <c r="F7365" s="76">
        <v>10</v>
      </c>
    </row>
    <row r="7366" s="76" customFormat="1" spans="1:6">
      <c r="A7366">
        <v>7596</v>
      </c>
      <c r="B7366">
        <v>372020270</v>
      </c>
      <c r="C7366" s="76">
        <v>2020</v>
      </c>
      <c r="D7366" s="76" t="s">
        <v>31</v>
      </c>
      <c r="E7366" s="76" t="s">
        <v>32</v>
      </c>
      <c r="F7366" s="76">
        <v>1.08</v>
      </c>
    </row>
    <row r="7367" s="76" customFormat="1" spans="1:6">
      <c r="A7367">
        <v>7586</v>
      </c>
      <c r="B7367">
        <v>372020270</v>
      </c>
      <c r="C7367" s="76">
        <v>2020</v>
      </c>
      <c r="D7367" s="76" t="s">
        <v>31</v>
      </c>
      <c r="E7367" s="76" t="s">
        <v>32</v>
      </c>
      <c r="F7367" s="76">
        <v>30</v>
      </c>
    </row>
    <row r="7368" s="76" customFormat="1" spans="1:6">
      <c r="A7368">
        <v>7595</v>
      </c>
      <c r="B7368">
        <v>372020270</v>
      </c>
      <c r="C7368" s="76">
        <v>2020</v>
      </c>
      <c r="D7368" s="76" t="s">
        <v>31</v>
      </c>
      <c r="E7368" s="76" t="s">
        <v>32</v>
      </c>
      <c r="F7368" s="76">
        <v>1</v>
      </c>
    </row>
    <row r="7369" s="76" customFormat="1" spans="1:6">
      <c r="A7369">
        <v>7593</v>
      </c>
      <c r="B7369">
        <v>372020270</v>
      </c>
      <c r="C7369" s="76">
        <v>2020</v>
      </c>
      <c r="D7369" s="76" t="s">
        <v>31</v>
      </c>
      <c r="E7369" s="76" t="s">
        <v>32</v>
      </c>
      <c r="F7369" s="76">
        <v>0.8</v>
      </c>
    </row>
    <row r="7370" s="76" customFormat="1" spans="1:6">
      <c r="A7370">
        <v>7584</v>
      </c>
      <c r="B7370">
        <v>372020270</v>
      </c>
      <c r="C7370" s="76">
        <v>2020</v>
      </c>
      <c r="D7370" s="76" t="s">
        <v>31</v>
      </c>
      <c r="E7370" s="76" t="s">
        <v>32</v>
      </c>
      <c r="F7370" s="76">
        <v>2</v>
      </c>
    </row>
    <row r="7371" s="76" customFormat="1" spans="1:6">
      <c r="A7371">
        <v>7585</v>
      </c>
      <c r="B7371">
        <v>372020270</v>
      </c>
      <c r="C7371" s="76">
        <v>2020</v>
      </c>
      <c r="D7371" s="76" t="s">
        <v>31</v>
      </c>
      <c r="E7371" s="76" t="s">
        <v>32</v>
      </c>
      <c r="F7371" s="76">
        <v>4</v>
      </c>
    </row>
    <row r="7372" s="76" customFormat="1" spans="1:6">
      <c r="A7372">
        <v>7577</v>
      </c>
      <c r="B7372">
        <v>372020270</v>
      </c>
      <c r="C7372" s="76">
        <v>2020</v>
      </c>
      <c r="D7372" s="76" t="s">
        <v>31</v>
      </c>
      <c r="E7372" s="76">
        <v>10</v>
      </c>
      <c r="F7372" s="76">
        <v>4</v>
      </c>
    </row>
    <row r="7373" s="76" customFormat="1" spans="1:6">
      <c r="A7373">
        <v>7588</v>
      </c>
      <c r="B7373">
        <v>372020270</v>
      </c>
      <c r="C7373" s="76">
        <v>2020</v>
      </c>
      <c r="D7373" s="76" t="s">
        <v>31</v>
      </c>
      <c r="E7373" s="76" t="s">
        <v>32</v>
      </c>
      <c r="F7373" s="76">
        <v>6</v>
      </c>
    </row>
    <row r="7374" s="76" customFormat="1" spans="1:6">
      <c r="A7374">
        <v>7576</v>
      </c>
      <c r="B7374">
        <v>372020270</v>
      </c>
      <c r="C7374" s="76">
        <v>2020</v>
      </c>
      <c r="D7374" s="76" t="s">
        <v>31</v>
      </c>
      <c r="E7374" s="76">
        <v>16</v>
      </c>
      <c r="F7374" s="76">
        <v>5</v>
      </c>
    </row>
    <row r="7375" s="76" customFormat="1" spans="1:6">
      <c r="A7375">
        <v>7598</v>
      </c>
      <c r="B7375">
        <v>372020270</v>
      </c>
      <c r="C7375" s="76">
        <v>2020</v>
      </c>
      <c r="D7375" s="76" t="s">
        <v>31</v>
      </c>
      <c r="E7375" s="76" t="s">
        <v>32</v>
      </c>
      <c r="F7375" s="76">
        <v>4</v>
      </c>
    </row>
    <row r="7376" s="76" customFormat="1" spans="1:6">
      <c r="A7376">
        <v>7587</v>
      </c>
      <c r="B7376">
        <v>372020270</v>
      </c>
      <c r="C7376" s="76">
        <v>2020</v>
      </c>
      <c r="D7376" s="76" t="s">
        <v>31</v>
      </c>
      <c r="E7376" s="76" t="s">
        <v>32</v>
      </c>
      <c r="F7376" s="76">
        <v>12</v>
      </c>
    </row>
    <row r="7377" s="76" customFormat="1" spans="1:6">
      <c r="A7377">
        <v>7583</v>
      </c>
      <c r="B7377">
        <v>372020270</v>
      </c>
      <c r="C7377" s="76">
        <v>2020</v>
      </c>
      <c r="D7377" s="76" t="s">
        <v>31</v>
      </c>
      <c r="E7377" s="76" t="s">
        <v>32</v>
      </c>
      <c r="F7377" s="76">
        <v>2</v>
      </c>
    </row>
    <row r="7378" s="76" customFormat="1" spans="1:6">
      <c r="A7378">
        <v>7590</v>
      </c>
      <c r="B7378">
        <v>372020270</v>
      </c>
      <c r="C7378" s="76">
        <v>2020</v>
      </c>
      <c r="D7378" s="76" t="s">
        <v>31</v>
      </c>
      <c r="E7378" s="76" t="s">
        <v>32</v>
      </c>
      <c r="F7378" s="76">
        <v>0.7</v>
      </c>
    </row>
    <row r="7379" s="76" customFormat="1" spans="1:6">
      <c r="A7379">
        <v>7589</v>
      </c>
      <c r="B7379">
        <v>372020270</v>
      </c>
      <c r="C7379" s="76">
        <v>2020</v>
      </c>
      <c r="D7379" s="76" t="s">
        <v>31</v>
      </c>
      <c r="E7379" s="76" t="s">
        <v>32</v>
      </c>
      <c r="F7379" s="76">
        <v>0.6</v>
      </c>
    </row>
    <row r="7380" s="76" customFormat="1" spans="1:6">
      <c r="A7380">
        <v>7601</v>
      </c>
      <c r="B7380">
        <v>372020270</v>
      </c>
      <c r="C7380" s="76">
        <v>2020</v>
      </c>
      <c r="D7380" s="76" t="s">
        <v>31</v>
      </c>
      <c r="E7380" s="76" t="s">
        <v>32</v>
      </c>
      <c r="F7380" s="76">
        <v>5</v>
      </c>
    </row>
    <row r="7381" s="76" customFormat="1" spans="1:6">
      <c r="A7381">
        <v>7580</v>
      </c>
      <c r="B7381">
        <v>372020270</v>
      </c>
      <c r="C7381" s="76">
        <v>2020</v>
      </c>
      <c r="D7381" s="76" t="s">
        <v>31</v>
      </c>
      <c r="E7381" s="76" t="s">
        <v>32</v>
      </c>
      <c r="F7381" s="76">
        <v>10</v>
      </c>
    </row>
    <row r="7382" s="76" customFormat="1" spans="1:6">
      <c r="A7382">
        <v>7591</v>
      </c>
      <c r="B7382">
        <v>372020270</v>
      </c>
      <c r="C7382" s="76">
        <v>2020</v>
      </c>
      <c r="D7382" s="76" t="s">
        <v>31</v>
      </c>
      <c r="E7382" s="76" t="s">
        <v>32</v>
      </c>
      <c r="F7382" s="76">
        <v>1.44</v>
      </c>
    </row>
    <row r="7383" s="76" customFormat="1" spans="1:6">
      <c r="A7383">
        <v>7592</v>
      </c>
      <c r="B7383">
        <v>372020270</v>
      </c>
      <c r="C7383" s="76">
        <v>2020</v>
      </c>
      <c r="D7383" s="76" t="s">
        <v>31</v>
      </c>
      <c r="E7383" s="76" t="s">
        <v>32</v>
      </c>
      <c r="F7383" s="76">
        <v>0.68</v>
      </c>
    </row>
    <row r="7384" s="76" customFormat="1" spans="1:6">
      <c r="A7384">
        <v>7594</v>
      </c>
      <c r="B7384">
        <v>372020270</v>
      </c>
      <c r="C7384" s="76">
        <v>2020</v>
      </c>
      <c r="D7384" s="76" t="s">
        <v>31</v>
      </c>
      <c r="E7384" s="76" t="s">
        <v>32</v>
      </c>
      <c r="F7384" s="76">
        <v>1.56</v>
      </c>
    </row>
    <row r="7385" s="76" customFormat="1" spans="1:6">
      <c r="A7385">
        <v>7604</v>
      </c>
      <c r="B7385">
        <v>372021120</v>
      </c>
      <c r="C7385" s="76">
        <v>2021</v>
      </c>
      <c r="D7385" s="76" t="s">
        <v>42</v>
      </c>
      <c r="E7385" s="76">
        <v>2</v>
      </c>
      <c r="F7385" s="76">
        <v>60</v>
      </c>
    </row>
    <row r="7386" s="76" customFormat="1" spans="1:6">
      <c r="A7386">
        <v>7618</v>
      </c>
      <c r="B7386">
        <v>372021211</v>
      </c>
      <c r="C7386" s="76">
        <v>2021</v>
      </c>
      <c r="D7386" s="76" t="s">
        <v>37</v>
      </c>
      <c r="E7386" s="76" t="s">
        <v>32</v>
      </c>
      <c r="F7386" s="76">
        <v>10</v>
      </c>
    </row>
    <row r="7387" s="76" customFormat="1" spans="1:6">
      <c r="A7387">
        <v>7623</v>
      </c>
      <c r="B7387">
        <v>372021211</v>
      </c>
      <c r="C7387" s="76">
        <v>2021</v>
      </c>
      <c r="D7387" s="76" t="s">
        <v>37</v>
      </c>
      <c r="E7387" s="76" t="s">
        <v>32</v>
      </c>
      <c r="F7387" s="76">
        <v>2.5</v>
      </c>
    </row>
    <row r="7388" s="76" customFormat="1" spans="1:6">
      <c r="A7388">
        <v>7608</v>
      </c>
      <c r="B7388">
        <v>372021211</v>
      </c>
      <c r="C7388" s="76">
        <v>2021</v>
      </c>
      <c r="D7388" s="76" t="s">
        <v>37</v>
      </c>
      <c r="E7388" s="76" t="s">
        <v>32</v>
      </c>
      <c r="F7388" s="76">
        <v>5</v>
      </c>
    </row>
    <row r="7389" s="76" customFormat="1" spans="1:6">
      <c r="A7389">
        <v>7632</v>
      </c>
      <c r="B7389">
        <v>372021211</v>
      </c>
      <c r="C7389" s="76">
        <v>2021</v>
      </c>
      <c r="D7389" s="76" t="s">
        <v>37</v>
      </c>
      <c r="E7389" s="76" t="s">
        <v>32</v>
      </c>
      <c r="F7389" s="76">
        <v>4</v>
      </c>
    </row>
    <row r="7390" s="76" customFormat="1" spans="1:6">
      <c r="A7390">
        <v>7621</v>
      </c>
      <c r="B7390">
        <v>372021211</v>
      </c>
      <c r="C7390" s="76">
        <v>2021</v>
      </c>
      <c r="D7390" s="76" t="s">
        <v>37</v>
      </c>
      <c r="E7390" s="76" t="s">
        <v>32</v>
      </c>
      <c r="F7390" s="76">
        <v>3.2</v>
      </c>
    </row>
    <row r="7391" s="76" customFormat="1" spans="1:6">
      <c r="A7391">
        <v>7615</v>
      </c>
      <c r="B7391">
        <v>372021211</v>
      </c>
      <c r="C7391" s="76">
        <v>2021</v>
      </c>
      <c r="D7391" s="76" t="s">
        <v>37</v>
      </c>
      <c r="E7391" s="76" t="s">
        <v>32</v>
      </c>
      <c r="F7391" s="76">
        <v>0.6</v>
      </c>
    </row>
    <row r="7392" s="76" customFormat="1" spans="1:6">
      <c r="A7392">
        <v>7605</v>
      </c>
      <c r="B7392">
        <v>372021211</v>
      </c>
      <c r="C7392" s="76">
        <v>2021</v>
      </c>
      <c r="D7392" s="76" t="s">
        <v>37</v>
      </c>
      <c r="E7392" s="76" t="s">
        <v>32</v>
      </c>
      <c r="F7392" s="76">
        <v>7</v>
      </c>
    </row>
    <row r="7393" s="76" customFormat="1" spans="1:6">
      <c r="A7393">
        <v>7627</v>
      </c>
      <c r="B7393">
        <v>372021211</v>
      </c>
      <c r="C7393" s="76">
        <v>2021</v>
      </c>
      <c r="D7393" s="76" t="s">
        <v>37</v>
      </c>
      <c r="E7393" s="76" t="s">
        <v>32</v>
      </c>
      <c r="F7393" s="76">
        <v>3</v>
      </c>
    </row>
    <row r="7394" s="76" customFormat="1" spans="1:6">
      <c r="A7394">
        <v>7609</v>
      </c>
      <c r="B7394">
        <v>372021211</v>
      </c>
      <c r="C7394" s="76">
        <v>2021</v>
      </c>
      <c r="D7394" s="76" t="s">
        <v>37</v>
      </c>
      <c r="E7394" s="76" t="s">
        <v>32</v>
      </c>
      <c r="F7394" s="76">
        <v>0.6</v>
      </c>
    </row>
    <row r="7395" s="76" customFormat="1" spans="1:6">
      <c r="A7395">
        <v>7624</v>
      </c>
      <c r="B7395">
        <v>372021211</v>
      </c>
      <c r="C7395" s="76">
        <v>2021</v>
      </c>
      <c r="D7395" s="76" t="s">
        <v>37</v>
      </c>
      <c r="E7395" s="76">
        <v>2</v>
      </c>
      <c r="F7395" s="76">
        <v>70</v>
      </c>
    </row>
    <row r="7396" s="76" customFormat="1" spans="1:6">
      <c r="A7396">
        <v>7626</v>
      </c>
      <c r="B7396">
        <v>372021211</v>
      </c>
      <c r="C7396" s="76">
        <v>2021</v>
      </c>
      <c r="D7396" s="76" t="s">
        <v>37</v>
      </c>
      <c r="E7396" s="76" t="s">
        <v>32</v>
      </c>
      <c r="F7396" s="76">
        <v>0.6</v>
      </c>
    </row>
    <row r="7397" s="76" customFormat="1" spans="1:6">
      <c r="A7397">
        <v>7629</v>
      </c>
      <c r="B7397">
        <v>372021211</v>
      </c>
      <c r="C7397" s="76">
        <v>2021</v>
      </c>
      <c r="D7397" s="76" t="s">
        <v>37</v>
      </c>
      <c r="E7397" s="76" t="s">
        <v>32</v>
      </c>
      <c r="F7397" s="76">
        <v>2.5</v>
      </c>
    </row>
    <row r="7398" s="76" customFormat="1" spans="1:6">
      <c r="A7398">
        <v>7635</v>
      </c>
      <c r="B7398">
        <v>372021211</v>
      </c>
      <c r="C7398" s="76">
        <v>2021</v>
      </c>
      <c r="D7398" s="76" t="s">
        <v>37</v>
      </c>
      <c r="E7398" s="76" t="s">
        <v>32</v>
      </c>
      <c r="F7398" s="76">
        <v>0.3</v>
      </c>
    </row>
    <row r="7399" s="76" customFormat="1" spans="1:6">
      <c r="A7399">
        <v>7622</v>
      </c>
      <c r="B7399">
        <v>372021211</v>
      </c>
      <c r="C7399" s="76">
        <v>2021</v>
      </c>
      <c r="D7399" s="76" t="s">
        <v>37</v>
      </c>
      <c r="E7399" s="76" t="s">
        <v>32</v>
      </c>
      <c r="F7399" s="76">
        <v>3</v>
      </c>
    </row>
    <row r="7400" s="76" customFormat="1" spans="1:6">
      <c r="A7400">
        <v>7636</v>
      </c>
      <c r="B7400">
        <v>372021211</v>
      </c>
      <c r="C7400" s="76">
        <v>2021</v>
      </c>
      <c r="D7400" s="76" t="s">
        <v>37</v>
      </c>
      <c r="E7400" s="76" t="s">
        <v>32</v>
      </c>
      <c r="F7400" s="76">
        <v>0.5</v>
      </c>
    </row>
    <row r="7401" s="76" customFormat="1" spans="1:6">
      <c r="A7401">
        <v>7612</v>
      </c>
      <c r="B7401">
        <v>372021211</v>
      </c>
      <c r="C7401" s="76">
        <v>2021</v>
      </c>
      <c r="D7401" s="76" t="s">
        <v>37</v>
      </c>
      <c r="E7401" s="76" t="s">
        <v>32</v>
      </c>
      <c r="F7401" s="76">
        <v>0.9</v>
      </c>
    </row>
    <row r="7402" s="76" customFormat="1" spans="1:6">
      <c r="A7402">
        <v>7633</v>
      </c>
      <c r="B7402">
        <v>372021211</v>
      </c>
      <c r="C7402" s="76">
        <v>2021</v>
      </c>
      <c r="D7402" s="76" t="s">
        <v>37</v>
      </c>
      <c r="E7402" s="76" t="s">
        <v>32</v>
      </c>
      <c r="F7402" s="76">
        <v>1.2</v>
      </c>
    </row>
    <row r="7403" s="76" customFormat="1" spans="1:6">
      <c r="A7403">
        <v>7625</v>
      </c>
      <c r="B7403">
        <v>372021211</v>
      </c>
      <c r="C7403" s="76">
        <v>2021</v>
      </c>
      <c r="D7403" s="76" t="s">
        <v>37</v>
      </c>
      <c r="E7403" s="76" t="s">
        <v>32</v>
      </c>
      <c r="F7403" s="76">
        <v>5.5</v>
      </c>
    </row>
    <row r="7404" s="76" customFormat="1" spans="1:6">
      <c r="A7404">
        <v>7606</v>
      </c>
      <c r="B7404">
        <v>372021211</v>
      </c>
      <c r="C7404" s="76">
        <v>2021</v>
      </c>
      <c r="D7404" s="76" t="s">
        <v>37</v>
      </c>
      <c r="E7404" s="76" t="s">
        <v>32</v>
      </c>
      <c r="F7404" s="76">
        <v>6.5</v>
      </c>
    </row>
    <row r="7405" s="76" customFormat="1" spans="1:6">
      <c r="A7405">
        <v>7613</v>
      </c>
      <c r="B7405">
        <v>372021211</v>
      </c>
      <c r="C7405" s="76">
        <v>2021</v>
      </c>
      <c r="D7405" s="76" t="s">
        <v>37</v>
      </c>
      <c r="E7405" s="76" t="s">
        <v>32</v>
      </c>
      <c r="F7405" s="76">
        <v>1.2</v>
      </c>
    </row>
    <row r="7406" s="76" customFormat="1" spans="1:6">
      <c r="A7406">
        <v>7610</v>
      </c>
      <c r="B7406">
        <v>372021211</v>
      </c>
      <c r="C7406" s="76">
        <v>2021</v>
      </c>
      <c r="D7406" s="76" t="s">
        <v>37</v>
      </c>
      <c r="E7406" s="76" t="s">
        <v>32</v>
      </c>
      <c r="F7406" s="76">
        <v>0.6</v>
      </c>
    </row>
    <row r="7407" s="76" customFormat="1" spans="1:6">
      <c r="A7407">
        <v>7617</v>
      </c>
      <c r="B7407">
        <v>372021211</v>
      </c>
      <c r="C7407" s="76">
        <v>2021</v>
      </c>
      <c r="D7407" s="76" t="s">
        <v>37</v>
      </c>
      <c r="E7407" s="76" t="s">
        <v>32</v>
      </c>
      <c r="F7407" s="76">
        <v>10</v>
      </c>
    </row>
    <row r="7408" s="76" customFormat="1" spans="1:6">
      <c r="A7408">
        <v>7631</v>
      </c>
      <c r="B7408">
        <v>372021211</v>
      </c>
      <c r="C7408" s="76">
        <v>2021</v>
      </c>
      <c r="D7408" s="76" t="s">
        <v>37</v>
      </c>
      <c r="E7408" s="76" t="s">
        <v>32</v>
      </c>
      <c r="F7408" s="76">
        <v>3</v>
      </c>
    </row>
    <row r="7409" s="76" customFormat="1" spans="1:6">
      <c r="A7409">
        <v>7614</v>
      </c>
      <c r="B7409">
        <v>372021211</v>
      </c>
      <c r="C7409" s="76">
        <v>2021</v>
      </c>
      <c r="D7409" s="76" t="s">
        <v>37</v>
      </c>
      <c r="E7409" s="76" t="s">
        <v>32</v>
      </c>
      <c r="F7409" s="76">
        <v>3.5</v>
      </c>
    </row>
    <row r="7410" s="76" customFormat="1" spans="1:6">
      <c r="A7410">
        <v>7634</v>
      </c>
      <c r="B7410">
        <v>372021211</v>
      </c>
      <c r="C7410" s="76">
        <v>2021</v>
      </c>
      <c r="D7410" s="76" t="s">
        <v>37</v>
      </c>
      <c r="E7410" s="76" t="s">
        <v>32</v>
      </c>
      <c r="F7410" s="76">
        <v>3</v>
      </c>
    </row>
    <row r="7411" s="76" customFormat="1" spans="1:6">
      <c r="A7411">
        <v>7611</v>
      </c>
      <c r="B7411">
        <v>372021211</v>
      </c>
      <c r="C7411" s="76">
        <v>2021</v>
      </c>
      <c r="D7411" s="76" t="s">
        <v>37</v>
      </c>
      <c r="E7411" s="76" t="s">
        <v>32</v>
      </c>
      <c r="F7411" s="76">
        <v>0.6</v>
      </c>
    </row>
    <row r="7412" s="76" customFormat="1" spans="1:6">
      <c r="A7412">
        <v>7607</v>
      </c>
      <c r="B7412">
        <v>372021211</v>
      </c>
      <c r="C7412" s="76">
        <v>2021</v>
      </c>
      <c r="D7412" s="76" t="s">
        <v>37</v>
      </c>
      <c r="E7412" s="76" t="s">
        <v>32</v>
      </c>
      <c r="F7412" s="76">
        <v>2.3</v>
      </c>
    </row>
    <row r="7413" s="76" customFormat="1" spans="1:6">
      <c r="A7413">
        <v>7630</v>
      </c>
      <c r="B7413">
        <v>372021211</v>
      </c>
      <c r="C7413" s="76">
        <v>2021</v>
      </c>
      <c r="D7413" s="76" t="s">
        <v>37</v>
      </c>
      <c r="E7413" s="76" t="s">
        <v>32</v>
      </c>
      <c r="F7413" s="76">
        <v>1.8</v>
      </c>
    </row>
    <row r="7414" s="76" customFormat="1" spans="1:6">
      <c r="A7414">
        <v>7616</v>
      </c>
      <c r="B7414">
        <v>372021211</v>
      </c>
      <c r="C7414" s="76">
        <v>2021</v>
      </c>
      <c r="D7414" s="76" t="s">
        <v>37</v>
      </c>
      <c r="E7414" s="76" t="s">
        <v>32</v>
      </c>
      <c r="F7414" s="76">
        <v>0.6</v>
      </c>
    </row>
    <row r="7415" s="76" customFormat="1" spans="1:6">
      <c r="A7415">
        <v>7628</v>
      </c>
      <c r="B7415">
        <v>372021211</v>
      </c>
      <c r="C7415" s="76">
        <v>2021</v>
      </c>
      <c r="D7415" s="76" t="s">
        <v>37</v>
      </c>
      <c r="E7415" s="76" t="s">
        <v>32</v>
      </c>
      <c r="F7415" s="76">
        <v>0.6</v>
      </c>
    </row>
    <row r="7416" s="76" customFormat="1" spans="1:6">
      <c r="A7416">
        <v>7620</v>
      </c>
      <c r="B7416">
        <v>372021211</v>
      </c>
      <c r="C7416" s="76">
        <v>2021</v>
      </c>
      <c r="D7416" s="76" t="s">
        <v>37</v>
      </c>
      <c r="E7416" s="76" t="s">
        <v>32</v>
      </c>
      <c r="F7416" s="76">
        <v>1.2</v>
      </c>
    </row>
    <row r="7417" s="76" customFormat="1" spans="1:6">
      <c r="A7417">
        <v>7619</v>
      </c>
      <c r="B7417">
        <v>372021211</v>
      </c>
      <c r="C7417" s="76">
        <v>2021</v>
      </c>
      <c r="D7417" s="76" t="s">
        <v>37</v>
      </c>
      <c r="E7417" s="76" t="s">
        <v>32</v>
      </c>
      <c r="F7417" s="76">
        <v>1.8</v>
      </c>
    </row>
    <row r="7418" s="76" customFormat="1" spans="1:6">
      <c r="A7418">
        <v>7638</v>
      </c>
      <c r="B7418">
        <v>372021221</v>
      </c>
      <c r="C7418" s="76">
        <v>2021</v>
      </c>
      <c r="D7418" s="76" t="s">
        <v>30</v>
      </c>
      <c r="E7418" s="76" t="s">
        <v>32</v>
      </c>
      <c r="F7418" s="76">
        <v>1.2</v>
      </c>
    </row>
    <row r="7419" s="76" customFormat="1" spans="1:6">
      <c r="A7419">
        <v>7637</v>
      </c>
      <c r="B7419">
        <v>372021221</v>
      </c>
      <c r="C7419" s="76">
        <v>2021</v>
      </c>
      <c r="D7419" s="76" t="s">
        <v>30</v>
      </c>
      <c r="E7419" s="76" t="s">
        <v>32</v>
      </c>
      <c r="F7419" s="76">
        <v>0.75</v>
      </c>
    </row>
    <row r="7420" s="76" customFormat="1" spans="1:6">
      <c r="A7420">
        <v>7639</v>
      </c>
      <c r="B7420">
        <v>372021241</v>
      </c>
      <c r="C7420" s="76">
        <v>2021</v>
      </c>
      <c r="D7420" s="76" t="s">
        <v>33</v>
      </c>
      <c r="E7420" s="76" t="s">
        <v>32</v>
      </c>
      <c r="F7420" s="76">
        <v>5</v>
      </c>
    </row>
    <row r="7421" s="76" customFormat="1" spans="1:6">
      <c r="A7421">
        <v>7645</v>
      </c>
      <c r="B7421">
        <v>372021241</v>
      </c>
      <c r="C7421" s="76">
        <v>2021</v>
      </c>
      <c r="D7421" s="76" t="s">
        <v>33</v>
      </c>
      <c r="E7421" s="76" t="s">
        <v>32</v>
      </c>
      <c r="F7421" s="76">
        <v>2.5</v>
      </c>
    </row>
    <row r="7422" s="76" customFormat="1" spans="1:6">
      <c r="A7422">
        <v>7653</v>
      </c>
      <c r="B7422">
        <v>372021241</v>
      </c>
      <c r="C7422" s="76">
        <v>2021</v>
      </c>
      <c r="D7422" s="76" t="s">
        <v>33</v>
      </c>
      <c r="E7422" s="76" t="s">
        <v>32</v>
      </c>
      <c r="F7422" s="76">
        <v>1.4</v>
      </c>
    </row>
    <row r="7423" s="76" customFormat="1" spans="1:6">
      <c r="A7423">
        <v>7643</v>
      </c>
      <c r="B7423">
        <v>372021241</v>
      </c>
      <c r="C7423" s="76">
        <v>2021</v>
      </c>
      <c r="D7423" s="76" t="s">
        <v>33</v>
      </c>
      <c r="E7423" s="76" t="s">
        <v>32</v>
      </c>
      <c r="F7423" s="76">
        <v>17.1</v>
      </c>
    </row>
    <row r="7424" s="76" customFormat="1" spans="1:6">
      <c r="A7424">
        <v>7646</v>
      </c>
      <c r="B7424">
        <v>372021241</v>
      </c>
      <c r="C7424" s="76">
        <v>2021</v>
      </c>
      <c r="D7424" s="76" t="s">
        <v>33</v>
      </c>
      <c r="E7424" s="76" t="s">
        <v>32</v>
      </c>
      <c r="F7424" s="76">
        <v>0.6</v>
      </c>
    </row>
    <row r="7425" s="76" customFormat="1" spans="1:6">
      <c r="A7425">
        <v>7642</v>
      </c>
      <c r="B7425">
        <v>372021241</v>
      </c>
      <c r="C7425" s="76">
        <v>2021</v>
      </c>
      <c r="D7425" s="76" t="s">
        <v>33</v>
      </c>
      <c r="E7425" s="76" t="s">
        <v>32</v>
      </c>
      <c r="F7425" s="76">
        <v>2.4</v>
      </c>
    </row>
    <row r="7426" s="76" customFormat="1" spans="1:6">
      <c r="A7426">
        <v>7655</v>
      </c>
      <c r="B7426">
        <v>372021241</v>
      </c>
      <c r="C7426" s="76">
        <v>2021</v>
      </c>
      <c r="D7426" s="76" t="s">
        <v>33</v>
      </c>
      <c r="E7426" s="76" t="s">
        <v>32</v>
      </c>
      <c r="F7426" s="76">
        <v>26.4</v>
      </c>
    </row>
    <row r="7427" s="76" customFormat="1" spans="1:6">
      <c r="A7427">
        <v>7647</v>
      </c>
      <c r="B7427">
        <v>372021241</v>
      </c>
      <c r="C7427" s="76">
        <v>2021</v>
      </c>
      <c r="D7427" s="76" t="s">
        <v>33</v>
      </c>
      <c r="E7427" s="76" t="s">
        <v>32</v>
      </c>
      <c r="F7427" s="76">
        <v>2.2</v>
      </c>
    </row>
    <row r="7428" s="76" customFormat="1" spans="1:6">
      <c r="A7428">
        <v>7644</v>
      </c>
      <c r="B7428">
        <v>372021241</v>
      </c>
      <c r="C7428" s="76">
        <v>2021</v>
      </c>
      <c r="D7428" s="76" t="s">
        <v>33</v>
      </c>
      <c r="E7428" s="76" t="s">
        <v>32</v>
      </c>
      <c r="F7428" s="76">
        <v>0.7</v>
      </c>
    </row>
    <row r="7429" s="76" customFormat="1" spans="1:6">
      <c r="A7429">
        <v>7649</v>
      </c>
      <c r="B7429">
        <v>372021241</v>
      </c>
      <c r="C7429" s="76">
        <v>2021</v>
      </c>
      <c r="D7429" s="76" t="s">
        <v>33</v>
      </c>
      <c r="E7429" s="76" t="s">
        <v>32</v>
      </c>
      <c r="F7429" s="76">
        <v>18.93</v>
      </c>
    </row>
    <row r="7430" s="76" customFormat="1" spans="1:6">
      <c r="A7430">
        <v>7650</v>
      </c>
      <c r="B7430">
        <v>372021241</v>
      </c>
      <c r="C7430" s="76">
        <v>2021</v>
      </c>
      <c r="D7430" s="76" t="s">
        <v>33</v>
      </c>
      <c r="E7430" s="76" t="s">
        <v>32</v>
      </c>
      <c r="F7430" s="76">
        <v>1.8</v>
      </c>
    </row>
    <row r="7431" s="76" customFormat="1" spans="1:6">
      <c r="A7431">
        <v>7659</v>
      </c>
      <c r="B7431">
        <v>372021241</v>
      </c>
      <c r="C7431" s="76">
        <v>2021</v>
      </c>
      <c r="D7431" s="76" t="s">
        <v>33</v>
      </c>
      <c r="E7431" s="76" t="s">
        <v>32</v>
      </c>
      <c r="F7431" s="76">
        <v>1.2</v>
      </c>
    </row>
    <row r="7432" s="76" customFormat="1" spans="1:6">
      <c r="A7432">
        <v>7648</v>
      </c>
      <c r="B7432">
        <v>372021241</v>
      </c>
      <c r="C7432" s="76">
        <v>2021</v>
      </c>
      <c r="D7432" s="76" t="s">
        <v>33</v>
      </c>
      <c r="E7432" s="76" t="s">
        <v>32</v>
      </c>
      <c r="F7432" s="76">
        <v>17.92</v>
      </c>
    </row>
    <row r="7433" s="76" customFormat="1" spans="1:6">
      <c r="A7433">
        <v>7652</v>
      </c>
      <c r="B7433">
        <v>372021241</v>
      </c>
      <c r="C7433" s="76">
        <v>2021</v>
      </c>
      <c r="D7433" s="76" t="s">
        <v>33</v>
      </c>
      <c r="E7433" s="76" t="s">
        <v>32</v>
      </c>
      <c r="F7433" s="76">
        <v>2.5</v>
      </c>
    </row>
    <row r="7434" s="76" customFormat="1" spans="1:6">
      <c r="A7434">
        <v>7640</v>
      </c>
      <c r="B7434">
        <v>372021241</v>
      </c>
      <c r="C7434" s="76">
        <v>2021</v>
      </c>
      <c r="D7434" s="76" t="s">
        <v>33</v>
      </c>
      <c r="E7434" s="76" t="s">
        <v>32</v>
      </c>
      <c r="F7434" s="76">
        <v>2.8</v>
      </c>
    </row>
    <row r="7435" s="76" customFormat="1" spans="1:6">
      <c r="A7435">
        <v>7658</v>
      </c>
      <c r="B7435">
        <v>372021241</v>
      </c>
      <c r="C7435" s="76">
        <v>2021</v>
      </c>
      <c r="D7435" s="76" t="s">
        <v>33</v>
      </c>
      <c r="E7435" s="76" t="s">
        <v>32</v>
      </c>
      <c r="F7435" s="76">
        <v>0.15</v>
      </c>
    </row>
    <row r="7436" s="76" customFormat="1" spans="1:6">
      <c r="A7436">
        <v>7660</v>
      </c>
      <c r="B7436">
        <v>372021241</v>
      </c>
      <c r="C7436" s="76">
        <v>2021</v>
      </c>
      <c r="D7436" s="76" t="s">
        <v>33</v>
      </c>
      <c r="E7436" s="76" t="s">
        <v>32</v>
      </c>
      <c r="F7436" s="76">
        <v>3</v>
      </c>
    </row>
    <row r="7437" s="76" customFormat="1" spans="1:6">
      <c r="A7437">
        <v>7651</v>
      </c>
      <c r="B7437">
        <v>372021241</v>
      </c>
      <c r="C7437" s="76">
        <v>2021</v>
      </c>
      <c r="D7437" s="76" t="s">
        <v>33</v>
      </c>
      <c r="E7437" s="76" t="s">
        <v>32</v>
      </c>
      <c r="F7437" s="76">
        <v>0.6</v>
      </c>
    </row>
    <row r="7438" s="76" customFormat="1" spans="1:6">
      <c r="A7438">
        <v>7641</v>
      </c>
      <c r="B7438">
        <v>372021241</v>
      </c>
      <c r="C7438" s="76">
        <v>2021</v>
      </c>
      <c r="D7438" s="76" t="s">
        <v>33</v>
      </c>
      <c r="E7438" s="76" t="s">
        <v>32</v>
      </c>
      <c r="F7438" s="76">
        <v>1.2</v>
      </c>
    </row>
    <row r="7439" s="76" customFormat="1" spans="1:6">
      <c r="A7439">
        <v>7656</v>
      </c>
      <c r="B7439">
        <v>372021241</v>
      </c>
      <c r="C7439" s="76">
        <v>2021</v>
      </c>
      <c r="D7439" s="76" t="s">
        <v>33</v>
      </c>
      <c r="E7439" s="76" t="s">
        <v>32</v>
      </c>
      <c r="F7439" s="76">
        <v>2.5</v>
      </c>
    </row>
    <row r="7440" s="76" customFormat="1" spans="1:6">
      <c r="A7440">
        <v>7657</v>
      </c>
      <c r="B7440">
        <v>372021241</v>
      </c>
      <c r="C7440" s="76">
        <v>2021</v>
      </c>
      <c r="D7440" s="76" t="s">
        <v>33</v>
      </c>
      <c r="E7440" s="76" t="s">
        <v>32</v>
      </c>
      <c r="F7440" s="76">
        <v>6</v>
      </c>
    </row>
    <row r="7441" s="76" customFormat="1" spans="1:6">
      <c r="A7441">
        <v>7654</v>
      </c>
      <c r="B7441">
        <v>372021241</v>
      </c>
      <c r="C7441" s="76">
        <v>2021</v>
      </c>
      <c r="D7441" s="76" t="s">
        <v>33</v>
      </c>
      <c r="E7441" s="76" t="s">
        <v>32</v>
      </c>
      <c r="F7441" s="76">
        <v>3.3</v>
      </c>
    </row>
    <row r="7442" s="76" customFormat="1" spans="1:6">
      <c r="A7442">
        <v>7672</v>
      </c>
      <c r="B7442">
        <v>372021242</v>
      </c>
      <c r="C7442" s="76">
        <v>2021</v>
      </c>
      <c r="D7442" s="76" t="s">
        <v>35</v>
      </c>
      <c r="E7442" s="76" t="s">
        <v>32</v>
      </c>
      <c r="F7442" s="76">
        <v>1.5</v>
      </c>
    </row>
    <row r="7443" s="76" customFormat="1" spans="1:6">
      <c r="A7443">
        <v>7664</v>
      </c>
      <c r="B7443">
        <v>372021242</v>
      </c>
      <c r="C7443" s="76">
        <v>2021</v>
      </c>
      <c r="D7443" s="76" t="s">
        <v>35</v>
      </c>
      <c r="E7443" s="76" t="s">
        <v>32</v>
      </c>
      <c r="F7443" s="76">
        <v>1.2</v>
      </c>
    </row>
    <row r="7444" s="76" customFormat="1" spans="1:6">
      <c r="A7444">
        <v>7665</v>
      </c>
      <c r="B7444">
        <v>372021242</v>
      </c>
      <c r="C7444" s="76">
        <v>2021</v>
      </c>
      <c r="D7444" s="76" t="s">
        <v>35</v>
      </c>
      <c r="E7444" s="76" t="s">
        <v>32</v>
      </c>
      <c r="F7444" s="76">
        <v>1.8</v>
      </c>
    </row>
    <row r="7445" s="76" customFormat="1" spans="1:6">
      <c r="A7445">
        <v>7676</v>
      </c>
      <c r="B7445">
        <v>372021242</v>
      </c>
      <c r="C7445" s="76">
        <v>2021</v>
      </c>
      <c r="D7445" s="76" t="s">
        <v>35</v>
      </c>
      <c r="E7445" s="76" t="s">
        <v>32</v>
      </c>
      <c r="F7445" s="76">
        <v>5</v>
      </c>
    </row>
    <row r="7446" s="76" customFormat="1" spans="1:6">
      <c r="A7446">
        <v>7666</v>
      </c>
      <c r="B7446">
        <v>372021242</v>
      </c>
      <c r="C7446" s="76">
        <v>2021</v>
      </c>
      <c r="D7446" s="76" t="s">
        <v>35</v>
      </c>
      <c r="E7446" s="76" t="s">
        <v>32</v>
      </c>
      <c r="F7446" s="76">
        <v>0.3</v>
      </c>
    </row>
    <row r="7447" s="76" customFormat="1" spans="1:6">
      <c r="A7447">
        <v>7682</v>
      </c>
      <c r="B7447">
        <v>372021242</v>
      </c>
      <c r="C7447" s="76">
        <v>2021</v>
      </c>
      <c r="D7447" s="76" t="s">
        <v>35</v>
      </c>
      <c r="E7447" s="76" t="s">
        <v>32</v>
      </c>
      <c r="F7447" s="76">
        <v>1.8</v>
      </c>
    </row>
    <row r="7448" s="76" customFormat="1" spans="1:6">
      <c r="A7448">
        <v>7681</v>
      </c>
      <c r="B7448">
        <v>372021242</v>
      </c>
      <c r="C7448" s="76">
        <v>2021</v>
      </c>
      <c r="D7448" s="76" t="s">
        <v>35</v>
      </c>
      <c r="E7448" s="76" t="s">
        <v>32</v>
      </c>
      <c r="F7448" s="76">
        <v>3.2</v>
      </c>
    </row>
    <row r="7449" s="76" customFormat="1" spans="1:6">
      <c r="A7449">
        <v>7670</v>
      </c>
      <c r="B7449">
        <v>372021242</v>
      </c>
      <c r="C7449" s="76">
        <v>2021</v>
      </c>
      <c r="D7449" s="76" t="s">
        <v>35</v>
      </c>
      <c r="E7449" s="76" t="s">
        <v>32</v>
      </c>
      <c r="F7449" s="76">
        <v>1.2</v>
      </c>
    </row>
    <row r="7450" s="76" customFormat="1" spans="1:6">
      <c r="A7450">
        <v>7669</v>
      </c>
      <c r="B7450">
        <v>372021242</v>
      </c>
      <c r="C7450" s="76">
        <v>2021</v>
      </c>
      <c r="D7450" s="76" t="s">
        <v>35</v>
      </c>
      <c r="E7450" s="76" t="s">
        <v>32</v>
      </c>
      <c r="F7450" s="76">
        <v>1.2</v>
      </c>
    </row>
    <row r="7451" s="76" customFormat="1" spans="1:6">
      <c r="A7451">
        <v>7671</v>
      </c>
      <c r="B7451">
        <v>372021242</v>
      </c>
      <c r="C7451" s="76">
        <v>2021</v>
      </c>
      <c r="D7451" s="76" t="s">
        <v>35</v>
      </c>
      <c r="E7451" s="76" t="s">
        <v>32</v>
      </c>
      <c r="F7451" s="76">
        <v>1.2</v>
      </c>
    </row>
    <row r="7452" s="76" customFormat="1" spans="1:6">
      <c r="A7452">
        <v>7662</v>
      </c>
      <c r="B7452">
        <v>372021242</v>
      </c>
      <c r="C7452" s="76">
        <v>2021</v>
      </c>
      <c r="D7452" s="76" t="s">
        <v>35</v>
      </c>
      <c r="E7452" s="76" t="s">
        <v>32</v>
      </c>
      <c r="F7452" s="76">
        <v>2.5</v>
      </c>
    </row>
    <row r="7453" s="76" customFormat="1" spans="1:6">
      <c r="A7453">
        <v>7678</v>
      </c>
      <c r="B7453">
        <v>372021242</v>
      </c>
      <c r="C7453" s="76">
        <v>2021</v>
      </c>
      <c r="D7453" s="76" t="s">
        <v>35</v>
      </c>
      <c r="E7453" s="76" t="s">
        <v>32</v>
      </c>
      <c r="F7453" s="76">
        <v>2.4</v>
      </c>
    </row>
    <row r="7454" s="76" customFormat="1" spans="1:6">
      <c r="A7454">
        <v>7668</v>
      </c>
      <c r="B7454">
        <v>372021242</v>
      </c>
      <c r="C7454" s="76">
        <v>2021</v>
      </c>
      <c r="D7454" s="76" t="s">
        <v>35</v>
      </c>
      <c r="E7454" s="76" t="s">
        <v>32</v>
      </c>
      <c r="F7454" s="76">
        <v>1.5</v>
      </c>
    </row>
    <row r="7455" s="76" customFormat="1" spans="1:6">
      <c r="A7455">
        <v>7673</v>
      </c>
      <c r="B7455">
        <v>372021242</v>
      </c>
      <c r="C7455" s="76">
        <v>2021</v>
      </c>
      <c r="D7455" s="76" t="s">
        <v>35</v>
      </c>
      <c r="E7455" s="76" t="s">
        <v>32</v>
      </c>
      <c r="F7455" s="76">
        <v>0.9</v>
      </c>
    </row>
    <row r="7456" s="76" customFormat="1" spans="1:6">
      <c r="A7456">
        <v>7679</v>
      </c>
      <c r="B7456">
        <v>372021242</v>
      </c>
      <c r="C7456" s="76">
        <v>2021</v>
      </c>
      <c r="D7456" s="76" t="s">
        <v>35</v>
      </c>
      <c r="E7456" s="76" t="s">
        <v>32</v>
      </c>
      <c r="F7456" s="76">
        <v>1.2</v>
      </c>
    </row>
    <row r="7457" s="76" customFormat="1" spans="1:6">
      <c r="A7457">
        <v>7663</v>
      </c>
      <c r="B7457">
        <v>372021242</v>
      </c>
      <c r="C7457" s="76">
        <v>2021</v>
      </c>
      <c r="D7457" s="76" t="s">
        <v>35</v>
      </c>
      <c r="E7457" s="76" t="s">
        <v>32</v>
      </c>
      <c r="F7457" s="76">
        <v>3.6</v>
      </c>
    </row>
    <row r="7458" s="76" customFormat="1" spans="1:6">
      <c r="A7458">
        <v>7675</v>
      </c>
      <c r="B7458">
        <v>372021242</v>
      </c>
      <c r="C7458" s="76">
        <v>2021</v>
      </c>
      <c r="D7458" s="76" t="s">
        <v>35</v>
      </c>
      <c r="E7458" s="76" t="s">
        <v>32</v>
      </c>
      <c r="F7458" s="76">
        <v>2.5</v>
      </c>
    </row>
    <row r="7459" s="76" customFormat="1" spans="1:6">
      <c r="A7459">
        <v>7674</v>
      </c>
      <c r="B7459">
        <v>372021242</v>
      </c>
      <c r="C7459" s="76">
        <v>2021</v>
      </c>
      <c r="D7459" s="76" t="s">
        <v>35</v>
      </c>
      <c r="E7459" s="76" t="s">
        <v>32</v>
      </c>
      <c r="F7459" s="76">
        <v>5</v>
      </c>
    </row>
    <row r="7460" s="76" customFormat="1" spans="1:6">
      <c r="A7460">
        <v>7680</v>
      </c>
      <c r="B7460">
        <v>372021242</v>
      </c>
      <c r="C7460" s="76">
        <v>2021</v>
      </c>
      <c r="D7460" s="76" t="s">
        <v>35</v>
      </c>
      <c r="E7460" s="76" t="s">
        <v>32</v>
      </c>
      <c r="F7460" s="76">
        <v>1.2</v>
      </c>
    </row>
    <row r="7461" s="76" customFormat="1" spans="1:6">
      <c r="A7461">
        <v>7667</v>
      </c>
      <c r="B7461">
        <v>372021242</v>
      </c>
      <c r="C7461" s="76">
        <v>2021</v>
      </c>
      <c r="D7461" s="76" t="s">
        <v>35</v>
      </c>
      <c r="E7461" s="76" t="s">
        <v>32</v>
      </c>
      <c r="F7461" s="76">
        <v>1.5</v>
      </c>
    </row>
    <row r="7462" s="76" customFormat="1" spans="1:6">
      <c r="A7462">
        <v>7677</v>
      </c>
      <c r="B7462">
        <v>372021242</v>
      </c>
      <c r="C7462" s="76">
        <v>2021</v>
      </c>
      <c r="D7462" s="76" t="s">
        <v>35</v>
      </c>
      <c r="E7462" s="76" t="s">
        <v>32</v>
      </c>
      <c r="F7462" s="76">
        <v>1.2</v>
      </c>
    </row>
    <row r="7463" s="76" customFormat="1" spans="1:6">
      <c r="A7463">
        <v>7687</v>
      </c>
      <c r="B7463">
        <v>372021243</v>
      </c>
      <c r="C7463" s="76">
        <v>2021</v>
      </c>
      <c r="D7463" s="76" t="s">
        <v>38</v>
      </c>
      <c r="E7463" s="76" t="s">
        <v>32</v>
      </c>
      <c r="F7463" s="76">
        <v>3</v>
      </c>
    </row>
    <row r="7464" s="76" customFormat="1" spans="1:6">
      <c r="A7464">
        <v>7689</v>
      </c>
      <c r="B7464">
        <v>372021243</v>
      </c>
      <c r="C7464" s="76">
        <v>2021</v>
      </c>
      <c r="D7464" s="76" t="s">
        <v>38</v>
      </c>
      <c r="E7464" s="76" t="s">
        <v>32</v>
      </c>
      <c r="F7464" s="76">
        <v>3</v>
      </c>
    </row>
    <row r="7465" s="76" customFormat="1" spans="1:6">
      <c r="A7465">
        <v>7685</v>
      </c>
      <c r="B7465">
        <v>372021243</v>
      </c>
      <c r="C7465" s="76">
        <v>2021</v>
      </c>
      <c r="D7465" s="76" t="s">
        <v>38</v>
      </c>
      <c r="E7465" s="76" t="s">
        <v>32</v>
      </c>
      <c r="F7465" s="76">
        <v>3</v>
      </c>
    </row>
    <row r="7466" s="76" customFormat="1" spans="1:6">
      <c r="A7466">
        <v>7688</v>
      </c>
      <c r="B7466">
        <v>372021243</v>
      </c>
      <c r="C7466" s="76">
        <v>2021</v>
      </c>
      <c r="D7466" s="76" t="s">
        <v>38</v>
      </c>
      <c r="E7466" s="76" t="s">
        <v>32</v>
      </c>
      <c r="F7466" s="76">
        <v>1.2</v>
      </c>
    </row>
    <row r="7467" s="76" customFormat="1" spans="1:6">
      <c r="A7467">
        <v>7683</v>
      </c>
      <c r="B7467">
        <v>372021243</v>
      </c>
      <c r="C7467" s="76">
        <v>2021</v>
      </c>
      <c r="D7467" s="76" t="s">
        <v>38</v>
      </c>
      <c r="E7467" s="76">
        <v>1</v>
      </c>
      <c r="F7467" s="76">
        <v>3</v>
      </c>
    </row>
    <row r="7468" s="76" customFormat="1" spans="1:6">
      <c r="A7468">
        <v>7684</v>
      </c>
      <c r="B7468">
        <v>372021243</v>
      </c>
      <c r="C7468" s="76">
        <v>2021</v>
      </c>
      <c r="D7468" s="76" t="s">
        <v>38</v>
      </c>
      <c r="E7468" s="76" t="s">
        <v>32</v>
      </c>
      <c r="F7468" s="76">
        <v>3</v>
      </c>
    </row>
    <row r="7469" s="76" customFormat="1" spans="1:6">
      <c r="A7469">
        <v>7686</v>
      </c>
      <c r="B7469">
        <v>372021243</v>
      </c>
      <c r="C7469" s="76">
        <v>2021</v>
      </c>
      <c r="D7469" s="76" t="s">
        <v>38</v>
      </c>
      <c r="E7469" s="76" t="s">
        <v>32</v>
      </c>
      <c r="F7469" s="76">
        <v>3</v>
      </c>
    </row>
    <row r="7470" s="76" customFormat="1" spans="1:6">
      <c r="A7470">
        <v>7698</v>
      </c>
      <c r="B7470">
        <v>372021260</v>
      </c>
      <c r="C7470" s="76">
        <v>2021</v>
      </c>
      <c r="D7470" s="76" t="s">
        <v>34</v>
      </c>
      <c r="E7470" s="76" t="s">
        <v>32</v>
      </c>
      <c r="F7470" s="76">
        <v>10</v>
      </c>
    </row>
    <row r="7471" s="76" customFormat="1" spans="1:6">
      <c r="A7471">
        <v>7702</v>
      </c>
      <c r="B7471">
        <v>372021260</v>
      </c>
      <c r="C7471" s="76">
        <v>2021</v>
      </c>
      <c r="D7471" s="76" t="s">
        <v>34</v>
      </c>
      <c r="E7471" s="76" t="s">
        <v>32</v>
      </c>
      <c r="F7471" s="76">
        <v>5</v>
      </c>
    </row>
    <row r="7472" s="76" customFormat="1" spans="1:6">
      <c r="A7472">
        <v>7706</v>
      </c>
      <c r="B7472">
        <v>372021260</v>
      </c>
      <c r="C7472" s="76">
        <v>2021</v>
      </c>
      <c r="D7472" s="76" t="s">
        <v>34</v>
      </c>
      <c r="E7472" s="76" t="s">
        <v>32</v>
      </c>
      <c r="F7472" s="76">
        <v>2.5</v>
      </c>
    </row>
    <row r="7473" s="76" customFormat="1" spans="1:6">
      <c r="A7473">
        <v>7695</v>
      </c>
      <c r="B7473">
        <v>372021260</v>
      </c>
      <c r="C7473" s="76">
        <v>2021</v>
      </c>
      <c r="D7473" s="76" t="s">
        <v>34</v>
      </c>
      <c r="E7473" s="76">
        <v>5</v>
      </c>
      <c r="F7473" s="76">
        <v>1.25</v>
      </c>
    </row>
    <row r="7474" s="76" customFormat="1" spans="1:6">
      <c r="A7474">
        <v>7704</v>
      </c>
      <c r="B7474">
        <v>372021260</v>
      </c>
      <c r="C7474" s="76">
        <v>2021</v>
      </c>
      <c r="D7474" s="76" t="s">
        <v>34</v>
      </c>
      <c r="E7474" s="76" t="s">
        <v>32</v>
      </c>
      <c r="F7474" s="76">
        <v>14.7</v>
      </c>
    </row>
    <row r="7475" s="76" customFormat="1" spans="1:6">
      <c r="A7475">
        <v>7690</v>
      </c>
      <c r="B7475">
        <v>372021260</v>
      </c>
      <c r="C7475" s="76">
        <v>2021</v>
      </c>
      <c r="D7475" s="76" t="s">
        <v>34</v>
      </c>
      <c r="E7475" s="76">
        <v>2</v>
      </c>
      <c r="F7475" s="76">
        <v>0.66</v>
      </c>
    </row>
    <row r="7476" s="76" customFormat="1" spans="1:6">
      <c r="A7476">
        <v>7697</v>
      </c>
      <c r="B7476">
        <v>372021260</v>
      </c>
      <c r="C7476" s="76">
        <v>2021</v>
      </c>
      <c r="D7476" s="76" t="s">
        <v>34</v>
      </c>
      <c r="E7476" s="76" t="s">
        <v>32</v>
      </c>
      <c r="F7476" s="76">
        <v>5.92</v>
      </c>
    </row>
    <row r="7477" s="76" customFormat="1" spans="1:6">
      <c r="A7477">
        <v>7696</v>
      </c>
      <c r="B7477">
        <v>372021260</v>
      </c>
      <c r="C7477" s="76">
        <v>2021</v>
      </c>
      <c r="D7477" s="76" t="s">
        <v>34</v>
      </c>
      <c r="E7477" s="76" t="s">
        <v>32</v>
      </c>
      <c r="F7477" s="76">
        <v>2.88</v>
      </c>
    </row>
    <row r="7478" s="76" customFormat="1" spans="1:6">
      <c r="A7478">
        <v>7703</v>
      </c>
      <c r="B7478">
        <v>372021260</v>
      </c>
      <c r="C7478" s="76">
        <v>2021</v>
      </c>
      <c r="D7478" s="76" t="s">
        <v>34</v>
      </c>
      <c r="E7478" s="76" t="s">
        <v>32</v>
      </c>
      <c r="F7478" s="76">
        <v>5</v>
      </c>
    </row>
    <row r="7479" s="76" customFormat="1" spans="1:6">
      <c r="A7479">
        <v>7699</v>
      </c>
      <c r="B7479">
        <v>372021260</v>
      </c>
      <c r="C7479" s="76">
        <v>2021</v>
      </c>
      <c r="D7479" s="76" t="s">
        <v>34</v>
      </c>
      <c r="E7479" s="76" t="s">
        <v>32</v>
      </c>
      <c r="F7479" s="76">
        <v>5</v>
      </c>
    </row>
    <row r="7480" s="76" customFormat="1" spans="1:6">
      <c r="A7480">
        <v>7708</v>
      </c>
      <c r="B7480">
        <v>372021260</v>
      </c>
      <c r="C7480" s="76">
        <v>2021</v>
      </c>
      <c r="D7480" s="76" t="s">
        <v>34</v>
      </c>
      <c r="E7480" s="76" t="s">
        <v>32</v>
      </c>
      <c r="F7480" s="76">
        <v>30.16</v>
      </c>
    </row>
    <row r="7481" s="76" customFormat="1" spans="1:6">
      <c r="A7481">
        <v>7693</v>
      </c>
      <c r="B7481">
        <v>372021260</v>
      </c>
      <c r="C7481" s="76">
        <v>2021</v>
      </c>
      <c r="D7481" s="76" t="s">
        <v>34</v>
      </c>
      <c r="E7481" s="76" t="s">
        <v>32</v>
      </c>
      <c r="F7481" s="76">
        <v>4.98</v>
      </c>
    </row>
    <row r="7482" s="76" customFormat="1" spans="1:6">
      <c r="A7482">
        <v>7692</v>
      </c>
      <c r="B7482">
        <v>372021260</v>
      </c>
      <c r="C7482" s="76">
        <v>2021</v>
      </c>
      <c r="D7482" s="76" t="s">
        <v>34</v>
      </c>
      <c r="E7482" s="76" t="s">
        <v>32</v>
      </c>
      <c r="F7482" s="76">
        <v>9.84</v>
      </c>
    </row>
    <row r="7483" s="76" customFormat="1" spans="1:6">
      <c r="A7483">
        <v>7691</v>
      </c>
      <c r="B7483">
        <v>372021260</v>
      </c>
      <c r="C7483" s="76">
        <v>2021</v>
      </c>
      <c r="D7483" s="76" t="s">
        <v>34</v>
      </c>
      <c r="E7483" s="76">
        <v>8</v>
      </c>
      <c r="F7483" s="76">
        <v>2.84</v>
      </c>
    </row>
    <row r="7484" s="76" customFormat="1" spans="1:6">
      <c r="A7484">
        <v>7700</v>
      </c>
      <c r="B7484">
        <v>372021260</v>
      </c>
      <c r="C7484" s="76">
        <v>2021</v>
      </c>
      <c r="D7484" s="76" t="s">
        <v>34</v>
      </c>
      <c r="E7484" s="76" t="s">
        <v>32</v>
      </c>
      <c r="F7484" s="76">
        <v>2.16</v>
      </c>
    </row>
    <row r="7485" s="76" customFormat="1" spans="1:6">
      <c r="A7485">
        <v>7701</v>
      </c>
      <c r="B7485">
        <v>372021260</v>
      </c>
      <c r="C7485" s="76">
        <v>2021</v>
      </c>
      <c r="D7485" s="76" t="s">
        <v>34</v>
      </c>
      <c r="E7485" s="76" t="s">
        <v>32</v>
      </c>
      <c r="F7485" s="76">
        <v>3.24</v>
      </c>
    </row>
    <row r="7486" s="76" customFormat="1" spans="1:6">
      <c r="A7486">
        <v>7694</v>
      </c>
      <c r="B7486">
        <v>372021260</v>
      </c>
      <c r="C7486" s="76">
        <v>2021</v>
      </c>
      <c r="D7486" s="76" t="s">
        <v>34</v>
      </c>
      <c r="E7486" s="76">
        <v>20</v>
      </c>
      <c r="F7486" s="76">
        <v>5</v>
      </c>
    </row>
    <row r="7487" s="76" customFormat="1" spans="1:6">
      <c r="A7487">
        <v>7705</v>
      </c>
      <c r="B7487">
        <v>372021260</v>
      </c>
      <c r="C7487" s="76">
        <v>2021</v>
      </c>
      <c r="D7487" s="76" t="s">
        <v>34</v>
      </c>
      <c r="E7487" s="76" t="s">
        <v>32</v>
      </c>
      <c r="F7487" s="76">
        <v>4.75</v>
      </c>
    </row>
    <row r="7488" s="76" customFormat="1" spans="1:6">
      <c r="A7488">
        <v>7707</v>
      </c>
      <c r="B7488">
        <v>372021260</v>
      </c>
      <c r="C7488" s="76">
        <v>2021</v>
      </c>
      <c r="D7488" s="76" t="s">
        <v>34</v>
      </c>
      <c r="E7488" s="76">
        <v>58</v>
      </c>
      <c r="F7488" s="76">
        <v>30.16</v>
      </c>
    </row>
    <row r="7489" s="76" customFormat="1" spans="1:6">
      <c r="A7489">
        <v>7725</v>
      </c>
      <c r="B7489">
        <v>372021270</v>
      </c>
      <c r="C7489" s="76">
        <v>2021</v>
      </c>
      <c r="D7489" s="76" t="s">
        <v>31</v>
      </c>
      <c r="E7489" s="76" t="s">
        <v>32</v>
      </c>
      <c r="F7489" s="76">
        <v>6.93</v>
      </c>
    </row>
    <row r="7490" s="76" customFormat="1" spans="1:6">
      <c r="A7490">
        <v>7727</v>
      </c>
      <c r="B7490">
        <v>372021270</v>
      </c>
      <c r="C7490" s="76">
        <v>2021</v>
      </c>
      <c r="D7490" s="76" t="s">
        <v>31</v>
      </c>
      <c r="E7490" s="76" t="s">
        <v>32</v>
      </c>
      <c r="F7490" s="76">
        <v>10</v>
      </c>
    </row>
    <row r="7491" s="76" customFormat="1" spans="1:6">
      <c r="A7491">
        <v>7747</v>
      </c>
      <c r="B7491">
        <v>372021270</v>
      </c>
      <c r="C7491" s="76">
        <v>2021</v>
      </c>
      <c r="D7491" s="76" t="s">
        <v>31</v>
      </c>
      <c r="E7491" s="76" t="s">
        <v>32</v>
      </c>
      <c r="F7491" s="76">
        <v>3</v>
      </c>
    </row>
    <row r="7492" s="76" customFormat="1" spans="1:6">
      <c r="A7492">
        <v>7741</v>
      </c>
      <c r="B7492">
        <v>372021270</v>
      </c>
      <c r="C7492" s="76">
        <v>2021</v>
      </c>
      <c r="D7492" s="76" t="s">
        <v>31</v>
      </c>
      <c r="E7492" s="76" t="s">
        <v>32</v>
      </c>
      <c r="F7492" s="76">
        <v>22.3</v>
      </c>
    </row>
    <row r="7493" s="76" customFormat="1" spans="1:6">
      <c r="A7493">
        <v>7712</v>
      </c>
      <c r="B7493">
        <v>372021270</v>
      </c>
      <c r="C7493" s="76">
        <v>2021</v>
      </c>
      <c r="D7493" s="76" t="s">
        <v>31</v>
      </c>
      <c r="E7493" s="76" t="s">
        <v>32</v>
      </c>
      <c r="F7493" s="76">
        <v>20</v>
      </c>
    </row>
    <row r="7494" s="76" customFormat="1" spans="1:6">
      <c r="A7494">
        <v>7745</v>
      </c>
      <c r="B7494">
        <v>372021270</v>
      </c>
      <c r="C7494" s="76">
        <v>2021</v>
      </c>
      <c r="D7494" s="76" t="s">
        <v>31</v>
      </c>
      <c r="E7494" s="76" t="s">
        <v>32</v>
      </c>
      <c r="F7494" s="76">
        <v>15</v>
      </c>
    </row>
    <row r="7495" s="76" customFormat="1" spans="1:6">
      <c r="A7495">
        <v>7746</v>
      </c>
      <c r="B7495">
        <v>372021270</v>
      </c>
      <c r="C7495" s="76">
        <v>2021</v>
      </c>
      <c r="D7495" s="76" t="s">
        <v>31</v>
      </c>
      <c r="E7495" s="76" t="s">
        <v>32</v>
      </c>
      <c r="F7495" s="76">
        <v>5</v>
      </c>
    </row>
    <row r="7496" s="76" customFormat="1" spans="1:6">
      <c r="A7496">
        <v>7722</v>
      </c>
      <c r="B7496">
        <v>372021270</v>
      </c>
      <c r="C7496" s="76">
        <v>2021</v>
      </c>
      <c r="D7496" s="76" t="s">
        <v>31</v>
      </c>
      <c r="E7496" s="76" t="s">
        <v>32</v>
      </c>
      <c r="F7496" s="76">
        <v>4.9</v>
      </c>
    </row>
    <row r="7497" s="76" customFormat="1" spans="1:6">
      <c r="A7497">
        <v>7721</v>
      </c>
      <c r="B7497">
        <v>372021270</v>
      </c>
      <c r="C7497" s="76">
        <v>2021</v>
      </c>
      <c r="D7497" s="76" t="s">
        <v>31</v>
      </c>
      <c r="E7497" s="76" t="s">
        <v>32</v>
      </c>
      <c r="F7497" s="76">
        <v>20</v>
      </c>
    </row>
    <row r="7498" s="76" customFormat="1" spans="1:6">
      <c r="A7498">
        <v>7734</v>
      </c>
      <c r="B7498">
        <v>372021270</v>
      </c>
      <c r="C7498" s="76">
        <v>2021</v>
      </c>
      <c r="D7498" s="76" t="s">
        <v>31</v>
      </c>
      <c r="E7498" s="76" t="s">
        <v>32</v>
      </c>
      <c r="F7498" s="76">
        <v>2.56</v>
      </c>
    </row>
    <row r="7499" s="76" customFormat="1" spans="1:6">
      <c r="A7499">
        <v>7736</v>
      </c>
      <c r="B7499">
        <v>372021270</v>
      </c>
      <c r="C7499" s="76">
        <v>2021</v>
      </c>
      <c r="D7499" s="76" t="s">
        <v>31</v>
      </c>
      <c r="E7499" s="76" t="s">
        <v>32</v>
      </c>
      <c r="F7499" s="76">
        <v>2.56</v>
      </c>
    </row>
    <row r="7500" s="76" customFormat="1" spans="1:6">
      <c r="A7500">
        <v>7750</v>
      </c>
      <c r="B7500">
        <v>372021270</v>
      </c>
      <c r="C7500" s="76">
        <v>2021</v>
      </c>
      <c r="D7500" s="76" t="s">
        <v>31</v>
      </c>
      <c r="E7500" s="76" t="s">
        <v>32</v>
      </c>
      <c r="F7500" s="76">
        <v>3</v>
      </c>
    </row>
    <row r="7501" s="76" customFormat="1" spans="1:6">
      <c r="A7501">
        <v>7709</v>
      </c>
      <c r="B7501">
        <v>372021270</v>
      </c>
      <c r="C7501" s="76">
        <v>2021</v>
      </c>
      <c r="D7501" s="76" t="s">
        <v>31</v>
      </c>
      <c r="E7501" s="76" t="s">
        <v>32</v>
      </c>
      <c r="F7501" s="76">
        <v>3.5</v>
      </c>
    </row>
    <row r="7502" s="76" customFormat="1" spans="1:6">
      <c r="A7502">
        <v>7717</v>
      </c>
      <c r="B7502">
        <v>372021270</v>
      </c>
      <c r="C7502" s="76">
        <v>2021</v>
      </c>
      <c r="D7502" s="76" t="s">
        <v>31</v>
      </c>
      <c r="E7502" s="76" t="s">
        <v>32</v>
      </c>
      <c r="F7502" s="76">
        <v>6.5</v>
      </c>
    </row>
    <row r="7503" s="76" customFormat="1" spans="1:6">
      <c r="A7503">
        <v>7735</v>
      </c>
      <c r="B7503">
        <v>372021270</v>
      </c>
      <c r="C7503" s="76">
        <v>2021</v>
      </c>
      <c r="D7503" s="76" t="s">
        <v>31</v>
      </c>
      <c r="E7503" s="76" t="s">
        <v>32</v>
      </c>
      <c r="F7503" s="76">
        <v>0.28</v>
      </c>
    </row>
    <row r="7504" s="76" customFormat="1" spans="1:6">
      <c r="A7504">
        <v>7738</v>
      </c>
      <c r="B7504">
        <v>372021270</v>
      </c>
      <c r="C7504" s="76">
        <v>2021</v>
      </c>
      <c r="D7504" s="76" t="s">
        <v>31</v>
      </c>
      <c r="E7504" s="76" t="s">
        <v>32</v>
      </c>
      <c r="F7504" s="76">
        <v>0.57</v>
      </c>
    </row>
    <row r="7505" s="76" customFormat="1" spans="1:6">
      <c r="A7505">
        <v>7732</v>
      </c>
      <c r="B7505">
        <v>372021270</v>
      </c>
      <c r="C7505" s="76">
        <v>2021</v>
      </c>
      <c r="D7505" s="76" t="s">
        <v>31</v>
      </c>
      <c r="E7505" s="76" t="s">
        <v>32</v>
      </c>
      <c r="F7505" s="76">
        <v>1.7</v>
      </c>
    </row>
    <row r="7506" s="76" customFormat="1" spans="1:6">
      <c r="A7506">
        <v>7729</v>
      </c>
      <c r="B7506">
        <v>372021270</v>
      </c>
      <c r="C7506" s="76">
        <v>2021</v>
      </c>
      <c r="D7506" s="76" t="s">
        <v>31</v>
      </c>
      <c r="E7506" s="76" t="s">
        <v>32</v>
      </c>
      <c r="F7506" s="76">
        <v>7.5</v>
      </c>
    </row>
    <row r="7507" s="76" customFormat="1" spans="1:6">
      <c r="A7507">
        <v>7748</v>
      </c>
      <c r="B7507">
        <v>372021270</v>
      </c>
      <c r="C7507" s="76">
        <v>2021</v>
      </c>
      <c r="D7507" s="76" t="s">
        <v>31</v>
      </c>
      <c r="E7507" s="76" t="s">
        <v>32</v>
      </c>
      <c r="F7507" s="76">
        <v>10</v>
      </c>
    </row>
    <row r="7508" s="76" customFormat="1" spans="1:6">
      <c r="A7508">
        <v>7724</v>
      </c>
      <c r="B7508">
        <v>372021270</v>
      </c>
      <c r="C7508" s="76">
        <v>2021</v>
      </c>
      <c r="D7508" s="76" t="s">
        <v>31</v>
      </c>
      <c r="E7508" s="76" t="s">
        <v>32</v>
      </c>
      <c r="F7508" s="76">
        <v>4</v>
      </c>
    </row>
    <row r="7509" s="76" customFormat="1" spans="1:6">
      <c r="A7509">
        <v>7749</v>
      </c>
      <c r="B7509">
        <v>372021270</v>
      </c>
      <c r="C7509" s="76">
        <v>2021</v>
      </c>
      <c r="D7509" s="76" t="s">
        <v>31</v>
      </c>
      <c r="E7509" s="76" t="s">
        <v>32</v>
      </c>
      <c r="F7509" s="76">
        <v>12.5</v>
      </c>
    </row>
    <row r="7510" s="76" customFormat="1" spans="1:6">
      <c r="A7510">
        <v>7715</v>
      </c>
      <c r="B7510">
        <v>372021270</v>
      </c>
      <c r="C7510" s="76">
        <v>2021</v>
      </c>
      <c r="D7510" s="76" t="s">
        <v>31</v>
      </c>
      <c r="E7510" s="76">
        <v>13</v>
      </c>
      <c r="F7510" s="76">
        <v>0.16</v>
      </c>
    </row>
    <row r="7511" s="76" customFormat="1" spans="1:6">
      <c r="A7511">
        <v>7713</v>
      </c>
      <c r="B7511">
        <v>372021270</v>
      </c>
      <c r="C7511" s="76">
        <v>2021</v>
      </c>
      <c r="D7511" s="76" t="s">
        <v>31</v>
      </c>
      <c r="E7511" s="76" t="s">
        <v>32</v>
      </c>
      <c r="F7511" s="76">
        <v>5</v>
      </c>
    </row>
    <row r="7512" s="76" customFormat="1" spans="1:6">
      <c r="A7512">
        <v>7718</v>
      </c>
      <c r="B7512">
        <v>372021270</v>
      </c>
      <c r="C7512" s="76">
        <v>2021</v>
      </c>
      <c r="D7512" s="76" t="s">
        <v>31</v>
      </c>
      <c r="E7512" s="76" t="s">
        <v>32</v>
      </c>
      <c r="F7512" s="76">
        <v>0.25</v>
      </c>
    </row>
    <row r="7513" s="76" customFormat="1" spans="1:6">
      <c r="A7513">
        <v>7743</v>
      </c>
      <c r="B7513">
        <v>372021270</v>
      </c>
      <c r="C7513" s="76">
        <v>2021</v>
      </c>
      <c r="D7513" s="76" t="s">
        <v>31</v>
      </c>
      <c r="E7513" s="76" t="s">
        <v>32</v>
      </c>
      <c r="F7513" s="76">
        <v>0.01</v>
      </c>
    </row>
    <row r="7514" s="76" customFormat="1" spans="1:6">
      <c r="A7514">
        <v>7711</v>
      </c>
      <c r="B7514">
        <v>372021270</v>
      </c>
      <c r="C7514" s="76">
        <v>2021</v>
      </c>
      <c r="D7514" s="76" t="s">
        <v>31</v>
      </c>
      <c r="E7514" s="76" t="s">
        <v>32</v>
      </c>
      <c r="F7514" s="76">
        <v>6.5</v>
      </c>
    </row>
    <row r="7515" s="76" customFormat="1" spans="1:6">
      <c r="A7515">
        <v>7726</v>
      </c>
      <c r="B7515">
        <v>372021270</v>
      </c>
      <c r="C7515" s="76">
        <v>2021</v>
      </c>
      <c r="D7515" s="76" t="s">
        <v>31</v>
      </c>
      <c r="E7515" s="76" t="s">
        <v>32</v>
      </c>
      <c r="F7515" s="76">
        <v>5</v>
      </c>
    </row>
    <row r="7516" s="76" customFormat="1" spans="1:6">
      <c r="A7516">
        <v>7716</v>
      </c>
      <c r="B7516">
        <v>372021270</v>
      </c>
      <c r="C7516" s="76">
        <v>2021</v>
      </c>
      <c r="D7516" s="76" t="s">
        <v>31</v>
      </c>
      <c r="E7516" s="76" t="s">
        <v>32</v>
      </c>
      <c r="F7516" s="76">
        <v>5</v>
      </c>
    </row>
    <row r="7517" s="76" customFormat="1" spans="1:6">
      <c r="A7517">
        <v>7733</v>
      </c>
      <c r="B7517">
        <v>372021270</v>
      </c>
      <c r="C7517" s="76">
        <v>2021</v>
      </c>
      <c r="D7517" s="76" t="s">
        <v>31</v>
      </c>
      <c r="E7517" s="76" t="s">
        <v>32</v>
      </c>
      <c r="F7517" s="76">
        <v>2</v>
      </c>
    </row>
    <row r="7518" s="76" customFormat="1" spans="1:6">
      <c r="A7518">
        <v>7744</v>
      </c>
      <c r="B7518">
        <v>372021270</v>
      </c>
      <c r="C7518" s="76">
        <v>2021</v>
      </c>
      <c r="D7518" s="76" t="s">
        <v>31</v>
      </c>
      <c r="E7518" s="76" t="s">
        <v>32</v>
      </c>
      <c r="F7518" s="76">
        <v>11.2</v>
      </c>
    </row>
    <row r="7519" s="76" customFormat="1" spans="1:6">
      <c r="A7519">
        <v>7728</v>
      </c>
      <c r="B7519">
        <v>372021270</v>
      </c>
      <c r="C7519" s="76">
        <v>2021</v>
      </c>
      <c r="D7519" s="76" t="s">
        <v>31</v>
      </c>
      <c r="E7519" s="76" t="s">
        <v>32</v>
      </c>
      <c r="F7519" s="76">
        <v>0.48</v>
      </c>
    </row>
    <row r="7520" s="76" customFormat="1" spans="1:6">
      <c r="A7520">
        <v>7720</v>
      </c>
      <c r="B7520">
        <v>372021270</v>
      </c>
      <c r="C7520" s="76">
        <v>2021</v>
      </c>
      <c r="D7520" s="76" t="s">
        <v>31</v>
      </c>
      <c r="E7520" s="76" t="s">
        <v>32</v>
      </c>
      <c r="F7520" s="76">
        <v>1.32</v>
      </c>
    </row>
    <row r="7521" s="76" customFormat="1" spans="1:6">
      <c r="A7521">
        <v>7737</v>
      </c>
      <c r="B7521">
        <v>372021270</v>
      </c>
      <c r="C7521" s="76">
        <v>2021</v>
      </c>
      <c r="D7521" s="76" t="s">
        <v>31</v>
      </c>
      <c r="E7521" s="76" t="s">
        <v>32</v>
      </c>
      <c r="F7521" s="76">
        <v>2.07</v>
      </c>
    </row>
    <row r="7522" s="76" customFormat="1" spans="1:6">
      <c r="A7522">
        <v>7731</v>
      </c>
      <c r="B7522">
        <v>372021270</v>
      </c>
      <c r="C7522" s="76">
        <v>2021</v>
      </c>
      <c r="D7522" s="76" t="s">
        <v>31</v>
      </c>
      <c r="E7522" s="76" t="s">
        <v>32</v>
      </c>
      <c r="F7522" s="76">
        <v>0.6</v>
      </c>
    </row>
    <row r="7523" s="76" customFormat="1" spans="1:6">
      <c r="A7523">
        <v>7751</v>
      </c>
      <c r="B7523">
        <v>372021270</v>
      </c>
      <c r="C7523" s="76">
        <v>2021</v>
      </c>
      <c r="D7523" s="76" t="s">
        <v>31</v>
      </c>
      <c r="E7523" s="76" t="s">
        <v>32</v>
      </c>
      <c r="F7523" s="76">
        <v>10</v>
      </c>
    </row>
    <row r="7524" s="76" customFormat="1" spans="1:6">
      <c r="A7524">
        <v>7739</v>
      </c>
      <c r="B7524">
        <v>372021270</v>
      </c>
      <c r="C7524" s="76">
        <v>2021</v>
      </c>
      <c r="D7524" s="76" t="s">
        <v>31</v>
      </c>
      <c r="E7524" s="76" t="s">
        <v>32</v>
      </c>
      <c r="F7524" s="76">
        <v>0.01</v>
      </c>
    </row>
    <row r="7525" s="76" customFormat="1" spans="1:6">
      <c r="A7525">
        <v>7742</v>
      </c>
      <c r="B7525">
        <v>372021270</v>
      </c>
      <c r="C7525" s="76">
        <v>2021</v>
      </c>
      <c r="D7525" s="76" t="s">
        <v>31</v>
      </c>
      <c r="E7525" s="76" t="s">
        <v>32</v>
      </c>
      <c r="F7525" s="76">
        <v>0.01</v>
      </c>
    </row>
    <row r="7526" s="76" customFormat="1" spans="1:6">
      <c r="A7526">
        <v>7740</v>
      </c>
      <c r="B7526">
        <v>372021270</v>
      </c>
      <c r="C7526" s="76">
        <v>2021</v>
      </c>
      <c r="D7526" s="76" t="s">
        <v>31</v>
      </c>
      <c r="E7526" s="76" t="s">
        <v>32</v>
      </c>
      <c r="F7526" s="76">
        <v>0.01</v>
      </c>
    </row>
    <row r="7527" s="76" customFormat="1" spans="1:6">
      <c r="A7527">
        <v>7730</v>
      </c>
      <c r="B7527">
        <v>372021270</v>
      </c>
      <c r="C7527" s="76">
        <v>2021</v>
      </c>
      <c r="D7527" s="76" t="s">
        <v>31</v>
      </c>
      <c r="E7527" s="76" t="s">
        <v>32</v>
      </c>
      <c r="F7527" s="76">
        <v>10</v>
      </c>
    </row>
    <row r="7528" s="76" customFormat="1" spans="1:6">
      <c r="A7528">
        <v>7719</v>
      </c>
      <c r="B7528">
        <v>372021270</v>
      </c>
      <c r="C7528" s="76">
        <v>2021</v>
      </c>
      <c r="D7528" s="76" t="s">
        <v>31</v>
      </c>
      <c r="E7528" s="76">
        <v>1</v>
      </c>
      <c r="F7528" s="76">
        <v>0.12</v>
      </c>
    </row>
    <row r="7529" s="76" customFormat="1" spans="1:6">
      <c r="A7529">
        <v>7723</v>
      </c>
      <c r="B7529">
        <v>372021270</v>
      </c>
      <c r="C7529" s="76">
        <v>2021</v>
      </c>
      <c r="D7529" s="76" t="s">
        <v>31</v>
      </c>
      <c r="E7529" s="76" t="s">
        <v>32</v>
      </c>
      <c r="F7529" s="76">
        <v>2.5</v>
      </c>
    </row>
    <row r="7530" s="76" customFormat="1" spans="1:6">
      <c r="A7530">
        <v>7714</v>
      </c>
      <c r="B7530">
        <v>372021270</v>
      </c>
      <c r="C7530" s="76">
        <v>2021</v>
      </c>
      <c r="D7530" s="76" t="s">
        <v>31</v>
      </c>
      <c r="E7530" s="76" t="s">
        <v>32</v>
      </c>
      <c r="F7530" s="76">
        <v>3</v>
      </c>
    </row>
    <row r="7531" s="76" customFormat="1" spans="1:6">
      <c r="A7531">
        <v>7752</v>
      </c>
      <c r="B7531">
        <v>372021283</v>
      </c>
      <c r="C7531" s="76">
        <v>2021</v>
      </c>
      <c r="D7531" s="76" t="s">
        <v>41</v>
      </c>
      <c r="E7531" s="76" t="s">
        <v>32</v>
      </c>
      <c r="F7531" s="76">
        <v>0.16</v>
      </c>
    </row>
    <row r="7532" s="76" customFormat="1" spans="1:6">
      <c r="A7532">
        <v>7755</v>
      </c>
      <c r="B7532">
        <v>372021283</v>
      </c>
      <c r="C7532" s="76">
        <v>2021</v>
      </c>
      <c r="D7532" s="76" t="s">
        <v>41</v>
      </c>
      <c r="E7532" s="76" t="s">
        <v>32</v>
      </c>
      <c r="F7532" s="76">
        <v>10</v>
      </c>
    </row>
    <row r="7533" s="76" customFormat="1" spans="1:6">
      <c r="A7533">
        <v>7753</v>
      </c>
      <c r="B7533">
        <v>372021283</v>
      </c>
      <c r="C7533" s="76">
        <v>2021</v>
      </c>
      <c r="D7533" s="76" t="s">
        <v>41</v>
      </c>
      <c r="E7533" s="76" t="s">
        <v>32</v>
      </c>
      <c r="F7533" s="76">
        <v>10</v>
      </c>
    </row>
    <row r="7534" s="76" customFormat="1" spans="1:6">
      <c r="A7534">
        <v>7754</v>
      </c>
      <c r="B7534">
        <v>372021283</v>
      </c>
      <c r="C7534" s="76">
        <v>2021</v>
      </c>
      <c r="D7534" s="76" t="s">
        <v>41</v>
      </c>
      <c r="E7534" s="76" t="s">
        <v>32</v>
      </c>
      <c r="F7534" s="76">
        <v>10.1</v>
      </c>
    </row>
    <row r="7535" s="76" customFormat="1" spans="1:6">
      <c r="A7535">
        <v>7762</v>
      </c>
      <c r="B7535">
        <v>412012211</v>
      </c>
      <c r="C7535">
        <v>2012</v>
      </c>
      <c r="D7535" t="s">
        <v>37</v>
      </c>
      <c r="E7535">
        <v>1</v>
      </c>
      <c r="F7535">
        <v>33</v>
      </c>
    </row>
    <row r="7536" s="76" customFormat="1" spans="1:6">
      <c r="A7536">
        <v>7756</v>
      </c>
      <c r="B7536">
        <v>412012211</v>
      </c>
      <c r="C7536">
        <v>2012</v>
      </c>
      <c r="D7536" t="s">
        <v>37</v>
      </c>
      <c r="E7536">
        <v>1</v>
      </c>
      <c r="F7536">
        <v>60</v>
      </c>
    </row>
    <row r="7537" s="76" customFormat="1" spans="1:6">
      <c r="A7537">
        <v>7757</v>
      </c>
      <c r="B7537">
        <v>412012211</v>
      </c>
      <c r="C7537">
        <v>2012</v>
      </c>
      <c r="D7537" t="s">
        <v>37</v>
      </c>
      <c r="E7537">
        <v>1</v>
      </c>
      <c r="F7537">
        <v>100</v>
      </c>
    </row>
    <row r="7538" s="76" customFormat="1" spans="1:6">
      <c r="A7538">
        <v>7758</v>
      </c>
      <c r="B7538">
        <v>412012211</v>
      </c>
      <c r="C7538">
        <v>2012</v>
      </c>
      <c r="D7538" t="s">
        <v>37</v>
      </c>
      <c r="E7538">
        <v>1</v>
      </c>
      <c r="F7538">
        <v>100</v>
      </c>
    </row>
    <row r="7539" s="76" customFormat="1" spans="1:6">
      <c r="A7539">
        <v>7761</v>
      </c>
      <c r="B7539">
        <v>412012211</v>
      </c>
      <c r="C7539">
        <v>2012</v>
      </c>
      <c r="D7539" t="s">
        <v>37</v>
      </c>
      <c r="E7539">
        <v>2</v>
      </c>
      <c r="F7539">
        <v>200</v>
      </c>
    </row>
    <row r="7540" s="76" customFormat="1" spans="1:6">
      <c r="A7540">
        <v>7760</v>
      </c>
      <c r="B7540">
        <v>412012211</v>
      </c>
      <c r="C7540">
        <v>2012</v>
      </c>
      <c r="D7540" t="s">
        <v>37</v>
      </c>
      <c r="E7540">
        <v>1</v>
      </c>
      <c r="F7540">
        <v>60</v>
      </c>
    </row>
    <row r="7541" s="76" customFormat="1" spans="1:6">
      <c r="A7541">
        <v>7759</v>
      </c>
      <c r="B7541">
        <v>412012211</v>
      </c>
      <c r="C7541">
        <v>2012</v>
      </c>
      <c r="D7541" t="s">
        <v>37</v>
      </c>
      <c r="E7541">
        <v>1</v>
      </c>
      <c r="F7541">
        <v>60</v>
      </c>
    </row>
    <row r="7542" s="76" customFormat="1" spans="1:6">
      <c r="A7542">
        <v>7763</v>
      </c>
      <c r="B7542">
        <v>412012243</v>
      </c>
      <c r="C7542">
        <v>2012</v>
      </c>
      <c r="D7542" t="s">
        <v>38</v>
      </c>
      <c r="E7542">
        <v>1</v>
      </c>
      <c r="F7542">
        <v>1.5</v>
      </c>
    </row>
    <row r="7543" s="76" customFormat="1" spans="1:6">
      <c r="A7543">
        <v>7764</v>
      </c>
      <c r="B7543">
        <v>412012260</v>
      </c>
      <c r="C7543">
        <v>2012</v>
      </c>
      <c r="D7543" t="s">
        <v>34</v>
      </c>
      <c r="E7543">
        <v>30</v>
      </c>
      <c r="F7543">
        <v>5.05</v>
      </c>
    </row>
    <row r="7544" s="76" customFormat="1" spans="1:6">
      <c r="A7544">
        <v>7767</v>
      </c>
      <c r="B7544">
        <v>412013211</v>
      </c>
      <c r="C7544">
        <v>2013</v>
      </c>
      <c r="D7544" t="s">
        <v>37</v>
      </c>
      <c r="E7544">
        <v>1</v>
      </c>
      <c r="F7544">
        <v>33</v>
      </c>
    </row>
    <row r="7545" s="76" customFormat="1" spans="1:6">
      <c r="A7545">
        <v>7766</v>
      </c>
      <c r="B7545">
        <v>412013211</v>
      </c>
      <c r="C7545">
        <v>2013</v>
      </c>
      <c r="D7545" t="s">
        <v>37</v>
      </c>
      <c r="E7545">
        <v>2</v>
      </c>
      <c r="F7545">
        <v>60</v>
      </c>
    </row>
    <row r="7546" s="76" customFormat="1" spans="1:6">
      <c r="A7546">
        <v>7765</v>
      </c>
      <c r="B7546">
        <v>412013211</v>
      </c>
      <c r="C7546">
        <v>2013</v>
      </c>
      <c r="D7546" t="s">
        <v>37</v>
      </c>
      <c r="E7546">
        <v>1</v>
      </c>
      <c r="F7546">
        <v>60</v>
      </c>
    </row>
    <row r="7547" s="76" customFormat="1" spans="1:6">
      <c r="A7547">
        <v>7768</v>
      </c>
      <c r="B7547">
        <v>412013260</v>
      </c>
      <c r="C7547">
        <v>2013</v>
      </c>
      <c r="D7547" t="s">
        <v>34</v>
      </c>
      <c r="E7547" t="s">
        <v>32</v>
      </c>
      <c r="F7547">
        <v>4.94</v>
      </c>
    </row>
    <row r="7548" s="76" customFormat="1" spans="1:6">
      <c r="A7548">
        <v>7769</v>
      </c>
      <c r="B7548">
        <v>412013260</v>
      </c>
      <c r="C7548">
        <v>2013</v>
      </c>
      <c r="D7548" t="s">
        <v>34</v>
      </c>
      <c r="E7548" t="s">
        <v>32</v>
      </c>
      <c r="F7548">
        <v>2.04</v>
      </c>
    </row>
    <row r="7549" s="76" customFormat="1" spans="1:6">
      <c r="A7549">
        <v>7770</v>
      </c>
      <c r="B7549">
        <v>412014110</v>
      </c>
      <c r="C7549">
        <v>2014</v>
      </c>
      <c r="D7549" t="s">
        <v>40</v>
      </c>
      <c r="E7549">
        <v>1</v>
      </c>
      <c r="F7549">
        <v>1.99</v>
      </c>
    </row>
    <row r="7550" s="76" customFormat="1" spans="1:6">
      <c r="A7550">
        <v>7771</v>
      </c>
      <c r="B7550">
        <v>412014110</v>
      </c>
      <c r="C7550">
        <v>2014</v>
      </c>
      <c r="D7550" t="s">
        <v>40</v>
      </c>
      <c r="E7550">
        <v>1</v>
      </c>
      <c r="F7550">
        <v>0.39</v>
      </c>
    </row>
    <row r="7551" s="76" customFormat="1" spans="1:6">
      <c r="A7551">
        <v>7772</v>
      </c>
      <c r="B7551">
        <v>412014211</v>
      </c>
      <c r="C7551">
        <v>2014</v>
      </c>
      <c r="D7551" t="s">
        <v>37</v>
      </c>
      <c r="E7551">
        <v>1</v>
      </c>
      <c r="F7551">
        <v>60</v>
      </c>
    </row>
    <row r="7552" s="76" customFormat="1" spans="1:6">
      <c r="A7552">
        <v>7788</v>
      </c>
      <c r="B7552">
        <v>412014241</v>
      </c>
      <c r="C7552">
        <v>2014</v>
      </c>
      <c r="D7552" t="s">
        <v>33</v>
      </c>
      <c r="E7552">
        <v>1</v>
      </c>
      <c r="F7552">
        <v>1.2</v>
      </c>
    </row>
    <row r="7553" s="76" customFormat="1" spans="1:6">
      <c r="A7553">
        <v>7787</v>
      </c>
      <c r="B7553">
        <v>412014241</v>
      </c>
      <c r="C7553">
        <v>2014</v>
      </c>
      <c r="D7553" t="s">
        <v>33</v>
      </c>
      <c r="E7553">
        <v>1</v>
      </c>
      <c r="F7553">
        <v>1.2</v>
      </c>
    </row>
    <row r="7554" s="76" customFormat="1" spans="1:6">
      <c r="A7554">
        <v>7773</v>
      </c>
      <c r="B7554">
        <v>412014241</v>
      </c>
      <c r="C7554">
        <v>2014</v>
      </c>
      <c r="D7554" t="s">
        <v>33</v>
      </c>
      <c r="E7554">
        <v>1</v>
      </c>
      <c r="F7554">
        <v>0.75</v>
      </c>
    </row>
    <row r="7555" s="76" customFormat="1" spans="1:6">
      <c r="A7555">
        <v>7791</v>
      </c>
      <c r="B7555">
        <v>412014241</v>
      </c>
      <c r="C7555">
        <v>2014</v>
      </c>
      <c r="D7555" t="s">
        <v>33</v>
      </c>
      <c r="E7555">
        <v>1</v>
      </c>
      <c r="F7555">
        <v>0.9</v>
      </c>
    </row>
    <row r="7556" s="76" customFormat="1" spans="1:6">
      <c r="A7556">
        <v>7786</v>
      </c>
      <c r="B7556">
        <v>412014241</v>
      </c>
      <c r="C7556">
        <v>2014</v>
      </c>
      <c r="D7556" t="s">
        <v>33</v>
      </c>
      <c r="E7556">
        <v>1</v>
      </c>
      <c r="F7556">
        <v>1.2</v>
      </c>
    </row>
    <row r="7557" s="76" customFormat="1" spans="1:6">
      <c r="A7557">
        <v>7776</v>
      </c>
      <c r="B7557">
        <v>412014241</v>
      </c>
      <c r="C7557">
        <v>2014</v>
      </c>
      <c r="D7557" t="s">
        <v>33</v>
      </c>
      <c r="E7557">
        <v>1</v>
      </c>
      <c r="F7557">
        <v>0.3</v>
      </c>
    </row>
    <row r="7558" s="76" customFormat="1" spans="1:6">
      <c r="A7558">
        <v>7775</v>
      </c>
      <c r="B7558">
        <v>412014241</v>
      </c>
      <c r="C7558">
        <v>2014</v>
      </c>
      <c r="D7558" t="s">
        <v>33</v>
      </c>
      <c r="E7558">
        <v>1</v>
      </c>
      <c r="F7558">
        <v>0.3</v>
      </c>
    </row>
    <row r="7559" s="76" customFormat="1" spans="1:6">
      <c r="A7559">
        <v>7790</v>
      </c>
      <c r="B7559">
        <v>412014241</v>
      </c>
      <c r="C7559">
        <v>2014</v>
      </c>
      <c r="D7559" t="s">
        <v>33</v>
      </c>
      <c r="E7559">
        <v>1</v>
      </c>
      <c r="F7559">
        <v>0.9</v>
      </c>
    </row>
    <row r="7560" s="76" customFormat="1" spans="1:6">
      <c r="A7560">
        <v>7781</v>
      </c>
      <c r="B7560">
        <v>412014241</v>
      </c>
      <c r="C7560">
        <v>2014</v>
      </c>
      <c r="D7560" t="s">
        <v>33</v>
      </c>
      <c r="E7560">
        <v>1</v>
      </c>
      <c r="F7560">
        <v>3.6</v>
      </c>
    </row>
    <row r="7561" s="76" customFormat="1" spans="1:6">
      <c r="A7561">
        <v>7783</v>
      </c>
      <c r="B7561">
        <v>412014241</v>
      </c>
      <c r="C7561">
        <v>2014</v>
      </c>
      <c r="D7561" t="s">
        <v>33</v>
      </c>
      <c r="E7561">
        <v>1</v>
      </c>
      <c r="F7561">
        <v>2.5</v>
      </c>
    </row>
    <row r="7562" s="76" customFormat="1" spans="1:6">
      <c r="A7562">
        <v>7784</v>
      </c>
      <c r="B7562">
        <v>412014241</v>
      </c>
      <c r="C7562">
        <v>2014</v>
      </c>
      <c r="D7562" t="s">
        <v>33</v>
      </c>
      <c r="E7562">
        <v>1</v>
      </c>
      <c r="F7562">
        <v>1.8</v>
      </c>
    </row>
    <row r="7563" s="76" customFormat="1" spans="1:6">
      <c r="A7563">
        <v>7777</v>
      </c>
      <c r="B7563">
        <v>412014241</v>
      </c>
      <c r="C7563">
        <v>2014</v>
      </c>
      <c r="D7563" t="s">
        <v>33</v>
      </c>
      <c r="E7563">
        <v>1</v>
      </c>
      <c r="F7563">
        <v>6</v>
      </c>
    </row>
    <row r="7564" s="76" customFormat="1" spans="1:6">
      <c r="A7564">
        <v>7789</v>
      </c>
      <c r="B7564">
        <v>412014241</v>
      </c>
      <c r="C7564">
        <v>2014</v>
      </c>
      <c r="D7564" t="s">
        <v>33</v>
      </c>
      <c r="E7564">
        <v>1</v>
      </c>
      <c r="F7564">
        <v>0.9</v>
      </c>
    </row>
    <row r="7565" s="76" customFormat="1" spans="1:6">
      <c r="A7565">
        <v>7779</v>
      </c>
      <c r="B7565">
        <v>412014241</v>
      </c>
      <c r="C7565">
        <v>2014</v>
      </c>
      <c r="D7565" t="s">
        <v>33</v>
      </c>
      <c r="E7565">
        <v>1</v>
      </c>
      <c r="F7565">
        <v>4</v>
      </c>
    </row>
    <row r="7566" s="76" customFormat="1" spans="1:6">
      <c r="A7566">
        <v>7778</v>
      </c>
      <c r="B7566">
        <v>412014241</v>
      </c>
      <c r="C7566">
        <v>2014</v>
      </c>
      <c r="D7566" t="s">
        <v>33</v>
      </c>
      <c r="E7566">
        <v>1</v>
      </c>
      <c r="F7566">
        <v>6</v>
      </c>
    </row>
    <row r="7567" s="76" customFormat="1" spans="1:6">
      <c r="A7567">
        <v>7785</v>
      </c>
      <c r="B7567">
        <v>412014241</v>
      </c>
      <c r="C7567">
        <v>2014</v>
      </c>
      <c r="D7567" t="s">
        <v>33</v>
      </c>
      <c r="E7567">
        <v>1</v>
      </c>
      <c r="F7567">
        <v>1.8</v>
      </c>
    </row>
    <row r="7568" s="76" customFormat="1" spans="1:6">
      <c r="A7568">
        <v>7774</v>
      </c>
      <c r="B7568">
        <v>412014241</v>
      </c>
      <c r="C7568">
        <v>2014</v>
      </c>
      <c r="D7568" t="s">
        <v>33</v>
      </c>
      <c r="E7568">
        <v>1</v>
      </c>
      <c r="F7568">
        <v>0.75</v>
      </c>
    </row>
    <row r="7569" s="76" customFormat="1" spans="1:6">
      <c r="A7569">
        <v>7782</v>
      </c>
      <c r="B7569">
        <v>412014241</v>
      </c>
      <c r="C7569">
        <v>2014</v>
      </c>
      <c r="D7569" t="s">
        <v>33</v>
      </c>
      <c r="E7569">
        <v>1</v>
      </c>
      <c r="F7569">
        <v>2.8</v>
      </c>
    </row>
    <row r="7570" s="76" customFormat="1" spans="1:6">
      <c r="A7570">
        <v>7780</v>
      </c>
      <c r="B7570">
        <v>412014241</v>
      </c>
      <c r="C7570">
        <v>2014</v>
      </c>
      <c r="D7570" t="s">
        <v>33</v>
      </c>
      <c r="E7570">
        <v>1</v>
      </c>
      <c r="F7570">
        <v>3.6</v>
      </c>
    </row>
    <row r="7571" s="76" customFormat="1" spans="1:6">
      <c r="A7571">
        <v>7793</v>
      </c>
      <c r="B7571">
        <v>412014243</v>
      </c>
      <c r="C7571">
        <v>2014</v>
      </c>
      <c r="D7571" t="s">
        <v>38</v>
      </c>
      <c r="E7571">
        <v>1</v>
      </c>
      <c r="F7571">
        <v>0.15</v>
      </c>
    </row>
    <row r="7572" s="76" customFormat="1" spans="1:6">
      <c r="A7572">
        <v>7795</v>
      </c>
      <c r="B7572">
        <v>412014243</v>
      </c>
      <c r="C7572">
        <v>2014</v>
      </c>
      <c r="D7572" t="s">
        <v>38</v>
      </c>
      <c r="E7572">
        <v>1</v>
      </c>
      <c r="F7572">
        <v>0.05</v>
      </c>
    </row>
    <row r="7573" s="76" customFormat="1" spans="1:6">
      <c r="A7573">
        <v>7794</v>
      </c>
      <c r="B7573">
        <v>412014243</v>
      </c>
      <c r="C7573">
        <v>2014</v>
      </c>
      <c r="D7573" t="s">
        <v>38</v>
      </c>
      <c r="E7573">
        <v>1</v>
      </c>
      <c r="F7573">
        <v>0.15</v>
      </c>
    </row>
    <row r="7574" s="76" customFormat="1" spans="1:6">
      <c r="A7574">
        <v>7792</v>
      </c>
      <c r="B7574">
        <v>412014243</v>
      </c>
      <c r="C7574">
        <v>2014</v>
      </c>
      <c r="D7574" t="s">
        <v>38</v>
      </c>
      <c r="E7574">
        <v>1</v>
      </c>
      <c r="F7574">
        <v>3</v>
      </c>
    </row>
    <row r="7575" s="76" customFormat="1" spans="1:6">
      <c r="A7575">
        <v>7796</v>
      </c>
      <c r="B7575">
        <v>412014243</v>
      </c>
      <c r="C7575">
        <v>2014</v>
      </c>
      <c r="D7575" t="s">
        <v>38</v>
      </c>
      <c r="E7575">
        <v>1</v>
      </c>
      <c r="F7575">
        <v>0.05</v>
      </c>
    </row>
    <row r="7576" s="76" customFormat="1" spans="1:6">
      <c r="A7576">
        <v>7804</v>
      </c>
      <c r="B7576">
        <v>412014260</v>
      </c>
      <c r="C7576">
        <v>2014</v>
      </c>
      <c r="D7576" t="s">
        <v>34</v>
      </c>
      <c r="E7576">
        <v>1</v>
      </c>
      <c r="F7576">
        <v>0.85</v>
      </c>
    </row>
    <row r="7577" s="76" customFormat="1" spans="1:6">
      <c r="A7577">
        <v>7801</v>
      </c>
      <c r="B7577">
        <v>412014260</v>
      </c>
      <c r="C7577">
        <v>2014</v>
      </c>
      <c r="D7577" t="s">
        <v>34</v>
      </c>
      <c r="E7577">
        <v>17</v>
      </c>
      <c r="F7577">
        <v>3.4</v>
      </c>
    </row>
    <row r="7578" s="76" customFormat="1" spans="1:6">
      <c r="A7578">
        <v>7799</v>
      </c>
      <c r="B7578">
        <v>412014260</v>
      </c>
      <c r="C7578">
        <v>2014</v>
      </c>
      <c r="D7578" t="s">
        <v>34</v>
      </c>
      <c r="E7578">
        <v>24</v>
      </c>
      <c r="F7578">
        <v>4.8</v>
      </c>
    </row>
    <row r="7579" s="76" customFormat="1" spans="1:6">
      <c r="A7579">
        <v>7803</v>
      </c>
      <c r="B7579">
        <v>412014260</v>
      </c>
      <c r="C7579">
        <v>2014</v>
      </c>
      <c r="D7579" t="s">
        <v>34</v>
      </c>
      <c r="E7579">
        <v>33</v>
      </c>
      <c r="F7579">
        <v>4.95</v>
      </c>
    </row>
    <row r="7580" s="76" customFormat="1" spans="1:6">
      <c r="A7580">
        <v>7798</v>
      </c>
      <c r="B7580">
        <v>412014260</v>
      </c>
      <c r="C7580">
        <v>2014</v>
      </c>
      <c r="D7580" t="s">
        <v>34</v>
      </c>
      <c r="E7580">
        <v>33</v>
      </c>
      <c r="F7580">
        <v>4.95</v>
      </c>
    </row>
    <row r="7581" s="76" customFormat="1" spans="1:6">
      <c r="A7581">
        <v>7797</v>
      </c>
      <c r="B7581">
        <v>412014260</v>
      </c>
      <c r="C7581">
        <v>2014</v>
      </c>
      <c r="D7581" t="s">
        <v>34</v>
      </c>
      <c r="E7581">
        <v>21</v>
      </c>
      <c r="F7581">
        <v>4.2</v>
      </c>
    </row>
    <row r="7582" s="76" customFormat="1" spans="1:6">
      <c r="A7582">
        <v>7800</v>
      </c>
      <c r="B7582">
        <v>412014260</v>
      </c>
      <c r="C7582">
        <v>2014</v>
      </c>
      <c r="D7582" t="s">
        <v>34</v>
      </c>
      <c r="E7582">
        <v>21</v>
      </c>
      <c r="F7582">
        <v>4.2</v>
      </c>
    </row>
    <row r="7583" s="76" customFormat="1" spans="1:6">
      <c r="A7583">
        <v>7802</v>
      </c>
      <c r="B7583">
        <v>412014260</v>
      </c>
      <c r="C7583">
        <v>2014</v>
      </c>
      <c r="D7583" t="s">
        <v>34</v>
      </c>
      <c r="E7583">
        <v>1</v>
      </c>
      <c r="F7583">
        <v>4.95</v>
      </c>
    </row>
    <row r="7584" s="76" customFormat="1" spans="1:6">
      <c r="A7584">
        <v>7805</v>
      </c>
      <c r="B7584">
        <v>412014270</v>
      </c>
      <c r="C7584">
        <v>2014</v>
      </c>
      <c r="D7584" t="s">
        <v>31</v>
      </c>
      <c r="E7584"/>
      <c r="F7584">
        <v>2.4</v>
      </c>
    </row>
    <row r="7585" s="76" customFormat="1" spans="1:6">
      <c r="A7585">
        <v>7825</v>
      </c>
      <c r="B7585">
        <v>412014270</v>
      </c>
      <c r="C7585">
        <v>2014</v>
      </c>
      <c r="D7585" t="s">
        <v>31</v>
      </c>
      <c r="E7585">
        <v>1</v>
      </c>
      <c r="F7585">
        <v>0.01</v>
      </c>
    </row>
    <row r="7586" s="76" customFormat="1" spans="1:6">
      <c r="A7586">
        <v>7807</v>
      </c>
      <c r="B7586">
        <v>412014270</v>
      </c>
      <c r="C7586">
        <v>2014</v>
      </c>
      <c r="D7586" t="s">
        <v>31</v>
      </c>
      <c r="E7586">
        <v>1</v>
      </c>
      <c r="F7586">
        <v>3.15</v>
      </c>
    </row>
    <row r="7587" s="76" customFormat="1" spans="1:6">
      <c r="A7587">
        <v>7815</v>
      </c>
      <c r="B7587">
        <v>412014270</v>
      </c>
      <c r="C7587">
        <v>2014</v>
      </c>
      <c r="D7587" t="s">
        <v>31</v>
      </c>
      <c r="E7587">
        <v>1</v>
      </c>
      <c r="F7587">
        <v>0.33</v>
      </c>
    </row>
    <row r="7588" s="76" customFormat="1" spans="1:6">
      <c r="A7588">
        <v>7811</v>
      </c>
      <c r="B7588">
        <v>412014270</v>
      </c>
      <c r="C7588">
        <v>2014</v>
      </c>
      <c r="D7588" t="s">
        <v>31</v>
      </c>
      <c r="E7588">
        <v>1</v>
      </c>
      <c r="F7588">
        <v>1.25</v>
      </c>
    </row>
    <row r="7589" s="76" customFormat="1" spans="1:6">
      <c r="A7589">
        <v>7814</v>
      </c>
      <c r="B7589">
        <v>412014270</v>
      </c>
      <c r="C7589">
        <v>2014</v>
      </c>
      <c r="D7589" t="s">
        <v>31</v>
      </c>
      <c r="E7589">
        <v>1</v>
      </c>
      <c r="F7589">
        <v>0.5</v>
      </c>
    </row>
    <row r="7590" s="76" customFormat="1" spans="1:6">
      <c r="A7590">
        <v>7822</v>
      </c>
      <c r="B7590">
        <v>412014270</v>
      </c>
      <c r="C7590">
        <v>2014</v>
      </c>
      <c r="D7590" t="s">
        <v>31</v>
      </c>
      <c r="E7590">
        <v>1</v>
      </c>
      <c r="F7590">
        <v>0.16</v>
      </c>
    </row>
    <row r="7591" s="76" customFormat="1" spans="1:6">
      <c r="A7591">
        <v>7829</v>
      </c>
      <c r="B7591">
        <v>412014270</v>
      </c>
      <c r="C7591">
        <v>2014</v>
      </c>
      <c r="D7591" t="s">
        <v>31</v>
      </c>
      <c r="E7591">
        <v>1</v>
      </c>
      <c r="F7591">
        <v>0.01</v>
      </c>
    </row>
    <row r="7592" s="76" customFormat="1" spans="1:6">
      <c r="A7592">
        <v>7820</v>
      </c>
      <c r="B7592">
        <v>412014270</v>
      </c>
      <c r="C7592">
        <v>2014</v>
      </c>
      <c r="D7592" t="s">
        <v>31</v>
      </c>
      <c r="E7592">
        <v>1</v>
      </c>
      <c r="F7592">
        <v>0.2</v>
      </c>
    </row>
    <row r="7593" s="76" customFormat="1" spans="1:6">
      <c r="A7593">
        <v>7809</v>
      </c>
      <c r="B7593">
        <v>412014270</v>
      </c>
      <c r="C7593">
        <v>2014</v>
      </c>
      <c r="D7593" t="s">
        <v>31</v>
      </c>
      <c r="E7593">
        <v>1</v>
      </c>
      <c r="F7593">
        <v>1.58</v>
      </c>
    </row>
    <row r="7594" s="76" customFormat="1" spans="1:6">
      <c r="A7594">
        <v>7812</v>
      </c>
      <c r="B7594">
        <v>412014270</v>
      </c>
      <c r="C7594">
        <v>2014</v>
      </c>
      <c r="D7594" t="s">
        <v>31</v>
      </c>
      <c r="E7594">
        <v>1</v>
      </c>
      <c r="F7594">
        <v>1.05</v>
      </c>
    </row>
    <row r="7595" s="76" customFormat="1" spans="1:6">
      <c r="A7595">
        <v>7806</v>
      </c>
      <c r="B7595">
        <v>412014270</v>
      </c>
      <c r="C7595">
        <v>2014</v>
      </c>
      <c r="D7595" t="s">
        <v>31</v>
      </c>
      <c r="E7595">
        <v>1</v>
      </c>
      <c r="F7595">
        <v>3.47</v>
      </c>
    </row>
    <row r="7596" s="76" customFormat="1" spans="1:6">
      <c r="A7596">
        <v>7819</v>
      </c>
      <c r="B7596">
        <v>412014270</v>
      </c>
      <c r="C7596">
        <v>2014</v>
      </c>
      <c r="D7596" t="s">
        <v>31</v>
      </c>
      <c r="E7596">
        <v>1</v>
      </c>
      <c r="F7596">
        <v>0.27</v>
      </c>
    </row>
    <row r="7597" s="76" customFormat="1" spans="1:6">
      <c r="A7597">
        <v>7824</v>
      </c>
      <c r="B7597">
        <v>412014270</v>
      </c>
      <c r="C7597">
        <v>2014</v>
      </c>
      <c r="D7597" t="s">
        <v>31</v>
      </c>
      <c r="E7597">
        <v>1</v>
      </c>
      <c r="F7597">
        <v>0.06</v>
      </c>
    </row>
    <row r="7598" s="76" customFormat="1" spans="1:6">
      <c r="A7598">
        <v>7817</v>
      </c>
      <c r="B7598">
        <v>412014270</v>
      </c>
      <c r="C7598">
        <v>2014</v>
      </c>
      <c r="D7598" t="s">
        <v>31</v>
      </c>
      <c r="E7598">
        <v>1</v>
      </c>
      <c r="F7598">
        <v>0.3</v>
      </c>
    </row>
    <row r="7599" s="76" customFormat="1" spans="1:6">
      <c r="A7599">
        <v>7826</v>
      </c>
      <c r="B7599">
        <v>412014270</v>
      </c>
      <c r="C7599">
        <v>2014</v>
      </c>
      <c r="D7599" t="s">
        <v>31</v>
      </c>
      <c r="E7599">
        <v>1</v>
      </c>
      <c r="F7599">
        <v>0.01</v>
      </c>
    </row>
    <row r="7600" s="76" customFormat="1" spans="1:6">
      <c r="A7600">
        <v>7813</v>
      </c>
      <c r="B7600">
        <v>412014270</v>
      </c>
      <c r="C7600">
        <v>2014</v>
      </c>
      <c r="D7600" t="s">
        <v>31</v>
      </c>
      <c r="E7600">
        <v>1</v>
      </c>
      <c r="F7600">
        <v>0.95</v>
      </c>
    </row>
    <row r="7601" s="76" customFormat="1" spans="1:6">
      <c r="A7601">
        <v>7827</v>
      </c>
      <c r="B7601">
        <v>412014270</v>
      </c>
      <c r="C7601">
        <v>2014</v>
      </c>
      <c r="D7601" t="s">
        <v>31</v>
      </c>
      <c r="E7601">
        <v>1</v>
      </c>
      <c r="F7601">
        <v>0.01</v>
      </c>
    </row>
    <row r="7602" s="76" customFormat="1" spans="1:6">
      <c r="A7602">
        <v>7810</v>
      </c>
      <c r="B7602">
        <v>412014270</v>
      </c>
      <c r="C7602">
        <v>2014</v>
      </c>
      <c r="D7602" t="s">
        <v>31</v>
      </c>
      <c r="E7602">
        <v>1</v>
      </c>
      <c r="F7602">
        <v>1.51</v>
      </c>
    </row>
    <row r="7603" s="76" customFormat="1" spans="1:6">
      <c r="A7603">
        <v>7818</v>
      </c>
      <c r="B7603">
        <v>412014270</v>
      </c>
      <c r="C7603">
        <v>2014</v>
      </c>
      <c r="D7603" t="s">
        <v>31</v>
      </c>
      <c r="E7603">
        <v>1</v>
      </c>
      <c r="F7603">
        <v>0.3</v>
      </c>
    </row>
    <row r="7604" s="76" customFormat="1" spans="1:6">
      <c r="A7604">
        <v>7830</v>
      </c>
      <c r="B7604">
        <v>412014270</v>
      </c>
      <c r="C7604">
        <v>2014</v>
      </c>
      <c r="D7604" t="s">
        <v>31</v>
      </c>
      <c r="E7604">
        <v>1</v>
      </c>
      <c r="F7604">
        <v>0.01</v>
      </c>
    </row>
    <row r="7605" s="76" customFormat="1" spans="1:6">
      <c r="A7605">
        <v>7828</v>
      </c>
      <c r="B7605">
        <v>412014270</v>
      </c>
      <c r="C7605">
        <v>2014</v>
      </c>
      <c r="D7605" t="s">
        <v>31</v>
      </c>
      <c r="E7605">
        <v>1</v>
      </c>
      <c r="F7605">
        <v>0.01</v>
      </c>
    </row>
    <row r="7606" s="76" customFormat="1" spans="1:6">
      <c r="A7606">
        <v>7823</v>
      </c>
      <c r="B7606">
        <v>412014270</v>
      </c>
      <c r="C7606">
        <v>2014</v>
      </c>
      <c r="D7606" t="s">
        <v>31</v>
      </c>
      <c r="E7606">
        <v>1</v>
      </c>
      <c r="F7606">
        <v>0.14</v>
      </c>
    </row>
    <row r="7607" s="76" customFormat="1" spans="1:6">
      <c r="A7607">
        <v>7808</v>
      </c>
      <c r="B7607">
        <v>412014270</v>
      </c>
      <c r="C7607">
        <v>2014</v>
      </c>
      <c r="D7607" t="s">
        <v>31</v>
      </c>
      <c r="E7607">
        <v>1</v>
      </c>
      <c r="F7607">
        <v>2.28</v>
      </c>
    </row>
    <row r="7608" s="76" customFormat="1" spans="1:6">
      <c r="A7608">
        <v>7821</v>
      </c>
      <c r="B7608">
        <v>412014270</v>
      </c>
      <c r="C7608">
        <v>2014</v>
      </c>
      <c r="D7608" t="s">
        <v>31</v>
      </c>
      <c r="E7608">
        <v>1</v>
      </c>
      <c r="F7608">
        <v>0.2</v>
      </c>
    </row>
    <row r="7609" s="76" customFormat="1" spans="1:6">
      <c r="A7609">
        <v>7816</v>
      </c>
      <c r="B7609">
        <v>412014270</v>
      </c>
      <c r="C7609">
        <v>2014</v>
      </c>
      <c r="D7609" t="s">
        <v>31</v>
      </c>
      <c r="E7609">
        <v>1</v>
      </c>
      <c r="F7609">
        <v>0.32</v>
      </c>
    </row>
    <row r="7610" s="76" customFormat="1" spans="1:6">
      <c r="A7610">
        <v>7832</v>
      </c>
      <c r="B7610">
        <v>412015110</v>
      </c>
      <c r="C7610">
        <v>2015</v>
      </c>
      <c r="D7610" t="s">
        <v>40</v>
      </c>
      <c r="E7610">
        <v>1</v>
      </c>
      <c r="F7610">
        <v>0.51</v>
      </c>
    </row>
    <row r="7611" s="76" customFormat="1" spans="1:6">
      <c r="A7611">
        <v>7833</v>
      </c>
      <c r="B7611">
        <v>412015110</v>
      </c>
      <c r="C7611">
        <v>2015</v>
      </c>
      <c r="D7611" t="s">
        <v>40</v>
      </c>
      <c r="E7611">
        <v>1</v>
      </c>
      <c r="F7611">
        <v>1.09</v>
      </c>
    </row>
    <row r="7612" s="76" customFormat="1" spans="1:6">
      <c r="A7612">
        <v>7831</v>
      </c>
      <c r="B7612">
        <v>412015110</v>
      </c>
      <c r="C7612">
        <v>2015</v>
      </c>
      <c r="D7612" t="s">
        <v>40</v>
      </c>
      <c r="E7612">
        <v>1</v>
      </c>
      <c r="F7612">
        <v>0.5</v>
      </c>
    </row>
    <row r="7613" s="76" customFormat="1" spans="1:6">
      <c r="A7613">
        <v>7839</v>
      </c>
      <c r="B7613">
        <v>412015211</v>
      </c>
      <c r="C7613">
        <v>2015</v>
      </c>
      <c r="D7613" t="s">
        <v>37</v>
      </c>
      <c r="E7613" t="s">
        <v>32</v>
      </c>
      <c r="F7613">
        <v>60</v>
      </c>
    </row>
    <row r="7614" s="76" customFormat="1" spans="1:6">
      <c r="A7614">
        <v>7834</v>
      </c>
      <c r="B7614">
        <v>412015211</v>
      </c>
      <c r="C7614">
        <v>2015</v>
      </c>
      <c r="D7614" t="s">
        <v>37</v>
      </c>
      <c r="E7614">
        <v>1</v>
      </c>
      <c r="F7614">
        <v>60</v>
      </c>
    </row>
    <row r="7615" s="76" customFormat="1" spans="1:6">
      <c r="A7615">
        <v>7836</v>
      </c>
      <c r="B7615">
        <v>412015211</v>
      </c>
      <c r="C7615">
        <v>2015</v>
      </c>
      <c r="D7615" t="s">
        <v>37</v>
      </c>
      <c r="E7615">
        <v>2</v>
      </c>
      <c r="F7615">
        <v>132</v>
      </c>
    </row>
    <row r="7616" s="76" customFormat="1" spans="1:6">
      <c r="A7616">
        <v>7841</v>
      </c>
      <c r="B7616">
        <v>412015211</v>
      </c>
      <c r="C7616">
        <v>2015</v>
      </c>
      <c r="D7616" t="s">
        <v>37</v>
      </c>
      <c r="E7616" t="s">
        <v>32</v>
      </c>
      <c r="F7616">
        <v>120</v>
      </c>
    </row>
    <row r="7617" s="76" customFormat="1" spans="1:6">
      <c r="A7617">
        <v>7835</v>
      </c>
      <c r="B7617">
        <v>412015211</v>
      </c>
      <c r="C7617">
        <v>2015</v>
      </c>
      <c r="D7617" t="s">
        <v>37</v>
      </c>
      <c r="E7617">
        <v>2</v>
      </c>
      <c r="F7617">
        <v>70</v>
      </c>
    </row>
    <row r="7618" s="76" customFormat="1" spans="1:6">
      <c r="A7618">
        <v>7837</v>
      </c>
      <c r="B7618">
        <v>412015211</v>
      </c>
      <c r="C7618">
        <v>2015</v>
      </c>
      <c r="D7618" t="s">
        <v>37</v>
      </c>
      <c r="E7618">
        <v>2</v>
      </c>
      <c r="F7618">
        <v>120</v>
      </c>
    </row>
    <row r="7619" s="76" customFormat="1" spans="1:6">
      <c r="A7619">
        <v>7840</v>
      </c>
      <c r="B7619">
        <v>412015211</v>
      </c>
      <c r="C7619">
        <v>2015</v>
      </c>
      <c r="D7619" t="s">
        <v>37</v>
      </c>
      <c r="E7619" t="s">
        <v>32</v>
      </c>
      <c r="F7619">
        <v>12</v>
      </c>
    </row>
    <row r="7620" s="76" customFormat="1" spans="1:6">
      <c r="A7620">
        <v>7838</v>
      </c>
      <c r="B7620">
        <v>412015211</v>
      </c>
      <c r="C7620">
        <v>2015</v>
      </c>
      <c r="D7620" t="s">
        <v>37</v>
      </c>
      <c r="E7620">
        <v>1</v>
      </c>
      <c r="F7620">
        <v>60</v>
      </c>
    </row>
    <row r="7621" s="76" customFormat="1" spans="1:6">
      <c r="A7621">
        <v>7843</v>
      </c>
      <c r="B7621">
        <v>412015241</v>
      </c>
      <c r="C7621">
        <v>2015</v>
      </c>
      <c r="D7621" t="s">
        <v>33</v>
      </c>
      <c r="E7621">
        <v>1</v>
      </c>
      <c r="F7621">
        <v>0.6</v>
      </c>
    </row>
    <row r="7622" s="76" customFormat="1" spans="1:6">
      <c r="A7622">
        <v>7842</v>
      </c>
      <c r="B7622">
        <v>412015241</v>
      </c>
      <c r="C7622">
        <v>2015</v>
      </c>
      <c r="D7622" t="s">
        <v>33</v>
      </c>
      <c r="E7622">
        <v>1</v>
      </c>
      <c r="F7622">
        <v>1.5</v>
      </c>
    </row>
    <row r="7623" s="76" customFormat="1" spans="1:6">
      <c r="A7623">
        <v>7848</v>
      </c>
      <c r="B7623">
        <v>412015241</v>
      </c>
      <c r="C7623">
        <v>2015</v>
      </c>
      <c r="D7623" t="s">
        <v>33</v>
      </c>
      <c r="E7623">
        <v>1</v>
      </c>
      <c r="F7623">
        <v>2.6</v>
      </c>
    </row>
    <row r="7624" s="76" customFormat="1" spans="1:6">
      <c r="A7624">
        <v>7851</v>
      </c>
      <c r="B7624">
        <v>412015241</v>
      </c>
      <c r="C7624">
        <v>2015</v>
      </c>
      <c r="D7624" t="s">
        <v>33</v>
      </c>
      <c r="E7624" t="s">
        <v>32</v>
      </c>
      <c r="F7624">
        <v>2</v>
      </c>
    </row>
    <row r="7625" s="76" customFormat="1" spans="1:6">
      <c r="A7625">
        <v>7844</v>
      </c>
      <c r="B7625">
        <v>412015241</v>
      </c>
      <c r="C7625">
        <v>2015</v>
      </c>
      <c r="D7625" t="s">
        <v>33</v>
      </c>
      <c r="E7625">
        <v>1</v>
      </c>
      <c r="F7625">
        <v>1.2</v>
      </c>
    </row>
    <row r="7626" s="76" customFormat="1" spans="1:6">
      <c r="A7626">
        <v>7852</v>
      </c>
      <c r="B7626">
        <v>412015241</v>
      </c>
      <c r="C7626">
        <v>2015</v>
      </c>
      <c r="D7626" t="s">
        <v>33</v>
      </c>
      <c r="E7626" t="s">
        <v>32</v>
      </c>
      <c r="F7626">
        <v>4</v>
      </c>
    </row>
    <row r="7627" s="76" customFormat="1" spans="1:6">
      <c r="A7627">
        <v>7845</v>
      </c>
      <c r="B7627">
        <v>412015241</v>
      </c>
      <c r="C7627">
        <v>2015</v>
      </c>
      <c r="D7627" t="s">
        <v>33</v>
      </c>
      <c r="E7627">
        <v>1</v>
      </c>
      <c r="F7627">
        <v>2.2</v>
      </c>
    </row>
    <row r="7628" s="76" customFormat="1" spans="1:6">
      <c r="A7628">
        <v>7847</v>
      </c>
      <c r="B7628">
        <v>412015241</v>
      </c>
      <c r="C7628">
        <v>2015</v>
      </c>
      <c r="D7628" t="s">
        <v>33</v>
      </c>
      <c r="E7628">
        <v>1</v>
      </c>
      <c r="F7628">
        <v>1.2</v>
      </c>
    </row>
    <row r="7629" s="76" customFormat="1" spans="1:6">
      <c r="A7629">
        <v>7853</v>
      </c>
      <c r="B7629">
        <v>412015241</v>
      </c>
      <c r="C7629">
        <v>2015</v>
      </c>
      <c r="D7629" t="s">
        <v>33</v>
      </c>
      <c r="E7629" t="s">
        <v>32</v>
      </c>
      <c r="F7629">
        <v>0.6</v>
      </c>
    </row>
    <row r="7630" s="76" customFormat="1" spans="1:6">
      <c r="A7630">
        <v>7849</v>
      </c>
      <c r="B7630">
        <v>412015241</v>
      </c>
      <c r="C7630">
        <v>2015</v>
      </c>
      <c r="D7630" t="s">
        <v>33</v>
      </c>
      <c r="E7630"/>
      <c r="F7630">
        <v>5.5</v>
      </c>
    </row>
    <row r="7631" s="76" customFormat="1" spans="1:6">
      <c r="A7631">
        <v>7846</v>
      </c>
      <c r="B7631">
        <v>412015241</v>
      </c>
      <c r="C7631">
        <v>2015</v>
      </c>
      <c r="D7631" t="s">
        <v>33</v>
      </c>
      <c r="E7631">
        <v>1</v>
      </c>
      <c r="F7631">
        <v>1.8</v>
      </c>
    </row>
    <row r="7632" s="76" customFormat="1" spans="1:6">
      <c r="A7632">
        <v>7850</v>
      </c>
      <c r="B7632">
        <v>412015241</v>
      </c>
      <c r="C7632">
        <v>2015</v>
      </c>
      <c r="D7632" t="s">
        <v>33</v>
      </c>
      <c r="E7632" t="s">
        <v>32</v>
      </c>
      <c r="F7632">
        <v>2</v>
      </c>
    </row>
    <row r="7633" s="76" customFormat="1" spans="1:6">
      <c r="A7633">
        <v>7865</v>
      </c>
      <c r="B7633">
        <v>412015260</v>
      </c>
      <c r="C7633">
        <v>2015</v>
      </c>
      <c r="D7633" t="s">
        <v>34</v>
      </c>
      <c r="E7633" t="s">
        <v>32</v>
      </c>
      <c r="F7633">
        <v>4</v>
      </c>
    </row>
    <row r="7634" s="76" customFormat="1" spans="1:6">
      <c r="A7634">
        <v>7857</v>
      </c>
      <c r="B7634">
        <v>412015260</v>
      </c>
      <c r="C7634">
        <v>2015</v>
      </c>
      <c r="D7634" t="s">
        <v>34</v>
      </c>
      <c r="E7634">
        <v>1</v>
      </c>
      <c r="F7634">
        <v>0.6</v>
      </c>
    </row>
    <row r="7635" s="76" customFormat="1" spans="1:6">
      <c r="A7635">
        <v>7858</v>
      </c>
      <c r="B7635">
        <v>412015260</v>
      </c>
      <c r="C7635">
        <v>2015</v>
      </c>
      <c r="D7635" t="s">
        <v>34</v>
      </c>
      <c r="E7635" t="s">
        <v>32</v>
      </c>
      <c r="F7635">
        <v>0.04</v>
      </c>
    </row>
    <row r="7636" s="76" customFormat="1" spans="1:6">
      <c r="A7636">
        <v>7861</v>
      </c>
      <c r="B7636">
        <v>412015260</v>
      </c>
      <c r="C7636">
        <v>2015</v>
      </c>
      <c r="D7636" t="s">
        <v>34</v>
      </c>
      <c r="E7636" t="s">
        <v>32</v>
      </c>
      <c r="F7636">
        <v>1.19</v>
      </c>
    </row>
    <row r="7637" s="76" customFormat="1" spans="1:6">
      <c r="A7637">
        <v>7862</v>
      </c>
      <c r="B7637">
        <v>412015260</v>
      </c>
      <c r="C7637">
        <v>2015</v>
      </c>
      <c r="D7637" t="s">
        <v>34</v>
      </c>
      <c r="E7637">
        <v>16</v>
      </c>
      <c r="F7637">
        <v>4.8</v>
      </c>
    </row>
    <row r="7638" s="76" customFormat="1" spans="1:6">
      <c r="A7638">
        <v>7864</v>
      </c>
      <c r="B7638">
        <v>412015260</v>
      </c>
      <c r="C7638">
        <v>2015</v>
      </c>
      <c r="D7638" t="s">
        <v>34</v>
      </c>
      <c r="E7638" t="s">
        <v>32</v>
      </c>
      <c r="F7638">
        <v>4.8</v>
      </c>
    </row>
    <row r="7639" s="76" customFormat="1" spans="1:6">
      <c r="A7639">
        <v>7856</v>
      </c>
      <c r="B7639">
        <v>412015260</v>
      </c>
      <c r="C7639">
        <v>2015</v>
      </c>
      <c r="D7639" t="s">
        <v>34</v>
      </c>
      <c r="E7639">
        <v>24</v>
      </c>
      <c r="F7639">
        <v>4.8</v>
      </c>
    </row>
    <row r="7640" s="76" customFormat="1" spans="1:6">
      <c r="A7640">
        <v>7854</v>
      </c>
      <c r="B7640">
        <v>412015260</v>
      </c>
      <c r="C7640">
        <v>2015</v>
      </c>
      <c r="D7640" t="s">
        <v>34</v>
      </c>
      <c r="E7640">
        <v>21</v>
      </c>
      <c r="F7640">
        <v>1.95</v>
      </c>
    </row>
    <row r="7641" s="76" customFormat="1" spans="1:6">
      <c r="A7641">
        <v>7855</v>
      </c>
      <c r="B7641">
        <v>412015260</v>
      </c>
      <c r="C7641">
        <v>2015</v>
      </c>
      <c r="D7641" t="s">
        <v>34</v>
      </c>
      <c r="E7641">
        <v>24</v>
      </c>
      <c r="F7641">
        <v>4.8</v>
      </c>
    </row>
    <row r="7642" s="76" customFormat="1" spans="1:6">
      <c r="A7642">
        <v>7859</v>
      </c>
      <c r="B7642">
        <v>412015260</v>
      </c>
      <c r="C7642">
        <v>2015</v>
      </c>
      <c r="D7642" t="s">
        <v>34</v>
      </c>
      <c r="E7642" t="s">
        <v>32</v>
      </c>
      <c r="F7642">
        <v>4.95</v>
      </c>
    </row>
    <row r="7643" s="76" customFormat="1" spans="1:6">
      <c r="A7643">
        <v>7863</v>
      </c>
      <c r="B7643">
        <v>412015260</v>
      </c>
      <c r="C7643">
        <v>2015</v>
      </c>
      <c r="D7643" t="s">
        <v>34</v>
      </c>
      <c r="E7643" t="s">
        <v>32</v>
      </c>
      <c r="F7643">
        <v>2.98</v>
      </c>
    </row>
    <row r="7644" s="76" customFormat="1" spans="1:6">
      <c r="A7644">
        <v>7866</v>
      </c>
      <c r="B7644">
        <v>412015260</v>
      </c>
      <c r="C7644">
        <v>2015</v>
      </c>
      <c r="D7644" t="s">
        <v>34</v>
      </c>
      <c r="E7644" t="s">
        <v>32</v>
      </c>
      <c r="F7644">
        <v>4.8</v>
      </c>
    </row>
    <row r="7645" s="76" customFormat="1" spans="1:6">
      <c r="A7645">
        <v>7860</v>
      </c>
      <c r="B7645">
        <v>412015260</v>
      </c>
      <c r="C7645">
        <v>2015</v>
      </c>
      <c r="D7645" t="s">
        <v>34</v>
      </c>
      <c r="E7645" t="s">
        <v>32</v>
      </c>
      <c r="F7645">
        <v>0.02</v>
      </c>
    </row>
    <row r="7646" s="76" customFormat="1" spans="1:6">
      <c r="A7646">
        <v>7868</v>
      </c>
      <c r="B7646">
        <v>412015270</v>
      </c>
      <c r="C7646">
        <v>2015</v>
      </c>
      <c r="D7646" t="s">
        <v>31</v>
      </c>
      <c r="E7646" t="s">
        <v>32</v>
      </c>
      <c r="F7646">
        <v>0.1</v>
      </c>
    </row>
    <row r="7647" s="76" customFormat="1" spans="1:6">
      <c r="A7647">
        <v>7871</v>
      </c>
      <c r="B7647">
        <v>412015270</v>
      </c>
      <c r="C7647">
        <v>2015</v>
      </c>
      <c r="D7647" t="s">
        <v>31</v>
      </c>
      <c r="E7647">
        <v>1</v>
      </c>
      <c r="F7647">
        <v>0.01</v>
      </c>
    </row>
    <row r="7648" s="76" customFormat="1" spans="1:6">
      <c r="A7648">
        <v>7872</v>
      </c>
      <c r="B7648">
        <v>412015270</v>
      </c>
      <c r="C7648">
        <v>2015</v>
      </c>
      <c r="D7648" t="s">
        <v>31</v>
      </c>
      <c r="E7648" t="s">
        <v>32</v>
      </c>
      <c r="F7648">
        <v>2.5</v>
      </c>
    </row>
    <row r="7649" s="76" customFormat="1" spans="1:6">
      <c r="A7649">
        <v>7869</v>
      </c>
      <c r="B7649">
        <v>412015270</v>
      </c>
      <c r="C7649">
        <v>2015</v>
      </c>
      <c r="D7649" t="s">
        <v>31</v>
      </c>
      <c r="E7649" t="s">
        <v>32</v>
      </c>
      <c r="F7649">
        <v>0.57</v>
      </c>
    </row>
    <row r="7650" s="76" customFormat="1" spans="1:6">
      <c r="A7650">
        <v>7867</v>
      </c>
      <c r="B7650">
        <v>412015270</v>
      </c>
      <c r="C7650">
        <v>2015</v>
      </c>
      <c r="D7650" t="s">
        <v>31</v>
      </c>
      <c r="E7650" t="s">
        <v>32</v>
      </c>
      <c r="F7650">
        <v>10</v>
      </c>
    </row>
    <row r="7651" s="76" customFormat="1" spans="1:6">
      <c r="A7651">
        <v>7870</v>
      </c>
      <c r="B7651">
        <v>412015270</v>
      </c>
      <c r="C7651">
        <v>2015</v>
      </c>
      <c r="D7651" t="s">
        <v>31</v>
      </c>
      <c r="E7651">
        <v>1</v>
      </c>
      <c r="F7651">
        <v>0.14</v>
      </c>
    </row>
    <row r="7652" s="76" customFormat="1" spans="1:6">
      <c r="A7652">
        <v>7873</v>
      </c>
      <c r="B7652">
        <v>412016110</v>
      </c>
      <c r="C7652" s="76">
        <v>2016</v>
      </c>
      <c r="D7652" s="76" t="s">
        <v>40</v>
      </c>
      <c r="E7652" s="76" t="s">
        <v>32</v>
      </c>
      <c r="F7652" s="76">
        <v>0.16</v>
      </c>
    </row>
    <row r="7653" s="76" customFormat="1" spans="1:6">
      <c r="A7653">
        <v>7876</v>
      </c>
      <c r="B7653">
        <v>412016211</v>
      </c>
      <c r="C7653" s="76">
        <v>2016</v>
      </c>
      <c r="D7653" s="76" t="s">
        <v>37</v>
      </c>
      <c r="E7653" s="76" t="s">
        <v>32</v>
      </c>
      <c r="F7653" s="76">
        <v>10</v>
      </c>
    </row>
    <row r="7654" s="76" customFormat="1" spans="1:6">
      <c r="A7654">
        <v>7875</v>
      </c>
      <c r="B7654">
        <v>412016211</v>
      </c>
      <c r="C7654" s="76">
        <v>2016</v>
      </c>
      <c r="D7654" s="76" t="s">
        <v>37</v>
      </c>
      <c r="E7654" s="76">
        <v>2</v>
      </c>
      <c r="F7654" s="76">
        <v>70</v>
      </c>
    </row>
    <row r="7655" s="76" customFormat="1" spans="1:6">
      <c r="A7655">
        <v>7883</v>
      </c>
      <c r="B7655">
        <v>412016241</v>
      </c>
      <c r="C7655" s="76">
        <v>2016</v>
      </c>
      <c r="D7655" s="76" t="s">
        <v>33</v>
      </c>
      <c r="E7655" s="76" t="s">
        <v>32</v>
      </c>
      <c r="F7655" s="76">
        <v>0.6</v>
      </c>
    </row>
    <row r="7656" s="76" customFormat="1" spans="1:6">
      <c r="A7656">
        <v>7879</v>
      </c>
      <c r="B7656">
        <v>412016241</v>
      </c>
      <c r="C7656" s="76">
        <v>2016</v>
      </c>
      <c r="D7656" s="76" t="s">
        <v>33</v>
      </c>
      <c r="E7656" s="76" t="s">
        <v>32</v>
      </c>
      <c r="F7656" s="76">
        <v>1.5</v>
      </c>
    </row>
    <row r="7657" s="76" customFormat="1" spans="1:6">
      <c r="A7657">
        <v>7881</v>
      </c>
      <c r="B7657">
        <v>412016241</v>
      </c>
      <c r="C7657" s="76">
        <v>2016</v>
      </c>
      <c r="D7657" s="76" t="s">
        <v>33</v>
      </c>
      <c r="E7657" s="76" t="s">
        <v>32</v>
      </c>
      <c r="F7657" s="76">
        <v>2.5</v>
      </c>
    </row>
    <row r="7658" s="76" customFormat="1" spans="1:6">
      <c r="A7658">
        <v>7877</v>
      </c>
      <c r="B7658">
        <v>412016241</v>
      </c>
      <c r="C7658" s="76">
        <v>2016</v>
      </c>
      <c r="D7658" s="76" t="s">
        <v>33</v>
      </c>
      <c r="E7658" s="76" t="s">
        <v>32</v>
      </c>
      <c r="F7658" s="76">
        <v>6</v>
      </c>
    </row>
    <row r="7659" s="76" customFormat="1" spans="1:6">
      <c r="A7659">
        <v>7878</v>
      </c>
      <c r="B7659">
        <v>412016241</v>
      </c>
      <c r="C7659" s="76">
        <v>2016</v>
      </c>
      <c r="D7659" s="76" t="s">
        <v>33</v>
      </c>
      <c r="E7659" s="76" t="s">
        <v>32</v>
      </c>
      <c r="F7659" s="76">
        <v>4</v>
      </c>
    </row>
    <row r="7660" s="76" customFormat="1" spans="1:6">
      <c r="A7660">
        <v>7880</v>
      </c>
      <c r="B7660">
        <v>412016241</v>
      </c>
      <c r="C7660" s="76">
        <v>2016</v>
      </c>
      <c r="D7660" s="76" t="s">
        <v>33</v>
      </c>
      <c r="E7660" s="76" t="s">
        <v>32</v>
      </c>
      <c r="F7660" s="76">
        <v>0.6</v>
      </c>
    </row>
    <row r="7661" s="76" customFormat="1" spans="1:6">
      <c r="A7661">
        <v>7882</v>
      </c>
      <c r="B7661">
        <v>412016241</v>
      </c>
      <c r="C7661" s="76">
        <v>2016</v>
      </c>
      <c r="D7661" s="76" t="s">
        <v>33</v>
      </c>
      <c r="E7661" s="76" t="s">
        <v>32</v>
      </c>
      <c r="F7661" s="76">
        <v>6.3</v>
      </c>
    </row>
    <row r="7662" s="76" customFormat="1" spans="1:6">
      <c r="A7662">
        <v>7892</v>
      </c>
      <c r="B7662">
        <v>412016260</v>
      </c>
      <c r="C7662" s="76">
        <v>2016</v>
      </c>
      <c r="D7662" s="76" t="s">
        <v>34</v>
      </c>
      <c r="E7662" s="76">
        <v>21</v>
      </c>
      <c r="F7662" s="76">
        <v>4.2</v>
      </c>
    </row>
    <row r="7663" s="76" customFormat="1" spans="1:6">
      <c r="A7663">
        <v>7891</v>
      </c>
      <c r="B7663">
        <v>412016260</v>
      </c>
      <c r="C7663" s="76">
        <v>2016</v>
      </c>
      <c r="D7663" s="76" t="s">
        <v>34</v>
      </c>
      <c r="E7663" s="76" t="s">
        <v>32</v>
      </c>
      <c r="F7663" s="76">
        <v>4.75</v>
      </c>
    </row>
    <row r="7664" s="76" customFormat="1" spans="1:6">
      <c r="A7664">
        <v>7890</v>
      </c>
      <c r="B7664">
        <v>412016260</v>
      </c>
      <c r="C7664" s="76">
        <v>2016</v>
      </c>
      <c r="D7664" s="76" t="s">
        <v>34</v>
      </c>
      <c r="E7664" s="76">
        <v>19</v>
      </c>
      <c r="F7664" s="76">
        <v>5</v>
      </c>
    </row>
    <row r="7665" s="76" customFormat="1" spans="1:6">
      <c r="A7665">
        <v>7886</v>
      </c>
      <c r="B7665">
        <v>412016260</v>
      </c>
      <c r="C7665" s="76">
        <v>2016</v>
      </c>
      <c r="D7665" s="76" t="s">
        <v>34</v>
      </c>
      <c r="E7665" s="76">
        <v>24</v>
      </c>
      <c r="F7665" s="76">
        <v>4.8</v>
      </c>
    </row>
    <row r="7666" s="76" customFormat="1" spans="1:6">
      <c r="A7666">
        <v>7885</v>
      </c>
      <c r="B7666">
        <v>412016260</v>
      </c>
      <c r="C7666" s="76">
        <v>2016</v>
      </c>
      <c r="D7666" s="76" t="s">
        <v>34</v>
      </c>
      <c r="E7666" s="76">
        <v>22</v>
      </c>
      <c r="F7666" s="76">
        <v>4.25</v>
      </c>
    </row>
    <row r="7667" s="76" customFormat="1" spans="1:6">
      <c r="A7667">
        <v>7889</v>
      </c>
      <c r="B7667">
        <v>412016260</v>
      </c>
      <c r="C7667" s="76">
        <v>2016</v>
      </c>
      <c r="D7667" s="76" t="s">
        <v>34</v>
      </c>
      <c r="E7667" s="76" t="s">
        <v>32</v>
      </c>
      <c r="F7667" s="76">
        <v>3.2</v>
      </c>
    </row>
    <row r="7668" s="76" customFormat="1" spans="1:6">
      <c r="A7668">
        <v>7888</v>
      </c>
      <c r="B7668">
        <v>412016260</v>
      </c>
      <c r="C7668" s="76">
        <v>2016</v>
      </c>
      <c r="D7668" s="76" t="s">
        <v>34</v>
      </c>
      <c r="E7668" s="76" t="s">
        <v>32</v>
      </c>
      <c r="F7668" s="76">
        <v>4.6</v>
      </c>
    </row>
    <row r="7669" s="76" customFormat="1" spans="1:6">
      <c r="A7669">
        <v>7887</v>
      </c>
      <c r="B7669">
        <v>412016260</v>
      </c>
      <c r="C7669" s="76">
        <v>2016</v>
      </c>
      <c r="D7669" s="76" t="s">
        <v>34</v>
      </c>
      <c r="E7669" s="76">
        <v>16</v>
      </c>
      <c r="F7669" s="76">
        <v>3.2</v>
      </c>
    </row>
    <row r="7670" s="76" customFormat="1" spans="1:6">
      <c r="A7670">
        <v>7927</v>
      </c>
      <c r="B7670">
        <v>412016270</v>
      </c>
      <c r="C7670" s="76">
        <v>2016</v>
      </c>
      <c r="D7670" s="76" t="s">
        <v>31</v>
      </c>
      <c r="E7670" s="76" t="s">
        <v>32</v>
      </c>
      <c r="F7670" s="76">
        <v>5</v>
      </c>
    </row>
    <row r="7671" s="76" customFormat="1" spans="1:6">
      <c r="A7671">
        <v>7893</v>
      </c>
      <c r="B7671">
        <v>412016270</v>
      </c>
      <c r="C7671" s="76">
        <v>2016</v>
      </c>
      <c r="D7671" s="76" t="s">
        <v>31</v>
      </c>
      <c r="E7671" s="76" t="s">
        <v>32</v>
      </c>
      <c r="F7671" s="76">
        <v>1</v>
      </c>
    </row>
    <row r="7672" s="76" customFormat="1" spans="1:6">
      <c r="A7672">
        <v>7902</v>
      </c>
      <c r="B7672">
        <v>412016270</v>
      </c>
      <c r="C7672" s="76">
        <v>2016</v>
      </c>
      <c r="D7672" s="76" t="s">
        <v>31</v>
      </c>
      <c r="E7672" s="76" t="s">
        <v>32</v>
      </c>
      <c r="F7672" s="76">
        <v>5</v>
      </c>
    </row>
    <row r="7673" s="76" customFormat="1" spans="1:6">
      <c r="A7673">
        <v>7926</v>
      </c>
      <c r="B7673">
        <v>412016270</v>
      </c>
      <c r="C7673" s="76">
        <v>2016</v>
      </c>
      <c r="D7673" s="76" t="s">
        <v>31</v>
      </c>
      <c r="E7673" s="76" t="s">
        <v>32</v>
      </c>
      <c r="F7673" s="76">
        <v>2</v>
      </c>
    </row>
    <row r="7674" s="76" customFormat="1" spans="1:6">
      <c r="A7674">
        <v>7955</v>
      </c>
      <c r="B7674">
        <v>412016270</v>
      </c>
      <c r="C7674" s="76">
        <v>2016</v>
      </c>
      <c r="D7674" s="76" t="s">
        <v>31</v>
      </c>
      <c r="E7674" s="76" t="s">
        <v>32</v>
      </c>
      <c r="F7674" s="76">
        <v>5</v>
      </c>
    </row>
    <row r="7675" s="76" customFormat="1" spans="1:6">
      <c r="A7675">
        <v>7932</v>
      </c>
      <c r="B7675">
        <v>412016270</v>
      </c>
      <c r="C7675" s="76">
        <v>2016</v>
      </c>
      <c r="D7675" s="76" t="s">
        <v>31</v>
      </c>
      <c r="E7675" s="76" t="s">
        <v>32</v>
      </c>
      <c r="F7675" s="76">
        <v>2</v>
      </c>
    </row>
    <row r="7676" s="76" customFormat="1" spans="1:6">
      <c r="A7676">
        <v>7921</v>
      </c>
      <c r="B7676">
        <v>412016270</v>
      </c>
      <c r="C7676" s="76">
        <v>2016</v>
      </c>
      <c r="D7676" s="76" t="s">
        <v>31</v>
      </c>
      <c r="E7676" s="76" t="s">
        <v>32</v>
      </c>
      <c r="F7676" s="76">
        <v>2</v>
      </c>
    </row>
    <row r="7677" s="76" customFormat="1" spans="1:6">
      <c r="A7677">
        <v>7934</v>
      </c>
      <c r="B7677">
        <v>412016270</v>
      </c>
      <c r="C7677" s="76">
        <v>2016</v>
      </c>
      <c r="D7677" s="76" t="s">
        <v>31</v>
      </c>
      <c r="E7677" s="76" t="s">
        <v>32</v>
      </c>
      <c r="F7677" s="76">
        <v>2</v>
      </c>
    </row>
    <row r="7678" s="76" customFormat="1" spans="1:6">
      <c r="A7678">
        <v>7922</v>
      </c>
      <c r="B7678">
        <v>412016270</v>
      </c>
      <c r="C7678" s="76">
        <v>2016</v>
      </c>
      <c r="D7678" s="76" t="s">
        <v>31</v>
      </c>
      <c r="E7678" s="76" t="s">
        <v>32</v>
      </c>
      <c r="F7678" s="76">
        <v>2</v>
      </c>
    </row>
    <row r="7679" s="76" customFormat="1" spans="1:6">
      <c r="A7679">
        <v>7944</v>
      </c>
      <c r="B7679">
        <v>412016270</v>
      </c>
      <c r="C7679" s="76">
        <v>2016</v>
      </c>
      <c r="D7679" s="76" t="s">
        <v>31</v>
      </c>
      <c r="E7679" s="76" t="s">
        <v>32</v>
      </c>
      <c r="F7679" s="76">
        <v>2</v>
      </c>
    </row>
    <row r="7680" s="76" customFormat="1" spans="1:6">
      <c r="A7680">
        <v>7937</v>
      </c>
      <c r="B7680">
        <v>412016270</v>
      </c>
      <c r="C7680" s="76">
        <v>2016</v>
      </c>
      <c r="D7680" s="76" t="s">
        <v>31</v>
      </c>
      <c r="E7680" s="76" t="s">
        <v>32</v>
      </c>
      <c r="F7680" s="76">
        <v>10</v>
      </c>
    </row>
    <row r="7681" s="76" customFormat="1" spans="1:6">
      <c r="A7681">
        <v>7898</v>
      </c>
      <c r="B7681">
        <v>412016270</v>
      </c>
      <c r="C7681" s="76">
        <v>2016</v>
      </c>
      <c r="D7681" s="76" t="s">
        <v>31</v>
      </c>
      <c r="E7681" s="76" t="s">
        <v>32</v>
      </c>
      <c r="F7681" s="76">
        <v>2</v>
      </c>
    </row>
    <row r="7682" s="76" customFormat="1" spans="1:6">
      <c r="A7682">
        <v>7908</v>
      </c>
      <c r="B7682">
        <v>412016270</v>
      </c>
      <c r="C7682" s="76">
        <v>2016</v>
      </c>
      <c r="D7682" s="76" t="s">
        <v>31</v>
      </c>
      <c r="E7682" s="76" t="s">
        <v>32</v>
      </c>
      <c r="F7682" s="76">
        <v>15</v>
      </c>
    </row>
    <row r="7683" s="76" customFormat="1" spans="1:6">
      <c r="A7683">
        <v>7936</v>
      </c>
      <c r="B7683">
        <v>412016270</v>
      </c>
      <c r="C7683" s="76">
        <v>2016</v>
      </c>
      <c r="D7683" s="76" t="s">
        <v>31</v>
      </c>
      <c r="E7683" s="76" t="s">
        <v>32</v>
      </c>
      <c r="F7683" s="76">
        <v>5</v>
      </c>
    </row>
    <row r="7684" s="76" customFormat="1" spans="1:6">
      <c r="A7684">
        <v>7946</v>
      </c>
      <c r="B7684">
        <v>412016270</v>
      </c>
      <c r="C7684" s="76">
        <v>2016</v>
      </c>
      <c r="D7684" s="76" t="s">
        <v>31</v>
      </c>
      <c r="E7684" s="76" t="s">
        <v>32</v>
      </c>
      <c r="F7684" s="76">
        <v>2</v>
      </c>
    </row>
    <row r="7685" s="76" customFormat="1" spans="1:6">
      <c r="A7685">
        <v>7935</v>
      </c>
      <c r="B7685">
        <v>412016270</v>
      </c>
      <c r="C7685" s="76">
        <v>2016</v>
      </c>
      <c r="D7685" s="76" t="s">
        <v>31</v>
      </c>
      <c r="E7685" s="76" t="s">
        <v>32</v>
      </c>
      <c r="F7685" s="76">
        <v>10</v>
      </c>
    </row>
    <row r="7686" s="76" customFormat="1" spans="1:6">
      <c r="A7686">
        <v>7945</v>
      </c>
      <c r="B7686">
        <v>412016270</v>
      </c>
      <c r="C7686" s="76">
        <v>2016</v>
      </c>
      <c r="D7686" s="76" t="s">
        <v>31</v>
      </c>
      <c r="E7686" s="76" t="s">
        <v>32</v>
      </c>
      <c r="F7686" s="76">
        <v>2</v>
      </c>
    </row>
    <row r="7687" s="76" customFormat="1" spans="1:6">
      <c r="A7687">
        <v>7915</v>
      </c>
      <c r="B7687">
        <v>412016270</v>
      </c>
      <c r="C7687" s="76">
        <v>2016</v>
      </c>
      <c r="D7687" s="76" t="s">
        <v>31</v>
      </c>
      <c r="E7687" s="76" t="s">
        <v>32</v>
      </c>
      <c r="F7687" s="76">
        <v>2</v>
      </c>
    </row>
    <row r="7688" s="76" customFormat="1" spans="1:6">
      <c r="A7688">
        <v>7894</v>
      </c>
      <c r="B7688">
        <v>412016270</v>
      </c>
      <c r="C7688" s="76">
        <v>2016</v>
      </c>
      <c r="D7688" s="76" t="s">
        <v>31</v>
      </c>
      <c r="E7688" s="76" t="s">
        <v>32</v>
      </c>
      <c r="F7688" s="76">
        <v>2</v>
      </c>
    </row>
    <row r="7689" s="76" customFormat="1" spans="1:6">
      <c r="A7689">
        <v>7928</v>
      </c>
      <c r="B7689">
        <v>412016270</v>
      </c>
      <c r="C7689" s="76">
        <v>2016</v>
      </c>
      <c r="D7689" s="76" t="s">
        <v>31</v>
      </c>
      <c r="E7689" s="76" t="s">
        <v>32</v>
      </c>
      <c r="F7689" s="76">
        <v>2</v>
      </c>
    </row>
    <row r="7690" s="76" customFormat="1" spans="1:6">
      <c r="A7690">
        <v>7897</v>
      </c>
      <c r="B7690">
        <v>412016270</v>
      </c>
      <c r="C7690" s="76">
        <v>2016</v>
      </c>
      <c r="D7690" s="76" t="s">
        <v>31</v>
      </c>
      <c r="E7690" s="76" t="s">
        <v>32</v>
      </c>
      <c r="F7690" s="76">
        <v>2</v>
      </c>
    </row>
    <row r="7691" s="76" customFormat="1" spans="1:6">
      <c r="A7691">
        <v>7910</v>
      </c>
      <c r="B7691">
        <v>412016270</v>
      </c>
      <c r="C7691" s="76">
        <v>2016</v>
      </c>
      <c r="D7691" s="76" t="s">
        <v>31</v>
      </c>
      <c r="E7691" s="76" t="s">
        <v>32</v>
      </c>
      <c r="F7691" s="76">
        <v>13</v>
      </c>
    </row>
    <row r="7692" s="76" customFormat="1" spans="1:6">
      <c r="A7692">
        <v>7920</v>
      </c>
      <c r="B7692">
        <v>412016270</v>
      </c>
      <c r="C7692" s="76">
        <v>2016</v>
      </c>
      <c r="D7692" s="76" t="s">
        <v>31</v>
      </c>
      <c r="E7692" s="76" t="s">
        <v>32</v>
      </c>
      <c r="F7692" s="76">
        <v>2</v>
      </c>
    </row>
    <row r="7693" s="76" customFormat="1" spans="1:6">
      <c r="A7693">
        <v>7950</v>
      </c>
      <c r="B7693">
        <v>412016270</v>
      </c>
      <c r="C7693" s="76">
        <v>2016</v>
      </c>
      <c r="D7693" s="76" t="s">
        <v>31</v>
      </c>
      <c r="E7693" s="76" t="s">
        <v>32</v>
      </c>
      <c r="F7693" s="76">
        <v>2</v>
      </c>
    </row>
    <row r="7694" s="76" customFormat="1" spans="1:6">
      <c r="A7694">
        <v>7930</v>
      </c>
      <c r="B7694">
        <v>412016270</v>
      </c>
      <c r="C7694" s="76">
        <v>2016</v>
      </c>
      <c r="D7694" s="76" t="s">
        <v>31</v>
      </c>
      <c r="E7694" s="76" t="s">
        <v>32</v>
      </c>
      <c r="F7694" s="76">
        <v>5</v>
      </c>
    </row>
    <row r="7695" s="76" customFormat="1" spans="1:6">
      <c r="A7695">
        <v>7895</v>
      </c>
      <c r="B7695">
        <v>412016270</v>
      </c>
      <c r="C7695" s="76">
        <v>2016</v>
      </c>
      <c r="D7695" s="76" t="s">
        <v>31</v>
      </c>
      <c r="E7695" s="76" t="s">
        <v>32</v>
      </c>
      <c r="F7695" s="76">
        <v>2</v>
      </c>
    </row>
    <row r="7696" s="76" customFormat="1" spans="1:6">
      <c r="A7696">
        <v>7952</v>
      </c>
      <c r="B7696">
        <v>412016270</v>
      </c>
      <c r="C7696" s="76">
        <v>2016</v>
      </c>
      <c r="D7696" s="76" t="s">
        <v>31</v>
      </c>
      <c r="E7696" s="76" t="s">
        <v>32</v>
      </c>
      <c r="F7696" s="76">
        <v>5</v>
      </c>
    </row>
    <row r="7697" s="76" customFormat="1" spans="1:6">
      <c r="A7697">
        <v>7903</v>
      </c>
      <c r="B7697">
        <v>412016270</v>
      </c>
      <c r="C7697" s="76">
        <v>2016</v>
      </c>
      <c r="D7697" s="76" t="s">
        <v>31</v>
      </c>
      <c r="E7697" s="76" t="s">
        <v>32</v>
      </c>
      <c r="F7697" s="76">
        <v>2</v>
      </c>
    </row>
    <row r="7698" s="76" customFormat="1" spans="1:6">
      <c r="A7698">
        <v>7956</v>
      </c>
      <c r="B7698">
        <v>412016270</v>
      </c>
      <c r="C7698" s="76">
        <v>2016</v>
      </c>
      <c r="D7698" s="76" t="s">
        <v>31</v>
      </c>
      <c r="E7698" s="76" t="s">
        <v>32</v>
      </c>
      <c r="F7698" s="76">
        <v>1.6</v>
      </c>
    </row>
    <row r="7699" s="76" customFormat="1" spans="1:6">
      <c r="A7699">
        <v>7943</v>
      </c>
      <c r="B7699">
        <v>412016270</v>
      </c>
      <c r="C7699" s="76">
        <v>2016</v>
      </c>
      <c r="D7699" s="76" t="s">
        <v>31</v>
      </c>
      <c r="E7699" s="76" t="s">
        <v>32</v>
      </c>
      <c r="F7699" s="76">
        <v>1.8</v>
      </c>
    </row>
    <row r="7700" s="76" customFormat="1" spans="1:6">
      <c r="A7700">
        <v>7931</v>
      </c>
      <c r="B7700">
        <v>412016270</v>
      </c>
      <c r="C7700" s="76">
        <v>2016</v>
      </c>
      <c r="D7700" s="76" t="s">
        <v>31</v>
      </c>
      <c r="E7700" s="76" t="s">
        <v>32</v>
      </c>
      <c r="F7700" s="76">
        <v>2</v>
      </c>
    </row>
    <row r="7701" s="76" customFormat="1" spans="1:6">
      <c r="A7701">
        <v>7904</v>
      </c>
      <c r="B7701">
        <v>412016270</v>
      </c>
      <c r="C7701" s="76">
        <v>2016</v>
      </c>
      <c r="D7701" s="76" t="s">
        <v>31</v>
      </c>
      <c r="E7701" s="76" t="s">
        <v>32</v>
      </c>
      <c r="F7701" s="76">
        <v>2</v>
      </c>
    </row>
    <row r="7702" s="76" customFormat="1" spans="1:6">
      <c r="A7702">
        <v>7896</v>
      </c>
      <c r="B7702">
        <v>412016270</v>
      </c>
      <c r="C7702" s="76">
        <v>2016</v>
      </c>
      <c r="D7702" s="76" t="s">
        <v>31</v>
      </c>
      <c r="E7702" s="76" t="s">
        <v>32</v>
      </c>
      <c r="F7702" s="76">
        <v>2</v>
      </c>
    </row>
    <row r="7703" s="76" customFormat="1" spans="1:6">
      <c r="A7703">
        <v>7918</v>
      </c>
      <c r="B7703">
        <v>412016270</v>
      </c>
      <c r="C7703" s="76">
        <v>2016</v>
      </c>
      <c r="D7703" s="76" t="s">
        <v>31</v>
      </c>
      <c r="E7703" s="76" t="s">
        <v>32</v>
      </c>
      <c r="F7703" s="76">
        <v>2</v>
      </c>
    </row>
    <row r="7704" s="76" customFormat="1" spans="1:6">
      <c r="A7704">
        <v>7912</v>
      </c>
      <c r="B7704">
        <v>412016270</v>
      </c>
      <c r="C7704" s="76">
        <v>2016</v>
      </c>
      <c r="D7704" s="76" t="s">
        <v>31</v>
      </c>
      <c r="E7704" s="76" t="s">
        <v>32</v>
      </c>
      <c r="F7704" s="76">
        <v>2</v>
      </c>
    </row>
    <row r="7705" s="76" customFormat="1" spans="1:6">
      <c r="A7705">
        <v>7913</v>
      </c>
      <c r="B7705">
        <v>412016270</v>
      </c>
      <c r="C7705" s="76">
        <v>2016</v>
      </c>
      <c r="D7705" s="76" t="s">
        <v>31</v>
      </c>
      <c r="E7705" s="76" t="s">
        <v>32</v>
      </c>
      <c r="F7705" s="76">
        <v>2</v>
      </c>
    </row>
    <row r="7706" s="76" customFormat="1" spans="1:6">
      <c r="A7706">
        <v>7953</v>
      </c>
      <c r="B7706">
        <v>412016270</v>
      </c>
      <c r="C7706" s="76">
        <v>2016</v>
      </c>
      <c r="D7706" s="76" t="s">
        <v>31</v>
      </c>
      <c r="E7706" s="76" t="s">
        <v>32</v>
      </c>
      <c r="F7706" s="76">
        <v>2</v>
      </c>
    </row>
    <row r="7707" s="76" customFormat="1" spans="1:6">
      <c r="A7707">
        <v>7939</v>
      </c>
      <c r="B7707">
        <v>412016270</v>
      </c>
      <c r="C7707" s="76">
        <v>2016</v>
      </c>
      <c r="D7707" s="76" t="s">
        <v>31</v>
      </c>
      <c r="E7707" s="76" t="s">
        <v>32</v>
      </c>
      <c r="F7707" s="76">
        <v>2</v>
      </c>
    </row>
    <row r="7708" s="76" customFormat="1" spans="1:6">
      <c r="A7708">
        <v>7938</v>
      </c>
      <c r="B7708">
        <v>412016270</v>
      </c>
      <c r="C7708" s="76">
        <v>2016</v>
      </c>
      <c r="D7708" s="76" t="s">
        <v>31</v>
      </c>
      <c r="E7708" s="76" t="s">
        <v>32</v>
      </c>
      <c r="F7708" s="76">
        <v>2</v>
      </c>
    </row>
    <row r="7709" s="76" customFormat="1" spans="1:6">
      <c r="A7709">
        <v>7911</v>
      </c>
      <c r="B7709">
        <v>412016270</v>
      </c>
      <c r="C7709" s="76">
        <v>2016</v>
      </c>
      <c r="D7709" s="76" t="s">
        <v>31</v>
      </c>
      <c r="E7709" s="76" t="s">
        <v>32</v>
      </c>
      <c r="F7709" s="76">
        <v>2</v>
      </c>
    </row>
    <row r="7710" s="76" customFormat="1" spans="1:6">
      <c r="A7710">
        <v>7940</v>
      </c>
      <c r="B7710">
        <v>412016270</v>
      </c>
      <c r="C7710" s="76">
        <v>2016</v>
      </c>
      <c r="D7710" s="76" t="s">
        <v>31</v>
      </c>
      <c r="E7710" s="76" t="s">
        <v>32</v>
      </c>
      <c r="F7710" s="76">
        <v>1</v>
      </c>
    </row>
    <row r="7711" s="76" customFormat="1" spans="1:6">
      <c r="A7711">
        <v>7905</v>
      </c>
      <c r="B7711">
        <v>412016270</v>
      </c>
      <c r="C7711" s="76">
        <v>2016</v>
      </c>
      <c r="D7711" s="76" t="s">
        <v>31</v>
      </c>
      <c r="E7711" s="76" t="s">
        <v>32</v>
      </c>
      <c r="F7711" s="76">
        <v>3</v>
      </c>
    </row>
    <row r="7712" s="76" customFormat="1" spans="1:6">
      <c r="A7712">
        <v>7909</v>
      </c>
      <c r="B7712">
        <v>412016270</v>
      </c>
      <c r="C7712" s="76">
        <v>2016</v>
      </c>
      <c r="D7712" s="76" t="s">
        <v>31</v>
      </c>
      <c r="E7712" s="76" t="s">
        <v>32</v>
      </c>
      <c r="F7712" s="76">
        <v>5</v>
      </c>
    </row>
    <row r="7713" s="76" customFormat="1" spans="1:6">
      <c r="A7713">
        <v>7942</v>
      </c>
      <c r="B7713">
        <v>412016270</v>
      </c>
      <c r="C7713" s="76">
        <v>2016</v>
      </c>
      <c r="D7713" s="76" t="s">
        <v>31</v>
      </c>
      <c r="E7713" s="76" t="s">
        <v>32</v>
      </c>
      <c r="F7713" s="76">
        <v>10</v>
      </c>
    </row>
    <row r="7714" s="76" customFormat="1" spans="1:6">
      <c r="A7714">
        <v>7901</v>
      </c>
      <c r="B7714">
        <v>412016270</v>
      </c>
      <c r="C7714" s="76">
        <v>2016</v>
      </c>
      <c r="D7714" s="76" t="s">
        <v>31</v>
      </c>
      <c r="E7714" s="76" t="s">
        <v>32</v>
      </c>
      <c r="F7714" s="76">
        <v>3</v>
      </c>
    </row>
    <row r="7715" s="76" customFormat="1" spans="1:6">
      <c r="A7715">
        <v>7899</v>
      </c>
      <c r="B7715">
        <v>412016270</v>
      </c>
      <c r="C7715" s="76">
        <v>2016</v>
      </c>
      <c r="D7715" s="76" t="s">
        <v>31</v>
      </c>
      <c r="E7715" s="76" t="s">
        <v>32</v>
      </c>
      <c r="F7715" s="76">
        <v>2</v>
      </c>
    </row>
    <row r="7716" s="76" customFormat="1" spans="1:6">
      <c r="A7716">
        <v>7941</v>
      </c>
      <c r="B7716">
        <v>412016270</v>
      </c>
      <c r="C7716" s="76">
        <v>2016</v>
      </c>
      <c r="D7716" s="76" t="s">
        <v>31</v>
      </c>
      <c r="E7716" s="76" t="s">
        <v>32</v>
      </c>
      <c r="F7716" s="76">
        <v>2</v>
      </c>
    </row>
    <row r="7717" s="76" customFormat="1" spans="1:6">
      <c r="A7717">
        <v>7954</v>
      </c>
      <c r="B7717">
        <v>412016270</v>
      </c>
      <c r="C7717" s="76">
        <v>2016</v>
      </c>
      <c r="D7717" s="76" t="s">
        <v>31</v>
      </c>
      <c r="E7717" s="76" t="s">
        <v>32</v>
      </c>
      <c r="F7717" s="76">
        <v>2</v>
      </c>
    </row>
    <row r="7718" s="76" customFormat="1" spans="1:6">
      <c r="A7718">
        <v>7914</v>
      </c>
      <c r="B7718">
        <v>412016270</v>
      </c>
      <c r="C7718" s="76">
        <v>2016</v>
      </c>
      <c r="D7718" s="76" t="s">
        <v>31</v>
      </c>
      <c r="E7718" s="76" t="s">
        <v>32</v>
      </c>
      <c r="F7718" s="76">
        <v>2</v>
      </c>
    </row>
    <row r="7719" s="76" customFormat="1" spans="1:6">
      <c r="A7719">
        <v>7929</v>
      </c>
      <c r="B7719">
        <v>412016270</v>
      </c>
      <c r="C7719" s="76">
        <v>2016</v>
      </c>
      <c r="D7719" s="76" t="s">
        <v>31</v>
      </c>
      <c r="E7719" s="76" t="s">
        <v>32</v>
      </c>
      <c r="F7719" s="76">
        <v>2.99</v>
      </c>
    </row>
    <row r="7720" s="76" customFormat="1" spans="1:6">
      <c r="A7720">
        <v>7951</v>
      </c>
      <c r="B7720">
        <v>412016270</v>
      </c>
      <c r="C7720" s="76">
        <v>2016</v>
      </c>
      <c r="D7720" s="76" t="s">
        <v>31</v>
      </c>
      <c r="E7720" s="76" t="s">
        <v>32</v>
      </c>
      <c r="F7720" s="76">
        <v>2</v>
      </c>
    </row>
    <row r="7721" s="76" customFormat="1" spans="1:6">
      <c r="A7721">
        <v>7916</v>
      </c>
      <c r="B7721">
        <v>412016270</v>
      </c>
      <c r="C7721" s="76">
        <v>2016</v>
      </c>
      <c r="D7721" s="76" t="s">
        <v>31</v>
      </c>
      <c r="E7721" s="76" t="s">
        <v>32</v>
      </c>
      <c r="F7721" s="76">
        <v>5</v>
      </c>
    </row>
    <row r="7722" s="76" customFormat="1" spans="1:6">
      <c r="A7722">
        <v>7947</v>
      </c>
      <c r="B7722">
        <v>412016270</v>
      </c>
      <c r="C7722" s="76">
        <v>2016</v>
      </c>
      <c r="D7722" s="76" t="s">
        <v>31</v>
      </c>
      <c r="E7722" s="76" t="s">
        <v>32</v>
      </c>
      <c r="F7722" s="76">
        <v>10</v>
      </c>
    </row>
    <row r="7723" s="76" customFormat="1" spans="1:6">
      <c r="A7723">
        <v>7933</v>
      </c>
      <c r="B7723">
        <v>412016270</v>
      </c>
      <c r="C7723" s="76">
        <v>2016</v>
      </c>
      <c r="D7723" s="76" t="s">
        <v>31</v>
      </c>
      <c r="E7723" s="76" t="s">
        <v>32</v>
      </c>
      <c r="F7723" s="76">
        <v>2</v>
      </c>
    </row>
    <row r="7724" s="76" customFormat="1" spans="1:6">
      <c r="A7724">
        <v>7917</v>
      </c>
      <c r="B7724">
        <v>412016270</v>
      </c>
      <c r="C7724" s="76">
        <v>2016</v>
      </c>
      <c r="D7724" s="76" t="s">
        <v>31</v>
      </c>
      <c r="E7724" s="76" t="s">
        <v>32</v>
      </c>
      <c r="F7724" s="76">
        <v>10</v>
      </c>
    </row>
    <row r="7725" s="76" customFormat="1" spans="1:6">
      <c r="A7725">
        <v>7923</v>
      </c>
      <c r="B7725">
        <v>412016270</v>
      </c>
      <c r="C7725" s="76">
        <v>2016</v>
      </c>
      <c r="D7725" s="76" t="s">
        <v>31</v>
      </c>
      <c r="E7725" s="76" t="s">
        <v>32</v>
      </c>
      <c r="F7725" s="76">
        <v>2</v>
      </c>
    </row>
    <row r="7726" s="76" customFormat="1" spans="1:6">
      <c r="A7726">
        <v>7900</v>
      </c>
      <c r="B7726">
        <v>412016270</v>
      </c>
      <c r="C7726" s="76">
        <v>2016</v>
      </c>
      <c r="D7726" s="76" t="s">
        <v>31</v>
      </c>
      <c r="E7726" s="76" t="s">
        <v>32</v>
      </c>
      <c r="F7726" s="76">
        <v>6</v>
      </c>
    </row>
    <row r="7727" s="76" customFormat="1" spans="1:6">
      <c r="A7727">
        <v>7957</v>
      </c>
      <c r="B7727">
        <v>412016270</v>
      </c>
      <c r="C7727" s="76">
        <v>2016</v>
      </c>
      <c r="D7727" s="76" t="s">
        <v>31</v>
      </c>
      <c r="E7727" s="76" t="s">
        <v>32</v>
      </c>
      <c r="F7727" s="76">
        <v>2</v>
      </c>
    </row>
    <row r="7728" s="76" customFormat="1" spans="1:6">
      <c r="A7728">
        <v>7949</v>
      </c>
      <c r="B7728">
        <v>412016270</v>
      </c>
      <c r="C7728" s="76">
        <v>2016</v>
      </c>
      <c r="D7728" s="76" t="s">
        <v>31</v>
      </c>
      <c r="E7728" s="76" t="s">
        <v>32</v>
      </c>
      <c r="F7728" s="76">
        <v>5</v>
      </c>
    </row>
    <row r="7729" s="76" customFormat="1" spans="1:6">
      <c r="A7729">
        <v>7906</v>
      </c>
      <c r="B7729">
        <v>412016270</v>
      </c>
      <c r="C7729" s="76">
        <v>2016</v>
      </c>
      <c r="D7729" s="76" t="s">
        <v>31</v>
      </c>
      <c r="E7729" s="76" t="s">
        <v>32</v>
      </c>
      <c r="F7729" s="76">
        <v>4</v>
      </c>
    </row>
    <row r="7730" s="76" customFormat="1" spans="1:6">
      <c r="A7730">
        <v>7948</v>
      </c>
      <c r="B7730">
        <v>412016270</v>
      </c>
      <c r="C7730" s="76">
        <v>2016</v>
      </c>
      <c r="D7730" s="76" t="s">
        <v>31</v>
      </c>
      <c r="E7730" s="76" t="s">
        <v>32</v>
      </c>
      <c r="F7730" s="76">
        <v>2</v>
      </c>
    </row>
    <row r="7731" s="76" customFormat="1" spans="1:6">
      <c r="A7731">
        <v>7925</v>
      </c>
      <c r="B7731">
        <v>412016270</v>
      </c>
      <c r="C7731" s="76">
        <v>2016</v>
      </c>
      <c r="D7731" s="76" t="s">
        <v>31</v>
      </c>
      <c r="E7731" s="76" t="s">
        <v>32</v>
      </c>
      <c r="F7731" s="76">
        <v>14.7</v>
      </c>
    </row>
    <row r="7732" s="76" customFormat="1" spans="1:6">
      <c r="A7732">
        <v>7919</v>
      </c>
      <c r="B7732">
        <v>412016270</v>
      </c>
      <c r="C7732" s="76">
        <v>2016</v>
      </c>
      <c r="D7732" s="76" t="s">
        <v>31</v>
      </c>
      <c r="E7732" s="76" t="s">
        <v>32</v>
      </c>
      <c r="F7732" s="76">
        <v>2</v>
      </c>
    </row>
    <row r="7733" s="76" customFormat="1" spans="1:6">
      <c r="A7733">
        <v>7924</v>
      </c>
      <c r="B7733">
        <v>412016270</v>
      </c>
      <c r="C7733" s="76">
        <v>2016</v>
      </c>
      <c r="D7733" s="76" t="s">
        <v>31</v>
      </c>
      <c r="E7733" s="76" t="s">
        <v>32</v>
      </c>
      <c r="F7733" s="76">
        <v>1.5</v>
      </c>
    </row>
    <row r="7734" s="76" customFormat="1" spans="1:6">
      <c r="A7734">
        <v>7907</v>
      </c>
      <c r="B7734">
        <v>412016270</v>
      </c>
      <c r="C7734" s="76">
        <v>2016</v>
      </c>
      <c r="D7734" s="76" t="s">
        <v>31</v>
      </c>
      <c r="E7734" s="76" t="s">
        <v>32</v>
      </c>
      <c r="F7734" s="76">
        <v>2.5</v>
      </c>
    </row>
    <row r="7735" s="76" customFormat="1" spans="1:6">
      <c r="A7735">
        <v>7959</v>
      </c>
      <c r="B7735">
        <v>412017110</v>
      </c>
      <c r="C7735" s="76">
        <v>2017</v>
      </c>
      <c r="D7735" s="76" t="s">
        <v>40</v>
      </c>
      <c r="E7735" s="76" t="s">
        <v>32</v>
      </c>
      <c r="F7735" s="76">
        <v>0.08</v>
      </c>
    </row>
    <row r="7736" s="76" customFormat="1" spans="1:6">
      <c r="A7736">
        <v>7976</v>
      </c>
      <c r="B7736">
        <v>412017211</v>
      </c>
      <c r="C7736" s="76">
        <v>2017</v>
      </c>
      <c r="D7736" s="76" t="s">
        <v>37</v>
      </c>
      <c r="E7736" s="76" t="s">
        <v>32</v>
      </c>
      <c r="F7736" s="76">
        <v>60</v>
      </c>
    </row>
    <row r="7737" s="76" customFormat="1" spans="1:6">
      <c r="A7737">
        <v>7975</v>
      </c>
      <c r="B7737">
        <v>412017211</v>
      </c>
      <c r="C7737" s="76">
        <v>2017</v>
      </c>
      <c r="D7737" s="76" t="s">
        <v>37</v>
      </c>
      <c r="E7737" s="76" t="s">
        <v>32</v>
      </c>
      <c r="F7737" s="76">
        <v>60</v>
      </c>
    </row>
    <row r="7738" s="76" customFormat="1" spans="1:6">
      <c r="A7738">
        <v>7960</v>
      </c>
      <c r="B7738">
        <v>412017211</v>
      </c>
      <c r="C7738" s="76">
        <v>2017</v>
      </c>
      <c r="D7738" s="76" t="s">
        <v>37</v>
      </c>
      <c r="E7738" s="76">
        <v>1</v>
      </c>
      <c r="F7738" s="76">
        <v>100</v>
      </c>
    </row>
    <row r="7739" s="76" customFormat="1" spans="1:6">
      <c r="A7739">
        <v>7970</v>
      </c>
      <c r="B7739">
        <v>412017211</v>
      </c>
      <c r="C7739" s="76">
        <v>2017</v>
      </c>
      <c r="D7739" s="76" t="s">
        <v>37</v>
      </c>
      <c r="E7739" s="76" t="s">
        <v>32</v>
      </c>
      <c r="F7739" s="76">
        <v>10</v>
      </c>
    </row>
    <row r="7740" s="76" customFormat="1" spans="1:6">
      <c r="A7740">
        <v>7969</v>
      </c>
      <c r="B7740">
        <v>412017211</v>
      </c>
      <c r="C7740" s="76">
        <v>2017</v>
      </c>
      <c r="D7740" s="76" t="s">
        <v>37</v>
      </c>
      <c r="E7740" s="76" t="s">
        <v>32</v>
      </c>
      <c r="F7740" s="76">
        <v>0.6</v>
      </c>
    </row>
    <row r="7741" s="76" customFormat="1" spans="1:6">
      <c r="A7741">
        <v>7964</v>
      </c>
      <c r="B7741">
        <v>412017211</v>
      </c>
      <c r="C7741" s="76">
        <v>2017</v>
      </c>
      <c r="D7741" s="76" t="s">
        <v>37</v>
      </c>
      <c r="E7741" s="76" t="s">
        <v>32</v>
      </c>
      <c r="F7741" s="76">
        <v>6.1</v>
      </c>
    </row>
    <row r="7742" s="76" customFormat="1" spans="1:6">
      <c r="A7742">
        <v>7971</v>
      </c>
      <c r="B7742">
        <v>412017211</v>
      </c>
      <c r="C7742" s="76">
        <v>2017</v>
      </c>
      <c r="D7742" s="76" t="s">
        <v>37</v>
      </c>
      <c r="E7742" s="76" t="s">
        <v>32</v>
      </c>
      <c r="F7742" s="76">
        <v>2.5</v>
      </c>
    </row>
    <row r="7743" s="76" customFormat="1" spans="1:6">
      <c r="A7743">
        <v>7972</v>
      </c>
      <c r="B7743">
        <v>412017211</v>
      </c>
      <c r="C7743" s="76">
        <v>2017</v>
      </c>
      <c r="D7743" s="76" t="s">
        <v>37</v>
      </c>
      <c r="E7743" s="76" t="s">
        <v>32</v>
      </c>
      <c r="F7743" s="76">
        <v>2.5</v>
      </c>
    </row>
    <row r="7744" s="76" customFormat="1" spans="1:6">
      <c r="A7744">
        <v>7963</v>
      </c>
      <c r="B7744">
        <v>412017211</v>
      </c>
      <c r="C7744" s="76">
        <v>2017</v>
      </c>
      <c r="D7744" s="76" t="s">
        <v>37</v>
      </c>
      <c r="E7744" s="76" t="s">
        <v>32</v>
      </c>
      <c r="F7744" s="76">
        <v>0.6</v>
      </c>
    </row>
    <row r="7745" s="76" customFormat="1" spans="1:6">
      <c r="A7745">
        <v>7973</v>
      </c>
      <c r="B7745">
        <v>412017211</v>
      </c>
      <c r="C7745" s="76">
        <v>2017</v>
      </c>
      <c r="D7745" s="76" t="s">
        <v>37</v>
      </c>
      <c r="E7745" s="76" t="s">
        <v>32</v>
      </c>
      <c r="F7745" s="76">
        <v>4.45</v>
      </c>
    </row>
    <row r="7746" s="76" customFormat="1" spans="1:6">
      <c r="A7746">
        <v>7974</v>
      </c>
      <c r="B7746">
        <v>412017211</v>
      </c>
      <c r="C7746" s="76">
        <v>2017</v>
      </c>
      <c r="D7746" s="76" t="s">
        <v>37</v>
      </c>
      <c r="E7746" s="76" t="s">
        <v>32</v>
      </c>
      <c r="F7746" s="76">
        <v>1.2</v>
      </c>
    </row>
    <row r="7747" s="76" customFormat="1" spans="1:6">
      <c r="A7747">
        <v>7966</v>
      </c>
      <c r="B7747">
        <v>412017211</v>
      </c>
      <c r="C7747" s="76">
        <v>2017</v>
      </c>
      <c r="D7747" s="76" t="s">
        <v>37</v>
      </c>
      <c r="E7747" s="76" t="s">
        <v>32</v>
      </c>
      <c r="F7747" s="76">
        <v>2.4</v>
      </c>
    </row>
    <row r="7748" s="76" customFormat="1" spans="1:6">
      <c r="A7748">
        <v>7967</v>
      </c>
      <c r="B7748">
        <v>412017211</v>
      </c>
      <c r="C7748" s="76">
        <v>2017</v>
      </c>
      <c r="D7748" s="76" t="s">
        <v>37</v>
      </c>
      <c r="E7748" s="76" t="s">
        <v>32</v>
      </c>
      <c r="F7748" s="76">
        <v>1.2</v>
      </c>
    </row>
    <row r="7749" s="76" customFormat="1" spans="1:6">
      <c r="A7749">
        <v>7961</v>
      </c>
      <c r="B7749">
        <v>412017211</v>
      </c>
      <c r="C7749" s="76">
        <v>2017</v>
      </c>
      <c r="D7749" s="76" t="s">
        <v>37</v>
      </c>
      <c r="E7749" s="76" t="s">
        <v>32</v>
      </c>
      <c r="F7749" s="76">
        <v>27</v>
      </c>
    </row>
    <row r="7750" s="76" customFormat="1" spans="1:6">
      <c r="A7750">
        <v>7962</v>
      </c>
      <c r="B7750">
        <v>412017211</v>
      </c>
      <c r="C7750" s="76">
        <v>2017</v>
      </c>
      <c r="D7750" s="76" t="s">
        <v>37</v>
      </c>
      <c r="E7750" s="76" t="s">
        <v>32</v>
      </c>
      <c r="F7750" s="76">
        <v>1.2</v>
      </c>
    </row>
    <row r="7751" s="76" customFormat="1" spans="1:6">
      <c r="A7751">
        <v>7965</v>
      </c>
      <c r="B7751">
        <v>412017211</v>
      </c>
      <c r="C7751" s="76">
        <v>2017</v>
      </c>
      <c r="D7751" s="76" t="s">
        <v>37</v>
      </c>
      <c r="E7751" s="76" t="s">
        <v>32</v>
      </c>
      <c r="F7751" s="76">
        <v>2.4</v>
      </c>
    </row>
    <row r="7752" s="76" customFormat="1" spans="1:6">
      <c r="A7752">
        <v>7968</v>
      </c>
      <c r="B7752">
        <v>412017211</v>
      </c>
      <c r="C7752" s="76">
        <v>2017</v>
      </c>
      <c r="D7752" s="76" t="s">
        <v>37</v>
      </c>
      <c r="E7752" s="76" t="s">
        <v>32</v>
      </c>
      <c r="F7752" s="76">
        <v>5</v>
      </c>
    </row>
    <row r="7753" s="76" customFormat="1" spans="1:6">
      <c r="A7753">
        <v>7977</v>
      </c>
      <c r="B7753">
        <v>412017221</v>
      </c>
      <c r="C7753" s="76">
        <v>2017</v>
      </c>
      <c r="D7753" s="76" t="s">
        <v>30</v>
      </c>
      <c r="E7753" s="76" t="s">
        <v>32</v>
      </c>
      <c r="F7753" s="76">
        <v>3.6</v>
      </c>
    </row>
    <row r="7754" s="76" customFormat="1" spans="1:6">
      <c r="A7754">
        <v>7979</v>
      </c>
      <c r="B7754">
        <v>412017241</v>
      </c>
      <c r="C7754" s="76">
        <v>2017</v>
      </c>
      <c r="D7754" s="76" t="s">
        <v>33</v>
      </c>
      <c r="E7754" s="76" t="s">
        <v>32</v>
      </c>
      <c r="F7754" s="76">
        <v>0.9</v>
      </c>
    </row>
    <row r="7755" s="76" customFormat="1" spans="1:6">
      <c r="A7755">
        <v>7992</v>
      </c>
      <c r="B7755">
        <v>412017241</v>
      </c>
      <c r="C7755" s="76">
        <v>2017</v>
      </c>
      <c r="D7755" s="76" t="s">
        <v>33</v>
      </c>
      <c r="E7755" s="76" t="s">
        <v>32</v>
      </c>
      <c r="F7755" s="76">
        <v>5</v>
      </c>
    </row>
    <row r="7756" s="76" customFormat="1" spans="1:6">
      <c r="A7756">
        <v>7993</v>
      </c>
      <c r="B7756">
        <v>412017241</v>
      </c>
      <c r="C7756" s="76">
        <v>2017</v>
      </c>
      <c r="D7756" s="76" t="s">
        <v>33</v>
      </c>
      <c r="E7756" s="76" t="s">
        <v>32</v>
      </c>
      <c r="F7756" s="76">
        <v>0.75</v>
      </c>
    </row>
    <row r="7757" s="76" customFormat="1" spans="1:6">
      <c r="A7757">
        <v>7995</v>
      </c>
      <c r="B7757">
        <v>412017241</v>
      </c>
      <c r="C7757" s="76">
        <v>2017</v>
      </c>
      <c r="D7757" s="76" t="s">
        <v>33</v>
      </c>
      <c r="E7757" s="76" t="s">
        <v>32</v>
      </c>
      <c r="F7757" s="76">
        <v>0.9</v>
      </c>
    </row>
    <row r="7758" s="76" customFormat="1" spans="1:6">
      <c r="A7758">
        <v>7987</v>
      </c>
      <c r="B7758">
        <v>412017241</v>
      </c>
      <c r="C7758" s="76">
        <v>2017</v>
      </c>
      <c r="D7758" s="76" t="s">
        <v>33</v>
      </c>
      <c r="E7758" s="76" t="s">
        <v>32</v>
      </c>
      <c r="F7758" s="76">
        <v>1.2</v>
      </c>
    </row>
    <row r="7759" s="76" customFormat="1" spans="1:6">
      <c r="A7759">
        <v>7988</v>
      </c>
      <c r="B7759">
        <v>412017241</v>
      </c>
      <c r="C7759" s="76">
        <v>2017</v>
      </c>
      <c r="D7759" s="76" t="s">
        <v>33</v>
      </c>
      <c r="E7759" s="76" t="s">
        <v>32</v>
      </c>
      <c r="F7759" s="76">
        <v>0.6</v>
      </c>
    </row>
    <row r="7760" s="76" customFormat="1" spans="1:6">
      <c r="A7760">
        <v>7985</v>
      </c>
      <c r="B7760">
        <v>412017241</v>
      </c>
      <c r="C7760" s="76">
        <v>2017</v>
      </c>
      <c r="D7760" s="76" t="s">
        <v>33</v>
      </c>
      <c r="E7760" s="76" t="s">
        <v>32</v>
      </c>
      <c r="F7760" s="76">
        <v>1.2</v>
      </c>
    </row>
    <row r="7761" s="76" customFormat="1" spans="1:6">
      <c r="A7761">
        <v>7990</v>
      </c>
      <c r="B7761">
        <v>412017241</v>
      </c>
      <c r="C7761" s="76">
        <v>2017</v>
      </c>
      <c r="D7761" s="76" t="s">
        <v>33</v>
      </c>
      <c r="E7761" s="76" t="s">
        <v>32</v>
      </c>
      <c r="F7761" s="76">
        <v>0.9</v>
      </c>
    </row>
    <row r="7762" s="76" customFormat="1" spans="1:6">
      <c r="A7762">
        <v>7978</v>
      </c>
      <c r="B7762">
        <v>412017241</v>
      </c>
      <c r="C7762" s="76">
        <v>2017</v>
      </c>
      <c r="D7762" s="76" t="s">
        <v>33</v>
      </c>
      <c r="E7762" s="76" t="s">
        <v>32</v>
      </c>
      <c r="F7762" s="76">
        <v>1.8</v>
      </c>
    </row>
    <row r="7763" s="76" customFormat="1" spans="1:6">
      <c r="A7763">
        <v>7989</v>
      </c>
      <c r="B7763">
        <v>412017241</v>
      </c>
      <c r="C7763" s="76">
        <v>2017</v>
      </c>
      <c r="D7763" s="76" t="s">
        <v>33</v>
      </c>
      <c r="E7763" s="76" t="s">
        <v>32</v>
      </c>
      <c r="F7763" s="76">
        <v>0.65</v>
      </c>
    </row>
    <row r="7764" s="76" customFormat="1" spans="1:6">
      <c r="A7764">
        <v>7982</v>
      </c>
      <c r="B7764">
        <v>412017241</v>
      </c>
      <c r="C7764" s="76">
        <v>2017</v>
      </c>
      <c r="D7764" s="76" t="s">
        <v>33</v>
      </c>
      <c r="E7764" s="76" t="s">
        <v>32</v>
      </c>
      <c r="F7764" s="76">
        <v>0.9</v>
      </c>
    </row>
    <row r="7765" s="76" customFormat="1" spans="1:6">
      <c r="A7765">
        <v>7983</v>
      </c>
      <c r="B7765">
        <v>412017241</v>
      </c>
      <c r="C7765" s="76">
        <v>2017</v>
      </c>
      <c r="D7765" s="76" t="s">
        <v>33</v>
      </c>
      <c r="E7765" s="76" t="s">
        <v>32</v>
      </c>
      <c r="F7765" s="76">
        <v>0.6</v>
      </c>
    </row>
    <row r="7766" s="76" customFormat="1" spans="1:6">
      <c r="A7766">
        <v>7996</v>
      </c>
      <c r="B7766">
        <v>412017241</v>
      </c>
      <c r="C7766" s="76">
        <v>2017</v>
      </c>
      <c r="D7766" s="76" t="s">
        <v>33</v>
      </c>
      <c r="E7766" s="76" t="s">
        <v>32</v>
      </c>
      <c r="F7766" s="76">
        <v>0.6</v>
      </c>
    </row>
    <row r="7767" s="76" customFormat="1" spans="1:6">
      <c r="A7767">
        <v>7994</v>
      </c>
      <c r="B7767">
        <v>412017241</v>
      </c>
      <c r="C7767" s="76">
        <v>2017</v>
      </c>
      <c r="D7767" s="76" t="s">
        <v>33</v>
      </c>
      <c r="E7767" s="76" t="s">
        <v>32</v>
      </c>
      <c r="F7767" s="76">
        <v>0.6</v>
      </c>
    </row>
    <row r="7768" s="76" customFormat="1" spans="1:6">
      <c r="A7768">
        <v>7984</v>
      </c>
      <c r="B7768">
        <v>412017241</v>
      </c>
      <c r="C7768" s="76">
        <v>2017</v>
      </c>
      <c r="D7768" s="76" t="s">
        <v>33</v>
      </c>
      <c r="E7768" s="76" t="s">
        <v>32</v>
      </c>
      <c r="F7768" s="76">
        <v>0.9</v>
      </c>
    </row>
    <row r="7769" s="76" customFormat="1" spans="1:6">
      <c r="A7769">
        <v>7986</v>
      </c>
      <c r="B7769">
        <v>412017241</v>
      </c>
      <c r="C7769" s="76">
        <v>2017</v>
      </c>
      <c r="D7769" s="76" t="s">
        <v>33</v>
      </c>
      <c r="E7769" s="76" t="s">
        <v>32</v>
      </c>
      <c r="F7769" s="76">
        <v>7.4</v>
      </c>
    </row>
    <row r="7770" s="76" customFormat="1" spans="1:6">
      <c r="A7770">
        <v>7991</v>
      </c>
      <c r="B7770">
        <v>412017241</v>
      </c>
      <c r="C7770" s="76">
        <v>2017</v>
      </c>
      <c r="D7770" s="76" t="s">
        <v>33</v>
      </c>
      <c r="E7770" s="76" t="s">
        <v>32</v>
      </c>
      <c r="F7770" s="76">
        <v>5</v>
      </c>
    </row>
    <row r="7771" s="76" customFormat="1" spans="1:6">
      <c r="A7771">
        <v>7981</v>
      </c>
      <c r="B7771">
        <v>412017241</v>
      </c>
      <c r="C7771" s="76">
        <v>2017</v>
      </c>
      <c r="D7771" s="76" t="s">
        <v>33</v>
      </c>
      <c r="E7771" s="76" t="s">
        <v>32</v>
      </c>
      <c r="F7771" s="76">
        <v>0.75</v>
      </c>
    </row>
    <row r="7772" s="76" customFormat="1" spans="1:6">
      <c r="A7772">
        <v>7997</v>
      </c>
      <c r="B7772">
        <v>412017243</v>
      </c>
      <c r="C7772" s="76">
        <v>2017</v>
      </c>
      <c r="D7772" s="76" t="s">
        <v>38</v>
      </c>
      <c r="E7772" s="76" t="s">
        <v>32</v>
      </c>
      <c r="F7772" s="76">
        <v>1.2</v>
      </c>
    </row>
    <row r="7773" s="76" customFormat="1" spans="1:6">
      <c r="A7773">
        <v>8016</v>
      </c>
      <c r="B7773">
        <v>412017260</v>
      </c>
      <c r="C7773" s="76">
        <v>2017</v>
      </c>
      <c r="D7773" s="76" t="s">
        <v>34</v>
      </c>
      <c r="E7773" s="76">
        <v>24</v>
      </c>
      <c r="F7773" s="76">
        <v>6</v>
      </c>
    </row>
    <row r="7774" s="76" customFormat="1" spans="1:6">
      <c r="A7774">
        <v>8017</v>
      </c>
      <c r="B7774">
        <v>412017260</v>
      </c>
      <c r="C7774" s="76">
        <v>2017</v>
      </c>
      <c r="D7774" s="76" t="s">
        <v>34</v>
      </c>
      <c r="E7774" s="76">
        <v>6</v>
      </c>
      <c r="F7774" s="76">
        <v>1.2</v>
      </c>
    </row>
    <row r="7775" s="76" customFormat="1" spans="1:6">
      <c r="A7775">
        <v>8014</v>
      </c>
      <c r="B7775">
        <v>412017260</v>
      </c>
      <c r="C7775" s="76">
        <v>2017</v>
      </c>
      <c r="D7775" s="76" t="s">
        <v>34</v>
      </c>
      <c r="E7775" s="76">
        <v>24</v>
      </c>
      <c r="F7775" s="76">
        <v>7.2</v>
      </c>
    </row>
    <row r="7776" s="76" customFormat="1" spans="1:6">
      <c r="A7776">
        <v>8000</v>
      </c>
      <c r="B7776">
        <v>412017260</v>
      </c>
      <c r="C7776" s="76">
        <v>2017</v>
      </c>
      <c r="D7776" s="76" t="s">
        <v>34</v>
      </c>
      <c r="E7776" s="76" t="s">
        <v>32</v>
      </c>
      <c r="F7776" s="76">
        <v>8.3</v>
      </c>
    </row>
    <row r="7777" s="76" customFormat="1" spans="1:6">
      <c r="A7777">
        <v>7998</v>
      </c>
      <c r="B7777">
        <v>412017260</v>
      </c>
      <c r="C7777" s="76">
        <v>2017</v>
      </c>
      <c r="D7777" s="76" t="s">
        <v>34</v>
      </c>
      <c r="E7777" s="76">
        <v>1</v>
      </c>
      <c r="F7777" s="76">
        <v>1.6</v>
      </c>
    </row>
    <row r="7778" s="76" customFormat="1" spans="1:6">
      <c r="A7778">
        <v>8009</v>
      </c>
      <c r="B7778">
        <v>412017260</v>
      </c>
      <c r="C7778" s="76">
        <v>2017</v>
      </c>
      <c r="D7778" s="76" t="s">
        <v>34</v>
      </c>
      <c r="E7778" s="76" t="s">
        <v>32</v>
      </c>
      <c r="F7778" s="76">
        <v>4.8</v>
      </c>
    </row>
    <row r="7779" s="76" customFormat="1" spans="1:6">
      <c r="A7779">
        <v>8022</v>
      </c>
      <c r="B7779">
        <v>412017260</v>
      </c>
      <c r="C7779" s="76">
        <v>2017</v>
      </c>
      <c r="D7779" s="76" t="s">
        <v>34</v>
      </c>
      <c r="E7779" s="76" t="s">
        <v>32</v>
      </c>
      <c r="F7779" s="76">
        <v>0.25</v>
      </c>
    </row>
    <row r="7780" s="76" customFormat="1" spans="1:6">
      <c r="A7780">
        <v>8021</v>
      </c>
      <c r="B7780">
        <v>412017260</v>
      </c>
      <c r="C7780" s="76">
        <v>2017</v>
      </c>
      <c r="D7780" s="76" t="s">
        <v>34</v>
      </c>
      <c r="E7780" s="76" t="s">
        <v>32</v>
      </c>
      <c r="F7780" s="76">
        <v>4</v>
      </c>
    </row>
    <row r="7781" s="76" customFormat="1" spans="1:6">
      <c r="A7781">
        <v>8012</v>
      </c>
      <c r="B7781">
        <v>412017260</v>
      </c>
      <c r="C7781" s="76">
        <v>2017</v>
      </c>
      <c r="D7781" s="76" t="s">
        <v>34</v>
      </c>
      <c r="E7781" s="76">
        <v>23</v>
      </c>
      <c r="F7781" s="76">
        <v>4.6</v>
      </c>
    </row>
    <row r="7782" s="76" customFormat="1" spans="1:6">
      <c r="A7782">
        <v>8002</v>
      </c>
      <c r="B7782">
        <v>412017260</v>
      </c>
      <c r="C7782" s="76">
        <v>2017</v>
      </c>
      <c r="D7782" s="76" t="s">
        <v>34</v>
      </c>
      <c r="E7782" s="76">
        <v>1</v>
      </c>
      <c r="F7782" s="76">
        <v>4.8</v>
      </c>
    </row>
    <row r="7783" s="76" customFormat="1" spans="1:6">
      <c r="A7783">
        <v>8013</v>
      </c>
      <c r="B7783">
        <v>412017260</v>
      </c>
      <c r="C7783" s="76">
        <v>2017</v>
      </c>
      <c r="D7783" s="76" t="s">
        <v>34</v>
      </c>
      <c r="E7783" s="76">
        <v>15</v>
      </c>
      <c r="F7783" s="76">
        <v>3</v>
      </c>
    </row>
    <row r="7784" s="76" customFormat="1" spans="1:6">
      <c r="A7784">
        <v>8018</v>
      </c>
      <c r="B7784">
        <v>412017260</v>
      </c>
      <c r="C7784" s="76">
        <v>2017</v>
      </c>
      <c r="D7784" s="76" t="s">
        <v>34</v>
      </c>
      <c r="E7784" s="76" t="s">
        <v>32</v>
      </c>
      <c r="F7784" s="76">
        <v>10</v>
      </c>
    </row>
    <row r="7785" s="76" customFormat="1" spans="1:6">
      <c r="A7785">
        <v>8001</v>
      </c>
      <c r="B7785">
        <v>412017260</v>
      </c>
      <c r="C7785" s="76">
        <v>2017</v>
      </c>
      <c r="D7785" s="76" t="s">
        <v>34</v>
      </c>
      <c r="E7785" s="76" t="s">
        <v>32</v>
      </c>
      <c r="F7785" s="76">
        <v>7.6</v>
      </c>
    </row>
    <row r="7786" s="76" customFormat="1" spans="1:6">
      <c r="A7786">
        <v>8007</v>
      </c>
      <c r="B7786">
        <v>412017260</v>
      </c>
      <c r="C7786" s="76">
        <v>2017</v>
      </c>
      <c r="D7786" s="76" t="s">
        <v>34</v>
      </c>
      <c r="E7786" s="76" t="s">
        <v>32</v>
      </c>
      <c r="F7786" s="76">
        <v>4.8</v>
      </c>
    </row>
    <row r="7787" s="76" customFormat="1" spans="1:6">
      <c r="A7787">
        <v>8015</v>
      </c>
      <c r="B7787">
        <v>412017260</v>
      </c>
      <c r="C7787" s="76">
        <v>2017</v>
      </c>
      <c r="D7787" s="76" t="s">
        <v>34</v>
      </c>
      <c r="E7787" s="76">
        <v>24</v>
      </c>
      <c r="F7787" s="76">
        <v>4.8</v>
      </c>
    </row>
    <row r="7788" s="76" customFormat="1" spans="1:6">
      <c r="A7788">
        <v>8005</v>
      </c>
      <c r="B7788">
        <v>412017260</v>
      </c>
      <c r="C7788" s="76">
        <v>2017</v>
      </c>
      <c r="D7788" s="76" t="s">
        <v>34</v>
      </c>
      <c r="E7788" s="76" t="s">
        <v>32</v>
      </c>
      <c r="F7788" s="76">
        <v>4.82</v>
      </c>
    </row>
    <row r="7789" s="76" customFormat="1" spans="1:6">
      <c r="A7789">
        <v>8006</v>
      </c>
      <c r="B7789">
        <v>412017260</v>
      </c>
      <c r="C7789" s="76">
        <v>2017</v>
      </c>
      <c r="D7789" s="76" t="s">
        <v>34</v>
      </c>
      <c r="E7789" s="76" t="s">
        <v>32</v>
      </c>
      <c r="F7789" s="76">
        <v>10</v>
      </c>
    </row>
    <row r="7790" s="76" customFormat="1" spans="1:6">
      <c r="A7790">
        <v>8010</v>
      </c>
      <c r="B7790">
        <v>412017260</v>
      </c>
      <c r="C7790" s="76">
        <v>2017</v>
      </c>
      <c r="D7790" s="76" t="s">
        <v>34</v>
      </c>
      <c r="E7790" s="76" t="s">
        <v>32</v>
      </c>
      <c r="F7790" s="76">
        <v>4.8</v>
      </c>
    </row>
    <row r="7791" s="76" customFormat="1" spans="1:6">
      <c r="A7791">
        <v>7999</v>
      </c>
      <c r="B7791">
        <v>412017260</v>
      </c>
      <c r="C7791" s="76">
        <v>2017</v>
      </c>
      <c r="D7791" s="76" t="s">
        <v>34</v>
      </c>
      <c r="E7791" s="76" t="s">
        <v>32</v>
      </c>
      <c r="F7791" s="76">
        <v>10</v>
      </c>
    </row>
    <row r="7792" s="76" customFormat="1" spans="1:6">
      <c r="A7792">
        <v>8003</v>
      </c>
      <c r="B7792">
        <v>412017260</v>
      </c>
      <c r="C7792" s="76">
        <v>2017</v>
      </c>
      <c r="D7792" s="76" t="s">
        <v>34</v>
      </c>
      <c r="E7792" s="76">
        <v>22</v>
      </c>
      <c r="F7792" s="76">
        <v>4.4</v>
      </c>
    </row>
    <row r="7793" s="76" customFormat="1" spans="1:6">
      <c r="A7793">
        <v>8004</v>
      </c>
      <c r="B7793">
        <v>412017260</v>
      </c>
      <c r="C7793" s="76">
        <v>2017</v>
      </c>
      <c r="D7793" s="76" t="s">
        <v>34</v>
      </c>
      <c r="E7793" s="76" t="s">
        <v>32</v>
      </c>
      <c r="F7793" s="76">
        <v>4.8</v>
      </c>
    </row>
    <row r="7794" s="76" customFormat="1" spans="1:6">
      <c r="A7794">
        <v>8011</v>
      </c>
      <c r="B7794">
        <v>412017260</v>
      </c>
      <c r="C7794" s="76">
        <v>2017</v>
      </c>
      <c r="D7794" s="76" t="s">
        <v>34</v>
      </c>
      <c r="E7794" s="76" t="s">
        <v>32</v>
      </c>
      <c r="F7794" s="76">
        <v>4.8</v>
      </c>
    </row>
    <row r="7795" s="76" customFormat="1" spans="1:6">
      <c r="A7795">
        <v>8008</v>
      </c>
      <c r="B7795">
        <v>412017260</v>
      </c>
      <c r="C7795" s="76">
        <v>2017</v>
      </c>
      <c r="D7795" s="76" t="s">
        <v>34</v>
      </c>
      <c r="E7795" s="76" t="s">
        <v>32</v>
      </c>
      <c r="F7795" s="76">
        <v>4.8</v>
      </c>
    </row>
    <row r="7796" s="76" customFormat="1" spans="1:6">
      <c r="A7796">
        <v>8019</v>
      </c>
      <c r="B7796">
        <v>412017260</v>
      </c>
      <c r="C7796" s="76">
        <v>2017</v>
      </c>
      <c r="D7796" s="76" t="s">
        <v>34</v>
      </c>
      <c r="E7796" s="76" t="s">
        <v>32</v>
      </c>
      <c r="F7796" s="76">
        <v>3.2</v>
      </c>
    </row>
    <row r="7797" s="76" customFormat="1" spans="1:6">
      <c r="A7797">
        <v>8020</v>
      </c>
      <c r="B7797">
        <v>412017260</v>
      </c>
      <c r="C7797" s="76">
        <v>2017</v>
      </c>
      <c r="D7797" s="76" t="s">
        <v>34</v>
      </c>
      <c r="E7797" s="76" t="s">
        <v>32</v>
      </c>
      <c r="F7797" s="76">
        <v>10</v>
      </c>
    </row>
    <row r="7798" s="76" customFormat="1" spans="1:6">
      <c r="A7798">
        <v>8068</v>
      </c>
      <c r="B7798">
        <v>412017270</v>
      </c>
      <c r="C7798" s="76">
        <v>2017</v>
      </c>
      <c r="D7798" s="76" t="s">
        <v>31</v>
      </c>
      <c r="E7798" s="76" t="s">
        <v>32</v>
      </c>
      <c r="F7798" s="76">
        <v>2</v>
      </c>
    </row>
    <row r="7799" s="76" customFormat="1" spans="1:6">
      <c r="A7799">
        <v>8023</v>
      </c>
      <c r="B7799">
        <v>412017270</v>
      </c>
      <c r="C7799" s="76">
        <v>2017</v>
      </c>
      <c r="D7799" s="76" t="s">
        <v>31</v>
      </c>
      <c r="E7799" s="76" t="s">
        <v>32</v>
      </c>
      <c r="F7799" s="76">
        <v>2</v>
      </c>
    </row>
    <row r="7800" s="76" customFormat="1" spans="1:6">
      <c r="A7800">
        <v>8080</v>
      </c>
      <c r="B7800">
        <v>412017270</v>
      </c>
      <c r="C7800" s="76">
        <v>2017</v>
      </c>
      <c r="D7800" s="76" t="s">
        <v>31</v>
      </c>
      <c r="E7800" s="76" t="s">
        <v>32</v>
      </c>
      <c r="F7800" s="76">
        <v>5</v>
      </c>
    </row>
    <row r="7801" s="76" customFormat="1" spans="1:6">
      <c r="A7801">
        <v>8065</v>
      </c>
      <c r="B7801">
        <v>412017270</v>
      </c>
      <c r="C7801" s="76">
        <v>2017</v>
      </c>
      <c r="D7801" s="76" t="s">
        <v>31</v>
      </c>
      <c r="E7801" s="76" t="s">
        <v>32</v>
      </c>
      <c r="F7801" s="76">
        <v>1</v>
      </c>
    </row>
    <row r="7802" s="76" customFormat="1" spans="1:6">
      <c r="A7802">
        <v>8033</v>
      </c>
      <c r="B7802">
        <v>412017270</v>
      </c>
      <c r="C7802" s="76">
        <v>2017</v>
      </c>
      <c r="D7802" s="76" t="s">
        <v>31</v>
      </c>
      <c r="E7802" s="76" t="s">
        <v>32</v>
      </c>
      <c r="F7802" s="76">
        <v>2</v>
      </c>
    </row>
    <row r="7803" s="76" customFormat="1" spans="1:6">
      <c r="A7803">
        <v>8051</v>
      </c>
      <c r="B7803">
        <v>412017270</v>
      </c>
      <c r="C7803" s="76">
        <v>2017</v>
      </c>
      <c r="D7803" s="76" t="s">
        <v>31</v>
      </c>
      <c r="E7803" s="76" t="s">
        <v>32</v>
      </c>
      <c r="F7803" s="76">
        <v>6</v>
      </c>
    </row>
    <row r="7804" s="76" customFormat="1" spans="1:6">
      <c r="A7804">
        <v>8034</v>
      </c>
      <c r="B7804">
        <v>412017270</v>
      </c>
      <c r="C7804" s="76">
        <v>2017</v>
      </c>
      <c r="D7804" s="76" t="s">
        <v>31</v>
      </c>
      <c r="E7804" s="76" t="s">
        <v>32</v>
      </c>
      <c r="F7804" s="76">
        <v>2</v>
      </c>
    </row>
    <row r="7805" s="76" customFormat="1" spans="1:6">
      <c r="A7805">
        <v>8074</v>
      </c>
      <c r="B7805">
        <v>412017270</v>
      </c>
      <c r="C7805" s="76">
        <v>2017</v>
      </c>
      <c r="D7805" s="76" t="s">
        <v>31</v>
      </c>
      <c r="E7805" s="76" t="s">
        <v>32</v>
      </c>
      <c r="F7805" s="76">
        <v>1.3</v>
      </c>
    </row>
    <row r="7806" s="76" customFormat="1" spans="1:6">
      <c r="A7806">
        <v>8047</v>
      </c>
      <c r="B7806">
        <v>412017270</v>
      </c>
      <c r="C7806" s="76">
        <v>2017</v>
      </c>
      <c r="D7806" s="76" t="s">
        <v>31</v>
      </c>
      <c r="E7806" s="76" t="s">
        <v>32</v>
      </c>
      <c r="F7806" s="76">
        <v>10</v>
      </c>
    </row>
    <row r="7807" s="76" customFormat="1" spans="1:6">
      <c r="A7807">
        <v>8045</v>
      </c>
      <c r="B7807">
        <v>412017270</v>
      </c>
      <c r="C7807" s="76">
        <v>2017</v>
      </c>
      <c r="D7807" s="76" t="s">
        <v>31</v>
      </c>
      <c r="E7807" s="76" t="s">
        <v>32</v>
      </c>
      <c r="F7807" s="76">
        <v>10</v>
      </c>
    </row>
    <row r="7808" s="76" customFormat="1" spans="1:6">
      <c r="A7808">
        <v>8040</v>
      </c>
      <c r="B7808">
        <v>412017270</v>
      </c>
      <c r="C7808" s="76">
        <v>2017</v>
      </c>
      <c r="D7808" s="76" t="s">
        <v>31</v>
      </c>
      <c r="E7808" s="76" t="s">
        <v>32</v>
      </c>
      <c r="F7808" s="76">
        <v>1.1</v>
      </c>
    </row>
    <row r="7809" s="76" customFormat="1" spans="1:6">
      <c r="A7809">
        <v>8049</v>
      </c>
      <c r="B7809">
        <v>412017270</v>
      </c>
      <c r="C7809" s="76">
        <v>2017</v>
      </c>
      <c r="D7809" s="76" t="s">
        <v>31</v>
      </c>
      <c r="E7809" s="76" t="s">
        <v>32</v>
      </c>
      <c r="F7809" s="76">
        <v>2</v>
      </c>
    </row>
    <row r="7810" s="76" customFormat="1" spans="1:6">
      <c r="A7810">
        <v>8035</v>
      </c>
      <c r="B7810">
        <v>412017270</v>
      </c>
      <c r="C7810" s="76">
        <v>2017</v>
      </c>
      <c r="D7810" s="76" t="s">
        <v>31</v>
      </c>
      <c r="E7810" s="76" t="s">
        <v>32</v>
      </c>
      <c r="F7810" s="76">
        <v>7</v>
      </c>
    </row>
    <row r="7811" s="76" customFormat="1" spans="1:6">
      <c r="A7811">
        <v>8038</v>
      </c>
      <c r="B7811">
        <v>412017270</v>
      </c>
      <c r="C7811" s="76">
        <v>2017</v>
      </c>
      <c r="D7811" s="76" t="s">
        <v>31</v>
      </c>
      <c r="E7811" s="76" t="s">
        <v>32</v>
      </c>
      <c r="F7811" s="76">
        <v>4</v>
      </c>
    </row>
    <row r="7812" s="76" customFormat="1" spans="1:6">
      <c r="A7812">
        <v>8081</v>
      </c>
      <c r="B7812">
        <v>412017270</v>
      </c>
      <c r="C7812" s="76">
        <v>2017</v>
      </c>
      <c r="D7812" s="76" t="s">
        <v>31</v>
      </c>
      <c r="E7812" s="76" t="s">
        <v>32</v>
      </c>
      <c r="F7812" s="76">
        <v>9</v>
      </c>
    </row>
    <row r="7813" s="76" customFormat="1" spans="1:6">
      <c r="A7813">
        <v>8025</v>
      </c>
      <c r="B7813">
        <v>412017270</v>
      </c>
      <c r="C7813" s="76">
        <v>2017</v>
      </c>
      <c r="D7813" s="76" t="s">
        <v>31</v>
      </c>
      <c r="E7813" s="76" t="s">
        <v>32</v>
      </c>
      <c r="F7813" s="76">
        <v>0.56</v>
      </c>
    </row>
    <row r="7814" s="76" customFormat="1" spans="1:6">
      <c r="A7814">
        <v>8026</v>
      </c>
      <c r="B7814">
        <v>412017270</v>
      </c>
      <c r="C7814" s="76">
        <v>2017</v>
      </c>
      <c r="D7814" s="76" t="s">
        <v>31</v>
      </c>
      <c r="E7814" s="76" t="s">
        <v>32</v>
      </c>
      <c r="F7814" s="76">
        <v>10</v>
      </c>
    </row>
    <row r="7815" s="76" customFormat="1" spans="1:6">
      <c r="A7815">
        <v>8024</v>
      </c>
      <c r="B7815">
        <v>412017270</v>
      </c>
      <c r="C7815" s="76">
        <v>2017</v>
      </c>
      <c r="D7815" s="76" t="s">
        <v>31</v>
      </c>
      <c r="E7815" s="76" t="s">
        <v>32</v>
      </c>
      <c r="F7815" s="76">
        <v>0.1</v>
      </c>
    </row>
    <row r="7816" s="76" customFormat="1" spans="1:6">
      <c r="A7816">
        <v>8075</v>
      </c>
      <c r="B7816">
        <v>412017270</v>
      </c>
      <c r="C7816" s="76">
        <v>2017</v>
      </c>
      <c r="D7816" s="76" t="s">
        <v>31</v>
      </c>
      <c r="E7816" s="76" t="s">
        <v>32</v>
      </c>
      <c r="F7816" s="76">
        <v>10</v>
      </c>
    </row>
    <row r="7817" s="76" customFormat="1" spans="1:6">
      <c r="A7817">
        <v>8070</v>
      </c>
      <c r="B7817">
        <v>412017270</v>
      </c>
      <c r="C7817" s="76">
        <v>2017</v>
      </c>
      <c r="D7817" s="76" t="s">
        <v>31</v>
      </c>
      <c r="E7817" s="76" t="s">
        <v>32</v>
      </c>
      <c r="F7817" s="76">
        <v>2</v>
      </c>
    </row>
    <row r="7818" s="76" customFormat="1" spans="1:6">
      <c r="A7818">
        <v>8042</v>
      </c>
      <c r="B7818">
        <v>412017270</v>
      </c>
      <c r="C7818" s="76">
        <v>2017</v>
      </c>
      <c r="D7818" s="76" t="s">
        <v>31</v>
      </c>
      <c r="E7818" s="76" t="s">
        <v>32</v>
      </c>
      <c r="F7818" s="76">
        <v>10</v>
      </c>
    </row>
    <row r="7819" s="76" customFormat="1" spans="1:6">
      <c r="A7819">
        <v>8041</v>
      </c>
      <c r="B7819">
        <v>412017270</v>
      </c>
      <c r="C7819" s="76">
        <v>2017</v>
      </c>
      <c r="D7819" s="76" t="s">
        <v>31</v>
      </c>
      <c r="E7819" s="76" t="s">
        <v>32</v>
      </c>
      <c r="F7819" s="76">
        <v>10</v>
      </c>
    </row>
    <row r="7820" s="76" customFormat="1" spans="1:6">
      <c r="A7820">
        <v>8036</v>
      </c>
      <c r="B7820">
        <v>412017270</v>
      </c>
      <c r="C7820" s="76">
        <v>2017</v>
      </c>
      <c r="D7820" s="76" t="s">
        <v>31</v>
      </c>
      <c r="E7820" s="76" t="s">
        <v>32</v>
      </c>
      <c r="F7820" s="76">
        <v>5</v>
      </c>
    </row>
    <row r="7821" s="76" customFormat="1" spans="1:6">
      <c r="A7821">
        <v>8058</v>
      </c>
      <c r="B7821">
        <v>412017270</v>
      </c>
      <c r="C7821" s="76">
        <v>2017</v>
      </c>
      <c r="D7821" s="76" t="s">
        <v>31</v>
      </c>
      <c r="E7821" s="76" t="s">
        <v>32</v>
      </c>
      <c r="F7821" s="76">
        <v>5</v>
      </c>
    </row>
    <row r="7822" s="76" customFormat="1" spans="1:6">
      <c r="A7822">
        <v>8057</v>
      </c>
      <c r="B7822">
        <v>412017270</v>
      </c>
      <c r="C7822" s="76">
        <v>2017</v>
      </c>
      <c r="D7822" s="76" t="s">
        <v>31</v>
      </c>
      <c r="E7822" s="76" t="s">
        <v>32</v>
      </c>
      <c r="F7822" s="76">
        <v>3</v>
      </c>
    </row>
    <row r="7823" s="76" customFormat="1" spans="1:6">
      <c r="A7823">
        <v>8050</v>
      </c>
      <c r="B7823">
        <v>412017270</v>
      </c>
      <c r="C7823" s="76">
        <v>2017</v>
      </c>
      <c r="D7823" s="76" t="s">
        <v>31</v>
      </c>
      <c r="E7823" s="76" t="s">
        <v>32</v>
      </c>
      <c r="F7823" s="76">
        <v>2</v>
      </c>
    </row>
    <row r="7824" s="76" customFormat="1" spans="1:6">
      <c r="A7824">
        <v>8061</v>
      </c>
      <c r="B7824">
        <v>412017270</v>
      </c>
      <c r="C7824" s="76">
        <v>2017</v>
      </c>
      <c r="D7824" s="76" t="s">
        <v>31</v>
      </c>
      <c r="E7824" s="76" t="s">
        <v>32</v>
      </c>
      <c r="F7824" s="76">
        <v>1.82</v>
      </c>
    </row>
    <row r="7825" s="76" customFormat="1" spans="1:6">
      <c r="A7825">
        <v>8083</v>
      </c>
      <c r="B7825">
        <v>412017270</v>
      </c>
      <c r="C7825" s="76">
        <v>2017</v>
      </c>
      <c r="D7825" s="76" t="s">
        <v>31</v>
      </c>
      <c r="E7825" s="76" t="s">
        <v>32</v>
      </c>
      <c r="F7825" s="76">
        <v>20</v>
      </c>
    </row>
    <row r="7826" s="76" customFormat="1" spans="1:6">
      <c r="A7826">
        <v>8076</v>
      </c>
      <c r="B7826">
        <v>412017270</v>
      </c>
      <c r="C7826" s="76">
        <v>2017</v>
      </c>
      <c r="D7826" s="76" t="s">
        <v>31</v>
      </c>
      <c r="E7826" s="76" t="s">
        <v>32</v>
      </c>
      <c r="F7826" s="76">
        <v>0.95</v>
      </c>
    </row>
    <row r="7827" s="76" customFormat="1" spans="1:6">
      <c r="A7827">
        <v>8029</v>
      </c>
      <c r="B7827">
        <v>412017270</v>
      </c>
      <c r="C7827" s="76">
        <v>2017</v>
      </c>
      <c r="D7827" s="76" t="s">
        <v>31</v>
      </c>
      <c r="E7827" s="76" t="s">
        <v>32</v>
      </c>
      <c r="F7827" s="76">
        <v>1.6</v>
      </c>
    </row>
    <row r="7828" s="76" customFormat="1" spans="1:6">
      <c r="A7828">
        <v>8030</v>
      </c>
      <c r="B7828">
        <v>412017270</v>
      </c>
      <c r="C7828" s="76">
        <v>2017</v>
      </c>
      <c r="D7828" s="76" t="s">
        <v>31</v>
      </c>
      <c r="E7828" s="76" t="s">
        <v>32</v>
      </c>
      <c r="F7828" s="76">
        <v>3</v>
      </c>
    </row>
    <row r="7829" s="76" customFormat="1" spans="1:6">
      <c r="A7829">
        <v>8064</v>
      </c>
      <c r="B7829">
        <v>412017270</v>
      </c>
      <c r="C7829" s="76">
        <v>2017</v>
      </c>
      <c r="D7829" s="76" t="s">
        <v>31</v>
      </c>
      <c r="E7829" s="76" t="s">
        <v>32</v>
      </c>
      <c r="F7829" s="76">
        <v>3</v>
      </c>
    </row>
    <row r="7830" s="76" customFormat="1" spans="1:6">
      <c r="A7830">
        <v>8060</v>
      </c>
      <c r="B7830">
        <v>412017270</v>
      </c>
      <c r="C7830" s="76">
        <v>2017</v>
      </c>
      <c r="D7830" s="76" t="s">
        <v>31</v>
      </c>
      <c r="E7830" s="76" t="s">
        <v>32</v>
      </c>
      <c r="F7830" s="76">
        <v>0.7</v>
      </c>
    </row>
    <row r="7831" s="76" customFormat="1" spans="1:6">
      <c r="A7831">
        <v>8067</v>
      </c>
      <c r="B7831">
        <v>412017270</v>
      </c>
      <c r="C7831" s="76">
        <v>2017</v>
      </c>
      <c r="D7831" s="76" t="s">
        <v>31</v>
      </c>
      <c r="E7831" s="76" t="s">
        <v>32</v>
      </c>
      <c r="F7831" s="76">
        <v>0.9</v>
      </c>
    </row>
    <row r="7832" s="76" customFormat="1" spans="1:6">
      <c r="A7832">
        <v>8063</v>
      </c>
      <c r="B7832">
        <v>412017270</v>
      </c>
      <c r="C7832" s="76">
        <v>2017</v>
      </c>
      <c r="D7832" s="76" t="s">
        <v>31</v>
      </c>
      <c r="E7832" s="76" t="s">
        <v>32</v>
      </c>
      <c r="F7832" s="76">
        <v>2</v>
      </c>
    </row>
    <row r="7833" s="76" customFormat="1" spans="1:6">
      <c r="A7833">
        <v>8048</v>
      </c>
      <c r="B7833">
        <v>412017270</v>
      </c>
      <c r="C7833" s="76">
        <v>2017</v>
      </c>
      <c r="D7833" s="76" t="s">
        <v>31</v>
      </c>
      <c r="E7833" s="76" t="s">
        <v>32</v>
      </c>
      <c r="F7833" s="76">
        <v>1.8</v>
      </c>
    </row>
    <row r="7834" s="76" customFormat="1" spans="1:6">
      <c r="A7834">
        <v>8052</v>
      </c>
      <c r="B7834">
        <v>412017270</v>
      </c>
      <c r="C7834" s="76">
        <v>2017</v>
      </c>
      <c r="D7834" s="76" t="s">
        <v>31</v>
      </c>
      <c r="E7834" s="76" t="s">
        <v>32</v>
      </c>
      <c r="F7834" s="76">
        <v>10</v>
      </c>
    </row>
    <row r="7835" s="76" customFormat="1" spans="1:6">
      <c r="A7835">
        <v>8073</v>
      </c>
      <c r="B7835">
        <v>412017270</v>
      </c>
      <c r="C7835" s="76">
        <v>2017</v>
      </c>
      <c r="D7835" s="76" t="s">
        <v>31</v>
      </c>
      <c r="E7835" s="76" t="s">
        <v>32</v>
      </c>
      <c r="F7835" s="76">
        <v>3</v>
      </c>
    </row>
    <row r="7836" s="76" customFormat="1" spans="1:6">
      <c r="A7836">
        <v>8062</v>
      </c>
      <c r="B7836">
        <v>412017270</v>
      </c>
      <c r="C7836" s="76">
        <v>2017</v>
      </c>
      <c r="D7836" s="76" t="s">
        <v>31</v>
      </c>
      <c r="E7836" s="76" t="s">
        <v>32</v>
      </c>
      <c r="F7836" s="76">
        <v>10</v>
      </c>
    </row>
    <row r="7837" s="76" customFormat="1" spans="1:6">
      <c r="A7837">
        <v>8053</v>
      </c>
      <c r="B7837">
        <v>412017270</v>
      </c>
      <c r="C7837" s="76">
        <v>2017</v>
      </c>
      <c r="D7837" s="76" t="s">
        <v>31</v>
      </c>
      <c r="E7837" s="76" t="s">
        <v>32</v>
      </c>
      <c r="F7837" s="76">
        <v>2</v>
      </c>
    </row>
    <row r="7838" s="76" customFormat="1" spans="1:6">
      <c r="A7838">
        <v>8055</v>
      </c>
      <c r="B7838">
        <v>412017270</v>
      </c>
      <c r="C7838" s="76">
        <v>2017</v>
      </c>
      <c r="D7838" s="76" t="s">
        <v>31</v>
      </c>
      <c r="E7838" s="76" t="s">
        <v>32</v>
      </c>
      <c r="F7838" s="76">
        <v>10</v>
      </c>
    </row>
    <row r="7839" s="76" customFormat="1" spans="1:6">
      <c r="A7839">
        <v>8027</v>
      </c>
      <c r="B7839">
        <v>412017270</v>
      </c>
      <c r="C7839" s="76">
        <v>2017</v>
      </c>
      <c r="D7839" s="76" t="s">
        <v>31</v>
      </c>
      <c r="E7839" s="76" t="s">
        <v>32</v>
      </c>
      <c r="F7839" s="76">
        <v>2</v>
      </c>
    </row>
    <row r="7840" s="76" customFormat="1" spans="1:6">
      <c r="A7840">
        <v>8032</v>
      </c>
      <c r="B7840">
        <v>412017270</v>
      </c>
      <c r="C7840" s="76">
        <v>2017</v>
      </c>
      <c r="D7840" s="76" t="s">
        <v>31</v>
      </c>
      <c r="E7840" s="76" t="s">
        <v>32</v>
      </c>
      <c r="F7840" s="76">
        <v>7</v>
      </c>
    </row>
    <row r="7841" s="76" customFormat="1" spans="1:6">
      <c r="A7841">
        <v>8066</v>
      </c>
      <c r="B7841">
        <v>412017270</v>
      </c>
      <c r="C7841" s="76">
        <v>2017</v>
      </c>
      <c r="D7841" s="76" t="s">
        <v>31</v>
      </c>
      <c r="E7841" s="76" t="s">
        <v>32</v>
      </c>
      <c r="F7841" s="76">
        <v>2</v>
      </c>
    </row>
    <row r="7842" s="76" customFormat="1" spans="1:6">
      <c r="A7842">
        <v>8059</v>
      </c>
      <c r="B7842">
        <v>412017270</v>
      </c>
      <c r="C7842" s="76">
        <v>2017</v>
      </c>
      <c r="D7842" s="76" t="s">
        <v>31</v>
      </c>
      <c r="E7842" s="76" t="s">
        <v>32</v>
      </c>
      <c r="F7842" s="76">
        <v>1</v>
      </c>
    </row>
    <row r="7843" s="76" customFormat="1" spans="1:6">
      <c r="A7843">
        <v>8046</v>
      </c>
      <c r="B7843">
        <v>412017270</v>
      </c>
      <c r="C7843" s="76">
        <v>2017</v>
      </c>
      <c r="D7843" s="76" t="s">
        <v>31</v>
      </c>
      <c r="E7843" s="76" t="s">
        <v>32</v>
      </c>
      <c r="F7843" s="76">
        <v>1.98</v>
      </c>
    </row>
    <row r="7844" s="76" customFormat="1" spans="1:6">
      <c r="A7844">
        <v>8071</v>
      </c>
      <c r="B7844">
        <v>412017270</v>
      </c>
      <c r="C7844" s="76">
        <v>2017</v>
      </c>
      <c r="D7844" s="76" t="s">
        <v>31</v>
      </c>
      <c r="E7844" s="76" t="s">
        <v>32</v>
      </c>
      <c r="F7844" s="76">
        <v>5</v>
      </c>
    </row>
    <row r="7845" s="76" customFormat="1" spans="1:6">
      <c r="A7845">
        <v>8044</v>
      </c>
      <c r="B7845">
        <v>412017270</v>
      </c>
      <c r="C7845" s="76">
        <v>2017</v>
      </c>
      <c r="D7845" s="76" t="s">
        <v>31</v>
      </c>
      <c r="E7845" s="76" t="s">
        <v>32</v>
      </c>
      <c r="F7845" s="76">
        <v>2</v>
      </c>
    </row>
    <row r="7846" s="76" customFormat="1" spans="1:6">
      <c r="A7846">
        <v>8028</v>
      </c>
      <c r="B7846">
        <v>412017270</v>
      </c>
      <c r="C7846" s="76">
        <v>2017</v>
      </c>
      <c r="D7846" s="76" t="s">
        <v>31</v>
      </c>
      <c r="E7846" s="76" t="s">
        <v>32</v>
      </c>
      <c r="F7846" s="76">
        <v>7</v>
      </c>
    </row>
    <row r="7847" s="76" customFormat="1" spans="1:6">
      <c r="A7847">
        <v>8043</v>
      </c>
      <c r="B7847">
        <v>412017270</v>
      </c>
      <c r="C7847" s="76">
        <v>2017</v>
      </c>
      <c r="D7847" s="76" t="s">
        <v>31</v>
      </c>
      <c r="E7847" s="76" t="s">
        <v>32</v>
      </c>
      <c r="F7847" s="76">
        <v>0.7</v>
      </c>
    </row>
    <row r="7848" s="76" customFormat="1" spans="1:6">
      <c r="A7848">
        <v>8056</v>
      </c>
      <c r="B7848">
        <v>412017270</v>
      </c>
      <c r="C7848" s="76">
        <v>2017</v>
      </c>
      <c r="D7848" s="76" t="s">
        <v>31</v>
      </c>
      <c r="E7848" s="76" t="s">
        <v>32</v>
      </c>
      <c r="F7848" s="76">
        <v>10</v>
      </c>
    </row>
    <row r="7849" s="76" customFormat="1" spans="1:6">
      <c r="A7849">
        <v>8084</v>
      </c>
      <c r="B7849">
        <v>412017270</v>
      </c>
      <c r="C7849" s="76">
        <v>2017</v>
      </c>
      <c r="D7849" s="76" t="s">
        <v>31</v>
      </c>
      <c r="E7849" s="76" t="s">
        <v>32</v>
      </c>
      <c r="F7849" s="76">
        <v>2</v>
      </c>
    </row>
    <row r="7850" s="76" customFormat="1" spans="1:6">
      <c r="A7850">
        <v>8085</v>
      </c>
      <c r="B7850">
        <v>412017270</v>
      </c>
      <c r="C7850" s="76">
        <v>2017</v>
      </c>
      <c r="D7850" s="76" t="s">
        <v>31</v>
      </c>
      <c r="E7850" s="76" t="s">
        <v>32</v>
      </c>
      <c r="F7850" s="76">
        <v>12</v>
      </c>
    </row>
    <row r="7851" s="76" customFormat="1" spans="1:6">
      <c r="A7851">
        <v>8079</v>
      </c>
      <c r="B7851">
        <v>412017270</v>
      </c>
      <c r="C7851" s="76">
        <v>2017</v>
      </c>
      <c r="D7851" s="76" t="s">
        <v>31</v>
      </c>
      <c r="E7851" s="76" t="s">
        <v>32</v>
      </c>
      <c r="F7851" s="76">
        <v>6</v>
      </c>
    </row>
    <row r="7852" s="76" customFormat="1" spans="1:6">
      <c r="A7852">
        <v>8078</v>
      </c>
      <c r="B7852">
        <v>412017270</v>
      </c>
      <c r="C7852" s="76">
        <v>2017</v>
      </c>
      <c r="D7852" s="76" t="s">
        <v>31</v>
      </c>
      <c r="E7852" s="76" t="s">
        <v>32</v>
      </c>
      <c r="F7852" s="76">
        <v>10</v>
      </c>
    </row>
    <row r="7853" s="76" customFormat="1" spans="1:6">
      <c r="A7853">
        <v>8086</v>
      </c>
      <c r="B7853">
        <v>412017270</v>
      </c>
      <c r="C7853" s="76">
        <v>2017</v>
      </c>
      <c r="D7853" s="76" t="s">
        <v>31</v>
      </c>
      <c r="E7853" s="76" t="s">
        <v>32</v>
      </c>
      <c r="F7853" s="76">
        <v>3</v>
      </c>
    </row>
    <row r="7854" s="76" customFormat="1" spans="1:6">
      <c r="A7854">
        <v>8082</v>
      </c>
      <c r="B7854">
        <v>412017270</v>
      </c>
      <c r="C7854" s="76">
        <v>2017</v>
      </c>
      <c r="D7854" s="76" t="s">
        <v>31</v>
      </c>
      <c r="E7854" s="76" t="s">
        <v>32</v>
      </c>
      <c r="F7854" s="76">
        <v>0.03</v>
      </c>
    </row>
    <row r="7855" s="76" customFormat="1" spans="1:6">
      <c r="A7855">
        <v>8077</v>
      </c>
      <c r="B7855">
        <v>412017270</v>
      </c>
      <c r="C7855" s="76">
        <v>2017</v>
      </c>
      <c r="D7855" s="76" t="s">
        <v>31</v>
      </c>
      <c r="E7855" s="76" t="s">
        <v>32</v>
      </c>
      <c r="F7855" s="76">
        <v>2</v>
      </c>
    </row>
    <row r="7856" s="76" customFormat="1" spans="1:6">
      <c r="A7856">
        <v>8039</v>
      </c>
      <c r="B7856">
        <v>412017270</v>
      </c>
      <c r="C7856" s="76">
        <v>2017</v>
      </c>
      <c r="D7856" s="76" t="s">
        <v>31</v>
      </c>
      <c r="E7856" s="76" t="s">
        <v>32</v>
      </c>
      <c r="F7856" s="76">
        <v>2</v>
      </c>
    </row>
    <row r="7857" s="76" customFormat="1" spans="1:6">
      <c r="A7857">
        <v>8031</v>
      </c>
      <c r="B7857">
        <v>412017270</v>
      </c>
      <c r="C7857" s="76">
        <v>2017</v>
      </c>
      <c r="D7857" s="76" t="s">
        <v>31</v>
      </c>
      <c r="E7857" s="76" t="s">
        <v>32</v>
      </c>
      <c r="F7857" s="76">
        <v>4</v>
      </c>
    </row>
    <row r="7858" s="76" customFormat="1" spans="1:6">
      <c r="A7858">
        <v>8037</v>
      </c>
      <c r="B7858">
        <v>412017270</v>
      </c>
      <c r="C7858" s="76">
        <v>2017</v>
      </c>
      <c r="D7858" s="76" t="s">
        <v>31</v>
      </c>
      <c r="E7858" s="76" t="s">
        <v>32</v>
      </c>
      <c r="F7858" s="76">
        <v>3</v>
      </c>
    </row>
    <row r="7859" s="76" customFormat="1" spans="1:6">
      <c r="A7859">
        <v>8072</v>
      </c>
      <c r="B7859">
        <v>412017270</v>
      </c>
      <c r="C7859" s="76">
        <v>2017</v>
      </c>
      <c r="D7859" s="76" t="s">
        <v>31</v>
      </c>
      <c r="E7859" s="76" t="s">
        <v>32</v>
      </c>
      <c r="F7859" s="76">
        <v>5</v>
      </c>
    </row>
    <row r="7860" s="76" customFormat="1" spans="1:6">
      <c r="A7860">
        <v>8069</v>
      </c>
      <c r="B7860">
        <v>412017270</v>
      </c>
      <c r="C7860" s="76">
        <v>2017</v>
      </c>
      <c r="D7860" s="76" t="s">
        <v>31</v>
      </c>
      <c r="E7860" s="76" t="s">
        <v>32</v>
      </c>
      <c r="F7860" s="76">
        <v>6</v>
      </c>
    </row>
    <row r="7861" s="76" customFormat="1" spans="1:6">
      <c r="A7861">
        <v>8087</v>
      </c>
      <c r="B7861">
        <v>412018110</v>
      </c>
      <c r="C7861" s="76">
        <v>2018</v>
      </c>
      <c r="D7861" s="76" t="s">
        <v>40</v>
      </c>
      <c r="E7861" s="76" t="s">
        <v>32</v>
      </c>
      <c r="F7861" s="76">
        <v>2.35</v>
      </c>
    </row>
    <row r="7862" s="76" customFormat="1" spans="1:6">
      <c r="A7862">
        <v>8089</v>
      </c>
      <c r="B7862">
        <v>412018211</v>
      </c>
      <c r="C7862" s="76">
        <v>2018</v>
      </c>
      <c r="D7862" s="76" t="s">
        <v>37</v>
      </c>
      <c r="E7862" s="76">
        <v>1</v>
      </c>
      <c r="F7862" s="76">
        <v>66</v>
      </c>
    </row>
    <row r="7863" s="76" customFormat="1" spans="1:6">
      <c r="A7863">
        <v>8090</v>
      </c>
      <c r="B7863">
        <v>412018211</v>
      </c>
      <c r="C7863" s="76">
        <v>2018</v>
      </c>
      <c r="D7863" s="76" t="s">
        <v>37</v>
      </c>
      <c r="E7863" s="76">
        <v>1</v>
      </c>
      <c r="F7863" s="76">
        <v>66</v>
      </c>
    </row>
    <row r="7864" s="76" customFormat="1" spans="1:6">
      <c r="A7864">
        <v>8096</v>
      </c>
      <c r="B7864">
        <v>412018211</v>
      </c>
      <c r="C7864" s="76">
        <v>2018</v>
      </c>
      <c r="D7864" s="76" t="s">
        <v>37</v>
      </c>
      <c r="E7864" s="76">
        <v>1</v>
      </c>
      <c r="F7864" s="76">
        <v>100</v>
      </c>
    </row>
    <row r="7865" s="76" customFormat="1" spans="1:6">
      <c r="A7865">
        <v>8091</v>
      </c>
      <c r="B7865">
        <v>412018211</v>
      </c>
      <c r="C7865" s="76">
        <v>2018</v>
      </c>
      <c r="D7865" s="76" t="s">
        <v>37</v>
      </c>
      <c r="E7865" s="76" t="s">
        <v>32</v>
      </c>
      <c r="F7865" s="76">
        <v>2.4</v>
      </c>
    </row>
    <row r="7866" s="76" customFormat="1" spans="1:6">
      <c r="A7866">
        <v>8097</v>
      </c>
      <c r="B7866">
        <v>412018211</v>
      </c>
      <c r="C7866" s="76">
        <v>2018</v>
      </c>
      <c r="D7866" s="76" t="s">
        <v>37</v>
      </c>
      <c r="E7866" s="76" t="s">
        <v>32</v>
      </c>
      <c r="F7866" s="76">
        <v>2</v>
      </c>
    </row>
    <row r="7867" s="76" customFormat="1" spans="1:6">
      <c r="A7867">
        <v>8093</v>
      </c>
      <c r="B7867">
        <v>412018211</v>
      </c>
      <c r="C7867" s="76">
        <v>2018</v>
      </c>
      <c r="D7867" s="76" t="s">
        <v>37</v>
      </c>
      <c r="E7867" s="76">
        <v>1</v>
      </c>
      <c r="F7867" s="76">
        <v>60</v>
      </c>
    </row>
    <row r="7868" s="76" customFormat="1" spans="1:6">
      <c r="A7868">
        <v>8092</v>
      </c>
      <c r="B7868">
        <v>412018211</v>
      </c>
      <c r="C7868" s="76">
        <v>2018</v>
      </c>
      <c r="D7868" s="76" t="s">
        <v>37</v>
      </c>
      <c r="E7868" s="76" t="s">
        <v>32</v>
      </c>
      <c r="F7868" s="76">
        <v>5</v>
      </c>
    </row>
    <row r="7869" s="76" customFormat="1" spans="1:6">
      <c r="A7869">
        <v>8094</v>
      </c>
      <c r="B7869">
        <v>412018211</v>
      </c>
      <c r="C7869" s="76">
        <v>2018</v>
      </c>
      <c r="D7869" s="76" t="s">
        <v>37</v>
      </c>
      <c r="E7869" s="76" t="s">
        <v>32</v>
      </c>
      <c r="F7869" s="76">
        <v>1.35</v>
      </c>
    </row>
    <row r="7870" s="76" customFormat="1" spans="1:6">
      <c r="A7870">
        <v>8095</v>
      </c>
      <c r="B7870">
        <v>412018211</v>
      </c>
      <c r="C7870" s="76">
        <v>2018</v>
      </c>
      <c r="D7870" s="76" t="s">
        <v>37</v>
      </c>
      <c r="E7870" s="76">
        <v>1</v>
      </c>
      <c r="F7870" s="76">
        <v>70</v>
      </c>
    </row>
    <row r="7871" s="76" customFormat="1" spans="1:6">
      <c r="A7871">
        <v>8098</v>
      </c>
      <c r="B7871">
        <v>412018221</v>
      </c>
      <c r="C7871" s="76">
        <v>2018</v>
      </c>
      <c r="D7871" s="76" t="s">
        <v>30</v>
      </c>
      <c r="E7871" s="76">
        <v>1</v>
      </c>
      <c r="F7871" s="76">
        <v>35</v>
      </c>
    </row>
    <row r="7872" s="76" customFormat="1" spans="1:6">
      <c r="A7872">
        <v>8099</v>
      </c>
      <c r="B7872">
        <v>412018241</v>
      </c>
      <c r="C7872" s="76">
        <v>2018</v>
      </c>
      <c r="D7872" s="76" t="s">
        <v>33</v>
      </c>
      <c r="E7872" s="76" t="s">
        <v>32</v>
      </c>
      <c r="F7872" s="76">
        <v>1.2</v>
      </c>
    </row>
    <row r="7873" s="76" customFormat="1" spans="1:6">
      <c r="A7873">
        <v>8103</v>
      </c>
      <c r="B7873">
        <v>412018242</v>
      </c>
      <c r="C7873" s="76">
        <v>2018</v>
      </c>
      <c r="D7873" s="76" t="s">
        <v>35</v>
      </c>
      <c r="E7873" s="76" t="s">
        <v>32</v>
      </c>
      <c r="F7873" s="76">
        <v>1.5</v>
      </c>
    </row>
    <row r="7874" s="76" customFormat="1" spans="1:6">
      <c r="A7874">
        <v>8102</v>
      </c>
      <c r="B7874">
        <v>412018242</v>
      </c>
      <c r="C7874" s="76">
        <v>2018</v>
      </c>
      <c r="D7874" s="76" t="s">
        <v>35</v>
      </c>
      <c r="E7874" s="76" t="s">
        <v>32</v>
      </c>
      <c r="F7874" s="76">
        <v>3</v>
      </c>
    </row>
    <row r="7875" s="76" customFormat="1" spans="1:6">
      <c r="A7875">
        <v>8101</v>
      </c>
      <c r="B7875">
        <v>412018242</v>
      </c>
      <c r="C7875" s="76">
        <v>2018</v>
      </c>
      <c r="D7875" s="76" t="s">
        <v>35</v>
      </c>
      <c r="E7875" s="76" t="s">
        <v>32</v>
      </c>
      <c r="F7875" s="76">
        <v>2</v>
      </c>
    </row>
    <row r="7876" s="76" customFormat="1" spans="1:6">
      <c r="A7876">
        <v>8104</v>
      </c>
      <c r="B7876">
        <v>412018243</v>
      </c>
      <c r="C7876" s="76">
        <v>2018</v>
      </c>
      <c r="D7876" s="76" t="s">
        <v>38</v>
      </c>
      <c r="E7876" s="76" t="s">
        <v>32</v>
      </c>
      <c r="F7876" s="76">
        <v>3</v>
      </c>
    </row>
    <row r="7877" s="76" customFormat="1" spans="1:6">
      <c r="A7877">
        <v>8105</v>
      </c>
      <c r="B7877">
        <v>412018243</v>
      </c>
      <c r="C7877" s="76">
        <v>2018</v>
      </c>
      <c r="D7877" s="76" t="s">
        <v>38</v>
      </c>
      <c r="E7877" s="76" t="s">
        <v>32</v>
      </c>
      <c r="F7877" s="76">
        <v>3</v>
      </c>
    </row>
    <row r="7878" s="76" customFormat="1" spans="1:6">
      <c r="A7878">
        <v>8116</v>
      </c>
      <c r="B7878">
        <v>412018260</v>
      </c>
      <c r="C7878" s="76">
        <v>2018</v>
      </c>
      <c r="D7878" s="76" t="s">
        <v>34</v>
      </c>
      <c r="E7878" s="76">
        <v>28</v>
      </c>
      <c r="F7878" s="76">
        <v>7</v>
      </c>
    </row>
    <row r="7879" s="76" customFormat="1" spans="1:6">
      <c r="A7879">
        <v>8115</v>
      </c>
      <c r="B7879">
        <v>412018260</v>
      </c>
      <c r="C7879" s="76">
        <v>2018</v>
      </c>
      <c r="D7879" s="76" t="s">
        <v>34</v>
      </c>
      <c r="E7879" s="76">
        <v>10</v>
      </c>
      <c r="F7879" s="76">
        <v>2</v>
      </c>
    </row>
    <row r="7880" s="76" customFormat="1" spans="1:6">
      <c r="A7880">
        <v>8118</v>
      </c>
      <c r="B7880">
        <v>412018260</v>
      </c>
      <c r="C7880" s="76">
        <v>2018</v>
      </c>
      <c r="D7880" s="76" t="s">
        <v>34</v>
      </c>
      <c r="E7880" s="76">
        <v>11</v>
      </c>
      <c r="F7880" s="76">
        <v>3.1</v>
      </c>
    </row>
    <row r="7881" s="76" customFormat="1" spans="1:6">
      <c r="A7881">
        <v>8119</v>
      </c>
      <c r="B7881">
        <v>412018260</v>
      </c>
      <c r="C7881" s="76">
        <v>2018</v>
      </c>
      <c r="D7881" s="76" t="s">
        <v>34</v>
      </c>
      <c r="E7881" s="76" t="s">
        <v>32</v>
      </c>
      <c r="F7881" s="76">
        <v>3.6</v>
      </c>
    </row>
    <row r="7882" s="76" customFormat="1" spans="1:6">
      <c r="A7882">
        <v>8128</v>
      </c>
      <c r="B7882">
        <v>412018260</v>
      </c>
      <c r="C7882" s="76">
        <v>2018</v>
      </c>
      <c r="D7882" s="76" t="s">
        <v>34</v>
      </c>
      <c r="E7882" s="76" t="s">
        <v>32</v>
      </c>
      <c r="F7882" s="76">
        <v>4.8</v>
      </c>
    </row>
    <row r="7883" s="76" customFormat="1" spans="1:6">
      <c r="A7883">
        <v>8107</v>
      </c>
      <c r="B7883">
        <v>412018260</v>
      </c>
      <c r="C7883" s="76">
        <v>2018</v>
      </c>
      <c r="D7883" s="76" t="s">
        <v>34</v>
      </c>
      <c r="E7883" s="76">
        <v>24</v>
      </c>
      <c r="F7883" s="76">
        <v>4.8</v>
      </c>
    </row>
    <row r="7884" s="76" customFormat="1" spans="1:6">
      <c r="A7884">
        <v>8110</v>
      </c>
      <c r="B7884">
        <v>412018260</v>
      </c>
      <c r="C7884" s="76">
        <v>2018</v>
      </c>
      <c r="D7884" s="76" t="s">
        <v>34</v>
      </c>
      <c r="E7884" s="76">
        <v>23</v>
      </c>
      <c r="F7884" s="76">
        <v>6.6</v>
      </c>
    </row>
    <row r="7885" s="76" customFormat="1" spans="1:6">
      <c r="A7885">
        <v>8112</v>
      </c>
      <c r="B7885">
        <v>412018260</v>
      </c>
      <c r="C7885" s="76">
        <v>2018</v>
      </c>
      <c r="D7885" s="76" t="s">
        <v>34</v>
      </c>
      <c r="E7885" s="76">
        <v>5</v>
      </c>
      <c r="F7885" s="76">
        <v>1</v>
      </c>
    </row>
    <row r="7886" s="76" customFormat="1" spans="1:6">
      <c r="A7886">
        <v>8133</v>
      </c>
      <c r="B7886">
        <v>412018260</v>
      </c>
      <c r="C7886" s="76">
        <v>2018</v>
      </c>
      <c r="D7886" s="76" t="s">
        <v>34</v>
      </c>
      <c r="E7886" s="76" t="s">
        <v>32</v>
      </c>
      <c r="F7886" s="76">
        <v>10</v>
      </c>
    </row>
    <row r="7887" s="76" customFormat="1" spans="1:6">
      <c r="A7887">
        <v>8126</v>
      </c>
      <c r="B7887">
        <v>412018260</v>
      </c>
      <c r="C7887" s="76">
        <v>2018</v>
      </c>
      <c r="D7887" s="76" t="s">
        <v>34</v>
      </c>
      <c r="E7887" s="76" t="s">
        <v>32</v>
      </c>
      <c r="F7887" s="76">
        <v>25</v>
      </c>
    </row>
    <row r="7888" s="76" customFormat="1" spans="1:6">
      <c r="A7888">
        <v>8114</v>
      </c>
      <c r="B7888">
        <v>412018260</v>
      </c>
      <c r="C7888" s="76">
        <v>2018</v>
      </c>
      <c r="D7888" s="76" t="s">
        <v>34</v>
      </c>
      <c r="E7888" s="76">
        <v>21</v>
      </c>
      <c r="F7888" s="76">
        <v>4.2</v>
      </c>
    </row>
    <row r="7889" s="76" customFormat="1" spans="1:6">
      <c r="A7889">
        <v>8117</v>
      </c>
      <c r="B7889">
        <v>412018260</v>
      </c>
      <c r="C7889" s="76">
        <v>2018</v>
      </c>
      <c r="D7889" s="76" t="s">
        <v>34</v>
      </c>
      <c r="E7889" s="76">
        <v>20</v>
      </c>
      <c r="F7889" s="76">
        <v>4</v>
      </c>
    </row>
    <row r="7890" s="76" customFormat="1" spans="1:6">
      <c r="A7890">
        <v>8123</v>
      </c>
      <c r="B7890">
        <v>412018260</v>
      </c>
      <c r="C7890" s="76">
        <v>2018</v>
      </c>
      <c r="D7890" s="76" t="s">
        <v>34</v>
      </c>
      <c r="E7890" s="76" t="s">
        <v>32</v>
      </c>
      <c r="F7890" s="76">
        <v>1.1</v>
      </c>
    </row>
    <row r="7891" s="76" customFormat="1" spans="1:6">
      <c r="A7891">
        <v>8130</v>
      </c>
      <c r="B7891">
        <v>412018260</v>
      </c>
      <c r="C7891" s="76">
        <v>2018</v>
      </c>
      <c r="D7891" s="76" t="s">
        <v>34</v>
      </c>
      <c r="E7891" s="76" t="s">
        <v>32</v>
      </c>
      <c r="F7891" s="76">
        <v>8</v>
      </c>
    </row>
    <row r="7892" s="76" customFormat="1" spans="1:6">
      <c r="A7892">
        <v>8109</v>
      </c>
      <c r="B7892">
        <v>412018260</v>
      </c>
      <c r="C7892" s="76">
        <v>2018</v>
      </c>
      <c r="D7892" s="76" t="s">
        <v>34</v>
      </c>
      <c r="E7892" s="76">
        <v>13</v>
      </c>
      <c r="F7892" s="76">
        <v>2.6</v>
      </c>
    </row>
    <row r="7893" s="76" customFormat="1" spans="1:6">
      <c r="A7893">
        <v>8106</v>
      </c>
      <c r="B7893">
        <v>412018260</v>
      </c>
      <c r="C7893" s="76">
        <v>2018</v>
      </c>
      <c r="D7893" s="76" t="s">
        <v>34</v>
      </c>
      <c r="E7893" s="76">
        <v>5</v>
      </c>
      <c r="F7893" s="76">
        <v>1</v>
      </c>
    </row>
    <row r="7894" s="76" customFormat="1" spans="1:6">
      <c r="A7894">
        <v>8134</v>
      </c>
      <c r="B7894">
        <v>412018260</v>
      </c>
      <c r="C7894" s="76">
        <v>2018</v>
      </c>
      <c r="D7894" s="76" t="s">
        <v>34</v>
      </c>
      <c r="E7894" s="76" t="s">
        <v>32</v>
      </c>
      <c r="F7894" s="76">
        <v>30</v>
      </c>
    </row>
    <row r="7895" s="76" customFormat="1" spans="1:6">
      <c r="A7895">
        <v>8132</v>
      </c>
      <c r="B7895">
        <v>412018260</v>
      </c>
      <c r="C7895" s="76">
        <v>2018</v>
      </c>
      <c r="D7895" s="76" t="s">
        <v>34</v>
      </c>
      <c r="E7895" s="76" t="s">
        <v>32</v>
      </c>
      <c r="F7895" s="76">
        <v>5</v>
      </c>
    </row>
    <row r="7896" s="76" customFormat="1" spans="1:6">
      <c r="A7896">
        <v>8131</v>
      </c>
      <c r="B7896">
        <v>412018260</v>
      </c>
      <c r="C7896" s="76">
        <v>2018</v>
      </c>
      <c r="D7896" s="76" t="s">
        <v>34</v>
      </c>
      <c r="E7896" s="76" t="s">
        <v>32</v>
      </c>
      <c r="F7896" s="76">
        <v>10</v>
      </c>
    </row>
    <row r="7897" s="76" customFormat="1" spans="1:6">
      <c r="A7897">
        <v>8129</v>
      </c>
      <c r="B7897">
        <v>412018260</v>
      </c>
      <c r="C7897" s="76">
        <v>2018</v>
      </c>
      <c r="D7897" s="76" t="s">
        <v>34</v>
      </c>
      <c r="E7897" s="76" t="s">
        <v>32</v>
      </c>
      <c r="F7897" s="76">
        <v>15.18</v>
      </c>
    </row>
    <row r="7898" s="76" customFormat="1" spans="1:6">
      <c r="A7898">
        <v>8120</v>
      </c>
      <c r="B7898">
        <v>412018260</v>
      </c>
      <c r="C7898" s="76">
        <v>2018</v>
      </c>
      <c r="D7898" s="76" t="s">
        <v>34</v>
      </c>
      <c r="E7898" s="76" t="s">
        <v>32</v>
      </c>
      <c r="F7898" s="76">
        <v>25</v>
      </c>
    </row>
    <row r="7899" s="76" customFormat="1" spans="1:6">
      <c r="A7899">
        <v>8111</v>
      </c>
      <c r="B7899">
        <v>412018260</v>
      </c>
      <c r="C7899" s="76">
        <v>2018</v>
      </c>
      <c r="D7899" s="76" t="s">
        <v>34</v>
      </c>
      <c r="E7899" s="76">
        <v>22</v>
      </c>
      <c r="F7899" s="76">
        <v>4.62</v>
      </c>
    </row>
    <row r="7900" s="76" customFormat="1" spans="1:6">
      <c r="A7900">
        <v>8122</v>
      </c>
      <c r="B7900">
        <v>412018260</v>
      </c>
      <c r="C7900" s="76">
        <v>2018</v>
      </c>
      <c r="D7900" s="76" t="s">
        <v>34</v>
      </c>
      <c r="E7900" s="76" t="s">
        <v>32</v>
      </c>
      <c r="F7900" s="76">
        <v>8</v>
      </c>
    </row>
    <row r="7901" s="76" customFormat="1" spans="1:6">
      <c r="A7901">
        <v>8135</v>
      </c>
      <c r="B7901">
        <v>412018260</v>
      </c>
      <c r="C7901" s="76">
        <v>2018</v>
      </c>
      <c r="D7901" s="76" t="s">
        <v>34</v>
      </c>
      <c r="E7901" s="76" t="s">
        <v>32</v>
      </c>
      <c r="F7901" s="76">
        <v>1</v>
      </c>
    </row>
    <row r="7902" s="76" customFormat="1" spans="1:6">
      <c r="A7902">
        <v>8125</v>
      </c>
      <c r="B7902">
        <v>412018260</v>
      </c>
      <c r="C7902" s="76">
        <v>2018</v>
      </c>
      <c r="D7902" s="76" t="s">
        <v>34</v>
      </c>
      <c r="E7902" s="76" t="s">
        <v>32</v>
      </c>
      <c r="F7902" s="76">
        <v>4.5</v>
      </c>
    </row>
    <row r="7903" s="76" customFormat="1" spans="1:6">
      <c r="A7903">
        <v>8121</v>
      </c>
      <c r="B7903">
        <v>412018260</v>
      </c>
      <c r="C7903" s="76">
        <v>2018</v>
      </c>
      <c r="D7903" s="76" t="s">
        <v>34</v>
      </c>
      <c r="E7903" s="76" t="s">
        <v>32</v>
      </c>
      <c r="F7903" s="76">
        <v>15</v>
      </c>
    </row>
    <row r="7904" s="76" customFormat="1" spans="1:6">
      <c r="A7904">
        <v>8127</v>
      </c>
      <c r="B7904">
        <v>412018260</v>
      </c>
      <c r="C7904" s="76">
        <v>2018</v>
      </c>
      <c r="D7904" s="76" t="s">
        <v>34</v>
      </c>
      <c r="E7904" s="76" t="s">
        <v>32</v>
      </c>
      <c r="F7904" s="76">
        <v>7.4</v>
      </c>
    </row>
    <row r="7905" s="76" customFormat="1" spans="1:6">
      <c r="A7905">
        <v>8113</v>
      </c>
      <c r="B7905">
        <v>412018260</v>
      </c>
      <c r="C7905" s="76">
        <v>2018</v>
      </c>
      <c r="D7905" s="76" t="s">
        <v>34</v>
      </c>
      <c r="E7905" s="76">
        <v>69</v>
      </c>
      <c r="F7905" s="76">
        <v>15.18</v>
      </c>
    </row>
    <row r="7906" s="76" customFormat="1" spans="1:6">
      <c r="A7906">
        <v>8108</v>
      </c>
      <c r="B7906">
        <v>412018260</v>
      </c>
      <c r="C7906" s="76">
        <v>2018</v>
      </c>
      <c r="D7906" s="76" t="s">
        <v>34</v>
      </c>
      <c r="E7906" s="76">
        <v>8</v>
      </c>
      <c r="F7906" s="76">
        <v>1.6</v>
      </c>
    </row>
    <row r="7907" s="76" customFormat="1" spans="1:6">
      <c r="A7907">
        <v>8136</v>
      </c>
      <c r="B7907">
        <v>412018260</v>
      </c>
      <c r="C7907" s="76">
        <v>2018</v>
      </c>
      <c r="D7907" s="76" t="s">
        <v>34</v>
      </c>
      <c r="E7907" s="76" t="s">
        <v>32</v>
      </c>
      <c r="F7907" s="76">
        <v>1.7</v>
      </c>
    </row>
    <row r="7908" s="76" customFormat="1" spans="1:6">
      <c r="A7908">
        <v>8124</v>
      </c>
      <c r="B7908">
        <v>412018260</v>
      </c>
      <c r="C7908" s="76">
        <v>2018</v>
      </c>
      <c r="D7908" s="76" t="s">
        <v>34</v>
      </c>
      <c r="E7908" s="76" t="s">
        <v>32</v>
      </c>
      <c r="F7908" s="76">
        <v>4.95</v>
      </c>
    </row>
    <row r="7909" s="76" customFormat="1" spans="1:6">
      <c r="A7909">
        <v>8137</v>
      </c>
      <c r="B7909">
        <v>412018270</v>
      </c>
      <c r="C7909" s="76">
        <v>2018</v>
      </c>
      <c r="D7909" s="76" t="s">
        <v>31</v>
      </c>
      <c r="E7909" s="76" t="s">
        <v>32</v>
      </c>
      <c r="F7909" s="76">
        <v>0.1</v>
      </c>
    </row>
    <row r="7910" s="76" customFormat="1" spans="1:6">
      <c r="A7910">
        <v>8143</v>
      </c>
      <c r="B7910">
        <v>412018270</v>
      </c>
      <c r="C7910" s="76">
        <v>2018</v>
      </c>
      <c r="D7910" s="76" t="s">
        <v>31</v>
      </c>
      <c r="E7910" s="76" t="s">
        <v>32</v>
      </c>
      <c r="F7910" s="76">
        <v>10</v>
      </c>
    </row>
    <row r="7911" s="76" customFormat="1" spans="1:6">
      <c r="A7911">
        <v>8151</v>
      </c>
      <c r="B7911">
        <v>412018270</v>
      </c>
      <c r="C7911" s="76">
        <v>2018</v>
      </c>
      <c r="D7911" s="76" t="s">
        <v>31</v>
      </c>
      <c r="E7911" s="76" t="s">
        <v>32</v>
      </c>
      <c r="F7911" s="76">
        <v>5</v>
      </c>
    </row>
    <row r="7912" s="76" customFormat="1" spans="1:6">
      <c r="A7912">
        <v>8138</v>
      </c>
      <c r="B7912">
        <v>412018270</v>
      </c>
      <c r="C7912" s="76">
        <v>2018</v>
      </c>
      <c r="D7912" s="76" t="s">
        <v>31</v>
      </c>
      <c r="E7912" s="76" t="s">
        <v>32</v>
      </c>
      <c r="F7912" s="76">
        <v>2</v>
      </c>
    </row>
    <row r="7913" s="76" customFormat="1" spans="1:6">
      <c r="A7913">
        <v>8141</v>
      </c>
      <c r="B7913">
        <v>412018270</v>
      </c>
      <c r="C7913" s="76">
        <v>2018</v>
      </c>
      <c r="D7913" s="76" t="s">
        <v>31</v>
      </c>
      <c r="E7913" s="76" t="s">
        <v>32</v>
      </c>
      <c r="F7913" s="76">
        <v>2</v>
      </c>
    </row>
    <row r="7914" s="76" customFormat="1" spans="1:6">
      <c r="A7914">
        <v>8147</v>
      </c>
      <c r="B7914">
        <v>412018270</v>
      </c>
      <c r="C7914" s="76">
        <v>2018</v>
      </c>
      <c r="D7914" s="76" t="s">
        <v>31</v>
      </c>
      <c r="E7914" s="76" t="s">
        <v>32</v>
      </c>
      <c r="F7914" s="76">
        <v>3</v>
      </c>
    </row>
    <row r="7915" s="76" customFormat="1" spans="1:6">
      <c r="A7915">
        <v>8140</v>
      </c>
      <c r="B7915">
        <v>412018270</v>
      </c>
      <c r="C7915" s="76">
        <v>2018</v>
      </c>
      <c r="D7915" s="76" t="s">
        <v>31</v>
      </c>
      <c r="E7915" s="76" t="s">
        <v>32</v>
      </c>
      <c r="F7915" s="76">
        <v>2</v>
      </c>
    </row>
    <row r="7916" s="76" customFormat="1" spans="1:6">
      <c r="A7916">
        <v>8149</v>
      </c>
      <c r="B7916">
        <v>412018270</v>
      </c>
      <c r="C7916" s="76">
        <v>2018</v>
      </c>
      <c r="D7916" s="76" t="s">
        <v>31</v>
      </c>
      <c r="E7916" s="76" t="s">
        <v>32</v>
      </c>
      <c r="F7916" s="76">
        <v>2</v>
      </c>
    </row>
    <row r="7917" s="76" customFormat="1" spans="1:6">
      <c r="A7917">
        <v>8150</v>
      </c>
      <c r="B7917">
        <v>412018270</v>
      </c>
      <c r="C7917" s="76">
        <v>2018</v>
      </c>
      <c r="D7917" s="76" t="s">
        <v>31</v>
      </c>
      <c r="E7917" s="76" t="s">
        <v>32</v>
      </c>
      <c r="F7917" s="76">
        <v>2</v>
      </c>
    </row>
    <row r="7918" s="76" customFormat="1" spans="1:6">
      <c r="A7918">
        <v>8146</v>
      </c>
      <c r="B7918">
        <v>412018270</v>
      </c>
      <c r="C7918" s="76">
        <v>2018</v>
      </c>
      <c r="D7918" s="76" t="s">
        <v>31</v>
      </c>
      <c r="E7918" s="76" t="s">
        <v>32</v>
      </c>
      <c r="F7918" s="76">
        <v>10</v>
      </c>
    </row>
    <row r="7919" s="76" customFormat="1" spans="1:6">
      <c r="A7919">
        <v>8148</v>
      </c>
      <c r="B7919">
        <v>412018270</v>
      </c>
      <c r="C7919" s="76">
        <v>2018</v>
      </c>
      <c r="D7919" s="76" t="s">
        <v>31</v>
      </c>
      <c r="E7919" s="76" t="s">
        <v>32</v>
      </c>
      <c r="F7919" s="76">
        <v>10</v>
      </c>
    </row>
    <row r="7920" s="76" customFormat="1" spans="1:6">
      <c r="A7920">
        <v>8144</v>
      </c>
      <c r="B7920">
        <v>412018270</v>
      </c>
      <c r="C7920" s="76">
        <v>2018</v>
      </c>
      <c r="D7920" s="76" t="s">
        <v>31</v>
      </c>
      <c r="E7920" s="76" t="s">
        <v>32</v>
      </c>
      <c r="F7920" s="76">
        <v>2</v>
      </c>
    </row>
    <row r="7921" s="76" customFormat="1" spans="1:6">
      <c r="A7921">
        <v>8145</v>
      </c>
      <c r="B7921">
        <v>412018270</v>
      </c>
      <c r="C7921" s="76">
        <v>2018</v>
      </c>
      <c r="D7921" s="76" t="s">
        <v>31</v>
      </c>
      <c r="E7921" s="76" t="s">
        <v>32</v>
      </c>
      <c r="F7921" s="76">
        <v>2</v>
      </c>
    </row>
    <row r="7922" s="76" customFormat="1" spans="1:6">
      <c r="A7922">
        <v>8142</v>
      </c>
      <c r="B7922">
        <v>412018270</v>
      </c>
      <c r="C7922" s="76">
        <v>2018</v>
      </c>
      <c r="D7922" s="76" t="s">
        <v>31</v>
      </c>
      <c r="E7922" s="76" t="s">
        <v>32</v>
      </c>
      <c r="F7922" s="76">
        <v>8</v>
      </c>
    </row>
    <row r="7923" s="76" customFormat="1" spans="1:6">
      <c r="A7923">
        <v>8153</v>
      </c>
      <c r="B7923">
        <v>412018270</v>
      </c>
      <c r="C7923" s="76">
        <v>2018</v>
      </c>
      <c r="D7923" s="76" t="s">
        <v>31</v>
      </c>
      <c r="E7923" s="76" t="s">
        <v>32</v>
      </c>
      <c r="F7923" s="76">
        <v>1.15</v>
      </c>
    </row>
    <row r="7924" s="76" customFormat="1" spans="1:6">
      <c r="A7924">
        <v>8152</v>
      </c>
      <c r="B7924">
        <v>412018270</v>
      </c>
      <c r="C7924" s="76">
        <v>2018</v>
      </c>
      <c r="D7924" s="76" t="s">
        <v>31</v>
      </c>
      <c r="E7924" s="76" t="s">
        <v>32</v>
      </c>
      <c r="F7924" s="76">
        <v>7</v>
      </c>
    </row>
    <row r="7925" s="76" customFormat="1" spans="1:6">
      <c r="A7925">
        <v>8154</v>
      </c>
      <c r="B7925">
        <v>412018270</v>
      </c>
      <c r="C7925" s="76">
        <v>2018</v>
      </c>
      <c r="D7925" s="76" t="s">
        <v>31</v>
      </c>
      <c r="E7925" s="76" t="s">
        <v>32</v>
      </c>
      <c r="F7925" s="76">
        <v>1.76</v>
      </c>
    </row>
    <row r="7926" s="76" customFormat="1" spans="1:6">
      <c r="A7926">
        <v>8155</v>
      </c>
      <c r="B7926">
        <v>412019110</v>
      </c>
      <c r="C7926" s="76">
        <v>2019</v>
      </c>
      <c r="D7926" s="76" t="s">
        <v>40</v>
      </c>
      <c r="E7926" s="76" t="s">
        <v>32</v>
      </c>
      <c r="F7926" s="76">
        <v>5</v>
      </c>
    </row>
    <row r="7927" s="76" customFormat="1" spans="1:6">
      <c r="A7927">
        <v>8160</v>
      </c>
      <c r="B7927">
        <v>412019211</v>
      </c>
      <c r="C7927" s="76">
        <v>2019</v>
      </c>
      <c r="D7927" s="76" t="s">
        <v>37</v>
      </c>
      <c r="E7927" s="76">
        <v>1</v>
      </c>
      <c r="F7927" s="76">
        <v>66</v>
      </c>
    </row>
    <row r="7928" s="76" customFormat="1" spans="1:6">
      <c r="A7928">
        <v>8159</v>
      </c>
      <c r="B7928">
        <v>412019211</v>
      </c>
      <c r="C7928" s="76">
        <v>2019</v>
      </c>
      <c r="D7928" s="76" t="s">
        <v>37</v>
      </c>
      <c r="E7928" s="76" t="s">
        <v>32</v>
      </c>
      <c r="F7928" s="76">
        <v>1.2</v>
      </c>
    </row>
    <row r="7929" s="76" customFormat="1" spans="1:6">
      <c r="A7929">
        <v>8157</v>
      </c>
      <c r="B7929">
        <v>412019211</v>
      </c>
      <c r="C7929" s="76">
        <v>2019</v>
      </c>
      <c r="D7929" s="76" t="s">
        <v>37</v>
      </c>
      <c r="E7929" s="76">
        <v>2</v>
      </c>
      <c r="F7929" s="76">
        <v>132</v>
      </c>
    </row>
    <row r="7930" s="76" customFormat="1" spans="1:6">
      <c r="A7930">
        <v>8158</v>
      </c>
      <c r="B7930">
        <v>412019211</v>
      </c>
      <c r="C7930" s="76">
        <v>2019</v>
      </c>
      <c r="D7930" s="76" t="s">
        <v>37</v>
      </c>
      <c r="E7930" s="76" t="s">
        <v>32</v>
      </c>
      <c r="F7930" s="76">
        <v>3</v>
      </c>
    </row>
    <row r="7931" s="76" customFormat="1" spans="1:6">
      <c r="A7931">
        <v>8161</v>
      </c>
      <c r="B7931">
        <v>412019211</v>
      </c>
      <c r="C7931" s="76">
        <v>2019</v>
      </c>
      <c r="D7931" s="76" t="s">
        <v>37</v>
      </c>
      <c r="E7931" s="76">
        <v>1</v>
      </c>
      <c r="F7931" s="76">
        <v>1.5</v>
      </c>
    </row>
    <row r="7932" s="76" customFormat="1" spans="1:6">
      <c r="A7932">
        <v>8162</v>
      </c>
      <c r="B7932">
        <v>412019221</v>
      </c>
      <c r="C7932" s="76">
        <v>2019</v>
      </c>
      <c r="D7932" s="76" t="s">
        <v>30</v>
      </c>
      <c r="E7932" s="76" t="s">
        <v>32</v>
      </c>
      <c r="F7932" s="76">
        <v>35</v>
      </c>
    </row>
    <row r="7933" s="76" customFormat="1" spans="1:6">
      <c r="A7933">
        <v>8164</v>
      </c>
      <c r="B7933">
        <v>412019241</v>
      </c>
      <c r="C7933" s="76">
        <v>2019</v>
      </c>
      <c r="D7933" s="76" t="s">
        <v>33</v>
      </c>
      <c r="E7933" s="76" t="s">
        <v>32</v>
      </c>
      <c r="F7933" s="76">
        <v>4.8</v>
      </c>
    </row>
    <row r="7934" s="76" customFormat="1" spans="1:6">
      <c r="A7934">
        <v>8163</v>
      </c>
      <c r="B7934">
        <v>412019241</v>
      </c>
      <c r="C7934" s="76">
        <v>2019</v>
      </c>
      <c r="D7934" s="76" t="s">
        <v>33</v>
      </c>
      <c r="E7934" s="76" t="s">
        <v>32</v>
      </c>
      <c r="F7934" s="76">
        <v>6.5</v>
      </c>
    </row>
    <row r="7935" s="76" customFormat="1" spans="1:6">
      <c r="A7935">
        <v>8166</v>
      </c>
      <c r="B7935">
        <v>412019242</v>
      </c>
      <c r="C7935" s="76">
        <v>2019</v>
      </c>
      <c r="D7935" s="76" t="s">
        <v>35</v>
      </c>
      <c r="E7935" s="76" t="s">
        <v>32</v>
      </c>
      <c r="F7935" s="76">
        <v>1.5</v>
      </c>
    </row>
    <row r="7936" s="76" customFormat="1" spans="1:6">
      <c r="A7936">
        <v>8167</v>
      </c>
      <c r="B7936">
        <v>412019242</v>
      </c>
      <c r="C7936" s="76">
        <v>2019</v>
      </c>
      <c r="D7936" s="76" t="s">
        <v>35</v>
      </c>
      <c r="E7936" s="76" t="s">
        <v>32</v>
      </c>
      <c r="F7936" s="76">
        <v>1.2</v>
      </c>
    </row>
    <row r="7937" s="76" customFormat="1" spans="1:6">
      <c r="A7937">
        <v>8168</v>
      </c>
      <c r="B7937">
        <v>412019242</v>
      </c>
      <c r="C7937" s="76">
        <v>2019</v>
      </c>
      <c r="D7937" s="76" t="s">
        <v>35</v>
      </c>
      <c r="E7937" s="76" t="s">
        <v>32</v>
      </c>
      <c r="F7937" s="76">
        <v>1.5</v>
      </c>
    </row>
    <row r="7938" s="76" customFormat="1" spans="1:6">
      <c r="A7938">
        <v>8169</v>
      </c>
      <c r="B7938">
        <v>412019242</v>
      </c>
      <c r="C7938" s="76">
        <v>2019</v>
      </c>
      <c r="D7938" s="76" t="s">
        <v>35</v>
      </c>
      <c r="E7938" s="76" t="s">
        <v>32</v>
      </c>
      <c r="F7938" s="76">
        <v>3.75</v>
      </c>
    </row>
    <row r="7939" s="76" customFormat="1" spans="1:6">
      <c r="A7939">
        <v>8170</v>
      </c>
      <c r="B7939">
        <v>412019243</v>
      </c>
      <c r="C7939" s="76">
        <v>2019</v>
      </c>
      <c r="D7939" s="76" t="s">
        <v>38</v>
      </c>
      <c r="E7939" s="76" t="s">
        <v>32</v>
      </c>
      <c r="F7939" s="76">
        <v>1.8</v>
      </c>
    </row>
    <row r="7940" s="76" customFormat="1" spans="1:6">
      <c r="A7940">
        <v>8206</v>
      </c>
      <c r="B7940">
        <v>412019260</v>
      </c>
      <c r="C7940" s="76">
        <v>2019</v>
      </c>
      <c r="D7940" s="76" t="s">
        <v>34</v>
      </c>
      <c r="E7940" s="76" t="s">
        <v>32</v>
      </c>
      <c r="F7940" s="76">
        <v>6.5</v>
      </c>
    </row>
    <row r="7941" s="76" customFormat="1" spans="1:6">
      <c r="A7941">
        <v>8202</v>
      </c>
      <c r="B7941">
        <v>412019260</v>
      </c>
      <c r="C7941" s="76">
        <v>2019</v>
      </c>
      <c r="D7941" s="76" t="s">
        <v>34</v>
      </c>
      <c r="E7941" s="76">
        <v>26</v>
      </c>
      <c r="F7941" s="76">
        <v>5.09</v>
      </c>
    </row>
    <row r="7942" s="76" customFormat="1" spans="1:6">
      <c r="A7942">
        <v>8204</v>
      </c>
      <c r="B7942">
        <v>412019260</v>
      </c>
      <c r="C7942" s="76">
        <v>2019</v>
      </c>
      <c r="D7942" s="76" t="s">
        <v>34</v>
      </c>
      <c r="E7942" s="76">
        <v>125</v>
      </c>
      <c r="F7942" s="76">
        <v>25</v>
      </c>
    </row>
    <row r="7943" s="76" customFormat="1" spans="1:6">
      <c r="A7943">
        <v>8179</v>
      </c>
      <c r="B7943">
        <v>412019260</v>
      </c>
      <c r="C7943" s="76">
        <v>2019</v>
      </c>
      <c r="D7943" s="76" t="s">
        <v>34</v>
      </c>
      <c r="E7943" s="76">
        <v>36</v>
      </c>
      <c r="F7943" s="76">
        <v>7.92</v>
      </c>
    </row>
    <row r="7944" s="76" customFormat="1" spans="1:6">
      <c r="A7944">
        <v>8222</v>
      </c>
      <c r="B7944">
        <v>412019260</v>
      </c>
      <c r="C7944" s="76">
        <v>2019</v>
      </c>
      <c r="D7944" s="76" t="s">
        <v>34</v>
      </c>
      <c r="E7944" s="76" t="s">
        <v>32</v>
      </c>
      <c r="F7944" s="76">
        <v>2.4</v>
      </c>
    </row>
    <row r="7945" s="76" customFormat="1" spans="1:6">
      <c r="A7945">
        <v>8193</v>
      </c>
      <c r="B7945">
        <v>412019260</v>
      </c>
      <c r="C7945" s="76">
        <v>2019</v>
      </c>
      <c r="D7945" s="76" t="s">
        <v>34</v>
      </c>
      <c r="E7945" s="76">
        <v>8</v>
      </c>
      <c r="F7945" s="76">
        <v>2.2</v>
      </c>
    </row>
    <row r="7946" s="76" customFormat="1" spans="1:6">
      <c r="A7946">
        <v>8182</v>
      </c>
      <c r="B7946">
        <v>412019260</v>
      </c>
      <c r="C7946" s="76">
        <v>2019</v>
      </c>
      <c r="D7946" s="76" t="s">
        <v>34</v>
      </c>
      <c r="E7946" s="76" t="s">
        <v>32</v>
      </c>
      <c r="F7946" s="76">
        <v>5</v>
      </c>
    </row>
    <row r="7947" s="76" customFormat="1" spans="1:6">
      <c r="A7947">
        <v>8217</v>
      </c>
      <c r="B7947">
        <v>412019260</v>
      </c>
      <c r="C7947" s="76">
        <v>2019</v>
      </c>
      <c r="D7947" s="76" t="s">
        <v>34</v>
      </c>
      <c r="E7947" s="76" t="s">
        <v>32</v>
      </c>
      <c r="F7947" s="76">
        <v>4</v>
      </c>
    </row>
    <row r="7948" s="76" customFormat="1" spans="1:6">
      <c r="A7948">
        <v>8186</v>
      </c>
      <c r="B7948">
        <v>412019260</v>
      </c>
      <c r="C7948" s="76">
        <v>2019</v>
      </c>
      <c r="D7948" s="76" t="s">
        <v>34</v>
      </c>
      <c r="E7948" s="76">
        <v>5</v>
      </c>
      <c r="F7948" s="76">
        <v>1</v>
      </c>
    </row>
    <row r="7949" s="76" customFormat="1" spans="1:6">
      <c r="A7949">
        <v>8195</v>
      </c>
      <c r="B7949">
        <v>412019260</v>
      </c>
      <c r="C7949" s="76">
        <v>2019</v>
      </c>
      <c r="D7949" s="76" t="s">
        <v>34</v>
      </c>
      <c r="E7949" s="76">
        <v>19</v>
      </c>
      <c r="F7949" s="76">
        <v>3.8</v>
      </c>
    </row>
    <row r="7950" s="76" customFormat="1" spans="1:6">
      <c r="A7950">
        <v>8216</v>
      </c>
      <c r="B7950">
        <v>412019260</v>
      </c>
      <c r="C7950" s="76">
        <v>2019</v>
      </c>
      <c r="D7950" s="76" t="s">
        <v>34</v>
      </c>
      <c r="E7950" s="76" t="s">
        <v>32</v>
      </c>
      <c r="F7950" s="76">
        <v>4</v>
      </c>
    </row>
    <row r="7951" s="76" customFormat="1" spans="1:6">
      <c r="A7951">
        <v>8227</v>
      </c>
      <c r="B7951">
        <v>412019260</v>
      </c>
      <c r="C7951" s="76">
        <v>2019</v>
      </c>
      <c r="D7951" s="76" t="s">
        <v>34</v>
      </c>
      <c r="E7951" s="76" t="s">
        <v>32</v>
      </c>
      <c r="F7951" s="76">
        <v>1</v>
      </c>
    </row>
    <row r="7952" s="76" customFormat="1" spans="1:6">
      <c r="A7952">
        <v>8171</v>
      </c>
      <c r="B7952">
        <v>412019260</v>
      </c>
      <c r="C7952" s="76">
        <v>2019</v>
      </c>
      <c r="D7952" s="76" t="s">
        <v>34</v>
      </c>
      <c r="E7952" s="76">
        <v>15</v>
      </c>
      <c r="F7952" s="76">
        <v>3</v>
      </c>
    </row>
    <row r="7953" s="76" customFormat="1" spans="1:6">
      <c r="A7953">
        <v>8187</v>
      </c>
      <c r="B7953">
        <v>412019260</v>
      </c>
      <c r="C7953" s="76">
        <v>2019</v>
      </c>
      <c r="D7953" s="76" t="s">
        <v>34</v>
      </c>
      <c r="E7953" s="76" t="s">
        <v>32</v>
      </c>
      <c r="F7953" s="76">
        <v>5.94</v>
      </c>
    </row>
    <row r="7954" s="76" customFormat="1" spans="1:6">
      <c r="A7954">
        <v>8211</v>
      </c>
      <c r="B7954">
        <v>412019260</v>
      </c>
      <c r="C7954" s="76">
        <v>2019</v>
      </c>
      <c r="D7954" s="76" t="s">
        <v>34</v>
      </c>
      <c r="E7954" s="76" t="s">
        <v>32</v>
      </c>
      <c r="F7954" s="76">
        <v>4.86</v>
      </c>
    </row>
    <row r="7955" s="76" customFormat="1" spans="1:6">
      <c r="A7955">
        <v>8178</v>
      </c>
      <c r="B7955">
        <v>412019260</v>
      </c>
      <c r="C7955" s="76">
        <v>2019</v>
      </c>
      <c r="D7955" s="76" t="s">
        <v>34</v>
      </c>
      <c r="E7955" s="76" t="s">
        <v>32</v>
      </c>
      <c r="F7955" s="76">
        <v>1.2</v>
      </c>
    </row>
    <row r="7956" s="76" customFormat="1" spans="1:6">
      <c r="A7956">
        <v>8194</v>
      </c>
      <c r="B7956">
        <v>412019260</v>
      </c>
      <c r="C7956" s="76">
        <v>2019</v>
      </c>
      <c r="D7956" s="76" t="s">
        <v>34</v>
      </c>
      <c r="E7956" s="76" t="s">
        <v>32</v>
      </c>
      <c r="F7956" s="76">
        <v>2</v>
      </c>
    </row>
    <row r="7957" s="76" customFormat="1" spans="1:6">
      <c r="A7957">
        <v>8175</v>
      </c>
      <c r="B7957">
        <v>412019260</v>
      </c>
      <c r="C7957" s="76">
        <v>2019</v>
      </c>
      <c r="D7957" s="76" t="s">
        <v>34</v>
      </c>
      <c r="E7957" s="76">
        <v>10</v>
      </c>
      <c r="F7957" s="76">
        <v>2</v>
      </c>
    </row>
    <row r="7958" s="76" customFormat="1" spans="1:6">
      <c r="A7958">
        <v>8184</v>
      </c>
      <c r="B7958">
        <v>412019260</v>
      </c>
      <c r="C7958" s="76">
        <v>2019</v>
      </c>
      <c r="D7958" s="76" t="s">
        <v>34</v>
      </c>
      <c r="E7958" s="76">
        <v>26</v>
      </c>
      <c r="F7958" s="76">
        <v>5.2</v>
      </c>
    </row>
    <row r="7959" s="76" customFormat="1" spans="1:6">
      <c r="A7959">
        <v>8172</v>
      </c>
      <c r="B7959">
        <v>412019260</v>
      </c>
      <c r="C7959" s="76">
        <v>2019</v>
      </c>
      <c r="D7959" s="76" t="s">
        <v>34</v>
      </c>
      <c r="E7959" s="76">
        <v>46</v>
      </c>
      <c r="F7959" s="76">
        <v>10</v>
      </c>
    </row>
    <row r="7960" s="76" customFormat="1" spans="1:6">
      <c r="A7960">
        <v>8229</v>
      </c>
      <c r="B7960">
        <v>412019260</v>
      </c>
      <c r="C7960" s="76">
        <v>2019</v>
      </c>
      <c r="D7960" s="76" t="s">
        <v>34</v>
      </c>
      <c r="E7960" s="76" t="s">
        <v>32</v>
      </c>
      <c r="F7960" s="76">
        <v>7.04</v>
      </c>
    </row>
    <row r="7961" s="76" customFormat="1" spans="1:6">
      <c r="A7961">
        <v>8174</v>
      </c>
      <c r="B7961">
        <v>412019260</v>
      </c>
      <c r="C7961" s="76">
        <v>2019</v>
      </c>
      <c r="D7961" s="76" t="s">
        <v>34</v>
      </c>
      <c r="E7961" s="76">
        <v>5</v>
      </c>
      <c r="F7961" s="76">
        <v>1</v>
      </c>
    </row>
    <row r="7962" s="76" customFormat="1" spans="1:6">
      <c r="A7962">
        <v>8188</v>
      </c>
      <c r="B7962">
        <v>412019260</v>
      </c>
      <c r="C7962" s="76">
        <v>2019</v>
      </c>
      <c r="D7962" s="76" t="s">
        <v>34</v>
      </c>
      <c r="E7962" s="76">
        <v>5</v>
      </c>
      <c r="F7962" s="76">
        <v>1</v>
      </c>
    </row>
    <row r="7963" s="76" customFormat="1" spans="1:6">
      <c r="A7963">
        <v>8177</v>
      </c>
      <c r="B7963">
        <v>412019260</v>
      </c>
      <c r="C7963" s="76">
        <v>2019</v>
      </c>
      <c r="D7963" s="76" t="s">
        <v>34</v>
      </c>
      <c r="E7963" s="76">
        <v>36</v>
      </c>
      <c r="F7963" s="76">
        <v>7.92</v>
      </c>
    </row>
    <row r="7964" s="76" customFormat="1" spans="1:6">
      <c r="A7964">
        <v>8205</v>
      </c>
      <c r="B7964">
        <v>412019260</v>
      </c>
      <c r="C7964" s="76">
        <v>2019</v>
      </c>
      <c r="D7964" s="76" t="s">
        <v>34</v>
      </c>
      <c r="E7964" s="76">
        <v>15</v>
      </c>
      <c r="F7964" s="76">
        <v>3</v>
      </c>
    </row>
    <row r="7965" s="76" customFormat="1" spans="1:6">
      <c r="A7965">
        <v>8180</v>
      </c>
      <c r="B7965">
        <v>412019260</v>
      </c>
      <c r="C7965" s="76">
        <v>2019</v>
      </c>
      <c r="D7965" s="76" t="s">
        <v>34</v>
      </c>
      <c r="E7965" s="76">
        <v>25</v>
      </c>
      <c r="F7965" s="76">
        <v>5</v>
      </c>
    </row>
    <row r="7966" s="76" customFormat="1" spans="1:6">
      <c r="A7966">
        <v>8183</v>
      </c>
      <c r="B7966">
        <v>412019260</v>
      </c>
      <c r="C7966" s="76">
        <v>2019</v>
      </c>
      <c r="D7966" s="76" t="s">
        <v>34</v>
      </c>
      <c r="E7966" s="76">
        <v>24</v>
      </c>
      <c r="F7966" s="76">
        <v>4.8</v>
      </c>
    </row>
    <row r="7967" s="76" customFormat="1" spans="1:6">
      <c r="A7967">
        <v>8219</v>
      </c>
      <c r="B7967">
        <v>412019260</v>
      </c>
      <c r="C7967" s="76">
        <v>2019</v>
      </c>
      <c r="D7967" s="76" t="s">
        <v>34</v>
      </c>
      <c r="E7967" s="76" t="s">
        <v>32</v>
      </c>
      <c r="F7967" s="76">
        <v>5</v>
      </c>
    </row>
    <row r="7968" s="76" customFormat="1" spans="1:6">
      <c r="A7968">
        <v>8189</v>
      </c>
      <c r="B7968">
        <v>412019260</v>
      </c>
      <c r="C7968" s="76">
        <v>2019</v>
      </c>
      <c r="D7968" s="76" t="s">
        <v>34</v>
      </c>
      <c r="E7968" s="76" t="s">
        <v>32</v>
      </c>
      <c r="F7968" s="76">
        <v>5</v>
      </c>
    </row>
    <row r="7969" s="76" customFormat="1" spans="1:6">
      <c r="A7969">
        <v>8221</v>
      </c>
      <c r="B7969">
        <v>412019260</v>
      </c>
      <c r="C7969" s="76">
        <v>2019</v>
      </c>
      <c r="D7969" s="76" t="s">
        <v>34</v>
      </c>
      <c r="E7969" s="76" t="s">
        <v>32</v>
      </c>
      <c r="F7969" s="76">
        <v>4.8</v>
      </c>
    </row>
    <row r="7970" s="76" customFormat="1" spans="1:6">
      <c r="A7970">
        <v>8200</v>
      </c>
      <c r="B7970">
        <v>412019260</v>
      </c>
      <c r="C7970" s="76">
        <v>2019</v>
      </c>
      <c r="D7970" s="76" t="s">
        <v>34</v>
      </c>
      <c r="E7970" s="76" t="s">
        <v>32</v>
      </c>
      <c r="F7970" s="76">
        <v>5</v>
      </c>
    </row>
    <row r="7971" s="76" customFormat="1" spans="1:6">
      <c r="A7971">
        <v>8214</v>
      </c>
      <c r="B7971">
        <v>412019260</v>
      </c>
      <c r="C7971" s="76">
        <v>2019</v>
      </c>
      <c r="D7971" s="76" t="s">
        <v>34</v>
      </c>
      <c r="E7971" s="76" t="s">
        <v>32</v>
      </c>
      <c r="F7971" s="76">
        <v>5</v>
      </c>
    </row>
    <row r="7972" s="76" customFormat="1" spans="1:6">
      <c r="A7972">
        <v>8190</v>
      </c>
      <c r="B7972">
        <v>412019260</v>
      </c>
      <c r="C7972" s="76">
        <v>2019</v>
      </c>
      <c r="D7972" s="76" t="s">
        <v>34</v>
      </c>
      <c r="E7972" s="76" t="s">
        <v>32</v>
      </c>
      <c r="F7972" s="76">
        <v>4.95</v>
      </c>
    </row>
    <row r="7973" s="76" customFormat="1" spans="1:6">
      <c r="A7973">
        <v>8208</v>
      </c>
      <c r="B7973">
        <v>412019260</v>
      </c>
      <c r="C7973" s="76">
        <v>2019</v>
      </c>
      <c r="D7973" s="76" t="s">
        <v>34</v>
      </c>
      <c r="E7973" s="76" t="s">
        <v>32</v>
      </c>
      <c r="F7973" s="76">
        <v>5</v>
      </c>
    </row>
    <row r="7974" s="76" customFormat="1" spans="1:6">
      <c r="A7974">
        <v>8209</v>
      </c>
      <c r="B7974">
        <v>412019260</v>
      </c>
      <c r="C7974" s="76">
        <v>2019</v>
      </c>
      <c r="D7974" s="76" t="s">
        <v>34</v>
      </c>
      <c r="E7974" s="76" t="s">
        <v>32</v>
      </c>
      <c r="F7974" s="76">
        <v>5</v>
      </c>
    </row>
    <row r="7975" s="76" customFormat="1" spans="1:6">
      <c r="A7975">
        <v>8198</v>
      </c>
      <c r="B7975">
        <v>412019260</v>
      </c>
      <c r="C7975" s="76">
        <v>2019</v>
      </c>
      <c r="D7975" s="76" t="s">
        <v>34</v>
      </c>
      <c r="E7975" s="76" t="s">
        <v>32</v>
      </c>
      <c r="F7975" s="76">
        <v>0.6</v>
      </c>
    </row>
    <row r="7976" s="76" customFormat="1" spans="1:6">
      <c r="A7976">
        <v>8225</v>
      </c>
      <c r="B7976">
        <v>412019260</v>
      </c>
      <c r="C7976" s="76">
        <v>2019</v>
      </c>
      <c r="D7976" s="76" t="s">
        <v>34</v>
      </c>
      <c r="E7976" s="76" t="s">
        <v>32</v>
      </c>
      <c r="F7976" s="76">
        <v>10</v>
      </c>
    </row>
    <row r="7977" s="76" customFormat="1" spans="1:6">
      <c r="A7977">
        <v>8218</v>
      </c>
      <c r="B7977">
        <v>412019260</v>
      </c>
      <c r="C7977" s="76">
        <v>2019</v>
      </c>
      <c r="D7977" s="76" t="s">
        <v>34</v>
      </c>
      <c r="E7977" s="76" t="s">
        <v>32</v>
      </c>
      <c r="F7977" s="76">
        <v>10.12</v>
      </c>
    </row>
    <row r="7978" s="76" customFormat="1" spans="1:6">
      <c r="A7978">
        <v>8224</v>
      </c>
      <c r="B7978">
        <v>412019260</v>
      </c>
      <c r="C7978" s="76">
        <v>2019</v>
      </c>
      <c r="D7978" s="76" t="s">
        <v>34</v>
      </c>
      <c r="E7978" s="76" t="s">
        <v>32</v>
      </c>
      <c r="F7978" s="76">
        <v>11</v>
      </c>
    </row>
    <row r="7979" s="76" customFormat="1" spans="1:6">
      <c r="A7979">
        <v>8192</v>
      </c>
      <c r="B7979">
        <v>412019260</v>
      </c>
      <c r="C7979" s="76">
        <v>2019</v>
      </c>
      <c r="D7979" s="76" t="s">
        <v>34</v>
      </c>
      <c r="E7979" s="76">
        <v>36</v>
      </c>
      <c r="F7979" s="76">
        <v>9</v>
      </c>
    </row>
    <row r="7980" s="76" customFormat="1" spans="1:6">
      <c r="A7980">
        <v>8203</v>
      </c>
      <c r="B7980">
        <v>412019260</v>
      </c>
      <c r="C7980" s="76">
        <v>2019</v>
      </c>
      <c r="D7980" s="76" t="s">
        <v>34</v>
      </c>
      <c r="E7980" s="76" t="s">
        <v>32</v>
      </c>
      <c r="F7980" s="76">
        <v>4.95</v>
      </c>
    </row>
    <row r="7981" s="76" customFormat="1" spans="1:6">
      <c r="A7981">
        <v>8210</v>
      </c>
      <c r="B7981">
        <v>412019260</v>
      </c>
      <c r="C7981" s="76">
        <v>2019</v>
      </c>
      <c r="D7981" s="76" t="s">
        <v>34</v>
      </c>
      <c r="E7981" s="76" t="s">
        <v>32</v>
      </c>
      <c r="F7981" s="76">
        <v>10</v>
      </c>
    </row>
    <row r="7982" s="76" customFormat="1" spans="1:6">
      <c r="A7982">
        <v>8185</v>
      </c>
      <c r="B7982">
        <v>412019260</v>
      </c>
      <c r="C7982" s="76">
        <v>2019</v>
      </c>
      <c r="D7982" s="76" t="s">
        <v>34</v>
      </c>
      <c r="E7982" s="76">
        <v>22</v>
      </c>
      <c r="F7982" s="76">
        <v>4.2</v>
      </c>
    </row>
    <row r="7983" s="76" customFormat="1" spans="1:6">
      <c r="A7983">
        <v>8212</v>
      </c>
      <c r="B7983">
        <v>412019260</v>
      </c>
      <c r="C7983" s="76">
        <v>2019</v>
      </c>
      <c r="D7983" s="76" t="s">
        <v>34</v>
      </c>
      <c r="E7983" s="76" t="s">
        <v>32</v>
      </c>
      <c r="F7983" s="76">
        <v>1</v>
      </c>
    </row>
    <row r="7984" s="76" customFormat="1" spans="1:6">
      <c r="A7984">
        <v>8191</v>
      </c>
      <c r="B7984">
        <v>412019260</v>
      </c>
      <c r="C7984" s="76">
        <v>2019</v>
      </c>
      <c r="D7984" s="76" t="s">
        <v>34</v>
      </c>
      <c r="E7984" s="76" t="s">
        <v>32</v>
      </c>
      <c r="F7984" s="76">
        <v>7.6</v>
      </c>
    </row>
    <row r="7985" s="76" customFormat="1" spans="1:6">
      <c r="A7985">
        <v>8173</v>
      </c>
      <c r="B7985">
        <v>412019260</v>
      </c>
      <c r="C7985" s="76">
        <v>2019</v>
      </c>
      <c r="D7985" s="76" t="s">
        <v>34</v>
      </c>
      <c r="E7985" s="76">
        <v>1</v>
      </c>
      <c r="F7985" s="76">
        <v>0.3</v>
      </c>
    </row>
    <row r="7986" s="76" customFormat="1" spans="1:6">
      <c r="A7986">
        <v>8197</v>
      </c>
      <c r="B7986">
        <v>412019260</v>
      </c>
      <c r="C7986" s="76">
        <v>2019</v>
      </c>
      <c r="D7986" s="76" t="s">
        <v>34</v>
      </c>
      <c r="E7986" s="76">
        <v>34</v>
      </c>
      <c r="F7986" s="76">
        <v>7.5</v>
      </c>
    </row>
    <row r="7987" s="76" customFormat="1" spans="1:6">
      <c r="A7987">
        <v>8228</v>
      </c>
      <c r="B7987">
        <v>412019260</v>
      </c>
      <c r="C7987" s="76">
        <v>2019</v>
      </c>
      <c r="D7987" s="76" t="s">
        <v>34</v>
      </c>
      <c r="E7987" s="76" t="s">
        <v>32</v>
      </c>
      <c r="F7987" s="76">
        <v>20</v>
      </c>
    </row>
    <row r="7988" s="76" customFormat="1" spans="1:6">
      <c r="A7988">
        <v>8176</v>
      </c>
      <c r="B7988">
        <v>412019260</v>
      </c>
      <c r="C7988" s="76">
        <v>2019</v>
      </c>
      <c r="D7988" s="76" t="s">
        <v>34</v>
      </c>
      <c r="E7988" s="76" t="s">
        <v>32</v>
      </c>
      <c r="F7988" s="76">
        <v>4.95</v>
      </c>
    </row>
    <row r="7989" s="76" customFormat="1" spans="1:6">
      <c r="A7989">
        <v>8207</v>
      </c>
      <c r="B7989">
        <v>412019260</v>
      </c>
      <c r="C7989" s="76">
        <v>2019</v>
      </c>
      <c r="D7989" s="76" t="s">
        <v>34</v>
      </c>
      <c r="E7989" s="76" t="s">
        <v>32</v>
      </c>
      <c r="F7989" s="76">
        <v>4.8</v>
      </c>
    </row>
    <row r="7990" s="76" customFormat="1" spans="1:6">
      <c r="A7990">
        <v>8199</v>
      </c>
      <c r="B7990">
        <v>412019260</v>
      </c>
      <c r="C7990" s="76">
        <v>2019</v>
      </c>
      <c r="D7990" s="76" t="s">
        <v>34</v>
      </c>
      <c r="E7990" s="76" t="s">
        <v>32</v>
      </c>
      <c r="F7990" s="76">
        <v>4.8</v>
      </c>
    </row>
    <row r="7991" s="76" customFormat="1" spans="1:6">
      <c r="A7991">
        <v>8201</v>
      </c>
      <c r="B7991">
        <v>412019260</v>
      </c>
      <c r="C7991" s="76">
        <v>2019</v>
      </c>
      <c r="D7991" s="76" t="s">
        <v>34</v>
      </c>
      <c r="E7991" s="76">
        <v>4</v>
      </c>
      <c r="F7991" s="76">
        <v>1</v>
      </c>
    </row>
    <row r="7992" s="76" customFormat="1" spans="1:6">
      <c r="A7992">
        <v>8181</v>
      </c>
      <c r="B7992">
        <v>412019260</v>
      </c>
      <c r="C7992" s="76">
        <v>2019</v>
      </c>
      <c r="D7992" s="76" t="s">
        <v>34</v>
      </c>
      <c r="E7992" s="76" t="s">
        <v>32</v>
      </c>
      <c r="F7992" s="76">
        <v>10</v>
      </c>
    </row>
    <row r="7993" s="76" customFormat="1" spans="1:6">
      <c r="A7993">
        <v>8196</v>
      </c>
      <c r="B7993">
        <v>412019260</v>
      </c>
      <c r="C7993" s="76">
        <v>2019</v>
      </c>
      <c r="D7993" s="76" t="s">
        <v>34</v>
      </c>
      <c r="E7993" s="76" t="s">
        <v>32</v>
      </c>
      <c r="F7993" s="76">
        <v>0.6</v>
      </c>
    </row>
    <row r="7994" s="76" customFormat="1" spans="1:6">
      <c r="A7994">
        <v>8213</v>
      </c>
      <c r="B7994">
        <v>412019260</v>
      </c>
      <c r="C7994" s="76">
        <v>2019</v>
      </c>
      <c r="D7994" s="76" t="s">
        <v>34</v>
      </c>
      <c r="E7994" s="76" t="s">
        <v>32</v>
      </c>
      <c r="F7994" s="76">
        <v>9.9</v>
      </c>
    </row>
    <row r="7995" s="76" customFormat="1" spans="1:6">
      <c r="A7995">
        <v>8226</v>
      </c>
      <c r="B7995">
        <v>412019260</v>
      </c>
      <c r="C7995" s="76">
        <v>2019</v>
      </c>
      <c r="D7995" s="76" t="s">
        <v>34</v>
      </c>
      <c r="E7995" s="76" t="s">
        <v>32</v>
      </c>
      <c r="F7995" s="76">
        <v>3</v>
      </c>
    </row>
    <row r="7996" s="76" customFormat="1" spans="1:6">
      <c r="A7996">
        <v>8215</v>
      </c>
      <c r="B7996">
        <v>412019260</v>
      </c>
      <c r="C7996" s="76">
        <v>2019</v>
      </c>
      <c r="D7996" s="76" t="s">
        <v>34</v>
      </c>
      <c r="E7996" s="76" t="s">
        <v>32</v>
      </c>
      <c r="F7996" s="76">
        <v>10</v>
      </c>
    </row>
    <row r="7997" s="76" customFormat="1" spans="1:6">
      <c r="A7997">
        <v>8223</v>
      </c>
      <c r="B7997">
        <v>412019260</v>
      </c>
      <c r="C7997" s="76">
        <v>2019</v>
      </c>
      <c r="D7997" s="76" t="s">
        <v>34</v>
      </c>
      <c r="E7997" s="76" t="s">
        <v>32</v>
      </c>
      <c r="F7997" s="76">
        <v>4.8</v>
      </c>
    </row>
    <row r="7998" s="76" customFormat="1" spans="1:6">
      <c r="A7998">
        <v>8220</v>
      </c>
      <c r="B7998">
        <v>412019260</v>
      </c>
      <c r="C7998" s="76">
        <v>2019</v>
      </c>
      <c r="D7998" s="76" t="s">
        <v>34</v>
      </c>
      <c r="E7998" s="76" t="s">
        <v>32</v>
      </c>
      <c r="F7998" s="76">
        <v>4.8</v>
      </c>
    </row>
    <row r="7999" s="76" customFormat="1" spans="1:6">
      <c r="A7999">
        <v>8231</v>
      </c>
      <c r="B7999">
        <v>412019270</v>
      </c>
      <c r="C7999" s="76">
        <v>2019</v>
      </c>
      <c r="D7999" s="76" t="s">
        <v>31</v>
      </c>
      <c r="E7999" s="76" t="s">
        <v>32</v>
      </c>
      <c r="F7999" s="76">
        <v>1.66</v>
      </c>
    </row>
    <row r="8000" s="76" customFormat="1" spans="1:6">
      <c r="A8000">
        <v>8232</v>
      </c>
      <c r="B8000">
        <v>412019270</v>
      </c>
      <c r="C8000" s="76">
        <v>2019</v>
      </c>
      <c r="D8000" s="76" t="s">
        <v>31</v>
      </c>
      <c r="E8000" s="76" t="s">
        <v>32</v>
      </c>
      <c r="F8000" s="76">
        <v>5</v>
      </c>
    </row>
    <row r="8001" s="76" customFormat="1" spans="1:6">
      <c r="A8001">
        <v>8233</v>
      </c>
      <c r="B8001">
        <v>412019270</v>
      </c>
      <c r="C8001" s="76">
        <v>2019</v>
      </c>
      <c r="D8001" s="76" t="s">
        <v>31</v>
      </c>
      <c r="E8001" s="76" t="s">
        <v>32</v>
      </c>
      <c r="F8001" s="76">
        <v>2</v>
      </c>
    </row>
    <row r="8002" s="76" customFormat="1" spans="1:6">
      <c r="A8002">
        <v>8236</v>
      </c>
      <c r="B8002">
        <v>412020211</v>
      </c>
      <c r="C8002" s="76">
        <v>2020</v>
      </c>
      <c r="D8002" s="76" t="s">
        <v>37</v>
      </c>
      <c r="E8002" s="76" t="s">
        <v>32</v>
      </c>
      <c r="F8002" s="76">
        <v>100</v>
      </c>
    </row>
    <row r="8003" s="76" customFormat="1" spans="1:6">
      <c r="A8003">
        <v>8234</v>
      </c>
      <c r="B8003">
        <v>412020211</v>
      </c>
      <c r="C8003" s="76">
        <v>2020</v>
      </c>
      <c r="D8003" s="76" t="s">
        <v>37</v>
      </c>
      <c r="E8003" s="76">
        <v>1</v>
      </c>
      <c r="F8003" s="76">
        <v>35</v>
      </c>
    </row>
    <row r="8004" s="76" customFormat="1" spans="1:6">
      <c r="A8004">
        <v>8238</v>
      </c>
      <c r="B8004">
        <v>412020211</v>
      </c>
      <c r="C8004" s="76">
        <v>2020</v>
      </c>
      <c r="D8004" s="76" t="s">
        <v>37</v>
      </c>
      <c r="E8004" s="76" t="s">
        <v>32</v>
      </c>
      <c r="F8004" s="76">
        <v>4.45</v>
      </c>
    </row>
    <row r="8005" s="76" customFormat="1" spans="1:6">
      <c r="A8005">
        <v>8235</v>
      </c>
      <c r="B8005">
        <v>412020211</v>
      </c>
      <c r="C8005" s="76">
        <v>2020</v>
      </c>
      <c r="D8005" s="76" t="s">
        <v>37</v>
      </c>
      <c r="E8005" s="76" t="s">
        <v>32</v>
      </c>
      <c r="F8005" s="76">
        <v>6.5</v>
      </c>
    </row>
    <row r="8006" s="76" customFormat="1" spans="1:6">
      <c r="A8006">
        <v>8237</v>
      </c>
      <c r="B8006">
        <v>412020211</v>
      </c>
      <c r="C8006" s="76">
        <v>2020</v>
      </c>
      <c r="D8006" s="76" t="s">
        <v>37</v>
      </c>
      <c r="E8006" s="76" t="s">
        <v>32</v>
      </c>
      <c r="F8006" s="76">
        <v>2.5</v>
      </c>
    </row>
    <row r="8007" s="76" customFormat="1" spans="1:6">
      <c r="A8007">
        <v>8239</v>
      </c>
      <c r="B8007">
        <v>412020221</v>
      </c>
      <c r="C8007" s="76">
        <v>2020</v>
      </c>
      <c r="D8007" s="76" t="s">
        <v>30</v>
      </c>
      <c r="E8007" s="76" t="s">
        <v>32</v>
      </c>
      <c r="F8007" s="76">
        <v>20</v>
      </c>
    </row>
    <row r="8008" s="76" customFormat="1" spans="1:6">
      <c r="A8008">
        <v>8240</v>
      </c>
      <c r="B8008">
        <v>412020241</v>
      </c>
      <c r="C8008" s="76">
        <v>2020</v>
      </c>
      <c r="D8008" s="76" t="s">
        <v>33</v>
      </c>
      <c r="E8008" s="76" t="s">
        <v>32</v>
      </c>
      <c r="F8008" s="76">
        <v>3</v>
      </c>
    </row>
    <row r="8009" s="76" customFormat="1" spans="1:6">
      <c r="A8009">
        <v>8248</v>
      </c>
      <c r="B8009">
        <v>412020242</v>
      </c>
      <c r="C8009" s="76">
        <v>2020</v>
      </c>
      <c r="D8009" s="76" t="s">
        <v>35</v>
      </c>
      <c r="E8009" s="76" t="s">
        <v>32</v>
      </c>
      <c r="F8009" s="76">
        <v>1.2</v>
      </c>
    </row>
    <row r="8010" s="76" customFormat="1" spans="1:6">
      <c r="A8010">
        <v>8249</v>
      </c>
      <c r="B8010">
        <v>412020242</v>
      </c>
      <c r="C8010" s="76">
        <v>2020</v>
      </c>
      <c r="D8010" s="76" t="s">
        <v>35</v>
      </c>
      <c r="E8010" s="76" t="s">
        <v>32</v>
      </c>
      <c r="F8010" s="76">
        <v>2.5</v>
      </c>
    </row>
    <row r="8011" s="76" customFormat="1" spans="1:6">
      <c r="A8011">
        <v>8243</v>
      </c>
      <c r="B8011">
        <v>412020242</v>
      </c>
      <c r="C8011" s="76">
        <v>2020</v>
      </c>
      <c r="D8011" s="76" t="s">
        <v>35</v>
      </c>
      <c r="E8011" s="76" t="s">
        <v>32</v>
      </c>
      <c r="F8011" s="76">
        <v>1.8</v>
      </c>
    </row>
    <row r="8012" s="76" customFormat="1" spans="1:6">
      <c r="A8012">
        <v>8244</v>
      </c>
      <c r="B8012">
        <v>412020242</v>
      </c>
      <c r="C8012" s="76">
        <v>2020</v>
      </c>
      <c r="D8012" s="76" t="s">
        <v>35</v>
      </c>
      <c r="E8012" s="76" t="s">
        <v>32</v>
      </c>
      <c r="F8012" s="76">
        <v>3</v>
      </c>
    </row>
    <row r="8013" s="76" customFormat="1" spans="1:6">
      <c r="A8013">
        <v>8242</v>
      </c>
      <c r="B8013">
        <v>412020242</v>
      </c>
      <c r="C8013" s="76">
        <v>2020</v>
      </c>
      <c r="D8013" s="76" t="s">
        <v>35</v>
      </c>
      <c r="E8013" s="76">
        <v>1</v>
      </c>
      <c r="F8013" s="76">
        <v>1.2</v>
      </c>
    </row>
    <row r="8014" s="76" customFormat="1" spans="1:6">
      <c r="A8014">
        <v>8247</v>
      </c>
      <c r="B8014">
        <v>412020242</v>
      </c>
      <c r="C8014" s="76">
        <v>2020</v>
      </c>
      <c r="D8014" s="76" t="s">
        <v>35</v>
      </c>
      <c r="E8014" s="76" t="s">
        <v>32</v>
      </c>
      <c r="F8014" s="76">
        <v>1.5</v>
      </c>
    </row>
    <row r="8015" s="76" customFormat="1" spans="1:6">
      <c r="A8015">
        <v>8251</v>
      </c>
      <c r="B8015">
        <v>412020242</v>
      </c>
      <c r="C8015" s="76">
        <v>2020</v>
      </c>
      <c r="D8015" s="76" t="s">
        <v>35</v>
      </c>
      <c r="E8015" s="76" t="s">
        <v>32</v>
      </c>
      <c r="F8015" s="76">
        <v>3.5</v>
      </c>
    </row>
    <row r="8016" s="76" customFormat="1" spans="1:6">
      <c r="A8016">
        <v>8250</v>
      </c>
      <c r="B8016">
        <v>412020242</v>
      </c>
      <c r="C8016" s="76">
        <v>2020</v>
      </c>
      <c r="D8016" s="76" t="s">
        <v>35</v>
      </c>
      <c r="E8016" s="76" t="s">
        <v>32</v>
      </c>
      <c r="F8016" s="76">
        <v>2.4</v>
      </c>
    </row>
    <row r="8017" s="76" customFormat="1" spans="1:6">
      <c r="A8017">
        <v>8246</v>
      </c>
      <c r="B8017">
        <v>412020242</v>
      </c>
      <c r="C8017" s="76">
        <v>2020</v>
      </c>
      <c r="D8017" s="76" t="s">
        <v>35</v>
      </c>
      <c r="E8017" s="76" t="s">
        <v>32</v>
      </c>
      <c r="F8017" s="76">
        <v>2</v>
      </c>
    </row>
    <row r="8018" s="76" customFormat="1" spans="1:6">
      <c r="A8018">
        <v>8245</v>
      </c>
      <c r="B8018">
        <v>412020242</v>
      </c>
      <c r="C8018" s="76">
        <v>2020</v>
      </c>
      <c r="D8018" s="76" t="s">
        <v>35</v>
      </c>
      <c r="E8018" s="76" t="s">
        <v>32</v>
      </c>
      <c r="F8018" s="76">
        <v>9</v>
      </c>
    </row>
    <row r="8019" s="76" customFormat="1" spans="1:6">
      <c r="A8019">
        <v>8252</v>
      </c>
      <c r="B8019">
        <v>412020243</v>
      </c>
      <c r="C8019" s="76">
        <v>2020</v>
      </c>
      <c r="D8019" s="76" t="s">
        <v>38</v>
      </c>
      <c r="E8019" s="76" t="s">
        <v>32</v>
      </c>
      <c r="F8019" s="76">
        <v>3.6</v>
      </c>
    </row>
    <row r="8020" s="76" customFormat="1" spans="1:6">
      <c r="A8020">
        <v>8263</v>
      </c>
      <c r="B8020">
        <v>412020243</v>
      </c>
      <c r="C8020" s="76">
        <v>2020</v>
      </c>
      <c r="D8020" s="76" t="s">
        <v>38</v>
      </c>
      <c r="E8020" s="76" t="s">
        <v>32</v>
      </c>
      <c r="F8020" s="76">
        <v>3.9</v>
      </c>
    </row>
    <row r="8021" s="76" customFormat="1" spans="1:6">
      <c r="A8021">
        <v>8262</v>
      </c>
      <c r="B8021">
        <v>412020243</v>
      </c>
      <c r="C8021" s="76">
        <v>2020</v>
      </c>
      <c r="D8021" s="76" t="s">
        <v>38</v>
      </c>
      <c r="E8021" s="76" t="s">
        <v>32</v>
      </c>
      <c r="F8021" s="76">
        <v>3.5</v>
      </c>
    </row>
    <row r="8022" s="76" customFormat="1" spans="1:6">
      <c r="A8022">
        <v>8259</v>
      </c>
      <c r="B8022">
        <v>412020243</v>
      </c>
      <c r="C8022" s="76">
        <v>2020</v>
      </c>
      <c r="D8022" s="76" t="s">
        <v>38</v>
      </c>
      <c r="E8022" s="76" t="s">
        <v>32</v>
      </c>
      <c r="F8022" s="76">
        <v>3</v>
      </c>
    </row>
    <row r="8023" s="76" customFormat="1" spans="1:6">
      <c r="A8023">
        <v>8266</v>
      </c>
      <c r="B8023">
        <v>412020243</v>
      </c>
      <c r="C8023" s="76">
        <v>2020</v>
      </c>
      <c r="D8023" s="76" t="s">
        <v>38</v>
      </c>
      <c r="E8023" s="76" t="s">
        <v>32</v>
      </c>
      <c r="F8023" s="76">
        <v>3.5</v>
      </c>
    </row>
    <row r="8024" s="76" customFormat="1" spans="1:6">
      <c r="A8024">
        <v>8260</v>
      </c>
      <c r="B8024">
        <v>412020243</v>
      </c>
      <c r="C8024" s="76">
        <v>2020</v>
      </c>
      <c r="D8024" s="76" t="s">
        <v>38</v>
      </c>
      <c r="E8024" s="76" t="s">
        <v>32</v>
      </c>
      <c r="F8024" s="76">
        <v>3</v>
      </c>
    </row>
    <row r="8025" s="76" customFormat="1" spans="1:6">
      <c r="A8025">
        <v>8256</v>
      </c>
      <c r="B8025">
        <v>412020243</v>
      </c>
      <c r="C8025" s="76">
        <v>2020</v>
      </c>
      <c r="D8025" s="76" t="s">
        <v>38</v>
      </c>
      <c r="E8025" s="76" t="s">
        <v>32</v>
      </c>
      <c r="F8025" s="76">
        <v>3</v>
      </c>
    </row>
    <row r="8026" s="76" customFormat="1" spans="1:6">
      <c r="A8026">
        <v>8254</v>
      </c>
      <c r="B8026">
        <v>412020243</v>
      </c>
      <c r="C8026" s="76">
        <v>2020</v>
      </c>
      <c r="D8026" s="76" t="s">
        <v>38</v>
      </c>
      <c r="E8026" s="76" t="s">
        <v>32</v>
      </c>
      <c r="F8026" s="76">
        <v>3.75</v>
      </c>
    </row>
    <row r="8027" s="76" customFormat="1" spans="1:6">
      <c r="A8027">
        <v>8258</v>
      </c>
      <c r="B8027">
        <v>412020243</v>
      </c>
      <c r="C8027" s="76">
        <v>2020</v>
      </c>
      <c r="D8027" s="76" t="s">
        <v>38</v>
      </c>
      <c r="E8027" s="76" t="s">
        <v>32</v>
      </c>
      <c r="F8027" s="76">
        <v>3</v>
      </c>
    </row>
    <row r="8028" s="76" customFormat="1" spans="1:6">
      <c r="A8028">
        <v>8257</v>
      </c>
      <c r="B8028">
        <v>412020243</v>
      </c>
      <c r="C8028" s="76">
        <v>2020</v>
      </c>
      <c r="D8028" s="76" t="s">
        <v>38</v>
      </c>
      <c r="E8028" s="76" t="s">
        <v>32</v>
      </c>
      <c r="F8028" s="76">
        <v>3</v>
      </c>
    </row>
    <row r="8029" s="76" customFormat="1" spans="1:6">
      <c r="A8029">
        <v>8264</v>
      </c>
      <c r="B8029">
        <v>412020243</v>
      </c>
      <c r="C8029" s="76">
        <v>2020</v>
      </c>
      <c r="D8029" s="76" t="s">
        <v>38</v>
      </c>
      <c r="E8029" s="76" t="s">
        <v>32</v>
      </c>
      <c r="F8029" s="76">
        <v>3</v>
      </c>
    </row>
    <row r="8030" s="76" customFormat="1" spans="1:6">
      <c r="A8030">
        <v>8253</v>
      </c>
      <c r="B8030">
        <v>412020243</v>
      </c>
      <c r="C8030" s="76">
        <v>2020</v>
      </c>
      <c r="D8030" s="76" t="s">
        <v>38</v>
      </c>
      <c r="E8030" s="76" t="s">
        <v>32</v>
      </c>
      <c r="F8030" s="76">
        <v>3.5</v>
      </c>
    </row>
    <row r="8031" s="76" customFormat="1" spans="1:6">
      <c r="A8031">
        <v>8261</v>
      </c>
      <c r="B8031">
        <v>412020243</v>
      </c>
      <c r="C8031" s="76">
        <v>2020</v>
      </c>
      <c r="D8031" s="76" t="s">
        <v>38</v>
      </c>
      <c r="E8031" s="76" t="s">
        <v>32</v>
      </c>
      <c r="F8031" s="76">
        <v>3</v>
      </c>
    </row>
    <row r="8032" s="76" customFormat="1" spans="1:6">
      <c r="A8032">
        <v>8255</v>
      </c>
      <c r="B8032">
        <v>412020243</v>
      </c>
      <c r="C8032" s="76">
        <v>2020</v>
      </c>
      <c r="D8032" s="76" t="s">
        <v>38</v>
      </c>
      <c r="E8032" s="76" t="s">
        <v>32</v>
      </c>
      <c r="F8032" s="76">
        <v>0.6</v>
      </c>
    </row>
    <row r="8033" s="76" customFormat="1" spans="1:6">
      <c r="A8033">
        <v>8265</v>
      </c>
      <c r="B8033">
        <v>412020243</v>
      </c>
      <c r="C8033" s="76">
        <v>2020</v>
      </c>
      <c r="D8033" s="76" t="s">
        <v>38</v>
      </c>
      <c r="E8033" s="76" t="s">
        <v>32</v>
      </c>
      <c r="F8033" s="76">
        <v>3</v>
      </c>
    </row>
    <row r="8034" s="76" customFormat="1" spans="1:6">
      <c r="A8034">
        <v>8344</v>
      </c>
      <c r="B8034">
        <v>412020260</v>
      </c>
      <c r="C8034" s="76">
        <v>2020</v>
      </c>
      <c r="D8034" s="76" t="s">
        <v>34</v>
      </c>
      <c r="E8034" s="76" t="s">
        <v>32</v>
      </c>
      <c r="F8034" s="76">
        <v>5</v>
      </c>
    </row>
    <row r="8035" s="76" customFormat="1" spans="1:6">
      <c r="A8035">
        <v>8293</v>
      </c>
      <c r="B8035">
        <v>412020260</v>
      </c>
      <c r="C8035" s="76">
        <v>2020</v>
      </c>
      <c r="D8035" s="76" t="s">
        <v>34</v>
      </c>
      <c r="E8035" s="76">
        <v>26</v>
      </c>
      <c r="F8035" s="76">
        <v>5.91</v>
      </c>
    </row>
    <row r="8036" s="76" customFormat="1" spans="1:6">
      <c r="A8036">
        <v>8295</v>
      </c>
      <c r="B8036">
        <v>412020260</v>
      </c>
      <c r="C8036" s="76">
        <v>2020</v>
      </c>
      <c r="D8036" s="76" t="s">
        <v>34</v>
      </c>
      <c r="E8036" s="76">
        <v>25</v>
      </c>
      <c r="F8036" s="76">
        <v>5</v>
      </c>
    </row>
    <row r="8037" s="76" customFormat="1" spans="1:6">
      <c r="A8037">
        <v>8272</v>
      </c>
      <c r="B8037">
        <v>412020260</v>
      </c>
      <c r="C8037" s="76">
        <v>2020</v>
      </c>
      <c r="D8037" s="76" t="s">
        <v>34</v>
      </c>
      <c r="E8037" s="76">
        <v>7</v>
      </c>
      <c r="F8037" s="76">
        <v>1.54</v>
      </c>
    </row>
    <row r="8038" s="76" customFormat="1" spans="1:6">
      <c r="A8038">
        <v>8404</v>
      </c>
      <c r="B8038">
        <v>412020260</v>
      </c>
      <c r="C8038" s="76">
        <v>2020</v>
      </c>
      <c r="D8038" s="76" t="s">
        <v>34</v>
      </c>
      <c r="E8038" s="76" t="s">
        <v>32</v>
      </c>
      <c r="F8038" s="76">
        <v>4</v>
      </c>
    </row>
    <row r="8039" s="76" customFormat="1" spans="1:6">
      <c r="A8039">
        <v>8342</v>
      </c>
      <c r="B8039">
        <v>412020260</v>
      </c>
      <c r="C8039" s="76">
        <v>2020</v>
      </c>
      <c r="D8039" s="76" t="s">
        <v>34</v>
      </c>
      <c r="E8039" s="76" t="s">
        <v>32</v>
      </c>
      <c r="F8039" s="76">
        <v>5</v>
      </c>
    </row>
    <row r="8040" s="76" customFormat="1" spans="1:6">
      <c r="A8040">
        <v>8287</v>
      </c>
      <c r="B8040">
        <v>412020260</v>
      </c>
      <c r="C8040" s="76">
        <v>2020</v>
      </c>
      <c r="D8040" s="76" t="s">
        <v>34</v>
      </c>
      <c r="E8040" s="76">
        <v>16</v>
      </c>
      <c r="F8040" s="76">
        <v>2.2</v>
      </c>
    </row>
    <row r="8041" s="76" customFormat="1" spans="1:6">
      <c r="A8041">
        <v>8333</v>
      </c>
      <c r="B8041">
        <v>412020260</v>
      </c>
      <c r="C8041" s="76">
        <v>2020</v>
      </c>
      <c r="D8041" s="76" t="s">
        <v>34</v>
      </c>
      <c r="E8041" s="76" t="s">
        <v>32</v>
      </c>
      <c r="F8041" s="76">
        <v>4.99</v>
      </c>
    </row>
    <row r="8042" s="76" customFormat="1" spans="1:6">
      <c r="A8042">
        <v>8378</v>
      </c>
      <c r="B8042">
        <v>412020260</v>
      </c>
      <c r="C8042" s="76">
        <v>2020</v>
      </c>
      <c r="D8042" s="76" t="s">
        <v>34</v>
      </c>
      <c r="E8042" s="76" t="s">
        <v>32</v>
      </c>
      <c r="F8042" s="76">
        <v>4</v>
      </c>
    </row>
    <row r="8043" s="76" customFormat="1" spans="1:6">
      <c r="A8043">
        <v>8401</v>
      </c>
      <c r="B8043">
        <v>412020260</v>
      </c>
      <c r="C8043" s="76">
        <v>2020</v>
      </c>
      <c r="D8043" s="76" t="s">
        <v>34</v>
      </c>
      <c r="E8043" s="76" t="s">
        <v>32</v>
      </c>
      <c r="F8043" s="76">
        <v>5</v>
      </c>
    </row>
    <row r="8044" s="76" customFormat="1" spans="1:6">
      <c r="A8044">
        <v>8411</v>
      </c>
      <c r="B8044">
        <v>412020260</v>
      </c>
      <c r="C8044" s="76">
        <v>2020</v>
      </c>
      <c r="D8044" s="76" t="s">
        <v>34</v>
      </c>
      <c r="E8044" s="76" t="s">
        <v>32</v>
      </c>
      <c r="F8044" s="76">
        <v>1.4</v>
      </c>
    </row>
    <row r="8045" s="76" customFormat="1" spans="1:6">
      <c r="A8045">
        <v>8373</v>
      </c>
      <c r="B8045">
        <v>412020260</v>
      </c>
      <c r="C8045" s="76">
        <v>2020</v>
      </c>
      <c r="D8045" s="76" t="s">
        <v>34</v>
      </c>
      <c r="E8045" s="76" t="s">
        <v>32</v>
      </c>
      <c r="F8045" s="76">
        <v>5</v>
      </c>
    </row>
    <row r="8046" s="76" customFormat="1" spans="1:6">
      <c r="A8046">
        <v>8365</v>
      </c>
      <c r="B8046">
        <v>412020260</v>
      </c>
      <c r="C8046" s="76">
        <v>2020</v>
      </c>
      <c r="D8046" s="76" t="s">
        <v>34</v>
      </c>
      <c r="E8046" s="76" t="s">
        <v>32</v>
      </c>
      <c r="F8046" s="76">
        <v>5</v>
      </c>
    </row>
    <row r="8047" s="76" customFormat="1" spans="1:6">
      <c r="A8047">
        <v>8402</v>
      </c>
      <c r="B8047">
        <v>412020260</v>
      </c>
      <c r="C8047" s="76">
        <v>2020</v>
      </c>
      <c r="D8047" s="76" t="s">
        <v>34</v>
      </c>
      <c r="E8047" s="76" t="s">
        <v>32</v>
      </c>
      <c r="F8047" s="76">
        <v>5</v>
      </c>
    </row>
    <row r="8048" s="76" customFormat="1" spans="1:6">
      <c r="A8048">
        <v>8383</v>
      </c>
      <c r="B8048">
        <v>412020260</v>
      </c>
      <c r="C8048" s="76">
        <v>2020</v>
      </c>
      <c r="D8048" s="76" t="s">
        <v>34</v>
      </c>
      <c r="E8048" s="76" t="s">
        <v>32</v>
      </c>
      <c r="F8048" s="76">
        <v>4</v>
      </c>
    </row>
    <row r="8049" s="76" customFormat="1" spans="1:6">
      <c r="A8049">
        <v>8396</v>
      </c>
      <c r="B8049">
        <v>412020260</v>
      </c>
      <c r="C8049" s="76">
        <v>2020</v>
      </c>
      <c r="D8049" s="76" t="s">
        <v>34</v>
      </c>
      <c r="E8049" s="76" t="s">
        <v>32</v>
      </c>
      <c r="F8049" s="76">
        <v>5</v>
      </c>
    </row>
    <row r="8050" s="76" customFormat="1" spans="1:6">
      <c r="A8050">
        <v>8371</v>
      </c>
      <c r="B8050">
        <v>412020260</v>
      </c>
      <c r="C8050" s="76">
        <v>2020</v>
      </c>
      <c r="D8050" s="76" t="s">
        <v>34</v>
      </c>
      <c r="E8050" s="76" t="s">
        <v>32</v>
      </c>
      <c r="F8050" s="76">
        <v>4.99</v>
      </c>
    </row>
    <row r="8051" s="76" customFormat="1" spans="1:6">
      <c r="A8051">
        <v>8405</v>
      </c>
      <c r="B8051">
        <v>412020260</v>
      </c>
      <c r="C8051" s="76">
        <v>2020</v>
      </c>
      <c r="D8051" s="76" t="s">
        <v>34</v>
      </c>
      <c r="E8051" s="76" t="s">
        <v>32</v>
      </c>
      <c r="F8051" s="76">
        <v>5</v>
      </c>
    </row>
    <row r="8052" s="76" customFormat="1" spans="1:6">
      <c r="A8052">
        <v>8351</v>
      </c>
      <c r="B8052">
        <v>412020260</v>
      </c>
      <c r="C8052" s="76">
        <v>2020</v>
      </c>
      <c r="D8052" s="76" t="s">
        <v>34</v>
      </c>
      <c r="E8052" s="76" t="s">
        <v>32</v>
      </c>
      <c r="F8052" s="76">
        <v>1.75</v>
      </c>
    </row>
    <row r="8053" s="76" customFormat="1" spans="1:6">
      <c r="A8053">
        <v>8334</v>
      </c>
      <c r="B8053">
        <v>412020260</v>
      </c>
      <c r="C8053" s="76">
        <v>2020</v>
      </c>
      <c r="D8053" s="76" t="s">
        <v>34</v>
      </c>
      <c r="E8053" s="76" t="s">
        <v>32</v>
      </c>
      <c r="F8053" s="76">
        <v>2</v>
      </c>
    </row>
    <row r="8054" s="76" customFormat="1" spans="1:6">
      <c r="A8054">
        <v>8369</v>
      </c>
      <c r="B8054">
        <v>412020260</v>
      </c>
      <c r="C8054" s="76">
        <v>2020</v>
      </c>
      <c r="D8054" s="76" t="s">
        <v>34</v>
      </c>
      <c r="E8054" s="76" t="s">
        <v>32</v>
      </c>
      <c r="F8054" s="76">
        <v>5.1</v>
      </c>
    </row>
    <row r="8055" s="76" customFormat="1" spans="1:6">
      <c r="A8055">
        <v>8341</v>
      </c>
      <c r="B8055">
        <v>412020260</v>
      </c>
      <c r="C8055" s="76">
        <v>2020</v>
      </c>
      <c r="D8055" s="76" t="s">
        <v>34</v>
      </c>
      <c r="E8055" s="76" t="s">
        <v>32</v>
      </c>
      <c r="F8055" s="76">
        <v>5</v>
      </c>
    </row>
    <row r="8056" s="76" customFormat="1" spans="1:6">
      <c r="A8056">
        <v>8354</v>
      </c>
      <c r="B8056">
        <v>412020260</v>
      </c>
      <c r="C8056" s="76">
        <v>2020</v>
      </c>
      <c r="D8056" s="76" t="s">
        <v>34</v>
      </c>
      <c r="E8056" s="76" t="s">
        <v>32</v>
      </c>
      <c r="F8056" s="76">
        <v>7</v>
      </c>
    </row>
    <row r="8057" s="76" customFormat="1" spans="1:6">
      <c r="A8057">
        <v>8331</v>
      </c>
      <c r="B8057">
        <v>412020260</v>
      </c>
      <c r="C8057" s="76">
        <v>2020</v>
      </c>
      <c r="D8057" s="76" t="s">
        <v>34</v>
      </c>
      <c r="E8057" s="76" t="s">
        <v>32</v>
      </c>
      <c r="F8057" s="76">
        <v>3</v>
      </c>
    </row>
    <row r="8058" s="76" customFormat="1" spans="1:6">
      <c r="A8058">
        <v>8413</v>
      </c>
      <c r="B8058">
        <v>412020260</v>
      </c>
      <c r="C8058" s="76">
        <v>2020</v>
      </c>
      <c r="D8058" s="76" t="s">
        <v>34</v>
      </c>
      <c r="E8058" s="76" t="s">
        <v>32</v>
      </c>
      <c r="F8058" s="76">
        <v>0.8</v>
      </c>
    </row>
    <row r="8059" s="76" customFormat="1" spans="1:6">
      <c r="A8059">
        <v>8389</v>
      </c>
      <c r="B8059">
        <v>412020260</v>
      </c>
      <c r="C8059" s="76">
        <v>2020</v>
      </c>
      <c r="D8059" s="76" t="s">
        <v>34</v>
      </c>
      <c r="E8059" s="76" t="s">
        <v>32</v>
      </c>
      <c r="F8059" s="76">
        <v>5</v>
      </c>
    </row>
    <row r="8060" s="76" customFormat="1" spans="1:6">
      <c r="A8060">
        <v>8419</v>
      </c>
      <c r="B8060">
        <v>412020260</v>
      </c>
      <c r="C8060" s="76">
        <v>2020</v>
      </c>
      <c r="D8060" s="76" t="s">
        <v>34</v>
      </c>
      <c r="E8060" s="76" t="s">
        <v>32</v>
      </c>
      <c r="F8060" s="76">
        <v>2</v>
      </c>
    </row>
    <row r="8061" s="76" customFormat="1" spans="1:6">
      <c r="A8061">
        <v>8332</v>
      </c>
      <c r="B8061">
        <v>412020260</v>
      </c>
      <c r="C8061" s="76">
        <v>2020</v>
      </c>
      <c r="D8061" s="76" t="s">
        <v>34</v>
      </c>
      <c r="E8061" s="76" t="s">
        <v>32</v>
      </c>
      <c r="F8061" s="76">
        <v>5</v>
      </c>
    </row>
    <row r="8062" s="76" customFormat="1" spans="1:6">
      <c r="A8062">
        <v>8379</v>
      </c>
      <c r="B8062">
        <v>412020260</v>
      </c>
      <c r="C8062" s="76">
        <v>2020</v>
      </c>
      <c r="D8062" s="76" t="s">
        <v>34</v>
      </c>
      <c r="E8062" s="76" t="s">
        <v>32</v>
      </c>
      <c r="F8062" s="76">
        <v>5</v>
      </c>
    </row>
    <row r="8063" s="76" customFormat="1" spans="1:6">
      <c r="A8063">
        <v>8339</v>
      </c>
      <c r="B8063">
        <v>412020260</v>
      </c>
      <c r="C8063" s="76">
        <v>2020</v>
      </c>
      <c r="D8063" s="76" t="s">
        <v>34</v>
      </c>
      <c r="E8063" s="76" t="s">
        <v>32</v>
      </c>
      <c r="F8063" s="76">
        <v>5</v>
      </c>
    </row>
    <row r="8064" s="76" customFormat="1" spans="1:6">
      <c r="A8064">
        <v>8382</v>
      </c>
      <c r="B8064">
        <v>412020260</v>
      </c>
      <c r="C8064" s="76">
        <v>2020</v>
      </c>
      <c r="D8064" s="76" t="s">
        <v>34</v>
      </c>
      <c r="E8064" s="76" t="s">
        <v>32</v>
      </c>
      <c r="F8064" s="76">
        <v>4</v>
      </c>
    </row>
    <row r="8065" s="76" customFormat="1" spans="1:6">
      <c r="A8065">
        <v>8416</v>
      </c>
      <c r="B8065">
        <v>412020260</v>
      </c>
      <c r="C8065" s="76">
        <v>2020</v>
      </c>
      <c r="D8065" s="76" t="s">
        <v>34</v>
      </c>
      <c r="E8065" s="76" t="s">
        <v>32</v>
      </c>
      <c r="F8065" s="76">
        <v>1.06</v>
      </c>
    </row>
    <row r="8066" s="76" customFormat="1" spans="1:6">
      <c r="A8066">
        <v>8392</v>
      </c>
      <c r="B8066">
        <v>412020260</v>
      </c>
      <c r="C8066" s="76">
        <v>2020</v>
      </c>
      <c r="D8066" s="76" t="s">
        <v>34</v>
      </c>
      <c r="E8066" s="76" t="s">
        <v>32</v>
      </c>
      <c r="F8066" s="76">
        <v>5</v>
      </c>
    </row>
    <row r="8067" s="76" customFormat="1" spans="1:6">
      <c r="A8067">
        <v>8314</v>
      </c>
      <c r="B8067">
        <v>412020260</v>
      </c>
      <c r="C8067" s="76">
        <v>2020</v>
      </c>
      <c r="D8067" s="76" t="s">
        <v>34</v>
      </c>
      <c r="E8067" s="76">
        <v>20</v>
      </c>
      <c r="F8067" s="76">
        <v>5</v>
      </c>
    </row>
    <row r="8068" s="76" customFormat="1" spans="1:6">
      <c r="A8068">
        <v>8317</v>
      </c>
      <c r="B8068">
        <v>412020260</v>
      </c>
      <c r="C8068" s="76">
        <v>2020</v>
      </c>
      <c r="D8068" s="76" t="s">
        <v>34</v>
      </c>
      <c r="E8068" s="76">
        <v>20</v>
      </c>
      <c r="F8068" s="76">
        <v>5</v>
      </c>
    </row>
    <row r="8069" s="76" customFormat="1" spans="1:6">
      <c r="A8069">
        <v>8353</v>
      </c>
      <c r="B8069">
        <v>412020260</v>
      </c>
      <c r="C8069" s="76">
        <v>2020</v>
      </c>
      <c r="D8069" s="76" t="s">
        <v>34</v>
      </c>
      <c r="E8069" s="76" t="s">
        <v>32</v>
      </c>
      <c r="F8069" s="76">
        <v>5</v>
      </c>
    </row>
    <row r="8070" s="76" customFormat="1" spans="1:6">
      <c r="A8070">
        <v>8319</v>
      </c>
      <c r="B8070">
        <v>412020260</v>
      </c>
      <c r="C8070" s="76">
        <v>2020</v>
      </c>
      <c r="D8070" s="76" t="s">
        <v>34</v>
      </c>
      <c r="E8070" s="76">
        <v>28</v>
      </c>
      <c r="F8070" s="76">
        <v>7</v>
      </c>
    </row>
    <row r="8071" s="76" customFormat="1" spans="1:6">
      <c r="A8071">
        <v>8318</v>
      </c>
      <c r="B8071">
        <v>412020260</v>
      </c>
      <c r="C8071" s="76">
        <v>2020</v>
      </c>
      <c r="D8071" s="76" t="s">
        <v>34</v>
      </c>
      <c r="E8071" s="76">
        <v>4</v>
      </c>
      <c r="F8071" s="76">
        <v>0.88</v>
      </c>
    </row>
    <row r="8072" s="76" customFormat="1" spans="1:6">
      <c r="A8072">
        <v>8316</v>
      </c>
      <c r="B8072">
        <v>412020260</v>
      </c>
      <c r="C8072" s="76">
        <v>2020</v>
      </c>
      <c r="D8072" s="76" t="s">
        <v>34</v>
      </c>
      <c r="E8072" s="76">
        <v>4</v>
      </c>
      <c r="F8072" s="76">
        <v>1</v>
      </c>
    </row>
    <row r="8073" s="76" customFormat="1" spans="1:6">
      <c r="A8073">
        <v>8276</v>
      </c>
      <c r="B8073">
        <v>412020260</v>
      </c>
      <c r="C8073" s="76">
        <v>2020</v>
      </c>
      <c r="D8073" s="76" t="s">
        <v>34</v>
      </c>
      <c r="E8073" s="76">
        <v>40</v>
      </c>
      <c r="F8073" s="76">
        <v>10</v>
      </c>
    </row>
    <row r="8074" s="76" customFormat="1" spans="1:6">
      <c r="A8074">
        <v>8269</v>
      </c>
      <c r="B8074">
        <v>412020260</v>
      </c>
      <c r="C8074" s="76">
        <v>2020</v>
      </c>
      <c r="D8074" s="76" t="s">
        <v>34</v>
      </c>
      <c r="E8074" s="76">
        <v>24</v>
      </c>
      <c r="F8074" s="76">
        <v>4.8</v>
      </c>
    </row>
    <row r="8075" s="76" customFormat="1" spans="1:6">
      <c r="A8075">
        <v>8286</v>
      </c>
      <c r="B8075">
        <v>412020260</v>
      </c>
      <c r="C8075" s="76">
        <v>2020</v>
      </c>
      <c r="D8075" s="76" t="s">
        <v>34</v>
      </c>
      <c r="E8075" s="76">
        <v>27</v>
      </c>
      <c r="F8075" s="76">
        <v>8</v>
      </c>
    </row>
    <row r="8076" s="76" customFormat="1" spans="1:6">
      <c r="A8076">
        <v>8320</v>
      </c>
      <c r="B8076">
        <v>412020260</v>
      </c>
      <c r="C8076" s="76">
        <v>2020</v>
      </c>
      <c r="D8076" s="76" t="s">
        <v>34</v>
      </c>
      <c r="E8076" s="76">
        <v>20</v>
      </c>
      <c r="F8076" s="76">
        <v>5</v>
      </c>
    </row>
    <row r="8077" s="76" customFormat="1" spans="1:6">
      <c r="A8077">
        <v>8268</v>
      </c>
      <c r="B8077">
        <v>412020260</v>
      </c>
      <c r="C8077" s="76">
        <v>2020</v>
      </c>
      <c r="D8077" s="76" t="s">
        <v>34</v>
      </c>
      <c r="E8077" s="76">
        <v>39</v>
      </c>
      <c r="F8077" s="76">
        <v>9.78</v>
      </c>
    </row>
    <row r="8078" s="76" customFormat="1" spans="1:6">
      <c r="A8078">
        <v>8312</v>
      </c>
      <c r="B8078">
        <v>412020260</v>
      </c>
      <c r="C8078" s="76">
        <v>2020</v>
      </c>
      <c r="D8078" s="76" t="s">
        <v>34</v>
      </c>
      <c r="E8078" s="76">
        <v>16</v>
      </c>
      <c r="F8078" s="76">
        <v>4</v>
      </c>
    </row>
    <row r="8079" s="76" customFormat="1" spans="1:6">
      <c r="A8079">
        <v>8306</v>
      </c>
      <c r="B8079">
        <v>412020260</v>
      </c>
      <c r="C8079" s="76">
        <v>2020</v>
      </c>
      <c r="D8079" s="76" t="s">
        <v>34</v>
      </c>
      <c r="E8079" s="76">
        <v>20</v>
      </c>
      <c r="F8079" s="76">
        <v>5</v>
      </c>
    </row>
    <row r="8080" s="76" customFormat="1" spans="1:6">
      <c r="A8080">
        <v>8311</v>
      </c>
      <c r="B8080">
        <v>412020260</v>
      </c>
      <c r="C8080" s="76">
        <v>2020</v>
      </c>
      <c r="D8080" s="76" t="s">
        <v>34</v>
      </c>
      <c r="E8080" s="76">
        <v>16</v>
      </c>
      <c r="F8080" s="76">
        <v>4</v>
      </c>
    </row>
    <row r="8081" s="76" customFormat="1" spans="1:6">
      <c r="A8081">
        <v>8271</v>
      </c>
      <c r="B8081">
        <v>412020260</v>
      </c>
      <c r="C8081" s="76">
        <v>2020</v>
      </c>
      <c r="D8081" s="76" t="s">
        <v>34</v>
      </c>
      <c r="E8081" s="76" t="s">
        <v>32</v>
      </c>
      <c r="F8081" s="76">
        <v>3.5</v>
      </c>
    </row>
    <row r="8082" s="76" customFormat="1" spans="1:6">
      <c r="A8082">
        <v>8278</v>
      </c>
      <c r="B8082">
        <v>412020260</v>
      </c>
      <c r="C8082" s="76">
        <v>2020</v>
      </c>
      <c r="D8082" s="76" t="s">
        <v>34</v>
      </c>
      <c r="E8082" s="76">
        <v>1</v>
      </c>
      <c r="F8082" s="76">
        <v>0.3</v>
      </c>
    </row>
    <row r="8083" s="76" customFormat="1" spans="1:6">
      <c r="A8083">
        <v>8322</v>
      </c>
      <c r="B8083">
        <v>412020260</v>
      </c>
      <c r="C8083" s="76">
        <v>2020</v>
      </c>
      <c r="D8083" s="76" t="s">
        <v>34</v>
      </c>
      <c r="E8083" s="76">
        <v>25</v>
      </c>
      <c r="F8083" s="76">
        <v>5</v>
      </c>
    </row>
    <row r="8084" s="76" customFormat="1" spans="1:6">
      <c r="A8084">
        <v>8280</v>
      </c>
      <c r="B8084">
        <v>412020260</v>
      </c>
      <c r="C8084" s="76">
        <v>2020</v>
      </c>
      <c r="D8084" s="76" t="s">
        <v>34</v>
      </c>
      <c r="E8084" s="76">
        <v>25</v>
      </c>
      <c r="F8084" s="76">
        <v>5</v>
      </c>
    </row>
    <row r="8085" s="76" customFormat="1" spans="1:6">
      <c r="A8085">
        <v>8285</v>
      </c>
      <c r="B8085">
        <v>412020260</v>
      </c>
      <c r="C8085" s="76">
        <v>2020</v>
      </c>
      <c r="D8085" s="76" t="s">
        <v>34</v>
      </c>
      <c r="E8085" s="76">
        <v>22</v>
      </c>
      <c r="F8085" s="76">
        <v>5</v>
      </c>
    </row>
    <row r="8086" s="76" customFormat="1" spans="1:6">
      <c r="A8086">
        <v>8329</v>
      </c>
      <c r="B8086">
        <v>412020260</v>
      </c>
      <c r="C8086" s="76">
        <v>2020</v>
      </c>
      <c r="D8086" s="76" t="s">
        <v>34</v>
      </c>
      <c r="E8086" s="76">
        <v>16</v>
      </c>
      <c r="F8086" s="76">
        <v>5</v>
      </c>
    </row>
    <row r="8087" s="76" customFormat="1" spans="1:6">
      <c r="A8087">
        <v>8294</v>
      </c>
      <c r="B8087">
        <v>412020260</v>
      </c>
      <c r="C8087" s="76">
        <v>2020</v>
      </c>
      <c r="D8087" s="76" t="s">
        <v>34</v>
      </c>
      <c r="E8087" s="76">
        <v>18</v>
      </c>
      <c r="F8087" s="76">
        <v>5</v>
      </c>
    </row>
    <row r="8088" s="76" customFormat="1" spans="1:6">
      <c r="A8088">
        <v>8307</v>
      </c>
      <c r="B8088">
        <v>412020260</v>
      </c>
      <c r="C8088" s="76">
        <v>2020</v>
      </c>
      <c r="D8088" s="76" t="s">
        <v>34</v>
      </c>
      <c r="E8088" s="76">
        <v>13</v>
      </c>
      <c r="F8088" s="76">
        <v>4</v>
      </c>
    </row>
    <row r="8089" s="76" customFormat="1" spans="1:6">
      <c r="A8089">
        <v>8296</v>
      </c>
      <c r="B8089">
        <v>412020260</v>
      </c>
      <c r="C8089" s="76">
        <v>2020</v>
      </c>
      <c r="D8089" s="76" t="s">
        <v>34</v>
      </c>
      <c r="E8089" s="76">
        <v>20</v>
      </c>
      <c r="F8089" s="76">
        <v>5</v>
      </c>
    </row>
    <row r="8090" s="76" customFormat="1" spans="1:6">
      <c r="A8090">
        <v>8301</v>
      </c>
      <c r="B8090">
        <v>412020260</v>
      </c>
      <c r="C8090" s="76">
        <v>2020</v>
      </c>
      <c r="D8090" s="76" t="s">
        <v>34</v>
      </c>
      <c r="E8090" s="76">
        <v>15</v>
      </c>
      <c r="F8090" s="76">
        <v>4.8</v>
      </c>
    </row>
    <row r="8091" s="76" customFormat="1" spans="1:6">
      <c r="A8091">
        <v>8298</v>
      </c>
      <c r="B8091">
        <v>412020260</v>
      </c>
      <c r="C8091" s="76">
        <v>2020</v>
      </c>
      <c r="D8091" s="76" t="s">
        <v>34</v>
      </c>
      <c r="E8091" s="76">
        <v>28</v>
      </c>
      <c r="F8091" s="76">
        <v>8</v>
      </c>
    </row>
    <row r="8092" s="76" customFormat="1" spans="1:6">
      <c r="A8092">
        <v>8304</v>
      </c>
      <c r="B8092">
        <v>412020260</v>
      </c>
      <c r="C8092" s="76">
        <v>2020</v>
      </c>
      <c r="D8092" s="76" t="s">
        <v>34</v>
      </c>
      <c r="E8092" s="76">
        <v>20</v>
      </c>
      <c r="F8092" s="76">
        <v>5</v>
      </c>
    </row>
    <row r="8093" s="76" customFormat="1" spans="1:6">
      <c r="A8093">
        <v>8292</v>
      </c>
      <c r="B8093">
        <v>412020260</v>
      </c>
      <c r="C8093" s="76">
        <v>2020</v>
      </c>
      <c r="D8093" s="76" t="s">
        <v>34</v>
      </c>
      <c r="E8093" s="76">
        <v>16</v>
      </c>
      <c r="F8093" s="76">
        <v>4</v>
      </c>
    </row>
    <row r="8094" s="76" customFormat="1" spans="1:6">
      <c r="A8094">
        <v>8300</v>
      </c>
      <c r="B8094">
        <v>412020260</v>
      </c>
      <c r="C8094" s="76">
        <v>2020</v>
      </c>
      <c r="D8094" s="76" t="s">
        <v>34</v>
      </c>
      <c r="E8094" s="76">
        <v>24</v>
      </c>
      <c r="F8094" s="76">
        <v>5</v>
      </c>
    </row>
    <row r="8095" s="76" customFormat="1" spans="1:6">
      <c r="A8095">
        <v>8281</v>
      </c>
      <c r="B8095">
        <v>412020260</v>
      </c>
      <c r="C8095" s="76">
        <v>2020</v>
      </c>
      <c r="D8095" s="76" t="s">
        <v>34</v>
      </c>
      <c r="E8095" s="76">
        <v>20</v>
      </c>
      <c r="F8095" s="76">
        <v>5</v>
      </c>
    </row>
    <row r="8096" s="76" customFormat="1" spans="1:6">
      <c r="A8096">
        <v>8321</v>
      </c>
      <c r="B8096">
        <v>412020260</v>
      </c>
      <c r="C8096" s="76">
        <v>2020</v>
      </c>
      <c r="D8096" s="76" t="s">
        <v>34</v>
      </c>
      <c r="E8096" s="76">
        <v>1</v>
      </c>
      <c r="F8096" s="76">
        <v>0.22</v>
      </c>
    </row>
    <row r="8097" s="76" customFormat="1" spans="1:6">
      <c r="A8097">
        <v>8274</v>
      </c>
      <c r="B8097">
        <v>412020260</v>
      </c>
      <c r="C8097" s="76">
        <v>2020</v>
      </c>
      <c r="D8097" s="76" t="s">
        <v>34</v>
      </c>
      <c r="E8097" s="76">
        <v>16</v>
      </c>
      <c r="F8097" s="76">
        <v>4</v>
      </c>
    </row>
    <row r="8098" s="76" customFormat="1" spans="1:6">
      <c r="A8098">
        <v>8310</v>
      </c>
      <c r="B8098">
        <v>412020260</v>
      </c>
      <c r="C8098" s="76">
        <v>2020</v>
      </c>
      <c r="D8098" s="76" t="s">
        <v>34</v>
      </c>
      <c r="E8098" s="76">
        <v>16</v>
      </c>
      <c r="F8098" s="76">
        <v>5</v>
      </c>
    </row>
    <row r="8099" s="76" customFormat="1" spans="1:6">
      <c r="A8099">
        <v>8279</v>
      </c>
      <c r="B8099">
        <v>412020260</v>
      </c>
      <c r="C8099" s="76">
        <v>2020</v>
      </c>
      <c r="D8099" s="76" t="s">
        <v>34</v>
      </c>
      <c r="E8099" s="76">
        <v>23</v>
      </c>
      <c r="F8099" s="76">
        <v>5.38</v>
      </c>
    </row>
    <row r="8100" s="76" customFormat="1" spans="1:6">
      <c r="A8100">
        <v>8297</v>
      </c>
      <c r="B8100">
        <v>412020260</v>
      </c>
      <c r="C8100" s="76">
        <v>2020</v>
      </c>
      <c r="D8100" s="76" t="s">
        <v>34</v>
      </c>
      <c r="E8100" s="76">
        <v>20</v>
      </c>
      <c r="F8100" s="76">
        <v>6.4</v>
      </c>
    </row>
    <row r="8101" s="76" customFormat="1" spans="1:6">
      <c r="A8101">
        <v>8299</v>
      </c>
      <c r="B8101">
        <v>412020260</v>
      </c>
      <c r="C8101" s="76">
        <v>2020</v>
      </c>
      <c r="D8101" s="76" t="s">
        <v>34</v>
      </c>
      <c r="E8101" s="76">
        <v>18</v>
      </c>
      <c r="F8101" s="76">
        <v>4.8</v>
      </c>
    </row>
    <row r="8102" s="76" customFormat="1" spans="1:6">
      <c r="A8102">
        <v>8275</v>
      </c>
      <c r="B8102">
        <v>412020260</v>
      </c>
      <c r="C8102" s="76">
        <v>2020</v>
      </c>
      <c r="D8102" s="76" t="s">
        <v>34</v>
      </c>
      <c r="E8102" s="76">
        <v>20</v>
      </c>
      <c r="F8102" s="76">
        <v>5</v>
      </c>
    </row>
    <row r="8103" s="76" customFormat="1" spans="1:6">
      <c r="A8103">
        <v>8308</v>
      </c>
      <c r="B8103">
        <v>412020260</v>
      </c>
      <c r="C8103" s="76">
        <v>2020</v>
      </c>
      <c r="D8103" s="76" t="s">
        <v>34</v>
      </c>
      <c r="E8103" s="76">
        <v>20</v>
      </c>
      <c r="F8103" s="76">
        <v>5</v>
      </c>
    </row>
    <row r="8104" s="76" customFormat="1" spans="1:6">
      <c r="A8104">
        <v>8277</v>
      </c>
      <c r="B8104">
        <v>412020260</v>
      </c>
      <c r="C8104" s="76">
        <v>2020</v>
      </c>
      <c r="D8104" s="76" t="s">
        <v>34</v>
      </c>
      <c r="E8104" s="76">
        <v>25</v>
      </c>
      <c r="F8104" s="76">
        <v>8</v>
      </c>
    </row>
    <row r="8105" s="76" customFormat="1" spans="1:6">
      <c r="A8105">
        <v>8323</v>
      </c>
      <c r="B8105">
        <v>412020260</v>
      </c>
      <c r="C8105" s="76">
        <v>2020</v>
      </c>
      <c r="D8105" s="76" t="s">
        <v>34</v>
      </c>
      <c r="E8105" s="76">
        <v>6</v>
      </c>
      <c r="F8105" s="76">
        <v>1.59</v>
      </c>
    </row>
    <row r="8106" s="76" customFormat="1" spans="1:6">
      <c r="A8106">
        <v>8313</v>
      </c>
      <c r="B8106">
        <v>412020260</v>
      </c>
      <c r="C8106" s="76">
        <v>2020</v>
      </c>
      <c r="D8106" s="76" t="s">
        <v>34</v>
      </c>
      <c r="E8106" s="76">
        <v>6</v>
      </c>
      <c r="F8106" s="76">
        <v>1.8</v>
      </c>
    </row>
    <row r="8107" s="76" customFormat="1" spans="1:6">
      <c r="A8107">
        <v>8273</v>
      </c>
      <c r="B8107">
        <v>412020260</v>
      </c>
      <c r="C8107" s="76">
        <v>2020</v>
      </c>
      <c r="D8107" s="76" t="s">
        <v>34</v>
      </c>
      <c r="E8107" s="76">
        <v>17</v>
      </c>
      <c r="F8107" s="76">
        <v>5</v>
      </c>
    </row>
    <row r="8108" s="76" customFormat="1" spans="1:6">
      <c r="A8108">
        <v>8324</v>
      </c>
      <c r="B8108">
        <v>412020260</v>
      </c>
      <c r="C8108" s="76">
        <v>2020</v>
      </c>
      <c r="D8108" s="76" t="s">
        <v>34</v>
      </c>
      <c r="E8108" s="76">
        <v>19</v>
      </c>
      <c r="F8108" s="76">
        <v>3.71</v>
      </c>
    </row>
    <row r="8109" s="76" customFormat="1" spans="1:6">
      <c r="A8109">
        <v>8425</v>
      </c>
      <c r="B8109">
        <v>412020260</v>
      </c>
      <c r="C8109" s="76">
        <v>2020</v>
      </c>
      <c r="D8109" s="76" t="s">
        <v>34</v>
      </c>
      <c r="E8109" s="76" t="s">
        <v>32</v>
      </c>
      <c r="F8109" s="76">
        <v>3</v>
      </c>
    </row>
    <row r="8110" s="76" customFormat="1" spans="1:6">
      <c r="A8110">
        <v>8377</v>
      </c>
      <c r="B8110">
        <v>412020260</v>
      </c>
      <c r="C8110" s="76">
        <v>2020</v>
      </c>
      <c r="D8110" s="76" t="s">
        <v>34</v>
      </c>
      <c r="E8110" s="76" t="s">
        <v>32</v>
      </c>
      <c r="F8110" s="76">
        <v>4.99</v>
      </c>
    </row>
    <row r="8111" s="76" customFormat="1" spans="1:6">
      <c r="A8111">
        <v>8360</v>
      </c>
      <c r="B8111">
        <v>412020260</v>
      </c>
      <c r="C8111" s="76">
        <v>2020</v>
      </c>
      <c r="D8111" s="76" t="s">
        <v>34</v>
      </c>
      <c r="E8111" s="76" t="s">
        <v>32</v>
      </c>
      <c r="F8111" s="76">
        <v>5</v>
      </c>
    </row>
    <row r="8112" s="76" customFormat="1" spans="1:6">
      <c r="A8112">
        <v>8335</v>
      </c>
      <c r="B8112">
        <v>412020260</v>
      </c>
      <c r="C8112" s="76">
        <v>2020</v>
      </c>
      <c r="D8112" s="76" t="s">
        <v>34</v>
      </c>
      <c r="E8112" s="76" t="s">
        <v>32</v>
      </c>
      <c r="F8112" s="76">
        <v>2.6</v>
      </c>
    </row>
    <row r="8113" s="76" customFormat="1" spans="1:6">
      <c r="A8113">
        <v>8347</v>
      </c>
      <c r="B8113">
        <v>412020260</v>
      </c>
      <c r="C8113" s="76">
        <v>2020</v>
      </c>
      <c r="D8113" s="76" t="s">
        <v>34</v>
      </c>
      <c r="E8113" s="76" t="s">
        <v>32</v>
      </c>
      <c r="F8113" s="76">
        <v>3.98</v>
      </c>
    </row>
    <row r="8114" s="76" customFormat="1" spans="1:6">
      <c r="A8114">
        <v>8407</v>
      </c>
      <c r="B8114">
        <v>412020260</v>
      </c>
      <c r="C8114" s="76">
        <v>2020</v>
      </c>
      <c r="D8114" s="76" t="s">
        <v>34</v>
      </c>
      <c r="E8114" s="76" t="s">
        <v>32</v>
      </c>
      <c r="F8114" s="76">
        <v>2</v>
      </c>
    </row>
    <row r="8115" s="76" customFormat="1" spans="1:6">
      <c r="A8115">
        <v>8409</v>
      </c>
      <c r="B8115">
        <v>412020260</v>
      </c>
      <c r="C8115" s="76">
        <v>2020</v>
      </c>
      <c r="D8115" s="76" t="s">
        <v>34</v>
      </c>
      <c r="E8115" s="76" t="s">
        <v>32</v>
      </c>
      <c r="F8115" s="76">
        <v>1</v>
      </c>
    </row>
    <row r="8116" s="76" customFormat="1" spans="1:6">
      <c r="A8116">
        <v>8399</v>
      </c>
      <c r="B8116">
        <v>412020260</v>
      </c>
      <c r="C8116" s="76">
        <v>2020</v>
      </c>
      <c r="D8116" s="76" t="s">
        <v>34</v>
      </c>
      <c r="E8116" s="76" t="s">
        <v>32</v>
      </c>
      <c r="F8116" s="76">
        <v>5</v>
      </c>
    </row>
    <row r="8117" s="76" customFormat="1" spans="1:6">
      <c r="A8117">
        <v>8386</v>
      </c>
      <c r="B8117">
        <v>412020260</v>
      </c>
      <c r="C8117" s="76">
        <v>2020</v>
      </c>
      <c r="D8117" s="76" t="s">
        <v>34</v>
      </c>
      <c r="E8117" s="76" t="s">
        <v>32</v>
      </c>
      <c r="F8117" s="76">
        <v>4</v>
      </c>
    </row>
    <row r="8118" s="76" customFormat="1" spans="1:6">
      <c r="A8118">
        <v>8391</v>
      </c>
      <c r="B8118">
        <v>412020260</v>
      </c>
      <c r="C8118" s="76">
        <v>2020</v>
      </c>
      <c r="D8118" s="76" t="s">
        <v>34</v>
      </c>
      <c r="E8118" s="76" t="s">
        <v>32</v>
      </c>
      <c r="F8118" s="76">
        <v>5</v>
      </c>
    </row>
    <row r="8119" s="76" customFormat="1" spans="1:6">
      <c r="A8119">
        <v>8340</v>
      </c>
      <c r="B8119">
        <v>412020260</v>
      </c>
      <c r="C8119" s="76">
        <v>2020</v>
      </c>
      <c r="D8119" s="76" t="s">
        <v>34</v>
      </c>
      <c r="E8119" s="76" t="s">
        <v>32</v>
      </c>
      <c r="F8119" s="76">
        <v>5</v>
      </c>
    </row>
    <row r="8120" s="76" customFormat="1" spans="1:6">
      <c r="A8120">
        <v>8359</v>
      </c>
      <c r="B8120">
        <v>412020260</v>
      </c>
      <c r="C8120" s="76">
        <v>2020</v>
      </c>
      <c r="D8120" s="76" t="s">
        <v>34</v>
      </c>
      <c r="E8120" s="76" t="s">
        <v>32</v>
      </c>
      <c r="F8120" s="76">
        <v>3</v>
      </c>
    </row>
    <row r="8121" s="76" customFormat="1" spans="1:6">
      <c r="A8121">
        <v>8368</v>
      </c>
      <c r="B8121">
        <v>412020260</v>
      </c>
      <c r="C8121" s="76">
        <v>2020</v>
      </c>
      <c r="D8121" s="76" t="s">
        <v>34</v>
      </c>
      <c r="E8121" s="76" t="s">
        <v>32</v>
      </c>
      <c r="F8121" s="76">
        <v>5</v>
      </c>
    </row>
    <row r="8122" s="76" customFormat="1" spans="1:6">
      <c r="A8122">
        <v>8422</v>
      </c>
      <c r="B8122">
        <v>412020260</v>
      </c>
      <c r="C8122" s="76">
        <v>2020</v>
      </c>
      <c r="D8122" s="76" t="s">
        <v>34</v>
      </c>
      <c r="E8122" s="76" t="s">
        <v>32</v>
      </c>
      <c r="F8122" s="76">
        <v>1.8</v>
      </c>
    </row>
    <row r="8123" s="76" customFormat="1" spans="1:6">
      <c r="A8123">
        <v>8406</v>
      </c>
      <c r="B8123">
        <v>412020260</v>
      </c>
      <c r="C8123" s="76">
        <v>2020</v>
      </c>
      <c r="D8123" s="76" t="s">
        <v>34</v>
      </c>
      <c r="E8123" s="76" t="s">
        <v>32</v>
      </c>
      <c r="F8123" s="76">
        <v>0.88</v>
      </c>
    </row>
    <row r="8124" s="76" customFormat="1" spans="1:6">
      <c r="A8124">
        <v>8303</v>
      </c>
      <c r="B8124">
        <v>412020260</v>
      </c>
      <c r="C8124" s="76">
        <v>2020</v>
      </c>
      <c r="D8124" s="76" t="s">
        <v>34</v>
      </c>
      <c r="E8124" s="76">
        <v>40</v>
      </c>
      <c r="F8124" s="76">
        <v>10</v>
      </c>
    </row>
    <row r="8125" s="76" customFormat="1" spans="1:6">
      <c r="A8125">
        <v>8410</v>
      </c>
      <c r="B8125">
        <v>412020260</v>
      </c>
      <c r="C8125" s="76">
        <v>2020</v>
      </c>
      <c r="D8125" s="76" t="s">
        <v>34</v>
      </c>
      <c r="E8125" s="76" t="s">
        <v>32</v>
      </c>
      <c r="F8125" s="76">
        <v>1.5</v>
      </c>
    </row>
    <row r="8126" s="76" customFormat="1" spans="1:6">
      <c r="A8126">
        <v>8284</v>
      </c>
      <c r="B8126">
        <v>412020260</v>
      </c>
      <c r="C8126" s="76">
        <v>2020</v>
      </c>
      <c r="D8126" s="76" t="s">
        <v>34</v>
      </c>
      <c r="E8126" s="76">
        <v>34</v>
      </c>
      <c r="F8126" s="76">
        <v>8.88</v>
      </c>
    </row>
    <row r="8127" s="76" customFormat="1" spans="1:6">
      <c r="A8127">
        <v>8283</v>
      </c>
      <c r="B8127">
        <v>412020260</v>
      </c>
      <c r="C8127" s="76">
        <v>2020</v>
      </c>
      <c r="D8127" s="76" t="s">
        <v>34</v>
      </c>
      <c r="E8127" s="76">
        <v>19</v>
      </c>
      <c r="F8127" s="76">
        <v>5.04</v>
      </c>
    </row>
    <row r="8128" s="76" customFormat="1" spans="1:6">
      <c r="A8128">
        <v>8282</v>
      </c>
      <c r="B8128">
        <v>412020260</v>
      </c>
      <c r="C8128" s="76">
        <v>2020</v>
      </c>
      <c r="D8128" s="76" t="s">
        <v>34</v>
      </c>
      <c r="E8128" s="76">
        <v>19</v>
      </c>
      <c r="F8128" s="76">
        <v>3.18</v>
      </c>
    </row>
    <row r="8129" s="76" customFormat="1" spans="1:6">
      <c r="A8129">
        <v>8289</v>
      </c>
      <c r="B8129">
        <v>412020260</v>
      </c>
      <c r="C8129" s="76">
        <v>2020</v>
      </c>
      <c r="D8129" s="76" t="s">
        <v>34</v>
      </c>
      <c r="E8129" s="76">
        <v>4</v>
      </c>
      <c r="F8129" s="76">
        <v>1.06</v>
      </c>
    </row>
    <row r="8130" s="76" customFormat="1" spans="1:6">
      <c r="A8130">
        <v>8267</v>
      </c>
      <c r="B8130">
        <v>412020260</v>
      </c>
      <c r="C8130" s="76">
        <v>2020</v>
      </c>
      <c r="D8130" s="76" t="s">
        <v>34</v>
      </c>
      <c r="E8130" s="76">
        <v>4</v>
      </c>
      <c r="F8130" s="76">
        <v>1.2</v>
      </c>
    </row>
    <row r="8131" s="76" customFormat="1" spans="1:6">
      <c r="A8131">
        <v>8291</v>
      </c>
      <c r="B8131">
        <v>412020260</v>
      </c>
      <c r="C8131" s="76">
        <v>2020</v>
      </c>
      <c r="D8131" s="76" t="s">
        <v>34</v>
      </c>
      <c r="E8131" s="76">
        <v>13</v>
      </c>
      <c r="F8131" s="76">
        <v>4.4</v>
      </c>
    </row>
    <row r="8132" s="76" customFormat="1" spans="1:6">
      <c r="A8132">
        <v>8290</v>
      </c>
      <c r="B8132">
        <v>412020260</v>
      </c>
      <c r="C8132" s="76">
        <v>2020</v>
      </c>
      <c r="D8132" s="76" t="s">
        <v>34</v>
      </c>
      <c r="E8132" s="76">
        <v>28</v>
      </c>
      <c r="F8132" s="76">
        <v>4.8</v>
      </c>
    </row>
    <row r="8133" s="76" customFormat="1" spans="1:6">
      <c r="A8133">
        <v>8309</v>
      </c>
      <c r="B8133">
        <v>412020260</v>
      </c>
      <c r="C8133" s="76">
        <v>2020</v>
      </c>
      <c r="D8133" s="76" t="s">
        <v>34</v>
      </c>
      <c r="E8133" s="76">
        <v>16</v>
      </c>
      <c r="F8133" s="76">
        <v>4</v>
      </c>
    </row>
    <row r="8134" s="76" customFormat="1" spans="1:6">
      <c r="A8134">
        <v>8417</v>
      </c>
      <c r="B8134">
        <v>412020260</v>
      </c>
      <c r="C8134" s="76">
        <v>2020</v>
      </c>
      <c r="D8134" s="76" t="s">
        <v>34</v>
      </c>
      <c r="E8134" s="76" t="s">
        <v>32</v>
      </c>
      <c r="F8134" s="76">
        <v>1.2</v>
      </c>
    </row>
    <row r="8135" s="76" customFormat="1" spans="1:6">
      <c r="A8135">
        <v>8372</v>
      </c>
      <c r="B8135">
        <v>412020260</v>
      </c>
      <c r="C8135" s="76">
        <v>2020</v>
      </c>
      <c r="D8135" s="76" t="s">
        <v>34</v>
      </c>
      <c r="E8135" s="76" t="s">
        <v>32</v>
      </c>
      <c r="F8135" s="76">
        <v>4.92</v>
      </c>
    </row>
    <row r="8136" s="76" customFormat="1" spans="1:6">
      <c r="A8136">
        <v>8418</v>
      </c>
      <c r="B8136">
        <v>412020260</v>
      </c>
      <c r="C8136" s="76">
        <v>2020</v>
      </c>
      <c r="D8136" s="76" t="s">
        <v>34</v>
      </c>
      <c r="E8136" s="76" t="s">
        <v>32</v>
      </c>
      <c r="F8136" s="76">
        <v>1</v>
      </c>
    </row>
    <row r="8137" s="76" customFormat="1" spans="1:6">
      <c r="A8137">
        <v>8397</v>
      </c>
      <c r="B8137">
        <v>412020260</v>
      </c>
      <c r="C8137" s="76">
        <v>2020</v>
      </c>
      <c r="D8137" s="76" t="s">
        <v>34</v>
      </c>
      <c r="E8137" s="76" t="s">
        <v>32</v>
      </c>
      <c r="F8137" s="76">
        <v>4.99</v>
      </c>
    </row>
    <row r="8138" s="76" customFormat="1" spans="1:6">
      <c r="A8138">
        <v>8355</v>
      </c>
      <c r="B8138">
        <v>412020260</v>
      </c>
      <c r="C8138" s="76">
        <v>2020</v>
      </c>
      <c r="D8138" s="76" t="s">
        <v>34</v>
      </c>
      <c r="E8138" s="76" t="s">
        <v>32</v>
      </c>
      <c r="F8138" s="76">
        <v>5</v>
      </c>
    </row>
    <row r="8139" s="76" customFormat="1" spans="1:6">
      <c r="A8139">
        <v>8424</v>
      </c>
      <c r="B8139">
        <v>412020260</v>
      </c>
      <c r="C8139" s="76">
        <v>2020</v>
      </c>
      <c r="D8139" s="76" t="s">
        <v>34</v>
      </c>
      <c r="E8139" s="76" t="s">
        <v>32</v>
      </c>
      <c r="F8139" s="76">
        <v>2</v>
      </c>
    </row>
    <row r="8140" s="76" customFormat="1" spans="1:6">
      <c r="A8140">
        <v>8390</v>
      </c>
      <c r="B8140">
        <v>412020260</v>
      </c>
      <c r="C8140" s="76">
        <v>2020</v>
      </c>
      <c r="D8140" s="76" t="s">
        <v>34</v>
      </c>
      <c r="E8140" s="76" t="s">
        <v>32</v>
      </c>
      <c r="F8140" s="76">
        <v>3</v>
      </c>
    </row>
    <row r="8141" s="76" customFormat="1" spans="1:6">
      <c r="A8141">
        <v>8358</v>
      </c>
      <c r="B8141">
        <v>412020260</v>
      </c>
      <c r="C8141" s="76">
        <v>2020</v>
      </c>
      <c r="D8141" s="76" t="s">
        <v>34</v>
      </c>
      <c r="E8141" s="76" t="s">
        <v>32</v>
      </c>
      <c r="F8141" s="76">
        <v>4</v>
      </c>
    </row>
    <row r="8142" s="76" customFormat="1" spans="1:6">
      <c r="A8142">
        <v>8349</v>
      </c>
      <c r="B8142">
        <v>412020260</v>
      </c>
      <c r="C8142" s="76">
        <v>2020</v>
      </c>
      <c r="D8142" s="76" t="s">
        <v>34</v>
      </c>
      <c r="E8142" s="76" t="s">
        <v>32</v>
      </c>
      <c r="F8142" s="76">
        <v>2</v>
      </c>
    </row>
    <row r="8143" s="76" customFormat="1" spans="1:6">
      <c r="A8143">
        <v>8412</v>
      </c>
      <c r="B8143">
        <v>412020260</v>
      </c>
      <c r="C8143" s="76">
        <v>2020</v>
      </c>
      <c r="D8143" s="76" t="s">
        <v>34</v>
      </c>
      <c r="E8143" s="76" t="s">
        <v>32</v>
      </c>
      <c r="F8143" s="76">
        <v>1.4</v>
      </c>
    </row>
    <row r="8144" s="76" customFormat="1" spans="1:6">
      <c r="A8144">
        <v>8302</v>
      </c>
      <c r="B8144">
        <v>412020260</v>
      </c>
      <c r="C8144" s="76">
        <v>2020</v>
      </c>
      <c r="D8144" s="76" t="s">
        <v>34</v>
      </c>
      <c r="E8144" s="76">
        <v>60</v>
      </c>
      <c r="F8144" s="76">
        <v>15</v>
      </c>
    </row>
    <row r="8145" s="76" customFormat="1" spans="1:6">
      <c r="A8145">
        <v>8305</v>
      </c>
      <c r="B8145">
        <v>412020260</v>
      </c>
      <c r="C8145" s="76">
        <v>2020</v>
      </c>
      <c r="D8145" s="76" t="s">
        <v>34</v>
      </c>
      <c r="E8145" s="76">
        <v>164</v>
      </c>
      <c r="F8145" s="76">
        <v>41</v>
      </c>
    </row>
    <row r="8146" s="76" customFormat="1" spans="1:6">
      <c r="A8146">
        <v>8338</v>
      </c>
      <c r="B8146">
        <v>412020260</v>
      </c>
      <c r="C8146" s="76">
        <v>2020</v>
      </c>
      <c r="D8146" s="76" t="s">
        <v>34</v>
      </c>
      <c r="E8146" s="76" t="s">
        <v>32</v>
      </c>
      <c r="F8146" s="76">
        <v>4.6</v>
      </c>
    </row>
    <row r="8147" s="76" customFormat="1" spans="1:6">
      <c r="A8147">
        <v>8362</v>
      </c>
      <c r="B8147">
        <v>412020260</v>
      </c>
      <c r="C8147" s="76">
        <v>2020</v>
      </c>
      <c r="D8147" s="76" t="s">
        <v>34</v>
      </c>
      <c r="E8147" s="76" t="s">
        <v>32</v>
      </c>
      <c r="F8147" s="76">
        <v>5</v>
      </c>
    </row>
    <row r="8148" s="76" customFormat="1" spans="1:6">
      <c r="A8148">
        <v>8350</v>
      </c>
      <c r="B8148">
        <v>412020260</v>
      </c>
      <c r="C8148" s="76">
        <v>2020</v>
      </c>
      <c r="D8148" s="76" t="s">
        <v>34</v>
      </c>
      <c r="E8148" s="76" t="s">
        <v>32</v>
      </c>
      <c r="F8148" s="76">
        <v>2</v>
      </c>
    </row>
    <row r="8149" s="76" customFormat="1" spans="1:6">
      <c r="A8149">
        <v>8337</v>
      </c>
      <c r="B8149">
        <v>412020260</v>
      </c>
      <c r="C8149" s="76">
        <v>2020</v>
      </c>
      <c r="D8149" s="76" t="s">
        <v>34</v>
      </c>
      <c r="E8149" s="76" t="s">
        <v>32</v>
      </c>
      <c r="F8149" s="76">
        <v>8</v>
      </c>
    </row>
    <row r="8150" s="76" customFormat="1" spans="1:6">
      <c r="A8150">
        <v>8357</v>
      </c>
      <c r="B8150">
        <v>412020260</v>
      </c>
      <c r="C8150" s="76">
        <v>2020</v>
      </c>
      <c r="D8150" s="76" t="s">
        <v>34</v>
      </c>
      <c r="E8150" s="76" t="s">
        <v>32</v>
      </c>
      <c r="F8150" s="76">
        <v>4.99</v>
      </c>
    </row>
    <row r="8151" s="76" customFormat="1" spans="1:6">
      <c r="A8151">
        <v>8270</v>
      </c>
      <c r="B8151">
        <v>412020260</v>
      </c>
      <c r="C8151" s="76">
        <v>2020</v>
      </c>
      <c r="D8151" s="76" t="s">
        <v>34</v>
      </c>
      <c r="E8151" s="76">
        <v>17</v>
      </c>
      <c r="F8151" s="76">
        <v>3.06</v>
      </c>
    </row>
    <row r="8152" s="76" customFormat="1" spans="1:6">
      <c r="A8152">
        <v>8356</v>
      </c>
      <c r="B8152">
        <v>412020260</v>
      </c>
      <c r="C8152" s="76">
        <v>2020</v>
      </c>
      <c r="D8152" s="76" t="s">
        <v>34</v>
      </c>
      <c r="E8152" s="76" t="s">
        <v>32</v>
      </c>
      <c r="F8152" s="76">
        <v>7</v>
      </c>
    </row>
    <row r="8153" s="76" customFormat="1" spans="1:6">
      <c r="A8153">
        <v>8315</v>
      </c>
      <c r="B8153">
        <v>412020260</v>
      </c>
      <c r="C8153" s="76">
        <v>2020</v>
      </c>
      <c r="D8153" s="76" t="s">
        <v>34</v>
      </c>
      <c r="E8153" s="76">
        <v>9</v>
      </c>
      <c r="F8153" s="76">
        <v>2.7</v>
      </c>
    </row>
    <row r="8154" s="76" customFormat="1" spans="1:6">
      <c r="A8154">
        <v>8363</v>
      </c>
      <c r="B8154">
        <v>412020260</v>
      </c>
      <c r="C8154" s="76">
        <v>2020</v>
      </c>
      <c r="D8154" s="76" t="s">
        <v>34</v>
      </c>
      <c r="E8154" s="76" t="s">
        <v>32</v>
      </c>
      <c r="F8154" s="76">
        <v>10</v>
      </c>
    </row>
    <row r="8155" s="76" customFormat="1" spans="1:6">
      <c r="A8155">
        <v>8387</v>
      </c>
      <c r="B8155">
        <v>412020260</v>
      </c>
      <c r="C8155" s="76">
        <v>2020</v>
      </c>
      <c r="D8155" s="76" t="s">
        <v>34</v>
      </c>
      <c r="E8155" s="76" t="s">
        <v>32</v>
      </c>
      <c r="F8155" s="76">
        <v>4</v>
      </c>
    </row>
    <row r="8156" s="76" customFormat="1" spans="1:6">
      <c r="A8156">
        <v>8370</v>
      </c>
      <c r="B8156">
        <v>412020260</v>
      </c>
      <c r="C8156" s="76">
        <v>2020</v>
      </c>
      <c r="D8156" s="76" t="s">
        <v>34</v>
      </c>
      <c r="E8156" s="76" t="s">
        <v>32</v>
      </c>
      <c r="F8156" s="76">
        <v>2.25</v>
      </c>
    </row>
    <row r="8157" s="76" customFormat="1" spans="1:6">
      <c r="A8157">
        <v>8403</v>
      </c>
      <c r="B8157">
        <v>412020260</v>
      </c>
      <c r="C8157" s="76">
        <v>2020</v>
      </c>
      <c r="D8157" s="76" t="s">
        <v>34</v>
      </c>
      <c r="E8157" s="76" t="s">
        <v>32</v>
      </c>
      <c r="F8157" s="76">
        <v>4.99</v>
      </c>
    </row>
    <row r="8158" s="76" customFormat="1" spans="1:6">
      <c r="A8158">
        <v>8336</v>
      </c>
      <c r="B8158">
        <v>412020260</v>
      </c>
      <c r="C8158" s="76">
        <v>2020</v>
      </c>
      <c r="D8158" s="76" t="s">
        <v>34</v>
      </c>
      <c r="E8158" s="76" t="s">
        <v>32</v>
      </c>
      <c r="F8158" s="76">
        <v>2.6</v>
      </c>
    </row>
    <row r="8159" s="76" customFormat="1" spans="1:6">
      <c r="A8159">
        <v>8374</v>
      </c>
      <c r="B8159">
        <v>412020260</v>
      </c>
      <c r="C8159" s="76">
        <v>2020</v>
      </c>
      <c r="D8159" s="76" t="s">
        <v>34</v>
      </c>
      <c r="E8159" s="76" t="s">
        <v>32</v>
      </c>
      <c r="F8159" s="76">
        <v>6.95</v>
      </c>
    </row>
    <row r="8160" s="76" customFormat="1" spans="1:6">
      <c r="A8160">
        <v>8348</v>
      </c>
      <c r="B8160">
        <v>412020260</v>
      </c>
      <c r="C8160" s="76">
        <v>2020</v>
      </c>
      <c r="D8160" s="76" t="s">
        <v>34</v>
      </c>
      <c r="E8160" s="76" t="s">
        <v>32</v>
      </c>
      <c r="F8160" s="76">
        <v>2.9</v>
      </c>
    </row>
    <row r="8161" s="76" customFormat="1" spans="1:6">
      <c r="A8161">
        <v>8423</v>
      </c>
      <c r="B8161">
        <v>412020260</v>
      </c>
      <c r="C8161" s="76">
        <v>2020</v>
      </c>
      <c r="D8161" s="76" t="s">
        <v>34</v>
      </c>
      <c r="E8161" s="76" t="s">
        <v>32</v>
      </c>
      <c r="F8161" s="76">
        <v>1.53</v>
      </c>
    </row>
    <row r="8162" s="76" customFormat="1" spans="1:6">
      <c r="A8162">
        <v>8420</v>
      </c>
      <c r="B8162">
        <v>412020260</v>
      </c>
      <c r="C8162" s="76">
        <v>2020</v>
      </c>
      <c r="D8162" s="76" t="s">
        <v>34</v>
      </c>
      <c r="E8162" s="76" t="s">
        <v>32</v>
      </c>
      <c r="F8162" s="76">
        <v>1.8</v>
      </c>
    </row>
    <row r="8163" s="76" customFormat="1" spans="1:6">
      <c r="A8163">
        <v>8376</v>
      </c>
      <c r="B8163">
        <v>412020260</v>
      </c>
      <c r="C8163" s="76">
        <v>2020</v>
      </c>
      <c r="D8163" s="76" t="s">
        <v>34</v>
      </c>
      <c r="E8163" s="76" t="s">
        <v>32</v>
      </c>
      <c r="F8163" s="76">
        <v>5</v>
      </c>
    </row>
    <row r="8164" s="76" customFormat="1" spans="1:6">
      <c r="A8164">
        <v>8325</v>
      </c>
      <c r="B8164">
        <v>412020260</v>
      </c>
      <c r="C8164" s="76">
        <v>2020</v>
      </c>
      <c r="D8164" s="76" t="s">
        <v>34</v>
      </c>
      <c r="E8164" s="76">
        <v>16</v>
      </c>
      <c r="F8164" s="76">
        <v>4</v>
      </c>
    </row>
    <row r="8165" s="76" customFormat="1" spans="1:6">
      <c r="A8165">
        <v>8326</v>
      </c>
      <c r="B8165">
        <v>412020260</v>
      </c>
      <c r="C8165" s="76">
        <v>2020</v>
      </c>
      <c r="D8165" s="76" t="s">
        <v>34</v>
      </c>
      <c r="E8165" s="76">
        <v>20</v>
      </c>
      <c r="F8165" s="76">
        <v>5</v>
      </c>
    </row>
    <row r="8166" s="76" customFormat="1" spans="1:6">
      <c r="A8166">
        <v>8327</v>
      </c>
      <c r="B8166">
        <v>412020260</v>
      </c>
      <c r="C8166" s="76">
        <v>2020</v>
      </c>
      <c r="D8166" s="76" t="s">
        <v>34</v>
      </c>
      <c r="E8166" s="76">
        <v>20</v>
      </c>
      <c r="F8166" s="76">
        <v>5</v>
      </c>
    </row>
    <row r="8167" s="76" customFormat="1" spans="1:6">
      <c r="A8167">
        <v>8346</v>
      </c>
      <c r="B8167">
        <v>412020260</v>
      </c>
      <c r="C8167" s="76">
        <v>2020</v>
      </c>
      <c r="D8167" s="76" t="s">
        <v>34</v>
      </c>
      <c r="E8167" s="76" t="s">
        <v>32</v>
      </c>
      <c r="F8167" s="76">
        <v>2</v>
      </c>
    </row>
    <row r="8168" s="76" customFormat="1" spans="1:6">
      <c r="A8168">
        <v>8384</v>
      </c>
      <c r="B8168">
        <v>412020260</v>
      </c>
      <c r="C8168" s="76">
        <v>2020</v>
      </c>
      <c r="D8168" s="76" t="s">
        <v>34</v>
      </c>
      <c r="E8168" s="76" t="s">
        <v>32</v>
      </c>
      <c r="F8168" s="76">
        <v>4</v>
      </c>
    </row>
    <row r="8169" s="76" customFormat="1" spans="1:6">
      <c r="A8169">
        <v>8330</v>
      </c>
      <c r="B8169">
        <v>412020260</v>
      </c>
      <c r="C8169" s="76">
        <v>2020</v>
      </c>
      <c r="D8169" s="76" t="s">
        <v>34</v>
      </c>
      <c r="E8169" s="76" t="s">
        <v>32</v>
      </c>
      <c r="F8169" s="76">
        <v>2</v>
      </c>
    </row>
    <row r="8170" s="76" customFormat="1" spans="1:6">
      <c r="A8170">
        <v>8328</v>
      </c>
      <c r="B8170">
        <v>412020260</v>
      </c>
      <c r="C8170" s="76">
        <v>2020</v>
      </c>
      <c r="D8170" s="76" t="s">
        <v>34</v>
      </c>
      <c r="E8170" s="76">
        <v>16</v>
      </c>
      <c r="F8170" s="76">
        <v>4</v>
      </c>
    </row>
    <row r="8171" s="76" customFormat="1" spans="1:6">
      <c r="A8171">
        <v>8343</v>
      </c>
      <c r="B8171">
        <v>412020260</v>
      </c>
      <c r="C8171" s="76">
        <v>2020</v>
      </c>
      <c r="D8171" s="76" t="s">
        <v>34</v>
      </c>
      <c r="E8171" s="76" t="s">
        <v>32</v>
      </c>
      <c r="F8171" s="76">
        <v>5</v>
      </c>
    </row>
    <row r="8172" s="76" customFormat="1" spans="1:6">
      <c r="A8172">
        <v>8415</v>
      </c>
      <c r="B8172">
        <v>412020260</v>
      </c>
      <c r="C8172" s="76">
        <v>2020</v>
      </c>
      <c r="D8172" s="76" t="s">
        <v>34</v>
      </c>
      <c r="E8172" s="76" t="s">
        <v>32</v>
      </c>
      <c r="F8172" s="76">
        <v>2</v>
      </c>
    </row>
    <row r="8173" s="76" customFormat="1" spans="1:6">
      <c r="A8173">
        <v>8398</v>
      </c>
      <c r="B8173">
        <v>412020260</v>
      </c>
      <c r="C8173" s="76">
        <v>2020</v>
      </c>
      <c r="D8173" s="76" t="s">
        <v>34</v>
      </c>
      <c r="E8173" s="76" t="s">
        <v>32</v>
      </c>
      <c r="F8173" s="76">
        <v>5</v>
      </c>
    </row>
    <row r="8174" s="76" customFormat="1" spans="1:6">
      <c r="A8174">
        <v>8388</v>
      </c>
      <c r="B8174">
        <v>412020260</v>
      </c>
      <c r="C8174" s="76">
        <v>2020</v>
      </c>
      <c r="D8174" s="76" t="s">
        <v>34</v>
      </c>
      <c r="E8174" s="76" t="s">
        <v>32</v>
      </c>
      <c r="F8174" s="76">
        <v>4</v>
      </c>
    </row>
    <row r="8175" s="76" customFormat="1" spans="1:6">
      <c r="A8175">
        <v>8367</v>
      </c>
      <c r="B8175">
        <v>412020260</v>
      </c>
      <c r="C8175" s="76">
        <v>2020</v>
      </c>
      <c r="D8175" s="76" t="s">
        <v>34</v>
      </c>
      <c r="E8175" s="76" t="s">
        <v>32</v>
      </c>
      <c r="F8175" s="76">
        <v>5</v>
      </c>
    </row>
    <row r="8176" s="76" customFormat="1" spans="1:6">
      <c r="A8176">
        <v>8414</v>
      </c>
      <c r="B8176">
        <v>412020260</v>
      </c>
      <c r="C8176" s="76">
        <v>2020</v>
      </c>
      <c r="D8176" s="76" t="s">
        <v>34</v>
      </c>
      <c r="E8176" s="76" t="s">
        <v>32</v>
      </c>
      <c r="F8176" s="76">
        <v>2</v>
      </c>
    </row>
    <row r="8177" s="76" customFormat="1" spans="1:6">
      <c r="A8177">
        <v>8364</v>
      </c>
      <c r="B8177">
        <v>412020260</v>
      </c>
      <c r="C8177" s="76">
        <v>2020</v>
      </c>
      <c r="D8177" s="76" t="s">
        <v>34</v>
      </c>
      <c r="E8177" s="76" t="s">
        <v>32</v>
      </c>
      <c r="F8177" s="76">
        <v>5</v>
      </c>
    </row>
    <row r="8178" s="76" customFormat="1" spans="1:6">
      <c r="A8178">
        <v>8394</v>
      </c>
      <c r="B8178">
        <v>412020260</v>
      </c>
      <c r="C8178" s="76">
        <v>2020</v>
      </c>
      <c r="D8178" s="76" t="s">
        <v>34</v>
      </c>
      <c r="E8178" s="76" t="s">
        <v>32</v>
      </c>
      <c r="F8178" s="76">
        <v>5</v>
      </c>
    </row>
    <row r="8179" s="76" customFormat="1" spans="1:6">
      <c r="A8179">
        <v>8395</v>
      </c>
      <c r="B8179">
        <v>412020260</v>
      </c>
      <c r="C8179" s="76">
        <v>2020</v>
      </c>
      <c r="D8179" s="76" t="s">
        <v>34</v>
      </c>
      <c r="E8179" s="76" t="s">
        <v>32</v>
      </c>
      <c r="F8179" s="76">
        <v>3.98</v>
      </c>
    </row>
    <row r="8180" s="76" customFormat="1" spans="1:6">
      <c r="A8180">
        <v>8393</v>
      </c>
      <c r="B8180">
        <v>412020260</v>
      </c>
      <c r="C8180" s="76">
        <v>2020</v>
      </c>
      <c r="D8180" s="76" t="s">
        <v>34</v>
      </c>
      <c r="E8180" s="76" t="s">
        <v>32</v>
      </c>
      <c r="F8180" s="76">
        <v>5</v>
      </c>
    </row>
    <row r="8181" s="76" customFormat="1" spans="1:6">
      <c r="A8181">
        <v>8366</v>
      </c>
      <c r="B8181">
        <v>412020260</v>
      </c>
      <c r="C8181" s="76">
        <v>2020</v>
      </c>
      <c r="D8181" s="76" t="s">
        <v>34</v>
      </c>
      <c r="E8181" s="76" t="s">
        <v>32</v>
      </c>
      <c r="F8181" s="76">
        <v>5</v>
      </c>
    </row>
    <row r="8182" s="76" customFormat="1" spans="1:6">
      <c r="A8182">
        <v>8352</v>
      </c>
      <c r="B8182">
        <v>412020260</v>
      </c>
      <c r="C8182" s="76">
        <v>2020</v>
      </c>
      <c r="D8182" s="76" t="s">
        <v>34</v>
      </c>
      <c r="E8182" s="76" t="s">
        <v>32</v>
      </c>
      <c r="F8182" s="76">
        <v>5</v>
      </c>
    </row>
    <row r="8183" s="76" customFormat="1" spans="1:6">
      <c r="A8183">
        <v>8421</v>
      </c>
      <c r="B8183">
        <v>412020260</v>
      </c>
      <c r="C8183" s="76">
        <v>2020</v>
      </c>
      <c r="D8183" s="76" t="s">
        <v>34</v>
      </c>
      <c r="E8183" s="76" t="s">
        <v>32</v>
      </c>
      <c r="F8183" s="76">
        <v>1.2</v>
      </c>
    </row>
    <row r="8184" s="76" customFormat="1" spans="1:6">
      <c r="A8184">
        <v>8381</v>
      </c>
      <c r="B8184">
        <v>412020260</v>
      </c>
      <c r="C8184" s="76">
        <v>2020</v>
      </c>
      <c r="D8184" s="76" t="s">
        <v>34</v>
      </c>
      <c r="E8184" s="76" t="s">
        <v>32</v>
      </c>
      <c r="F8184" s="76">
        <v>5</v>
      </c>
    </row>
    <row r="8185" s="76" customFormat="1" spans="1:6">
      <c r="A8185">
        <v>8361</v>
      </c>
      <c r="B8185">
        <v>412020260</v>
      </c>
      <c r="C8185" s="76">
        <v>2020</v>
      </c>
      <c r="D8185" s="76" t="s">
        <v>34</v>
      </c>
      <c r="E8185" s="76" t="s">
        <v>32</v>
      </c>
      <c r="F8185" s="76">
        <v>5</v>
      </c>
    </row>
    <row r="8186" s="76" customFormat="1" spans="1:6">
      <c r="A8186">
        <v>8400</v>
      </c>
      <c r="B8186">
        <v>412020260</v>
      </c>
      <c r="C8186" s="76">
        <v>2020</v>
      </c>
      <c r="D8186" s="76" t="s">
        <v>34</v>
      </c>
      <c r="E8186" s="76" t="s">
        <v>32</v>
      </c>
      <c r="F8186" s="76">
        <v>4.99</v>
      </c>
    </row>
    <row r="8187" s="76" customFormat="1" spans="1:6">
      <c r="A8187">
        <v>8385</v>
      </c>
      <c r="B8187">
        <v>412020260</v>
      </c>
      <c r="C8187" s="76">
        <v>2020</v>
      </c>
      <c r="D8187" s="76" t="s">
        <v>34</v>
      </c>
      <c r="E8187" s="76" t="s">
        <v>32</v>
      </c>
      <c r="F8187" s="76">
        <v>5</v>
      </c>
    </row>
    <row r="8188" s="76" customFormat="1" spans="1:6">
      <c r="A8188">
        <v>8380</v>
      </c>
      <c r="B8188">
        <v>412020260</v>
      </c>
      <c r="C8188" s="76">
        <v>2020</v>
      </c>
      <c r="D8188" s="76" t="s">
        <v>34</v>
      </c>
      <c r="E8188" s="76" t="s">
        <v>32</v>
      </c>
      <c r="F8188" s="76">
        <v>9</v>
      </c>
    </row>
    <row r="8189" s="76" customFormat="1" spans="1:6">
      <c r="A8189">
        <v>8288</v>
      </c>
      <c r="B8189">
        <v>412020260</v>
      </c>
      <c r="C8189" s="76">
        <v>2020</v>
      </c>
      <c r="D8189" s="76" t="s">
        <v>34</v>
      </c>
      <c r="E8189" s="76">
        <v>28</v>
      </c>
      <c r="F8189" s="76">
        <v>9</v>
      </c>
    </row>
    <row r="8190" s="76" customFormat="1" spans="1:6">
      <c r="A8190">
        <v>8375</v>
      </c>
      <c r="B8190">
        <v>412020260</v>
      </c>
      <c r="C8190" s="76">
        <v>2020</v>
      </c>
      <c r="D8190" s="76" t="s">
        <v>34</v>
      </c>
      <c r="E8190" s="76" t="s">
        <v>32</v>
      </c>
      <c r="F8190" s="76">
        <v>4.99</v>
      </c>
    </row>
    <row r="8191" s="76" customFormat="1" spans="1:6">
      <c r="A8191">
        <v>8345</v>
      </c>
      <c r="B8191">
        <v>412020260</v>
      </c>
      <c r="C8191" s="76">
        <v>2020</v>
      </c>
      <c r="D8191" s="76" t="s">
        <v>34</v>
      </c>
      <c r="E8191" s="76" t="s">
        <v>32</v>
      </c>
      <c r="F8191" s="76">
        <v>5</v>
      </c>
    </row>
    <row r="8192" s="76" customFormat="1" spans="1:6">
      <c r="A8192">
        <v>8408</v>
      </c>
      <c r="B8192">
        <v>412020260</v>
      </c>
      <c r="C8192" s="76">
        <v>2020</v>
      </c>
      <c r="D8192" s="76" t="s">
        <v>34</v>
      </c>
      <c r="E8192" s="76" t="s">
        <v>32</v>
      </c>
      <c r="F8192" s="76">
        <v>0.83</v>
      </c>
    </row>
    <row r="8193" s="76" customFormat="1" spans="1:6">
      <c r="A8193">
        <v>8426</v>
      </c>
      <c r="B8193">
        <v>412020270</v>
      </c>
      <c r="C8193" s="76">
        <v>2020</v>
      </c>
      <c r="D8193" s="76" t="s">
        <v>31</v>
      </c>
      <c r="E8193" s="76" t="s">
        <v>32</v>
      </c>
      <c r="F8193" s="76">
        <v>4</v>
      </c>
    </row>
    <row r="8194" s="76" customFormat="1" spans="1:6">
      <c r="A8194">
        <v>8428</v>
      </c>
      <c r="B8194">
        <v>412020270</v>
      </c>
      <c r="C8194" s="76">
        <v>2020</v>
      </c>
      <c r="D8194" s="76" t="s">
        <v>31</v>
      </c>
      <c r="E8194" s="76" t="s">
        <v>32</v>
      </c>
      <c r="F8194" s="76">
        <v>3.41</v>
      </c>
    </row>
    <row r="8195" s="76" customFormat="1" spans="1:6">
      <c r="A8195">
        <v>8433</v>
      </c>
      <c r="B8195">
        <v>412021211</v>
      </c>
      <c r="C8195" s="76">
        <v>2021</v>
      </c>
      <c r="D8195" s="76" t="s">
        <v>37</v>
      </c>
      <c r="E8195" s="76" t="s">
        <v>32</v>
      </c>
      <c r="F8195" s="76">
        <v>6</v>
      </c>
    </row>
    <row r="8196" s="76" customFormat="1" spans="1:6">
      <c r="A8196">
        <v>8435</v>
      </c>
      <c r="B8196">
        <v>412021211</v>
      </c>
      <c r="C8196" s="76">
        <v>2021</v>
      </c>
      <c r="D8196" s="76" t="s">
        <v>37</v>
      </c>
      <c r="E8196" s="76" t="s">
        <v>32</v>
      </c>
      <c r="F8196" s="76">
        <v>5</v>
      </c>
    </row>
    <row r="8197" s="76" customFormat="1" spans="1:6">
      <c r="A8197">
        <v>8431</v>
      </c>
      <c r="B8197">
        <v>412021211</v>
      </c>
      <c r="C8197" s="76">
        <v>2021</v>
      </c>
      <c r="D8197" s="76" t="s">
        <v>37</v>
      </c>
      <c r="E8197" s="76" t="s">
        <v>32</v>
      </c>
      <c r="F8197" s="76">
        <v>2.4</v>
      </c>
    </row>
    <row r="8198" s="76" customFormat="1" spans="1:6">
      <c r="A8198">
        <v>8432</v>
      </c>
      <c r="B8198">
        <v>412021211</v>
      </c>
      <c r="C8198" s="76">
        <v>2021</v>
      </c>
      <c r="D8198" s="76" t="s">
        <v>37</v>
      </c>
      <c r="E8198" s="76">
        <v>1</v>
      </c>
      <c r="F8198" s="76">
        <v>100</v>
      </c>
    </row>
    <row r="8199" s="76" customFormat="1" spans="1:6">
      <c r="A8199">
        <v>8429</v>
      </c>
      <c r="B8199">
        <v>412021211</v>
      </c>
      <c r="C8199" s="76">
        <v>2021</v>
      </c>
      <c r="D8199" s="76" t="s">
        <v>37</v>
      </c>
      <c r="E8199" s="76">
        <v>1</v>
      </c>
      <c r="F8199" s="76">
        <v>35</v>
      </c>
    </row>
    <row r="8200" s="76" customFormat="1" spans="1:6">
      <c r="A8200">
        <v>8436</v>
      </c>
      <c r="B8200">
        <v>412021211</v>
      </c>
      <c r="C8200" s="76">
        <v>2021</v>
      </c>
      <c r="D8200" s="76" t="s">
        <v>37</v>
      </c>
      <c r="E8200" s="76" t="s">
        <v>32</v>
      </c>
      <c r="F8200" s="76">
        <v>1</v>
      </c>
    </row>
    <row r="8201" s="76" customFormat="1" spans="1:6">
      <c r="A8201">
        <v>8438</v>
      </c>
      <c r="B8201">
        <v>412021211</v>
      </c>
      <c r="C8201" s="76">
        <v>2021</v>
      </c>
      <c r="D8201" s="76" t="s">
        <v>37</v>
      </c>
      <c r="E8201" s="76" t="s">
        <v>32</v>
      </c>
      <c r="F8201" s="76">
        <v>6</v>
      </c>
    </row>
    <row r="8202" s="76" customFormat="1" spans="1:6">
      <c r="A8202">
        <v>8437</v>
      </c>
      <c r="B8202">
        <v>412021211</v>
      </c>
      <c r="C8202" s="76">
        <v>2021</v>
      </c>
      <c r="D8202" s="76" t="s">
        <v>37</v>
      </c>
      <c r="E8202" s="76" t="s">
        <v>32</v>
      </c>
      <c r="F8202" s="76">
        <v>6</v>
      </c>
    </row>
    <row r="8203" s="76" customFormat="1" spans="1:6">
      <c r="A8203">
        <v>8434</v>
      </c>
      <c r="B8203">
        <v>412021211</v>
      </c>
      <c r="C8203" s="76">
        <v>2021</v>
      </c>
      <c r="D8203" s="76" t="s">
        <v>37</v>
      </c>
      <c r="E8203" s="76" t="s">
        <v>32</v>
      </c>
      <c r="F8203" s="76">
        <v>6</v>
      </c>
    </row>
    <row r="8204" s="76" customFormat="1" spans="1:6">
      <c r="A8204">
        <v>8430</v>
      </c>
      <c r="B8204">
        <v>412021211</v>
      </c>
      <c r="C8204" s="76">
        <v>2021</v>
      </c>
      <c r="D8204" s="76" t="s">
        <v>37</v>
      </c>
      <c r="E8204" s="76" t="s">
        <v>32</v>
      </c>
      <c r="F8204" s="76">
        <v>6</v>
      </c>
    </row>
    <row r="8205" s="76" customFormat="1" spans="1:6">
      <c r="A8205">
        <v>8439</v>
      </c>
      <c r="B8205">
        <v>412021241</v>
      </c>
      <c r="C8205" s="76">
        <v>2021</v>
      </c>
      <c r="D8205" s="76" t="s">
        <v>33</v>
      </c>
      <c r="E8205" s="76" t="s">
        <v>32</v>
      </c>
      <c r="F8205" s="76">
        <v>4</v>
      </c>
    </row>
    <row r="8206" s="76" customFormat="1" spans="1:6">
      <c r="A8206">
        <v>8442</v>
      </c>
      <c r="B8206">
        <v>412021241</v>
      </c>
      <c r="C8206" s="76">
        <v>2021</v>
      </c>
      <c r="D8206" s="76" t="s">
        <v>33</v>
      </c>
      <c r="E8206" s="76" t="s">
        <v>32</v>
      </c>
      <c r="F8206" s="76">
        <v>5</v>
      </c>
    </row>
    <row r="8207" s="76" customFormat="1" spans="1:6">
      <c r="A8207">
        <v>8441</v>
      </c>
      <c r="B8207">
        <v>412021241</v>
      </c>
      <c r="C8207" s="76">
        <v>2021</v>
      </c>
      <c r="D8207" s="76" t="s">
        <v>33</v>
      </c>
      <c r="E8207" s="76" t="s">
        <v>32</v>
      </c>
      <c r="F8207" s="76">
        <v>1.5</v>
      </c>
    </row>
    <row r="8208" s="76" customFormat="1" spans="1:6">
      <c r="A8208">
        <v>8443</v>
      </c>
      <c r="B8208">
        <v>412021241</v>
      </c>
      <c r="C8208" s="76">
        <v>2021</v>
      </c>
      <c r="D8208" s="76" t="s">
        <v>33</v>
      </c>
      <c r="E8208" s="76" t="s">
        <v>32</v>
      </c>
      <c r="F8208" s="76">
        <v>1.5</v>
      </c>
    </row>
    <row r="8209" s="76" customFormat="1" spans="1:6">
      <c r="A8209">
        <v>8440</v>
      </c>
      <c r="B8209">
        <v>412021241</v>
      </c>
      <c r="C8209" s="76">
        <v>2021</v>
      </c>
      <c r="D8209" s="76" t="s">
        <v>33</v>
      </c>
      <c r="E8209" s="76" t="s">
        <v>32</v>
      </c>
      <c r="F8209" s="76">
        <v>0.6</v>
      </c>
    </row>
    <row r="8210" s="76" customFormat="1" spans="1:6">
      <c r="A8210">
        <v>8465</v>
      </c>
      <c r="B8210">
        <v>412021242</v>
      </c>
      <c r="C8210" s="76">
        <v>2021</v>
      </c>
      <c r="D8210" s="76" t="s">
        <v>35</v>
      </c>
      <c r="E8210" s="76" t="s">
        <v>32</v>
      </c>
      <c r="F8210" s="76">
        <v>4.2</v>
      </c>
    </row>
    <row r="8211" s="76" customFormat="1" spans="1:6">
      <c r="A8211">
        <v>8452</v>
      </c>
      <c r="B8211">
        <v>412021242</v>
      </c>
      <c r="C8211" s="76">
        <v>2021</v>
      </c>
      <c r="D8211" s="76" t="s">
        <v>35</v>
      </c>
      <c r="E8211" s="76" t="s">
        <v>32</v>
      </c>
      <c r="F8211" s="76">
        <v>0.75</v>
      </c>
    </row>
    <row r="8212" s="76" customFormat="1" spans="1:6">
      <c r="A8212">
        <v>8449</v>
      </c>
      <c r="B8212">
        <v>412021242</v>
      </c>
      <c r="C8212" s="76">
        <v>2021</v>
      </c>
      <c r="D8212" s="76" t="s">
        <v>35</v>
      </c>
      <c r="E8212" s="76" t="s">
        <v>32</v>
      </c>
      <c r="F8212" s="76">
        <v>1.8</v>
      </c>
    </row>
    <row r="8213" s="76" customFormat="1" spans="1:6">
      <c r="A8213">
        <v>8455</v>
      </c>
      <c r="B8213">
        <v>412021242</v>
      </c>
      <c r="C8213" s="76">
        <v>2021</v>
      </c>
      <c r="D8213" s="76" t="s">
        <v>35</v>
      </c>
      <c r="E8213" s="76" t="s">
        <v>32</v>
      </c>
      <c r="F8213" s="76">
        <v>1.2</v>
      </c>
    </row>
    <row r="8214" s="76" customFormat="1" spans="1:6">
      <c r="A8214">
        <v>8450</v>
      </c>
      <c r="B8214">
        <v>412021242</v>
      </c>
      <c r="C8214" s="76">
        <v>2021</v>
      </c>
      <c r="D8214" s="76" t="s">
        <v>35</v>
      </c>
      <c r="E8214" s="76" t="s">
        <v>32</v>
      </c>
      <c r="F8214" s="76">
        <v>1.5</v>
      </c>
    </row>
    <row r="8215" s="76" customFormat="1" spans="1:6">
      <c r="A8215">
        <v>8461</v>
      </c>
      <c r="B8215">
        <v>412021242</v>
      </c>
      <c r="C8215" s="76">
        <v>2021</v>
      </c>
      <c r="D8215" s="76" t="s">
        <v>35</v>
      </c>
      <c r="E8215" s="76" t="s">
        <v>32</v>
      </c>
      <c r="F8215" s="76">
        <v>1.2</v>
      </c>
    </row>
    <row r="8216" s="76" customFormat="1" spans="1:6">
      <c r="A8216">
        <v>8454</v>
      </c>
      <c r="B8216">
        <v>412021242</v>
      </c>
      <c r="C8216" s="76">
        <v>2021</v>
      </c>
      <c r="D8216" s="76" t="s">
        <v>35</v>
      </c>
      <c r="E8216" s="76" t="s">
        <v>32</v>
      </c>
      <c r="F8216" s="76">
        <v>5.5</v>
      </c>
    </row>
    <row r="8217" s="76" customFormat="1" spans="1:6">
      <c r="A8217">
        <v>8464</v>
      </c>
      <c r="B8217">
        <v>412021242</v>
      </c>
      <c r="C8217" s="76">
        <v>2021</v>
      </c>
      <c r="D8217" s="76" t="s">
        <v>35</v>
      </c>
      <c r="E8217" s="76" t="s">
        <v>32</v>
      </c>
      <c r="F8217" s="76">
        <v>1.5</v>
      </c>
    </row>
    <row r="8218" s="76" customFormat="1" spans="1:6">
      <c r="A8218">
        <v>8458</v>
      </c>
      <c r="B8218">
        <v>412021242</v>
      </c>
      <c r="C8218" s="76">
        <v>2021</v>
      </c>
      <c r="D8218" s="76" t="s">
        <v>35</v>
      </c>
      <c r="E8218" s="76" t="s">
        <v>32</v>
      </c>
      <c r="F8218" s="76">
        <v>1.2</v>
      </c>
    </row>
    <row r="8219" s="76" customFormat="1" spans="1:6">
      <c r="A8219">
        <v>8445</v>
      </c>
      <c r="B8219">
        <v>412021242</v>
      </c>
      <c r="C8219" s="76">
        <v>2021</v>
      </c>
      <c r="D8219" s="76" t="s">
        <v>35</v>
      </c>
      <c r="E8219" s="76">
        <v>2</v>
      </c>
      <c r="F8219" s="76">
        <v>2.4</v>
      </c>
    </row>
    <row r="8220" s="76" customFormat="1" spans="1:6">
      <c r="A8220">
        <v>8460</v>
      </c>
      <c r="B8220">
        <v>412021242</v>
      </c>
      <c r="C8220" s="76">
        <v>2021</v>
      </c>
      <c r="D8220" s="76" t="s">
        <v>35</v>
      </c>
      <c r="E8220" s="76" t="s">
        <v>32</v>
      </c>
      <c r="F8220" s="76">
        <v>1.8</v>
      </c>
    </row>
    <row r="8221" s="76" customFormat="1" spans="1:6">
      <c r="A8221">
        <v>8447</v>
      </c>
      <c r="B8221">
        <v>412021242</v>
      </c>
      <c r="C8221" s="76">
        <v>2021</v>
      </c>
      <c r="D8221" s="76" t="s">
        <v>35</v>
      </c>
      <c r="E8221" s="76" t="s">
        <v>32</v>
      </c>
      <c r="F8221" s="76">
        <v>2</v>
      </c>
    </row>
    <row r="8222" s="76" customFormat="1" spans="1:6">
      <c r="A8222">
        <v>8451</v>
      </c>
      <c r="B8222">
        <v>412021242</v>
      </c>
      <c r="C8222" s="76">
        <v>2021</v>
      </c>
      <c r="D8222" s="76" t="s">
        <v>35</v>
      </c>
      <c r="E8222" s="76" t="s">
        <v>32</v>
      </c>
      <c r="F8222" s="76">
        <v>1.5</v>
      </c>
    </row>
    <row r="8223" s="76" customFormat="1" spans="1:6">
      <c r="A8223">
        <v>8466</v>
      </c>
      <c r="B8223">
        <v>412021242</v>
      </c>
      <c r="C8223" s="76">
        <v>2021</v>
      </c>
      <c r="D8223" s="76" t="s">
        <v>35</v>
      </c>
      <c r="E8223" s="76" t="s">
        <v>32</v>
      </c>
      <c r="F8223" s="76">
        <v>5</v>
      </c>
    </row>
    <row r="8224" s="76" customFormat="1" spans="1:6">
      <c r="A8224">
        <v>8446</v>
      </c>
      <c r="B8224">
        <v>412021242</v>
      </c>
      <c r="C8224" s="76">
        <v>2021</v>
      </c>
      <c r="D8224" s="76" t="s">
        <v>35</v>
      </c>
      <c r="E8224" s="76">
        <v>1</v>
      </c>
      <c r="F8224" s="76">
        <v>1</v>
      </c>
    </row>
    <row r="8225" s="76" customFormat="1" spans="1:6">
      <c r="A8225">
        <v>8453</v>
      </c>
      <c r="B8225">
        <v>412021242</v>
      </c>
      <c r="C8225" s="76">
        <v>2021</v>
      </c>
      <c r="D8225" s="76" t="s">
        <v>35</v>
      </c>
      <c r="E8225" s="76" t="s">
        <v>32</v>
      </c>
      <c r="F8225" s="76">
        <v>1.2</v>
      </c>
    </row>
    <row r="8226" s="76" customFormat="1" spans="1:6">
      <c r="A8226">
        <v>8459</v>
      </c>
      <c r="B8226">
        <v>412021242</v>
      </c>
      <c r="C8226" s="76">
        <v>2021</v>
      </c>
      <c r="D8226" s="76" t="s">
        <v>35</v>
      </c>
      <c r="E8226" s="76" t="s">
        <v>32</v>
      </c>
      <c r="F8226" s="76">
        <v>3.5</v>
      </c>
    </row>
    <row r="8227" s="76" customFormat="1" spans="1:6">
      <c r="A8227">
        <v>8457</v>
      </c>
      <c r="B8227">
        <v>412021242</v>
      </c>
      <c r="C8227" s="76">
        <v>2021</v>
      </c>
      <c r="D8227" s="76" t="s">
        <v>35</v>
      </c>
      <c r="E8227" s="76" t="s">
        <v>32</v>
      </c>
      <c r="F8227" s="76">
        <v>1.2</v>
      </c>
    </row>
    <row r="8228" s="76" customFormat="1" spans="1:6">
      <c r="A8228">
        <v>8448</v>
      </c>
      <c r="B8228">
        <v>412021242</v>
      </c>
      <c r="C8228" s="76">
        <v>2021</v>
      </c>
      <c r="D8228" s="76" t="s">
        <v>35</v>
      </c>
      <c r="E8228" s="76" t="s">
        <v>32</v>
      </c>
      <c r="F8228" s="76">
        <v>2.9</v>
      </c>
    </row>
    <row r="8229" s="76" customFormat="1" spans="1:6">
      <c r="A8229">
        <v>8456</v>
      </c>
      <c r="B8229">
        <v>412021242</v>
      </c>
      <c r="C8229" s="76">
        <v>2021</v>
      </c>
      <c r="D8229" s="76" t="s">
        <v>35</v>
      </c>
      <c r="E8229" s="76" t="s">
        <v>32</v>
      </c>
      <c r="F8229" s="76">
        <v>1.5</v>
      </c>
    </row>
    <row r="8230" s="76" customFormat="1" spans="1:6">
      <c r="A8230">
        <v>8468</v>
      </c>
      <c r="B8230">
        <v>412021242</v>
      </c>
      <c r="C8230" s="76">
        <v>2021</v>
      </c>
      <c r="D8230" s="76" t="s">
        <v>35</v>
      </c>
      <c r="E8230" s="76" t="s">
        <v>32</v>
      </c>
      <c r="F8230" s="76">
        <v>1.8</v>
      </c>
    </row>
    <row r="8231" s="76" customFormat="1" spans="1:6">
      <c r="A8231">
        <v>8463</v>
      </c>
      <c r="B8231">
        <v>412021242</v>
      </c>
      <c r="C8231" s="76">
        <v>2021</v>
      </c>
      <c r="D8231" s="76" t="s">
        <v>35</v>
      </c>
      <c r="E8231" s="76" t="s">
        <v>32</v>
      </c>
      <c r="F8231" s="76">
        <v>2.4</v>
      </c>
    </row>
    <row r="8232" s="76" customFormat="1" spans="1:6">
      <c r="A8232">
        <v>8470</v>
      </c>
      <c r="B8232">
        <v>412021242</v>
      </c>
      <c r="C8232" s="76">
        <v>2021</v>
      </c>
      <c r="D8232" s="76" t="s">
        <v>35</v>
      </c>
      <c r="E8232" s="76" t="s">
        <v>32</v>
      </c>
      <c r="F8232" s="76">
        <v>3</v>
      </c>
    </row>
    <row r="8233" s="76" customFormat="1" spans="1:6">
      <c r="A8233">
        <v>8469</v>
      </c>
      <c r="B8233">
        <v>412021242</v>
      </c>
      <c r="C8233" s="76">
        <v>2021</v>
      </c>
      <c r="D8233" s="76" t="s">
        <v>35</v>
      </c>
      <c r="E8233" s="76" t="s">
        <v>32</v>
      </c>
      <c r="F8233" s="76">
        <v>2</v>
      </c>
    </row>
    <row r="8234" s="76" customFormat="1" spans="1:6">
      <c r="A8234">
        <v>8467</v>
      </c>
      <c r="B8234">
        <v>412021242</v>
      </c>
      <c r="C8234" s="76">
        <v>2021</v>
      </c>
      <c r="D8234" s="76" t="s">
        <v>35</v>
      </c>
      <c r="E8234" s="76" t="s">
        <v>32</v>
      </c>
      <c r="F8234" s="76">
        <v>1.2</v>
      </c>
    </row>
    <row r="8235" s="76" customFormat="1" spans="1:6">
      <c r="A8235">
        <v>8462</v>
      </c>
      <c r="B8235">
        <v>412021242</v>
      </c>
      <c r="C8235" s="76">
        <v>2021</v>
      </c>
      <c r="D8235" s="76" t="s">
        <v>35</v>
      </c>
      <c r="E8235" s="76" t="s">
        <v>32</v>
      </c>
      <c r="F8235" s="76">
        <v>1.5</v>
      </c>
    </row>
    <row r="8236" s="76" customFormat="1" spans="1:6">
      <c r="A8236">
        <v>8477</v>
      </c>
      <c r="B8236">
        <v>412021243</v>
      </c>
      <c r="C8236" s="76">
        <v>2021</v>
      </c>
      <c r="D8236" s="76" t="s">
        <v>38</v>
      </c>
      <c r="E8236" s="76" t="s">
        <v>32</v>
      </c>
      <c r="F8236" s="76">
        <v>3</v>
      </c>
    </row>
    <row r="8237" s="76" customFormat="1" spans="1:6">
      <c r="A8237">
        <v>8472</v>
      </c>
      <c r="B8237">
        <v>412021243</v>
      </c>
      <c r="C8237" s="76">
        <v>2021</v>
      </c>
      <c r="D8237" s="76" t="s">
        <v>38</v>
      </c>
      <c r="E8237" s="76" t="s">
        <v>32</v>
      </c>
      <c r="F8237" s="76">
        <v>3.5</v>
      </c>
    </row>
    <row r="8238" s="76" customFormat="1" spans="1:6">
      <c r="A8238">
        <v>8474</v>
      </c>
      <c r="B8238">
        <v>412021243</v>
      </c>
      <c r="C8238" s="76">
        <v>2021</v>
      </c>
      <c r="D8238" s="76" t="s">
        <v>38</v>
      </c>
      <c r="E8238" s="76" t="s">
        <v>32</v>
      </c>
      <c r="F8238" s="76">
        <v>3</v>
      </c>
    </row>
    <row r="8239" s="76" customFormat="1" spans="1:6">
      <c r="A8239">
        <v>8475</v>
      </c>
      <c r="B8239">
        <v>412021243</v>
      </c>
      <c r="C8239" s="76">
        <v>2021</v>
      </c>
      <c r="D8239" s="76" t="s">
        <v>38</v>
      </c>
      <c r="E8239" s="76" t="s">
        <v>32</v>
      </c>
      <c r="F8239" s="76">
        <v>1.2</v>
      </c>
    </row>
    <row r="8240" s="76" customFormat="1" spans="1:6">
      <c r="A8240">
        <v>8471</v>
      </c>
      <c r="B8240">
        <v>412021243</v>
      </c>
      <c r="C8240" s="76">
        <v>2021</v>
      </c>
      <c r="D8240" s="76" t="s">
        <v>38</v>
      </c>
      <c r="E8240" s="76" t="s">
        <v>32</v>
      </c>
      <c r="F8240" s="76">
        <v>3</v>
      </c>
    </row>
    <row r="8241" s="76" customFormat="1" spans="1:6">
      <c r="A8241">
        <v>8476</v>
      </c>
      <c r="B8241">
        <v>412021243</v>
      </c>
      <c r="C8241" s="76">
        <v>2021</v>
      </c>
      <c r="D8241" s="76" t="s">
        <v>38</v>
      </c>
      <c r="E8241" s="76" t="s">
        <v>32</v>
      </c>
      <c r="F8241" s="76">
        <v>4.2</v>
      </c>
    </row>
    <row r="8242" s="76" customFormat="1" spans="1:6">
      <c r="A8242">
        <v>8478</v>
      </c>
      <c r="B8242">
        <v>412021243</v>
      </c>
      <c r="C8242" s="76">
        <v>2021</v>
      </c>
      <c r="D8242" s="76" t="s">
        <v>38</v>
      </c>
      <c r="E8242" s="76" t="s">
        <v>32</v>
      </c>
      <c r="F8242" s="76">
        <v>3</v>
      </c>
    </row>
    <row r="8243" s="76" customFormat="1" spans="1:6">
      <c r="A8243">
        <v>8473</v>
      </c>
      <c r="B8243">
        <v>412021243</v>
      </c>
      <c r="C8243" s="76">
        <v>2021</v>
      </c>
      <c r="D8243" s="76" t="s">
        <v>38</v>
      </c>
      <c r="E8243" s="76" t="s">
        <v>32</v>
      </c>
      <c r="F8243" s="76">
        <v>3</v>
      </c>
    </row>
    <row r="8244" s="76" customFormat="1" spans="1:6">
      <c r="A8244">
        <v>8543</v>
      </c>
      <c r="B8244">
        <v>412021260</v>
      </c>
      <c r="C8244" s="76">
        <v>2021</v>
      </c>
      <c r="D8244" s="76" t="s">
        <v>34</v>
      </c>
      <c r="E8244" s="76" t="s">
        <v>32</v>
      </c>
      <c r="F8244" s="76">
        <v>4</v>
      </c>
    </row>
    <row r="8245" s="76" customFormat="1" spans="1:6">
      <c r="A8245">
        <v>8542</v>
      </c>
      <c r="B8245">
        <v>412021260</v>
      </c>
      <c r="C8245" s="76">
        <v>2021</v>
      </c>
      <c r="D8245" s="76" t="s">
        <v>34</v>
      </c>
      <c r="E8245" s="76" t="s">
        <v>32</v>
      </c>
      <c r="F8245" s="76">
        <v>4.75</v>
      </c>
    </row>
    <row r="8246" s="76" customFormat="1" spans="1:6">
      <c r="A8246">
        <v>8541</v>
      </c>
      <c r="B8246">
        <v>412021260</v>
      </c>
      <c r="C8246" s="76">
        <v>2021</v>
      </c>
      <c r="D8246" s="76" t="s">
        <v>34</v>
      </c>
      <c r="E8246" s="76" t="s">
        <v>32</v>
      </c>
      <c r="F8246" s="76">
        <v>2.8</v>
      </c>
    </row>
    <row r="8247" s="76" customFormat="1" spans="1:6">
      <c r="A8247">
        <v>8550</v>
      </c>
      <c r="B8247">
        <v>412021260</v>
      </c>
      <c r="C8247" s="76">
        <v>2021</v>
      </c>
      <c r="D8247" s="76" t="s">
        <v>34</v>
      </c>
      <c r="E8247" s="76" t="s">
        <v>32</v>
      </c>
      <c r="F8247" s="76">
        <v>2</v>
      </c>
    </row>
    <row r="8248" s="76" customFormat="1" spans="1:6">
      <c r="A8248">
        <v>8567</v>
      </c>
      <c r="B8248">
        <v>412021260</v>
      </c>
      <c r="C8248" s="76">
        <v>2021</v>
      </c>
      <c r="D8248" s="76" t="s">
        <v>34</v>
      </c>
      <c r="E8248" s="76" t="s">
        <v>32</v>
      </c>
      <c r="F8248" s="76">
        <v>2.5</v>
      </c>
    </row>
    <row r="8249" s="76" customFormat="1" spans="1:6">
      <c r="A8249">
        <v>8486</v>
      </c>
      <c r="B8249">
        <v>412021260</v>
      </c>
      <c r="C8249" s="76">
        <v>2021</v>
      </c>
      <c r="D8249" s="76" t="s">
        <v>34</v>
      </c>
      <c r="E8249" s="76">
        <v>10</v>
      </c>
      <c r="F8249" s="76">
        <v>2</v>
      </c>
    </row>
    <row r="8250" s="76" customFormat="1" spans="1:6">
      <c r="A8250">
        <v>8480</v>
      </c>
      <c r="B8250">
        <v>412021260</v>
      </c>
      <c r="C8250" s="76">
        <v>2021</v>
      </c>
      <c r="D8250" s="76" t="s">
        <v>34</v>
      </c>
      <c r="E8250" s="76">
        <v>9</v>
      </c>
      <c r="F8250" s="76">
        <v>2</v>
      </c>
    </row>
    <row r="8251" s="76" customFormat="1" spans="1:6">
      <c r="A8251">
        <v>8481</v>
      </c>
      <c r="B8251">
        <v>412021260</v>
      </c>
      <c r="C8251" s="76">
        <v>2021</v>
      </c>
      <c r="D8251" s="76" t="s">
        <v>34</v>
      </c>
      <c r="E8251" s="76">
        <v>9</v>
      </c>
      <c r="F8251" s="76">
        <v>2</v>
      </c>
    </row>
    <row r="8252" s="76" customFormat="1" spans="1:6">
      <c r="A8252">
        <v>8517</v>
      </c>
      <c r="B8252">
        <v>412021260</v>
      </c>
      <c r="C8252" s="76">
        <v>2021</v>
      </c>
      <c r="D8252" s="76" t="s">
        <v>34</v>
      </c>
      <c r="E8252" s="76">
        <v>6</v>
      </c>
      <c r="F8252" s="76">
        <v>1.9</v>
      </c>
    </row>
    <row r="8253" s="76" customFormat="1" spans="1:6">
      <c r="A8253">
        <v>8533</v>
      </c>
      <c r="B8253">
        <v>412021260</v>
      </c>
      <c r="C8253" s="76">
        <v>2021</v>
      </c>
      <c r="D8253" s="76" t="s">
        <v>34</v>
      </c>
      <c r="E8253" s="76" t="s">
        <v>32</v>
      </c>
      <c r="F8253" s="76">
        <v>3.5</v>
      </c>
    </row>
    <row r="8254" s="76" customFormat="1" spans="1:6">
      <c r="A8254">
        <v>8589</v>
      </c>
      <c r="B8254">
        <v>412021260</v>
      </c>
      <c r="C8254" s="76">
        <v>2021</v>
      </c>
      <c r="D8254" s="76" t="s">
        <v>34</v>
      </c>
      <c r="E8254" s="76" t="s">
        <v>32</v>
      </c>
      <c r="F8254" s="76">
        <v>1</v>
      </c>
    </row>
    <row r="8255" s="76" customFormat="1" spans="1:6">
      <c r="A8255">
        <v>8556</v>
      </c>
      <c r="B8255">
        <v>412021260</v>
      </c>
      <c r="C8255" s="76">
        <v>2021</v>
      </c>
      <c r="D8255" s="76" t="s">
        <v>34</v>
      </c>
      <c r="E8255" s="76" t="s">
        <v>32</v>
      </c>
      <c r="F8255" s="76">
        <v>1.8</v>
      </c>
    </row>
    <row r="8256" s="76" customFormat="1" spans="1:6">
      <c r="A8256">
        <v>8522</v>
      </c>
      <c r="B8256">
        <v>412021260</v>
      </c>
      <c r="C8256" s="76">
        <v>2021</v>
      </c>
      <c r="D8256" s="76" t="s">
        <v>34</v>
      </c>
      <c r="E8256" s="76">
        <v>5</v>
      </c>
      <c r="F8256" s="76">
        <v>1.5</v>
      </c>
    </row>
    <row r="8257" s="76" customFormat="1" spans="1:6">
      <c r="A8257">
        <v>8574</v>
      </c>
      <c r="B8257">
        <v>412021260</v>
      </c>
      <c r="C8257" s="76">
        <v>2021</v>
      </c>
      <c r="D8257" s="76" t="s">
        <v>34</v>
      </c>
      <c r="E8257" s="76" t="s">
        <v>32</v>
      </c>
      <c r="F8257" s="76">
        <v>1.5</v>
      </c>
    </row>
    <row r="8258" s="76" customFormat="1" spans="1:6">
      <c r="A8258">
        <v>8581</v>
      </c>
      <c r="B8258">
        <v>412021260</v>
      </c>
      <c r="C8258" s="76">
        <v>2021</v>
      </c>
      <c r="D8258" s="76" t="s">
        <v>34</v>
      </c>
      <c r="E8258" s="76" t="s">
        <v>32</v>
      </c>
      <c r="F8258" s="76">
        <v>1</v>
      </c>
    </row>
    <row r="8259" s="76" customFormat="1" spans="1:6">
      <c r="A8259">
        <v>8492</v>
      </c>
      <c r="B8259">
        <v>412021260</v>
      </c>
      <c r="C8259" s="76">
        <v>2021</v>
      </c>
      <c r="D8259" s="76" t="s">
        <v>34</v>
      </c>
      <c r="E8259" s="76">
        <v>9</v>
      </c>
      <c r="F8259" s="76">
        <v>3</v>
      </c>
    </row>
    <row r="8260" s="76" customFormat="1" spans="1:6">
      <c r="A8260">
        <v>8571</v>
      </c>
      <c r="B8260">
        <v>412021260</v>
      </c>
      <c r="C8260" s="76">
        <v>2021</v>
      </c>
      <c r="D8260" s="76" t="s">
        <v>34</v>
      </c>
      <c r="E8260" s="76" t="s">
        <v>32</v>
      </c>
      <c r="F8260" s="76">
        <v>3.68</v>
      </c>
    </row>
    <row r="8261" s="76" customFormat="1" spans="1:6">
      <c r="A8261">
        <v>8568</v>
      </c>
      <c r="B8261">
        <v>412021260</v>
      </c>
      <c r="C8261" s="76">
        <v>2021</v>
      </c>
      <c r="D8261" s="76" t="s">
        <v>34</v>
      </c>
      <c r="E8261" s="76" t="s">
        <v>32</v>
      </c>
      <c r="F8261" s="76">
        <v>0.99</v>
      </c>
    </row>
    <row r="8262" s="76" customFormat="1" spans="1:6">
      <c r="A8262">
        <v>8521</v>
      </c>
      <c r="B8262">
        <v>412021260</v>
      </c>
      <c r="C8262" s="76">
        <v>2021</v>
      </c>
      <c r="D8262" s="76" t="s">
        <v>34</v>
      </c>
      <c r="E8262" s="76">
        <v>2</v>
      </c>
      <c r="F8262" s="76">
        <v>0.6</v>
      </c>
    </row>
    <row r="8263" s="76" customFormat="1" spans="1:6">
      <c r="A8263">
        <v>8569</v>
      </c>
      <c r="B8263">
        <v>412021260</v>
      </c>
      <c r="C8263" s="76">
        <v>2021</v>
      </c>
      <c r="D8263" s="76" t="s">
        <v>34</v>
      </c>
      <c r="E8263" s="76" t="s">
        <v>32</v>
      </c>
      <c r="F8263" s="76">
        <v>1.32</v>
      </c>
    </row>
    <row r="8264" s="76" customFormat="1" spans="1:6">
      <c r="A8264">
        <v>8531</v>
      </c>
      <c r="B8264">
        <v>412021260</v>
      </c>
      <c r="C8264" s="76">
        <v>2021</v>
      </c>
      <c r="D8264" s="76" t="s">
        <v>34</v>
      </c>
      <c r="E8264" s="76" t="s">
        <v>32</v>
      </c>
      <c r="F8264" s="76">
        <v>4.8</v>
      </c>
    </row>
    <row r="8265" s="76" customFormat="1" spans="1:6">
      <c r="A8265">
        <v>8490</v>
      </c>
      <c r="B8265">
        <v>412021260</v>
      </c>
      <c r="C8265" s="76">
        <v>2021</v>
      </c>
      <c r="D8265" s="76" t="s">
        <v>34</v>
      </c>
      <c r="E8265" s="76">
        <v>1</v>
      </c>
      <c r="F8265" s="76">
        <v>0.34</v>
      </c>
    </row>
    <row r="8266" s="76" customFormat="1" spans="1:6">
      <c r="A8266">
        <v>8494</v>
      </c>
      <c r="B8266">
        <v>412021260</v>
      </c>
      <c r="C8266" s="76">
        <v>2021</v>
      </c>
      <c r="D8266" s="76" t="s">
        <v>34</v>
      </c>
      <c r="E8266" s="76">
        <v>5</v>
      </c>
      <c r="F8266" s="76">
        <v>1.41</v>
      </c>
    </row>
    <row r="8267" s="76" customFormat="1" spans="1:6">
      <c r="A8267">
        <v>8502</v>
      </c>
      <c r="B8267">
        <v>412021260</v>
      </c>
      <c r="C8267" s="76">
        <v>2021</v>
      </c>
      <c r="D8267" s="76" t="s">
        <v>34</v>
      </c>
      <c r="E8267" s="76">
        <v>17</v>
      </c>
      <c r="F8267" s="76">
        <v>5</v>
      </c>
    </row>
    <row r="8268" s="76" customFormat="1" spans="1:6">
      <c r="A8268">
        <v>8484</v>
      </c>
      <c r="B8268">
        <v>412021260</v>
      </c>
      <c r="C8268" s="76">
        <v>2021</v>
      </c>
      <c r="D8268" s="76" t="s">
        <v>34</v>
      </c>
      <c r="E8268" s="76">
        <v>60</v>
      </c>
      <c r="F8268" s="76">
        <v>20</v>
      </c>
    </row>
    <row r="8269" s="76" customFormat="1" spans="1:6">
      <c r="A8269">
        <v>8483</v>
      </c>
      <c r="B8269">
        <v>412021260</v>
      </c>
      <c r="C8269" s="76">
        <v>2021</v>
      </c>
      <c r="D8269" s="76" t="s">
        <v>34</v>
      </c>
      <c r="E8269" s="76">
        <v>21</v>
      </c>
      <c r="F8269" s="76">
        <v>7</v>
      </c>
    </row>
    <row r="8270" s="76" customFormat="1" spans="1:6">
      <c r="A8270">
        <v>8519</v>
      </c>
      <c r="B8270">
        <v>412021260</v>
      </c>
      <c r="C8270" s="76">
        <v>2021</v>
      </c>
      <c r="D8270" s="76" t="s">
        <v>34</v>
      </c>
      <c r="E8270" s="76">
        <v>12</v>
      </c>
      <c r="F8270" s="76">
        <v>3.5</v>
      </c>
    </row>
    <row r="8271" s="76" customFormat="1" spans="1:6">
      <c r="A8271">
        <v>8493</v>
      </c>
      <c r="B8271">
        <v>412021260</v>
      </c>
      <c r="C8271" s="76">
        <v>2021</v>
      </c>
      <c r="D8271" s="76" t="s">
        <v>34</v>
      </c>
      <c r="E8271" s="76">
        <v>6</v>
      </c>
      <c r="F8271" s="76">
        <v>1.92</v>
      </c>
    </row>
    <row r="8272" s="76" customFormat="1" spans="1:6">
      <c r="A8272">
        <v>8524</v>
      </c>
      <c r="B8272">
        <v>412021260</v>
      </c>
      <c r="C8272" s="76">
        <v>2021</v>
      </c>
      <c r="D8272" s="76" t="s">
        <v>34</v>
      </c>
      <c r="E8272" s="76">
        <v>11</v>
      </c>
      <c r="F8272" s="76">
        <v>2.2</v>
      </c>
    </row>
    <row r="8273" s="76" customFormat="1" spans="1:6">
      <c r="A8273">
        <v>8506</v>
      </c>
      <c r="B8273">
        <v>412021260</v>
      </c>
      <c r="C8273" s="76">
        <v>2021</v>
      </c>
      <c r="D8273" s="76" t="s">
        <v>34</v>
      </c>
      <c r="E8273" s="76">
        <v>16</v>
      </c>
      <c r="F8273" s="76">
        <v>4</v>
      </c>
    </row>
    <row r="8274" s="76" customFormat="1" spans="1:6">
      <c r="A8274">
        <v>8509</v>
      </c>
      <c r="B8274">
        <v>412021260</v>
      </c>
      <c r="C8274" s="76">
        <v>2021</v>
      </c>
      <c r="D8274" s="76" t="s">
        <v>34</v>
      </c>
      <c r="E8274" s="76">
        <v>6</v>
      </c>
      <c r="F8274" s="76">
        <v>1.5</v>
      </c>
    </row>
    <row r="8275" s="76" customFormat="1" spans="1:6">
      <c r="A8275">
        <v>8500</v>
      </c>
      <c r="B8275">
        <v>412021260</v>
      </c>
      <c r="C8275" s="76">
        <v>2021</v>
      </c>
      <c r="D8275" s="76" t="s">
        <v>34</v>
      </c>
      <c r="E8275" s="76">
        <v>1</v>
      </c>
      <c r="F8275" s="76">
        <v>0.32</v>
      </c>
    </row>
    <row r="8276" s="76" customFormat="1" spans="1:6">
      <c r="A8276">
        <v>8491</v>
      </c>
      <c r="B8276">
        <v>412021260</v>
      </c>
      <c r="C8276" s="76">
        <v>2021</v>
      </c>
      <c r="D8276" s="76" t="s">
        <v>34</v>
      </c>
      <c r="E8276" s="76">
        <v>1</v>
      </c>
      <c r="F8276" s="76">
        <v>0.34</v>
      </c>
    </row>
    <row r="8277" s="76" customFormat="1" spans="1:6">
      <c r="A8277">
        <v>8520</v>
      </c>
      <c r="B8277">
        <v>412021260</v>
      </c>
      <c r="C8277" s="76">
        <v>2021</v>
      </c>
      <c r="D8277" s="76" t="s">
        <v>34</v>
      </c>
      <c r="E8277" s="76">
        <v>6</v>
      </c>
      <c r="F8277" s="76">
        <v>1.8</v>
      </c>
    </row>
    <row r="8278" s="76" customFormat="1" spans="1:6">
      <c r="A8278">
        <v>8511</v>
      </c>
      <c r="B8278">
        <v>412021260</v>
      </c>
      <c r="C8278" s="76">
        <v>2021</v>
      </c>
      <c r="D8278" s="76" t="s">
        <v>34</v>
      </c>
      <c r="E8278" s="76">
        <v>4</v>
      </c>
      <c r="F8278" s="76">
        <v>1</v>
      </c>
    </row>
    <row r="8279" s="76" customFormat="1" spans="1:6">
      <c r="A8279">
        <v>8513</v>
      </c>
      <c r="B8279">
        <v>412021260</v>
      </c>
      <c r="C8279" s="76">
        <v>2021</v>
      </c>
      <c r="D8279" s="76" t="s">
        <v>34</v>
      </c>
      <c r="E8279" s="76">
        <v>16</v>
      </c>
      <c r="F8279" s="76">
        <v>4</v>
      </c>
    </row>
    <row r="8280" s="76" customFormat="1" spans="1:6">
      <c r="A8280">
        <v>8514</v>
      </c>
      <c r="B8280">
        <v>412021260</v>
      </c>
      <c r="C8280" s="76">
        <v>2021</v>
      </c>
      <c r="D8280" s="76" t="s">
        <v>34</v>
      </c>
      <c r="E8280" s="76">
        <v>1</v>
      </c>
      <c r="F8280" s="76">
        <v>0.33</v>
      </c>
    </row>
    <row r="8281" s="76" customFormat="1" spans="1:6">
      <c r="A8281">
        <v>8498</v>
      </c>
      <c r="B8281">
        <v>412021260</v>
      </c>
      <c r="C8281" s="76">
        <v>2021</v>
      </c>
      <c r="D8281" s="76" t="s">
        <v>34</v>
      </c>
      <c r="E8281" s="76">
        <v>5</v>
      </c>
      <c r="F8281" s="76">
        <v>1.5</v>
      </c>
    </row>
    <row r="8282" s="76" customFormat="1" spans="1:6">
      <c r="A8282">
        <v>8507</v>
      </c>
      <c r="B8282">
        <v>412021260</v>
      </c>
      <c r="C8282" s="76">
        <v>2021</v>
      </c>
      <c r="D8282" s="76" t="s">
        <v>34</v>
      </c>
      <c r="E8282" s="76">
        <v>14</v>
      </c>
      <c r="F8282" s="76">
        <v>4.8</v>
      </c>
    </row>
    <row r="8283" s="76" customFormat="1" spans="1:6">
      <c r="A8283">
        <v>8503</v>
      </c>
      <c r="B8283">
        <v>412021260</v>
      </c>
      <c r="C8283" s="76">
        <v>2021</v>
      </c>
      <c r="D8283" s="76" t="s">
        <v>34</v>
      </c>
      <c r="E8283" s="76">
        <v>7</v>
      </c>
      <c r="F8283" s="76">
        <v>2</v>
      </c>
    </row>
    <row r="8284" s="76" customFormat="1" spans="1:6">
      <c r="A8284">
        <v>8504</v>
      </c>
      <c r="B8284">
        <v>412021260</v>
      </c>
      <c r="C8284" s="76">
        <v>2021</v>
      </c>
      <c r="D8284" s="76" t="s">
        <v>34</v>
      </c>
      <c r="E8284" s="76">
        <v>18</v>
      </c>
      <c r="F8284" s="76">
        <v>4.8</v>
      </c>
    </row>
    <row r="8285" s="76" customFormat="1" spans="1:6">
      <c r="A8285">
        <v>8489</v>
      </c>
      <c r="B8285">
        <v>412021260</v>
      </c>
      <c r="C8285" s="76">
        <v>2021</v>
      </c>
      <c r="D8285" s="76" t="s">
        <v>34</v>
      </c>
      <c r="E8285" s="76">
        <v>11</v>
      </c>
      <c r="F8285" s="76">
        <v>2.79</v>
      </c>
    </row>
    <row r="8286" s="76" customFormat="1" spans="1:6">
      <c r="A8286">
        <v>8496</v>
      </c>
      <c r="B8286">
        <v>412021260</v>
      </c>
      <c r="C8286" s="76">
        <v>2021</v>
      </c>
      <c r="D8286" s="76" t="s">
        <v>34</v>
      </c>
      <c r="E8286" s="76">
        <v>13</v>
      </c>
      <c r="F8286" s="76">
        <v>3.45</v>
      </c>
    </row>
    <row r="8287" s="76" customFormat="1" spans="1:6">
      <c r="A8287">
        <v>8499</v>
      </c>
      <c r="B8287">
        <v>412021260</v>
      </c>
      <c r="C8287" s="76">
        <v>2021</v>
      </c>
      <c r="D8287" s="76" t="s">
        <v>34</v>
      </c>
      <c r="E8287" s="76">
        <v>5</v>
      </c>
      <c r="F8287" s="76">
        <v>1.33</v>
      </c>
    </row>
    <row r="8288" s="76" customFormat="1" spans="1:6">
      <c r="A8288">
        <v>8586</v>
      </c>
      <c r="B8288">
        <v>412021260</v>
      </c>
      <c r="C8288" s="76">
        <v>2021</v>
      </c>
      <c r="D8288" s="76" t="s">
        <v>34</v>
      </c>
      <c r="E8288" s="76" t="s">
        <v>32</v>
      </c>
      <c r="F8288" s="76">
        <v>2</v>
      </c>
    </row>
    <row r="8289" s="76" customFormat="1" spans="1:6">
      <c r="A8289">
        <v>8591</v>
      </c>
      <c r="B8289">
        <v>412021260</v>
      </c>
      <c r="C8289" s="76">
        <v>2021</v>
      </c>
      <c r="D8289" s="76" t="s">
        <v>34</v>
      </c>
      <c r="E8289" s="76" t="s">
        <v>32</v>
      </c>
      <c r="F8289" s="76">
        <v>4.98</v>
      </c>
    </row>
    <row r="8290" s="76" customFormat="1" spans="1:6">
      <c r="A8290">
        <v>8547</v>
      </c>
      <c r="B8290">
        <v>412021260</v>
      </c>
      <c r="C8290" s="76">
        <v>2021</v>
      </c>
      <c r="D8290" s="76" t="s">
        <v>34</v>
      </c>
      <c r="E8290" s="76" t="s">
        <v>32</v>
      </c>
      <c r="F8290" s="76">
        <v>3.4</v>
      </c>
    </row>
    <row r="8291" s="76" customFormat="1" spans="1:6">
      <c r="A8291">
        <v>8579</v>
      </c>
      <c r="B8291">
        <v>412021260</v>
      </c>
      <c r="C8291" s="76">
        <v>2021</v>
      </c>
      <c r="D8291" s="76" t="s">
        <v>34</v>
      </c>
      <c r="E8291" s="76" t="s">
        <v>32</v>
      </c>
      <c r="F8291" s="76">
        <v>1</v>
      </c>
    </row>
    <row r="8292" s="76" customFormat="1" spans="1:6">
      <c r="A8292">
        <v>8584</v>
      </c>
      <c r="B8292">
        <v>412021260</v>
      </c>
      <c r="C8292" s="76">
        <v>2021</v>
      </c>
      <c r="D8292" s="76" t="s">
        <v>34</v>
      </c>
      <c r="E8292" s="76" t="s">
        <v>32</v>
      </c>
      <c r="F8292" s="76">
        <v>1</v>
      </c>
    </row>
    <row r="8293" s="76" customFormat="1" spans="1:6">
      <c r="A8293">
        <v>8512</v>
      </c>
      <c r="B8293">
        <v>412021260</v>
      </c>
      <c r="C8293" s="76">
        <v>2021</v>
      </c>
      <c r="D8293" s="76" t="s">
        <v>34</v>
      </c>
      <c r="E8293" s="76">
        <v>7</v>
      </c>
      <c r="F8293" s="76">
        <v>2</v>
      </c>
    </row>
    <row r="8294" s="76" customFormat="1" spans="1:6">
      <c r="A8294">
        <v>8482</v>
      </c>
      <c r="B8294">
        <v>412021260</v>
      </c>
      <c r="C8294" s="76">
        <v>2021</v>
      </c>
      <c r="D8294" s="76" t="s">
        <v>34</v>
      </c>
      <c r="E8294" s="76">
        <v>20</v>
      </c>
      <c r="F8294" s="76">
        <v>5.2</v>
      </c>
    </row>
    <row r="8295" s="76" customFormat="1" spans="1:6">
      <c r="A8295">
        <v>8516</v>
      </c>
      <c r="B8295">
        <v>412021260</v>
      </c>
      <c r="C8295" s="76">
        <v>2021</v>
      </c>
      <c r="D8295" s="76" t="s">
        <v>34</v>
      </c>
      <c r="E8295" s="76">
        <v>5</v>
      </c>
      <c r="F8295" s="76">
        <v>1.4</v>
      </c>
    </row>
    <row r="8296" s="76" customFormat="1" spans="1:6">
      <c r="A8296">
        <v>8549</v>
      </c>
      <c r="B8296">
        <v>412021260</v>
      </c>
      <c r="C8296" s="76">
        <v>2021</v>
      </c>
      <c r="D8296" s="76" t="s">
        <v>34</v>
      </c>
      <c r="E8296" s="76" t="s">
        <v>32</v>
      </c>
      <c r="F8296" s="76">
        <v>1.9</v>
      </c>
    </row>
    <row r="8297" s="76" customFormat="1" spans="1:6">
      <c r="A8297">
        <v>8525</v>
      </c>
      <c r="B8297">
        <v>412021260</v>
      </c>
      <c r="C8297" s="76">
        <v>2021</v>
      </c>
      <c r="D8297" s="76" t="s">
        <v>34</v>
      </c>
      <c r="E8297" s="76">
        <v>20</v>
      </c>
      <c r="F8297" s="76">
        <v>5</v>
      </c>
    </row>
    <row r="8298" s="76" customFormat="1" spans="1:6">
      <c r="A8298">
        <v>8532</v>
      </c>
      <c r="B8298">
        <v>412021260</v>
      </c>
      <c r="C8298" s="76">
        <v>2021</v>
      </c>
      <c r="D8298" s="76" t="s">
        <v>34</v>
      </c>
      <c r="E8298" s="76" t="s">
        <v>32</v>
      </c>
      <c r="F8298" s="76">
        <v>4.29</v>
      </c>
    </row>
    <row r="8299" s="76" customFormat="1" spans="1:6">
      <c r="A8299">
        <v>8587</v>
      </c>
      <c r="B8299">
        <v>412021260</v>
      </c>
      <c r="C8299" s="76">
        <v>2021</v>
      </c>
      <c r="D8299" s="76" t="s">
        <v>34</v>
      </c>
      <c r="E8299" s="76" t="s">
        <v>32</v>
      </c>
      <c r="F8299" s="76">
        <v>1</v>
      </c>
    </row>
    <row r="8300" s="76" customFormat="1" spans="1:6">
      <c r="A8300">
        <v>8540</v>
      </c>
      <c r="B8300">
        <v>412021260</v>
      </c>
      <c r="C8300" s="76">
        <v>2021</v>
      </c>
      <c r="D8300" s="76" t="s">
        <v>34</v>
      </c>
      <c r="E8300" s="76" t="s">
        <v>32</v>
      </c>
      <c r="F8300" s="76">
        <v>4.2</v>
      </c>
    </row>
    <row r="8301" s="76" customFormat="1" spans="1:6">
      <c r="A8301">
        <v>8544</v>
      </c>
      <c r="B8301">
        <v>412021260</v>
      </c>
      <c r="C8301" s="76">
        <v>2021</v>
      </c>
      <c r="D8301" s="76" t="s">
        <v>34</v>
      </c>
      <c r="E8301" s="76" t="s">
        <v>32</v>
      </c>
      <c r="F8301" s="76">
        <v>3.92</v>
      </c>
    </row>
    <row r="8302" s="76" customFormat="1" spans="1:6">
      <c r="A8302">
        <v>8559</v>
      </c>
      <c r="B8302">
        <v>412021260</v>
      </c>
      <c r="C8302" s="76">
        <v>2021</v>
      </c>
      <c r="D8302" s="76" t="s">
        <v>34</v>
      </c>
      <c r="E8302" s="76" t="s">
        <v>32</v>
      </c>
      <c r="F8302" s="76">
        <v>2</v>
      </c>
    </row>
    <row r="8303" s="76" customFormat="1" spans="1:6">
      <c r="A8303">
        <v>8518</v>
      </c>
      <c r="B8303">
        <v>412021260</v>
      </c>
      <c r="C8303" s="76">
        <v>2021</v>
      </c>
      <c r="D8303" s="76" t="s">
        <v>34</v>
      </c>
      <c r="E8303" s="76">
        <v>22</v>
      </c>
      <c r="F8303" s="76">
        <v>4.5</v>
      </c>
    </row>
    <row r="8304" s="76" customFormat="1" spans="1:6">
      <c r="A8304">
        <v>8573</v>
      </c>
      <c r="B8304">
        <v>412021260</v>
      </c>
      <c r="C8304" s="76">
        <v>2021</v>
      </c>
      <c r="D8304" s="76" t="s">
        <v>34</v>
      </c>
      <c r="E8304" s="76" t="s">
        <v>32</v>
      </c>
      <c r="F8304" s="76">
        <v>1.5</v>
      </c>
    </row>
    <row r="8305" s="76" customFormat="1" spans="1:6">
      <c r="A8305">
        <v>8487</v>
      </c>
      <c r="B8305">
        <v>412021260</v>
      </c>
      <c r="C8305" s="76">
        <v>2021</v>
      </c>
      <c r="D8305" s="76" t="s">
        <v>34</v>
      </c>
      <c r="E8305" s="76">
        <v>7</v>
      </c>
      <c r="F8305" s="76">
        <v>1.86</v>
      </c>
    </row>
    <row r="8306" s="76" customFormat="1" spans="1:6">
      <c r="A8306">
        <v>8572</v>
      </c>
      <c r="B8306">
        <v>412021260</v>
      </c>
      <c r="C8306" s="76">
        <v>2021</v>
      </c>
      <c r="D8306" s="76" t="s">
        <v>34</v>
      </c>
      <c r="E8306" s="76" t="s">
        <v>32</v>
      </c>
      <c r="F8306" s="76">
        <v>4.8</v>
      </c>
    </row>
    <row r="8307" s="76" customFormat="1" spans="1:6">
      <c r="A8307">
        <v>8510</v>
      </c>
      <c r="B8307">
        <v>412021260</v>
      </c>
      <c r="C8307" s="76">
        <v>2021</v>
      </c>
      <c r="D8307" s="76" t="s">
        <v>34</v>
      </c>
      <c r="E8307" s="76">
        <v>8</v>
      </c>
      <c r="F8307" s="76">
        <v>3</v>
      </c>
    </row>
    <row r="8308" s="76" customFormat="1" spans="1:6">
      <c r="A8308">
        <v>8538</v>
      </c>
      <c r="B8308">
        <v>412021260</v>
      </c>
      <c r="C8308" s="76">
        <v>2021</v>
      </c>
      <c r="D8308" s="76" t="s">
        <v>34</v>
      </c>
      <c r="E8308" s="76" t="s">
        <v>32</v>
      </c>
      <c r="F8308" s="76">
        <v>4</v>
      </c>
    </row>
    <row r="8309" s="76" customFormat="1" spans="1:6">
      <c r="A8309">
        <v>8485</v>
      </c>
      <c r="B8309">
        <v>412021260</v>
      </c>
      <c r="C8309" s="76">
        <v>2021</v>
      </c>
      <c r="D8309" s="76" t="s">
        <v>34</v>
      </c>
      <c r="E8309" s="76">
        <v>19</v>
      </c>
      <c r="F8309" s="76">
        <v>5</v>
      </c>
    </row>
    <row r="8310" s="76" customFormat="1" spans="1:6">
      <c r="A8310">
        <v>8570</v>
      </c>
      <c r="B8310">
        <v>412021260</v>
      </c>
      <c r="C8310" s="76">
        <v>2021</v>
      </c>
      <c r="D8310" s="76" t="s">
        <v>34</v>
      </c>
      <c r="E8310" s="76" t="s">
        <v>32</v>
      </c>
      <c r="F8310" s="76">
        <v>1.32</v>
      </c>
    </row>
    <row r="8311" s="76" customFormat="1" spans="1:6">
      <c r="A8311">
        <v>8560</v>
      </c>
      <c r="B8311">
        <v>412021260</v>
      </c>
      <c r="C8311" s="76">
        <v>2021</v>
      </c>
      <c r="D8311" s="76" t="s">
        <v>34</v>
      </c>
      <c r="E8311" s="76" t="s">
        <v>32</v>
      </c>
      <c r="F8311" s="76">
        <v>2</v>
      </c>
    </row>
    <row r="8312" s="76" customFormat="1" spans="1:6">
      <c r="A8312">
        <v>8501</v>
      </c>
      <c r="B8312">
        <v>412021260</v>
      </c>
      <c r="C8312" s="76">
        <v>2021</v>
      </c>
      <c r="D8312" s="76" t="s">
        <v>34</v>
      </c>
      <c r="E8312" s="76">
        <v>9</v>
      </c>
      <c r="F8312" s="76">
        <v>3</v>
      </c>
    </row>
    <row r="8313" s="76" customFormat="1" spans="1:6">
      <c r="A8313">
        <v>8554</v>
      </c>
      <c r="B8313">
        <v>412021260</v>
      </c>
      <c r="C8313" s="76">
        <v>2021</v>
      </c>
      <c r="D8313" s="76" t="s">
        <v>34</v>
      </c>
      <c r="E8313" s="76" t="s">
        <v>32</v>
      </c>
      <c r="F8313" s="76">
        <v>3.2</v>
      </c>
    </row>
    <row r="8314" s="76" customFormat="1" spans="1:6">
      <c r="A8314">
        <v>8508</v>
      </c>
      <c r="B8314">
        <v>412021260</v>
      </c>
      <c r="C8314" s="76">
        <v>2021</v>
      </c>
      <c r="D8314" s="76" t="s">
        <v>34</v>
      </c>
      <c r="E8314" s="76">
        <v>4</v>
      </c>
      <c r="F8314" s="76">
        <v>2</v>
      </c>
    </row>
    <row r="8315" s="76" customFormat="1" spans="1:6">
      <c r="A8315">
        <v>8575</v>
      </c>
      <c r="B8315">
        <v>412021260</v>
      </c>
      <c r="C8315" s="76">
        <v>2021</v>
      </c>
      <c r="D8315" s="76" t="s">
        <v>34</v>
      </c>
      <c r="E8315" s="76" t="s">
        <v>32</v>
      </c>
      <c r="F8315" s="76">
        <v>1</v>
      </c>
    </row>
    <row r="8316" s="76" customFormat="1" spans="1:6">
      <c r="A8316">
        <v>8580</v>
      </c>
      <c r="B8316">
        <v>412021260</v>
      </c>
      <c r="C8316" s="76">
        <v>2021</v>
      </c>
      <c r="D8316" s="76" t="s">
        <v>34</v>
      </c>
      <c r="E8316" s="76" t="s">
        <v>32</v>
      </c>
      <c r="F8316" s="76">
        <v>2.4</v>
      </c>
    </row>
    <row r="8317" s="76" customFormat="1" spans="1:6">
      <c r="A8317">
        <v>8548</v>
      </c>
      <c r="B8317">
        <v>412021260</v>
      </c>
      <c r="C8317" s="76">
        <v>2021</v>
      </c>
      <c r="D8317" s="76" t="s">
        <v>34</v>
      </c>
      <c r="E8317" s="76" t="s">
        <v>32</v>
      </c>
      <c r="F8317" s="76">
        <v>2.9</v>
      </c>
    </row>
    <row r="8318" s="76" customFormat="1" spans="1:6">
      <c r="A8318">
        <v>8535</v>
      </c>
      <c r="B8318">
        <v>412021260</v>
      </c>
      <c r="C8318" s="76">
        <v>2021</v>
      </c>
      <c r="D8318" s="76" t="s">
        <v>34</v>
      </c>
      <c r="E8318" s="76" t="s">
        <v>32</v>
      </c>
      <c r="F8318" s="76">
        <v>3.5</v>
      </c>
    </row>
    <row r="8319" s="76" customFormat="1" spans="1:6">
      <c r="A8319">
        <v>8488</v>
      </c>
      <c r="B8319">
        <v>412021260</v>
      </c>
      <c r="C8319" s="76">
        <v>2021</v>
      </c>
      <c r="D8319" s="76" t="s">
        <v>34</v>
      </c>
      <c r="E8319" s="76">
        <v>14</v>
      </c>
      <c r="F8319" s="76">
        <v>4.74</v>
      </c>
    </row>
    <row r="8320" s="76" customFormat="1" spans="1:6">
      <c r="A8320">
        <v>8555</v>
      </c>
      <c r="B8320">
        <v>412021260</v>
      </c>
      <c r="C8320" s="76">
        <v>2021</v>
      </c>
      <c r="D8320" s="76" t="s">
        <v>34</v>
      </c>
      <c r="E8320" s="76" t="s">
        <v>32</v>
      </c>
      <c r="F8320" s="76">
        <v>1.8</v>
      </c>
    </row>
    <row r="8321" s="76" customFormat="1" spans="1:6">
      <c r="A8321">
        <v>8577</v>
      </c>
      <c r="B8321">
        <v>412021260</v>
      </c>
      <c r="C8321" s="76">
        <v>2021</v>
      </c>
      <c r="D8321" s="76" t="s">
        <v>34</v>
      </c>
      <c r="E8321" s="76" t="s">
        <v>32</v>
      </c>
      <c r="F8321" s="76">
        <v>2.97</v>
      </c>
    </row>
    <row r="8322" s="76" customFormat="1" spans="1:6">
      <c r="A8322">
        <v>8537</v>
      </c>
      <c r="B8322">
        <v>412021260</v>
      </c>
      <c r="C8322" s="76">
        <v>2021</v>
      </c>
      <c r="D8322" s="76" t="s">
        <v>34</v>
      </c>
      <c r="E8322" s="76" t="s">
        <v>32</v>
      </c>
      <c r="F8322" s="76">
        <v>5</v>
      </c>
    </row>
    <row r="8323" s="76" customFormat="1" spans="1:6">
      <c r="A8323">
        <v>8523</v>
      </c>
      <c r="B8323">
        <v>412021260</v>
      </c>
      <c r="C8323" s="76">
        <v>2021</v>
      </c>
      <c r="D8323" s="76" t="s">
        <v>34</v>
      </c>
      <c r="E8323" s="76">
        <v>3</v>
      </c>
      <c r="F8323" s="76">
        <v>0.9</v>
      </c>
    </row>
    <row r="8324" s="76" customFormat="1" spans="1:6">
      <c r="A8324">
        <v>8479</v>
      </c>
      <c r="B8324">
        <v>412021260</v>
      </c>
      <c r="C8324" s="76">
        <v>2021</v>
      </c>
      <c r="D8324" s="76" t="s">
        <v>34</v>
      </c>
      <c r="E8324" s="76">
        <v>10</v>
      </c>
      <c r="F8324" s="76">
        <v>2.99</v>
      </c>
    </row>
    <row r="8325" s="76" customFormat="1" spans="1:6">
      <c r="A8325">
        <v>8583</v>
      </c>
      <c r="B8325">
        <v>412021260</v>
      </c>
      <c r="C8325" s="76">
        <v>2021</v>
      </c>
      <c r="D8325" s="76" t="s">
        <v>34</v>
      </c>
      <c r="E8325" s="76" t="s">
        <v>32</v>
      </c>
      <c r="F8325" s="76">
        <v>2.4</v>
      </c>
    </row>
    <row r="8326" s="76" customFormat="1" spans="1:6">
      <c r="A8326">
        <v>8588</v>
      </c>
      <c r="B8326">
        <v>412021260</v>
      </c>
      <c r="C8326" s="76">
        <v>2021</v>
      </c>
      <c r="D8326" s="76" t="s">
        <v>34</v>
      </c>
      <c r="E8326" s="76" t="s">
        <v>32</v>
      </c>
      <c r="F8326" s="76">
        <v>2</v>
      </c>
    </row>
    <row r="8327" s="76" customFormat="1" spans="1:6">
      <c r="A8327">
        <v>8530</v>
      </c>
      <c r="B8327">
        <v>412021260</v>
      </c>
      <c r="C8327" s="76">
        <v>2021</v>
      </c>
      <c r="D8327" s="76" t="s">
        <v>34</v>
      </c>
      <c r="E8327" s="76" t="s">
        <v>32</v>
      </c>
      <c r="F8327" s="76">
        <v>3.19</v>
      </c>
    </row>
    <row r="8328" s="76" customFormat="1" spans="1:6">
      <c r="A8328">
        <v>8546</v>
      </c>
      <c r="B8328">
        <v>412021260</v>
      </c>
      <c r="C8328" s="76">
        <v>2021</v>
      </c>
      <c r="D8328" s="76" t="s">
        <v>34</v>
      </c>
      <c r="E8328" s="76" t="s">
        <v>32</v>
      </c>
      <c r="F8328" s="76">
        <v>3.1</v>
      </c>
    </row>
    <row r="8329" s="76" customFormat="1" spans="1:6">
      <c r="A8329">
        <v>8545</v>
      </c>
      <c r="B8329">
        <v>412021260</v>
      </c>
      <c r="C8329" s="76">
        <v>2021</v>
      </c>
      <c r="D8329" s="76" t="s">
        <v>34</v>
      </c>
      <c r="E8329" s="76" t="s">
        <v>32</v>
      </c>
      <c r="F8329" s="76">
        <v>3.5</v>
      </c>
    </row>
    <row r="8330" s="76" customFormat="1" spans="1:6">
      <c r="A8330">
        <v>8536</v>
      </c>
      <c r="B8330">
        <v>412021260</v>
      </c>
      <c r="C8330" s="76">
        <v>2021</v>
      </c>
      <c r="D8330" s="76" t="s">
        <v>34</v>
      </c>
      <c r="E8330" s="76" t="s">
        <v>32</v>
      </c>
      <c r="F8330" s="76">
        <v>5</v>
      </c>
    </row>
    <row r="8331" s="76" customFormat="1" spans="1:6">
      <c r="A8331">
        <v>8515</v>
      </c>
      <c r="B8331">
        <v>412021260</v>
      </c>
      <c r="C8331" s="76">
        <v>2021</v>
      </c>
      <c r="D8331" s="76" t="s">
        <v>34</v>
      </c>
      <c r="E8331" s="76">
        <v>1</v>
      </c>
      <c r="F8331" s="76">
        <v>0.4</v>
      </c>
    </row>
    <row r="8332" s="76" customFormat="1" spans="1:6">
      <c r="A8332">
        <v>8534</v>
      </c>
      <c r="B8332">
        <v>412021260</v>
      </c>
      <c r="C8332" s="76">
        <v>2021</v>
      </c>
      <c r="D8332" s="76" t="s">
        <v>34</v>
      </c>
      <c r="E8332" s="76" t="s">
        <v>32</v>
      </c>
      <c r="F8332" s="76">
        <v>5</v>
      </c>
    </row>
    <row r="8333" s="76" customFormat="1" spans="1:6">
      <c r="A8333">
        <v>8529</v>
      </c>
      <c r="B8333">
        <v>412021260</v>
      </c>
      <c r="C8333" s="76">
        <v>2021</v>
      </c>
      <c r="D8333" s="76" t="s">
        <v>34</v>
      </c>
      <c r="E8333" s="76" t="s">
        <v>32</v>
      </c>
      <c r="F8333" s="76">
        <v>4.95</v>
      </c>
    </row>
    <row r="8334" s="76" customFormat="1" spans="1:6">
      <c r="A8334">
        <v>8590</v>
      </c>
      <c r="B8334">
        <v>412021260</v>
      </c>
      <c r="C8334" s="76">
        <v>2021</v>
      </c>
      <c r="D8334" s="76" t="s">
        <v>34</v>
      </c>
      <c r="E8334" s="76" t="s">
        <v>32</v>
      </c>
      <c r="F8334" s="76">
        <v>10</v>
      </c>
    </row>
    <row r="8335" s="76" customFormat="1" spans="1:6">
      <c r="A8335">
        <v>8551</v>
      </c>
      <c r="B8335">
        <v>412021260</v>
      </c>
      <c r="C8335" s="76">
        <v>2021</v>
      </c>
      <c r="D8335" s="76" t="s">
        <v>34</v>
      </c>
      <c r="E8335" s="76" t="s">
        <v>32</v>
      </c>
      <c r="F8335" s="76">
        <v>1.5</v>
      </c>
    </row>
    <row r="8336" s="76" customFormat="1" spans="1:6">
      <c r="A8336">
        <v>8526</v>
      </c>
      <c r="B8336">
        <v>412021260</v>
      </c>
      <c r="C8336" s="76">
        <v>2021</v>
      </c>
      <c r="D8336" s="76" t="s">
        <v>34</v>
      </c>
      <c r="E8336" s="76">
        <v>19</v>
      </c>
      <c r="F8336" s="76">
        <v>5.04</v>
      </c>
    </row>
    <row r="8337" s="76" customFormat="1" spans="1:6">
      <c r="A8337">
        <v>8505</v>
      </c>
      <c r="B8337">
        <v>412021260</v>
      </c>
      <c r="C8337" s="76">
        <v>2021</v>
      </c>
      <c r="D8337" s="76" t="s">
        <v>34</v>
      </c>
      <c r="E8337" s="76">
        <v>11</v>
      </c>
      <c r="F8337" s="76">
        <v>4</v>
      </c>
    </row>
    <row r="8338" s="76" customFormat="1" spans="1:6">
      <c r="A8338">
        <v>8553</v>
      </c>
      <c r="B8338">
        <v>412021260</v>
      </c>
      <c r="C8338" s="76">
        <v>2021</v>
      </c>
      <c r="D8338" s="76" t="s">
        <v>34</v>
      </c>
      <c r="E8338" s="76" t="s">
        <v>32</v>
      </c>
      <c r="F8338" s="76">
        <v>1.8</v>
      </c>
    </row>
    <row r="8339" s="76" customFormat="1" spans="1:6">
      <c r="A8339">
        <v>8552</v>
      </c>
      <c r="B8339">
        <v>412021260</v>
      </c>
      <c r="C8339" s="76">
        <v>2021</v>
      </c>
      <c r="D8339" s="76" t="s">
        <v>34</v>
      </c>
      <c r="E8339" s="76" t="s">
        <v>32</v>
      </c>
      <c r="F8339" s="76">
        <v>2.7</v>
      </c>
    </row>
    <row r="8340" s="76" customFormat="1" spans="1:6">
      <c r="A8340">
        <v>8565</v>
      </c>
      <c r="B8340">
        <v>412021260</v>
      </c>
      <c r="C8340" s="76">
        <v>2021</v>
      </c>
      <c r="D8340" s="76" t="s">
        <v>34</v>
      </c>
      <c r="E8340" s="76" t="s">
        <v>32</v>
      </c>
      <c r="F8340" s="76">
        <v>2</v>
      </c>
    </row>
    <row r="8341" s="76" customFormat="1" spans="1:6">
      <c r="A8341">
        <v>8562</v>
      </c>
      <c r="B8341">
        <v>412021260</v>
      </c>
      <c r="C8341" s="76">
        <v>2021</v>
      </c>
      <c r="D8341" s="76" t="s">
        <v>34</v>
      </c>
      <c r="E8341" s="76" t="s">
        <v>32</v>
      </c>
      <c r="F8341" s="76">
        <v>0.9</v>
      </c>
    </row>
    <row r="8342" s="76" customFormat="1" spans="1:6">
      <c r="A8342">
        <v>8557</v>
      </c>
      <c r="B8342">
        <v>412021260</v>
      </c>
      <c r="C8342" s="76">
        <v>2021</v>
      </c>
      <c r="D8342" s="76" t="s">
        <v>34</v>
      </c>
      <c r="E8342" s="76" t="s">
        <v>32</v>
      </c>
      <c r="F8342" s="76">
        <v>2.7</v>
      </c>
    </row>
    <row r="8343" s="76" customFormat="1" spans="1:6">
      <c r="A8343">
        <v>8561</v>
      </c>
      <c r="B8343">
        <v>412021260</v>
      </c>
      <c r="C8343" s="76">
        <v>2021</v>
      </c>
      <c r="D8343" s="76" t="s">
        <v>34</v>
      </c>
      <c r="E8343" s="76" t="s">
        <v>32</v>
      </c>
      <c r="F8343" s="76">
        <v>3</v>
      </c>
    </row>
    <row r="8344" s="76" customFormat="1" spans="1:6">
      <c r="A8344">
        <v>8527</v>
      </c>
      <c r="B8344">
        <v>412021260</v>
      </c>
      <c r="C8344" s="76">
        <v>2021</v>
      </c>
      <c r="D8344" s="76" t="s">
        <v>34</v>
      </c>
      <c r="E8344" s="76" t="s">
        <v>32</v>
      </c>
      <c r="F8344" s="76">
        <v>4.6</v>
      </c>
    </row>
    <row r="8345" s="76" customFormat="1" spans="1:6">
      <c r="A8345">
        <v>8563</v>
      </c>
      <c r="B8345">
        <v>412021260</v>
      </c>
      <c r="C8345" s="76">
        <v>2021</v>
      </c>
      <c r="D8345" s="76" t="s">
        <v>34</v>
      </c>
      <c r="E8345" s="76" t="s">
        <v>32</v>
      </c>
      <c r="F8345" s="76">
        <v>2</v>
      </c>
    </row>
    <row r="8346" s="76" customFormat="1" spans="1:6">
      <c r="A8346">
        <v>8564</v>
      </c>
      <c r="B8346">
        <v>412021260</v>
      </c>
      <c r="C8346" s="76">
        <v>2021</v>
      </c>
      <c r="D8346" s="76" t="s">
        <v>34</v>
      </c>
      <c r="E8346" s="76" t="s">
        <v>32</v>
      </c>
      <c r="F8346" s="76">
        <v>2</v>
      </c>
    </row>
    <row r="8347" s="76" customFormat="1" spans="1:6">
      <c r="A8347">
        <v>8566</v>
      </c>
      <c r="B8347">
        <v>412021260</v>
      </c>
      <c r="C8347" s="76">
        <v>2021</v>
      </c>
      <c r="D8347" s="76" t="s">
        <v>34</v>
      </c>
      <c r="E8347" s="76" t="s">
        <v>32</v>
      </c>
      <c r="F8347" s="76">
        <v>2.5</v>
      </c>
    </row>
    <row r="8348" s="76" customFormat="1" spans="1:6">
      <c r="A8348">
        <v>8578</v>
      </c>
      <c r="B8348">
        <v>412021260</v>
      </c>
      <c r="C8348" s="76">
        <v>2021</v>
      </c>
      <c r="D8348" s="76" t="s">
        <v>34</v>
      </c>
      <c r="E8348" s="76" t="s">
        <v>32</v>
      </c>
      <c r="F8348" s="76">
        <v>2.4</v>
      </c>
    </row>
    <row r="8349" s="76" customFormat="1" spans="1:6">
      <c r="A8349">
        <v>8497</v>
      </c>
      <c r="B8349">
        <v>412021260</v>
      </c>
      <c r="C8349" s="76">
        <v>2021</v>
      </c>
      <c r="D8349" s="76" t="s">
        <v>34</v>
      </c>
      <c r="E8349" s="76">
        <v>4</v>
      </c>
      <c r="F8349" s="76">
        <v>2.2</v>
      </c>
    </row>
    <row r="8350" s="76" customFormat="1" spans="1:6">
      <c r="A8350">
        <v>8558</v>
      </c>
      <c r="B8350">
        <v>412021260</v>
      </c>
      <c r="C8350" s="76">
        <v>2021</v>
      </c>
      <c r="D8350" s="76" t="s">
        <v>34</v>
      </c>
      <c r="E8350" s="76" t="s">
        <v>32</v>
      </c>
      <c r="F8350" s="76">
        <v>2</v>
      </c>
    </row>
    <row r="8351" s="76" customFormat="1" spans="1:6">
      <c r="A8351">
        <v>8495</v>
      </c>
      <c r="B8351">
        <v>412021260</v>
      </c>
      <c r="C8351" s="76">
        <v>2021</v>
      </c>
      <c r="D8351" s="76" t="s">
        <v>34</v>
      </c>
      <c r="E8351" s="76">
        <v>9</v>
      </c>
      <c r="F8351" s="76">
        <v>2.7</v>
      </c>
    </row>
    <row r="8352" s="76" customFormat="1" spans="1:6">
      <c r="A8352">
        <v>8585</v>
      </c>
      <c r="B8352">
        <v>412021260</v>
      </c>
      <c r="C8352" s="76">
        <v>2021</v>
      </c>
      <c r="D8352" s="76" t="s">
        <v>34</v>
      </c>
      <c r="E8352" s="76" t="s">
        <v>32</v>
      </c>
      <c r="F8352" s="76">
        <v>2.28</v>
      </c>
    </row>
    <row r="8353" s="76" customFormat="1" spans="1:6">
      <c r="A8353">
        <v>8582</v>
      </c>
      <c r="B8353">
        <v>412021260</v>
      </c>
      <c r="C8353" s="76">
        <v>2021</v>
      </c>
      <c r="D8353" s="76" t="s">
        <v>34</v>
      </c>
      <c r="E8353" s="76" t="s">
        <v>32</v>
      </c>
      <c r="F8353" s="76">
        <v>2.5</v>
      </c>
    </row>
    <row r="8354" s="76" customFormat="1" spans="1:6">
      <c r="A8354">
        <v>8528</v>
      </c>
      <c r="B8354">
        <v>412021260</v>
      </c>
      <c r="C8354" s="76">
        <v>2021</v>
      </c>
      <c r="D8354" s="76" t="s">
        <v>34</v>
      </c>
      <c r="E8354" s="76" t="s">
        <v>32</v>
      </c>
      <c r="F8354" s="76">
        <v>4</v>
      </c>
    </row>
    <row r="8355" s="76" customFormat="1" spans="1:6">
      <c r="A8355">
        <v>8576</v>
      </c>
      <c r="B8355">
        <v>412021260</v>
      </c>
      <c r="C8355" s="76">
        <v>2021</v>
      </c>
      <c r="D8355" s="76" t="s">
        <v>34</v>
      </c>
      <c r="E8355" s="76" t="s">
        <v>32</v>
      </c>
      <c r="F8355" s="76">
        <v>2.98</v>
      </c>
    </row>
    <row r="8356" s="76" customFormat="1" spans="1:6">
      <c r="A8356">
        <v>8539</v>
      </c>
      <c r="B8356">
        <v>412021260</v>
      </c>
      <c r="C8356" s="76">
        <v>2021</v>
      </c>
      <c r="D8356" s="76" t="s">
        <v>34</v>
      </c>
      <c r="E8356" s="76" t="s">
        <v>32</v>
      </c>
      <c r="F8356" s="76">
        <v>5</v>
      </c>
    </row>
    <row r="8357" s="76" customFormat="1" spans="1:6">
      <c r="A8357">
        <v>8597</v>
      </c>
      <c r="B8357">
        <v>412021270</v>
      </c>
      <c r="C8357" s="76">
        <v>2021</v>
      </c>
      <c r="D8357" s="76" t="s">
        <v>31</v>
      </c>
      <c r="E8357" s="76" t="s">
        <v>32</v>
      </c>
      <c r="F8357" s="76">
        <v>4</v>
      </c>
    </row>
    <row r="8358" s="76" customFormat="1" spans="1:6">
      <c r="A8358">
        <v>8594</v>
      </c>
      <c r="B8358">
        <v>412021270</v>
      </c>
      <c r="C8358" s="76">
        <v>2021</v>
      </c>
      <c r="D8358" s="76" t="s">
        <v>31</v>
      </c>
      <c r="E8358" s="76" t="s">
        <v>32</v>
      </c>
      <c r="F8358" s="76">
        <v>2</v>
      </c>
    </row>
    <row r="8359" s="76" customFormat="1" spans="1:6">
      <c r="A8359">
        <v>8593</v>
      </c>
      <c r="B8359">
        <v>412021270</v>
      </c>
      <c r="C8359" s="76">
        <v>2021</v>
      </c>
      <c r="D8359" s="76" t="s">
        <v>31</v>
      </c>
      <c r="E8359" s="76" t="s">
        <v>32</v>
      </c>
      <c r="F8359" s="76">
        <v>0.12</v>
      </c>
    </row>
    <row r="8360" s="76" customFormat="1" spans="1:6">
      <c r="A8360">
        <v>8596</v>
      </c>
      <c r="B8360">
        <v>412021270</v>
      </c>
      <c r="C8360" s="76">
        <v>2021</v>
      </c>
      <c r="D8360" s="76" t="s">
        <v>31</v>
      </c>
      <c r="E8360" s="76" t="s">
        <v>32</v>
      </c>
      <c r="F8360" s="76">
        <v>2.5</v>
      </c>
    </row>
    <row r="8361" s="76" customFormat="1" spans="1:6">
      <c r="A8361">
        <v>8595</v>
      </c>
      <c r="B8361">
        <v>412021270</v>
      </c>
      <c r="C8361" s="76">
        <v>2021</v>
      </c>
      <c r="D8361" s="76" t="s">
        <v>31</v>
      </c>
      <c r="E8361" s="76" t="s">
        <v>32</v>
      </c>
      <c r="F8361" s="76">
        <v>14</v>
      </c>
    </row>
    <row r="8362" s="76" customFormat="1" spans="1:6">
      <c r="A8362">
        <v>8605</v>
      </c>
      <c r="B8362">
        <v>422012110</v>
      </c>
      <c r="C8362">
        <v>2012</v>
      </c>
      <c r="D8362" t="s">
        <v>40</v>
      </c>
      <c r="E8362">
        <v>1</v>
      </c>
      <c r="F8362">
        <v>0.8</v>
      </c>
    </row>
    <row r="8363" s="76" customFormat="1" spans="1:6">
      <c r="A8363">
        <v>8601</v>
      </c>
      <c r="B8363">
        <v>422012110</v>
      </c>
      <c r="C8363">
        <v>2012</v>
      </c>
      <c r="D8363" t="s">
        <v>40</v>
      </c>
      <c r="E8363">
        <v>1</v>
      </c>
      <c r="F8363">
        <v>0.8</v>
      </c>
    </row>
    <row r="8364" s="76" customFormat="1" spans="1:6">
      <c r="A8364">
        <v>8602</v>
      </c>
      <c r="B8364">
        <v>422012110</v>
      </c>
      <c r="C8364">
        <v>2012</v>
      </c>
      <c r="D8364" t="s">
        <v>40</v>
      </c>
      <c r="E8364">
        <v>2</v>
      </c>
      <c r="F8364">
        <v>1</v>
      </c>
    </row>
    <row r="8365" s="76" customFormat="1" spans="1:6">
      <c r="A8365">
        <v>8600</v>
      </c>
      <c r="B8365">
        <v>422012110</v>
      </c>
      <c r="C8365">
        <v>2012</v>
      </c>
      <c r="D8365" t="s">
        <v>40</v>
      </c>
      <c r="E8365">
        <v>1</v>
      </c>
      <c r="F8365">
        <v>0.89</v>
      </c>
    </row>
    <row r="8366" s="76" customFormat="1" spans="1:6">
      <c r="A8366">
        <v>8598</v>
      </c>
      <c r="B8366">
        <v>422012110</v>
      </c>
      <c r="C8366">
        <v>2012</v>
      </c>
      <c r="D8366" t="s">
        <v>40</v>
      </c>
      <c r="E8366">
        <v>2</v>
      </c>
      <c r="F8366">
        <v>50</v>
      </c>
    </row>
    <row r="8367" s="76" customFormat="1" spans="1:6">
      <c r="A8367">
        <v>8603</v>
      </c>
      <c r="B8367">
        <v>422012110</v>
      </c>
      <c r="C8367">
        <v>2012</v>
      </c>
      <c r="D8367" t="s">
        <v>40</v>
      </c>
      <c r="E8367">
        <v>2</v>
      </c>
      <c r="F8367">
        <v>140</v>
      </c>
    </row>
    <row r="8368" s="76" customFormat="1" spans="1:6">
      <c r="A8368">
        <v>8604</v>
      </c>
      <c r="B8368">
        <v>422012110</v>
      </c>
      <c r="C8368">
        <v>2012</v>
      </c>
      <c r="D8368" t="s">
        <v>40</v>
      </c>
      <c r="E8368">
        <v>1</v>
      </c>
      <c r="F8368">
        <v>1.67</v>
      </c>
    </row>
    <row r="8369" s="76" customFormat="1" spans="1:6">
      <c r="A8369">
        <v>8599</v>
      </c>
      <c r="B8369">
        <v>422012110</v>
      </c>
      <c r="C8369">
        <v>2012</v>
      </c>
      <c r="D8369" t="s">
        <v>40</v>
      </c>
      <c r="E8369">
        <v>1</v>
      </c>
      <c r="F8369">
        <v>1.25</v>
      </c>
    </row>
    <row r="8370" s="76" customFormat="1" spans="1:6">
      <c r="A8370">
        <v>8607</v>
      </c>
      <c r="B8370">
        <v>422012211</v>
      </c>
      <c r="C8370">
        <v>2012</v>
      </c>
      <c r="D8370" t="s">
        <v>37</v>
      </c>
      <c r="E8370">
        <v>1</v>
      </c>
      <c r="F8370">
        <v>100</v>
      </c>
    </row>
    <row r="8371" s="76" customFormat="1" spans="1:6">
      <c r="A8371">
        <v>8606</v>
      </c>
      <c r="B8371">
        <v>422012211</v>
      </c>
      <c r="C8371">
        <v>2012</v>
      </c>
      <c r="D8371" t="s">
        <v>37</v>
      </c>
      <c r="E8371">
        <v>1</v>
      </c>
      <c r="F8371">
        <v>100</v>
      </c>
    </row>
    <row r="8372" s="76" customFormat="1" spans="1:6">
      <c r="A8372">
        <v>8608</v>
      </c>
      <c r="B8372">
        <v>422012211</v>
      </c>
      <c r="C8372">
        <v>2012</v>
      </c>
      <c r="D8372" t="s">
        <v>37</v>
      </c>
      <c r="E8372">
        <v>1</v>
      </c>
      <c r="F8372">
        <v>3</v>
      </c>
    </row>
    <row r="8373" s="76" customFormat="1" spans="1:6">
      <c r="A8373">
        <v>8609</v>
      </c>
      <c r="B8373">
        <v>422012223</v>
      </c>
      <c r="C8373">
        <v>2012</v>
      </c>
      <c r="D8373" t="s">
        <v>36</v>
      </c>
      <c r="E8373">
        <v>1</v>
      </c>
      <c r="F8373">
        <v>0.1</v>
      </c>
    </row>
    <row r="8374" s="76" customFormat="1" spans="1:6">
      <c r="A8374">
        <v>8617</v>
      </c>
      <c r="B8374">
        <v>422012241</v>
      </c>
      <c r="C8374">
        <v>2012</v>
      </c>
      <c r="D8374" t="s">
        <v>33</v>
      </c>
      <c r="E8374">
        <v>1</v>
      </c>
      <c r="F8374">
        <v>1.2</v>
      </c>
    </row>
    <row r="8375" s="76" customFormat="1" spans="1:6">
      <c r="A8375">
        <v>8616</v>
      </c>
      <c r="B8375">
        <v>422012241</v>
      </c>
      <c r="C8375">
        <v>2012</v>
      </c>
      <c r="D8375" t="s">
        <v>33</v>
      </c>
      <c r="E8375">
        <v>1</v>
      </c>
      <c r="F8375">
        <v>7</v>
      </c>
    </row>
    <row r="8376" s="76" customFormat="1" spans="1:6">
      <c r="A8376">
        <v>8613</v>
      </c>
      <c r="B8376">
        <v>422012241</v>
      </c>
      <c r="C8376">
        <v>2012</v>
      </c>
      <c r="D8376" t="s">
        <v>33</v>
      </c>
      <c r="E8376">
        <v>1</v>
      </c>
      <c r="F8376">
        <v>1.5</v>
      </c>
    </row>
    <row r="8377" s="76" customFormat="1" spans="1:6">
      <c r="A8377">
        <v>8620</v>
      </c>
      <c r="B8377">
        <v>422012241</v>
      </c>
      <c r="C8377">
        <v>2012</v>
      </c>
      <c r="D8377" t="s">
        <v>33</v>
      </c>
      <c r="E8377">
        <v>1</v>
      </c>
      <c r="F8377">
        <v>1.8</v>
      </c>
    </row>
    <row r="8378" s="76" customFormat="1" spans="1:6">
      <c r="A8378">
        <v>8612</v>
      </c>
      <c r="B8378">
        <v>422012241</v>
      </c>
      <c r="C8378">
        <v>2012</v>
      </c>
      <c r="D8378" t="s">
        <v>33</v>
      </c>
      <c r="E8378">
        <v>3</v>
      </c>
      <c r="F8378">
        <v>0.13</v>
      </c>
    </row>
    <row r="8379" s="76" customFormat="1" spans="1:6">
      <c r="A8379">
        <v>8619</v>
      </c>
      <c r="B8379">
        <v>422012241</v>
      </c>
      <c r="C8379">
        <v>2012</v>
      </c>
      <c r="D8379" t="s">
        <v>33</v>
      </c>
      <c r="E8379">
        <v>1</v>
      </c>
      <c r="F8379">
        <v>0.6</v>
      </c>
    </row>
    <row r="8380" s="76" customFormat="1" spans="1:6">
      <c r="A8380">
        <v>8610</v>
      </c>
      <c r="B8380">
        <v>422012241</v>
      </c>
      <c r="C8380">
        <v>2012</v>
      </c>
      <c r="D8380" t="s">
        <v>33</v>
      </c>
      <c r="E8380">
        <v>1</v>
      </c>
      <c r="F8380">
        <v>1.2</v>
      </c>
    </row>
    <row r="8381" s="76" customFormat="1" spans="1:6">
      <c r="A8381">
        <v>8618</v>
      </c>
      <c r="B8381">
        <v>422012241</v>
      </c>
      <c r="C8381">
        <v>2012</v>
      </c>
      <c r="D8381" t="s">
        <v>33</v>
      </c>
      <c r="E8381">
        <v>1</v>
      </c>
      <c r="F8381">
        <v>0.8</v>
      </c>
    </row>
    <row r="8382" s="76" customFormat="1" spans="1:6">
      <c r="A8382">
        <v>8615</v>
      </c>
      <c r="B8382">
        <v>422012241</v>
      </c>
      <c r="C8382">
        <v>2012</v>
      </c>
      <c r="D8382" t="s">
        <v>33</v>
      </c>
      <c r="E8382">
        <v>1</v>
      </c>
      <c r="F8382">
        <v>0.9</v>
      </c>
    </row>
    <row r="8383" s="76" customFormat="1" spans="1:6">
      <c r="A8383">
        <v>8614</v>
      </c>
      <c r="B8383">
        <v>422012241</v>
      </c>
      <c r="C8383">
        <v>2012</v>
      </c>
      <c r="D8383" t="s">
        <v>33</v>
      </c>
      <c r="E8383">
        <v>1</v>
      </c>
      <c r="F8383">
        <v>0.9</v>
      </c>
    </row>
    <row r="8384" s="76" customFormat="1" spans="1:6">
      <c r="A8384">
        <v>8611</v>
      </c>
      <c r="B8384">
        <v>422012241</v>
      </c>
      <c r="C8384">
        <v>2012</v>
      </c>
      <c r="D8384" t="s">
        <v>33</v>
      </c>
      <c r="E8384">
        <v>1</v>
      </c>
      <c r="F8384">
        <v>0.9</v>
      </c>
    </row>
    <row r="8385" s="76" customFormat="1" spans="1:6">
      <c r="A8385">
        <v>8622</v>
      </c>
      <c r="B8385">
        <v>422012242</v>
      </c>
      <c r="C8385">
        <v>2012</v>
      </c>
      <c r="D8385" t="s">
        <v>35</v>
      </c>
      <c r="E8385">
        <v>1</v>
      </c>
      <c r="F8385">
        <v>4</v>
      </c>
    </row>
    <row r="8386" s="76" customFormat="1" spans="1:6">
      <c r="A8386">
        <v>8621</v>
      </c>
      <c r="B8386">
        <v>422012242</v>
      </c>
      <c r="C8386">
        <v>2012</v>
      </c>
      <c r="D8386" t="s">
        <v>35</v>
      </c>
      <c r="E8386">
        <v>1</v>
      </c>
      <c r="F8386">
        <v>2</v>
      </c>
    </row>
    <row r="8387" s="76" customFormat="1" spans="1:6">
      <c r="A8387">
        <v>8627</v>
      </c>
      <c r="B8387">
        <v>422012243</v>
      </c>
      <c r="C8387">
        <v>2012</v>
      </c>
      <c r="D8387" t="s">
        <v>38</v>
      </c>
      <c r="E8387">
        <v>1</v>
      </c>
      <c r="F8387">
        <v>1.5</v>
      </c>
    </row>
    <row r="8388" s="76" customFormat="1" spans="1:6">
      <c r="A8388">
        <v>8624</v>
      </c>
      <c r="B8388">
        <v>422012243</v>
      </c>
      <c r="C8388">
        <v>2012</v>
      </c>
      <c r="D8388" t="s">
        <v>38</v>
      </c>
      <c r="E8388">
        <v>1</v>
      </c>
      <c r="F8388">
        <v>3</v>
      </c>
    </row>
    <row r="8389" s="76" customFormat="1" spans="1:6">
      <c r="A8389">
        <v>8626</v>
      </c>
      <c r="B8389">
        <v>422012243</v>
      </c>
      <c r="C8389">
        <v>2012</v>
      </c>
      <c r="D8389" t="s">
        <v>38</v>
      </c>
      <c r="E8389">
        <v>1</v>
      </c>
      <c r="F8389">
        <v>2</v>
      </c>
    </row>
    <row r="8390" s="76" customFormat="1" spans="1:6">
      <c r="A8390">
        <v>8623</v>
      </c>
      <c r="B8390">
        <v>422012243</v>
      </c>
      <c r="C8390">
        <v>2012</v>
      </c>
      <c r="D8390" t="s">
        <v>38</v>
      </c>
      <c r="E8390">
        <v>1</v>
      </c>
      <c r="F8390">
        <v>3</v>
      </c>
    </row>
    <row r="8391" s="76" customFormat="1" spans="1:6">
      <c r="A8391">
        <v>8625</v>
      </c>
      <c r="B8391">
        <v>422012243</v>
      </c>
      <c r="C8391">
        <v>2012</v>
      </c>
      <c r="D8391" t="s">
        <v>38</v>
      </c>
      <c r="E8391">
        <v>2</v>
      </c>
      <c r="F8391">
        <v>3</v>
      </c>
    </row>
    <row r="8392" s="76" customFormat="1" spans="1:6">
      <c r="A8392">
        <v>8628</v>
      </c>
      <c r="B8392">
        <v>422012260</v>
      </c>
      <c r="C8392">
        <v>2012</v>
      </c>
      <c r="D8392" t="s">
        <v>34</v>
      </c>
      <c r="E8392">
        <v>33</v>
      </c>
      <c r="F8392">
        <v>4.98</v>
      </c>
    </row>
    <row r="8393" s="76" customFormat="1" spans="1:6">
      <c r="A8393">
        <v>8629</v>
      </c>
      <c r="B8393">
        <v>422012270</v>
      </c>
      <c r="C8393">
        <v>2012</v>
      </c>
      <c r="D8393" t="s">
        <v>31</v>
      </c>
      <c r="E8393" t="s">
        <v>32</v>
      </c>
      <c r="F8393">
        <v>0.9</v>
      </c>
    </row>
    <row r="8394" s="76" customFormat="1" spans="1:6">
      <c r="A8394">
        <v>8636</v>
      </c>
      <c r="B8394">
        <v>422013110</v>
      </c>
      <c r="C8394">
        <v>2013</v>
      </c>
      <c r="D8394" t="s">
        <v>40</v>
      </c>
      <c r="E8394">
        <v>1</v>
      </c>
      <c r="F8394">
        <v>0.68</v>
      </c>
    </row>
    <row r="8395" s="76" customFormat="1" spans="1:6">
      <c r="A8395">
        <v>8633</v>
      </c>
      <c r="B8395">
        <v>422013110</v>
      </c>
      <c r="C8395">
        <v>2013</v>
      </c>
      <c r="D8395" t="s">
        <v>40</v>
      </c>
      <c r="E8395">
        <v>1</v>
      </c>
      <c r="F8395">
        <v>1.26</v>
      </c>
    </row>
    <row r="8396" s="76" customFormat="1" spans="1:6">
      <c r="A8396">
        <v>8634</v>
      </c>
      <c r="B8396">
        <v>422013110</v>
      </c>
      <c r="C8396">
        <v>2013</v>
      </c>
      <c r="D8396" t="s">
        <v>40</v>
      </c>
      <c r="E8396">
        <v>2</v>
      </c>
      <c r="F8396">
        <v>5</v>
      </c>
    </row>
    <row r="8397" s="76" customFormat="1" spans="1:6">
      <c r="A8397">
        <v>8630</v>
      </c>
      <c r="B8397">
        <v>422013110</v>
      </c>
      <c r="C8397">
        <v>2013</v>
      </c>
      <c r="D8397" t="s">
        <v>40</v>
      </c>
      <c r="E8397">
        <v>1</v>
      </c>
      <c r="F8397">
        <v>1</v>
      </c>
    </row>
    <row r="8398" s="76" customFormat="1" spans="1:6">
      <c r="A8398">
        <v>8637</v>
      </c>
      <c r="B8398">
        <v>422013110</v>
      </c>
      <c r="C8398">
        <v>2013</v>
      </c>
      <c r="D8398" t="s">
        <v>40</v>
      </c>
      <c r="E8398">
        <v>1</v>
      </c>
      <c r="F8398">
        <v>1.67</v>
      </c>
    </row>
    <row r="8399" s="76" customFormat="1" spans="1:6">
      <c r="A8399">
        <v>8632</v>
      </c>
      <c r="B8399">
        <v>422013110</v>
      </c>
      <c r="C8399">
        <v>2013</v>
      </c>
      <c r="D8399" t="s">
        <v>40</v>
      </c>
      <c r="E8399">
        <v>1</v>
      </c>
      <c r="F8399">
        <v>2.4</v>
      </c>
    </row>
    <row r="8400" s="76" customFormat="1" spans="1:6">
      <c r="A8400">
        <v>8638</v>
      </c>
      <c r="B8400">
        <v>422013110</v>
      </c>
      <c r="C8400">
        <v>2013</v>
      </c>
      <c r="D8400" t="s">
        <v>40</v>
      </c>
      <c r="E8400">
        <v>1</v>
      </c>
      <c r="F8400">
        <v>0.4</v>
      </c>
    </row>
    <row r="8401" s="76" customFormat="1" spans="1:6">
      <c r="A8401">
        <v>8635</v>
      </c>
      <c r="B8401">
        <v>422013110</v>
      </c>
      <c r="C8401">
        <v>2013</v>
      </c>
      <c r="D8401" t="s">
        <v>40</v>
      </c>
      <c r="E8401">
        <v>1</v>
      </c>
      <c r="F8401">
        <v>0.8</v>
      </c>
    </row>
    <row r="8402" s="76" customFormat="1" spans="1:6">
      <c r="A8402">
        <v>8631</v>
      </c>
      <c r="B8402">
        <v>422013110</v>
      </c>
      <c r="C8402">
        <v>2013</v>
      </c>
      <c r="D8402" t="s">
        <v>40</v>
      </c>
      <c r="E8402">
        <v>1</v>
      </c>
      <c r="F8402">
        <v>1</v>
      </c>
    </row>
    <row r="8403" s="76" customFormat="1" spans="1:6">
      <c r="A8403">
        <v>8639</v>
      </c>
      <c r="B8403">
        <v>422013211</v>
      </c>
      <c r="C8403">
        <v>2013</v>
      </c>
      <c r="D8403" t="s">
        <v>37</v>
      </c>
      <c r="E8403">
        <v>1</v>
      </c>
      <c r="F8403">
        <v>100</v>
      </c>
    </row>
    <row r="8404" s="76" customFormat="1" spans="1:6">
      <c r="A8404">
        <v>8644</v>
      </c>
      <c r="B8404">
        <v>422013241</v>
      </c>
      <c r="C8404">
        <v>2013</v>
      </c>
      <c r="D8404" t="s">
        <v>33</v>
      </c>
      <c r="E8404">
        <v>2</v>
      </c>
      <c r="F8404">
        <v>13</v>
      </c>
    </row>
    <row r="8405" s="76" customFormat="1" spans="1:6">
      <c r="A8405">
        <v>8641</v>
      </c>
      <c r="B8405">
        <v>422013241</v>
      </c>
      <c r="C8405">
        <v>2013</v>
      </c>
      <c r="D8405" t="s">
        <v>33</v>
      </c>
      <c r="E8405">
        <v>1</v>
      </c>
      <c r="F8405">
        <v>0.45</v>
      </c>
    </row>
    <row r="8406" s="76" customFormat="1" spans="1:6">
      <c r="A8406">
        <v>8645</v>
      </c>
      <c r="B8406">
        <v>422013241</v>
      </c>
      <c r="C8406">
        <v>2013</v>
      </c>
      <c r="D8406" t="s">
        <v>33</v>
      </c>
      <c r="E8406">
        <v>1</v>
      </c>
      <c r="F8406">
        <v>1.5</v>
      </c>
    </row>
    <row r="8407" s="76" customFormat="1" spans="1:6">
      <c r="A8407">
        <v>8640</v>
      </c>
      <c r="B8407">
        <v>422013241</v>
      </c>
      <c r="C8407">
        <v>2013</v>
      </c>
      <c r="D8407" t="s">
        <v>33</v>
      </c>
      <c r="E8407">
        <v>1</v>
      </c>
      <c r="F8407">
        <v>0.3</v>
      </c>
    </row>
    <row r="8408" s="76" customFormat="1" spans="1:6">
      <c r="A8408">
        <v>8643</v>
      </c>
      <c r="B8408">
        <v>422013241</v>
      </c>
      <c r="C8408">
        <v>2013</v>
      </c>
      <c r="D8408" t="s">
        <v>33</v>
      </c>
      <c r="E8408">
        <v>1</v>
      </c>
      <c r="F8408">
        <v>1.5</v>
      </c>
    </row>
    <row r="8409" s="76" customFormat="1" spans="1:6">
      <c r="A8409">
        <v>8642</v>
      </c>
      <c r="B8409">
        <v>422013241</v>
      </c>
      <c r="C8409">
        <v>2013</v>
      </c>
      <c r="D8409" t="s">
        <v>33</v>
      </c>
      <c r="E8409">
        <v>1</v>
      </c>
      <c r="F8409">
        <v>2</v>
      </c>
    </row>
    <row r="8410" s="76" customFormat="1" spans="1:6">
      <c r="A8410">
        <v>8646</v>
      </c>
      <c r="B8410">
        <v>422013242</v>
      </c>
      <c r="C8410">
        <v>2013</v>
      </c>
      <c r="D8410" t="s">
        <v>35</v>
      </c>
      <c r="E8410">
        <v>1</v>
      </c>
      <c r="F8410">
        <v>0.1</v>
      </c>
    </row>
    <row r="8411" s="76" customFormat="1" spans="1:6">
      <c r="A8411">
        <v>8647</v>
      </c>
      <c r="B8411">
        <v>422013242</v>
      </c>
      <c r="C8411">
        <v>2013</v>
      </c>
      <c r="D8411" t="s">
        <v>35</v>
      </c>
      <c r="E8411">
        <v>1</v>
      </c>
      <c r="F8411">
        <v>1.2</v>
      </c>
    </row>
    <row r="8412" s="76" customFormat="1" spans="1:6">
      <c r="A8412">
        <v>8648</v>
      </c>
      <c r="B8412">
        <v>422013242</v>
      </c>
      <c r="C8412">
        <v>2013</v>
      </c>
      <c r="D8412" t="s">
        <v>35</v>
      </c>
      <c r="E8412">
        <v>1</v>
      </c>
      <c r="F8412">
        <v>1.2</v>
      </c>
    </row>
    <row r="8413" s="76" customFormat="1" spans="1:6">
      <c r="A8413">
        <v>8649</v>
      </c>
      <c r="B8413">
        <v>422013243</v>
      </c>
      <c r="C8413">
        <v>2013</v>
      </c>
      <c r="D8413" t="s">
        <v>38</v>
      </c>
      <c r="E8413">
        <v>1</v>
      </c>
      <c r="F8413">
        <v>3</v>
      </c>
    </row>
    <row r="8414" s="76" customFormat="1" spans="1:6">
      <c r="A8414">
        <v>8650</v>
      </c>
      <c r="B8414">
        <v>422013243</v>
      </c>
      <c r="C8414">
        <v>2013</v>
      </c>
      <c r="D8414" t="s">
        <v>38</v>
      </c>
      <c r="E8414">
        <v>1</v>
      </c>
      <c r="F8414">
        <v>3</v>
      </c>
    </row>
    <row r="8415" s="76" customFormat="1" spans="1:6">
      <c r="A8415">
        <v>8655</v>
      </c>
      <c r="B8415">
        <v>422013260</v>
      </c>
      <c r="C8415">
        <v>2013</v>
      </c>
      <c r="D8415" t="s">
        <v>34</v>
      </c>
      <c r="E8415">
        <v>8</v>
      </c>
      <c r="F8415">
        <v>1.6</v>
      </c>
    </row>
    <row r="8416" s="76" customFormat="1" spans="1:6">
      <c r="A8416">
        <v>8654</v>
      </c>
      <c r="B8416">
        <v>422013260</v>
      </c>
      <c r="C8416">
        <v>2013</v>
      </c>
      <c r="D8416" t="s">
        <v>34</v>
      </c>
      <c r="E8416">
        <v>24</v>
      </c>
      <c r="F8416">
        <v>4.8</v>
      </c>
    </row>
    <row r="8417" s="76" customFormat="1" spans="1:6">
      <c r="A8417">
        <v>8653</v>
      </c>
      <c r="B8417">
        <v>422013260</v>
      </c>
      <c r="C8417">
        <v>2013</v>
      </c>
      <c r="D8417" t="s">
        <v>34</v>
      </c>
      <c r="E8417">
        <v>31</v>
      </c>
      <c r="F8417">
        <v>4.96</v>
      </c>
    </row>
    <row r="8418" s="76" customFormat="1" spans="1:6">
      <c r="A8418">
        <v>8656</v>
      </c>
      <c r="B8418">
        <v>422013260</v>
      </c>
      <c r="C8418">
        <v>2013</v>
      </c>
      <c r="D8418" t="s">
        <v>34</v>
      </c>
      <c r="E8418">
        <v>24</v>
      </c>
      <c r="F8418">
        <v>4.8</v>
      </c>
    </row>
    <row r="8419" s="76" customFormat="1" spans="1:6">
      <c r="A8419">
        <v>8652</v>
      </c>
      <c r="B8419">
        <v>422013260</v>
      </c>
      <c r="C8419">
        <v>2013</v>
      </c>
      <c r="D8419" t="s">
        <v>34</v>
      </c>
      <c r="E8419">
        <v>24</v>
      </c>
      <c r="F8419">
        <v>4.8</v>
      </c>
    </row>
    <row r="8420" s="76" customFormat="1" spans="1:6">
      <c r="A8420">
        <v>8651</v>
      </c>
      <c r="B8420">
        <v>422013260</v>
      </c>
      <c r="C8420">
        <v>2013</v>
      </c>
      <c r="D8420" t="s">
        <v>34</v>
      </c>
      <c r="E8420">
        <v>33</v>
      </c>
      <c r="F8420">
        <v>4.95</v>
      </c>
    </row>
    <row r="8421" s="76" customFormat="1" spans="1:6">
      <c r="A8421">
        <v>8657</v>
      </c>
      <c r="B8421">
        <v>422013270</v>
      </c>
      <c r="C8421">
        <v>2013</v>
      </c>
      <c r="D8421" t="s">
        <v>31</v>
      </c>
      <c r="E8421" t="s">
        <v>32</v>
      </c>
      <c r="F8421">
        <v>0.3</v>
      </c>
    </row>
    <row r="8422" s="76" customFormat="1" spans="1:6">
      <c r="A8422">
        <v>8662</v>
      </c>
      <c r="B8422">
        <v>422013270</v>
      </c>
      <c r="C8422">
        <v>2013</v>
      </c>
      <c r="D8422" t="s">
        <v>31</v>
      </c>
      <c r="E8422" t="s">
        <v>32</v>
      </c>
      <c r="F8422">
        <v>0.45</v>
      </c>
    </row>
    <row r="8423" s="76" customFormat="1" spans="1:6">
      <c r="A8423">
        <v>8663</v>
      </c>
      <c r="B8423">
        <v>422013270</v>
      </c>
      <c r="C8423">
        <v>2013</v>
      </c>
      <c r="D8423" t="s">
        <v>31</v>
      </c>
      <c r="E8423" t="s">
        <v>32</v>
      </c>
      <c r="F8423">
        <v>0.3</v>
      </c>
    </row>
    <row r="8424" s="76" customFormat="1" spans="1:6">
      <c r="A8424">
        <v>8661</v>
      </c>
      <c r="B8424">
        <v>422013270</v>
      </c>
      <c r="C8424">
        <v>2013</v>
      </c>
      <c r="D8424" t="s">
        <v>31</v>
      </c>
      <c r="E8424" t="s">
        <v>32</v>
      </c>
      <c r="F8424">
        <v>0.53</v>
      </c>
    </row>
    <row r="8425" s="76" customFormat="1" spans="1:6">
      <c r="A8425">
        <v>8659</v>
      </c>
      <c r="B8425">
        <v>422013270</v>
      </c>
      <c r="C8425">
        <v>2013</v>
      </c>
      <c r="D8425" t="s">
        <v>31</v>
      </c>
      <c r="E8425" t="s">
        <v>32</v>
      </c>
      <c r="F8425">
        <v>0.05</v>
      </c>
    </row>
    <row r="8426" s="76" customFormat="1" spans="1:6">
      <c r="A8426">
        <v>8658</v>
      </c>
      <c r="B8426">
        <v>422013270</v>
      </c>
      <c r="C8426">
        <v>2013</v>
      </c>
      <c r="D8426" t="s">
        <v>31</v>
      </c>
      <c r="E8426" t="s">
        <v>32</v>
      </c>
      <c r="F8426">
        <v>1.1</v>
      </c>
    </row>
    <row r="8427" s="76" customFormat="1" spans="1:6">
      <c r="A8427">
        <v>8664</v>
      </c>
      <c r="B8427">
        <v>422013270</v>
      </c>
      <c r="C8427">
        <v>2013</v>
      </c>
      <c r="D8427" t="s">
        <v>31</v>
      </c>
      <c r="E8427" t="s">
        <v>32</v>
      </c>
      <c r="F8427">
        <v>0.13</v>
      </c>
    </row>
    <row r="8428" s="76" customFormat="1" spans="1:6">
      <c r="A8428">
        <v>8660</v>
      </c>
      <c r="B8428">
        <v>422013270</v>
      </c>
      <c r="C8428">
        <v>2013</v>
      </c>
      <c r="D8428" t="s">
        <v>31</v>
      </c>
      <c r="E8428" t="s">
        <v>32</v>
      </c>
      <c r="F8428">
        <v>1</v>
      </c>
    </row>
    <row r="8429" s="76" customFormat="1" spans="1:6">
      <c r="A8429">
        <v>8665</v>
      </c>
      <c r="B8429">
        <v>422014110</v>
      </c>
      <c r="C8429">
        <v>2014</v>
      </c>
      <c r="D8429" t="s">
        <v>40</v>
      </c>
      <c r="E8429">
        <v>1</v>
      </c>
      <c r="F8429">
        <v>1.5</v>
      </c>
    </row>
    <row r="8430" s="76" customFormat="1" spans="1:6">
      <c r="A8430">
        <v>8678</v>
      </c>
      <c r="B8430">
        <v>422014110</v>
      </c>
      <c r="C8430">
        <v>2014</v>
      </c>
      <c r="D8430" t="s">
        <v>40</v>
      </c>
      <c r="E8430">
        <v>1</v>
      </c>
      <c r="F8430">
        <v>0.1</v>
      </c>
    </row>
    <row r="8431" s="76" customFormat="1" spans="1:6">
      <c r="A8431">
        <v>8681</v>
      </c>
      <c r="B8431">
        <v>422014110</v>
      </c>
      <c r="C8431">
        <v>2014</v>
      </c>
      <c r="D8431" t="s">
        <v>40</v>
      </c>
      <c r="E8431">
        <v>1</v>
      </c>
      <c r="F8431">
        <v>0.06</v>
      </c>
    </row>
    <row r="8432" s="76" customFormat="1" spans="1:6">
      <c r="A8432">
        <v>8673</v>
      </c>
      <c r="B8432">
        <v>422014110</v>
      </c>
      <c r="C8432">
        <v>2014</v>
      </c>
      <c r="D8432" t="s">
        <v>40</v>
      </c>
      <c r="E8432">
        <v>1</v>
      </c>
      <c r="F8432">
        <v>0.28</v>
      </c>
    </row>
    <row r="8433" s="76" customFormat="1" spans="1:6">
      <c r="A8433">
        <v>8666</v>
      </c>
      <c r="B8433">
        <v>422014110</v>
      </c>
      <c r="C8433">
        <v>2014</v>
      </c>
      <c r="D8433" t="s">
        <v>40</v>
      </c>
      <c r="E8433">
        <v>1</v>
      </c>
      <c r="F8433">
        <v>1</v>
      </c>
    </row>
    <row r="8434" s="76" customFormat="1" spans="1:6">
      <c r="A8434">
        <v>8677</v>
      </c>
      <c r="B8434">
        <v>422014110</v>
      </c>
      <c r="C8434">
        <v>2014</v>
      </c>
      <c r="D8434" t="s">
        <v>40</v>
      </c>
      <c r="E8434">
        <v>1</v>
      </c>
      <c r="F8434">
        <v>0.13</v>
      </c>
    </row>
    <row r="8435" s="76" customFormat="1" spans="1:6">
      <c r="A8435">
        <v>8675</v>
      </c>
      <c r="B8435">
        <v>422014110</v>
      </c>
      <c r="C8435">
        <v>2014</v>
      </c>
      <c r="D8435" t="s">
        <v>40</v>
      </c>
      <c r="E8435">
        <v>1</v>
      </c>
      <c r="F8435">
        <v>0.17</v>
      </c>
    </row>
    <row r="8436" s="76" customFormat="1" spans="1:6">
      <c r="A8436">
        <v>8679</v>
      </c>
      <c r="B8436">
        <v>422014110</v>
      </c>
      <c r="C8436">
        <v>2014</v>
      </c>
      <c r="D8436" t="s">
        <v>40</v>
      </c>
      <c r="E8436">
        <v>1</v>
      </c>
      <c r="F8436">
        <v>0.06</v>
      </c>
    </row>
    <row r="8437" s="76" customFormat="1" spans="1:6">
      <c r="A8437">
        <v>8667</v>
      </c>
      <c r="B8437">
        <v>422014110</v>
      </c>
      <c r="C8437">
        <v>2014</v>
      </c>
      <c r="D8437" t="s">
        <v>40</v>
      </c>
      <c r="E8437">
        <v>1</v>
      </c>
      <c r="F8437">
        <v>1</v>
      </c>
    </row>
    <row r="8438" s="76" customFormat="1" spans="1:6">
      <c r="A8438">
        <v>8680</v>
      </c>
      <c r="B8438">
        <v>422014110</v>
      </c>
      <c r="C8438">
        <v>2014</v>
      </c>
      <c r="D8438" t="s">
        <v>40</v>
      </c>
      <c r="E8438"/>
      <c r="F8438">
        <v>0.06</v>
      </c>
    </row>
    <row r="8439" s="76" customFormat="1" spans="1:6">
      <c r="A8439">
        <v>8671</v>
      </c>
      <c r="B8439">
        <v>422014110</v>
      </c>
      <c r="C8439">
        <v>2014</v>
      </c>
      <c r="D8439" t="s">
        <v>40</v>
      </c>
      <c r="E8439">
        <v>2</v>
      </c>
      <c r="F8439">
        <v>0.32</v>
      </c>
    </row>
    <row r="8440" s="76" customFormat="1" spans="1:6">
      <c r="A8440">
        <v>8676</v>
      </c>
      <c r="B8440">
        <v>422014110</v>
      </c>
      <c r="C8440">
        <v>2014</v>
      </c>
      <c r="D8440" t="s">
        <v>40</v>
      </c>
      <c r="E8440">
        <v>1</v>
      </c>
      <c r="F8440">
        <v>0.16</v>
      </c>
    </row>
    <row r="8441" s="76" customFormat="1" spans="1:6">
      <c r="A8441">
        <v>8668</v>
      </c>
      <c r="B8441">
        <v>422014110</v>
      </c>
      <c r="C8441">
        <v>2014</v>
      </c>
      <c r="D8441" t="s">
        <v>40</v>
      </c>
      <c r="E8441">
        <v>1</v>
      </c>
      <c r="F8441">
        <v>0.74</v>
      </c>
    </row>
    <row r="8442" s="76" customFormat="1" spans="1:6">
      <c r="A8442">
        <v>8670</v>
      </c>
      <c r="B8442">
        <v>422014110</v>
      </c>
      <c r="C8442">
        <v>2014</v>
      </c>
      <c r="D8442" t="s">
        <v>40</v>
      </c>
      <c r="E8442"/>
      <c r="F8442">
        <v>0.4</v>
      </c>
    </row>
    <row r="8443" s="76" customFormat="1" spans="1:6">
      <c r="A8443">
        <v>8669</v>
      </c>
      <c r="B8443">
        <v>422014110</v>
      </c>
      <c r="C8443">
        <v>2014</v>
      </c>
      <c r="D8443" t="s">
        <v>40</v>
      </c>
      <c r="E8443">
        <v>1</v>
      </c>
      <c r="F8443">
        <v>0.46</v>
      </c>
    </row>
    <row r="8444" s="76" customFormat="1" spans="1:6">
      <c r="A8444">
        <v>8682</v>
      </c>
      <c r="B8444">
        <v>422014110</v>
      </c>
      <c r="C8444">
        <v>2014</v>
      </c>
      <c r="D8444" t="s">
        <v>40</v>
      </c>
      <c r="E8444"/>
      <c r="F8444">
        <v>0.04</v>
      </c>
    </row>
    <row r="8445" s="76" customFormat="1" spans="1:6">
      <c r="A8445">
        <v>8672</v>
      </c>
      <c r="B8445">
        <v>422014110</v>
      </c>
      <c r="C8445">
        <v>2014</v>
      </c>
      <c r="D8445" t="s">
        <v>40</v>
      </c>
      <c r="E8445">
        <v>1</v>
      </c>
      <c r="F8445">
        <v>0.29</v>
      </c>
    </row>
    <row r="8446" s="76" customFormat="1" spans="1:6">
      <c r="A8446">
        <v>8674</v>
      </c>
      <c r="B8446">
        <v>422014110</v>
      </c>
      <c r="C8446">
        <v>2014</v>
      </c>
      <c r="D8446" t="s">
        <v>40</v>
      </c>
      <c r="E8446">
        <v>1</v>
      </c>
      <c r="F8446">
        <v>0.2</v>
      </c>
    </row>
    <row r="8447" s="76" customFormat="1" spans="1:6">
      <c r="A8447">
        <v>8686</v>
      </c>
      <c r="B8447">
        <v>422014211</v>
      </c>
      <c r="C8447">
        <v>2014</v>
      </c>
      <c r="D8447" t="s">
        <v>37</v>
      </c>
      <c r="E8447">
        <v>2</v>
      </c>
      <c r="F8447">
        <v>13</v>
      </c>
    </row>
    <row r="8448" s="76" customFormat="1" spans="1:6">
      <c r="A8448">
        <v>8685</v>
      </c>
      <c r="B8448">
        <v>422014211</v>
      </c>
      <c r="C8448">
        <v>2014</v>
      </c>
      <c r="D8448" t="s">
        <v>37</v>
      </c>
      <c r="E8448">
        <v>1</v>
      </c>
      <c r="F8448">
        <v>68</v>
      </c>
    </row>
    <row r="8449" s="76" customFormat="1" spans="1:6">
      <c r="A8449">
        <v>8684</v>
      </c>
      <c r="B8449">
        <v>422014211</v>
      </c>
      <c r="C8449">
        <v>2014</v>
      </c>
      <c r="D8449" t="s">
        <v>37</v>
      </c>
      <c r="E8449">
        <v>2</v>
      </c>
      <c r="F8449">
        <v>70</v>
      </c>
    </row>
    <row r="8450" s="76" customFormat="1" spans="1:6">
      <c r="A8450">
        <v>8683</v>
      </c>
      <c r="B8450">
        <v>422014211</v>
      </c>
      <c r="C8450">
        <v>2014</v>
      </c>
      <c r="D8450" t="s">
        <v>37</v>
      </c>
      <c r="E8450">
        <v>2</v>
      </c>
      <c r="F8450">
        <v>70</v>
      </c>
    </row>
    <row r="8451" s="76" customFormat="1" spans="1:6">
      <c r="A8451">
        <v>8695</v>
      </c>
      <c r="B8451">
        <v>422014241</v>
      </c>
      <c r="C8451">
        <v>2014</v>
      </c>
      <c r="D8451" t="s">
        <v>33</v>
      </c>
      <c r="E8451"/>
      <c r="F8451">
        <v>6</v>
      </c>
    </row>
    <row r="8452" s="76" customFormat="1" spans="1:6">
      <c r="A8452">
        <v>8688</v>
      </c>
      <c r="B8452">
        <v>422014241</v>
      </c>
      <c r="C8452">
        <v>2014</v>
      </c>
      <c r="D8452" t="s">
        <v>33</v>
      </c>
      <c r="E8452">
        <v>1</v>
      </c>
      <c r="F8452">
        <v>0.6</v>
      </c>
    </row>
    <row r="8453" s="76" customFormat="1" spans="1:6">
      <c r="A8453">
        <v>8691</v>
      </c>
      <c r="B8453">
        <v>422014241</v>
      </c>
      <c r="C8453">
        <v>2014</v>
      </c>
      <c r="D8453" t="s">
        <v>33</v>
      </c>
      <c r="E8453">
        <v>1</v>
      </c>
      <c r="F8453">
        <v>0.45</v>
      </c>
    </row>
    <row r="8454" s="76" customFormat="1" spans="1:6">
      <c r="A8454">
        <v>8687</v>
      </c>
      <c r="B8454">
        <v>422014241</v>
      </c>
      <c r="C8454">
        <v>2014</v>
      </c>
      <c r="D8454" t="s">
        <v>33</v>
      </c>
      <c r="E8454">
        <v>1</v>
      </c>
      <c r="F8454">
        <v>0.75</v>
      </c>
    </row>
    <row r="8455" s="76" customFormat="1" spans="1:6">
      <c r="A8455">
        <v>8690</v>
      </c>
      <c r="B8455">
        <v>422014241</v>
      </c>
      <c r="C8455">
        <v>2014</v>
      </c>
      <c r="D8455" t="s">
        <v>33</v>
      </c>
      <c r="E8455">
        <v>1</v>
      </c>
      <c r="F8455">
        <v>0.55</v>
      </c>
    </row>
    <row r="8456" s="76" customFormat="1" spans="1:6">
      <c r="A8456">
        <v>8689</v>
      </c>
      <c r="B8456">
        <v>422014241</v>
      </c>
      <c r="C8456">
        <v>2014</v>
      </c>
      <c r="D8456" t="s">
        <v>33</v>
      </c>
      <c r="E8456">
        <v>1</v>
      </c>
      <c r="F8456">
        <v>0.6</v>
      </c>
    </row>
    <row r="8457" s="76" customFormat="1" spans="1:6">
      <c r="A8457">
        <v>8694</v>
      </c>
      <c r="B8457">
        <v>422014241</v>
      </c>
      <c r="C8457">
        <v>2014</v>
      </c>
      <c r="D8457" t="s">
        <v>33</v>
      </c>
      <c r="E8457"/>
      <c r="F8457">
        <v>8</v>
      </c>
    </row>
    <row r="8458" s="76" customFormat="1" spans="1:6">
      <c r="A8458">
        <v>8693</v>
      </c>
      <c r="B8458">
        <v>422014241</v>
      </c>
      <c r="C8458">
        <v>2014</v>
      </c>
      <c r="D8458" t="s">
        <v>33</v>
      </c>
      <c r="E8458"/>
      <c r="F8458">
        <v>0.3</v>
      </c>
    </row>
    <row r="8459" s="76" customFormat="1" spans="1:6">
      <c r="A8459">
        <v>8692</v>
      </c>
      <c r="B8459">
        <v>422014241</v>
      </c>
      <c r="C8459">
        <v>2014</v>
      </c>
      <c r="D8459" t="s">
        <v>33</v>
      </c>
      <c r="E8459">
        <v>1</v>
      </c>
      <c r="F8459">
        <v>0.3</v>
      </c>
    </row>
    <row r="8460" s="76" customFormat="1" spans="1:6">
      <c r="A8460">
        <v>8697</v>
      </c>
      <c r="B8460">
        <v>422014243</v>
      </c>
      <c r="C8460">
        <v>2014</v>
      </c>
      <c r="D8460" t="s">
        <v>38</v>
      </c>
      <c r="E8460">
        <v>1</v>
      </c>
      <c r="F8460">
        <v>2.5</v>
      </c>
    </row>
    <row r="8461" s="76" customFormat="1" spans="1:6">
      <c r="A8461">
        <v>8698</v>
      </c>
      <c r="B8461">
        <v>422014243</v>
      </c>
      <c r="C8461">
        <v>2014</v>
      </c>
      <c r="D8461" t="s">
        <v>38</v>
      </c>
      <c r="E8461">
        <v>1</v>
      </c>
      <c r="F8461">
        <v>1.5</v>
      </c>
    </row>
    <row r="8462" s="76" customFormat="1" spans="1:6">
      <c r="A8462">
        <v>8699</v>
      </c>
      <c r="B8462">
        <v>422014243</v>
      </c>
      <c r="C8462">
        <v>2014</v>
      </c>
      <c r="D8462" t="s">
        <v>38</v>
      </c>
      <c r="E8462">
        <v>1</v>
      </c>
      <c r="F8462">
        <v>1</v>
      </c>
    </row>
    <row r="8463" s="76" customFormat="1" spans="1:6">
      <c r="A8463">
        <v>8696</v>
      </c>
      <c r="B8463">
        <v>422014243</v>
      </c>
      <c r="C8463">
        <v>2014</v>
      </c>
      <c r="D8463" t="s">
        <v>38</v>
      </c>
      <c r="E8463">
        <v>2</v>
      </c>
      <c r="F8463">
        <v>3</v>
      </c>
    </row>
    <row r="8464" s="76" customFormat="1" spans="1:6">
      <c r="A8464">
        <v>8702</v>
      </c>
      <c r="B8464">
        <v>422014260</v>
      </c>
      <c r="C8464">
        <v>2014</v>
      </c>
      <c r="D8464" t="s">
        <v>34</v>
      </c>
      <c r="E8464">
        <v>10</v>
      </c>
      <c r="F8464">
        <v>2</v>
      </c>
    </row>
    <row r="8465" s="76" customFormat="1" spans="1:6">
      <c r="A8465">
        <v>8701</v>
      </c>
      <c r="B8465">
        <v>422014260</v>
      </c>
      <c r="C8465">
        <v>2014</v>
      </c>
      <c r="D8465" t="s">
        <v>34</v>
      </c>
      <c r="E8465">
        <v>12</v>
      </c>
      <c r="F8465">
        <v>2.4</v>
      </c>
    </row>
    <row r="8466" s="76" customFormat="1" spans="1:6">
      <c r="A8466">
        <v>8711</v>
      </c>
      <c r="B8466">
        <v>422014260</v>
      </c>
      <c r="C8466">
        <v>2014</v>
      </c>
      <c r="D8466" t="s">
        <v>34</v>
      </c>
      <c r="E8466">
        <v>6</v>
      </c>
      <c r="F8466">
        <v>1.2</v>
      </c>
    </row>
    <row r="8467" s="76" customFormat="1" spans="1:6">
      <c r="A8467">
        <v>8703</v>
      </c>
      <c r="B8467">
        <v>422014260</v>
      </c>
      <c r="C8467">
        <v>2014</v>
      </c>
      <c r="D8467" t="s">
        <v>34</v>
      </c>
      <c r="E8467">
        <v>23</v>
      </c>
      <c r="F8467">
        <v>4.83</v>
      </c>
    </row>
    <row r="8468" s="76" customFormat="1" spans="1:6">
      <c r="A8468">
        <v>8704</v>
      </c>
      <c r="B8468">
        <v>422014260</v>
      </c>
      <c r="C8468">
        <v>2014</v>
      </c>
      <c r="D8468" t="s">
        <v>34</v>
      </c>
      <c r="E8468">
        <v>24</v>
      </c>
      <c r="F8468">
        <v>4.8</v>
      </c>
    </row>
    <row r="8469" s="76" customFormat="1" spans="1:6">
      <c r="A8469">
        <v>8705</v>
      </c>
      <c r="B8469">
        <v>422014260</v>
      </c>
      <c r="C8469">
        <v>2014</v>
      </c>
      <c r="D8469" t="s">
        <v>34</v>
      </c>
      <c r="E8469">
        <v>31</v>
      </c>
      <c r="F8469">
        <v>4.96</v>
      </c>
    </row>
    <row r="8470" s="76" customFormat="1" spans="1:6">
      <c r="A8470">
        <v>8706</v>
      </c>
      <c r="B8470">
        <v>422014260</v>
      </c>
      <c r="C8470">
        <v>2014</v>
      </c>
      <c r="D8470" t="s">
        <v>34</v>
      </c>
      <c r="E8470">
        <v>11</v>
      </c>
      <c r="F8470">
        <v>2.31</v>
      </c>
    </row>
    <row r="8471" s="76" customFormat="1" spans="1:6">
      <c r="A8471">
        <v>8700</v>
      </c>
      <c r="B8471">
        <v>422014260</v>
      </c>
      <c r="C8471">
        <v>2014</v>
      </c>
      <c r="D8471" t="s">
        <v>34</v>
      </c>
      <c r="E8471">
        <v>33</v>
      </c>
      <c r="F8471">
        <v>4.95</v>
      </c>
    </row>
    <row r="8472" s="76" customFormat="1" spans="1:6">
      <c r="A8472">
        <v>8710</v>
      </c>
      <c r="B8472">
        <v>422014260</v>
      </c>
      <c r="C8472">
        <v>2014</v>
      </c>
      <c r="D8472" t="s">
        <v>34</v>
      </c>
      <c r="E8472">
        <v>18</v>
      </c>
      <c r="F8472">
        <v>2.7</v>
      </c>
    </row>
    <row r="8473" s="76" customFormat="1" spans="1:6">
      <c r="A8473">
        <v>8707</v>
      </c>
      <c r="B8473">
        <v>422014260</v>
      </c>
      <c r="C8473">
        <v>2014</v>
      </c>
      <c r="D8473" t="s">
        <v>34</v>
      </c>
      <c r="E8473">
        <v>33</v>
      </c>
      <c r="F8473">
        <v>4.95</v>
      </c>
    </row>
    <row r="8474" s="76" customFormat="1" spans="1:6">
      <c r="A8474">
        <v>8709</v>
      </c>
      <c r="B8474">
        <v>422014260</v>
      </c>
      <c r="C8474">
        <v>2014</v>
      </c>
      <c r="D8474" t="s">
        <v>34</v>
      </c>
      <c r="E8474">
        <v>33</v>
      </c>
      <c r="F8474">
        <v>4.95</v>
      </c>
    </row>
    <row r="8475" s="76" customFormat="1" spans="1:6">
      <c r="A8475">
        <v>8708</v>
      </c>
      <c r="B8475">
        <v>422014260</v>
      </c>
      <c r="C8475">
        <v>2014</v>
      </c>
      <c r="D8475" t="s">
        <v>34</v>
      </c>
      <c r="E8475">
        <v>33</v>
      </c>
      <c r="F8475">
        <v>4.95</v>
      </c>
    </row>
    <row r="8476" s="76" customFormat="1" spans="1:6">
      <c r="A8476">
        <v>8715</v>
      </c>
      <c r="B8476">
        <v>422014270</v>
      </c>
      <c r="C8476">
        <v>2014</v>
      </c>
      <c r="D8476" t="s">
        <v>31</v>
      </c>
      <c r="E8476">
        <v>24</v>
      </c>
      <c r="F8476">
        <v>0.14</v>
      </c>
    </row>
    <row r="8477" s="76" customFormat="1" spans="1:6">
      <c r="A8477">
        <v>8712</v>
      </c>
      <c r="B8477">
        <v>422014270</v>
      </c>
      <c r="C8477">
        <v>2014</v>
      </c>
      <c r="D8477" t="s">
        <v>31</v>
      </c>
      <c r="E8477">
        <v>1</v>
      </c>
      <c r="F8477">
        <v>2</v>
      </c>
    </row>
    <row r="8478" s="76" customFormat="1" spans="1:6">
      <c r="A8478">
        <v>8718</v>
      </c>
      <c r="B8478">
        <v>422014270</v>
      </c>
      <c r="C8478">
        <v>2014</v>
      </c>
      <c r="D8478" t="s">
        <v>31</v>
      </c>
      <c r="E8478">
        <v>1</v>
      </c>
      <c r="F8478">
        <v>0.04</v>
      </c>
    </row>
    <row r="8479" s="76" customFormat="1" spans="1:6">
      <c r="A8479">
        <v>8717</v>
      </c>
      <c r="B8479">
        <v>422014270</v>
      </c>
      <c r="C8479">
        <v>2014</v>
      </c>
      <c r="D8479" t="s">
        <v>31</v>
      </c>
      <c r="E8479">
        <v>1</v>
      </c>
      <c r="F8479">
        <v>0.06</v>
      </c>
    </row>
    <row r="8480" s="76" customFormat="1" spans="1:6">
      <c r="A8480">
        <v>8714</v>
      </c>
      <c r="B8480">
        <v>422014270</v>
      </c>
      <c r="C8480">
        <v>2014</v>
      </c>
      <c r="D8480" t="s">
        <v>31</v>
      </c>
      <c r="E8480"/>
      <c r="F8480">
        <v>0.3</v>
      </c>
    </row>
    <row r="8481" s="76" customFormat="1" spans="1:6">
      <c r="A8481">
        <v>8713</v>
      </c>
      <c r="B8481">
        <v>422014270</v>
      </c>
      <c r="C8481">
        <v>2014</v>
      </c>
      <c r="D8481" t="s">
        <v>31</v>
      </c>
      <c r="E8481">
        <v>1</v>
      </c>
      <c r="F8481">
        <v>1</v>
      </c>
    </row>
    <row r="8482" s="76" customFormat="1" spans="1:6">
      <c r="A8482">
        <v>8716</v>
      </c>
      <c r="B8482">
        <v>422014270</v>
      </c>
      <c r="C8482">
        <v>2014</v>
      </c>
      <c r="D8482" t="s">
        <v>31</v>
      </c>
      <c r="E8482">
        <v>1</v>
      </c>
      <c r="F8482">
        <v>0.12</v>
      </c>
    </row>
    <row r="8483" s="76" customFormat="1" spans="1:6">
      <c r="A8483">
        <v>8728</v>
      </c>
      <c r="B8483">
        <v>422015110</v>
      </c>
      <c r="C8483">
        <v>2015</v>
      </c>
      <c r="D8483" t="s">
        <v>40</v>
      </c>
      <c r="E8483">
        <v>1</v>
      </c>
      <c r="F8483">
        <v>0.7</v>
      </c>
    </row>
    <row r="8484" s="76" customFormat="1" spans="1:6">
      <c r="A8484">
        <v>8727</v>
      </c>
      <c r="B8484">
        <v>422015110</v>
      </c>
      <c r="C8484">
        <v>2015</v>
      </c>
      <c r="D8484" t="s">
        <v>40</v>
      </c>
      <c r="E8484" t="s">
        <v>32</v>
      </c>
      <c r="F8484">
        <v>9</v>
      </c>
    </row>
    <row r="8485" s="76" customFormat="1" spans="1:6">
      <c r="A8485">
        <v>8729</v>
      </c>
      <c r="B8485">
        <v>422015110</v>
      </c>
      <c r="C8485">
        <v>2015</v>
      </c>
      <c r="D8485" t="s">
        <v>40</v>
      </c>
      <c r="E8485" t="s">
        <v>32</v>
      </c>
      <c r="F8485">
        <v>9</v>
      </c>
    </row>
    <row r="8486" s="76" customFormat="1" spans="1:6">
      <c r="A8486">
        <v>8734</v>
      </c>
      <c r="B8486">
        <v>422015110</v>
      </c>
      <c r="C8486">
        <v>2015</v>
      </c>
      <c r="D8486" t="s">
        <v>40</v>
      </c>
      <c r="E8486" t="s">
        <v>32</v>
      </c>
      <c r="F8486">
        <v>0.05</v>
      </c>
    </row>
    <row r="8487" s="76" customFormat="1" spans="1:6">
      <c r="A8487">
        <v>8733</v>
      </c>
      <c r="B8487">
        <v>422015110</v>
      </c>
      <c r="C8487">
        <v>2015</v>
      </c>
      <c r="D8487" t="s">
        <v>40</v>
      </c>
      <c r="E8487" t="s">
        <v>32</v>
      </c>
      <c r="F8487">
        <v>4</v>
      </c>
    </row>
    <row r="8488" s="76" customFormat="1" spans="1:6">
      <c r="A8488">
        <v>8719</v>
      </c>
      <c r="B8488">
        <v>422015110</v>
      </c>
      <c r="C8488">
        <v>2015</v>
      </c>
      <c r="D8488" t="s">
        <v>40</v>
      </c>
      <c r="E8488">
        <v>1</v>
      </c>
      <c r="F8488">
        <v>0.3</v>
      </c>
    </row>
    <row r="8489" s="76" customFormat="1" spans="1:6">
      <c r="A8489">
        <v>8730</v>
      </c>
      <c r="B8489">
        <v>422015110</v>
      </c>
      <c r="C8489">
        <v>2015</v>
      </c>
      <c r="D8489" t="s">
        <v>40</v>
      </c>
      <c r="E8489" t="s">
        <v>32</v>
      </c>
      <c r="F8489">
        <v>1.2</v>
      </c>
    </row>
    <row r="8490" s="76" customFormat="1" spans="1:6">
      <c r="A8490">
        <v>8721</v>
      </c>
      <c r="B8490">
        <v>422015110</v>
      </c>
      <c r="C8490">
        <v>2015</v>
      </c>
      <c r="D8490" t="s">
        <v>40</v>
      </c>
      <c r="E8490">
        <v>2</v>
      </c>
      <c r="F8490">
        <v>4</v>
      </c>
    </row>
    <row r="8491" s="76" customFormat="1" spans="1:6">
      <c r="A8491">
        <v>8726</v>
      </c>
      <c r="B8491">
        <v>422015110</v>
      </c>
      <c r="C8491">
        <v>2015</v>
      </c>
      <c r="D8491" t="s">
        <v>40</v>
      </c>
      <c r="E8491" t="s">
        <v>32</v>
      </c>
      <c r="F8491">
        <v>0.2</v>
      </c>
    </row>
    <row r="8492" s="76" customFormat="1" spans="1:6">
      <c r="A8492">
        <v>8720</v>
      </c>
      <c r="B8492">
        <v>422015110</v>
      </c>
      <c r="C8492">
        <v>2015</v>
      </c>
      <c r="D8492" t="s">
        <v>40</v>
      </c>
      <c r="E8492">
        <v>1</v>
      </c>
      <c r="F8492">
        <v>0.6</v>
      </c>
    </row>
    <row r="8493" s="76" customFormat="1" spans="1:6">
      <c r="A8493">
        <v>8724</v>
      </c>
      <c r="B8493">
        <v>422015110</v>
      </c>
      <c r="C8493">
        <v>2015</v>
      </c>
      <c r="D8493" t="s">
        <v>40</v>
      </c>
      <c r="E8493" t="s">
        <v>32</v>
      </c>
      <c r="F8493">
        <v>0.11</v>
      </c>
    </row>
    <row r="8494" s="76" customFormat="1" spans="1:6">
      <c r="A8494">
        <v>8732</v>
      </c>
      <c r="B8494">
        <v>422015110</v>
      </c>
      <c r="C8494">
        <v>2015</v>
      </c>
      <c r="D8494" t="s">
        <v>40</v>
      </c>
      <c r="E8494" t="s">
        <v>32</v>
      </c>
      <c r="F8494">
        <v>0.6</v>
      </c>
    </row>
    <row r="8495" s="76" customFormat="1" spans="1:6">
      <c r="A8495">
        <v>8725</v>
      </c>
      <c r="B8495">
        <v>422015110</v>
      </c>
      <c r="C8495">
        <v>2015</v>
      </c>
      <c r="D8495" t="s">
        <v>40</v>
      </c>
      <c r="E8495" t="s">
        <v>32</v>
      </c>
      <c r="F8495">
        <v>0.83</v>
      </c>
    </row>
    <row r="8496" s="76" customFormat="1" spans="1:6">
      <c r="A8496">
        <v>8722</v>
      </c>
      <c r="B8496">
        <v>422015110</v>
      </c>
      <c r="C8496">
        <v>2015</v>
      </c>
      <c r="D8496" t="s">
        <v>40</v>
      </c>
      <c r="E8496" t="s">
        <v>32</v>
      </c>
      <c r="F8496">
        <v>0.3</v>
      </c>
    </row>
    <row r="8497" s="76" customFormat="1" spans="1:6">
      <c r="A8497">
        <v>8723</v>
      </c>
      <c r="B8497">
        <v>422015110</v>
      </c>
      <c r="C8497">
        <v>2015</v>
      </c>
      <c r="D8497" t="s">
        <v>40</v>
      </c>
      <c r="E8497" t="s">
        <v>32</v>
      </c>
      <c r="F8497">
        <v>0.53</v>
      </c>
    </row>
    <row r="8498" s="76" customFormat="1" spans="1:6">
      <c r="A8498">
        <v>8731</v>
      </c>
      <c r="B8498">
        <v>422015110</v>
      </c>
      <c r="C8498">
        <v>2015</v>
      </c>
      <c r="D8498" t="s">
        <v>40</v>
      </c>
      <c r="E8498" t="s">
        <v>32</v>
      </c>
      <c r="F8498">
        <v>0.24</v>
      </c>
    </row>
    <row r="8499" s="76" customFormat="1" spans="1:6">
      <c r="A8499">
        <v>8735</v>
      </c>
      <c r="B8499">
        <v>422015211</v>
      </c>
      <c r="C8499">
        <v>2015</v>
      </c>
      <c r="D8499" t="s">
        <v>37</v>
      </c>
      <c r="E8499">
        <v>1</v>
      </c>
      <c r="F8499">
        <v>35</v>
      </c>
    </row>
    <row r="8500" s="76" customFormat="1" spans="1:6">
      <c r="A8500">
        <v>8736</v>
      </c>
      <c r="B8500">
        <v>422015211</v>
      </c>
      <c r="C8500">
        <v>2015</v>
      </c>
      <c r="D8500" t="s">
        <v>37</v>
      </c>
      <c r="E8500" t="s">
        <v>32</v>
      </c>
      <c r="F8500">
        <v>3</v>
      </c>
    </row>
    <row r="8501" s="76" customFormat="1" spans="1:6">
      <c r="A8501">
        <v>8737</v>
      </c>
      <c r="B8501">
        <v>422015221</v>
      </c>
      <c r="C8501">
        <v>2015</v>
      </c>
      <c r="D8501" t="s">
        <v>30</v>
      </c>
      <c r="E8501">
        <v>1</v>
      </c>
      <c r="F8501">
        <v>18.5</v>
      </c>
    </row>
    <row r="8502" s="76" customFormat="1" spans="1:6">
      <c r="A8502">
        <v>8738</v>
      </c>
      <c r="B8502">
        <v>422015221</v>
      </c>
      <c r="C8502">
        <v>2015</v>
      </c>
      <c r="D8502" t="s">
        <v>30</v>
      </c>
      <c r="E8502">
        <v>1</v>
      </c>
      <c r="F8502">
        <v>18.5</v>
      </c>
    </row>
    <row r="8503" s="76" customFormat="1" spans="1:6">
      <c r="A8503">
        <v>8739</v>
      </c>
      <c r="B8503">
        <v>422015241</v>
      </c>
      <c r="C8503">
        <v>2015</v>
      </c>
      <c r="D8503" t="s">
        <v>33</v>
      </c>
      <c r="E8503">
        <v>2</v>
      </c>
      <c r="F8503">
        <v>0.81</v>
      </c>
    </row>
    <row r="8504" s="76" customFormat="1" spans="1:6">
      <c r="A8504">
        <v>8741</v>
      </c>
      <c r="B8504">
        <v>422015241</v>
      </c>
      <c r="C8504">
        <v>2015</v>
      </c>
      <c r="D8504" t="s">
        <v>33</v>
      </c>
      <c r="E8504">
        <v>1</v>
      </c>
      <c r="F8504">
        <v>0.75</v>
      </c>
    </row>
    <row r="8505" s="76" customFormat="1" spans="1:6">
      <c r="A8505">
        <v>8742</v>
      </c>
      <c r="B8505">
        <v>422015241</v>
      </c>
      <c r="C8505">
        <v>2015</v>
      </c>
      <c r="D8505" t="s">
        <v>33</v>
      </c>
      <c r="E8505" t="s">
        <v>32</v>
      </c>
      <c r="F8505">
        <v>1</v>
      </c>
    </row>
    <row r="8506" s="76" customFormat="1" spans="1:6">
      <c r="A8506">
        <v>8740</v>
      </c>
      <c r="B8506">
        <v>422015241</v>
      </c>
      <c r="C8506">
        <v>2015</v>
      </c>
      <c r="D8506" t="s">
        <v>33</v>
      </c>
      <c r="E8506">
        <v>1</v>
      </c>
      <c r="F8506">
        <v>0.75</v>
      </c>
    </row>
    <row r="8507" s="76" customFormat="1" spans="1:6">
      <c r="A8507">
        <v>8743</v>
      </c>
      <c r="B8507">
        <v>422015243</v>
      </c>
      <c r="C8507">
        <v>2015</v>
      </c>
      <c r="D8507" t="s">
        <v>38</v>
      </c>
      <c r="E8507">
        <v>2</v>
      </c>
      <c r="F8507">
        <v>3</v>
      </c>
    </row>
    <row r="8508" s="76" customFormat="1" spans="1:6">
      <c r="A8508">
        <v>8747</v>
      </c>
      <c r="B8508">
        <v>422015260</v>
      </c>
      <c r="C8508">
        <v>2015</v>
      </c>
      <c r="D8508" t="s">
        <v>34</v>
      </c>
      <c r="E8508">
        <v>12</v>
      </c>
      <c r="F8508">
        <v>2.4</v>
      </c>
    </row>
    <row r="8509" s="76" customFormat="1" spans="1:6">
      <c r="A8509">
        <v>8752</v>
      </c>
      <c r="B8509">
        <v>422015260</v>
      </c>
      <c r="C8509">
        <v>2015</v>
      </c>
      <c r="D8509" t="s">
        <v>34</v>
      </c>
      <c r="E8509">
        <v>27</v>
      </c>
      <c r="F8509">
        <v>5.4</v>
      </c>
    </row>
    <row r="8510" s="76" customFormat="1" spans="1:6">
      <c r="A8510">
        <v>8753</v>
      </c>
      <c r="B8510">
        <v>422015260</v>
      </c>
      <c r="C8510">
        <v>2015</v>
      </c>
      <c r="D8510" t="s">
        <v>34</v>
      </c>
      <c r="E8510">
        <v>4</v>
      </c>
      <c r="F8510">
        <v>3.6</v>
      </c>
    </row>
    <row r="8511" s="76" customFormat="1" spans="1:6">
      <c r="A8511">
        <v>8745</v>
      </c>
      <c r="B8511">
        <v>422015260</v>
      </c>
      <c r="C8511">
        <v>2015</v>
      </c>
      <c r="D8511" t="s">
        <v>34</v>
      </c>
      <c r="E8511">
        <v>1</v>
      </c>
      <c r="F8511">
        <v>0.2</v>
      </c>
    </row>
    <row r="8512" s="76" customFormat="1" spans="1:6">
      <c r="A8512">
        <v>8749</v>
      </c>
      <c r="B8512">
        <v>422015260</v>
      </c>
      <c r="C8512">
        <v>2015</v>
      </c>
      <c r="D8512" t="s">
        <v>34</v>
      </c>
      <c r="E8512" t="s">
        <v>32</v>
      </c>
      <c r="F8512">
        <v>1</v>
      </c>
    </row>
    <row r="8513" s="76" customFormat="1" spans="1:6">
      <c r="A8513">
        <v>8756</v>
      </c>
      <c r="B8513">
        <v>422015260</v>
      </c>
      <c r="C8513">
        <v>2015</v>
      </c>
      <c r="D8513" t="s">
        <v>34</v>
      </c>
      <c r="E8513" t="s">
        <v>32</v>
      </c>
      <c r="F8513">
        <v>0.4</v>
      </c>
    </row>
    <row r="8514" s="76" customFormat="1" spans="1:6">
      <c r="A8514">
        <v>8751</v>
      </c>
      <c r="B8514">
        <v>422015260</v>
      </c>
      <c r="C8514">
        <v>2015</v>
      </c>
      <c r="D8514" t="s">
        <v>34</v>
      </c>
      <c r="E8514">
        <v>25</v>
      </c>
      <c r="F8514">
        <v>4.95</v>
      </c>
    </row>
    <row r="8515" s="76" customFormat="1" spans="1:6">
      <c r="A8515">
        <v>8750</v>
      </c>
      <c r="B8515">
        <v>422015260</v>
      </c>
      <c r="C8515">
        <v>2015</v>
      </c>
      <c r="D8515" t="s">
        <v>34</v>
      </c>
      <c r="E8515">
        <v>11</v>
      </c>
      <c r="F8515">
        <v>2.2</v>
      </c>
    </row>
    <row r="8516" s="76" customFormat="1" spans="1:6">
      <c r="A8516">
        <v>8746</v>
      </c>
      <c r="B8516">
        <v>422015260</v>
      </c>
      <c r="C8516">
        <v>2015</v>
      </c>
      <c r="D8516" t="s">
        <v>34</v>
      </c>
      <c r="E8516">
        <v>24</v>
      </c>
      <c r="F8516">
        <v>4.8</v>
      </c>
    </row>
    <row r="8517" s="76" customFormat="1" spans="1:6">
      <c r="A8517">
        <v>8755</v>
      </c>
      <c r="B8517">
        <v>422015260</v>
      </c>
      <c r="C8517">
        <v>2015</v>
      </c>
      <c r="D8517" t="s">
        <v>34</v>
      </c>
      <c r="E8517" t="s">
        <v>32</v>
      </c>
      <c r="F8517">
        <v>4.98</v>
      </c>
    </row>
    <row r="8518" s="76" customFormat="1" spans="1:6">
      <c r="A8518">
        <v>8757</v>
      </c>
      <c r="B8518">
        <v>422015260</v>
      </c>
      <c r="C8518">
        <v>2015</v>
      </c>
      <c r="D8518" t="s">
        <v>34</v>
      </c>
      <c r="E8518" t="s">
        <v>32</v>
      </c>
      <c r="F8518">
        <v>4.98</v>
      </c>
    </row>
    <row r="8519" s="76" customFormat="1" spans="1:6">
      <c r="A8519">
        <v>8748</v>
      </c>
      <c r="B8519">
        <v>422015260</v>
      </c>
      <c r="C8519">
        <v>2015</v>
      </c>
      <c r="D8519" t="s">
        <v>34</v>
      </c>
      <c r="E8519">
        <v>33</v>
      </c>
      <c r="F8519">
        <v>4.95</v>
      </c>
    </row>
    <row r="8520" s="76" customFormat="1" spans="1:6">
      <c r="A8520">
        <v>8744</v>
      </c>
      <c r="B8520">
        <v>422015260</v>
      </c>
      <c r="C8520">
        <v>2015</v>
      </c>
      <c r="D8520" t="s">
        <v>34</v>
      </c>
      <c r="E8520">
        <v>33</v>
      </c>
      <c r="F8520">
        <v>4.95</v>
      </c>
    </row>
    <row r="8521" s="76" customFormat="1" spans="1:6">
      <c r="A8521">
        <v>8754</v>
      </c>
      <c r="B8521">
        <v>422015260</v>
      </c>
      <c r="C8521">
        <v>2015</v>
      </c>
      <c r="D8521" t="s">
        <v>34</v>
      </c>
      <c r="E8521" t="s">
        <v>32</v>
      </c>
      <c r="F8521">
        <v>4.65</v>
      </c>
    </row>
    <row r="8522" s="76" customFormat="1" spans="1:6">
      <c r="A8522">
        <v>8768</v>
      </c>
      <c r="B8522">
        <v>422015270</v>
      </c>
      <c r="C8522">
        <v>2015</v>
      </c>
      <c r="D8522" t="s">
        <v>31</v>
      </c>
      <c r="E8522" t="s">
        <v>32</v>
      </c>
      <c r="F8522">
        <v>5</v>
      </c>
    </row>
    <row r="8523" s="76" customFormat="1" spans="1:6">
      <c r="A8523">
        <v>8758</v>
      </c>
      <c r="B8523">
        <v>422015270</v>
      </c>
      <c r="C8523">
        <v>2015</v>
      </c>
      <c r="D8523" t="s">
        <v>31</v>
      </c>
      <c r="E8523" t="s">
        <v>32</v>
      </c>
      <c r="F8523">
        <v>2</v>
      </c>
    </row>
    <row r="8524" s="76" customFormat="1" spans="1:6">
      <c r="A8524">
        <v>8761</v>
      </c>
      <c r="B8524">
        <v>422015270</v>
      </c>
      <c r="C8524">
        <v>2015</v>
      </c>
      <c r="D8524" t="s">
        <v>31</v>
      </c>
      <c r="E8524" t="s">
        <v>32</v>
      </c>
      <c r="F8524">
        <v>3</v>
      </c>
    </row>
    <row r="8525" s="76" customFormat="1" spans="1:6">
      <c r="A8525">
        <v>8760</v>
      </c>
      <c r="B8525">
        <v>422015270</v>
      </c>
      <c r="C8525">
        <v>2015</v>
      </c>
      <c r="D8525" t="s">
        <v>31</v>
      </c>
      <c r="E8525" t="s">
        <v>32</v>
      </c>
      <c r="F8525">
        <v>3</v>
      </c>
    </row>
    <row r="8526" s="76" customFormat="1" spans="1:6">
      <c r="A8526">
        <v>8763</v>
      </c>
      <c r="B8526">
        <v>422015270</v>
      </c>
      <c r="C8526">
        <v>2015</v>
      </c>
      <c r="D8526" t="s">
        <v>31</v>
      </c>
      <c r="E8526" t="s">
        <v>32</v>
      </c>
      <c r="F8526">
        <v>0.21</v>
      </c>
    </row>
    <row r="8527" s="76" customFormat="1" spans="1:6">
      <c r="A8527">
        <v>8764</v>
      </c>
      <c r="B8527">
        <v>422015270</v>
      </c>
      <c r="C8527">
        <v>2015</v>
      </c>
      <c r="D8527" t="s">
        <v>31</v>
      </c>
      <c r="E8527" t="s">
        <v>32</v>
      </c>
      <c r="F8527">
        <v>0.01</v>
      </c>
    </row>
    <row r="8528" s="76" customFormat="1" spans="1:6">
      <c r="A8528">
        <v>8759</v>
      </c>
      <c r="B8528">
        <v>422015270</v>
      </c>
      <c r="C8528">
        <v>2015</v>
      </c>
      <c r="D8528" t="s">
        <v>31</v>
      </c>
      <c r="E8528" t="s">
        <v>32</v>
      </c>
      <c r="F8528">
        <v>4</v>
      </c>
    </row>
    <row r="8529" s="76" customFormat="1" spans="1:6">
      <c r="A8529">
        <v>8762</v>
      </c>
      <c r="B8529">
        <v>422015270</v>
      </c>
      <c r="C8529">
        <v>2015</v>
      </c>
      <c r="D8529" t="s">
        <v>31</v>
      </c>
      <c r="E8529">
        <v>1</v>
      </c>
      <c r="F8529">
        <v>0.28</v>
      </c>
    </row>
    <row r="8530" s="76" customFormat="1" spans="1:6">
      <c r="A8530">
        <v>8765</v>
      </c>
      <c r="B8530">
        <v>422015270</v>
      </c>
      <c r="C8530">
        <v>2015</v>
      </c>
      <c r="D8530" t="s">
        <v>31</v>
      </c>
      <c r="E8530" t="s">
        <v>32</v>
      </c>
      <c r="F8530">
        <v>0.01</v>
      </c>
    </row>
    <row r="8531" s="76" customFormat="1" spans="1:6">
      <c r="A8531">
        <v>8769</v>
      </c>
      <c r="B8531">
        <v>422015270</v>
      </c>
      <c r="C8531">
        <v>2015</v>
      </c>
      <c r="D8531" t="s">
        <v>31</v>
      </c>
      <c r="E8531" t="s">
        <v>32</v>
      </c>
      <c r="F8531">
        <v>1</v>
      </c>
    </row>
    <row r="8532" s="76" customFormat="1" spans="1:6">
      <c r="A8532">
        <v>8766</v>
      </c>
      <c r="B8532">
        <v>422015270</v>
      </c>
      <c r="C8532">
        <v>2015</v>
      </c>
      <c r="D8532" t="s">
        <v>31</v>
      </c>
      <c r="E8532" t="s">
        <v>32</v>
      </c>
      <c r="F8532">
        <v>10</v>
      </c>
    </row>
    <row r="8533" s="76" customFormat="1" spans="1:6">
      <c r="A8533">
        <v>8767</v>
      </c>
      <c r="B8533">
        <v>422015270</v>
      </c>
      <c r="C8533">
        <v>2015</v>
      </c>
      <c r="D8533" t="s">
        <v>31</v>
      </c>
      <c r="E8533" t="s">
        <v>32</v>
      </c>
      <c r="F8533">
        <v>11</v>
      </c>
    </row>
    <row r="8534" s="76" customFormat="1" spans="1:6">
      <c r="A8534">
        <v>8770</v>
      </c>
      <c r="B8534">
        <v>422015270</v>
      </c>
      <c r="C8534">
        <v>2015</v>
      </c>
      <c r="D8534" t="s">
        <v>31</v>
      </c>
      <c r="E8534" t="s">
        <v>32</v>
      </c>
      <c r="F8534">
        <v>0.6</v>
      </c>
    </row>
    <row r="8535" s="76" customFormat="1" spans="1:6">
      <c r="A8535">
        <v>8771</v>
      </c>
      <c r="B8535">
        <v>422015270</v>
      </c>
      <c r="C8535">
        <v>2015</v>
      </c>
      <c r="D8535" t="s">
        <v>31</v>
      </c>
      <c r="E8535" t="s">
        <v>32</v>
      </c>
      <c r="F8535">
        <v>2.77</v>
      </c>
    </row>
    <row r="8536" s="76" customFormat="1" spans="1:6">
      <c r="A8536">
        <v>8778</v>
      </c>
      <c r="B8536">
        <v>422016110</v>
      </c>
      <c r="C8536" s="76">
        <v>2016</v>
      </c>
      <c r="D8536" s="76" t="s">
        <v>40</v>
      </c>
      <c r="E8536" s="76" t="s">
        <v>32</v>
      </c>
      <c r="F8536" s="76">
        <v>1</v>
      </c>
    </row>
    <row r="8537" s="76" customFormat="1" spans="1:6">
      <c r="A8537">
        <v>8779</v>
      </c>
      <c r="B8537">
        <v>422016110</v>
      </c>
      <c r="C8537" s="76">
        <v>2016</v>
      </c>
      <c r="D8537" s="76" t="s">
        <v>40</v>
      </c>
      <c r="E8537" s="76" t="s">
        <v>32</v>
      </c>
      <c r="F8537" s="76">
        <v>1</v>
      </c>
    </row>
    <row r="8538" s="76" customFormat="1" spans="1:6">
      <c r="A8538">
        <v>8772</v>
      </c>
      <c r="B8538">
        <v>422016110</v>
      </c>
      <c r="C8538" s="76">
        <v>2016</v>
      </c>
      <c r="D8538" s="76" t="s">
        <v>40</v>
      </c>
      <c r="E8538" s="76" t="s">
        <v>32</v>
      </c>
      <c r="F8538" s="76">
        <v>1.5</v>
      </c>
    </row>
    <row r="8539" s="76" customFormat="1" spans="1:6">
      <c r="A8539">
        <v>8774</v>
      </c>
      <c r="B8539">
        <v>422016110</v>
      </c>
      <c r="C8539" s="76">
        <v>2016</v>
      </c>
      <c r="D8539" s="76" t="s">
        <v>40</v>
      </c>
      <c r="E8539" s="76" t="s">
        <v>32</v>
      </c>
      <c r="F8539" s="76">
        <v>1.04</v>
      </c>
    </row>
    <row r="8540" s="76" customFormat="1" spans="1:6">
      <c r="A8540">
        <v>8775</v>
      </c>
      <c r="B8540">
        <v>422016110</v>
      </c>
      <c r="C8540" s="76">
        <v>2016</v>
      </c>
      <c r="D8540" s="76" t="s">
        <v>40</v>
      </c>
      <c r="E8540" s="76" t="s">
        <v>32</v>
      </c>
      <c r="F8540" s="76">
        <v>0.03</v>
      </c>
    </row>
    <row r="8541" s="76" customFormat="1" spans="1:6">
      <c r="A8541">
        <v>8777</v>
      </c>
      <c r="B8541">
        <v>422016110</v>
      </c>
      <c r="C8541" s="76">
        <v>2016</v>
      </c>
      <c r="D8541" s="76" t="s">
        <v>40</v>
      </c>
      <c r="E8541" s="76" t="s">
        <v>32</v>
      </c>
      <c r="F8541" s="76">
        <v>0.21</v>
      </c>
    </row>
    <row r="8542" s="76" customFormat="1" spans="1:6">
      <c r="A8542">
        <v>8776</v>
      </c>
      <c r="B8542">
        <v>422016110</v>
      </c>
      <c r="C8542" s="76">
        <v>2016</v>
      </c>
      <c r="D8542" s="76" t="s">
        <v>40</v>
      </c>
      <c r="E8542" s="76" t="s">
        <v>32</v>
      </c>
      <c r="F8542" s="76">
        <v>0.4</v>
      </c>
    </row>
    <row r="8543" s="76" customFormat="1" spans="1:6">
      <c r="A8543">
        <v>8773</v>
      </c>
      <c r="B8543">
        <v>422016110</v>
      </c>
      <c r="C8543" s="76">
        <v>2016</v>
      </c>
      <c r="D8543" s="76" t="s">
        <v>40</v>
      </c>
      <c r="E8543" s="76" t="s">
        <v>32</v>
      </c>
      <c r="F8543" s="76">
        <v>1</v>
      </c>
    </row>
    <row r="8544" s="76" customFormat="1" spans="1:6">
      <c r="A8544">
        <v>8782</v>
      </c>
      <c r="B8544">
        <v>422016211</v>
      </c>
      <c r="C8544" s="76">
        <v>2016</v>
      </c>
      <c r="D8544" s="76" t="s">
        <v>37</v>
      </c>
      <c r="E8544" s="76">
        <v>1</v>
      </c>
      <c r="F8544" s="76">
        <v>5</v>
      </c>
    </row>
    <row r="8545" s="76" customFormat="1" spans="1:6">
      <c r="A8545">
        <v>8781</v>
      </c>
      <c r="B8545">
        <v>422016211</v>
      </c>
      <c r="C8545" s="76">
        <v>2016</v>
      </c>
      <c r="D8545" s="76" t="s">
        <v>37</v>
      </c>
      <c r="E8545" s="76">
        <v>1</v>
      </c>
      <c r="F8545" s="76">
        <v>100</v>
      </c>
    </row>
    <row r="8546" s="76" customFormat="1" spans="1:6">
      <c r="A8546">
        <v>8783</v>
      </c>
      <c r="B8546">
        <v>422016211</v>
      </c>
      <c r="C8546" s="76">
        <v>2016</v>
      </c>
      <c r="D8546" s="76" t="s">
        <v>37</v>
      </c>
      <c r="E8546" s="76" t="s">
        <v>32</v>
      </c>
      <c r="F8546" s="76">
        <v>3</v>
      </c>
    </row>
    <row r="8547" s="76" customFormat="1" spans="1:6">
      <c r="A8547">
        <v>8789</v>
      </c>
      <c r="B8547">
        <v>422016241</v>
      </c>
      <c r="C8547" s="76">
        <v>2016</v>
      </c>
      <c r="D8547" s="76" t="s">
        <v>33</v>
      </c>
      <c r="E8547" s="76" t="s">
        <v>32</v>
      </c>
      <c r="F8547" s="76">
        <v>0.9</v>
      </c>
    </row>
    <row r="8548" s="76" customFormat="1" spans="1:6">
      <c r="A8548">
        <v>8788</v>
      </c>
      <c r="B8548">
        <v>422016241</v>
      </c>
      <c r="C8548" s="76">
        <v>2016</v>
      </c>
      <c r="D8548" s="76" t="s">
        <v>33</v>
      </c>
      <c r="E8548" s="76" t="s">
        <v>32</v>
      </c>
      <c r="F8548" s="76">
        <v>0.9</v>
      </c>
    </row>
    <row r="8549" s="76" customFormat="1" spans="1:6">
      <c r="A8549">
        <v>8790</v>
      </c>
      <c r="B8549">
        <v>422016241</v>
      </c>
      <c r="C8549" s="76">
        <v>2016</v>
      </c>
      <c r="D8549" s="76" t="s">
        <v>33</v>
      </c>
      <c r="E8549" s="76" t="s">
        <v>32</v>
      </c>
      <c r="F8549" s="76">
        <v>0.6</v>
      </c>
    </row>
    <row r="8550" s="76" customFormat="1" spans="1:6">
      <c r="A8550">
        <v>8792</v>
      </c>
      <c r="B8550">
        <v>422016241</v>
      </c>
      <c r="C8550" s="76">
        <v>2016</v>
      </c>
      <c r="D8550" s="76" t="s">
        <v>33</v>
      </c>
      <c r="E8550" s="76" t="s">
        <v>32</v>
      </c>
      <c r="F8550" s="76">
        <v>1.5</v>
      </c>
    </row>
    <row r="8551" s="76" customFormat="1" spans="1:6">
      <c r="A8551">
        <v>8784</v>
      </c>
      <c r="B8551">
        <v>422016241</v>
      </c>
      <c r="C8551" s="76">
        <v>2016</v>
      </c>
      <c r="D8551" s="76" t="s">
        <v>33</v>
      </c>
      <c r="E8551" s="76" t="s">
        <v>32</v>
      </c>
      <c r="F8551" s="76">
        <v>0.75</v>
      </c>
    </row>
    <row r="8552" s="76" customFormat="1" spans="1:6">
      <c r="A8552">
        <v>8786</v>
      </c>
      <c r="B8552">
        <v>422016241</v>
      </c>
      <c r="C8552" s="76">
        <v>2016</v>
      </c>
      <c r="D8552" s="76" t="s">
        <v>33</v>
      </c>
      <c r="E8552" s="76" t="s">
        <v>32</v>
      </c>
      <c r="F8552" s="76">
        <v>2.4</v>
      </c>
    </row>
    <row r="8553" s="76" customFormat="1" spans="1:6">
      <c r="A8553">
        <v>8785</v>
      </c>
      <c r="B8553">
        <v>422016241</v>
      </c>
      <c r="C8553" s="76">
        <v>2016</v>
      </c>
      <c r="D8553" s="76" t="s">
        <v>33</v>
      </c>
      <c r="E8553" s="76" t="s">
        <v>32</v>
      </c>
      <c r="F8553" s="76">
        <v>1.2</v>
      </c>
    </row>
    <row r="8554" s="76" customFormat="1" spans="1:6">
      <c r="A8554">
        <v>8791</v>
      </c>
      <c r="B8554">
        <v>422016241</v>
      </c>
      <c r="C8554" s="76">
        <v>2016</v>
      </c>
      <c r="D8554" s="76" t="s">
        <v>33</v>
      </c>
      <c r="E8554" s="76" t="s">
        <v>32</v>
      </c>
      <c r="F8554" s="76">
        <v>1.2</v>
      </c>
    </row>
    <row r="8555" s="76" customFormat="1" spans="1:6">
      <c r="A8555">
        <v>8793</v>
      </c>
      <c r="B8555">
        <v>422016241</v>
      </c>
      <c r="C8555" s="76">
        <v>2016</v>
      </c>
      <c r="D8555" s="76" t="s">
        <v>33</v>
      </c>
      <c r="E8555" s="76" t="s">
        <v>32</v>
      </c>
      <c r="F8555" s="76">
        <v>0.3</v>
      </c>
    </row>
    <row r="8556" s="76" customFormat="1" spans="1:6">
      <c r="A8556">
        <v>8787</v>
      </c>
      <c r="B8556">
        <v>422016241</v>
      </c>
      <c r="C8556" s="76">
        <v>2016</v>
      </c>
      <c r="D8556" s="76" t="s">
        <v>33</v>
      </c>
      <c r="E8556" s="76" t="s">
        <v>32</v>
      </c>
      <c r="F8556" s="76">
        <v>1</v>
      </c>
    </row>
    <row r="8557" s="76" customFormat="1" spans="1:6">
      <c r="A8557">
        <v>8795</v>
      </c>
      <c r="B8557">
        <v>422016242</v>
      </c>
      <c r="C8557" s="76">
        <v>2016</v>
      </c>
      <c r="D8557" s="76" t="s">
        <v>35</v>
      </c>
      <c r="E8557" s="76" t="s">
        <v>32</v>
      </c>
      <c r="F8557" s="76">
        <v>1.2</v>
      </c>
    </row>
    <row r="8558" s="76" customFormat="1" spans="1:6">
      <c r="A8558">
        <v>8796</v>
      </c>
      <c r="B8558">
        <v>422016242</v>
      </c>
      <c r="C8558" s="76">
        <v>2016</v>
      </c>
      <c r="D8558" s="76" t="s">
        <v>35</v>
      </c>
      <c r="E8558" s="76" t="s">
        <v>32</v>
      </c>
      <c r="F8558" s="76">
        <v>0.2</v>
      </c>
    </row>
    <row r="8559" s="76" customFormat="1" spans="1:6">
      <c r="A8559">
        <v>8797</v>
      </c>
      <c r="B8559">
        <v>422016260</v>
      </c>
      <c r="C8559" s="76">
        <v>2016</v>
      </c>
      <c r="D8559" s="76" t="s">
        <v>34</v>
      </c>
      <c r="E8559" s="76">
        <v>8</v>
      </c>
      <c r="F8559" s="76">
        <v>1.6</v>
      </c>
    </row>
    <row r="8560" s="76" customFormat="1" spans="1:6">
      <c r="A8560">
        <v>8802</v>
      </c>
      <c r="B8560">
        <v>422016260</v>
      </c>
      <c r="C8560" s="76">
        <v>2016</v>
      </c>
      <c r="D8560" s="76" t="s">
        <v>34</v>
      </c>
      <c r="E8560" s="76">
        <v>13</v>
      </c>
      <c r="F8560" s="76">
        <v>2.6</v>
      </c>
    </row>
    <row r="8561" s="76" customFormat="1" spans="1:6">
      <c r="A8561">
        <v>8799</v>
      </c>
      <c r="B8561">
        <v>422016260</v>
      </c>
      <c r="C8561" s="76">
        <v>2016</v>
      </c>
      <c r="D8561" s="76" t="s">
        <v>34</v>
      </c>
      <c r="E8561" s="76">
        <v>7</v>
      </c>
      <c r="F8561" s="76">
        <v>1.4</v>
      </c>
    </row>
    <row r="8562" s="76" customFormat="1" spans="1:6">
      <c r="A8562">
        <v>8813</v>
      </c>
      <c r="B8562">
        <v>422016260</v>
      </c>
      <c r="C8562" s="76">
        <v>2016</v>
      </c>
      <c r="D8562" s="76" t="s">
        <v>34</v>
      </c>
      <c r="E8562" s="76" t="s">
        <v>32</v>
      </c>
      <c r="F8562" s="76">
        <v>2</v>
      </c>
    </row>
    <row r="8563" s="76" customFormat="1" spans="1:6">
      <c r="A8563">
        <v>8811</v>
      </c>
      <c r="B8563">
        <v>422016260</v>
      </c>
      <c r="C8563" s="76">
        <v>2016</v>
      </c>
      <c r="D8563" s="76" t="s">
        <v>34</v>
      </c>
      <c r="E8563" s="76" t="s">
        <v>32</v>
      </c>
      <c r="F8563" s="76">
        <v>0.4</v>
      </c>
    </row>
    <row r="8564" s="76" customFormat="1" spans="1:6">
      <c r="A8564">
        <v>8807</v>
      </c>
      <c r="B8564">
        <v>422016260</v>
      </c>
      <c r="C8564" s="76">
        <v>2016</v>
      </c>
      <c r="D8564" s="76" t="s">
        <v>34</v>
      </c>
      <c r="E8564" s="76" t="s">
        <v>32</v>
      </c>
      <c r="F8564" s="76">
        <v>7.6</v>
      </c>
    </row>
    <row r="8565" s="76" customFormat="1" spans="1:6">
      <c r="A8565">
        <v>8804</v>
      </c>
      <c r="B8565">
        <v>422016260</v>
      </c>
      <c r="C8565" s="76">
        <v>2016</v>
      </c>
      <c r="D8565" s="76" t="s">
        <v>34</v>
      </c>
      <c r="E8565" s="76">
        <v>48</v>
      </c>
      <c r="F8565" s="76">
        <v>9.6</v>
      </c>
    </row>
    <row r="8566" s="76" customFormat="1" spans="1:6">
      <c r="A8566">
        <v>8801</v>
      </c>
      <c r="B8566">
        <v>422016260</v>
      </c>
      <c r="C8566" s="76">
        <v>2016</v>
      </c>
      <c r="D8566" s="76" t="s">
        <v>34</v>
      </c>
      <c r="E8566" s="76">
        <v>40</v>
      </c>
      <c r="F8566" s="76">
        <v>8</v>
      </c>
    </row>
    <row r="8567" s="76" customFormat="1" spans="1:6">
      <c r="A8567">
        <v>8800</v>
      </c>
      <c r="B8567">
        <v>422016260</v>
      </c>
      <c r="C8567" s="76">
        <v>2016</v>
      </c>
      <c r="D8567" s="76" t="s">
        <v>34</v>
      </c>
      <c r="E8567" s="76">
        <v>24</v>
      </c>
      <c r="F8567" s="76">
        <v>4.8</v>
      </c>
    </row>
    <row r="8568" s="76" customFormat="1" spans="1:6">
      <c r="A8568">
        <v>8803</v>
      </c>
      <c r="B8568">
        <v>422016260</v>
      </c>
      <c r="C8568" s="76">
        <v>2016</v>
      </c>
      <c r="D8568" s="76" t="s">
        <v>34</v>
      </c>
      <c r="E8568" s="76">
        <v>50</v>
      </c>
      <c r="F8568" s="76">
        <v>10</v>
      </c>
    </row>
    <row r="8569" s="76" customFormat="1" spans="1:6">
      <c r="A8569">
        <v>8812</v>
      </c>
      <c r="B8569">
        <v>422016260</v>
      </c>
      <c r="C8569" s="76">
        <v>2016</v>
      </c>
      <c r="D8569" s="76" t="s">
        <v>34</v>
      </c>
      <c r="E8569" s="76">
        <v>24</v>
      </c>
      <c r="F8569" s="76">
        <v>4.8</v>
      </c>
    </row>
    <row r="8570" s="76" customFormat="1" spans="1:6">
      <c r="A8570">
        <v>8798</v>
      </c>
      <c r="B8570">
        <v>422016260</v>
      </c>
      <c r="C8570" s="76">
        <v>2016</v>
      </c>
      <c r="D8570" s="76" t="s">
        <v>34</v>
      </c>
      <c r="E8570" s="76">
        <v>25</v>
      </c>
      <c r="F8570" s="76">
        <v>4.95</v>
      </c>
    </row>
    <row r="8571" s="76" customFormat="1" spans="1:6">
      <c r="A8571">
        <v>8805</v>
      </c>
      <c r="B8571">
        <v>422016260</v>
      </c>
      <c r="C8571" s="76">
        <v>2016</v>
      </c>
      <c r="D8571" s="76" t="s">
        <v>34</v>
      </c>
      <c r="E8571" s="76">
        <v>36</v>
      </c>
      <c r="F8571" s="76">
        <v>7.2</v>
      </c>
    </row>
    <row r="8572" s="76" customFormat="1" spans="1:6">
      <c r="A8572">
        <v>8810</v>
      </c>
      <c r="B8572">
        <v>422016260</v>
      </c>
      <c r="C8572" s="76">
        <v>2016</v>
      </c>
      <c r="D8572" s="76" t="s">
        <v>34</v>
      </c>
      <c r="E8572" s="76" t="s">
        <v>32</v>
      </c>
      <c r="F8572" s="76">
        <v>4.8</v>
      </c>
    </row>
    <row r="8573" s="76" customFormat="1" spans="1:6">
      <c r="A8573">
        <v>8809</v>
      </c>
      <c r="B8573">
        <v>422016260</v>
      </c>
      <c r="C8573" s="76">
        <v>2016</v>
      </c>
      <c r="D8573" s="76" t="s">
        <v>34</v>
      </c>
      <c r="E8573" s="76" t="s">
        <v>32</v>
      </c>
      <c r="F8573" s="76">
        <v>1.6</v>
      </c>
    </row>
    <row r="8574" s="76" customFormat="1" spans="1:6">
      <c r="A8574">
        <v>8806</v>
      </c>
      <c r="B8574">
        <v>422016260</v>
      </c>
      <c r="C8574" s="76">
        <v>2016</v>
      </c>
      <c r="D8574" s="76" t="s">
        <v>34</v>
      </c>
      <c r="E8574" s="76">
        <v>35</v>
      </c>
      <c r="F8574" s="76">
        <v>7</v>
      </c>
    </row>
    <row r="8575" s="76" customFormat="1" spans="1:6">
      <c r="A8575">
        <v>8808</v>
      </c>
      <c r="B8575">
        <v>422016260</v>
      </c>
      <c r="C8575" s="76">
        <v>2016</v>
      </c>
      <c r="D8575" s="76" t="s">
        <v>34</v>
      </c>
      <c r="E8575" s="76" t="s">
        <v>32</v>
      </c>
      <c r="F8575" s="76">
        <v>4.95</v>
      </c>
    </row>
    <row r="8576" s="76" customFormat="1" spans="1:6">
      <c r="A8576">
        <v>8829</v>
      </c>
      <c r="B8576">
        <v>422016270</v>
      </c>
      <c r="C8576" s="76">
        <v>2016</v>
      </c>
      <c r="D8576" s="76" t="s">
        <v>31</v>
      </c>
      <c r="E8576" s="76" t="s">
        <v>32</v>
      </c>
      <c r="F8576" s="76">
        <v>3.4</v>
      </c>
    </row>
    <row r="8577" s="76" customFormat="1" spans="1:6">
      <c r="A8577">
        <v>8823</v>
      </c>
      <c r="B8577">
        <v>422016270</v>
      </c>
      <c r="C8577" s="76">
        <v>2016</v>
      </c>
      <c r="D8577" s="76" t="s">
        <v>31</v>
      </c>
      <c r="E8577" s="76" t="s">
        <v>32</v>
      </c>
      <c r="F8577" s="76">
        <v>5</v>
      </c>
    </row>
    <row r="8578" s="76" customFormat="1" spans="1:6">
      <c r="A8578">
        <v>8816</v>
      </c>
      <c r="B8578">
        <v>422016270</v>
      </c>
      <c r="C8578" s="76">
        <v>2016</v>
      </c>
      <c r="D8578" s="76" t="s">
        <v>31</v>
      </c>
      <c r="E8578" s="76" t="s">
        <v>32</v>
      </c>
      <c r="F8578" s="76">
        <v>8</v>
      </c>
    </row>
    <row r="8579" s="76" customFormat="1" spans="1:6">
      <c r="A8579">
        <v>8815</v>
      </c>
      <c r="B8579">
        <v>422016270</v>
      </c>
      <c r="C8579" s="76">
        <v>2016</v>
      </c>
      <c r="D8579" s="76" t="s">
        <v>31</v>
      </c>
      <c r="E8579" s="76" t="s">
        <v>32</v>
      </c>
      <c r="F8579" s="76">
        <v>4</v>
      </c>
    </row>
    <row r="8580" s="76" customFormat="1" spans="1:6">
      <c r="A8580">
        <v>8814</v>
      </c>
      <c r="B8580">
        <v>422016270</v>
      </c>
      <c r="C8580" s="76">
        <v>2016</v>
      </c>
      <c r="D8580" s="76" t="s">
        <v>31</v>
      </c>
      <c r="E8580" s="76" t="s">
        <v>32</v>
      </c>
      <c r="F8580" s="76">
        <v>7</v>
      </c>
    </row>
    <row r="8581" s="76" customFormat="1" spans="1:6">
      <c r="A8581">
        <v>8831</v>
      </c>
      <c r="B8581">
        <v>422016270</v>
      </c>
      <c r="C8581" s="76">
        <v>2016</v>
      </c>
      <c r="D8581" s="76" t="s">
        <v>31</v>
      </c>
      <c r="E8581" s="76" t="s">
        <v>32</v>
      </c>
      <c r="F8581" s="76">
        <v>6</v>
      </c>
    </row>
    <row r="8582" s="76" customFormat="1" spans="1:6">
      <c r="A8582">
        <v>8827</v>
      </c>
      <c r="B8582">
        <v>422016270</v>
      </c>
      <c r="C8582" s="76">
        <v>2016</v>
      </c>
      <c r="D8582" s="76" t="s">
        <v>31</v>
      </c>
      <c r="E8582" s="76" t="s">
        <v>32</v>
      </c>
      <c r="F8582" s="76">
        <v>9</v>
      </c>
    </row>
    <row r="8583" s="76" customFormat="1" spans="1:6">
      <c r="A8583">
        <v>8830</v>
      </c>
      <c r="B8583">
        <v>422016270</v>
      </c>
      <c r="C8583" s="76">
        <v>2016</v>
      </c>
      <c r="D8583" s="76" t="s">
        <v>31</v>
      </c>
      <c r="E8583" s="76" t="s">
        <v>32</v>
      </c>
      <c r="F8583" s="76">
        <v>1</v>
      </c>
    </row>
    <row r="8584" s="76" customFormat="1" spans="1:6">
      <c r="A8584">
        <v>8819</v>
      </c>
      <c r="B8584">
        <v>422016270</v>
      </c>
      <c r="C8584" s="76">
        <v>2016</v>
      </c>
      <c r="D8584" s="76" t="s">
        <v>31</v>
      </c>
      <c r="E8584" s="76" t="s">
        <v>32</v>
      </c>
      <c r="F8584" s="76">
        <v>10</v>
      </c>
    </row>
    <row r="8585" s="76" customFormat="1" spans="1:6">
      <c r="A8585">
        <v>8840</v>
      </c>
      <c r="B8585">
        <v>422016270</v>
      </c>
      <c r="C8585" s="76">
        <v>2016</v>
      </c>
      <c r="D8585" s="76" t="s">
        <v>31</v>
      </c>
      <c r="E8585" s="76" t="s">
        <v>32</v>
      </c>
      <c r="F8585" s="76">
        <v>2</v>
      </c>
    </row>
    <row r="8586" s="76" customFormat="1" spans="1:6">
      <c r="A8586">
        <v>8837</v>
      </c>
      <c r="B8586">
        <v>422016270</v>
      </c>
      <c r="C8586" s="76">
        <v>2016</v>
      </c>
      <c r="D8586" s="76" t="s">
        <v>31</v>
      </c>
      <c r="E8586" s="76" t="s">
        <v>32</v>
      </c>
      <c r="F8586" s="76">
        <v>2</v>
      </c>
    </row>
    <row r="8587" s="76" customFormat="1" spans="1:6">
      <c r="A8587">
        <v>8838</v>
      </c>
      <c r="B8587">
        <v>422016270</v>
      </c>
      <c r="C8587" s="76">
        <v>2016</v>
      </c>
      <c r="D8587" s="76" t="s">
        <v>31</v>
      </c>
      <c r="E8587" s="76" t="s">
        <v>32</v>
      </c>
      <c r="F8587" s="76">
        <v>2</v>
      </c>
    </row>
    <row r="8588" s="76" customFormat="1" spans="1:6">
      <c r="A8588">
        <v>8817</v>
      </c>
      <c r="B8588">
        <v>422016270</v>
      </c>
      <c r="C8588" s="76">
        <v>2016</v>
      </c>
      <c r="D8588" s="76" t="s">
        <v>31</v>
      </c>
      <c r="E8588" s="76" t="s">
        <v>32</v>
      </c>
      <c r="F8588" s="76">
        <v>6</v>
      </c>
    </row>
    <row r="8589" s="76" customFormat="1" spans="1:6">
      <c r="A8589">
        <v>8842</v>
      </c>
      <c r="B8589">
        <v>422016270</v>
      </c>
      <c r="C8589" s="76">
        <v>2016</v>
      </c>
      <c r="D8589" s="76" t="s">
        <v>31</v>
      </c>
      <c r="E8589" s="76" t="s">
        <v>32</v>
      </c>
      <c r="F8589" s="76">
        <v>2.84</v>
      </c>
    </row>
    <row r="8590" s="76" customFormat="1" spans="1:6">
      <c r="A8590">
        <v>8841</v>
      </c>
      <c r="B8590">
        <v>422016270</v>
      </c>
      <c r="C8590" s="76">
        <v>2016</v>
      </c>
      <c r="D8590" s="76" t="s">
        <v>31</v>
      </c>
      <c r="E8590" s="76" t="s">
        <v>32</v>
      </c>
      <c r="F8590" s="76">
        <v>10</v>
      </c>
    </row>
    <row r="8591" s="76" customFormat="1" spans="1:6">
      <c r="A8591">
        <v>8833</v>
      </c>
      <c r="B8591">
        <v>422016270</v>
      </c>
      <c r="C8591" s="76">
        <v>2016</v>
      </c>
      <c r="D8591" s="76" t="s">
        <v>31</v>
      </c>
      <c r="E8591" s="76" t="s">
        <v>32</v>
      </c>
      <c r="F8591" s="76">
        <v>2</v>
      </c>
    </row>
    <row r="8592" s="76" customFormat="1" spans="1:6">
      <c r="A8592">
        <v>8822</v>
      </c>
      <c r="B8592">
        <v>422016270</v>
      </c>
      <c r="C8592" s="76">
        <v>2016</v>
      </c>
      <c r="D8592" s="76" t="s">
        <v>31</v>
      </c>
      <c r="E8592" s="76" t="s">
        <v>32</v>
      </c>
      <c r="F8592" s="76">
        <v>5.5</v>
      </c>
    </row>
    <row r="8593" s="76" customFormat="1" spans="1:6">
      <c r="A8593">
        <v>8834</v>
      </c>
      <c r="B8593">
        <v>422016270</v>
      </c>
      <c r="C8593" s="76">
        <v>2016</v>
      </c>
      <c r="D8593" s="76" t="s">
        <v>31</v>
      </c>
      <c r="E8593" s="76" t="s">
        <v>32</v>
      </c>
      <c r="F8593" s="76">
        <v>4</v>
      </c>
    </row>
    <row r="8594" s="76" customFormat="1" spans="1:6">
      <c r="A8594">
        <v>8820</v>
      </c>
      <c r="B8594">
        <v>422016270</v>
      </c>
      <c r="C8594" s="76">
        <v>2016</v>
      </c>
      <c r="D8594" s="76" t="s">
        <v>31</v>
      </c>
      <c r="E8594" s="76" t="s">
        <v>32</v>
      </c>
      <c r="F8594" s="76">
        <v>9.5</v>
      </c>
    </row>
    <row r="8595" s="76" customFormat="1" spans="1:6">
      <c r="A8595">
        <v>8825</v>
      </c>
      <c r="B8595">
        <v>422016270</v>
      </c>
      <c r="C8595" s="76">
        <v>2016</v>
      </c>
      <c r="D8595" s="76" t="s">
        <v>31</v>
      </c>
      <c r="E8595" s="76" t="s">
        <v>32</v>
      </c>
      <c r="F8595" s="76">
        <v>5.04</v>
      </c>
    </row>
    <row r="8596" s="76" customFormat="1" spans="1:6">
      <c r="A8596">
        <v>8839</v>
      </c>
      <c r="B8596">
        <v>422016270</v>
      </c>
      <c r="C8596" s="76">
        <v>2016</v>
      </c>
      <c r="D8596" s="76" t="s">
        <v>31</v>
      </c>
      <c r="E8596" s="76" t="s">
        <v>32</v>
      </c>
      <c r="F8596" s="76">
        <v>2</v>
      </c>
    </row>
    <row r="8597" s="76" customFormat="1" spans="1:6">
      <c r="A8597">
        <v>8818</v>
      </c>
      <c r="B8597">
        <v>422016270</v>
      </c>
      <c r="C8597" s="76">
        <v>2016</v>
      </c>
      <c r="D8597" s="76" t="s">
        <v>31</v>
      </c>
      <c r="E8597" s="76" t="s">
        <v>32</v>
      </c>
      <c r="F8597" s="76">
        <v>3</v>
      </c>
    </row>
    <row r="8598" s="76" customFormat="1" spans="1:6">
      <c r="A8598">
        <v>8826</v>
      </c>
      <c r="B8598">
        <v>422016270</v>
      </c>
      <c r="C8598" s="76">
        <v>2016</v>
      </c>
      <c r="D8598" s="76" t="s">
        <v>31</v>
      </c>
      <c r="E8598" s="76" t="s">
        <v>32</v>
      </c>
      <c r="F8598" s="76">
        <v>10</v>
      </c>
    </row>
    <row r="8599" s="76" customFormat="1" spans="1:6">
      <c r="A8599">
        <v>8824</v>
      </c>
      <c r="B8599">
        <v>422016270</v>
      </c>
      <c r="C8599" s="76">
        <v>2016</v>
      </c>
      <c r="D8599" s="76" t="s">
        <v>31</v>
      </c>
      <c r="E8599" s="76" t="s">
        <v>32</v>
      </c>
      <c r="F8599" s="76">
        <v>4</v>
      </c>
    </row>
    <row r="8600" s="76" customFormat="1" spans="1:6">
      <c r="A8600">
        <v>8828</v>
      </c>
      <c r="B8600">
        <v>422016270</v>
      </c>
      <c r="C8600" s="76">
        <v>2016</v>
      </c>
      <c r="D8600" s="76" t="s">
        <v>31</v>
      </c>
      <c r="E8600" s="76" t="s">
        <v>32</v>
      </c>
      <c r="F8600" s="76">
        <v>2</v>
      </c>
    </row>
    <row r="8601" s="76" customFormat="1" spans="1:6">
      <c r="A8601">
        <v>8832</v>
      </c>
      <c r="B8601">
        <v>422016270</v>
      </c>
      <c r="C8601" s="76">
        <v>2016</v>
      </c>
      <c r="D8601" s="76" t="s">
        <v>31</v>
      </c>
      <c r="E8601" s="76" t="s">
        <v>32</v>
      </c>
      <c r="F8601" s="76">
        <v>1.99</v>
      </c>
    </row>
    <row r="8602" s="76" customFormat="1" spans="1:6">
      <c r="A8602">
        <v>8843</v>
      </c>
      <c r="B8602">
        <v>422016270</v>
      </c>
      <c r="C8602" s="76">
        <v>2016</v>
      </c>
      <c r="D8602" s="76" t="s">
        <v>31</v>
      </c>
      <c r="E8602" s="76" t="s">
        <v>32</v>
      </c>
      <c r="F8602" s="76">
        <v>2</v>
      </c>
    </row>
    <row r="8603" s="76" customFormat="1" spans="1:6">
      <c r="A8603">
        <v>8835</v>
      </c>
      <c r="B8603">
        <v>422016270</v>
      </c>
      <c r="C8603" s="76">
        <v>2016</v>
      </c>
      <c r="D8603" s="76" t="s">
        <v>31</v>
      </c>
      <c r="E8603" s="76" t="s">
        <v>32</v>
      </c>
      <c r="F8603" s="76">
        <v>4</v>
      </c>
    </row>
    <row r="8604" s="76" customFormat="1" spans="1:6">
      <c r="A8604">
        <v>8821</v>
      </c>
      <c r="B8604">
        <v>422016270</v>
      </c>
      <c r="C8604" s="76">
        <v>2016</v>
      </c>
      <c r="D8604" s="76" t="s">
        <v>31</v>
      </c>
      <c r="E8604" s="76" t="s">
        <v>32</v>
      </c>
      <c r="F8604" s="76">
        <v>1.73</v>
      </c>
    </row>
    <row r="8605" s="76" customFormat="1" spans="1:6">
      <c r="A8605">
        <v>8845</v>
      </c>
      <c r="B8605">
        <v>422016270</v>
      </c>
      <c r="C8605" s="76">
        <v>2016</v>
      </c>
      <c r="D8605" s="76" t="s">
        <v>31</v>
      </c>
      <c r="E8605" s="76" t="s">
        <v>32</v>
      </c>
      <c r="F8605" s="76">
        <v>0.6</v>
      </c>
    </row>
    <row r="8606" s="76" customFormat="1" spans="1:6">
      <c r="A8606">
        <v>8844</v>
      </c>
      <c r="B8606">
        <v>422016270</v>
      </c>
      <c r="C8606" s="76">
        <v>2016</v>
      </c>
      <c r="D8606" s="76" t="s">
        <v>31</v>
      </c>
      <c r="E8606" s="76" t="s">
        <v>32</v>
      </c>
      <c r="F8606" s="76">
        <v>0.6</v>
      </c>
    </row>
    <row r="8607" s="76" customFormat="1" spans="1:6">
      <c r="A8607">
        <v>8836</v>
      </c>
      <c r="B8607">
        <v>422016270</v>
      </c>
      <c r="C8607" s="76">
        <v>2016</v>
      </c>
      <c r="D8607" s="76" t="s">
        <v>31</v>
      </c>
      <c r="E8607" s="76" t="s">
        <v>32</v>
      </c>
      <c r="F8607" s="76">
        <v>5</v>
      </c>
    </row>
    <row r="8608" s="76" customFormat="1" spans="1:6">
      <c r="A8608">
        <v>8854</v>
      </c>
      <c r="B8608">
        <v>422017110</v>
      </c>
      <c r="C8608" s="76">
        <v>2017</v>
      </c>
      <c r="D8608" s="76" t="s">
        <v>40</v>
      </c>
      <c r="E8608" s="76" t="s">
        <v>32</v>
      </c>
      <c r="F8608" s="76">
        <v>0.13</v>
      </c>
    </row>
    <row r="8609" s="76" customFormat="1" spans="1:6">
      <c r="A8609">
        <v>8851</v>
      </c>
      <c r="B8609">
        <v>422017110</v>
      </c>
      <c r="C8609" s="76">
        <v>2017</v>
      </c>
      <c r="D8609" s="76" t="s">
        <v>40</v>
      </c>
      <c r="E8609" s="76" t="s">
        <v>32</v>
      </c>
      <c r="F8609" s="76">
        <v>0.66</v>
      </c>
    </row>
    <row r="8610" s="76" customFormat="1" spans="1:6">
      <c r="A8610">
        <v>8849</v>
      </c>
      <c r="B8610">
        <v>422017110</v>
      </c>
      <c r="C8610" s="76">
        <v>2017</v>
      </c>
      <c r="D8610" s="76" t="s">
        <v>40</v>
      </c>
      <c r="E8610" s="76" t="s">
        <v>32</v>
      </c>
      <c r="F8610" s="76">
        <v>0.13</v>
      </c>
    </row>
    <row r="8611" s="76" customFormat="1" spans="1:6">
      <c r="A8611">
        <v>8853</v>
      </c>
      <c r="B8611">
        <v>422017110</v>
      </c>
      <c r="C8611" s="76">
        <v>2017</v>
      </c>
      <c r="D8611" s="76" t="s">
        <v>40</v>
      </c>
      <c r="E8611" s="76" t="s">
        <v>32</v>
      </c>
      <c r="F8611" s="76">
        <v>1.6</v>
      </c>
    </row>
    <row r="8612" s="76" customFormat="1" spans="1:6">
      <c r="A8612">
        <v>8852</v>
      </c>
      <c r="B8612">
        <v>422017110</v>
      </c>
      <c r="C8612" s="76">
        <v>2017</v>
      </c>
      <c r="D8612" s="76" t="s">
        <v>40</v>
      </c>
      <c r="E8612" s="76" t="s">
        <v>32</v>
      </c>
      <c r="F8612" s="76">
        <v>3.3</v>
      </c>
    </row>
    <row r="8613" s="76" customFormat="1" spans="1:6">
      <c r="A8613">
        <v>8847</v>
      </c>
      <c r="B8613">
        <v>422017110</v>
      </c>
      <c r="C8613" s="76">
        <v>2017</v>
      </c>
      <c r="D8613" s="76" t="s">
        <v>40</v>
      </c>
      <c r="E8613" s="76" t="s">
        <v>32</v>
      </c>
      <c r="F8613" s="76">
        <v>0.3</v>
      </c>
    </row>
    <row r="8614" s="76" customFormat="1" spans="1:6">
      <c r="A8614">
        <v>8848</v>
      </c>
      <c r="B8614">
        <v>422017110</v>
      </c>
      <c r="C8614" s="76">
        <v>2017</v>
      </c>
      <c r="D8614" s="76" t="s">
        <v>40</v>
      </c>
      <c r="E8614" s="76" t="s">
        <v>32</v>
      </c>
      <c r="F8614" s="76">
        <v>0.15</v>
      </c>
    </row>
    <row r="8615" s="76" customFormat="1" spans="1:6">
      <c r="A8615">
        <v>8855</v>
      </c>
      <c r="B8615">
        <v>422017211</v>
      </c>
      <c r="C8615" s="76">
        <v>2017</v>
      </c>
      <c r="D8615" s="76" t="s">
        <v>37</v>
      </c>
      <c r="E8615" s="76">
        <v>1</v>
      </c>
      <c r="F8615" s="76">
        <v>66</v>
      </c>
    </row>
    <row r="8616" s="76" customFormat="1" spans="1:6">
      <c r="A8616">
        <v>8856</v>
      </c>
      <c r="B8616">
        <v>422017211</v>
      </c>
      <c r="C8616" s="76">
        <v>2017</v>
      </c>
      <c r="D8616" s="76" t="s">
        <v>37</v>
      </c>
      <c r="E8616" s="76" t="s">
        <v>32</v>
      </c>
      <c r="F8616" s="76">
        <v>7</v>
      </c>
    </row>
    <row r="8617" s="76" customFormat="1" spans="1:6">
      <c r="A8617">
        <v>8857</v>
      </c>
      <c r="B8617">
        <v>422017221</v>
      </c>
      <c r="C8617" s="76">
        <v>2017</v>
      </c>
      <c r="D8617" s="76" t="s">
        <v>30</v>
      </c>
      <c r="E8617" s="76">
        <v>1</v>
      </c>
      <c r="F8617" s="76">
        <v>18.5</v>
      </c>
    </row>
    <row r="8618" s="76" customFormat="1" spans="1:6">
      <c r="A8618">
        <v>8858</v>
      </c>
      <c r="B8618">
        <v>422017221</v>
      </c>
      <c r="C8618" s="76">
        <v>2017</v>
      </c>
      <c r="D8618" s="76" t="s">
        <v>30</v>
      </c>
      <c r="E8618" s="76" t="s">
        <v>32</v>
      </c>
      <c r="F8618" s="76">
        <v>0.1</v>
      </c>
    </row>
    <row r="8619" s="76" customFormat="1" spans="1:6">
      <c r="A8619">
        <v>8859</v>
      </c>
      <c r="B8619">
        <v>422017221</v>
      </c>
      <c r="C8619" s="76">
        <v>2017</v>
      </c>
      <c r="D8619" s="76" t="s">
        <v>30</v>
      </c>
      <c r="E8619" s="76" t="s">
        <v>32</v>
      </c>
      <c r="F8619" s="76">
        <v>0.43</v>
      </c>
    </row>
    <row r="8620" s="76" customFormat="1" spans="1:6">
      <c r="A8620">
        <v>8865</v>
      </c>
      <c r="B8620">
        <v>422017241</v>
      </c>
      <c r="C8620" s="76">
        <v>2017</v>
      </c>
      <c r="D8620" s="76" t="s">
        <v>33</v>
      </c>
      <c r="E8620" s="76" t="s">
        <v>32</v>
      </c>
      <c r="F8620" s="76">
        <v>4</v>
      </c>
    </row>
    <row r="8621" s="76" customFormat="1" spans="1:6">
      <c r="A8621">
        <v>8862</v>
      </c>
      <c r="B8621">
        <v>422017241</v>
      </c>
      <c r="C8621" s="76">
        <v>2017</v>
      </c>
      <c r="D8621" s="76" t="s">
        <v>33</v>
      </c>
      <c r="E8621" s="76" t="s">
        <v>32</v>
      </c>
      <c r="F8621" s="76">
        <v>10.1</v>
      </c>
    </row>
    <row r="8622" s="76" customFormat="1" spans="1:6">
      <c r="A8622">
        <v>8864</v>
      </c>
      <c r="B8622">
        <v>422017241</v>
      </c>
      <c r="C8622" s="76">
        <v>2017</v>
      </c>
      <c r="D8622" s="76" t="s">
        <v>33</v>
      </c>
      <c r="E8622" s="76" t="s">
        <v>32</v>
      </c>
      <c r="F8622" s="76">
        <v>1.35</v>
      </c>
    </row>
    <row r="8623" s="76" customFormat="1" spans="1:6">
      <c r="A8623">
        <v>8866</v>
      </c>
      <c r="B8623">
        <v>422017241</v>
      </c>
      <c r="C8623" s="76">
        <v>2017</v>
      </c>
      <c r="D8623" s="76" t="s">
        <v>33</v>
      </c>
      <c r="E8623" s="76" t="s">
        <v>32</v>
      </c>
      <c r="F8623" s="76">
        <v>1.2</v>
      </c>
    </row>
    <row r="8624" s="76" customFormat="1" spans="1:6">
      <c r="A8624">
        <v>8860</v>
      </c>
      <c r="B8624">
        <v>422017241</v>
      </c>
      <c r="C8624" s="76">
        <v>2017</v>
      </c>
      <c r="D8624" s="76" t="s">
        <v>33</v>
      </c>
      <c r="E8624" s="76" t="s">
        <v>32</v>
      </c>
      <c r="F8624" s="76">
        <v>1.05</v>
      </c>
    </row>
    <row r="8625" s="76" customFormat="1" spans="1:6">
      <c r="A8625">
        <v>8861</v>
      </c>
      <c r="B8625">
        <v>422017241</v>
      </c>
      <c r="C8625" s="76">
        <v>2017</v>
      </c>
      <c r="D8625" s="76" t="s">
        <v>33</v>
      </c>
      <c r="E8625" s="76" t="s">
        <v>32</v>
      </c>
      <c r="F8625" s="76">
        <v>0.9</v>
      </c>
    </row>
    <row r="8626" s="76" customFormat="1" spans="1:6">
      <c r="A8626">
        <v>8867</v>
      </c>
      <c r="B8626">
        <v>422017242</v>
      </c>
      <c r="C8626" s="76">
        <v>2017</v>
      </c>
      <c r="D8626" s="76" t="s">
        <v>35</v>
      </c>
      <c r="E8626" s="76" t="s">
        <v>32</v>
      </c>
      <c r="F8626" s="76">
        <v>1.2</v>
      </c>
    </row>
    <row r="8627" s="76" customFormat="1" spans="1:6">
      <c r="A8627">
        <v>8868</v>
      </c>
      <c r="B8627">
        <v>422017242</v>
      </c>
      <c r="C8627" s="76">
        <v>2017</v>
      </c>
      <c r="D8627" s="76" t="s">
        <v>35</v>
      </c>
      <c r="E8627" s="76" t="s">
        <v>32</v>
      </c>
      <c r="F8627" s="76">
        <v>1.2</v>
      </c>
    </row>
    <row r="8628" s="76" customFormat="1" spans="1:6">
      <c r="A8628">
        <v>8870</v>
      </c>
      <c r="B8628">
        <v>422017243</v>
      </c>
      <c r="C8628" s="76">
        <v>2017</v>
      </c>
      <c r="D8628" s="76" t="s">
        <v>38</v>
      </c>
      <c r="E8628" s="76" t="s">
        <v>32</v>
      </c>
      <c r="F8628" s="76">
        <v>2</v>
      </c>
    </row>
    <row r="8629" s="76" customFormat="1" spans="1:6">
      <c r="A8629">
        <v>8869</v>
      </c>
      <c r="B8629">
        <v>422017243</v>
      </c>
      <c r="C8629" s="76">
        <v>2017</v>
      </c>
      <c r="D8629" s="76" t="s">
        <v>38</v>
      </c>
      <c r="E8629" s="76" t="s">
        <v>32</v>
      </c>
      <c r="F8629" s="76">
        <v>3</v>
      </c>
    </row>
    <row r="8630" s="76" customFormat="1" spans="1:6">
      <c r="A8630">
        <v>8883</v>
      </c>
      <c r="B8630">
        <v>422017260</v>
      </c>
      <c r="C8630" s="76">
        <v>2017</v>
      </c>
      <c r="D8630" s="76" t="s">
        <v>34</v>
      </c>
      <c r="E8630" s="76" t="s">
        <v>32</v>
      </c>
      <c r="F8630" s="76">
        <v>4</v>
      </c>
    </row>
    <row r="8631" s="76" customFormat="1" spans="1:6">
      <c r="A8631">
        <v>8871</v>
      </c>
      <c r="B8631">
        <v>422017260</v>
      </c>
      <c r="C8631" s="76">
        <v>2017</v>
      </c>
      <c r="D8631" s="76" t="s">
        <v>34</v>
      </c>
      <c r="E8631" s="76">
        <v>11</v>
      </c>
      <c r="F8631" s="76">
        <v>2.2</v>
      </c>
    </row>
    <row r="8632" s="76" customFormat="1" spans="1:6">
      <c r="A8632">
        <v>8872</v>
      </c>
      <c r="B8632">
        <v>422017260</v>
      </c>
      <c r="C8632" s="76">
        <v>2017</v>
      </c>
      <c r="D8632" s="76" t="s">
        <v>34</v>
      </c>
      <c r="E8632" s="76" t="s">
        <v>32</v>
      </c>
      <c r="F8632" s="76">
        <v>5.2</v>
      </c>
    </row>
    <row r="8633" s="76" customFormat="1" spans="1:6">
      <c r="A8633">
        <v>8881</v>
      </c>
      <c r="B8633">
        <v>422017260</v>
      </c>
      <c r="C8633" s="76">
        <v>2017</v>
      </c>
      <c r="D8633" s="76" t="s">
        <v>34</v>
      </c>
      <c r="E8633" s="76" t="s">
        <v>32</v>
      </c>
      <c r="F8633" s="76">
        <v>5.6</v>
      </c>
    </row>
    <row r="8634" s="76" customFormat="1" spans="1:6">
      <c r="A8634">
        <v>8874</v>
      </c>
      <c r="B8634">
        <v>422017260</v>
      </c>
      <c r="C8634" s="76">
        <v>2017</v>
      </c>
      <c r="D8634" s="76" t="s">
        <v>34</v>
      </c>
      <c r="E8634" s="76">
        <v>4</v>
      </c>
      <c r="F8634" s="76">
        <v>0.88</v>
      </c>
    </row>
    <row r="8635" s="76" customFormat="1" spans="1:6">
      <c r="A8635">
        <v>8875</v>
      </c>
      <c r="B8635">
        <v>422017260</v>
      </c>
      <c r="C8635" s="76">
        <v>2017</v>
      </c>
      <c r="D8635" s="76" t="s">
        <v>34</v>
      </c>
      <c r="E8635" s="76">
        <v>5</v>
      </c>
      <c r="F8635" s="76">
        <v>1</v>
      </c>
    </row>
    <row r="8636" s="76" customFormat="1" spans="1:6">
      <c r="A8636">
        <v>8884</v>
      </c>
      <c r="B8636">
        <v>422017260</v>
      </c>
      <c r="C8636" s="76">
        <v>2017</v>
      </c>
      <c r="D8636" s="76" t="s">
        <v>34</v>
      </c>
      <c r="E8636" s="76">
        <v>12</v>
      </c>
      <c r="F8636" s="76">
        <v>2.4</v>
      </c>
    </row>
    <row r="8637" s="76" customFormat="1" spans="1:6">
      <c r="A8637">
        <v>8885</v>
      </c>
      <c r="B8637">
        <v>422017260</v>
      </c>
      <c r="C8637" s="76">
        <v>2017</v>
      </c>
      <c r="D8637" s="76" t="s">
        <v>34</v>
      </c>
      <c r="E8637" s="76" t="s">
        <v>32</v>
      </c>
      <c r="F8637" s="76">
        <v>4.8</v>
      </c>
    </row>
    <row r="8638" s="76" customFormat="1" spans="1:6">
      <c r="A8638">
        <v>8876</v>
      </c>
      <c r="B8638">
        <v>422017260</v>
      </c>
      <c r="C8638" s="76">
        <v>2017</v>
      </c>
      <c r="D8638" s="76" t="s">
        <v>34</v>
      </c>
      <c r="E8638" s="76">
        <v>19</v>
      </c>
      <c r="F8638" s="76">
        <v>3.8</v>
      </c>
    </row>
    <row r="8639" s="76" customFormat="1" spans="1:6">
      <c r="A8639">
        <v>8877</v>
      </c>
      <c r="B8639">
        <v>422017260</v>
      </c>
      <c r="C8639" s="76">
        <v>2017</v>
      </c>
      <c r="D8639" s="76" t="s">
        <v>34</v>
      </c>
      <c r="E8639" s="76">
        <v>31</v>
      </c>
      <c r="F8639" s="76">
        <v>6.2</v>
      </c>
    </row>
    <row r="8640" s="76" customFormat="1" spans="1:6">
      <c r="A8640">
        <v>8873</v>
      </c>
      <c r="B8640">
        <v>422017260</v>
      </c>
      <c r="C8640" s="76">
        <v>2017</v>
      </c>
      <c r="D8640" s="76" t="s">
        <v>34</v>
      </c>
      <c r="E8640" s="76">
        <v>24</v>
      </c>
      <c r="F8640" s="76">
        <v>4.8</v>
      </c>
    </row>
    <row r="8641" s="76" customFormat="1" spans="1:6">
      <c r="A8641">
        <v>8880</v>
      </c>
      <c r="B8641">
        <v>422017260</v>
      </c>
      <c r="C8641" s="76">
        <v>2017</v>
      </c>
      <c r="D8641" s="76" t="s">
        <v>34</v>
      </c>
      <c r="E8641" s="76" t="s">
        <v>32</v>
      </c>
      <c r="F8641" s="76">
        <v>6</v>
      </c>
    </row>
    <row r="8642" s="76" customFormat="1" spans="1:6">
      <c r="A8642">
        <v>8879</v>
      </c>
      <c r="B8642">
        <v>422017260</v>
      </c>
      <c r="C8642" s="76">
        <v>2017</v>
      </c>
      <c r="D8642" s="76" t="s">
        <v>34</v>
      </c>
      <c r="E8642" s="76" t="s">
        <v>32</v>
      </c>
      <c r="F8642" s="76">
        <v>2</v>
      </c>
    </row>
    <row r="8643" s="76" customFormat="1" spans="1:6">
      <c r="A8643">
        <v>8886</v>
      </c>
      <c r="B8643">
        <v>422017260</v>
      </c>
      <c r="C8643" s="76">
        <v>2017</v>
      </c>
      <c r="D8643" s="76" t="s">
        <v>34</v>
      </c>
      <c r="E8643" s="76" t="s">
        <v>32</v>
      </c>
      <c r="F8643" s="76">
        <v>4.8</v>
      </c>
    </row>
    <row r="8644" s="76" customFormat="1" spans="1:6">
      <c r="A8644">
        <v>8882</v>
      </c>
      <c r="B8644">
        <v>422017260</v>
      </c>
      <c r="C8644" s="76">
        <v>2017</v>
      </c>
      <c r="D8644" s="76" t="s">
        <v>34</v>
      </c>
      <c r="E8644" s="76" t="s">
        <v>32</v>
      </c>
      <c r="F8644" s="76">
        <v>8</v>
      </c>
    </row>
    <row r="8645" s="76" customFormat="1" spans="1:6">
      <c r="A8645">
        <v>8887</v>
      </c>
      <c r="B8645">
        <v>422017260</v>
      </c>
      <c r="C8645" s="76">
        <v>2017</v>
      </c>
      <c r="D8645" s="76" t="s">
        <v>34</v>
      </c>
      <c r="E8645" s="76" t="s">
        <v>32</v>
      </c>
      <c r="F8645" s="76">
        <v>1</v>
      </c>
    </row>
    <row r="8646" s="76" customFormat="1" spans="1:6">
      <c r="A8646">
        <v>8878</v>
      </c>
      <c r="B8646">
        <v>422017260</v>
      </c>
      <c r="C8646" s="76">
        <v>2017</v>
      </c>
      <c r="D8646" s="76" t="s">
        <v>34</v>
      </c>
      <c r="E8646" s="76">
        <v>22</v>
      </c>
      <c r="F8646" s="76">
        <v>4.4</v>
      </c>
    </row>
    <row r="8647" s="76" customFormat="1" spans="1:6">
      <c r="A8647">
        <v>8910</v>
      </c>
      <c r="B8647">
        <v>422017270</v>
      </c>
      <c r="C8647" s="76">
        <v>2017</v>
      </c>
      <c r="D8647" s="76" t="s">
        <v>31</v>
      </c>
      <c r="E8647" s="76" t="s">
        <v>32</v>
      </c>
      <c r="F8647" s="76">
        <v>4</v>
      </c>
    </row>
    <row r="8648" s="76" customFormat="1" spans="1:6">
      <c r="A8648">
        <v>8916</v>
      </c>
      <c r="B8648">
        <v>422017270</v>
      </c>
      <c r="C8648" s="76">
        <v>2017</v>
      </c>
      <c r="D8648" s="76" t="s">
        <v>31</v>
      </c>
      <c r="E8648" s="76" t="s">
        <v>32</v>
      </c>
      <c r="F8648" s="76">
        <v>0.5</v>
      </c>
    </row>
    <row r="8649" s="76" customFormat="1" spans="1:6">
      <c r="A8649">
        <v>8936</v>
      </c>
      <c r="B8649">
        <v>422017270</v>
      </c>
      <c r="C8649" s="76">
        <v>2017</v>
      </c>
      <c r="D8649" s="76" t="s">
        <v>31</v>
      </c>
      <c r="E8649" s="76" t="s">
        <v>32</v>
      </c>
      <c r="F8649" s="76">
        <v>2</v>
      </c>
    </row>
    <row r="8650" s="76" customFormat="1" spans="1:6">
      <c r="A8650">
        <v>8933</v>
      </c>
      <c r="B8650">
        <v>422017270</v>
      </c>
      <c r="C8650" s="76">
        <v>2017</v>
      </c>
      <c r="D8650" s="76" t="s">
        <v>31</v>
      </c>
      <c r="E8650" s="76" t="s">
        <v>32</v>
      </c>
      <c r="F8650" s="76">
        <v>3</v>
      </c>
    </row>
    <row r="8651" s="76" customFormat="1" spans="1:6">
      <c r="A8651">
        <v>8900</v>
      </c>
      <c r="B8651">
        <v>422017270</v>
      </c>
      <c r="C8651" s="76">
        <v>2017</v>
      </c>
      <c r="D8651" s="76" t="s">
        <v>31</v>
      </c>
      <c r="E8651" s="76" t="s">
        <v>32</v>
      </c>
      <c r="F8651" s="76">
        <v>1</v>
      </c>
    </row>
    <row r="8652" s="76" customFormat="1" spans="1:6">
      <c r="A8652">
        <v>8888</v>
      </c>
      <c r="B8652">
        <v>422017270</v>
      </c>
      <c r="C8652" s="76">
        <v>2017</v>
      </c>
      <c r="D8652" s="76" t="s">
        <v>31</v>
      </c>
      <c r="E8652" s="76" t="s">
        <v>32</v>
      </c>
      <c r="F8652" s="76">
        <v>3</v>
      </c>
    </row>
    <row r="8653" s="76" customFormat="1" spans="1:6">
      <c r="A8653">
        <v>8920</v>
      </c>
      <c r="B8653">
        <v>422017270</v>
      </c>
      <c r="C8653" s="76">
        <v>2017</v>
      </c>
      <c r="D8653" s="76" t="s">
        <v>31</v>
      </c>
      <c r="E8653" s="76" t="s">
        <v>32</v>
      </c>
      <c r="F8653" s="76">
        <v>2</v>
      </c>
    </row>
    <row r="8654" s="76" customFormat="1" spans="1:6">
      <c r="A8654">
        <v>8927</v>
      </c>
      <c r="B8654">
        <v>422017270</v>
      </c>
      <c r="C8654" s="76">
        <v>2017</v>
      </c>
      <c r="D8654" s="76" t="s">
        <v>31</v>
      </c>
      <c r="E8654" s="76" t="s">
        <v>32</v>
      </c>
      <c r="F8654" s="76">
        <v>2</v>
      </c>
    </row>
    <row r="8655" s="76" customFormat="1" spans="1:6">
      <c r="A8655">
        <v>8929</v>
      </c>
      <c r="B8655">
        <v>422017270</v>
      </c>
      <c r="C8655" s="76">
        <v>2017</v>
      </c>
      <c r="D8655" s="76" t="s">
        <v>31</v>
      </c>
      <c r="E8655" s="76" t="s">
        <v>32</v>
      </c>
      <c r="F8655" s="76">
        <v>4.1</v>
      </c>
    </row>
    <row r="8656" s="76" customFormat="1" spans="1:6">
      <c r="A8656">
        <v>8904</v>
      </c>
      <c r="B8656">
        <v>422017270</v>
      </c>
      <c r="C8656" s="76">
        <v>2017</v>
      </c>
      <c r="D8656" s="76" t="s">
        <v>31</v>
      </c>
      <c r="E8656" s="76" t="s">
        <v>32</v>
      </c>
      <c r="F8656" s="76">
        <v>2.4</v>
      </c>
    </row>
    <row r="8657" s="76" customFormat="1" spans="1:6">
      <c r="A8657">
        <v>8939</v>
      </c>
      <c r="B8657">
        <v>422017270</v>
      </c>
      <c r="C8657" s="76">
        <v>2017</v>
      </c>
      <c r="D8657" s="76" t="s">
        <v>31</v>
      </c>
      <c r="E8657" s="76" t="s">
        <v>32</v>
      </c>
      <c r="F8657" s="76">
        <v>5</v>
      </c>
    </row>
    <row r="8658" s="76" customFormat="1" spans="1:6">
      <c r="A8658">
        <v>8908</v>
      </c>
      <c r="B8658">
        <v>422017270</v>
      </c>
      <c r="C8658" s="76">
        <v>2017</v>
      </c>
      <c r="D8658" s="76" t="s">
        <v>31</v>
      </c>
      <c r="E8658" s="76" t="s">
        <v>32</v>
      </c>
      <c r="F8658" s="76">
        <v>4</v>
      </c>
    </row>
    <row r="8659" s="76" customFormat="1" spans="1:6">
      <c r="A8659">
        <v>8934</v>
      </c>
      <c r="B8659">
        <v>422017270</v>
      </c>
      <c r="C8659" s="76">
        <v>2017</v>
      </c>
      <c r="D8659" s="76" t="s">
        <v>31</v>
      </c>
      <c r="E8659" s="76" t="s">
        <v>32</v>
      </c>
      <c r="F8659" s="76">
        <v>0.3</v>
      </c>
    </row>
    <row r="8660" s="76" customFormat="1" spans="1:6">
      <c r="A8660">
        <v>8898</v>
      </c>
      <c r="B8660">
        <v>422017270</v>
      </c>
      <c r="C8660" s="76">
        <v>2017</v>
      </c>
      <c r="D8660" s="76" t="s">
        <v>31</v>
      </c>
      <c r="E8660" s="76" t="s">
        <v>32</v>
      </c>
      <c r="F8660" s="76">
        <v>1.67</v>
      </c>
    </row>
    <row r="8661" s="76" customFormat="1" spans="1:6">
      <c r="A8661">
        <v>8919</v>
      </c>
      <c r="B8661">
        <v>422017270</v>
      </c>
      <c r="C8661" s="76">
        <v>2017</v>
      </c>
      <c r="D8661" s="76" t="s">
        <v>31</v>
      </c>
      <c r="E8661" s="76" t="s">
        <v>32</v>
      </c>
      <c r="F8661" s="76">
        <v>2</v>
      </c>
    </row>
    <row r="8662" s="76" customFormat="1" spans="1:6">
      <c r="A8662">
        <v>8911</v>
      </c>
      <c r="B8662">
        <v>422017270</v>
      </c>
      <c r="C8662" s="76">
        <v>2017</v>
      </c>
      <c r="D8662" s="76" t="s">
        <v>31</v>
      </c>
      <c r="E8662" s="76" t="s">
        <v>32</v>
      </c>
      <c r="F8662" s="76">
        <v>2</v>
      </c>
    </row>
    <row r="8663" s="76" customFormat="1" spans="1:6">
      <c r="A8663">
        <v>8907</v>
      </c>
      <c r="B8663">
        <v>422017270</v>
      </c>
      <c r="C8663" s="76">
        <v>2017</v>
      </c>
      <c r="D8663" s="76" t="s">
        <v>31</v>
      </c>
      <c r="E8663" s="76" t="s">
        <v>32</v>
      </c>
      <c r="F8663" s="76">
        <v>9</v>
      </c>
    </row>
    <row r="8664" s="76" customFormat="1" spans="1:6">
      <c r="A8664">
        <v>8932</v>
      </c>
      <c r="B8664">
        <v>422017270</v>
      </c>
      <c r="C8664" s="76">
        <v>2017</v>
      </c>
      <c r="D8664" s="76" t="s">
        <v>31</v>
      </c>
      <c r="E8664" s="76" t="s">
        <v>32</v>
      </c>
      <c r="F8664" s="76">
        <v>2</v>
      </c>
    </row>
    <row r="8665" s="76" customFormat="1" spans="1:6">
      <c r="A8665">
        <v>8912</v>
      </c>
      <c r="B8665">
        <v>422017270</v>
      </c>
      <c r="C8665" s="76">
        <v>2017</v>
      </c>
      <c r="D8665" s="76" t="s">
        <v>31</v>
      </c>
      <c r="E8665" s="76" t="s">
        <v>32</v>
      </c>
      <c r="F8665" s="76">
        <v>1.53</v>
      </c>
    </row>
    <row r="8666" s="76" customFormat="1" spans="1:6">
      <c r="A8666">
        <v>8913</v>
      </c>
      <c r="B8666">
        <v>422017270</v>
      </c>
      <c r="C8666" s="76">
        <v>2017</v>
      </c>
      <c r="D8666" s="76" t="s">
        <v>31</v>
      </c>
      <c r="E8666" s="76" t="s">
        <v>32</v>
      </c>
      <c r="F8666" s="76">
        <v>1.67</v>
      </c>
    </row>
    <row r="8667" s="76" customFormat="1" spans="1:6">
      <c r="A8667">
        <v>8930</v>
      </c>
      <c r="B8667">
        <v>422017270</v>
      </c>
      <c r="C8667" s="76">
        <v>2017</v>
      </c>
      <c r="D8667" s="76" t="s">
        <v>31</v>
      </c>
      <c r="E8667" s="76" t="s">
        <v>32</v>
      </c>
      <c r="F8667" s="76">
        <v>1.7</v>
      </c>
    </row>
    <row r="8668" s="76" customFormat="1" spans="1:6">
      <c r="A8668">
        <v>8935</v>
      </c>
      <c r="B8668">
        <v>422017270</v>
      </c>
      <c r="C8668" s="76">
        <v>2017</v>
      </c>
      <c r="D8668" s="76" t="s">
        <v>31</v>
      </c>
      <c r="E8668" s="76" t="s">
        <v>32</v>
      </c>
      <c r="F8668" s="76">
        <v>1.75</v>
      </c>
    </row>
    <row r="8669" s="76" customFormat="1" spans="1:6">
      <c r="A8669">
        <v>8890</v>
      </c>
      <c r="B8669">
        <v>422017270</v>
      </c>
      <c r="C8669" s="76">
        <v>2017</v>
      </c>
      <c r="D8669" s="76" t="s">
        <v>31</v>
      </c>
      <c r="E8669" s="76" t="s">
        <v>32</v>
      </c>
      <c r="F8669" s="76">
        <v>0.64</v>
      </c>
    </row>
    <row r="8670" s="76" customFormat="1" spans="1:6">
      <c r="A8670">
        <v>8892</v>
      </c>
      <c r="B8670">
        <v>422017270</v>
      </c>
      <c r="C8670" s="76">
        <v>2017</v>
      </c>
      <c r="D8670" s="76" t="s">
        <v>31</v>
      </c>
      <c r="E8670" s="76" t="s">
        <v>32</v>
      </c>
      <c r="F8670" s="76">
        <v>1</v>
      </c>
    </row>
    <row r="8671" s="76" customFormat="1" spans="1:6">
      <c r="A8671">
        <v>8894</v>
      </c>
      <c r="B8671">
        <v>422017270</v>
      </c>
      <c r="C8671" s="76">
        <v>2017</v>
      </c>
      <c r="D8671" s="76" t="s">
        <v>31</v>
      </c>
      <c r="E8671" s="76" t="s">
        <v>32</v>
      </c>
      <c r="F8671" s="76">
        <v>3</v>
      </c>
    </row>
    <row r="8672" s="76" customFormat="1" spans="1:6">
      <c r="A8672">
        <v>8891</v>
      </c>
      <c r="B8672">
        <v>422017270</v>
      </c>
      <c r="C8672" s="76">
        <v>2017</v>
      </c>
      <c r="D8672" s="76" t="s">
        <v>31</v>
      </c>
      <c r="E8672" s="76" t="s">
        <v>32</v>
      </c>
      <c r="F8672" s="76">
        <v>4</v>
      </c>
    </row>
    <row r="8673" s="76" customFormat="1" spans="1:6">
      <c r="A8673">
        <v>8896</v>
      </c>
      <c r="B8673">
        <v>422017270</v>
      </c>
      <c r="C8673" s="76">
        <v>2017</v>
      </c>
      <c r="D8673" s="76" t="s">
        <v>31</v>
      </c>
      <c r="E8673" s="76">
        <v>1</v>
      </c>
      <c r="F8673" s="76">
        <v>4.1</v>
      </c>
    </row>
    <row r="8674" s="76" customFormat="1" spans="1:6">
      <c r="A8674">
        <v>8889</v>
      </c>
      <c r="B8674">
        <v>422017270</v>
      </c>
      <c r="C8674" s="76">
        <v>2017</v>
      </c>
      <c r="D8674" s="76" t="s">
        <v>31</v>
      </c>
      <c r="E8674" s="76" t="s">
        <v>32</v>
      </c>
      <c r="F8674" s="76">
        <v>5</v>
      </c>
    </row>
    <row r="8675" s="76" customFormat="1" spans="1:6">
      <c r="A8675">
        <v>8895</v>
      </c>
      <c r="B8675">
        <v>422017270</v>
      </c>
      <c r="C8675" s="76">
        <v>2017</v>
      </c>
      <c r="D8675" s="76" t="s">
        <v>31</v>
      </c>
      <c r="E8675" s="76" t="s">
        <v>32</v>
      </c>
      <c r="F8675" s="76">
        <v>4</v>
      </c>
    </row>
    <row r="8676" s="76" customFormat="1" spans="1:6">
      <c r="A8676">
        <v>8893</v>
      </c>
      <c r="B8676">
        <v>422017270</v>
      </c>
      <c r="C8676" s="76">
        <v>2017</v>
      </c>
      <c r="D8676" s="76" t="s">
        <v>31</v>
      </c>
      <c r="E8676" s="76">
        <v>1</v>
      </c>
      <c r="F8676" s="76">
        <v>3</v>
      </c>
    </row>
    <row r="8677" s="76" customFormat="1" spans="1:6">
      <c r="A8677">
        <v>8914</v>
      </c>
      <c r="B8677">
        <v>422017270</v>
      </c>
      <c r="C8677" s="76">
        <v>2017</v>
      </c>
      <c r="D8677" s="76" t="s">
        <v>31</v>
      </c>
      <c r="E8677" s="76" t="s">
        <v>32</v>
      </c>
      <c r="F8677" s="76">
        <v>2</v>
      </c>
    </row>
    <row r="8678" s="76" customFormat="1" spans="1:6">
      <c r="A8678">
        <v>8906</v>
      </c>
      <c r="B8678">
        <v>422017270</v>
      </c>
      <c r="C8678" s="76">
        <v>2017</v>
      </c>
      <c r="D8678" s="76" t="s">
        <v>31</v>
      </c>
      <c r="E8678" s="76" t="s">
        <v>32</v>
      </c>
      <c r="F8678" s="76">
        <v>1</v>
      </c>
    </row>
    <row r="8679" s="76" customFormat="1" spans="1:6">
      <c r="A8679">
        <v>8937</v>
      </c>
      <c r="B8679">
        <v>422017270</v>
      </c>
      <c r="C8679" s="76">
        <v>2017</v>
      </c>
      <c r="D8679" s="76" t="s">
        <v>31</v>
      </c>
      <c r="E8679" s="76" t="s">
        <v>32</v>
      </c>
      <c r="F8679" s="76">
        <v>1</v>
      </c>
    </row>
    <row r="8680" s="76" customFormat="1" spans="1:6">
      <c r="A8680">
        <v>8915</v>
      </c>
      <c r="B8680">
        <v>422017270</v>
      </c>
      <c r="C8680" s="76">
        <v>2017</v>
      </c>
      <c r="D8680" s="76" t="s">
        <v>31</v>
      </c>
      <c r="E8680" s="76" t="s">
        <v>32</v>
      </c>
      <c r="F8680" s="76">
        <v>7</v>
      </c>
    </row>
    <row r="8681" s="76" customFormat="1" spans="1:6">
      <c r="A8681">
        <v>8897</v>
      </c>
      <c r="B8681">
        <v>422017270</v>
      </c>
      <c r="C8681" s="76">
        <v>2017</v>
      </c>
      <c r="D8681" s="76" t="s">
        <v>31</v>
      </c>
      <c r="E8681" s="76" t="s">
        <v>32</v>
      </c>
      <c r="F8681" s="76">
        <v>2</v>
      </c>
    </row>
    <row r="8682" s="76" customFormat="1" spans="1:6">
      <c r="A8682">
        <v>8941</v>
      </c>
      <c r="B8682">
        <v>422017270</v>
      </c>
      <c r="C8682" s="76">
        <v>2017</v>
      </c>
      <c r="D8682" s="76" t="s">
        <v>31</v>
      </c>
      <c r="E8682" s="76" t="s">
        <v>32</v>
      </c>
      <c r="F8682" s="76">
        <v>2</v>
      </c>
    </row>
    <row r="8683" s="76" customFormat="1" spans="1:6">
      <c r="A8683">
        <v>8902</v>
      </c>
      <c r="B8683">
        <v>422017270</v>
      </c>
      <c r="C8683" s="76">
        <v>2017</v>
      </c>
      <c r="D8683" s="76" t="s">
        <v>31</v>
      </c>
      <c r="E8683" s="76" t="s">
        <v>32</v>
      </c>
      <c r="F8683" s="76">
        <v>3</v>
      </c>
    </row>
    <row r="8684" s="76" customFormat="1" spans="1:6">
      <c r="A8684">
        <v>8928</v>
      </c>
      <c r="B8684">
        <v>422017270</v>
      </c>
      <c r="C8684" s="76">
        <v>2017</v>
      </c>
      <c r="D8684" s="76" t="s">
        <v>31</v>
      </c>
      <c r="E8684" s="76" t="s">
        <v>32</v>
      </c>
      <c r="F8684" s="76">
        <v>6.13</v>
      </c>
    </row>
    <row r="8685" s="76" customFormat="1" spans="1:6">
      <c r="A8685">
        <v>8922</v>
      </c>
      <c r="B8685">
        <v>422017270</v>
      </c>
      <c r="C8685" s="76">
        <v>2017</v>
      </c>
      <c r="D8685" s="76" t="s">
        <v>31</v>
      </c>
      <c r="E8685" s="76" t="s">
        <v>32</v>
      </c>
      <c r="F8685" s="76">
        <v>2</v>
      </c>
    </row>
    <row r="8686" s="76" customFormat="1" spans="1:6">
      <c r="A8686">
        <v>8925</v>
      </c>
      <c r="B8686">
        <v>422017270</v>
      </c>
      <c r="C8686" s="76">
        <v>2017</v>
      </c>
      <c r="D8686" s="76" t="s">
        <v>31</v>
      </c>
      <c r="E8686" s="76" t="s">
        <v>32</v>
      </c>
      <c r="F8686" s="76">
        <v>2</v>
      </c>
    </row>
    <row r="8687" s="76" customFormat="1" spans="1:6">
      <c r="A8687">
        <v>8899</v>
      </c>
      <c r="B8687">
        <v>422017270</v>
      </c>
      <c r="C8687" s="76">
        <v>2017</v>
      </c>
      <c r="D8687" s="76" t="s">
        <v>31</v>
      </c>
      <c r="E8687" s="76" t="s">
        <v>32</v>
      </c>
      <c r="F8687" s="76">
        <v>2</v>
      </c>
    </row>
    <row r="8688" s="76" customFormat="1" spans="1:6">
      <c r="A8688">
        <v>8901</v>
      </c>
      <c r="B8688">
        <v>422017270</v>
      </c>
      <c r="C8688" s="76">
        <v>2017</v>
      </c>
      <c r="D8688" s="76" t="s">
        <v>31</v>
      </c>
      <c r="E8688" s="76">
        <v>2</v>
      </c>
      <c r="F8688" s="76">
        <v>1.84</v>
      </c>
    </row>
    <row r="8689" s="76" customFormat="1" spans="1:6">
      <c r="A8689">
        <v>8909</v>
      </c>
      <c r="B8689">
        <v>422017270</v>
      </c>
      <c r="C8689" s="76">
        <v>2017</v>
      </c>
      <c r="D8689" s="76" t="s">
        <v>31</v>
      </c>
      <c r="E8689" s="76" t="s">
        <v>32</v>
      </c>
      <c r="F8689" s="76">
        <v>5</v>
      </c>
    </row>
    <row r="8690" s="76" customFormat="1" spans="1:6">
      <c r="A8690">
        <v>8940</v>
      </c>
      <c r="B8690">
        <v>422017270</v>
      </c>
      <c r="C8690" s="76">
        <v>2017</v>
      </c>
      <c r="D8690" s="76" t="s">
        <v>31</v>
      </c>
      <c r="E8690" s="76" t="s">
        <v>32</v>
      </c>
      <c r="F8690" s="76">
        <v>2</v>
      </c>
    </row>
    <row r="8691" s="76" customFormat="1" spans="1:6">
      <c r="A8691">
        <v>8924</v>
      </c>
      <c r="B8691">
        <v>422017270</v>
      </c>
      <c r="C8691" s="76">
        <v>2017</v>
      </c>
      <c r="D8691" s="76" t="s">
        <v>31</v>
      </c>
      <c r="E8691" s="76" t="s">
        <v>32</v>
      </c>
      <c r="F8691" s="76">
        <v>4</v>
      </c>
    </row>
    <row r="8692" s="76" customFormat="1" spans="1:6">
      <c r="A8692">
        <v>8926</v>
      </c>
      <c r="B8692">
        <v>422017270</v>
      </c>
      <c r="C8692" s="76">
        <v>2017</v>
      </c>
      <c r="D8692" s="76" t="s">
        <v>31</v>
      </c>
      <c r="E8692" s="76" t="s">
        <v>32</v>
      </c>
      <c r="F8692" s="76">
        <v>5</v>
      </c>
    </row>
    <row r="8693" s="76" customFormat="1" spans="1:6">
      <c r="A8693">
        <v>8917</v>
      </c>
      <c r="B8693">
        <v>422017270</v>
      </c>
      <c r="C8693" s="76">
        <v>2017</v>
      </c>
      <c r="D8693" s="76" t="s">
        <v>31</v>
      </c>
      <c r="E8693" s="76" t="s">
        <v>32</v>
      </c>
      <c r="F8693" s="76">
        <v>2</v>
      </c>
    </row>
    <row r="8694" s="76" customFormat="1" spans="1:6">
      <c r="A8694">
        <v>8905</v>
      </c>
      <c r="B8694">
        <v>422017270</v>
      </c>
      <c r="C8694" s="76">
        <v>2017</v>
      </c>
      <c r="D8694" s="76" t="s">
        <v>31</v>
      </c>
      <c r="E8694" s="76" t="s">
        <v>32</v>
      </c>
      <c r="F8694" s="76">
        <v>2</v>
      </c>
    </row>
    <row r="8695" s="76" customFormat="1" spans="1:6">
      <c r="A8695">
        <v>8942</v>
      </c>
      <c r="B8695">
        <v>422017270</v>
      </c>
      <c r="C8695" s="76">
        <v>2017</v>
      </c>
      <c r="D8695" s="76" t="s">
        <v>31</v>
      </c>
      <c r="E8695" s="76" t="s">
        <v>32</v>
      </c>
      <c r="F8695" s="76">
        <v>2</v>
      </c>
    </row>
    <row r="8696" s="76" customFormat="1" spans="1:6">
      <c r="A8696">
        <v>8921</v>
      </c>
      <c r="B8696">
        <v>422017270</v>
      </c>
      <c r="C8696" s="76">
        <v>2017</v>
      </c>
      <c r="D8696" s="76" t="s">
        <v>31</v>
      </c>
      <c r="E8696" s="76" t="s">
        <v>32</v>
      </c>
      <c r="F8696" s="76">
        <v>2</v>
      </c>
    </row>
    <row r="8697" s="76" customFormat="1" spans="1:6">
      <c r="A8697">
        <v>8931</v>
      </c>
      <c r="B8697">
        <v>422017270</v>
      </c>
      <c r="C8697" s="76">
        <v>2017</v>
      </c>
      <c r="D8697" s="76" t="s">
        <v>31</v>
      </c>
      <c r="E8697" s="76" t="s">
        <v>32</v>
      </c>
      <c r="F8697" s="76">
        <v>4</v>
      </c>
    </row>
    <row r="8698" s="76" customFormat="1" spans="1:6">
      <c r="A8698">
        <v>8918</v>
      </c>
      <c r="B8698">
        <v>422017270</v>
      </c>
      <c r="C8698" s="76">
        <v>2017</v>
      </c>
      <c r="D8698" s="76" t="s">
        <v>31</v>
      </c>
      <c r="E8698" s="76" t="s">
        <v>32</v>
      </c>
      <c r="F8698" s="76">
        <v>3</v>
      </c>
    </row>
    <row r="8699" s="76" customFormat="1" spans="1:6">
      <c r="A8699">
        <v>8923</v>
      </c>
      <c r="B8699">
        <v>422017270</v>
      </c>
      <c r="C8699" s="76">
        <v>2017</v>
      </c>
      <c r="D8699" s="76" t="s">
        <v>31</v>
      </c>
      <c r="E8699" s="76" t="s">
        <v>32</v>
      </c>
      <c r="F8699" s="76">
        <v>2</v>
      </c>
    </row>
    <row r="8700" s="76" customFormat="1" spans="1:6">
      <c r="A8700">
        <v>8938</v>
      </c>
      <c r="B8700">
        <v>422017270</v>
      </c>
      <c r="C8700" s="76">
        <v>2017</v>
      </c>
      <c r="D8700" s="76" t="s">
        <v>31</v>
      </c>
      <c r="E8700" s="76" t="s">
        <v>32</v>
      </c>
      <c r="F8700" s="76">
        <v>2</v>
      </c>
    </row>
    <row r="8701" s="76" customFormat="1" spans="1:6">
      <c r="A8701">
        <v>8943</v>
      </c>
      <c r="B8701">
        <v>422018110</v>
      </c>
      <c r="C8701" s="76">
        <v>2018</v>
      </c>
      <c r="D8701" s="76" t="s">
        <v>40</v>
      </c>
      <c r="E8701" s="76" t="s">
        <v>32</v>
      </c>
      <c r="F8701" s="76">
        <v>0.31</v>
      </c>
    </row>
    <row r="8702" s="76" customFormat="1" spans="1:6">
      <c r="A8702">
        <v>8947</v>
      </c>
      <c r="B8702">
        <v>422018110</v>
      </c>
      <c r="C8702" s="76">
        <v>2018</v>
      </c>
      <c r="D8702" s="76" t="s">
        <v>40</v>
      </c>
      <c r="E8702" s="76" t="s">
        <v>32</v>
      </c>
      <c r="F8702" s="76">
        <v>1.03</v>
      </c>
    </row>
    <row r="8703" s="76" customFormat="1" spans="1:6">
      <c r="A8703">
        <v>8948</v>
      </c>
      <c r="B8703">
        <v>422018110</v>
      </c>
      <c r="C8703" s="76">
        <v>2018</v>
      </c>
      <c r="D8703" s="76" t="s">
        <v>40</v>
      </c>
      <c r="E8703" s="76" t="s">
        <v>32</v>
      </c>
      <c r="F8703" s="76">
        <v>0.2</v>
      </c>
    </row>
    <row r="8704" s="76" customFormat="1" spans="1:6">
      <c r="A8704">
        <v>8944</v>
      </c>
      <c r="B8704">
        <v>422018110</v>
      </c>
      <c r="C8704" s="76">
        <v>2018</v>
      </c>
      <c r="D8704" s="76" t="s">
        <v>40</v>
      </c>
      <c r="E8704" s="76" t="s">
        <v>32</v>
      </c>
      <c r="F8704" s="76">
        <v>0.03</v>
      </c>
    </row>
    <row r="8705" s="76" customFormat="1" spans="1:6">
      <c r="A8705">
        <v>8946</v>
      </c>
      <c r="B8705">
        <v>422018110</v>
      </c>
      <c r="C8705" s="76">
        <v>2018</v>
      </c>
      <c r="D8705" s="76" t="s">
        <v>40</v>
      </c>
      <c r="E8705" s="76" t="s">
        <v>32</v>
      </c>
      <c r="F8705" s="76">
        <v>0.75</v>
      </c>
    </row>
    <row r="8706" s="76" customFormat="1" spans="1:6">
      <c r="A8706">
        <v>8949</v>
      </c>
      <c r="B8706">
        <v>422018211</v>
      </c>
      <c r="C8706" s="76">
        <v>2018</v>
      </c>
      <c r="D8706" s="76" t="s">
        <v>37</v>
      </c>
      <c r="E8706" s="76">
        <v>1</v>
      </c>
      <c r="F8706" s="76">
        <v>35</v>
      </c>
    </row>
    <row r="8707" s="76" customFormat="1" spans="1:6">
      <c r="A8707">
        <v>8953</v>
      </c>
      <c r="B8707">
        <v>422018211</v>
      </c>
      <c r="C8707" s="76">
        <v>2018</v>
      </c>
      <c r="D8707" s="76" t="s">
        <v>37</v>
      </c>
      <c r="E8707" s="76" t="s">
        <v>32</v>
      </c>
      <c r="F8707" s="76">
        <v>0.6</v>
      </c>
    </row>
    <row r="8708" s="76" customFormat="1" spans="1:6">
      <c r="A8708">
        <v>8952</v>
      </c>
      <c r="B8708">
        <v>422018211</v>
      </c>
      <c r="C8708" s="76">
        <v>2018</v>
      </c>
      <c r="D8708" s="76" t="s">
        <v>37</v>
      </c>
      <c r="E8708" s="76">
        <v>1</v>
      </c>
      <c r="F8708" s="76">
        <v>66</v>
      </c>
    </row>
    <row r="8709" s="76" customFormat="1" spans="1:6">
      <c r="A8709">
        <v>8951</v>
      </c>
      <c r="B8709">
        <v>422018211</v>
      </c>
      <c r="C8709" s="76">
        <v>2018</v>
      </c>
      <c r="D8709" s="76" t="s">
        <v>37</v>
      </c>
      <c r="E8709" s="76" t="s">
        <v>32</v>
      </c>
      <c r="F8709" s="76">
        <v>0.9</v>
      </c>
    </row>
    <row r="8710" s="76" customFormat="1" spans="1:6">
      <c r="A8710">
        <v>8950</v>
      </c>
      <c r="B8710">
        <v>422018211</v>
      </c>
      <c r="C8710" s="76">
        <v>2018</v>
      </c>
      <c r="D8710" s="76" t="s">
        <v>37</v>
      </c>
      <c r="E8710" s="76" t="s">
        <v>32</v>
      </c>
      <c r="F8710" s="76">
        <v>1.2</v>
      </c>
    </row>
    <row r="8711" s="76" customFormat="1" spans="1:6">
      <c r="A8711">
        <v>8955</v>
      </c>
      <c r="B8711">
        <v>422018241</v>
      </c>
      <c r="C8711" s="76">
        <v>2018</v>
      </c>
      <c r="D8711" s="76" t="s">
        <v>33</v>
      </c>
      <c r="E8711" s="76" t="s">
        <v>32</v>
      </c>
      <c r="F8711" s="76">
        <v>5.2</v>
      </c>
    </row>
    <row r="8712" s="76" customFormat="1" spans="1:6">
      <c r="A8712">
        <v>8956</v>
      </c>
      <c r="B8712">
        <v>422018241</v>
      </c>
      <c r="C8712" s="76">
        <v>2018</v>
      </c>
      <c r="D8712" s="76" t="s">
        <v>33</v>
      </c>
      <c r="E8712" s="76" t="s">
        <v>32</v>
      </c>
      <c r="F8712" s="76">
        <v>0.6</v>
      </c>
    </row>
    <row r="8713" s="76" customFormat="1" spans="1:6">
      <c r="A8713">
        <v>8957</v>
      </c>
      <c r="B8713">
        <v>422018241</v>
      </c>
      <c r="C8713" s="76">
        <v>2018</v>
      </c>
      <c r="D8713" s="76" t="s">
        <v>33</v>
      </c>
      <c r="E8713" s="76" t="s">
        <v>32</v>
      </c>
      <c r="F8713" s="76">
        <v>0.3</v>
      </c>
    </row>
    <row r="8714" s="76" customFormat="1" spans="1:6">
      <c r="A8714">
        <v>8958</v>
      </c>
      <c r="B8714">
        <v>422018242</v>
      </c>
      <c r="C8714" s="76">
        <v>2018</v>
      </c>
      <c r="D8714" s="76" t="s">
        <v>35</v>
      </c>
      <c r="E8714" s="76" t="s">
        <v>32</v>
      </c>
      <c r="F8714" s="76">
        <v>0.9</v>
      </c>
    </row>
    <row r="8715" s="76" customFormat="1" spans="1:6">
      <c r="A8715">
        <v>8964</v>
      </c>
      <c r="B8715">
        <v>422018260</v>
      </c>
      <c r="C8715" s="76">
        <v>2018</v>
      </c>
      <c r="D8715" s="76" t="s">
        <v>34</v>
      </c>
      <c r="E8715" s="76">
        <v>33</v>
      </c>
      <c r="F8715" s="76">
        <v>6.6</v>
      </c>
    </row>
    <row r="8716" s="76" customFormat="1" spans="1:6">
      <c r="A8716">
        <v>8963</v>
      </c>
      <c r="B8716">
        <v>422018260</v>
      </c>
      <c r="C8716" s="76">
        <v>2018</v>
      </c>
      <c r="D8716" s="76" t="s">
        <v>34</v>
      </c>
      <c r="E8716" s="76">
        <v>26</v>
      </c>
      <c r="F8716" s="76">
        <v>5.2</v>
      </c>
    </row>
    <row r="8717" s="76" customFormat="1" spans="1:6">
      <c r="A8717">
        <v>8969</v>
      </c>
      <c r="B8717">
        <v>422018260</v>
      </c>
      <c r="C8717" s="76">
        <v>2018</v>
      </c>
      <c r="D8717" s="76" t="s">
        <v>34</v>
      </c>
      <c r="E8717" s="76" t="s">
        <v>32</v>
      </c>
      <c r="F8717" s="76">
        <v>3.8</v>
      </c>
    </row>
    <row r="8718" s="76" customFormat="1" spans="1:6">
      <c r="A8718">
        <v>8975</v>
      </c>
      <c r="B8718">
        <v>422018260</v>
      </c>
      <c r="C8718" s="76">
        <v>2018</v>
      </c>
      <c r="D8718" s="76" t="s">
        <v>34</v>
      </c>
      <c r="E8718" s="76" t="s">
        <v>32</v>
      </c>
      <c r="F8718" s="76">
        <v>0.4</v>
      </c>
    </row>
    <row r="8719" s="76" customFormat="1" spans="1:6">
      <c r="A8719">
        <v>8972</v>
      </c>
      <c r="B8719">
        <v>422018260</v>
      </c>
      <c r="C8719" s="76">
        <v>2018</v>
      </c>
      <c r="D8719" s="76" t="s">
        <v>34</v>
      </c>
      <c r="E8719" s="76" t="s">
        <v>32</v>
      </c>
      <c r="F8719" s="76">
        <v>1.76</v>
      </c>
    </row>
    <row r="8720" s="76" customFormat="1" spans="1:6">
      <c r="A8720">
        <v>8966</v>
      </c>
      <c r="B8720">
        <v>422018260</v>
      </c>
      <c r="C8720" s="76">
        <v>2018</v>
      </c>
      <c r="D8720" s="76" t="s">
        <v>34</v>
      </c>
      <c r="E8720" s="76">
        <v>18</v>
      </c>
      <c r="F8720" s="76">
        <v>3.6</v>
      </c>
    </row>
    <row r="8721" s="76" customFormat="1" spans="1:6">
      <c r="A8721">
        <v>8974</v>
      </c>
      <c r="B8721">
        <v>422018260</v>
      </c>
      <c r="C8721" s="76">
        <v>2018</v>
      </c>
      <c r="D8721" s="76" t="s">
        <v>34</v>
      </c>
      <c r="E8721" s="76" t="s">
        <v>32</v>
      </c>
      <c r="F8721" s="76">
        <v>0.2</v>
      </c>
    </row>
    <row r="8722" s="76" customFormat="1" spans="1:6">
      <c r="A8722">
        <v>8967</v>
      </c>
      <c r="B8722">
        <v>422018260</v>
      </c>
      <c r="C8722" s="76">
        <v>2018</v>
      </c>
      <c r="D8722" s="76" t="s">
        <v>34</v>
      </c>
      <c r="E8722" s="76" t="s">
        <v>32</v>
      </c>
      <c r="F8722" s="76">
        <v>13</v>
      </c>
    </row>
    <row r="8723" s="76" customFormat="1" spans="1:6">
      <c r="A8723">
        <v>8973</v>
      </c>
      <c r="B8723">
        <v>422018260</v>
      </c>
      <c r="C8723" s="76">
        <v>2018</v>
      </c>
      <c r="D8723" s="76" t="s">
        <v>34</v>
      </c>
      <c r="E8723" s="76" t="s">
        <v>32</v>
      </c>
      <c r="F8723" s="76">
        <v>2.6</v>
      </c>
    </row>
    <row r="8724" s="76" customFormat="1" spans="1:6">
      <c r="A8724">
        <v>8961</v>
      </c>
      <c r="B8724">
        <v>422018260</v>
      </c>
      <c r="C8724" s="76">
        <v>2018</v>
      </c>
      <c r="D8724" s="76" t="s">
        <v>34</v>
      </c>
      <c r="E8724" s="76">
        <v>18</v>
      </c>
      <c r="F8724" s="76">
        <v>3.92</v>
      </c>
    </row>
    <row r="8725" s="76" customFormat="1" spans="1:6">
      <c r="A8725">
        <v>8962</v>
      </c>
      <c r="B8725">
        <v>422018260</v>
      </c>
      <c r="C8725" s="76">
        <v>2018</v>
      </c>
      <c r="D8725" s="76" t="s">
        <v>34</v>
      </c>
      <c r="E8725" s="76">
        <v>20</v>
      </c>
      <c r="F8725" s="76">
        <v>4</v>
      </c>
    </row>
    <row r="8726" s="76" customFormat="1" spans="1:6">
      <c r="A8726">
        <v>8971</v>
      </c>
      <c r="B8726">
        <v>422018260</v>
      </c>
      <c r="C8726" s="76">
        <v>2018</v>
      </c>
      <c r="D8726" s="76" t="s">
        <v>34</v>
      </c>
      <c r="E8726" s="76" t="s">
        <v>32</v>
      </c>
      <c r="F8726" s="76">
        <v>4.6</v>
      </c>
    </row>
    <row r="8727" s="76" customFormat="1" spans="1:6">
      <c r="A8727">
        <v>8965</v>
      </c>
      <c r="B8727">
        <v>422018260</v>
      </c>
      <c r="C8727" s="76">
        <v>2018</v>
      </c>
      <c r="D8727" s="76" t="s">
        <v>34</v>
      </c>
      <c r="E8727" s="76">
        <v>63</v>
      </c>
      <c r="F8727" s="76">
        <v>12.6</v>
      </c>
    </row>
    <row r="8728" s="76" customFormat="1" spans="1:6">
      <c r="A8728">
        <v>8970</v>
      </c>
      <c r="B8728">
        <v>422018260</v>
      </c>
      <c r="C8728" s="76">
        <v>2018</v>
      </c>
      <c r="D8728" s="76" t="s">
        <v>34</v>
      </c>
      <c r="E8728" s="76" t="s">
        <v>32</v>
      </c>
      <c r="F8728" s="76">
        <v>7</v>
      </c>
    </row>
    <row r="8729" s="76" customFormat="1" spans="1:6">
      <c r="A8729">
        <v>8959</v>
      </c>
      <c r="B8729">
        <v>422018260</v>
      </c>
      <c r="C8729" s="76">
        <v>2018</v>
      </c>
      <c r="D8729" s="76" t="s">
        <v>34</v>
      </c>
      <c r="E8729" s="76">
        <v>25</v>
      </c>
      <c r="F8729" s="76">
        <v>5</v>
      </c>
    </row>
    <row r="8730" s="76" customFormat="1" spans="1:6">
      <c r="A8730">
        <v>8960</v>
      </c>
      <c r="B8730">
        <v>422018260</v>
      </c>
      <c r="C8730" s="76">
        <v>2018</v>
      </c>
      <c r="D8730" s="76" t="s">
        <v>34</v>
      </c>
      <c r="E8730" s="76">
        <v>13</v>
      </c>
      <c r="F8730" s="76">
        <v>3.4</v>
      </c>
    </row>
    <row r="8731" s="76" customFormat="1" spans="1:6">
      <c r="A8731">
        <v>8968</v>
      </c>
      <c r="B8731">
        <v>422018260</v>
      </c>
      <c r="C8731" s="76">
        <v>2018</v>
      </c>
      <c r="D8731" s="76" t="s">
        <v>34</v>
      </c>
      <c r="E8731" s="76" t="s">
        <v>32</v>
      </c>
      <c r="F8731" s="76">
        <v>3.8</v>
      </c>
    </row>
    <row r="8732" s="76" customFormat="1" spans="1:6">
      <c r="A8732">
        <v>8989</v>
      </c>
      <c r="B8732">
        <v>422018270</v>
      </c>
      <c r="C8732" s="76">
        <v>2018</v>
      </c>
      <c r="D8732" s="76" t="s">
        <v>31</v>
      </c>
      <c r="E8732" s="76" t="s">
        <v>32</v>
      </c>
      <c r="F8732" s="76">
        <v>2.65</v>
      </c>
    </row>
    <row r="8733" s="76" customFormat="1" spans="1:6">
      <c r="A8733">
        <v>8990</v>
      </c>
      <c r="B8733">
        <v>422018270</v>
      </c>
      <c r="C8733" s="76">
        <v>2018</v>
      </c>
      <c r="D8733" s="76" t="s">
        <v>31</v>
      </c>
      <c r="E8733" s="76" t="s">
        <v>32</v>
      </c>
      <c r="F8733" s="76">
        <v>1.05</v>
      </c>
    </row>
    <row r="8734" s="76" customFormat="1" spans="1:6">
      <c r="A8734">
        <v>8991</v>
      </c>
      <c r="B8734">
        <v>422018270</v>
      </c>
      <c r="C8734" s="76">
        <v>2018</v>
      </c>
      <c r="D8734" s="76" t="s">
        <v>31</v>
      </c>
      <c r="E8734" s="76" t="s">
        <v>32</v>
      </c>
      <c r="F8734" s="76">
        <v>1</v>
      </c>
    </row>
    <row r="8735" s="76" customFormat="1" spans="1:6">
      <c r="A8735">
        <v>8978</v>
      </c>
      <c r="B8735">
        <v>422018270</v>
      </c>
      <c r="C8735" s="76">
        <v>2018</v>
      </c>
      <c r="D8735" s="76" t="s">
        <v>31</v>
      </c>
      <c r="E8735" s="76" t="s">
        <v>32</v>
      </c>
      <c r="F8735" s="76">
        <v>1.12</v>
      </c>
    </row>
    <row r="8736" s="76" customFormat="1" spans="1:6">
      <c r="A8736">
        <v>8982</v>
      </c>
      <c r="B8736">
        <v>422018270</v>
      </c>
      <c r="C8736" s="76">
        <v>2018</v>
      </c>
      <c r="D8736" s="76" t="s">
        <v>31</v>
      </c>
      <c r="E8736" s="76" t="s">
        <v>32</v>
      </c>
      <c r="F8736" s="76">
        <v>0.29</v>
      </c>
    </row>
    <row r="8737" s="76" customFormat="1" spans="1:6">
      <c r="A8737">
        <v>8984</v>
      </c>
      <c r="B8737">
        <v>422018270</v>
      </c>
      <c r="C8737" s="76">
        <v>2018</v>
      </c>
      <c r="D8737" s="76" t="s">
        <v>31</v>
      </c>
      <c r="E8737" s="76" t="s">
        <v>32</v>
      </c>
      <c r="F8737" s="76">
        <v>1.03</v>
      </c>
    </row>
    <row r="8738" s="76" customFormat="1" spans="1:6">
      <c r="A8738">
        <v>8983</v>
      </c>
      <c r="B8738">
        <v>422018270</v>
      </c>
      <c r="C8738" s="76">
        <v>2018</v>
      </c>
      <c r="D8738" s="76" t="s">
        <v>31</v>
      </c>
      <c r="E8738" s="76" t="s">
        <v>32</v>
      </c>
      <c r="F8738" s="76">
        <v>1.37</v>
      </c>
    </row>
    <row r="8739" s="76" customFormat="1" spans="1:6">
      <c r="A8739">
        <v>8980</v>
      </c>
      <c r="B8739">
        <v>422018270</v>
      </c>
      <c r="C8739" s="76">
        <v>2018</v>
      </c>
      <c r="D8739" s="76" t="s">
        <v>31</v>
      </c>
      <c r="E8739" s="76" t="s">
        <v>32</v>
      </c>
      <c r="F8739" s="76">
        <v>8</v>
      </c>
    </row>
    <row r="8740" s="76" customFormat="1" spans="1:6">
      <c r="A8740">
        <v>8977</v>
      </c>
      <c r="B8740">
        <v>422018270</v>
      </c>
      <c r="C8740" s="76">
        <v>2018</v>
      </c>
      <c r="D8740" s="76" t="s">
        <v>31</v>
      </c>
      <c r="E8740" s="76" t="s">
        <v>32</v>
      </c>
      <c r="F8740" s="76">
        <v>0.8</v>
      </c>
    </row>
    <row r="8741" s="76" customFormat="1" spans="1:6">
      <c r="A8741">
        <v>8981</v>
      </c>
      <c r="B8741">
        <v>422018270</v>
      </c>
      <c r="C8741" s="76">
        <v>2018</v>
      </c>
      <c r="D8741" s="76" t="s">
        <v>31</v>
      </c>
      <c r="E8741" s="76" t="s">
        <v>32</v>
      </c>
      <c r="F8741" s="76">
        <v>0.7</v>
      </c>
    </row>
    <row r="8742" s="76" customFormat="1" spans="1:6">
      <c r="A8742">
        <v>8993</v>
      </c>
      <c r="B8742">
        <v>422018270</v>
      </c>
      <c r="C8742" s="76">
        <v>2018</v>
      </c>
      <c r="D8742" s="76" t="s">
        <v>31</v>
      </c>
      <c r="E8742" s="76" t="s">
        <v>32</v>
      </c>
      <c r="F8742" s="76">
        <v>0.8</v>
      </c>
    </row>
    <row r="8743" s="76" customFormat="1" spans="1:6">
      <c r="A8743">
        <v>8992</v>
      </c>
      <c r="B8743">
        <v>422018270</v>
      </c>
      <c r="C8743" s="76">
        <v>2018</v>
      </c>
      <c r="D8743" s="76" t="s">
        <v>31</v>
      </c>
      <c r="E8743" s="76" t="s">
        <v>32</v>
      </c>
      <c r="F8743" s="76">
        <v>1.8</v>
      </c>
    </row>
    <row r="8744" s="76" customFormat="1" spans="1:6">
      <c r="A8744">
        <v>8985</v>
      </c>
      <c r="B8744">
        <v>422018270</v>
      </c>
      <c r="C8744" s="76">
        <v>2018</v>
      </c>
      <c r="D8744" s="76" t="s">
        <v>31</v>
      </c>
      <c r="E8744" s="76" t="s">
        <v>32</v>
      </c>
      <c r="F8744" s="76">
        <v>0.83</v>
      </c>
    </row>
    <row r="8745" s="76" customFormat="1" spans="1:6">
      <c r="A8745">
        <v>8976</v>
      </c>
      <c r="B8745">
        <v>422018270</v>
      </c>
      <c r="C8745" s="76">
        <v>2018</v>
      </c>
      <c r="D8745" s="76" t="s">
        <v>31</v>
      </c>
      <c r="E8745" s="76" t="s">
        <v>32</v>
      </c>
      <c r="F8745" s="76">
        <v>15</v>
      </c>
    </row>
    <row r="8746" s="76" customFormat="1" spans="1:6">
      <c r="A8746">
        <v>8979</v>
      </c>
      <c r="B8746">
        <v>422018270</v>
      </c>
      <c r="C8746" s="76">
        <v>2018</v>
      </c>
      <c r="D8746" s="76" t="s">
        <v>31</v>
      </c>
      <c r="E8746" s="76" t="s">
        <v>32</v>
      </c>
      <c r="F8746" s="76">
        <v>1.4</v>
      </c>
    </row>
    <row r="8747" s="76" customFormat="1" spans="1:6">
      <c r="A8747">
        <v>8988</v>
      </c>
      <c r="B8747">
        <v>422018270</v>
      </c>
      <c r="C8747" s="76">
        <v>2018</v>
      </c>
      <c r="D8747" s="76" t="s">
        <v>31</v>
      </c>
      <c r="E8747" s="76" t="s">
        <v>32</v>
      </c>
      <c r="F8747" s="76">
        <v>3.4</v>
      </c>
    </row>
    <row r="8748" s="76" customFormat="1" spans="1:6">
      <c r="A8748">
        <v>8987</v>
      </c>
      <c r="B8748">
        <v>422018270</v>
      </c>
      <c r="C8748" s="76">
        <v>2018</v>
      </c>
      <c r="D8748" s="76" t="s">
        <v>31</v>
      </c>
      <c r="E8748" s="76" t="s">
        <v>32</v>
      </c>
      <c r="F8748" s="76">
        <v>1</v>
      </c>
    </row>
    <row r="8749" s="76" customFormat="1" spans="1:6">
      <c r="A8749">
        <v>8994</v>
      </c>
      <c r="B8749">
        <v>422018270</v>
      </c>
      <c r="C8749" s="76">
        <v>2018</v>
      </c>
      <c r="D8749" s="76" t="s">
        <v>31</v>
      </c>
      <c r="E8749" s="76" t="s">
        <v>32</v>
      </c>
      <c r="F8749" s="76">
        <v>2.14</v>
      </c>
    </row>
    <row r="8750" s="76" customFormat="1" spans="1:6">
      <c r="A8750">
        <v>8995</v>
      </c>
      <c r="B8750">
        <v>422019110</v>
      </c>
      <c r="C8750" s="76">
        <v>2019</v>
      </c>
      <c r="D8750" s="76" t="s">
        <v>40</v>
      </c>
      <c r="E8750" s="76" t="s">
        <v>32</v>
      </c>
      <c r="F8750" s="76">
        <v>0.5</v>
      </c>
    </row>
    <row r="8751" s="76" customFormat="1" spans="1:6">
      <c r="A8751">
        <v>9002</v>
      </c>
      <c r="B8751">
        <v>422019110</v>
      </c>
      <c r="C8751" s="76">
        <v>2019</v>
      </c>
      <c r="D8751" s="76" t="s">
        <v>40</v>
      </c>
      <c r="E8751" s="76" t="s">
        <v>32</v>
      </c>
      <c r="F8751" s="76">
        <v>0.13</v>
      </c>
    </row>
    <row r="8752" s="76" customFormat="1" spans="1:6">
      <c r="A8752">
        <v>9001</v>
      </c>
      <c r="B8752">
        <v>422019110</v>
      </c>
      <c r="C8752" s="76">
        <v>2019</v>
      </c>
      <c r="D8752" s="76" t="s">
        <v>40</v>
      </c>
      <c r="E8752" s="76" t="s">
        <v>32</v>
      </c>
      <c r="F8752" s="76">
        <v>0.6</v>
      </c>
    </row>
    <row r="8753" s="76" customFormat="1" spans="1:6">
      <c r="A8753">
        <v>8999</v>
      </c>
      <c r="B8753">
        <v>422019110</v>
      </c>
      <c r="C8753" s="76">
        <v>2019</v>
      </c>
      <c r="D8753" s="76" t="s">
        <v>40</v>
      </c>
      <c r="E8753" s="76" t="s">
        <v>32</v>
      </c>
      <c r="F8753" s="76">
        <v>1</v>
      </c>
    </row>
    <row r="8754" s="76" customFormat="1" spans="1:6">
      <c r="A8754">
        <v>8998</v>
      </c>
      <c r="B8754">
        <v>422019110</v>
      </c>
      <c r="C8754" s="76">
        <v>2019</v>
      </c>
      <c r="D8754" s="76" t="s">
        <v>40</v>
      </c>
      <c r="E8754" s="76" t="s">
        <v>32</v>
      </c>
      <c r="F8754" s="76">
        <v>0.2</v>
      </c>
    </row>
    <row r="8755" s="76" customFormat="1" spans="1:6">
      <c r="A8755">
        <v>8996</v>
      </c>
      <c r="B8755">
        <v>422019110</v>
      </c>
      <c r="C8755" s="76">
        <v>2019</v>
      </c>
      <c r="D8755" s="76" t="s">
        <v>40</v>
      </c>
      <c r="E8755" s="76" t="s">
        <v>32</v>
      </c>
      <c r="F8755" s="76">
        <v>0.98</v>
      </c>
    </row>
    <row r="8756" s="76" customFormat="1" spans="1:6">
      <c r="A8756">
        <v>9000</v>
      </c>
      <c r="B8756">
        <v>422019110</v>
      </c>
      <c r="C8756" s="76">
        <v>2019</v>
      </c>
      <c r="D8756" s="76" t="s">
        <v>40</v>
      </c>
      <c r="E8756" s="76" t="s">
        <v>32</v>
      </c>
      <c r="F8756" s="76">
        <v>0.63</v>
      </c>
    </row>
    <row r="8757" s="76" customFormat="1" spans="1:6">
      <c r="A8757">
        <v>8997</v>
      </c>
      <c r="B8757">
        <v>422019110</v>
      </c>
      <c r="C8757" s="76">
        <v>2019</v>
      </c>
      <c r="D8757" s="76" t="s">
        <v>40</v>
      </c>
      <c r="E8757" s="76" t="s">
        <v>32</v>
      </c>
      <c r="F8757" s="76">
        <v>0.12</v>
      </c>
    </row>
    <row r="8758" s="76" customFormat="1" spans="1:6">
      <c r="A8758">
        <v>9004</v>
      </c>
      <c r="B8758">
        <v>422019211</v>
      </c>
      <c r="C8758" s="76">
        <v>2019</v>
      </c>
      <c r="D8758" s="76" t="s">
        <v>37</v>
      </c>
      <c r="E8758" s="76">
        <v>1</v>
      </c>
      <c r="F8758" s="76">
        <v>66</v>
      </c>
    </row>
    <row r="8759" s="76" customFormat="1" spans="1:6">
      <c r="A8759">
        <v>9006</v>
      </c>
      <c r="B8759">
        <v>422019211</v>
      </c>
      <c r="C8759" s="76">
        <v>2019</v>
      </c>
      <c r="D8759" s="76" t="s">
        <v>37</v>
      </c>
      <c r="E8759" s="76">
        <v>1</v>
      </c>
      <c r="F8759" s="76">
        <v>35</v>
      </c>
    </row>
    <row r="8760" s="76" customFormat="1" spans="1:6">
      <c r="A8760">
        <v>9005</v>
      </c>
      <c r="B8760">
        <v>422019211</v>
      </c>
      <c r="C8760" s="76">
        <v>2019</v>
      </c>
      <c r="D8760" s="76" t="s">
        <v>37</v>
      </c>
      <c r="E8760" s="76">
        <v>2</v>
      </c>
      <c r="F8760" s="76">
        <v>200</v>
      </c>
    </row>
    <row r="8761" s="76" customFormat="1" spans="1:6">
      <c r="A8761">
        <v>9007</v>
      </c>
      <c r="B8761">
        <v>422019241</v>
      </c>
      <c r="C8761" s="76">
        <v>2019</v>
      </c>
      <c r="D8761" s="76" t="s">
        <v>33</v>
      </c>
      <c r="E8761" s="76" t="s">
        <v>32</v>
      </c>
      <c r="F8761" s="76">
        <v>4.1</v>
      </c>
    </row>
    <row r="8762" s="76" customFormat="1" spans="1:6">
      <c r="A8762">
        <v>9008</v>
      </c>
      <c r="B8762">
        <v>422019241</v>
      </c>
      <c r="C8762" s="76">
        <v>2019</v>
      </c>
      <c r="D8762" s="76" t="s">
        <v>33</v>
      </c>
      <c r="E8762" s="76" t="s">
        <v>32</v>
      </c>
      <c r="F8762" s="76">
        <v>1.31</v>
      </c>
    </row>
    <row r="8763" s="76" customFormat="1" spans="1:6">
      <c r="A8763">
        <v>9010</v>
      </c>
      <c r="B8763">
        <v>422019242</v>
      </c>
      <c r="C8763" s="76">
        <v>2019</v>
      </c>
      <c r="D8763" s="76" t="s">
        <v>35</v>
      </c>
      <c r="E8763" s="76" t="s">
        <v>32</v>
      </c>
      <c r="F8763" s="76">
        <v>1</v>
      </c>
    </row>
    <row r="8764" s="76" customFormat="1" spans="1:6">
      <c r="A8764">
        <v>9011</v>
      </c>
      <c r="B8764">
        <v>422019242</v>
      </c>
      <c r="C8764" s="76">
        <v>2019</v>
      </c>
      <c r="D8764" s="76" t="s">
        <v>35</v>
      </c>
      <c r="E8764" s="76" t="s">
        <v>32</v>
      </c>
      <c r="F8764" s="76">
        <v>0.75</v>
      </c>
    </row>
    <row r="8765" s="76" customFormat="1" spans="1:6">
      <c r="A8765">
        <v>9012</v>
      </c>
      <c r="B8765">
        <v>422019243</v>
      </c>
      <c r="C8765" s="76">
        <v>2019</v>
      </c>
      <c r="D8765" s="76" t="s">
        <v>38</v>
      </c>
      <c r="E8765" s="76" t="s">
        <v>32</v>
      </c>
      <c r="F8765" s="76">
        <v>10</v>
      </c>
    </row>
    <row r="8766" s="76" customFormat="1" spans="1:6">
      <c r="A8766">
        <v>9013</v>
      </c>
      <c r="B8766">
        <v>422019243</v>
      </c>
      <c r="C8766" s="76">
        <v>2019</v>
      </c>
      <c r="D8766" s="76" t="s">
        <v>38</v>
      </c>
      <c r="E8766" s="76" t="s">
        <v>32</v>
      </c>
      <c r="F8766" s="76">
        <v>4</v>
      </c>
    </row>
    <row r="8767" s="76" customFormat="1" spans="1:6">
      <c r="A8767">
        <v>9026</v>
      </c>
      <c r="B8767">
        <v>422019260</v>
      </c>
      <c r="C8767" s="76">
        <v>2019</v>
      </c>
      <c r="D8767" s="76" t="s">
        <v>34</v>
      </c>
      <c r="E8767" s="76">
        <v>2</v>
      </c>
      <c r="F8767" s="76">
        <v>0.4</v>
      </c>
    </row>
    <row r="8768" s="76" customFormat="1" spans="1:6">
      <c r="A8768">
        <v>9029</v>
      </c>
      <c r="B8768">
        <v>422019260</v>
      </c>
      <c r="C8768" s="76">
        <v>2019</v>
      </c>
      <c r="D8768" s="76" t="s">
        <v>34</v>
      </c>
      <c r="E8768" s="76" t="s">
        <v>32</v>
      </c>
      <c r="F8768" s="76">
        <v>0.2</v>
      </c>
    </row>
    <row r="8769" s="76" customFormat="1" spans="1:6">
      <c r="A8769">
        <v>9028</v>
      </c>
      <c r="B8769">
        <v>422019260</v>
      </c>
      <c r="C8769" s="76">
        <v>2019</v>
      </c>
      <c r="D8769" s="76" t="s">
        <v>34</v>
      </c>
      <c r="E8769" s="76" t="s">
        <v>32</v>
      </c>
      <c r="F8769" s="76">
        <v>0.4</v>
      </c>
    </row>
    <row r="8770" s="76" customFormat="1" spans="1:6">
      <c r="A8770">
        <v>9022</v>
      </c>
      <c r="B8770">
        <v>422019260</v>
      </c>
      <c r="C8770" s="76">
        <v>2019</v>
      </c>
      <c r="D8770" s="76" t="s">
        <v>34</v>
      </c>
      <c r="E8770" s="76" t="s">
        <v>32</v>
      </c>
      <c r="F8770" s="76">
        <v>3.74</v>
      </c>
    </row>
    <row r="8771" s="76" customFormat="1" spans="1:6">
      <c r="A8771">
        <v>9027</v>
      </c>
      <c r="B8771">
        <v>422019260</v>
      </c>
      <c r="C8771" s="76">
        <v>2019</v>
      </c>
      <c r="D8771" s="76" t="s">
        <v>34</v>
      </c>
      <c r="E8771" s="76">
        <v>7</v>
      </c>
      <c r="F8771" s="76">
        <v>1.4</v>
      </c>
    </row>
    <row r="8772" s="76" customFormat="1" spans="1:6">
      <c r="A8772">
        <v>9030</v>
      </c>
      <c r="B8772">
        <v>422019260</v>
      </c>
      <c r="C8772" s="76">
        <v>2019</v>
      </c>
      <c r="D8772" s="76" t="s">
        <v>34</v>
      </c>
      <c r="E8772" s="76" t="s">
        <v>32</v>
      </c>
      <c r="F8772" s="76">
        <v>3.6</v>
      </c>
    </row>
    <row r="8773" s="76" customFormat="1" spans="1:6">
      <c r="A8773">
        <v>9023</v>
      </c>
      <c r="B8773">
        <v>422019260</v>
      </c>
      <c r="C8773" s="76">
        <v>2019</v>
      </c>
      <c r="D8773" s="76" t="s">
        <v>34</v>
      </c>
      <c r="E8773" s="76" t="s">
        <v>32</v>
      </c>
      <c r="F8773" s="76">
        <v>6.73</v>
      </c>
    </row>
    <row r="8774" s="76" customFormat="1" spans="1:6">
      <c r="A8774">
        <v>9017</v>
      </c>
      <c r="B8774">
        <v>422019260</v>
      </c>
      <c r="C8774" s="76">
        <v>2019</v>
      </c>
      <c r="D8774" s="76" t="s">
        <v>34</v>
      </c>
      <c r="E8774" s="76" t="s">
        <v>32</v>
      </c>
      <c r="F8774" s="76">
        <v>2</v>
      </c>
    </row>
    <row r="8775" s="76" customFormat="1" spans="1:6">
      <c r="A8775">
        <v>9032</v>
      </c>
      <c r="B8775">
        <v>422019260</v>
      </c>
      <c r="C8775" s="76">
        <v>2019</v>
      </c>
      <c r="D8775" s="76" t="s">
        <v>34</v>
      </c>
      <c r="E8775" s="76" t="s">
        <v>32</v>
      </c>
      <c r="F8775" s="76">
        <v>1.32</v>
      </c>
    </row>
    <row r="8776" s="76" customFormat="1" spans="1:6">
      <c r="A8776">
        <v>9024</v>
      </c>
      <c r="B8776">
        <v>422019260</v>
      </c>
      <c r="C8776" s="76">
        <v>2019</v>
      </c>
      <c r="D8776" s="76" t="s">
        <v>34</v>
      </c>
      <c r="E8776" s="76" t="s">
        <v>32</v>
      </c>
      <c r="F8776" s="76">
        <v>2</v>
      </c>
    </row>
    <row r="8777" s="76" customFormat="1" spans="1:6">
      <c r="A8777">
        <v>9021</v>
      </c>
      <c r="B8777">
        <v>422019260</v>
      </c>
      <c r="C8777" s="76">
        <v>2019</v>
      </c>
      <c r="D8777" s="76" t="s">
        <v>34</v>
      </c>
      <c r="E8777" s="76" t="s">
        <v>32</v>
      </c>
      <c r="F8777" s="76">
        <v>2.2</v>
      </c>
    </row>
    <row r="8778" s="76" customFormat="1" spans="1:6">
      <c r="A8778">
        <v>9033</v>
      </c>
      <c r="B8778">
        <v>422019260</v>
      </c>
      <c r="C8778" s="76">
        <v>2019</v>
      </c>
      <c r="D8778" s="76" t="s">
        <v>34</v>
      </c>
      <c r="E8778" s="76" t="s">
        <v>32</v>
      </c>
      <c r="F8778" s="76">
        <v>8.9</v>
      </c>
    </row>
    <row r="8779" s="76" customFormat="1" spans="1:6">
      <c r="A8779">
        <v>9015</v>
      </c>
      <c r="B8779">
        <v>422019260</v>
      </c>
      <c r="C8779" s="76">
        <v>2019</v>
      </c>
      <c r="D8779" s="76" t="s">
        <v>34</v>
      </c>
      <c r="E8779" s="76">
        <v>15</v>
      </c>
      <c r="F8779" s="76">
        <v>3</v>
      </c>
    </row>
    <row r="8780" s="76" customFormat="1" spans="1:6">
      <c r="A8780">
        <v>9025</v>
      </c>
      <c r="B8780">
        <v>422019260</v>
      </c>
      <c r="C8780" s="76">
        <v>2019</v>
      </c>
      <c r="D8780" s="76" t="s">
        <v>34</v>
      </c>
      <c r="E8780" s="76">
        <v>18</v>
      </c>
      <c r="F8780" s="76">
        <v>3.6</v>
      </c>
    </row>
    <row r="8781" s="76" customFormat="1" spans="1:6">
      <c r="A8781">
        <v>9019</v>
      </c>
      <c r="B8781">
        <v>422019260</v>
      </c>
      <c r="C8781" s="76">
        <v>2019</v>
      </c>
      <c r="D8781" s="76" t="s">
        <v>34</v>
      </c>
      <c r="E8781" s="76">
        <v>33</v>
      </c>
      <c r="F8781" s="76">
        <v>7.2</v>
      </c>
    </row>
    <row r="8782" s="76" customFormat="1" spans="1:6">
      <c r="A8782">
        <v>9031</v>
      </c>
      <c r="B8782">
        <v>422019260</v>
      </c>
      <c r="C8782" s="76">
        <v>2019</v>
      </c>
      <c r="D8782" s="76" t="s">
        <v>34</v>
      </c>
      <c r="E8782" s="76" t="s">
        <v>32</v>
      </c>
      <c r="F8782" s="76">
        <v>7.75</v>
      </c>
    </row>
    <row r="8783" s="76" customFormat="1" spans="1:6">
      <c r="A8783">
        <v>9014</v>
      </c>
      <c r="B8783">
        <v>422019260</v>
      </c>
      <c r="C8783" s="76">
        <v>2019</v>
      </c>
      <c r="D8783" s="76" t="s">
        <v>34</v>
      </c>
      <c r="E8783" s="76">
        <v>29</v>
      </c>
      <c r="F8783" s="76">
        <v>5.8</v>
      </c>
    </row>
    <row r="8784" s="76" customFormat="1" spans="1:6">
      <c r="A8784">
        <v>9018</v>
      </c>
      <c r="B8784">
        <v>422019260</v>
      </c>
      <c r="C8784" s="76">
        <v>2019</v>
      </c>
      <c r="D8784" s="76" t="s">
        <v>34</v>
      </c>
      <c r="E8784" s="76" t="s">
        <v>32</v>
      </c>
      <c r="F8784" s="76">
        <v>4.7</v>
      </c>
    </row>
    <row r="8785" s="76" customFormat="1" spans="1:6">
      <c r="A8785">
        <v>9020</v>
      </c>
      <c r="B8785">
        <v>422019260</v>
      </c>
      <c r="C8785" s="76">
        <v>2019</v>
      </c>
      <c r="D8785" s="76" t="s">
        <v>34</v>
      </c>
      <c r="E8785" s="76" t="s">
        <v>32</v>
      </c>
      <c r="F8785" s="76">
        <v>5.8</v>
      </c>
    </row>
    <row r="8786" s="76" customFormat="1" spans="1:6">
      <c r="A8786">
        <v>9016</v>
      </c>
      <c r="B8786">
        <v>422019260</v>
      </c>
      <c r="C8786" s="76">
        <v>2019</v>
      </c>
      <c r="D8786" s="76" t="s">
        <v>34</v>
      </c>
      <c r="E8786" s="76" t="s">
        <v>32</v>
      </c>
      <c r="F8786" s="76">
        <v>5</v>
      </c>
    </row>
    <row r="8787" s="76" customFormat="1" spans="1:6">
      <c r="A8787">
        <v>9044</v>
      </c>
      <c r="B8787">
        <v>422019270</v>
      </c>
      <c r="C8787" s="76">
        <v>2019</v>
      </c>
      <c r="D8787" s="76" t="s">
        <v>31</v>
      </c>
      <c r="E8787" s="76" t="s">
        <v>32</v>
      </c>
      <c r="F8787" s="76">
        <v>2.35</v>
      </c>
    </row>
    <row r="8788" s="76" customFormat="1" spans="1:6">
      <c r="A8788">
        <v>9049</v>
      </c>
      <c r="B8788">
        <v>422019270</v>
      </c>
      <c r="C8788" s="76">
        <v>2019</v>
      </c>
      <c r="D8788" s="76" t="s">
        <v>31</v>
      </c>
      <c r="E8788" s="76" t="s">
        <v>32</v>
      </c>
      <c r="F8788" s="76">
        <v>1.4</v>
      </c>
    </row>
    <row r="8789" s="76" customFormat="1" spans="1:6">
      <c r="A8789">
        <v>9034</v>
      </c>
      <c r="B8789">
        <v>422019270</v>
      </c>
      <c r="C8789" s="76">
        <v>2019</v>
      </c>
      <c r="D8789" s="76" t="s">
        <v>31</v>
      </c>
      <c r="E8789" s="76" t="s">
        <v>32</v>
      </c>
      <c r="F8789" s="76">
        <v>2</v>
      </c>
    </row>
    <row r="8790" s="76" customFormat="1" spans="1:6">
      <c r="A8790">
        <v>9036</v>
      </c>
      <c r="B8790">
        <v>422019270</v>
      </c>
      <c r="C8790" s="76">
        <v>2019</v>
      </c>
      <c r="D8790" s="76" t="s">
        <v>31</v>
      </c>
      <c r="E8790" s="76" t="s">
        <v>32</v>
      </c>
      <c r="F8790" s="76">
        <v>2</v>
      </c>
    </row>
    <row r="8791" s="76" customFormat="1" spans="1:6">
      <c r="A8791">
        <v>9046</v>
      </c>
      <c r="B8791">
        <v>422019270</v>
      </c>
      <c r="C8791" s="76">
        <v>2019</v>
      </c>
      <c r="D8791" s="76" t="s">
        <v>31</v>
      </c>
      <c r="E8791" s="76" t="s">
        <v>32</v>
      </c>
      <c r="F8791" s="76">
        <v>1</v>
      </c>
    </row>
    <row r="8792" s="76" customFormat="1" spans="1:6">
      <c r="A8792">
        <v>9045</v>
      </c>
      <c r="B8792">
        <v>422019270</v>
      </c>
      <c r="C8792" s="76">
        <v>2019</v>
      </c>
      <c r="D8792" s="76" t="s">
        <v>31</v>
      </c>
      <c r="E8792" s="76" t="s">
        <v>32</v>
      </c>
      <c r="F8792" s="76">
        <v>2</v>
      </c>
    </row>
    <row r="8793" s="76" customFormat="1" spans="1:6">
      <c r="A8793">
        <v>9042</v>
      </c>
      <c r="B8793">
        <v>422019270</v>
      </c>
      <c r="C8793" s="76">
        <v>2019</v>
      </c>
      <c r="D8793" s="76" t="s">
        <v>31</v>
      </c>
      <c r="E8793" s="76" t="s">
        <v>32</v>
      </c>
      <c r="F8793" s="76">
        <v>4.26</v>
      </c>
    </row>
    <row r="8794" s="76" customFormat="1" spans="1:6">
      <c r="A8794">
        <v>9040</v>
      </c>
      <c r="B8794">
        <v>422019270</v>
      </c>
      <c r="C8794" s="76">
        <v>2019</v>
      </c>
      <c r="D8794" s="76" t="s">
        <v>31</v>
      </c>
      <c r="E8794" s="76" t="s">
        <v>32</v>
      </c>
      <c r="F8794" s="76">
        <v>3</v>
      </c>
    </row>
    <row r="8795" s="76" customFormat="1" spans="1:6">
      <c r="A8795">
        <v>9041</v>
      </c>
      <c r="B8795">
        <v>422019270</v>
      </c>
      <c r="C8795" s="76">
        <v>2019</v>
      </c>
      <c r="D8795" s="76" t="s">
        <v>31</v>
      </c>
      <c r="E8795" s="76" t="s">
        <v>32</v>
      </c>
      <c r="F8795" s="76">
        <v>7</v>
      </c>
    </row>
    <row r="8796" s="76" customFormat="1" spans="1:6">
      <c r="A8796">
        <v>9047</v>
      </c>
      <c r="B8796">
        <v>422019270</v>
      </c>
      <c r="C8796" s="76">
        <v>2019</v>
      </c>
      <c r="D8796" s="76" t="s">
        <v>31</v>
      </c>
      <c r="E8796" s="76" t="s">
        <v>32</v>
      </c>
      <c r="F8796" s="76">
        <v>1</v>
      </c>
    </row>
    <row r="8797" s="76" customFormat="1" spans="1:6">
      <c r="A8797">
        <v>9035</v>
      </c>
      <c r="B8797">
        <v>422019270</v>
      </c>
      <c r="C8797" s="76">
        <v>2019</v>
      </c>
      <c r="D8797" s="76" t="s">
        <v>31</v>
      </c>
      <c r="E8797" s="76" t="s">
        <v>32</v>
      </c>
      <c r="F8797" s="76">
        <v>4</v>
      </c>
    </row>
    <row r="8798" s="76" customFormat="1" spans="1:6">
      <c r="A8798">
        <v>9038</v>
      </c>
      <c r="B8798">
        <v>422019270</v>
      </c>
      <c r="C8798" s="76">
        <v>2019</v>
      </c>
      <c r="D8798" s="76" t="s">
        <v>31</v>
      </c>
      <c r="E8798" s="76" t="s">
        <v>32</v>
      </c>
      <c r="F8798" s="76">
        <v>3</v>
      </c>
    </row>
    <row r="8799" s="76" customFormat="1" spans="1:6">
      <c r="A8799">
        <v>9037</v>
      </c>
      <c r="B8799">
        <v>422019270</v>
      </c>
      <c r="C8799" s="76">
        <v>2019</v>
      </c>
      <c r="D8799" s="76" t="s">
        <v>31</v>
      </c>
      <c r="E8799" s="76" t="s">
        <v>32</v>
      </c>
      <c r="F8799" s="76">
        <v>1</v>
      </c>
    </row>
    <row r="8800" s="76" customFormat="1" spans="1:6">
      <c r="A8800">
        <v>9053</v>
      </c>
      <c r="B8800">
        <v>422019270</v>
      </c>
      <c r="C8800" s="76">
        <v>2019</v>
      </c>
      <c r="D8800" s="76" t="s">
        <v>31</v>
      </c>
      <c r="E8800" s="76" t="s">
        <v>32</v>
      </c>
      <c r="F8800" s="76">
        <v>4.9</v>
      </c>
    </row>
    <row r="8801" s="76" customFormat="1" spans="1:6">
      <c r="A8801">
        <v>9055</v>
      </c>
      <c r="B8801">
        <v>422019270</v>
      </c>
      <c r="C8801" s="76">
        <v>2019</v>
      </c>
      <c r="D8801" s="76" t="s">
        <v>31</v>
      </c>
      <c r="E8801" s="76" t="s">
        <v>32</v>
      </c>
      <c r="F8801" s="76">
        <v>5</v>
      </c>
    </row>
    <row r="8802" s="76" customFormat="1" spans="1:6">
      <c r="A8802">
        <v>9043</v>
      </c>
      <c r="B8802">
        <v>422019270</v>
      </c>
      <c r="C8802" s="76">
        <v>2019</v>
      </c>
      <c r="D8802" s="76" t="s">
        <v>31</v>
      </c>
      <c r="E8802" s="76" t="s">
        <v>32</v>
      </c>
      <c r="F8802" s="76">
        <v>3.5</v>
      </c>
    </row>
    <row r="8803" s="76" customFormat="1" spans="1:6">
      <c r="A8803">
        <v>9054</v>
      </c>
      <c r="B8803">
        <v>422019270</v>
      </c>
      <c r="C8803" s="76">
        <v>2019</v>
      </c>
      <c r="D8803" s="76" t="s">
        <v>31</v>
      </c>
      <c r="E8803" s="76" t="s">
        <v>32</v>
      </c>
      <c r="F8803" s="76">
        <v>2</v>
      </c>
    </row>
    <row r="8804" s="76" customFormat="1" spans="1:6">
      <c r="A8804">
        <v>9048</v>
      </c>
      <c r="B8804">
        <v>422019270</v>
      </c>
      <c r="C8804" s="76">
        <v>2019</v>
      </c>
      <c r="D8804" s="76" t="s">
        <v>31</v>
      </c>
      <c r="E8804" s="76" t="s">
        <v>32</v>
      </c>
      <c r="F8804" s="76">
        <v>0.16</v>
      </c>
    </row>
    <row r="8805" s="76" customFormat="1" spans="1:6">
      <c r="A8805">
        <v>9051</v>
      </c>
      <c r="B8805">
        <v>422019270</v>
      </c>
      <c r="C8805" s="76">
        <v>2019</v>
      </c>
      <c r="D8805" s="76" t="s">
        <v>31</v>
      </c>
      <c r="E8805" s="76" t="s">
        <v>32</v>
      </c>
      <c r="F8805" s="76">
        <v>7</v>
      </c>
    </row>
    <row r="8806" s="76" customFormat="1" spans="1:6">
      <c r="A8806">
        <v>9052</v>
      </c>
      <c r="B8806">
        <v>422019270</v>
      </c>
      <c r="C8806" s="76">
        <v>2019</v>
      </c>
      <c r="D8806" s="76" t="s">
        <v>31</v>
      </c>
      <c r="E8806" s="76" t="s">
        <v>32</v>
      </c>
      <c r="F8806" s="76">
        <v>5.44</v>
      </c>
    </row>
    <row r="8807" s="76" customFormat="1" spans="1:6">
      <c r="A8807">
        <v>9050</v>
      </c>
      <c r="B8807">
        <v>422019270</v>
      </c>
      <c r="C8807" s="76">
        <v>2019</v>
      </c>
      <c r="D8807" s="76" t="s">
        <v>31</v>
      </c>
      <c r="E8807" s="76" t="s">
        <v>32</v>
      </c>
      <c r="F8807" s="76">
        <v>10</v>
      </c>
    </row>
    <row r="8808" s="76" customFormat="1" spans="1:6">
      <c r="A8808">
        <v>9060</v>
      </c>
      <c r="B8808">
        <v>422020110</v>
      </c>
      <c r="C8808" s="76">
        <v>2020</v>
      </c>
      <c r="D8808" s="76" t="s">
        <v>40</v>
      </c>
      <c r="E8808" s="76" t="s">
        <v>32</v>
      </c>
      <c r="F8808" s="76">
        <v>0.23</v>
      </c>
    </row>
    <row r="8809" s="76" customFormat="1" spans="1:6">
      <c r="A8809">
        <v>9057</v>
      </c>
      <c r="B8809">
        <v>422020110</v>
      </c>
      <c r="C8809" s="76">
        <v>2020</v>
      </c>
      <c r="D8809" s="76" t="s">
        <v>40</v>
      </c>
      <c r="E8809" s="76" t="s">
        <v>32</v>
      </c>
      <c r="F8809" s="76">
        <v>1</v>
      </c>
    </row>
    <row r="8810" s="76" customFormat="1" spans="1:6">
      <c r="A8810">
        <v>9058</v>
      </c>
      <c r="B8810">
        <v>422020110</v>
      </c>
      <c r="C8810" s="76">
        <v>2020</v>
      </c>
      <c r="D8810" s="76" t="s">
        <v>40</v>
      </c>
      <c r="E8810" s="76" t="s">
        <v>32</v>
      </c>
      <c r="F8810" s="76">
        <v>4.5</v>
      </c>
    </row>
    <row r="8811" s="76" customFormat="1" spans="1:6">
      <c r="A8811">
        <v>9056</v>
      </c>
      <c r="B8811">
        <v>422020110</v>
      </c>
      <c r="C8811" s="76">
        <v>2020</v>
      </c>
      <c r="D8811" s="76" t="s">
        <v>40</v>
      </c>
      <c r="E8811" s="76">
        <v>2</v>
      </c>
      <c r="F8811" s="76">
        <v>45</v>
      </c>
    </row>
    <row r="8812" s="76" customFormat="1" spans="1:6">
      <c r="A8812">
        <v>9059</v>
      </c>
      <c r="B8812">
        <v>422020110</v>
      </c>
      <c r="C8812" s="76">
        <v>2020</v>
      </c>
      <c r="D8812" s="76" t="s">
        <v>40</v>
      </c>
      <c r="E8812" s="76" t="s">
        <v>32</v>
      </c>
      <c r="F8812" s="76">
        <v>1.1</v>
      </c>
    </row>
    <row r="8813" s="76" customFormat="1" spans="1:6">
      <c r="A8813">
        <v>9064</v>
      </c>
      <c r="B8813">
        <v>422020211</v>
      </c>
      <c r="C8813" s="76">
        <v>2020</v>
      </c>
      <c r="D8813" s="76" t="s">
        <v>37</v>
      </c>
      <c r="E8813" s="76" t="s">
        <v>32</v>
      </c>
      <c r="F8813" s="76">
        <v>6</v>
      </c>
    </row>
    <row r="8814" s="76" customFormat="1" spans="1:6">
      <c r="A8814">
        <v>9062</v>
      </c>
      <c r="B8814">
        <v>422020211</v>
      </c>
      <c r="C8814" s="76">
        <v>2020</v>
      </c>
      <c r="D8814" s="76" t="s">
        <v>37</v>
      </c>
      <c r="E8814" s="76">
        <v>2</v>
      </c>
      <c r="F8814" s="76">
        <v>132</v>
      </c>
    </row>
    <row r="8815" s="76" customFormat="1" spans="1:6">
      <c r="A8815">
        <v>9063</v>
      </c>
      <c r="B8815">
        <v>422020211</v>
      </c>
      <c r="C8815" s="76">
        <v>2020</v>
      </c>
      <c r="D8815" s="76" t="s">
        <v>37</v>
      </c>
      <c r="E8815" s="76" t="s">
        <v>32</v>
      </c>
      <c r="F8815" s="76">
        <v>0.3</v>
      </c>
    </row>
    <row r="8816" s="76" customFormat="1" spans="1:6">
      <c r="A8816">
        <v>9065</v>
      </c>
      <c r="B8816">
        <v>422020221</v>
      </c>
      <c r="C8816" s="76">
        <v>2020</v>
      </c>
      <c r="D8816" s="76" t="s">
        <v>30</v>
      </c>
      <c r="E8816" s="76">
        <v>2</v>
      </c>
      <c r="F8816" s="76">
        <v>15.4</v>
      </c>
    </row>
    <row r="8817" s="76" customFormat="1" spans="1:6">
      <c r="A8817">
        <v>9066</v>
      </c>
      <c r="B8817">
        <v>422020241</v>
      </c>
      <c r="C8817" s="76">
        <v>2020</v>
      </c>
      <c r="D8817" s="76" t="s">
        <v>33</v>
      </c>
      <c r="E8817" s="76" t="s">
        <v>32</v>
      </c>
      <c r="F8817" s="76">
        <v>0.15</v>
      </c>
    </row>
    <row r="8818" s="76" customFormat="1" spans="1:6">
      <c r="A8818">
        <v>9068</v>
      </c>
      <c r="B8818">
        <v>422020241</v>
      </c>
      <c r="C8818" s="76">
        <v>2020</v>
      </c>
      <c r="D8818" s="76" t="s">
        <v>33</v>
      </c>
      <c r="E8818" s="76" t="s">
        <v>32</v>
      </c>
      <c r="F8818" s="76">
        <v>13</v>
      </c>
    </row>
    <row r="8819" s="76" customFormat="1" spans="1:6">
      <c r="A8819">
        <v>9067</v>
      </c>
      <c r="B8819">
        <v>422020241</v>
      </c>
      <c r="C8819" s="76">
        <v>2020</v>
      </c>
      <c r="D8819" s="76" t="s">
        <v>33</v>
      </c>
      <c r="E8819" s="76" t="s">
        <v>32</v>
      </c>
      <c r="F8819" s="76">
        <v>0.25</v>
      </c>
    </row>
    <row r="8820" s="76" customFormat="1" spans="1:6">
      <c r="A8820">
        <v>9071</v>
      </c>
      <c r="B8820">
        <v>422020242</v>
      </c>
      <c r="C8820" s="76">
        <v>2020</v>
      </c>
      <c r="D8820" s="76" t="s">
        <v>35</v>
      </c>
      <c r="E8820" s="76" t="s">
        <v>32</v>
      </c>
      <c r="F8820" s="76">
        <v>1.2</v>
      </c>
    </row>
    <row r="8821" s="76" customFormat="1" spans="1:6">
      <c r="A8821">
        <v>9070</v>
      </c>
      <c r="B8821">
        <v>422020242</v>
      </c>
      <c r="C8821" s="76">
        <v>2020</v>
      </c>
      <c r="D8821" s="76" t="s">
        <v>35</v>
      </c>
      <c r="E8821" s="76" t="s">
        <v>32</v>
      </c>
      <c r="F8821" s="76">
        <v>1.5</v>
      </c>
    </row>
    <row r="8822" s="76" customFormat="1" spans="1:6">
      <c r="A8822">
        <v>9075</v>
      </c>
      <c r="B8822">
        <v>422020242</v>
      </c>
      <c r="C8822" s="76">
        <v>2020</v>
      </c>
      <c r="D8822" s="76" t="s">
        <v>35</v>
      </c>
      <c r="E8822" s="76" t="s">
        <v>32</v>
      </c>
      <c r="F8822" s="76">
        <v>1.5</v>
      </c>
    </row>
    <row r="8823" s="76" customFormat="1" spans="1:6">
      <c r="A8823">
        <v>9074</v>
      </c>
      <c r="B8823">
        <v>422020242</v>
      </c>
      <c r="C8823" s="76">
        <v>2020</v>
      </c>
      <c r="D8823" s="76" t="s">
        <v>35</v>
      </c>
      <c r="E8823" s="76" t="s">
        <v>32</v>
      </c>
      <c r="F8823" s="76">
        <v>0.75</v>
      </c>
    </row>
    <row r="8824" s="76" customFormat="1" spans="1:6">
      <c r="A8824">
        <v>9073</v>
      </c>
      <c r="B8824">
        <v>422020242</v>
      </c>
      <c r="C8824" s="76">
        <v>2020</v>
      </c>
      <c r="D8824" s="76" t="s">
        <v>35</v>
      </c>
      <c r="E8824" s="76" t="s">
        <v>32</v>
      </c>
      <c r="F8824" s="76">
        <v>1.2</v>
      </c>
    </row>
    <row r="8825" s="76" customFormat="1" spans="1:6">
      <c r="A8825">
        <v>9072</v>
      </c>
      <c r="B8825">
        <v>422020242</v>
      </c>
      <c r="C8825" s="76">
        <v>2020</v>
      </c>
      <c r="D8825" s="76" t="s">
        <v>35</v>
      </c>
      <c r="E8825" s="76" t="s">
        <v>32</v>
      </c>
      <c r="F8825" s="76">
        <v>3.5</v>
      </c>
    </row>
    <row r="8826" s="76" customFormat="1" spans="1:6">
      <c r="A8826">
        <v>9076</v>
      </c>
      <c r="B8826">
        <v>422020243</v>
      </c>
      <c r="C8826" s="76">
        <v>2020</v>
      </c>
      <c r="D8826" s="76" t="s">
        <v>38</v>
      </c>
      <c r="E8826" s="76" t="s">
        <v>32</v>
      </c>
      <c r="F8826" s="76">
        <v>3</v>
      </c>
    </row>
    <row r="8827" s="76" customFormat="1" spans="1:6">
      <c r="A8827">
        <v>9078</v>
      </c>
      <c r="B8827">
        <v>422020243</v>
      </c>
      <c r="C8827" s="76">
        <v>2020</v>
      </c>
      <c r="D8827" s="76" t="s">
        <v>38</v>
      </c>
      <c r="E8827" s="76" t="s">
        <v>32</v>
      </c>
      <c r="F8827" s="76">
        <v>0.3</v>
      </c>
    </row>
    <row r="8828" s="76" customFormat="1" spans="1:6">
      <c r="A8828">
        <v>9077</v>
      </c>
      <c r="B8828">
        <v>422020243</v>
      </c>
      <c r="C8828" s="76">
        <v>2020</v>
      </c>
      <c r="D8828" s="76" t="s">
        <v>38</v>
      </c>
      <c r="E8828" s="76" t="s">
        <v>32</v>
      </c>
      <c r="F8828" s="76">
        <v>0.3</v>
      </c>
    </row>
    <row r="8829" s="76" customFormat="1" spans="1:6">
      <c r="A8829">
        <v>9079</v>
      </c>
      <c r="B8829">
        <v>422020243</v>
      </c>
      <c r="C8829" s="76">
        <v>2020</v>
      </c>
      <c r="D8829" s="76" t="s">
        <v>38</v>
      </c>
      <c r="E8829" s="76" t="s">
        <v>32</v>
      </c>
      <c r="F8829" s="76">
        <v>5</v>
      </c>
    </row>
    <row r="8830" s="76" customFormat="1" spans="1:6">
      <c r="A8830">
        <v>9083</v>
      </c>
      <c r="B8830">
        <v>422020260</v>
      </c>
      <c r="C8830" s="76">
        <v>2020</v>
      </c>
      <c r="D8830" s="76" t="s">
        <v>34</v>
      </c>
      <c r="E8830" s="76">
        <v>1</v>
      </c>
      <c r="F8830" s="76">
        <v>0.25</v>
      </c>
    </row>
    <row r="8831" s="76" customFormat="1" spans="1:6">
      <c r="A8831">
        <v>9082</v>
      </c>
      <c r="B8831">
        <v>422020260</v>
      </c>
      <c r="C8831" s="76">
        <v>2020</v>
      </c>
      <c r="D8831" s="76" t="s">
        <v>34</v>
      </c>
      <c r="E8831" s="76">
        <v>11</v>
      </c>
      <c r="F8831" s="76">
        <v>2.75</v>
      </c>
    </row>
    <row r="8832" s="76" customFormat="1" spans="1:6">
      <c r="A8832">
        <v>9086</v>
      </c>
      <c r="B8832">
        <v>422020260</v>
      </c>
      <c r="C8832" s="76">
        <v>2020</v>
      </c>
      <c r="D8832" s="76" t="s">
        <v>34</v>
      </c>
      <c r="E8832" s="76" t="s">
        <v>32</v>
      </c>
      <c r="F8832" s="76">
        <v>1.4</v>
      </c>
    </row>
    <row r="8833" s="76" customFormat="1" spans="1:6">
      <c r="A8833">
        <v>9111</v>
      </c>
      <c r="B8833">
        <v>422020260</v>
      </c>
      <c r="C8833" s="76">
        <v>2020</v>
      </c>
      <c r="D8833" s="76" t="s">
        <v>34</v>
      </c>
      <c r="E8833" s="76" t="s">
        <v>32</v>
      </c>
      <c r="F8833" s="76">
        <v>0.75</v>
      </c>
    </row>
    <row r="8834" s="76" customFormat="1" spans="1:6">
      <c r="A8834">
        <v>9097</v>
      </c>
      <c r="B8834">
        <v>422020260</v>
      </c>
      <c r="C8834" s="76">
        <v>2020</v>
      </c>
      <c r="D8834" s="76" t="s">
        <v>34</v>
      </c>
      <c r="E8834" s="76">
        <v>2</v>
      </c>
      <c r="F8834" s="76">
        <v>0.4</v>
      </c>
    </row>
    <row r="8835" s="76" customFormat="1" spans="1:6">
      <c r="A8835">
        <v>9110</v>
      </c>
      <c r="B8835">
        <v>422020260</v>
      </c>
      <c r="C8835" s="76">
        <v>2020</v>
      </c>
      <c r="D8835" s="76" t="s">
        <v>34</v>
      </c>
      <c r="E8835" s="76" t="s">
        <v>32</v>
      </c>
      <c r="F8835" s="76">
        <v>0.25</v>
      </c>
    </row>
    <row r="8836" s="76" customFormat="1" spans="1:6">
      <c r="A8836">
        <v>9112</v>
      </c>
      <c r="B8836">
        <v>422020260</v>
      </c>
      <c r="C8836" s="76">
        <v>2020</v>
      </c>
      <c r="D8836" s="76" t="s">
        <v>34</v>
      </c>
      <c r="E8836" s="76" t="s">
        <v>32</v>
      </c>
      <c r="F8836" s="76">
        <v>5</v>
      </c>
    </row>
    <row r="8837" s="76" customFormat="1" spans="1:6">
      <c r="A8837">
        <v>9091</v>
      </c>
      <c r="B8837">
        <v>422020260</v>
      </c>
      <c r="C8837" s="76">
        <v>2020</v>
      </c>
      <c r="D8837" s="76" t="s">
        <v>34</v>
      </c>
      <c r="E8837" s="76">
        <v>1</v>
      </c>
      <c r="F8837" s="76">
        <v>0.25</v>
      </c>
    </row>
    <row r="8838" s="76" customFormat="1" spans="1:6">
      <c r="A8838">
        <v>9096</v>
      </c>
      <c r="B8838">
        <v>422020260</v>
      </c>
      <c r="C8838" s="76">
        <v>2020</v>
      </c>
      <c r="D8838" s="76" t="s">
        <v>34</v>
      </c>
      <c r="E8838" s="76">
        <v>19</v>
      </c>
      <c r="F8838" s="76">
        <v>4.68</v>
      </c>
    </row>
    <row r="8839" s="76" customFormat="1" spans="1:6">
      <c r="A8839">
        <v>9087</v>
      </c>
      <c r="B8839">
        <v>422020260</v>
      </c>
      <c r="C8839" s="76">
        <v>2020</v>
      </c>
      <c r="D8839" s="76" t="s">
        <v>34</v>
      </c>
      <c r="E8839" s="76">
        <v>16</v>
      </c>
      <c r="F8839" s="76">
        <v>3.2</v>
      </c>
    </row>
    <row r="8840" s="76" customFormat="1" spans="1:6">
      <c r="A8840">
        <v>9081</v>
      </c>
      <c r="B8840">
        <v>422020260</v>
      </c>
      <c r="C8840" s="76">
        <v>2020</v>
      </c>
      <c r="D8840" s="76" t="s">
        <v>34</v>
      </c>
      <c r="E8840" s="76">
        <v>23</v>
      </c>
      <c r="F8840" s="76">
        <v>5.12</v>
      </c>
    </row>
    <row r="8841" s="76" customFormat="1" spans="1:6">
      <c r="A8841">
        <v>9090</v>
      </c>
      <c r="B8841">
        <v>422020260</v>
      </c>
      <c r="C8841" s="76">
        <v>2020</v>
      </c>
      <c r="D8841" s="76" t="s">
        <v>34</v>
      </c>
      <c r="E8841" s="76">
        <v>2</v>
      </c>
      <c r="F8841" s="76">
        <v>0.5</v>
      </c>
    </row>
    <row r="8842" s="76" customFormat="1" spans="1:6">
      <c r="A8842">
        <v>9092</v>
      </c>
      <c r="B8842">
        <v>422020260</v>
      </c>
      <c r="C8842" s="76">
        <v>2020</v>
      </c>
      <c r="D8842" s="76" t="s">
        <v>34</v>
      </c>
      <c r="E8842" s="76">
        <v>4</v>
      </c>
      <c r="F8842" s="76">
        <v>1</v>
      </c>
    </row>
    <row r="8843" s="76" customFormat="1" spans="1:6">
      <c r="A8843">
        <v>9089</v>
      </c>
      <c r="B8843">
        <v>422020260</v>
      </c>
      <c r="C8843" s="76">
        <v>2020</v>
      </c>
      <c r="D8843" s="76" t="s">
        <v>34</v>
      </c>
      <c r="E8843" s="76">
        <v>50</v>
      </c>
      <c r="F8843" s="76">
        <v>10</v>
      </c>
    </row>
    <row r="8844" s="76" customFormat="1" spans="1:6">
      <c r="A8844">
        <v>9085</v>
      </c>
      <c r="B8844">
        <v>422020260</v>
      </c>
      <c r="C8844" s="76">
        <v>2020</v>
      </c>
      <c r="D8844" s="76" t="s">
        <v>34</v>
      </c>
      <c r="E8844" s="76">
        <v>12</v>
      </c>
      <c r="F8844" s="76">
        <v>2.4</v>
      </c>
    </row>
    <row r="8845" s="76" customFormat="1" spans="1:6">
      <c r="A8845">
        <v>9101</v>
      </c>
      <c r="B8845">
        <v>422020260</v>
      </c>
      <c r="C8845" s="76">
        <v>2020</v>
      </c>
      <c r="D8845" s="76" t="s">
        <v>34</v>
      </c>
      <c r="E8845" s="76" t="s">
        <v>32</v>
      </c>
      <c r="F8845" s="76">
        <v>2.5</v>
      </c>
    </row>
    <row r="8846" s="76" customFormat="1" spans="1:6">
      <c r="A8846">
        <v>9103</v>
      </c>
      <c r="B8846">
        <v>422020260</v>
      </c>
      <c r="C8846" s="76">
        <v>2020</v>
      </c>
      <c r="D8846" s="76" t="s">
        <v>34</v>
      </c>
      <c r="E8846" s="76" t="s">
        <v>32</v>
      </c>
      <c r="F8846" s="76">
        <v>1</v>
      </c>
    </row>
    <row r="8847" s="76" customFormat="1" spans="1:6">
      <c r="A8847">
        <v>9106</v>
      </c>
      <c r="B8847">
        <v>422020260</v>
      </c>
      <c r="C8847" s="76">
        <v>2020</v>
      </c>
      <c r="D8847" s="76" t="s">
        <v>34</v>
      </c>
      <c r="E8847" s="76" t="s">
        <v>32</v>
      </c>
      <c r="F8847" s="76">
        <v>3.5</v>
      </c>
    </row>
    <row r="8848" s="76" customFormat="1" spans="1:6">
      <c r="A8848">
        <v>9100</v>
      </c>
      <c r="B8848">
        <v>422020260</v>
      </c>
      <c r="C8848" s="76">
        <v>2020</v>
      </c>
      <c r="D8848" s="76" t="s">
        <v>34</v>
      </c>
      <c r="E8848" s="76" t="s">
        <v>32</v>
      </c>
      <c r="F8848" s="76">
        <v>1.5</v>
      </c>
    </row>
    <row r="8849" s="76" customFormat="1" spans="1:6">
      <c r="A8849">
        <v>9093</v>
      </c>
      <c r="B8849">
        <v>422020260</v>
      </c>
      <c r="C8849" s="76">
        <v>2020</v>
      </c>
      <c r="D8849" s="76" t="s">
        <v>34</v>
      </c>
      <c r="E8849" s="76" t="s">
        <v>32</v>
      </c>
      <c r="F8849" s="76">
        <v>1.52</v>
      </c>
    </row>
    <row r="8850" s="76" customFormat="1" spans="1:6">
      <c r="A8850">
        <v>9099</v>
      </c>
      <c r="B8850">
        <v>422020260</v>
      </c>
      <c r="C8850" s="76">
        <v>2020</v>
      </c>
      <c r="D8850" s="76" t="s">
        <v>34</v>
      </c>
      <c r="E8850" s="76" t="s">
        <v>32</v>
      </c>
      <c r="F8850" s="76">
        <v>2.39</v>
      </c>
    </row>
    <row r="8851" s="76" customFormat="1" spans="1:6">
      <c r="A8851">
        <v>9095</v>
      </c>
      <c r="B8851">
        <v>422020260</v>
      </c>
      <c r="C8851" s="76">
        <v>2020</v>
      </c>
      <c r="D8851" s="76" t="s">
        <v>34</v>
      </c>
      <c r="E8851" s="76" t="s">
        <v>32</v>
      </c>
      <c r="F8851" s="76">
        <v>3.2</v>
      </c>
    </row>
    <row r="8852" s="76" customFormat="1" spans="1:6">
      <c r="A8852">
        <v>9094</v>
      </c>
      <c r="B8852">
        <v>422020260</v>
      </c>
      <c r="C8852" s="76">
        <v>2020</v>
      </c>
      <c r="D8852" s="76" t="s">
        <v>34</v>
      </c>
      <c r="E8852" s="76" t="s">
        <v>32</v>
      </c>
      <c r="F8852" s="76">
        <v>5</v>
      </c>
    </row>
    <row r="8853" s="76" customFormat="1" spans="1:6">
      <c r="A8853">
        <v>9102</v>
      </c>
      <c r="B8853">
        <v>422020260</v>
      </c>
      <c r="C8853" s="76">
        <v>2020</v>
      </c>
      <c r="D8853" s="76" t="s">
        <v>34</v>
      </c>
      <c r="E8853" s="76" t="s">
        <v>32</v>
      </c>
      <c r="F8853" s="76">
        <v>1.75</v>
      </c>
    </row>
    <row r="8854" s="76" customFormat="1" spans="1:6">
      <c r="A8854">
        <v>9088</v>
      </c>
      <c r="B8854">
        <v>422020260</v>
      </c>
      <c r="C8854" s="76">
        <v>2020</v>
      </c>
      <c r="D8854" s="76" t="s">
        <v>34</v>
      </c>
      <c r="E8854" s="76">
        <v>21</v>
      </c>
      <c r="F8854" s="76">
        <v>4.62</v>
      </c>
    </row>
    <row r="8855" s="76" customFormat="1" spans="1:6">
      <c r="A8855">
        <v>9104</v>
      </c>
      <c r="B8855">
        <v>422020260</v>
      </c>
      <c r="C8855" s="76">
        <v>2020</v>
      </c>
      <c r="D8855" s="76" t="s">
        <v>34</v>
      </c>
      <c r="E8855" s="76" t="s">
        <v>32</v>
      </c>
      <c r="F8855" s="76">
        <v>0.6</v>
      </c>
    </row>
    <row r="8856" s="76" customFormat="1" spans="1:6">
      <c r="A8856">
        <v>9109</v>
      </c>
      <c r="B8856">
        <v>422020260</v>
      </c>
      <c r="C8856" s="76">
        <v>2020</v>
      </c>
      <c r="D8856" s="76" t="s">
        <v>34</v>
      </c>
      <c r="E8856" s="76" t="s">
        <v>32</v>
      </c>
      <c r="F8856" s="76">
        <v>8.14</v>
      </c>
    </row>
    <row r="8857" s="76" customFormat="1" spans="1:6">
      <c r="A8857">
        <v>9105</v>
      </c>
      <c r="B8857">
        <v>422020260</v>
      </c>
      <c r="C8857" s="76">
        <v>2020</v>
      </c>
      <c r="D8857" s="76" t="s">
        <v>34</v>
      </c>
      <c r="E8857" s="76" t="s">
        <v>32</v>
      </c>
      <c r="F8857" s="76">
        <v>0.49</v>
      </c>
    </row>
    <row r="8858" s="76" customFormat="1" spans="1:6">
      <c r="A8858">
        <v>9108</v>
      </c>
      <c r="B8858">
        <v>422020260</v>
      </c>
      <c r="C8858" s="76">
        <v>2020</v>
      </c>
      <c r="D8858" s="76" t="s">
        <v>34</v>
      </c>
      <c r="E8858" s="76" t="s">
        <v>32</v>
      </c>
      <c r="F8858" s="76">
        <v>1</v>
      </c>
    </row>
    <row r="8859" s="76" customFormat="1" spans="1:6">
      <c r="A8859">
        <v>9084</v>
      </c>
      <c r="B8859">
        <v>422020260</v>
      </c>
      <c r="C8859" s="76">
        <v>2020</v>
      </c>
      <c r="D8859" s="76" t="s">
        <v>34</v>
      </c>
      <c r="E8859" s="76">
        <v>25</v>
      </c>
      <c r="F8859" s="76">
        <v>5</v>
      </c>
    </row>
    <row r="8860" s="76" customFormat="1" spans="1:6">
      <c r="A8860">
        <v>9080</v>
      </c>
      <c r="B8860">
        <v>422020260</v>
      </c>
      <c r="C8860" s="76">
        <v>2020</v>
      </c>
      <c r="D8860" s="76" t="s">
        <v>34</v>
      </c>
      <c r="E8860" s="76">
        <v>25</v>
      </c>
      <c r="F8860" s="76">
        <v>4.95</v>
      </c>
    </row>
    <row r="8861" s="76" customFormat="1" spans="1:6">
      <c r="A8861">
        <v>9107</v>
      </c>
      <c r="B8861">
        <v>422020260</v>
      </c>
      <c r="C8861" s="76">
        <v>2020</v>
      </c>
      <c r="D8861" s="76" t="s">
        <v>34</v>
      </c>
      <c r="E8861" s="76" t="s">
        <v>32</v>
      </c>
      <c r="F8861" s="76">
        <v>1.6</v>
      </c>
    </row>
    <row r="8862" s="76" customFormat="1" spans="1:6">
      <c r="A8862">
        <v>9098</v>
      </c>
      <c r="B8862">
        <v>422020260</v>
      </c>
      <c r="C8862" s="76">
        <v>2020</v>
      </c>
      <c r="D8862" s="76" t="s">
        <v>34</v>
      </c>
      <c r="E8862" s="76" t="s">
        <v>32</v>
      </c>
      <c r="F8862" s="76">
        <v>4.6</v>
      </c>
    </row>
    <row r="8863" s="76" customFormat="1" spans="1:6">
      <c r="A8863">
        <v>9116</v>
      </c>
      <c r="B8863">
        <v>422020270</v>
      </c>
      <c r="C8863" s="76">
        <v>2020</v>
      </c>
      <c r="D8863" s="76" t="s">
        <v>31</v>
      </c>
      <c r="E8863" s="76" t="s">
        <v>32</v>
      </c>
      <c r="F8863" s="76">
        <v>1</v>
      </c>
    </row>
    <row r="8864" s="76" customFormat="1" spans="1:6">
      <c r="A8864">
        <v>9120</v>
      </c>
      <c r="B8864">
        <v>422020270</v>
      </c>
      <c r="C8864" s="76">
        <v>2020</v>
      </c>
      <c r="D8864" s="76" t="s">
        <v>31</v>
      </c>
      <c r="E8864" s="76" t="s">
        <v>32</v>
      </c>
      <c r="F8864" s="76">
        <v>2</v>
      </c>
    </row>
    <row r="8865" s="76" customFormat="1" spans="1:6">
      <c r="A8865">
        <v>9119</v>
      </c>
      <c r="B8865">
        <v>422020270</v>
      </c>
      <c r="C8865" s="76">
        <v>2020</v>
      </c>
      <c r="D8865" s="76" t="s">
        <v>31</v>
      </c>
      <c r="E8865" s="76" t="s">
        <v>32</v>
      </c>
      <c r="F8865" s="76">
        <v>2.74</v>
      </c>
    </row>
    <row r="8866" s="76" customFormat="1" spans="1:6">
      <c r="A8866">
        <v>9115</v>
      </c>
      <c r="B8866">
        <v>422020270</v>
      </c>
      <c r="C8866" s="76">
        <v>2020</v>
      </c>
      <c r="D8866" s="76" t="s">
        <v>31</v>
      </c>
      <c r="E8866" s="76" t="s">
        <v>32</v>
      </c>
      <c r="F8866" s="76">
        <v>2</v>
      </c>
    </row>
    <row r="8867" s="76" customFormat="1" spans="1:6">
      <c r="A8867">
        <v>9117</v>
      </c>
      <c r="B8867">
        <v>422020270</v>
      </c>
      <c r="C8867" s="76">
        <v>2020</v>
      </c>
      <c r="D8867" s="76" t="s">
        <v>31</v>
      </c>
      <c r="E8867" s="76" t="s">
        <v>32</v>
      </c>
      <c r="F8867" s="76">
        <v>3</v>
      </c>
    </row>
    <row r="8868" s="76" customFormat="1" spans="1:6">
      <c r="A8868">
        <v>9118</v>
      </c>
      <c r="B8868">
        <v>422020270</v>
      </c>
      <c r="C8868" s="76">
        <v>2020</v>
      </c>
      <c r="D8868" s="76" t="s">
        <v>31</v>
      </c>
      <c r="E8868" s="76" t="s">
        <v>32</v>
      </c>
      <c r="F8868" s="76">
        <v>1</v>
      </c>
    </row>
    <row r="8869" s="76" customFormat="1" spans="1:6">
      <c r="A8869">
        <v>9114</v>
      </c>
      <c r="B8869">
        <v>422020270</v>
      </c>
      <c r="C8869" s="76">
        <v>2020</v>
      </c>
      <c r="D8869" s="76" t="s">
        <v>31</v>
      </c>
      <c r="E8869" s="76" t="s">
        <v>32</v>
      </c>
      <c r="F8869" s="76">
        <v>2</v>
      </c>
    </row>
    <row r="8870" s="76" customFormat="1" spans="1:6">
      <c r="A8870">
        <v>9121</v>
      </c>
      <c r="B8870">
        <v>422020270</v>
      </c>
      <c r="C8870" s="76">
        <v>2020</v>
      </c>
      <c r="D8870" s="76" t="s">
        <v>31</v>
      </c>
      <c r="E8870" s="76" t="s">
        <v>32</v>
      </c>
      <c r="F8870" s="76">
        <v>1</v>
      </c>
    </row>
    <row r="8871" s="76" customFormat="1" spans="1:6">
      <c r="A8871">
        <v>9129</v>
      </c>
      <c r="B8871">
        <v>422020270</v>
      </c>
      <c r="C8871" s="76">
        <v>2020</v>
      </c>
      <c r="D8871" s="76" t="s">
        <v>31</v>
      </c>
      <c r="E8871" s="76" t="s">
        <v>32</v>
      </c>
      <c r="F8871" s="76">
        <v>9.2</v>
      </c>
    </row>
    <row r="8872" s="76" customFormat="1" spans="1:6">
      <c r="A8872">
        <v>9123</v>
      </c>
      <c r="B8872">
        <v>422020270</v>
      </c>
      <c r="C8872" s="76">
        <v>2020</v>
      </c>
      <c r="D8872" s="76" t="s">
        <v>31</v>
      </c>
      <c r="E8872" s="76" t="s">
        <v>32</v>
      </c>
      <c r="F8872" s="76">
        <v>0.11</v>
      </c>
    </row>
    <row r="8873" s="76" customFormat="1" spans="1:6">
      <c r="A8873">
        <v>9130</v>
      </c>
      <c r="B8873">
        <v>422020270</v>
      </c>
      <c r="C8873" s="76">
        <v>2020</v>
      </c>
      <c r="D8873" s="76" t="s">
        <v>31</v>
      </c>
      <c r="E8873" s="76" t="s">
        <v>32</v>
      </c>
      <c r="F8873" s="76">
        <v>10</v>
      </c>
    </row>
    <row r="8874" s="76" customFormat="1" spans="1:6">
      <c r="A8874">
        <v>9132</v>
      </c>
      <c r="B8874">
        <v>422020270</v>
      </c>
      <c r="C8874" s="76">
        <v>2020</v>
      </c>
      <c r="D8874" s="76" t="s">
        <v>31</v>
      </c>
      <c r="E8874" s="76" t="s">
        <v>32</v>
      </c>
      <c r="F8874" s="76">
        <v>2</v>
      </c>
    </row>
    <row r="8875" s="76" customFormat="1" spans="1:6">
      <c r="A8875">
        <v>9113</v>
      </c>
      <c r="B8875">
        <v>422020270</v>
      </c>
      <c r="C8875" s="76">
        <v>2020</v>
      </c>
      <c r="D8875" s="76" t="s">
        <v>31</v>
      </c>
      <c r="E8875" s="76" t="s">
        <v>32</v>
      </c>
      <c r="F8875" s="76">
        <v>5</v>
      </c>
    </row>
    <row r="8876" s="76" customFormat="1" spans="1:6">
      <c r="A8876">
        <v>9126</v>
      </c>
      <c r="B8876">
        <v>422020270</v>
      </c>
      <c r="C8876" s="76">
        <v>2020</v>
      </c>
      <c r="D8876" s="76" t="s">
        <v>31</v>
      </c>
      <c r="E8876" s="76" t="s">
        <v>32</v>
      </c>
      <c r="F8876" s="76">
        <v>6.57</v>
      </c>
    </row>
    <row r="8877" s="76" customFormat="1" spans="1:6">
      <c r="A8877">
        <v>9127</v>
      </c>
      <c r="B8877">
        <v>422020270</v>
      </c>
      <c r="C8877" s="76">
        <v>2020</v>
      </c>
      <c r="D8877" s="76" t="s">
        <v>31</v>
      </c>
      <c r="E8877" s="76" t="s">
        <v>32</v>
      </c>
      <c r="F8877" s="76">
        <v>6.8</v>
      </c>
    </row>
    <row r="8878" s="76" customFormat="1" spans="1:6">
      <c r="A8878">
        <v>9131</v>
      </c>
      <c r="B8878">
        <v>422020270</v>
      </c>
      <c r="C8878" s="76">
        <v>2020</v>
      </c>
      <c r="D8878" s="76" t="s">
        <v>31</v>
      </c>
      <c r="E8878" s="76" t="s">
        <v>32</v>
      </c>
      <c r="F8878" s="76">
        <v>2</v>
      </c>
    </row>
    <row r="8879" s="76" customFormat="1" spans="1:6">
      <c r="A8879">
        <v>9128</v>
      </c>
      <c r="B8879">
        <v>422020270</v>
      </c>
      <c r="C8879" s="76">
        <v>2020</v>
      </c>
      <c r="D8879" s="76" t="s">
        <v>31</v>
      </c>
      <c r="E8879" s="76" t="s">
        <v>32</v>
      </c>
      <c r="F8879" s="76">
        <v>6</v>
      </c>
    </row>
    <row r="8880" s="76" customFormat="1" spans="1:6">
      <c r="A8880">
        <v>9125</v>
      </c>
      <c r="B8880">
        <v>422020270</v>
      </c>
      <c r="C8880" s="76">
        <v>2020</v>
      </c>
      <c r="D8880" s="76" t="s">
        <v>31</v>
      </c>
      <c r="E8880" s="76" t="s">
        <v>32</v>
      </c>
      <c r="F8880" s="76">
        <v>0.37</v>
      </c>
    </row>
    <row r="8881" s="76" customFormat="1" spans="1:6">
      <c r="A8881">
        <v>9124</v>
      </c>
      <c r="B8881">
        <v>422020270</v>
      </c>
      <c r="C8881" s="76">
        <v>2020</v>
      </c>
      <c r="D8881" s="76" t="s">
        <v>31</v>
      </c>
      <c r="E8881" s="76" t="s">
        <v>32</v>
      </c>
      <c r="F8881" s="76">
        <v>3.5</v>
      </c>
    </row>
    <row r="8882" s="76" customFormat="1" spans="1:6">
      <c r="A8882">
        <v>9135</v>
      </c>
      <c r="B8882">
        <v>422021110</v>
      </c>
      <c r="C8882" s="76">
        <v>2021</v>
      </c>
      <c r="D8882" s="76" t="s">
        <v>40</v>
      </c>
      <c r="E8882" s="76" t="s">
        <v>32</v>
      </c>
      <c r="F8882" s="76">
        <v>4</v>
      </c>
    </row>
    <row r="8883" s="76" customFormat="1" spans="1:6">
      <c r="A8883">
        <v>9137</v>
      </c>
      <c r="B8883">
        <v>422021110</v>
      </c>
      <c r="C8883" s="76">
        <v>2021</v>
      </c>
      <c r="D8883" s="76" t="s">
        <v>40</v>
      </c>
      <c r="E8883" s="76" t="s">
        <v>32</v>
      </c>
      <c r="F8883" s="76">
        <v>0.1</v>
      </c>
    </row>
    <row r="8884" s="76" customFormat="1" spans="1:6">
      <c r="A8884">
        <v>9134</v>
      </c>
      <c r="B8884">
        <v>422021110</v>
      </c>
      <c r="C8884" s="76">
        <v>2021</v>
      </c>
      <c r="D8884" s="76" t="s">
        <v>40</v>
      </c>
      <c r="E8884" s="76" t="s">
        <v>32</v>
      </c>
      <c r="F8884" s="76">
        <v>4.5</v>
      </c>
    </row>
    <row r="8885" s="76" customFormat="1" spans="1:6">
      <c r="A8885">
        <v>9136</v>
      </c>
      <c r="B8885">
        <v>422021110</v>
      </c>
      <c r="C8885" s="76">
        <v>2021</v>
      </c>
      <c r="D8885" s="76" t="s">
        <v>40</v>
      </c>
      <c r="E8885" s="76" t="s">
        <v>32</v>
      </c>
      <c r="F8885" s="76">
        <v>0.24</v>
      </c>
    </row>
    <row r="8886" s="76" customFormat="1" spans="1:6">
      <c r="A8886">
        <v>9133</v>
      </c>
      <c r="B8886">
        <v>422021110</v>
      </c>
      <c r="C8886" s="76">
        <v>2021</v>
      </c>
      <c r="D8886" s="76" t="s">
        <v>40</v>
      </c>
      <c r="E8886" s="76">
        <v>2</v>
      </c>
      <c r="F8886" s="76">
        <v>5.8</v>
      </c>
    </row>
    <row r="8887" s="76" customFormat="1" spans="1:6">
      <c r="A8887">
        <v>9138</v>
      </c>
      <c r="B8887">
        <v>422021110</v>
      </c>
      <c r="C8887" s="76">
        <v>2021</v>
      </c>
      <c r="D8887" s="76" t="s">
        <v>40</v>
      </c>
      <c r="E8887" s="76" t="s">
        <v>32</v>
      </c>
      <c r="F8887" s="76">
        <v>0.75</v>
      </c>
    </row>
    <row r="8888" s="76" customFormat="1" spans="1:6">
      <c r="A8888">
        <v>9140</v>
      </c>
      <c r="B8888">
        <v>422021211</v>
      </c>
      <c r="C8888" s="76">
        <v>2021</v>
      </c>
      <c r="D8888" s="76" t="s">
        <v>37</v>
      </c>
      <c r="E8888" s="76" t="s">
        <v>32</v>
      </c>
      <c r="F8888" s="76">
        <v>7.5</v>
      </c>
    </row>
    <row r="8889" s="76" customFormat="1" spans="1:6">
      <c r="A8889">
        <v>9143</v>
      </c>
      <c r="B8889">
        <v>422021211</v>
      </c>
      <c r="C8889" s="76">
        <v>2021</v>
      </c>
      <c r="D8889" s="76" t="s">
        <v>37</v>
      </c>
      <c r="E8889" s="76" t="s">
        <v>32</v>
      </c>
      <c r="F8889" s="76">
        <v>0.3</v>
      </c>
    </row>
    <row r="8890" s="76" customFormat="1" spans="1:6">
      <c r="A8890">
        <v>9142</v>
      </c>
      <c r="B8890">
        <v>422021211</v>
      </c>
      <c r="C8890" s="76">
        <v>2021</v>
      </c>
      <c r="D8890" s="76" t="s">
        <v>37</v>
      </c>
      <c r="E8890" s="76" t="s">
        <v>32</v>
      </c>
      <c r="F8890" s="76">
        <v>0.6</v>
      </c>
    </row>
    <row r="8891" s="76" customFormat="1" spans="1:6">
      <c r="A8891">
        <v>9141</v>
      </c>
      <c r="B8891">
        <v>422021211</v>
      </c>
      <c r="C8891" s="76">
        <v>2021</v>
      </c>
      <c r="D8891" s="76" t="s">
        <v>37</v>
      </c>
      <c r="E8891" s="76" t="s">
        <v>32</v>
      </c>
      <c r="F8891" s="76">
        <v>4</v>
      </c>
    </row>
    <row r="8892" s="76" customFormat="1" spans="1:6">
      <c r="A8892">
        <v>9144</v>
      </c>
      <c r="B8892">
        <v>422021221</v>
      </c>
      <c r="C8892" s="76">
        <v>2021</v>
      </c>
      <c r="D8892" s="76" t="s">
        <v>30</v>
      </c>
      <c r="E8892" s="76">
        <v>2</v>
      </c>
      <c r="F8892" s="76">
        <v>24.56</v>
      </c>
    </row>
    <row r="8893" s="76" customFormat="1" spans="1:6">
      <c r="A8893">
        <v>9149</v>
      </c>
      <c r="B8893">
        <v>422021241</v>
      </c>
      <c r="C8893" s="76">
        <v>2021</v>
      </c>
      <c r="D8893" s="76" t="s">
        <v>33</v>
      </c>
      <c r="E8893" s="76" t="s">
        <v>32</v>
      </c>
      <c r="F8893" s="76">
        <v>0.6</v>
      </c>
    </row>
    <row r="8894" s="76" customFormat="1" spans="1:6">
      <c r="A8894">
        <v>9145</v>
      </c>
      <c r="B8894">
        <v>422021241</v>
      </c>
      <c r="C8894" s="76">
        <v>2021</v>
      </c>
      <c r="D8894" s="76" t="s">
        <v>33</v>
      </c>
      <c r="E8894" s="76" t="s">
        <v>32</v>
      </c>
      <c r="F8894" s="76">
        <v>3</v>
      </c>
    </row>
    <row r="8895" s="76" customFormat="1" spans="1:6">
      <c r="A8895">
        <v>9146</v>
      </c>
      <c r="B8895">
        <v>422021241</v>
      </c>
      <c r="C8895" s="76">
        <v>2021</v>
      </c>
      <c r="D8895" s="76" t="s">
        <v>33</v>
      </c>
      <c r="E8895" s="76" t="s">
        <v>32</v>
      </c>
      <c r="F8895" s="76">
        <v>3</v>
      </c>
    </row>
    <row r="8896" s="76" customFormat="1" spans="1:6">
      <c r="A8896">
        <v>9147</v>
      </c>
      <c r="B8896">
        <v>422021241</v>
      </c>
      <c r="C8896" s="76">
        <v>2021</v>
      </c>
      <c r="D8896" s="76" t="s">
        <v>33</v>
      </c>
      <c r="E8896" s="76" t="s">
        <v>32</v>
      </c>
      <c r="F8896" s="76">
        <v>2.1</v>
      </c>
    </row>
    <row r="8897" s="76" customFormat="1" spans="1:6">
      <c r="A8897">
        <v>9150</v>
      </c>
      <c r="B8897">
        <v>422021241</v>
      </c>
      <c r="C8897" s="76">
        <v>2021</v>
      </c>
      <c r="D8897" s="76" t="s">
        <v>33</v>
      </c>
      <c r="E8897" s="76" t="s">
        <v>32</v>
      </c>
      <c r="F8897" s="76">
        <v>0.3</v>
      </c>
    </row>
    <row r="8898" s="76" customFormat="1" spans="1:6">
      <c r="A8898">
        <v>9148</v>
      </c>
      <c r="B8898">
        <v>422021241</v>
      </c>
      <c r="C8898" s="76">
        <v>2021</v>
      </c>
      <c r="D8898" s="76" t="s">
        <v>33</v>
      </c>
      <c r="E8898" s="76" t="s">
        <v>32</v>
      </c>
      <c r="F8898" s="76">
        <v>2.5</v>
      </c>
    </row>
    <row r="8899" s="76" customFormat="1" spans="1:6">
      <c r="A8899">
        <v>9154</v>
      </c>
      <c r="B8899">
        <v>422021242</v>
      </c>
      <c r="C8899" s="76">
        <v>2021</v>
      </c>
      <c r="D8899" s="76" t="s">
        <v>35</v>
      </c>
      <c r="E8899" s="76" t="s">
        <v>32</v>
      </c>
      <c r="F8899" s="76">
        <v>1.5</v>
      </c>
    </row>
    <row r="8900" s="76" customFormat="1" spans="1:6">
      <c r="A8900">
        <v>9155</v>
      </c>
      <c r="B8900">
        <v>422021242</v>
      </c>
      <c r="C8900" s="76">
        <v>2021</v>
      </c>
      <c r="D8900" s="76" t="s">
        <v>35</v>
      </c>
      <c r="E8900" s="76" t="s">
        <v>32</v>
      </c>
      <c r="F8900" s="76">
        <v>1.5</v>
      </c>
    </row>
    <row r="8901" s="76" customFormat="1" spans="1:6">
      <c r="A8901">
        <v>9159</v>
      </c>
      <c r="B8901">
        <v>422021242</v>
      </c>
      <c r="C8901" s="76">
        <v>2021</v>
      </c>
      <c r="D8901" s="76" t="s">
        <v>35</v>
      </c>
      <c r="E8901" s="76" t="s">
        <v>32</v>
      </c>
      <c r="F8901" s="76">
        <v>1.5</v>
      </c>
    </row>
    <row r="8902" s="76" customFormat="1" spans="1:6">
      <c r="A8902">
        <v>9158</v>
      </c>
      <c r="B8902">
        <v>422021242</v>
      </c>
      <c r="C8902" s="76">
        <v>2021</v>
      </c>
      <c r="D8902" s="76" t="s">
        <v>35</v>
      </c>
      <c r="E8902" s="76" t="s">
        <v>32</v>
      </c>
      <c r="F8902" s="76">
        <v>1.5</v>
      </c>
    </row>
    <row r="8903" s="76" customFormat="1" spans="1:6">
      <c r="A8903">
        <v>9152</v>
      </c>
      <c r="B8903">
        <v>422021242</v>
      </c>
      <c r="C8903" s="76">
        <v>2021</v>
      </c>
      <c r="D8903" s="76" t="s">
        <v>35</v>
      </c>
      <c r="E8903" s="76" t="s">
        <v>32</v>
      </c>
      <c r="F8903" s="76">
        <v>1.2</v>
      </c>
    </row>
    <row r="8904" s="76" customFormat="1" spans="1:6">
      <c r="A8904">
        <v>9153</v>
      </c>
      <c r="B8904">
        <v>422021242</v>
      </c>
      <c r="C8904" s="76">
        <v>2021</v>
      </c>
      <c r="D8904" s="76" t="s">
        <v>35</v>
      </c>
      <c r="E8904" s="76" t="s">
        <v>32</v>
      </c>
      <c r="F8904" s="76">
        <v>1.8</v>
      </c>
    </row>
    <row r="8905" s="76" customFormat="1" spans="1:6">
      <c r="A8905">
        <v>9157</v>
      </c>
      <c r="B8905">
        <v>422021242</v>
      </c>
      <c r="C8905" s="76">
        <v>2021</v>
      </c>
      <c r="D8905" s="76" t="s">
        <v>35</v>
      </c>
      <c r="E8905" s="76" t="s">
        <v>32</v>
      </c>
      <c r="F8905" s="76">
        <v>0.9</v>
      </c>
    </row>
    <row r="8906" s="76" customFormat="1" spans="1:6">
      <c r="A8906">
        <v>9156</v>
      </c>
      <c r="B8906">
        <v>422021242</v>
      </c>
      <c r="C8906" s="76">
        <v>2021</v>
      </c>
      <c r="D8906" s="76" t="s">
        <v>35</v>
      </c>
      <c r="E8906" s="76" t="s">
        <v>32</v>
      </c>
      <c r="F8906" s="76">
        <v>1.2</v>
      </c>
    </row>
    <row r="8907" s="76" customFormat="1" spans="1:6">
      <c r="A8907">
        <v>9181</v>
      </c>
      <c r="B8907">
        <v>422021260</v>
      </c>
      <c r="C8907" s="76">
        <v>2021</v>
      </c>
      <c r="D8907" s="76" t="s">
        <v>34</v>
      </c>
      <c r="E8907" s="76">
        <v>1</v>
      </c>
      <c r="F8907" s="76">
        <v>0.8</v>
      </c>
    </row>
    <row r="8908" s="76" customFormat="1" spans="1:6">
      <c r="A8908">
        <v>9170</v>
      </c>
      <c r="B8908">
        <v>422021260</v>
      </c>
      <c r="C8908" s="76">
        <v>2021</v>
      </c>
      <c r="D8908" s="76" t="s">
        <v>34</v>
      </c>
      <c r="E8908" s="76">
        <v>19</v>
      </c>
      <c r="F8908" s="76">
        <v>4.75</v>
      </c>
    </row>
    <row r="8909" s="76" customFormat="1" spans="1:6">
      <c r="A8909">
        <v>9168</v>
      </c>
      <c r="B8909">
        <v>422021260</v>
      </c>
      <c r="C8909" s="76">
        <v>2021</v>
      </c>
      <c r="D8909" s="76" t="s">
        <v>34</v>
      </c>
      <c r="E8909" s="76">
        <v>9</v>
      </c>
      <c r="F8909" s="76">
        <v>2.22</v>
      </c>
    </row>
    <row r="8910" s="76" customFormat="1" spans="1:6">
      <c r="A8910">
        <v>9183</v>
      </c>
      <c r="B8910">
        <v>422021260</v>
      </c>
      <c r="C8910" s="76">
        <v>2021</v>
      </c>
      <c r="D8910" s="76" t="s">
        <v>34</v>
      </c>
      <c r="E8910" s="76" t="s">
        <v>32</v>
      </c>
      <c r="F8910" s="76">
        <v>5.06</v>
      </c>
    </row>
    <row r="8911" s="76" customFormat="1" spans="1:6">
      <c r="A8911">
        <v>9180</v>
      </c>
      <c r="B8911">
        <v>422021260</v>
      </c>
      <c r="C8911" s="76">
        <v>2021</v>
      </c>
      <c r="D8911" s="76" t="s">
        <v>34</v>
      </c>
      <c r="E8911" s="76" t="s">
        <v>32</v>
      </c>
      <c r="F8911" s="76">
        <v>4.22</v>
      </c>
    </row>
    <row r="8912" s="76" customFormat="1" spans="1:6">
      <c r="A8912">
        <v>9201</v>
      </c>
      <c r="B8912">
        <v>422021260</v>
      </c>
      <c r="C8912" s="76">
        <v>2021</v>
      </c>
      <c r="D8912" s="76" t="s">
        <v>34</v>
      </c>
      <c r="E8912" s="76" t="s">
        <v>32</v>
      </c>
      <c r="F8912" s="76">
        <v>4</v>
      </c>
    </row>
    <row r="8913" s="76" customFormat="1" spans="1:6">
      <c r="A8913">
        <v>9178</v>
      </c>
      <c r="B8913">
        <v>422021260</v>
      </c>
      <c r="C8913" s="76">
        <v>2021</v>
      </c>
      <c r="D8913" s="76" t="s">
        <v>34</v>
      </c>
      <c r="E8913" s="76" t="s">
        <v>32</v>
      </c>
      <c r="F8913" s="76">
        <v>7.6</v>
      </c>
    </row>
    <row r="8914" s="76" customFormat="1" spans="1:6">
      <c r="A8914">
        <v>9200</v>
      </c>
      <c r="B8914">
        <v>422021260</v>
      </c>
      <c r="C8914" s="76">
        <v>2021</v>
      </c>
      <c r="D8914" s="76" t="s">
        <v>34</v>
      </c>
      <c r="E8914" s="76" t="s">
        <v>32</v>
      </c>
      <c r="F8914" s="76">
        <v>2</v>
      </c>
    </row>
    <row r="8915" s="76" customFormat="1" spans="1:6">
      <c r="A8915">
        <v>9160</v>
      </c>
      <c r="B8915">
        <v>422021260</v>
      </c>
      <c r="C8915" s="76">
        <v>2021</v>
      </c>
      <c r="D8915" s="76" t="s">
        <v>34</v>
      </c>
      <c r="E8915" s="76">
        <v>10</v>
      </c>
      <c r="F8915" s="76">
        <v>4</v>
      </c>
    </row>
    <row r="8916" s="76" customFormat="1" spans="1:6">
      <c r="A8916">
        <v>9192</v>
      </c>
      <c r="B8916">
        <v>422021260</v>
      </c>
      <c r="C8916" s="76">
        <v>2021</v>
      </c>
      <c r="D8916" s="76" t="s">
        <v>34</v>
      </c>
      <c r="E8916" s="76" t="s">
        <v>32</v>
      </c>
      <c r="F8916" s="76">
        <v>3.5</v>
      </c>
    </row>
    <row r="8917" s="76" customFormat="1" spans="1:6">
      <c r="A8917">
        <v>9185</v>
      </c>
      <c r="B8917">
        <v>422021260</v>
      </c>
      <c r="C8917" s="76">
        <v>2021</v>
      </c>
      <c r="D8917" s="76" t="s">
        <v>34</v>
      </c>
      <c r="E8917" s="76">
        <v>7</v>
      </c>
      <c r="F8917" s="76">
        <v>2.1</v>
      </c>
    </row>
    <row r="8918" s="76" customFormat="1" spans="1:6">
      <c r="A8918">
        <v>9204</v>
      </c>
      <c r="B8918">
        <v>422021260</v>
      </c>
      <c r="C8918" s="76">
        <v>2021</v>
      </c>
      <c r="D8918" s="76" t="s">
        <v>34</v>
      </c>
      <c r="E8918" s="76" t="s">
        <v>32</v>
      </c>
      <c r="F8918" s="76">
        <v>0.6</v>
      </c>
    </row>
    <row r="8919" s="76" customFormat="1" spans="1:6">
      <c r="A8919">
        <v>9205</v>
      </c>
      <c r="B8919">
        <v>422021260</v>
      </c>
      <c r="C8919" s="76">
        <v>2021</v>
      </c>
      <c r="D8919" s="76" t="s">
        <v>34</v>
      </c>
      <c r="E8919" s="76" t="s">
        <v>32</v>
      </c>
      <c r="F8919" s="76">
        <v>1.98</v>
      </c>
    </row>
    <row r="8920" s="76" customFormat="1" spans="1:6">
      <c r="A8920">
        <v>9164</v>
      </c>
      <c r="B8920">
        <v>422021260</v>
      </c>
      <c r="C8920" s="76">
        <v>2021</v>
      </c>
      <c r="D8920" s="76" t="s">
        <v>34</v>
      </c>
      <c r="E8920" s="76">
        <v>8</v>
      </c>
      <c r="F8920" s="76">
        <v>2</v>
      </c>
    </row>
    <row r="8921" s="76" customFormat="1" spans="1:6">
      <c r="A8921">
        <v>9165</v>
      </c>
      <c r="B8921">
        <v>422021260</v>
      </c>
      <c r="C8921" s="76">
        <v>2021</v>
      </c>
      <c r="D8921" s="76" t="s">
        <v>34</v>
      </c>
      <c r="E8921" s="76">
        <v>6</v>
      </c>
      <c r="F8921" s="76">
        <v>1.5</v>
      </c>
    </row>
    <row r="8922" s="76" customFormat="1" spans="1:6">
      <c r="A8922">
        <v>9169</v>
      </c>
      <c r="B8922">
        <v>422021260</v>
      </c>
      <c r="C8922" s="76">
        <v>2021</v>
      </c>
      <c r="D8922" s="76" t="s">
        <v>34</v>
      </c>
      <c r="E8922" s="76">
        <v>3</v>
      </c>
      <c r="F8922" s="76">
        <v>0.6</v>
      </c>
    </row>
    <row r="8923" s="76" customFormat="1" spans="1:6">
      <c r="A8923">
        <v>9167</v>
      </c>
      <c r="B8923">
        <v>422021260</v>
      </c>
      <c r="C8923" s="76">
        <v>2021</v>
      </c>
      <c r="D8923" s="76" t="s">
        <v>34</v>
      </c>
      <c r="E8923" s="76">
        <v>10</v>
      </c>
      <c r="F8923" s="76">
        <v>3.4</v>
      </c>
    </row>
    <row r="8924" s="76" customFormat="1" spans="1:6">
      <c r="A8924">
        <v>9161</v>
      </c>
      <c r="B8924">
        <v>422021260</v>
      </c>
      <c r="C8924" s="76">
        <v>2021</v>
      </c>
      <c r="D8924" s="76" t="s">
        <v>34</v>
      </c>
      <c r="E8924" s="76">
        <v>18</v>
      </c>
      <c r="F8924" s="76">
        <v>4.5</v>
      </c>
    </row>
    <row r="8925" s="76" customFormat="1" spans="1:6">
      <c r="A8925">
        <v>9172</v>
      </c>
      <c r="B8925">
        <v>422021260</v>
      </c>
      <c r="C8925" s="76">
        <v>2021</v>
      </c>
      <c r="D8925" s="76" t="s">
        <v>34</v>
      </c>
      <c r="E8925" s="76">
        <v>7</v>
      </c>
      <c r="F8925" s="76">
        <v>1.75</v>
      </c>
    </row>
    <row r="8926" s="76" customFormat="1" spans="1:6">
      <c r="A8926">
        <v>9162</v>
      </c>
      <c r="B8926">
        <v>422021260</v>
      </c>
      <c r="C8926" s="76">
        <v>2021</v>
      </c>
      <c r="D8926" s="76" t="s">
        <v>34</v>
      </c>
      <c r="E8926" s="76">
        <v>11</v>
      </c>
      <c r="F8926" s="76">
        <v>3</v>
      </c>
    </row>
    <row r="8927" s="76" customFormat="1" spans="1:6">
      <c r="A8927">
        <v>9163</v>
      </c>
      <c r="B8927">
        <v>422021260</v>
      </c>
      <c r="C8927" s="76">
        <v>2021</v>
      </c>
      <c r="D8927" s="76" t="s">
        <v>34</v>
      </c>
      <c r="E8927" s="76">
        <v>32</v>
      </c>
      <c r="F8927" s="76">
        <v>8</v>
      </c>
    </row>
    <row r="8928" s="76" customFormat="1" spans="1:6">
      <c r="A8928">
        <v>9206</v>
      </c>
      <c r="B8928">
        <v>422021260</v>
      </c>
      <c r="C8928" s="76">
        <v>2021</v>
      </c>
      <c r="D8928" s="76" t="s">
        <v>34</v>
      </c>
      <c r="E8928" s="76" t="s">
        <v>32</v>
      </c>
      <c r="F8928" s="76">
        <v>0.9</v>
      </c>
    </row>
    <row r="8929" s="76" customFormat="1" spans="1:6">
      <c r="A8929">
        <v>9207</v>
      </c>
      <c r="B8929">
        <v>422021260</v>
      </c>
      <c r="C8929" s="76">
        <v>2021</v>
      </c>
      <c r="D8929" s="76" t="s">
        <v>34</v>
      </c>
      <c r="E8929" s="76" t="s">
        <v>32</v>
      </c>
      <c r="F8929" s="76">
        <v>0.6</v>
      </c>
    </row>
    <row r="8930" s="76" customFormat="1" spans="1:6">
      <c r="A8930">
        <v>9208</v>
      </c>
      <c r="B8930">
        <v>422021260</v>
      </c>
      <c r="C8930" s="76">
        <v>2021</v>
      </c>
      <c r="D8930" s="76" t="s">
        <v>34</v>
      </c>
      <c r="E8930" s="76" t="s">
        <v>32</v>
      </c>
      <c r="F8930" s="76">
        <v>2.1</v>
      </c>
    </row>
    <row r="8931" s="76" customFormat="1" spans="1:6">
      <c r="A8931">
        <v>9171</v>
      </c>
      <c r="B8931">
        <v>422021260</v>
      </c>
      <c r="C8931" s="76">
        <v>2021</v>
      </c>
      <c r="D8931" s="76" t="s">
        <v>34</v>
      </c>
      <c r="E8931" s="76" t="s">
        <v>32</v>
      </c>
      <c r="F8931" s="76">
        <v>9</v>
      </c>
    </row>
    <row r="8932" s="76" customFormat="1" spans="1:6">
      <c r="A8932">
        <v>9173</v>
      </c>
      <c r="B8932">
        <v>422021260</v>
      </c>
      <c r="C8932" s="76">
        <v>2021</v>
      </c>
      <c r="D8932" s="76" t="s">
        <v>34</v>
      </c>
      <c r="E8932" s="76" t="s">
        <v>32</v>
      </c>
      <c r="F8932" s="76">
        <v>17.75</v>
      </c>
    </row>
    <row r="8933" s="76" customFormat="1" spans="1:6">
      <c r="A8933">
        <v>9175</v>
      </c>
      <c r="B8933">
        <v>422021260</v>
      </c>
      <c r="C8933" s="76">
        <v>2021</v>
      </c>
      <c r="D8933" s="76" t="s">
        <v>34</v>
      </c>
      <c r="E8933" s="76" t="s">
        <v>32</v>
      </c>
      <c r="F8933" s="76">
        <v>1.5</v>
      </c>
    </row>
    <row r="8934" s="76" customFormat="1" spans="1:6">
      <c r="A8934">
        <v>9182</v>
      </c>
      <c r="B8934">
        <v>422021260</v>
      </c>
      <c r="C8934" s="76">
        <v>2021</v>
      </c>
      <c r="D8934" s="76" t="s">
        <v>34</v>
      </c>
      <c r="E8934" s="76" t="s">
        <v>32</v>
      </c>
      <c r="F8934" s="76">
        <v>4</v>
      </c>
    </row>
    <row r="8935" s="76" customFormat="1" spans="1:6">
      <c r="A8935">
        <v>9174</v>
      </c>
      <c r="B8935">
        <v>422021260</v>
      </c>
      <c r="C8935" s="76">
        <v>2021</v>
      </c>
      <c r="D8935" s="76" t="s">
        <v>34</v>
      </c>
      <c r="E8935" s="76" t="s">
        <v>32</v>
      </c>
      <c r="F8935" s="76">
        <v>2.91</v>
      </c>
    </row>
    <row r="8936" s="76" customFormat="1" spans="1:6">
      <c r="A8936">
        <v>9188</v>
      </c>
      <c r="B8936">
        <v>422021260</v>
      </c>
      <c r="C8936" s="76">
        <v>2021</v>
      </c>
      <c r="D8936" s="76" t="s">
        <v>34</v>
      </c>
      <c r="E8936" s="76" t="s">
        <v>32</v>
      </c>
      <c r="F8936" s="76">
        <v>1</v>
      </c>
    </row>
    <row r="8937" s="76" customFormat="1" spans="1:6">
      <c r="A8937">
        <v>9187</v>
      </c>
      <c r="B8937">
        <v>422021260</v>
      </c>
      <c r="C8937" s="76">
        <v>2021</v>
      </c>
      <c r="D8937" s="76" t="s">
        <v>34</v>
      </c>
      <c r="E8937" s="76" t="s">
        <v>32</v>
      </c>
      <c r="F8937" s="76">
        <v>4.8</v>
      </c>
    </row>
    <row r="8938" s="76" customFormat="1" spans="1:6">
      <c r="A8938">
        <v>9184</v>
      </c>
      <c r="B8938">
        <v>422021260</v>
      </c>
      <c r="C8938" s="76">
        <v>2021</v>
      </c>
      <c r="D8938" s="76" t="s">
        <v>34</v>
      </c>
      <c r="E8938" s="76" t="s">
        <v>32</v>
      </c>
      <c r="F8938" s="76">
        <v>4.8</v>
      </c>
    </row>
    <row r="8939" s="76" customFormat="1" spans="1:6">
      <c r="A8939">
        <v>9190</v>
      </c>
      <c r="B8939">
        <v>422021260</v>
      </c>
      <c r="C8939" s="76">
        <v>2021</v>
      </c>
      <c r="D8939" s="76" t="s">
        <v>34</v>
      </c>
      <c r="E8939" s="76" t="s">
        <v>32</v>
      </c>
      <c r="F8939" s="76">
        <v>13.2</v>
      </c>
    </row>
    <row r="8940" s="76" customFormat="1" spans="1:6">
      <c r="A8940">
        <v>9193</v>
      </c>
      <c r="B8940">
        <v>422021260</v>
      </c>
      <c r="C8940" s="76">
        <v>2021</v>
      </c>
      <c r="D8940" s="76" t="s">
        <v>34</v>
      </c>
      <c r="E8940" s="76" t="s">
        <v>32</v>
      </c>
      <c r="F8940" s="76">
        <v>8.75</v>
      </c>
    </row>
    <row r="8941" s="76" customFormat="1" spans="1:6">
      <c r="A8941">
        <v>9199</v>
      </c>
      <c r="B8941">
        <v>422021260</v>
      </c>
      <c r="C8941" s="76">
        <v>2021</v>
      </c>
      <c r="D8941" s="76" t="s">
        <v>34</v>
      </c>
      <c r="E8941" s="76" t="s">
        <v>32</v>
      </c>
      <c r="F8941" s="76">
        <v>4.98</v>
      </c>
    </row>
    <row r="8942" s="76" customFormat="1" spans="1:6">
      <c r="A8942">
        <v>9194</v>
      </c>
      <c r="B8942">
        <v>422021260</v>
      </c>
      <c r="C8942" s="76">
        <v>2021</v>
      </c>
      <c r="D8942" s="76" t="s">
        <v>34</v>
      </c>
      <c r="E8942" s="76" t="s">
        <v>32</v>
      </c>
      <c r="F8942" s="76">
        <v>9.4</v>
      </c>
    </row>
    <row r="8943" s="76" customFormat="1" spans="1:6">
      <c r="A8943">
        <v>9191</v>
      </c>
      <c r="B8943">
        <v>422021260</v>
      </c>
      <c r="C8943" s="76">
        <v>2021</v>
      </c>
      <c r="D8943" s="76" t="s">
        <v>34</v>
      </c>
      <c r="E8943" s="76" t="s">
        <v>32</v>
      </c>
      <c r="F8943" s="76">
        <v>9.52</v>
      </c>
    </row>
    <row r="8944" s="76" customFormat="1" spans="1:6">
      <c r="A8944">
        <v>9186</v>
      </c>
      <c r="B8944">
        <v>422021260</v>
      </c>
      <c r="C8944" s="76">
        <v>2021</v>
      </c>
      <c r="D8944" s="76" t="s">
        <v>34</v>
      </c>
      <c r="E8944" s="76" t="s">
        <v>32</v>
      </c>
      <c r="F8944" s="76">
        <v>1</v>
      </c>
    </row>
    <row r="8945" s="76" customFormat="1" spans="1:6">
      <c r="A8945">
        <v>9203</v>
      </c>
      <c r="B8945">
        <v>422021260</v>
      </c>
      <c r="C8945" s="76">
        <v>2021</v>
      </c>
      <c r="D8945" s="76" t="s">
        <v>34</v>
      </c>
      <c r="E8945" s="76" t="s">
        <v>32</v>
      </c>
      <c r="F8945" s="76">
        <v>2.98</v>
      </c>
    </row>
    <row r="8946" s="76" customFormat="1" spans="1:6">
      <c r="A8946">
        <v>9195</v>
      </c>
      <c r="B8946">
        <v>422021260</v>
      </c>
      <c r="C8946" s="76">
        <v>2021</v>
      </c>
      <c r="D8946" s="76" t="s">
        <v>34</v>
      </c>
      <c r="E8946" s="76" t="s">
        <v>32</v>
      </c>
      <c r="F8946" s="76">
        <v>0.5</v>
      </c>
    </row>
    <row r="8947" s="76" customFormat="1" spans="1:6">
      <c r="A8947">
        <v>9197</v>
      </c>
      <c r="B8947">
        <v>422021260</v>
      </c>
      <c r="C8947" s="76">
        <v>2021</v>
      </c>
      <c r="D8947" s="76" t="s">
        <v>34</v>
      </c>
      <c r="E8947" s="76" t="s">
        <v>32</v>
      </c>
      <c r="F8947" s="76">
        <v>0.5</v>
      </c>
    </row>
    <row r="8948" s="76" customFormat="1" spans="1:6">
      <c r="A8948">
        <v>9198</v>
      </c>
      <c r="B8948">
        <v>422021260</v>
      </c>
      <c r="C8948" s="76">
        <v>2021</v>
      </c>
      <c r="D8948" s="76" t="s">
        <v>34</v>
      </c>
      <c r="E8948" s="76" t="s">
        <v>32</v>
      </c>
      <c r="F8948" s="76">
        <v>1.8</v>
      </c>
    </row>
    <row r="8949" s="76" customFormat="1" spans="1:6">
      <c r="A8949">
        <v>9196</v>
      </c>
      <c r="B8949">
        <v>422021260</v>
      </c>
      <c r="C8949" s="76">
        <v>2021</v>
      </c>
      <c r="D8949" s="76" t="s">
        <v>34</v>
      </c>
      <c r="E8949" s="76" t="s">
        <v>32</v>
      </c>
      <c r="F8949" s="76">
        <v>2.97</v>
      </c>
    </row>
    <row r="8950" s="76" customFormat="1" spans="1:6">
      <c r="A8950">
        <v>9202</v>
      </c>
      <c r="B8950">
        <v>422021260</v>
      </c>
      <c r="C8950" s="76">
        <v>2021</v>
      </c>
      <c r="D8950" s="76" t="s">
        <v>34</v>
      </c>
      <c r="E8950" s="76" t="s">
        <v>32</v>
      </c>
      <c r="F8950" s="76">
        <v>1.98</v>
      </c>
    </row>
    <row r="8951" s="76" customFormat="1" spans="1:6">
      <c r="A8951">
        <v>9177</v>
      </c>
      <c r="B8951">
        <v>422021260</v>
      </c>
      <c r="C8951" s="76">
        <v>2021</v>
      </c>
      <c r="D8951" s="76" t="s">
        <v>34</v>
      </c>
      <c r="E8951" s="76" t="s">
        <v>32</v>
      </c>
      <c r="F8951" s="76">
        <v>9.7</v>
      </c>
    </row>
    <row r="8952" s="76" customFormat="1" spans="1:6">
      <c r="A8952">
        <v>9166</v>
      </c>
      <c r="B8952">
        <v>422021260</v>
      </c>
      <c r="C8952" s="76">
        <v>2021</v>
      </c>
      <c r="D8952" s="76" t="s">
        <v>34</v>
      </c>
      <c r="E8952" s="76">
        <v>33</v>
      </c>
      <c r="F8952" s="76">
        <v>10</v>
      </c>
    </row>
    <row r="8953" s="76" customFormat="1" spans="1:6">
      <c r="A8953">
        <v>9179</v>
      </c>
      <c r="B8953">
        <v>422021260</v>
      </c>
      <c r="C8953" s="76">
        <v>2021</v>
      </c>
      <c r="D8953" s="76" t="s">
        <v>34</v>
      </c>
      <c r="E8953" s="76" t="s">
        <v>32</v>
      </c>
      <c r="F8953" s="76">
        <v>3.25</v>
      </c>
    </row>
    <row r="8954" s="76" customFormat="1" spans="1:6">
      <c r="A8954">
        <v>9176</v>
      </c>
      <c r="B8954">
        <v>422021260</v>
      </c>
      <c r="C8954" s="76">
        <v>2021</v>
      </c>
      <c r="D8954" s="76" t="s">
        <v>34</v>
      </c>
      <c r="E8954" s="76" t="s">
        <v>32</v>
      </c>
      <c r="F8954" s="76">
        <v>8.4</v>
      </c>
    </row>
    <row r="8955" s="76" customFormat="1" spans="1:6">
      <c r="A8955">
        <v>9189</v>
      </c>
      <c r="B8955">
        <v>422021260</v>
      </c>
      <c r="C8955" s="76">
        <v>2021</v>
      </c>
      <c r="D8955" s="76" t="s">
        <v>34</v>
      </c>
      <c r="E8955" s="76" t="s">
        <v>32</v>
      </c>
      <c r="F8955" s="76">
        <v>12</v>
      </c>
    </row>
    <row r="8956" s="76" customFormat="1" spans="1:6">
      <c r="A8956">
        <v>9238</v>
      </c>
      <c r="B8956">
        <v>422021270</v>
      </c>
      <c r="C8956" s="76">
        <v>2021</v>
      </c>
      <c r="D8956" s="76" t="s">
        <v>31</v>
      </c>
      <c r="E8956" s="76" t="s">
        <v>32</v>
      </c>
      <c r="F8956" s="76">
        <v>0.5</v>
      </c>
    </row>
    <row r="8957" s="76" customFormat="1" spans="1:6">
      <c r="A8957">
        <v>9234</v>
      </c>
      <c r="B8957">
        <v>422021270</v>
      </c>
      <c r="C8957" s="76">
        <v>2021</v>
      </c>
      <c r="D8957" s="76" t="s">
        <v>31</v>
      </c>
      <c r="E8957" s="76" t="s">
        <v>32</v>
      </c>
      <c r="F8957" s="76">
        <v>0.51</v>
      </c>
    </row>
    <row r="8958" s="76" customFormat="1" spans="1:6">
      <c r="A8958">
        <v>9243</v>
      </c>
      <c r="B8958">
        <v>422021270</v>
      </c>
      <c r="C8958" s="76">
        <v>2021</v>
      </c>
      <c r="D8958" s="76" t="s">
        <v>31</v>
      </c>
      <c r="E8958" s="76" t="s">
        <v>32</v>
      </c>
      <c r="F8958" s="76">
        <v>10</v>
      </c>
    </row>
    <row r="8959" s="76" customFormat="1" spans="1:6">
      <c r="A8959">
        <v>9244</v>
      </c>
      <c r="B8959">
        <v>422021270</v>
      </c>
      <c r="C8959" s="76">
        <v>2021</v>
      </c>
      <c r="D8959" s="76" t="s">
        <v>31</v>
      </c>
      <c r="E8959" s="76" t="s">
        <v>32</v>
      </c>
      <c r="F8959" s="76">
        <v>10</v>
      </c>
    </row>
    <row r="8960" s="76" customFormat="1" spans="1:6">
      <c r="A8960">
        <v>9217</v>
      </c>
      <c r="B8960">
        <v>422021270</v>
      </c>
      <c r="C8960" s="76">
        <v>2021</v>
      </c>
      <c r="D8960" s="76" t="s">
        <v>31</v>
      </c>
      <c r="E8960" s="76" t="s">
        <v>32</v>
      </c>
      <c r="F8960" s="76">
        <v>9</v>
      </c>
    </row>
    <row r="8961" s="76" customFormat="1" spans="1:6">
      <c r="A8961">
        <v>9227</v>
      </c>
      <c r="B8961">
        <v>422021270</v>
      </c>
      <c r="C8961" s="76">
        <v>2021</v>
      </c>
      <c r="D8961" s="76" t="s">
        <v>31</v>
      </c>
      <c r="E8961" s="76" t="s">
        <v>32</v>
      </c>
      <c r="F8961" s="76">
        <v>3.15</v>
      </c>
    </row>
    <row r="8962" s="76" customFormat="1" spans="1:6">
      <c r="A8962">
        <v>9242</v>
      </c>
      <c r="B8962">
        <v>422021270</v>
      </c>
      <c r="C8962" s="76">
        <v>2021</v>
      </c>
      <c r="D8962" s="76" t="s">
        <v>31</v>
      </c>
      <c r="E8962" s="76" t="s">
        <v>32</v>
      </c>
      <c r="F8962" s="76">
        <v>1.75</v>
      </c>
    </row>
    <row r="8963" s="76" customFormat="1" spans="1:6">
      <c r="A8963">
        <v>9237</v>
      </c>
      <c r="B8963">
        <v>422021270</v>
      </c>
      <c r="C8963" s="76">
        <v>2021</v>
      </c>
      <c r="D8963" s="76" t="s">
        <v>31</v>
      </c>
      <c r="E8963" s="76" t="s">
        <v>32</v>
      </c>
      <c r="F8963" s="76">
        <v>4.37</v>
      </c>
    </row>
    <row r="8964" s="76" customFormat="1" spans="1:6">
      <c r="A8964">
        <v>9232</v>
      </c>
      <c r="B8964">
        <v>422021270</v>
      </c>
      <c r="C8964" s="76">
        <v>2021</v>
      </c>
      <c r="D8964" s="76" t="s">
        <v>31</v>
      </c>
      <c r="E8964" s="76" t="s">
        <v>32</v>
      </c>
      <c r="F8964" s="76">
        <v>7</v>
      </c>
    </row>
    <row r="8965" s="76" customFormat="1" spans="1:6">
      <c r="A8965">
        <v>9230</v>
      </c>
      <c r="B8965">
        <v>422021270</v>
      </c>
      <c r="C8965" s="76">
        <v>2021</v>
      </c>
      <c r="D8965" s="76" t="s">
        <v>31</v>
      </c>
      <c r="E8965" s="76" t="s">
        <v>32</v>
      </c>
      <c r="F8965" s="76">
        <v>5</v>
      </c>
    </row>
    <row r="8966" s="76" customFormat="1" spans="1:6">
      <c r="A8966">
        <v>9210</v>
      </c>
      <c r="B8966">
        <v>422021270</v>
      </c>
      <c r="C8966" s="76">
        <v>2021</v>
      </c>
      <c r="D8966" s="76" t="s">
        <v>31</v>
      </c>
      <c r="E8966" s="76" t="s">
        <v>32</v>
      </c>
      <c r="F8966" s="76">
        <v>2</v>
      </c>
    </row>
    <row r="8967" s="76" customFormat="1" spans="1:6">
      <c r="A8967">
        <v>9211</v>
      </c>
      <c r="B8967">
        <v>422021270</v>
      </c>
      <c r="C8967" s="76">
        <v>2021</v>
      </c>
      <c r="D8967" s="76" t="s">
        <v>31</v>
      </c>
      <c r="E8967" s="76" t="s">
        <v>32</v>
      </c>
      <c r="F8967" s="76">
        <v>9.8</v>
      </c>
    </row>
    <row r="8968" s="76" customFormat="1" spans="1:6">
      <c r="A8968">
        <v>9219</v>
      </c>
      <c r="B8968">
        <v>422021270</v>
      </c>
      <c r="C8968" s="76">
        <v>2021</v>
      </c>
      <c r="D8968" s="76" t="s">
        <v>31</v>
      </c>
      <c r="E8968" s="76" t="s">
        <v>32</v>
      </c>
      <c r="F8968" s="76">
        <v>3</v>
      </c>
    </row>
    <row r="8969" s="76" customFormat="1" spans="1:6">
      <c r="A8969">
        <v>9220</v>
      </c>
      <c r="B8969">
        <v>422021270</v>
      </c>
      <c r="C8969" s="76">
        <v>2021</v>
      </c>
      <c r="D8969" s="76" t="s">
        <v>31</v>
      </c>
      <c r="E8969" s="76" t="s">
        <v>32</v>
      </c>
      <c r="F8969" s="76">
        <v>7</v>
      </c>
    </row>
    <row r="8970" s="76" customFormat="1" spans="1:6">
      <c r="A8970">
        <v>9209</v>
      </c>
      <c r="B8970">
        <v>422021270</v>
      </c>
      <c r="C8970" s="76">
        <v>2021</v>
      </c>
      <c r="D8970" s="76" t="s">
        <v>31</v>
      </c>
      <c r="E8970" s="76" t="s">
        <v>32</v>
      </c>
      <c r="F8970" s="76">
        <v>10</v>
      </c>
    </row>
    <row r="8971" s="76" customFormat="1" spans="1:6">
      <c r="A8971">
        <v>9231</v>
      </c>
      <c r="B8971">
        <v>422021270</v>
      </c>
      <c r="C8971" s="76">
        <v>2021</v>
      </c>
      <c r="D8971" s="76" t="s">
        <v>31</v>
      </c>
      <c r="E8971" s="76" t="s">
        <v>32</v>
      </c>
      <c r="F8971" s="76">
        <v>24.62</v>
      </c>
    </row>
    <row r="8972" s="76" customFormat="1" spans="1:6">
      <c r="A8972">
        <v>9212</v>
      </c>
      <c r="B8972">
        <v>422021270</v>
      </c>
      <c r="C8972" s="76">
        <v>2021</v>
      </c>
      <c r="D8972" s="76" t="s">
        <v>31</v>
      </c>
      <c r="E8972" s="76" t="s">
        <v>32</v>
      </c>
      <c r="F8972" s="76">
        <v>2</v>
      </c>
    </row>
    <row r="8973" s="76" customFormat="1" spans="1:6">
      <c r="A8973">
        <v>9216</v>
      </c>
      <c r="B8973">
        <v>422021270</v>
      </c>
      <c r="C8973" s="76">
        <v>2021</v>
      </c>
      <c r="D8973" s="76" t="s">
        <v>31</v>
      </c>
      <c r="E8973" s="76" t="s">
        <v>32</v>
      </c>
      <c r="F8973" s="76">
        <v>5</v>
      </c>
    </row>
    <row r="8974" s="76" customFormat="1" spans="1:6">
      <c r="A8974">
        <v>9215</v>
      </c>
      <c r="B8974">
        <v>422021270</v>
      </c>
      <c r="C8974" s="76">
        <v>2021</v>
      </c>
      <c r="D8974" s="76" t="s">
        <v>31</v>
      </c>
      <c r="E8974" s="76" t="s">
        <v>32</v>
      </c>
      <c r="F8974" s="76">
        <v>10</v>
      </c>
    </row>
    <row r="8975" s="76" customFormat="1" spans="1:6">
      <c r="A8975">
        <v>9213</v>
      </c>
      <c r="B8975">
        <v>422021270</v>
      </c>
      <c r="C8975" s="76">
        <v>2021</v>
      </c>
      <c r="D8975" s="76" t="s">
        <v>31</v>
      </c>
      <c r="E8975" s="76" t="s">
        <v>32</v>
      </c>
      <c r="F8975" s="76">
        <v>9.5</v>
      </c>
    </row>
    <row r="8976" s="76" customFormat="1" spans="1:6">
      <c r="A8976">
        <v>9239</v>
      </c>
      <c r="B8976">
        <v>422021270</v>
      </c>
      <c r="C8976" s="76">
        <v>2021</v>
      </c>
      <c r="D8976" s="76" t="s">
        <v>31</v>
      </c>
      <c r="E8976" s="76" t="s">
        <v>32</v>
      </c>
      <c r="F8976" s="76">
        <v>10</v>
      </c>
    </row>
    <row r="8977" s="76" customFormat="1" spans="1:6">
      <c r="A8977">
        <v>9245</v>
      </c>
      <c r="B8977">
        <v>422021270</v>
      </c>
      <c r="C8977" s="76">
        <v>2021</v>
      </c>
      <c r="D8977" s="76" t="s">
        <v>31</v>
      </c>
      <c r="E8977" s="76" t="s">
        <v>32</v>
      </c>
      <c r="F8977" s="76">
        <v>1.44</v>
      </c>
    </row>
    <row r="8978" s="76" customFormat="1" spans="1:6">
      <c r="A8978">
        <v>9241</v>
      </c>
      <c r="B8978">
        <v>422021270</v>
      </c>
      <c r="C8978" s="76">
        <v>2021</v>
      </c>
      <c r="D8978" s="76" t="s">
        <v>31</v>
      </c>
      <c r="E8978" s="76" t="s">
        <v>32</v>
      </c>
      <c r="F8978" s="76">
        <v>0.94</v>
      </c>
    </row>
    <row r="8979" s="76" customFormat="1" spans="1:6">
      <c r="A8979">
        <v>9228</v>
      </c>
      <c r="B8979">
        <v>422021270</v>
      </c>
      <c r="C8979" s="76">
        <v>2021</v>
      </c>
      <c r="D8979" s="76" t="s">
        <v>31</v>
      </c>
      <c r="E8979" s="76" t="s">
        <v>32</v>
      </c>
      <c r="F8979" s="76">
        <v>10</v>
      </c>
    </row>
    <row r="8980" s="76" customFormat="1" spans="1:6">
      <c r="A8980">
        <v>9225</v>
      </c>
      <c r="B8980">
        <v>422021270</v>
      </c>
      <c r="C8980" s="76">
        <v>2021</v>
      </c>
      <c r="D8980" s="76" t="s">
        <v>31</v>
      </c>
      <c r="E8980" s="76" t="s">
        <v>32</v>
      </c>
      <c r="F8980" s="76">
        <v>5</v>
      </c>
    </row>
    <row r="8981" s="76" customFormat="1" spans="1:6">
      <c r="A8981">
        <v>9222</v>
      </c>
      <c r="B8981">
        <v>422021270</v>
      </c>
      <c r="C8981" s="76">
        <v>2021</v>
      </c>
      <c r="D8981" s="76" t="s">
        <v>31</v>
      </c>
      <c r="E8981" s="76" t="s">
        <v>32</v>
      </c>
      <c r="F8981" s="76">
        <v>10</v>
      </c>
    </row>
    <row r="8982" s="76" customFormat="1" spans="1:6">
      <c r="A8982">
        <v>9226</v>
      </c>
      <c r="B8982">
        <v>422021270</v>
      </c>
      <c r="C8982" s="76">
        <v>2021</v>
      </c>
      <c r="D8982" s="76" t="s">
        <v>31</v>
      </c>
      <c r="E8982" s="76" t="s">
        <v>32</v>
      </c>
      <c r="F8982" s="76">
        <v>4.1</v>
      </c>
    </row>
    <row r="8983" s="76" customFormat="1" spans="1:6">
      <c r="A8983">
        <v>9218</v>
      </c>
      <c r="B8983">
        <v>422021270</v>
      </c>
      <c r="C8983" s="76">
        <v>2021</v>
      </c>
      <c r="D8983" s="76" t="s">
        <v>31</v>
      </c>
      <c r="E8983" s="76" t="s">
        <v>32</v>
      </c>
      <c r="F8983" s="76">
        <v>6.18</v>
      </c>
    </row>
    <row r="8984" s="76" customFormat="1" spans="1:6">
      <c r="A8984">
        <v>9224</v>
      </c>
      <c r="B8984">
        <v>422021270</v>
      </c>
      <c r="C8984" s="76">
        <v>2021</v>
      </c>
      <c r="D8984" s="76" t="s">
        <v>31</v>
      </c>
      <c r="E8984" s="76" t="s">
        <v>32</v>
      </c>
      <c r="F8984" s="76">
        <v>8</v>
      </c>
    </row>
    <row r="8985" s="76" customFormat="1" spans="1:6">
      <c r="A8985">
        <v>9233</v>
      </c>
      <c r="B8985">
        <v>422021270</v>
      </c>
      <c r="C8985" s="76">
        <v>2021</v>
      </c>
      <c r="D8985" s="76" t="s">
        <v>31</v>
      </c>
      <c r="E8985" s="76" t="s">
        <v>32</v>
      </c>
      <c r="F8985" s="76">
        <v>3.5</v>
      </c>
    </row>
    <row r="8986" s="76" customFormat="1" spans="1:6">
      <c r="A8986">
        <v>9240</v>
      </c>
      <c r="B8986">
        <v>422021270</v>
      </c>
      <c r="C8986" s="76">
        <v>2021</v>
      </c>
      <c r="D8986" s="76" t="s">
        <v>31</v>
      </c>
      <c r="E8986" s="76" t="s">
        <v>32</v>
      </c>
      <c r="F8986" s="76">
        <v>10</v>
      </c>
    </row>
    <row r="8987" s="76" customFormat="1" spans="1:6">
      <c r="A8987">
        <v>9229</v>
      </c>
      <c r="B8987">
        <v>422021270</v>
      </c>
      <c r="C8987" s="76">
        <v>2021</v>
      </c>
      <c r="D8987" s="76" t="s">
        <v>31</v>
      </c>
      <c r="E8987" s="76" t="s">
        <v>32</v>
      </c>
      <c r="F8987" s="76">
        <v>4</v>
      </c>
    </row>
    <row r="8988" s="76" customFormat="1" spans="1:6">
      <c r="A8988">
        <v>9236</v>
      </c>
      <c r="B8988">
        <v>422021270</v>
      </c>
      <c r="C8988" s="76">
        <v>2021</v>
      </c>
      <c r="D8988" s="76" t="s">
        <v>31</v>
      </c>
      <c r="E8988" s="76" t="s">
        <v>32</v>
      </c>
      <c r="F8988" s="76">
        <v>5</v>
      </c>
    </row>
    <row r="8989" s="76" customFormat="1" spans="1:6">
      <c r="A8989">
        <v>9223</v>
      </c>
      <c r="B8989">
        <v>422021270</v>
      </c>
      <c r="C8989" s="76">
        <v>2021</v>
      </c>
      <c r="D8989" s="76" t="s">
        <v>31</v>
      </c>
      <c r="E8989" s="76" t="s">
        <v>32</v>
      </c>
      <c r="F8989" s="76">
        <v>2</v>
      </c>
    </row>
    <row r="8990" s="76" customFormat="1" spans="1:6">
      <c r="A8990">
        <v>9221</v>
      </c>
      <c r="B8990">
        <v>422021270</v>
      </c>
      <c r="C8990" s="76">
        <v>2021</v>
      </c>
      <c r="D8990" s="76" t="s">
        <v>31</v>
      </c>
      <c r="E8990" s="76" t="s">
        <v>32</v>
      </c>
      <c r="F8990" s="76">
        <v>8</v>
      </c>
    </row>
    <row r="8991" s="76" customFormat="1" spans="1:6">
      <c r="A8991">
        <v>9246</v>
      </c>
      <c r="B8991">
        <v>422021270</v>
      </c>
      <c r="C8991" s="76">
        <v>2021</v>
      </c>
      <c r="D8991" s="76" t="s">
        <v>31</v>
      </c>
      <c r="E8991" s="76" t="s">
        <v>32</v>
      </c>
      <c r="F8991" s="76">
        <v>0.4</v>
      </c>
    </row>
    <row r="8992" s="76" customFormat="1" spans="1:6">
      <c r="A8992">
        <v>9235</v>
      </c>
      <c r="B8992">
        <v>422021270</v>
      </c>
      <c r="C8992" s="76">
        <v>2021</v>
      </c>
      <c r="D8992" s="76" t="s">
        <v>31</v>
      </c>
      <c r="E8992" s="76" t="s">
        <v>32</v>
      </c>
      <c r="F8992" s="76">
        <v>10</v>
      </c>
    </row>
    <row r="8993" s="76" customFormat="1" spans="1:6">
      <c r="A8993">
        <v>9249</v>
      </c>
      <c r="B8993">
        <v>432012110</v>
      </c>
      <c r="C8993">
        <v>2012</v>
      </c>
      <c r="D8993" t="s">
        <v>40</v>
      </c>
      <c r="E8993">
        <v>1</v>
      </c>
      <c r="F8993">
        <v>1</v>
      </c>
    </row>
    <row r="8994" s="76" customFormat="1" spans="1:6">
      <c r="A8994">
        <v>9247</v>
      </c>
      <c r="B8994">
        <v>432012110</v>
      </c>
      <c r="C8994">
        <v>2012</v>
      </c>
      <c r="D8994" t="s">
        <v>40</v>
      </c>
      <c r="E8994">
        <v>1</v>
      </c>
      <c r="F8994">
        <v>3.5</v>
      </c>
    </row>
    <row r="8995" s="76" customFormat="1" spans="1:6">
      <c r="A8995">
        <v>9250</v>
      </c>
      <c r="B8995">
        <v>432012110</v>
      </c>
      <c r="C8995">
        <v>2012</v>
      </c>
      <c r="D8995" t="s">
        <v>40</v>
      </c>
      <c r="E8995">
        <v>3</v>
      </c>
      <c r="F8995">
        <v>6</v>
      </c>
    </row>
    <row r="8996" s="76" customFormat="1" spans="1:6">
      <c r="A8996">
        <v>9248</v>
      </c>
      <c r="B8996">
        <v>432012110</v>
      </c>
      <c r="C8996">
        <v>2012</v>
      </c>
      <c r="D8996" t="s">
        <v>40</v>
      </c>
      <c r="E8996">
        <v>3</v>
      </c>
      <c r="F8996">
        <v>6.9</v>
      </c>
    </row>
    <row r="8997" s="76" customFormat="1" spans="1:6">
      <c r="A8997">
        <v>9251</v>
      </c>
      <c r="B8997">
        <v>432012211</v>
      </c>
      <c r="C8997">
        <v>2012</v>
      </c>
      <c r="D8997" t="s">
        <v>37</v>
      </c>
      <c r="E8997">
        <v>1</v>
      </c>
      <c r="F8997">
        <v>66</v>
      </c>
    </row>
    <row r="8998" s="76" customFormat="1" spans="1:6">
      <c r="A8998">
        <v>9252</v>
      </c>
      <c r="B8998">
        <v>432012243</v>
      </c>
      <c r="C8998">
        <v>2012</v>
      </c>
      <c r="D8998" t="s">
        <v>38</v>
      </c>
      <c r="E8998">
        <v>1</v>
      </c>
      <c r="F8998">
        <v>3</v>
      </c>
    </row>
    <row r="8999" s="76" customFormat="1" spans="1:6">
      <c r="A8999">
        <v>9253</v>
      </c>
      <c r="B8999">
        <v>432012243</v>
      </c>
      <c r="C8999">
        <v>2012</v>
      </c>
      <c r="D8999" t="s">
        <v>38</v>
      </c>
      <c r="E8999">
        <v>1</v>
      </c>
      <c r="F8999">
        <v>3</v>
      </c>
    </row>
    <row r="9000" s="76" customFormat="1" spans="1:6">
      <c r="A9000">
        <v>9254</v>
      </c>
      <c r="B9000">
        <v>432012260</v>
      </c>
      <c r="C9000">
        <v>2012</v>
      </c>
      <c r="D9000" t="s">
        <v>34</v>
      </c>
      <c r="E9000">
        <v>24</v>
      </c>
      <c r="F9000">
        <v>4.8</v>
      </c>
    </row>
    <row r="9001" s="76" customFormat="1" spans="1:6">
      <c r="A9001">
        <v>9255</v>
      </c>
      <c r="B9001">
        <v>432012260</v>
      </c>
      <c r="C9001">
        <v>2012</v>
      </c>
      <c r="D9001" t="s">
        <v>34</v>
      </c>
      <c r="E9001">
        <v>3</v>
      </c>
      <c r="F9001">
        <v>0.6</v>
      </c>
    </row>
    <row r="9002" s="76" customFormat="1" spans="1:6">
      <c r="A9002">
        <v>9256</v>
      </c>
      <c r="B9002">
        <v>432013110</v>
      </c>
      <c r="C9002">
        <v>2013</v>
      </c>
      <c r="D9002" t="s">
        <v>40</v>
      </c>
      <c r="E9002">
        <v>1</v>
      </c>
      <c r="F9002">
        <v>2</v>
      </c>
    </row>
    <row r="9003" s="76" customFormat="1" spans="1:6">
      <c r="A9003">
        <v>9257</v>
      </c>
      <c r="B9003">
        <v>432013110</v>
      </c>
      <c r="C9003">
        <v>2013</v>
      </c>
      <c r="D9003" t="s">
        <v>40</v>
      </c>
      <c r="E9003">
        <v>3</v>
      </c>
      <c r="F9003">
        <v>10.5</v>
      </c>
    </row>
    <row r="9004" s="76" customFormat="1" spans="1:6">
      <c r="A9004">
        <v>9258</v>
      </c>
      <c r="B9004">
        <v>432013110</v>
      </c>
      <c r="C9004">
        <v>2013</v>
      </c>
      <c r="D9004" t="s">
        <v>40</v>
      </c>
      <c r="E9004">
        <v>1</v>
      </c>
      <c r="F9004">
        <v>1.3</v>
      </c>
    </row>
    <row r="9005" s="76" customFormat="1" spans="1:6">
      <c r="A9005">
        <v>9259</v>
      </c>
      <c r="B9005">
        <v>432013241</v>
      </c>
      <c r="C9005">
        <v>2013</v>
      </c>
      <c r="D9005" t="s">
        <v>33</v>
      </c>
      <c r="E9005">
        <v>1</v>
      </c>
      <c r="F9005">
        <v>13.5</v>
      </c>
    </row>
    <row r="9006" s="76" customFormat="1" spans="1:6">
      <c r="A9006">
        <v>9260</v>
      </c>
      <c r="B9006">
        <v>432013242</v>
      </c>
      <c r="C9006">
        <v>2013</v>
      </c>
      <c r="D9006" t="s">
        <v>35</v>
      </c>
      <c r="E9006">
        <v>2</v>
      </c>
      <c r="F9006">
        <v>0.1</v>
      </c>
    </row>
    <row r="9007" s="76" customFormat="1" spans="1:6">
      <c r="A9007">
        <v>9261</v>
      </c>
      <c r="B9007">
        <v>432013243</v>
      </c>
      <c r="C9007">
        <v>2013</v>
      </c>
      <c r="D9007" t="s">
        <v>38</v>
      </c>
      <c r="E9007">
        <v>1</v>
      </c>
      <c r="F9007">
        <v>3</v>
      </c>
    </row>
    <row r="9008" s="76" customFormat="1" spans="1:6">
      <c r="A9008">
        <v>9262</v>
      </c>
      <c r="B9008">
        <v>432013260</v>
      </c>
      <c r="C9008">
        <v>2013</v>
      </c>
      <c r="D9008" t="s">
        <v>34</v>
      </c>
      <c r="E9008">
        <v>25</v>
      </c>
      <c r="F9008">
        <v>4.95</v>
      </c>
    </row>
    <row r="9009" s="76" customFormat="1" spans="1:6">
      <c r="A9009">
        <v>9264</v>
      </c>
      <c r="B9009">
        <v>432013260</v>
      </c>
      <c r="C9009">
        <v>2013</v>
      </c>
      <c r="D9009" t="s">
        <v>34</v>
      </c>
      <c r="E9009">
        <v>2</v>
      </c>
      <c r="F9009">
        <v>0.4</v>
      </c>
    </row>
    <row r="9010" s="76" customFormat="1" spans="1:6">
      <c r="A9010">
        <v>9268</v>
      </c>
      <c r="B9010">
        <v>432013260</v>
      </c>
      <c r="C9010">
        <v>2013</v>
      </c>
      <c r="D9010" t="s">
        <v>34</v>
      </c>
      <c r="E9010">
        <v>17</v>
      </c>
      <c r="F9010">
        <v>3.4</v>
      </c>
    </row>
    <row r="9011" s="76" customFormat="1" spans="1:6">
      <c r="A9011">
        <v>9267</v>
      </c>
      <c r="B9011">
        <v>432013260</v>
      </c>
      <c r="C9011">
        <v>2013</v>
      </c>
      <c r="D9011" t="s">
        <v>34</v>
      </c>
      <c r="E9011">
        <v>35</v>
      </c>
      <c r="F9011">
        <v>6.95</v>
      </c>
    </row>
    <row r="9012" s="76" customFormat="1" spans="1:6">
      <c r="A9012">
        <v>9263</v>
      </c>
      <c r="B9012">
        <v>432013260</v>
      </c>
      <c r="C9012">
        <v>2013</v>
      </c>
      <c r="D9012" t="s">
        <v>34</v>
      </c>
      <c r="E9012">
        <v>21</v>
      </c>
      <c r="F9012">
        <v>4.2</v>
      </c>
    </row>
    <row r="9013" s="76" customFormat="1" spans="1:6">
      <c r="A9013">
        <v>9265</v>
      </c>
      <c r="B9013">
        <v>432013260</v>
      </c>
      <c r="C9013">
        <v>2013</v>
      </c>
      <c r="D9013" t="s">
        <v>34</v>
      </c>
      <c r="E9013">
        <v>2</v>
      </c>
      <c r="F9013">
        <v>0.4</v>
      </c>
    </row>
    <row r="9014" s="76" customFormat="1" spans="1:6">
      <c r="A9014">
        <v>9266</v>
      </c>
      <c r="B9014">
        <v>432013260</v>
      </c>
      <c r="C9014">
        <v>2013</v>
      </c>
      <c r="D9014" t="s">
        <v>34</v>
      </c>
      <c r="E9014">
        <v>6</v>
      </c>
      <c r="F9014">
        <v>1.2</v>
      </c>
    </row>
    <row r="9015" s="76" customFormat="1" ht="15" customHeight="1" spans="1:6">
      <c r="A9015">
        <v>9271</v>
      </c>
      <c r="B9015">
        <v>432014110</v>
      </c>
      <c r="C9015">
        <v>2014</v>
      </c>
      <c r="D9015" t="s">
        <v>40</v>
      </c>
      <c r="E9015">
        <v>7</v>
      </c>
      <c r="F9015">
        <v>14</v>
      </c>
    </row>
    <row r="9016" s="76" customFormat="1" spans="1:6">
      <c r="A9016">
        <v>9270</v>
      </c>
      <c r="B9016">
        <v>432014110</v>
      </c>
      <c r="C9016">
        <v>2014</v>
      </c>
      <c r="D9016" t="s">
        <v>40</v>
      </c>
      <c r="E9016">
        <v>6</v>
      </c>
      <c r="F9016">
        <v>83</v>
      </c>
    </row>
    <row r="9017" s="76" customFormat="1" spans="1:6">
      <c r="A9017">
        <v>9272</v>
      </c>
      <c r="B9017">
        <v>432014110</v>
      </c>
      <c r="C9017">
        <v>2014</v>
      </c>
      <c r="D9017" t="s">
        <v>40</v>
      </c>
      <c r="E9017">
        <v>1</v>
      </c>
      <c r="F9017">
        <v>1.44</v>
      </c>
    </row>
    <row r="9018" s="76" customFormat="1" spans="1:6">
      <c r="A9018">
        <v>9269</v>
      </c>
      <c r="B9018">
        <v>432014110</v>
      </c>
      <c r="C9018">
        <v>2014</v>
      </c>
      <c r="D9018" t="s">
        <v>40</v>
      </c>
      <c r="E9018">
        <v>1</v>
      </c>
      <c r="F9018">
        <v>21.58</v>
      </c>
    </row>
    <row r="9019" s="76" customFormat="1" spans="1:6">
      <c r="A9019">
        <v>9273</v>
      </c>
      <c r="B9019">
        <v>432014211</v>
      </c>
      <c r="C9019">
        <v>2014</v>
      </c>
      <c r="D9019" t="s">
        <v>37</v>
      </c>
      <c r="E9019">
        <v>1</v>
      </c>
      <c r="F9019">
        <v>64.43</v>
      </c>
    </row>
    <row r="9020" s="76" customFormat="1" spans="1:6">
      <c r="A9020">
        <v>9274</v>
      </c>
      <c r="B9020">
        <v>432014241</v>
      </c>
      <c r="C9020">
        <v>2014</v>
      </c>
      <c r="D9020" t="s">
        <v>33</v>
      </c>
      <c r="E9020">
        <v>1</v>
      </c>
      <c r="F9020">
        <v>6</v>
      </c>
    </row>
    <row r="9021" s="76" customFormat="1" spans="1:6">
      <c r="A9021">
        <v>9275</v>
      </c>
      <c r="B9021">
        <v>432014241</v>
      </c>
      <c r="C9021">
        <v>2014</v>
      </c>
      <c r="D9021" t="s">
        <v>33</v>
      </c>
      <c r="E9021">
        <v>2</v>
      </c>
      <c r="F9021">
        <v>2.4</v>
      </c>
    </row>
    <row r="9022" s="76" customFormat="1" spans="1:6">
      <c r="A9022">
        <v>9277</v>
      </c>
      <c r="B9022">
        <v>432014243</v>
      </c>
      <c r="C9022">
        <v>2014</v>
      </c>
      <c r="D9022" t="s">
        <v>38</v>
      </c>
      <c r="E9022">
        <v>1</v>
      </c>
      <c r="F9022">
        <v>3</v>
      </c>
    </row>
    <row r="9023" s="76" customFormat="1" spans="1:6">
      <c r="A9023">
        <v>9276</v>
      </c>
      <c r="B9023">
        <v>432014243</v>
      </c>
      <c r="C9023">
        <v>2014</v>
      </c>
      <c r="D9023" t="s">
        <v>38</v>
      </c>
      <c r="E9023">
        <v>1</v>
      </c>
      <c r="F9023">
        <v>0.21</v>
      </c>
    </row>
    <row r="9024" s="76" customFormat="1" spans="1:6">
      <c r="A9024">
        <v>9278</v>
      </c>
      <c r="B9024">
        <v>432014243</v>
      </c>
      <c r="C9024">
        <v>2014</v>
      </c>
      <c r="D9024" t="s">
        <v>38</v>
      </c>
      <c r="E9024">
        <v>1</v>
      </c>
      <c r="F9024">
        <v>3</v>
      </c>
    </row>
    <row r="9025" s="76" customFormat="1" spans="1:6">
      <c r="A9025">
        <v>9283</v>
      </c>
      <c r="B9025">
        <v>432014260</v>
      </c>
      <c r="C9025">
        <v>2014</v>
      </c>
      <c r="D9025" t="s">
        <v>34</v>
      </c>
      <c r="E9025">
        <v>20</v>
      </c>
      <c r="F9025">
        <v>4</v>
      </c>
    </row>
    <row r="9026" s="76" customFormat="1" spans="1:6">
      <c r="A9026">
        <v>9282</v>
      </c>
      <c r="B9026">
        <v>432014260</v>
      </c>
      <c r="C9026">
        <v>2014</v>
      </c>
      <c r="D9026" t="s">
        <v>34</v>
      </c>
      <c r="E9026">
        <v>40</v>
      </c>
      <c r="F9026">
        <v>8</v>
      </c>
    </row>
    <row r="9027" s="76" customFormat="1" spans="1:6">
      <c r="A9027">
        <v>9280</v>
      </c>
      <c r="B9027">
        <v>432014260</v>
      </c>
      <c r="C9027">
        <v>2014</v>
      </c>
      <c r="D9027" t="s">
        <v>34</v>
      </c>
      <c r="E9027">
        <v>20</v>
      </c>
      <c r="F9027">
        <v>4</v>
      </c>
    </row>
    <row r="9028" s="76" customFormat="1" spans="1:6">
      <c r="A9028">
        <v>9286</v>
      </c>
      <c r="B9028">
        <v>432014260</v>
      </c>
      <c r="C9028">
        <v>2014</v>
      </c>
      <c r="D9028" t="s">
        <v>34</v>
      </c>
      <c r="E9028">
        <v>15</v>
      </c>
      <c r="F9028">
        <v>3.6</v>
      </c>
    </row>
    <row r="9029" s="76" customFormat="1" spans="1:6">
      <c r="A9029">
        <v>9287</v>
      </c>
      <c r="B9029">
        <v>432014260</v>
      </c>
      <c r="C9029">
        <v>2014</v>
      </c>
      <c r="D9029" t="s">
        <v>34</v>
      </c>
      <c r="E9029">
        <v>17</v>
      </c>
      <c r="F9029">
        <v>3.4</v>
      </c>
    </row>
    <row r="9030" s="76" customFormat="1" spans="1:6">
      <c r="A9030">
        <v>9292</v>
      </c>
      <c r="B9030">
        <v>432014260</v>
      </c>
      <c r="C9030">
        <v>2014</v>
      </c>
      <c r="D9030" t="s">
        <v>34</v>
      </c>
      <c r="E9030">
        <v>2</v>
      </c>
      <c r="F9030">
        <v>0.4</v>
      </c>
    </row>
    <row r="9031" s="76" customFormat="1" spans="1:6">
      <c r="A9031">
        <v>9281</v>
      </c>
      <c r="B9031">
        <v>432014260</v>
      </c>
      <c r="C9031">
        <v>2014</v>
      </c>
      <c r="D9031" t="s">
        <v>34</v>
      </c>
      <c r="E9031">
        <v>25</v>
      </c>
      <c r="F9031">
        <v>4.99</v>
      </c>
    </row>
    <row r="9032" s="76" customFormat="1" spans="1:6">
      <c r="A9032">
        <v>9279</v>
      </c>
      <c r="B9032">
        <v>432014260</v>
      </c>
      <c r="C9032">
        <v>2014</v>
      </c>
      <c r="D9032" t="s">
        <v>34</v>
      </c>
      <c r="E9032">
        <v>11</v>
      </c>
      <c r="F9032">
        <v>2.2</v>
      </c>
    </row>
    <row r="9033" s="76" customFormat="1" spans="1:6">
      <c r="A9033">
        <v>9284</v>
      </c>
      <c r="B9033">
        <v>432014260</v>
      </c>
      <c r="C9033">
        <v>2014</v>
      </c>
      <c r="D9033" t="s">
        <v>34</v>
      </c>
      <c r="E9033">
        <v>22</v>
      </c>
      <c r="F9033">
        <v>4.4</v>
      </c>
    </row>
    <row r="9034" s="76" customFormat="1" spans="1:6">
      <c r="A9034">
        <v>9291</v>
      </c>
      <c r="B9034">
        <v>432014260</v>
      </c>
      <c r="C9034">
        <v>2014</v>
      </c>
      <c r="D9034" t="s">
        <v>34</v>
      </c>
      <c r="E9034">
        <v>3</v>
      </c>
      <c r="F9034">
        <v>0.6</v>
      </c>
    </row>
    <row r="9035" s="76" customFormat="1" spans="1:6">
      <c r="A9035">
        <v>9289</v>
      </c>
      <c r="B9035">
        <v>432014260</v>
      </c>
      <c r="C9035">
        <v>2014</v>
      </c>
      <c r="D9035" t="s">
        <v>34</v>
      </c>
      <c r="E9035">
        <v>7</v>
      </c>
      <c r="F9035">
        <v>1.4</v>
      </c>
    </row>
    <row r="9036" s="76" customFormat="1" spans="1:6">
      <c r="A9036">
        <v>9288</v>
      </c>
      <c r="B9036">
        <v>432014260</v>
      </c>
      <c r="C9036">
        <v>2014</v>
      </c>
      <c r="D9036" t="s">
        <v>34</v>
      </c>
      <c r="E9036">
        <v>17</v>
      </c>
      <c r="F9036">
        <v>3.4</v>
      </c>
    </row>
    <row r="9037" s="76" customFormat="1" spans="1:6">
      <c r="A9037">
        <v>9290</v>
      </c>
      <c r="B9037">
        <v>432014260</v>
      </c>
      <c r="C9037">
        <v>2014</v>
      </c>
      <c r="D9037" t="s">
        <v>34</v>
      </c>
      <c r="E9037">
        <v>1</v>
      </c>
      <c r="F9037">
        <v>1</v>
      </c>
    </row>
    <row r="9038" s="76" customFormat="1" spans="1:6">
      <c r="A9038">
        <v>9285</v>
      </c>
      <c r="B9038">
        <v>432014260</v>
      </c>
      <c r="C9038">
        <v>2014</v>
      </c>
      <c r="D9038" t="s">
        <v>34</v>
      </c>
      <c r="E9038">
        <v>19</v>
      </c>
      <c r="F9038">
        <v>3.79</v>
      </c>
    </row>
    <row r="9039" s="76" customFormat="1" spans="1:6">
      <c r="A9039">
        <v>9296</v>
      </c>
      <c r="B9039">
        <v>432014270</v>
      </c>
      <c r="C9039">
        <v>2014</v>
      </c>
      <c r="D9039" t="s">
        <v>31</v>
      </c>
      <c r="E9039">
        <v>1</v>
      </c>
      <c r="F9039">
        <v>0.72</v>
      </c>
    </row>
    <row r="9040" s="76" customFormat="1" spans="1:6">
      <c r="A9040">
        <v>9293</v>
      </c>
      <c r="B9040">
        <v>432014270</v>
      </c>
      <c r="C9040">
        <v>2014</v>
      </c>
      <c r="D9040" t="s">
        <v>31</v>
      </c>
      <c r="E9040">
        <v>1</v>
      </c>
      <c r="F9040">
        <v>3.17</v>
      </c>
    </row>
    <row r="9041" s="76" customFormat="1" spans="1:6">
      <c r="A9041">
        <v>9294</v>
      </c>
      <c r="B9041">
        <v>432014270</v>
      </c>
      <c r="C9041">
        <v>2014</v>
      </c>
      <c r="D9041" t="s">
        <v>31</v>
      </c>
      <c r="E9041">
        <v>1</v>
      </c>
      <c r="F9041">
        <v>3.11</v>
      </c>
    </row>
    <row r="9042" s="76" customFormat="1" spans="1:6">
      <c r="A9042">
        <v>9295</v>
      </c>
      <c r="B9042">
        <v>432014270</v>
      </c>
      <c r="C9042">
        <v>2014</v>
      </c>
      <c r="D9042" t="s">
        <v>31</v>
      </c>
      <c r="E9042">
        <v>1</v>
      </c>
      <c r="F9042">
        <v>1.07</v>
      </c>
    </row>
    <row r="9043" s="76" customFormat="1" spans="1:6">
      <c r="A9043">
        <v>9308</v>
      </c>
      <c r="B9043">
        <v>432015110</v>
      </c>
      <c r="C9043">
        <v>2015</v>
      </c>
      <c r="D9043" t="s">
        <v>40</v>
      </c>
      <c r="E9043" t="s">
        <v>32</v>
      </c>
      <c r="F9043">
        <v>2.85</v>
      </c>
    </row>
    <row r="9044" s="76" customFormat="1" spans="1:6">
      <c r="A9044">
        <v>9303</v>
      </c>
      <c r="B9044">
        <v>432015110</v>
      </c>
      <c r="C9044">
        <v>2015</v>
      </c>
      <c r="D9044" t="s">
        <v>40</v>
      </c>
      <c r="E9044">
        <v>1</v>
      </c>
      <c r="F9044">
        <v>0.5</v>
      </c>
    </row>
    <row r="9045" s="76" customFormat="1" spans="1:6">
      <c r="A9045">
        <v>9311</v>
      </c>
      <c r="B9045">
        <v>432015110</v>
      </c>
      <c r="C9045">
        <v>2015</v>
      </c>
      <c r="D9045" t="s">
        <v>40</v>
      </c>
      <c r="E9045" t="s">
        <v>32</v>
      </c>
      <c r="F9045">
        <v>2.25</v>
      </c>
    </row>
    <row r="9046" s="76" customFormat="1" spans="1:6">
      <c r="A9046">
        <v>9297</v>
      </c>
      <c r="B9046">
        <v>432015110</v>
      </c>
      <c r="C9046">
        <v>2015</v>
      </c>
      <c r="D9046" t="s">
        <v>40</v>
      </c>
      <c r="E9046">
        <v>1</v>
      </c>
      <c r="F9046">
        <v>0.95</v>
      </c>
    </row>
    <row r="9047" s="76" customFormat="1" spans="1:6">
      <c r="A9047">
        <v>9302</v>
      </c>
      <c r="B9047">
        <v>432015110</v>
      </c>
      <c r="C9047">
        <v>2015</v>
      </c>
      <c r="D9047" t="s">
        <v>40</v>
      </c>
      <c r="E9047">
        <v>1</v>
      </c>
      <c r="F9047">
        <v>1.1</v>
      </c>
    </row>
    <row r="9048" s="76" customFormat="1" spans="1:6">
      <c r="A9048">
        <v>9300</v>
      </c>
      <c r="B9048">
        <v>432015110</v>
      </c>
      <c r="C9048">
        <v>2015</v>
      </c>
      <c r="D9048" t="s">
        <v>40</v>
      </c>
      <c r="E9048" t="s">
        <v>32</v>
      </c>
      <c r="F9048">
        <v>0.6</v>
      </c>
    </row>
    <row r="9049" s="76" customFormat="1" spans="1:6">
      <c r="A9049">
        <v>9305</v>
      </c>
      <c r="B9049">
        <v>432015110</v>
      </c>
      <c r="C9049">
        <v>2015</v>
      </c>
      <c r="D9049" t="s">
        <v>40</v>
      </c>
      <c r="E9049" t="s">
        <v>32</v>
      </c>
      <c r="F9049">
        <v>0.3</v>
      </c>
    </row>
    <row r="9050" s="76" customFormat="1" spans="1:6">
      <c r="A9050">
        <v>9299</v>
      </c>
      <c r="B9050">
        <v>432015110</v>
      </c>
      <c r="C9050">
        <v>2015</v>
      </c>
      <c r="D9050" t="s">
        <v>40</v>
      </c>
      <c r="E9050">
        <v>2</v>
      </c>
      <c r="F9050">
        <v>2.1</v>
      </c>
    </row>
    <row r="9051" s="76" customFormat="1" spans="1:6">
      <c r="A9051">
        <v>9309</v>
      </c>
      <c r="B9051">
        <v>432015110</v>
      </c>
      <c r="C9051">
        <v>2015</v>
      </c>
      <c r="D9051" t="s">
        <v>40</v>
      </c>
      <c r="E9051" t="s">
        <v>32</v>
      </c>
      <c r="F9051">
        <v>0.08</v>
      </c>
    </row>
    <row r="9052" s="76" customFormat="1" spans="1:6">
      <c r="A9052">
        <v>9298</v>
      </c>
      <c r="B9052">
        <v>432015110</v>
      </c>
      <c r="C9052">
        <v>2015</v>
      </c>
      <c r="D9052" t="s">
        <v>40</v>
      </c>
      <c r="E9052">
        <v>1</v>
      </c>
      <c r="F9052">
        <v>2.25</v>
      </c>
    </row>
    <row r="9053" s="76" customFormat="1" spans="1:6">
      <c r="A9053">
        <v>9307</v>
      </c>
      <c r="B9053">
        <v>432015110</v>
      </c>
      <c r="C9053">
        <v>2015</v>
      </c>
      <c r="D9053" t="s">
        <v>40</v>
      </c>
      <c r="E9053" t="s">
        <v>32</v>
      </c>
      <c r="F9053">
        <v>2.1</v>
      </c>
    </row>
    <row r="9054" s="76" customFormat="1" spans="1:6">
      <c r="A9054">
        <v>9314</v>
      </c>
      <c r="B9054">
        <v>432015110</v>
      </c>
      <c r="C9054">
        <v>2015</v>
      </c>
      <c r="D9054" t="s">
        <v>40</v>
      </c>
      <c r="E9054" t="s">
        <v>32</v>
      </c>
      <c r="F9054">
        <v>0.3</v>
      </c>
    </row>
    <row r="9055" s="76" customFormat="1" spans="1:6">
      <c r="A9055">
        <v>9315</v>
      </c>
      <c r="B9055">
        <v>432015110</v>
      </c>
      <c r="C9055">
        <v>2015</v>
      </c>
      <c r="D9055" t="s">
        <v>40</v>
      </c>
      <c r="E9055" t="s">
        <v>32</v>
      </c>
      <c r="F9055">
        <v>0.5</v>
      </c>
    </row>
    <row r="9056" s="76" customFormat="1" spans="1:6">
      <c r="A9056">
        <v>9301</v>
      </c>
      <c r="B9056">
        <v>432015110</v>
      </c>
      <c r="C9056">
        <v>2015</v>
      </c>
      <c r="D9056" t="s">
        <v>40</v>
      </c>
      <c r="E9056">
        <v>1</v>
      </c>
      <c r="F9056">
        <v>0.29</v>
      </c>
    </row>
    <row r="9057" s="76" customFormat="1" spans="1:6">
      <c r="A9057">
        <v>9313</v>
      </c>
      <c r="B9057">
        <v>432015110</v>
      </c>
      <c r="C9057">
        <v>2015</v>
      </c>
      <c r="D9057" t="s">
        <v>40</v>
      </c>
      <c r="E9057" t="s">
        <v>32</v>
      </c>
      <c r="F9057">
        <v>0.03</v>
      </c>
    </row>
    <row r="9058" s="76" customFormat="1" spans="1:6">
      <c r="A9058">
        <v>9306</v>
      </c>
      <c r="B9058">
        <v>432015110</v>
      </c>
      <c r="C9058">
        <v>2015</v>
      </c>
      <c r="D9058" t="s">
        <v>40</v>
      </c>
      <c r="E9058" t="s">
        <v>32</v>
      </c>
      <c r="F9058">
        <v>2</v>
      </c>
    </row>
    <row r="9059" s="76" customFormat="1" spans="1:6">
      <c r="A9059">
        <v>9304</v>
      </c>
      <c r="B9059">
        <v>432015110</v>
      </c>
      <c r="C9059">
        <v>2015</v>
      </c>
      <c r="D9059" t="s">
        <v>40</v>
      </c>
      <c r="E9059">
        <v>1</v>
      </c>
      <c r="F9059">
        <v>2</v>
      </c>
    </row>
    <row r="9060" s="76" customFormat="1" spans="1:6">
      <c r="A9060">
        <v>9312</v>
      </c>
      <c r="B9060">
        <v>432015110</v>
      </c>
      <c r="C9060">
        <v>2015</v>
      </c>
      <c r="D9060" t="s">
        <v>40</v>
      </c>
      <c r="E9060" t="s">
        <v>32</v>
      </c>
      <c r="F9060">
        <v>0.14</v>
      </c>
    </row>
    <row r="9061" s="76" customFormat="1" spans="1:6">
      <c r="A9061">
        <v>9310</v>
      </c>
      <c r="B9061">
        <v>432015110</v>
      </c>
      <c r="C9061">
        <v>2015</v>
      </c>
      <c r="D9061" t="s">
        <v>40</v>
      </c>
      <c r="E9061" t="s">
        <v>32</v>
      </c>
      <c r="F9061">
        <v>0.78</v>
      </c>
    </row>
    <row r="9062" s="76" customFormat="1" spans="1:6">
      <c r="A9062">
        <v>9316</v>
      </c>
      <c r="B9062">
        <v>432015211</v>
      </c>
      <c r="C9062">
        <v>2015</v>
      </c>
      <c r="D9062" t="s">
        <v>37</v>
      </c>
      <c r="E9062">
        <v>2</v>
      </c>
      <c r="F9062">
        <v>132</v>
      </c>
    </row>
    <row r="9063" s="76" customFormat="1" spans="1:6">
      <c r="A9063">
        <v>9317</v>
      </c>
      <c r="B9063">
        <v>432015211</v>
      </c>
      <c r="C9063">
        <v>2015</v>
      </c>
      <c r="D9063" t="s">
        <v>37</v>
      </c>
      <c r="E9063">
        <v>2</v>
      </c>
      <c r="F9063">
        <v>10</v>
      </c>
    </row>
    <row r="9064" s="76" customFormat="1" spans="1:6">
      <c r="A9064">
        <v>9319</v>
      </c>
      <c r="B9064">
        <v>432015241</v>
      </c>
      <c r="C9064">
        <v>2015</v>
      </c>
      <c r="D9064" t="s">
        <v>33</v>
      </c>
      <c r="E9064" t="s">
        <v>32</v>
      </c>
      <c r="F9064">
        <v>0.75</v>
      </c>
    </row>
    <row r="9065" s="76" customFormat="1" spans="1:6">
      <c r="A9065">
        <v>9320</v>
      </c>
      <c r="B9065">
        <v>432015241</v>
      </c>
      <c r="C9065">
        <v>2015</v>
      </c>
      <c r="D9065" t="s">
        <v>33</v>
      </c>
      <c r="E9065" t="s">
        <v>32</v>
      </c>
      <c r="F9065">
        <v>0.7</v>
      </c>
    </row>
    <row r="9066" s="76" customFormat="1" spans="1:6">
      <c r="A9066">
        <v>9324</v>
      </c>
      <c r="B9066">
        <v>432015241</v>
      </c>
      <c r="C9066">
        <v>2015</v>
      </c>
      <c r="D9066" t="s">
        <v>33</v>
      </c>
      <c r="E9066" t="s">
        <v>32</v>
      </c>
      <c r="F9066">
        <v>0.6</v>
      </c>
    </row>
    <row r="9067" s="76" customFormat="1" spans="1:6">
      <c r="A9067">
        <v>9322</v>
      </c>
      <c r="B9067">
        <v>432015241</v>
      </c>
      <c r="C9067">
        <v>2015</v>
      </c>
      <c r="D9067" t="s">
        <v>33</v>
      </c>
      <c r="E9067" t="s">
        <v>32</v>
      </c>
      <c r="F9067">
        <v>0.9</v>
      </c>
    </row>
    <row r="9068" s="76" customFormat="1" spans="1:6">
      <c r="A9068">
        <v>9321</v>
      </c>
      <c r="B9068">
        <v>432015241</v>
      </c>
      <c r="C9068">
        <v>2015</v>
      </c>
      <c r="D9068" t="s">
        <v>33</v>
      </c>
      <c r="E9068" t="s">
        <v>32</v>
      </c>
      <c r="F9068">
        <v>0.9</v>
      </c>
    </row>
    <row r="9069" s="76" customFormat="1" spans="1:6">
      <c r="A9069">
        <v>9318</v>
      </c>
      <c r="B9069">
        <v>432015241</v>
      </c>
      <c r="C9069">
        <v>2015</v>
      </c>
      <c r="D9069" t="s">
        <v>33</v>
      </c>
      <c r="E9069" t="s">
        <v>32</v>
      </c>
      <c r="F9069">
        <v>0.6</v>
      </c>
    </row>
    <row r="9070" s="76" customFormat="1" spans="1:6">
      <c r="A9070">
        <v>9326</v>
      </c>
      <c r="B9070">
        <v>432015241</v>
      </c>
      <c r="C9070">
        <v>2015</v>
      </c>
      <c r="D9070" t="s">
        <v>33</v>
      </c>
      <c r="E9070" t="s">
        <v>32</v>
      </c>
      <c r="F9070">
        <v>0.9</v>
      </c>
    </row>
    <row r="9071" s="76" customFormat="1" spans="1:6">
      <c r="A9071">
        <v>9328</v>
      </c>
      <c r="B9071">
        <v>432015241</v>
      </c>
      <c r="C9071">
        <v>2015</v>
      </c>
      <c r="D9071" t="s">
        <v>33</v>
      </c>
      <c r="E9071" t="s">
        <v>32</v>
      </c>
      <c r="F9071">
        <v>3.1</v>
      </c>
    </row>
    <row r="9072" s="76" customFormat="1" spans="1:6">
      <c r="A9072">
        <v>9325</v>
      </c>
      <c r="B9072">
        <v>432015241</v>
      </c>
      <c r="C9072">
        <v>2015</v>
      </c>
      <c r="D9072" t="s">
        <v>33</v>
      </c>
      <c r="E9072" t="s">
        <v>32</v>
      </c>
      <c r="F9072">
        <v>0.9</v>
      </c>
    </row>
    <row r="9073" s="76" customFormat="1" spans="1:6">
      <c r="A9073">
        <v>9327</v>
      </c>
      <c r="B9073">
        <v>432015241</v>
      </c>
      <c r="C9073">
        <v>2015</v>
      </c>
      <c r="D9073" t="s">
        <v>33</v>
      </c>
      <c r="E9073" t="s">
        <v>32</v>
      </c>
      <c r="F9073">
        <v>3</v>
      </c>
    </row>
    <row r="9074" s="76" customFormat="1" spans="1:6">
      <c r="A9074">
        <v>9323</v>
      </c>
      <c r="B9074">
        <v>432015241</v>
      </c>
      <c r="C9074">
        <v>2015</v>
      </c>
      <c r="D9074" t="s">
        <v>33</v>
      </c>
      <c r="E9074" t="s">
        <v>32</v>
      </c>
      <c r="F9074">
        <v>0.2</v>
      </c>
    </row>
    <row r="9075" s="76" customFormat="1" spans="1:6">
      <c r="A9075">
        <v>9329</v>
      </c>
      <c r="B9075">
        <v>432015242</v>
      </c>
      <c r="C9075">
        <v>2015</v>
      </c>
      <c r="D9075" t="s">
        <v>35</v>
      </c>
      <c r="E9075">
        <v>1</v>
      </c>
      <c r="F9075">
        <v>1.2</v>
      </c>
    </row>
    <row r="9076" s="76" customFormat="1" spans="1:6">
      <c r="A9076">
        <v>9350</v>
      </c>
      <c r="B9076">
        <v>432015260</v>
      </c>
      <c r="C9076">
        <v>2015</v>
      </c>
      <c r="D9076" t="s">
        <v>34</v>
      </c>
      <c r="E9076">
        <v>2</v>
      </c>
      <c r="F9076">
        <v>3.4</v>
      </c>
    </row>
    <row r="9077" s="76" customFormat="1" spans="1:6">
      <c r="A9077">
        <v>9347</v>
      </c>
      <c r="B9077">
        <v>432015260</v>
      </c>
      <c r="C9077">
        <v>2015</v>
      </c>
      <c r="D9077" t="s">
        <v>34</v>
      </c>
      <c r="E9077">
        <v>2</v>
      </c>
      <c r="F9077">
        <v>7.35</v>
      </c>
    </row>
    <row r="9078" s="76" customFormat="1" spans="1:6">
      <c r="A9078">
        <v>9358</v>
      </c>
      <c r="B9078">
        <v>432015260</v>
      </c>
      <c r="C9078">
        <v>2015</v>
      </c>
      <c r="D9078" t="s">
        <v>34</v>
      </c>
      <c r="E9078" t="s">
        <v>32</v>
      </c>
      <c r="F9078">
        <v>0.4</v>
      </c>
    </row>
    <row r="9079" s="76" customFormat="1" spans="1:6">
      <c r="A9079">
        <v>9335</v>
      </c>
      <c r="B9079">
        <v>432015260</v>
      </c>
      <c r="C9079">
        <v>2015</v>
      </c>
      <c r="D9079" t="s">
        <v>34</v>
      </c>
      <c r="E9079">
        <v>5</v>
      </c>
      <c r="F9079">
        <v>0.95</v>
      </c>
    </row>
    <row r="9080" s="76" customFormat="1" spans="1:6">
      <c r="A9080">
        <v>9339</v>
      </c>
      <c r="B9080">
        <v>432015260</v>
      </c>
      <c r="C9080">
        <v>2015</v>
      </c>
      <c r="D9080" t="s">
        <v>34</v>
      </c>
      <c r="E9080">
        <v>35</v>
      </c>
      <c r="F9080">
        <v>7</v>
      </c>
    </row>
    <row r="9081" s="76" customFormat="1" spans="1:6">
      <c r="A9081">
        <v>9334</v>
      </c>
      <c r="B9081">
        <v>432015260</v>
      </c>
      <c r="C9081">
        <v>2015</v>
      </c>
      <c r="D9081" t="s">
        <v>34</v>
      </c>
      <c r="E9081">
        <v>5</v>
      </c>
      <c r="F9081">
        <v>1</v>
      </c>
    </row>
    <row r="9082" s="76" customFormat="1" spans="1:6">
      <c r="A9082">
        <v>9352</v>
      </c>
      <c r="B9082">
        <v>432015260</v>
      </c>
      <c r="C9082">
        <v>2015</v>
      </c>
      <c r="D9082" t="s">
        <v>34</v>
      </c>
      <c r="E9082" t="s">
        <v>32</v>
      </c>
      <c r="F9082">
        <v>4</v>
      </c>
    </row>
    <row r="9083" s="76" customFormat="1" spans="1:6">
      <c r="A9083">
        <v>9355</v>
      </c>
      <c r="B9083">
        <v>432015260</v>
      </c>
      <c r="C9083">
        <v>2015</v>
      </c>
      <c r="D9083" t="s">
        <v>34</v>
      </c>
      <c r="E9083" t="s">
        <v>32</v>
      </c>
      <c r="F9083">
        <v>4.95</v>
      </c>
    </row>
    <row r="9084" s="76" customFormat="1" spans="1:6">
      <c r="A9084">
        <v>9357</v>
      </c>
      <c r="B9084">
        <v>432015260</v>
      </c>
      <c r="C9084">
        <v>2015</v>
      </c>
      <c r="D9084" t="s">
        <v>34</v>
      </c>
      <c r="E9084" t="s">
        <v>32</v>
      </c>
      <c r="F9084">
        <v>7.2</v>
      </c>
    </row>
    <row r="9085" s="76" customFormat="1" spans="1:6">
      <c r="A9085">
        <v>9351</v>
      </c>
      <c r="B9085">
        <v>432015260</v>
      </c>
      <c r="C9085">
        <v>2015</v>
      </c>
      <c r="D9085" t="s">
        <v>34</v>
      </c>
      <c r="E9085" t="s">
        <v>32</v>
      </c>
      <c r="F9085">
        <v>6</v>
      </c>
    </row>
    <row r="9086" s="76" customFormat="1" spans="1:6">
      <c r="A9086">
        <v>9349</v>
      </c>
      <c r="B9086">
        <v>432015260</v>
      </c>
      <c r="C9086">
        <v>2015</v>
      </c>
      <c r="D9086" t="s">
        <v>34</v>
      </c>
      <c r="E9086" t="s">
        <v>32</v>
      </c>
      <c r="F9086">
        <v>2</v>
      </c>
    </row>
    <row r="9087" s="76" customFormat="1" spans="1:6">
      <c r="A9087">
        <v>9348</v>
      </c>
      <c r="B9087">
        <v>432015260</v>
      </c>
      <c r="C9087">
        <v>2015</v>
      </c>
      <c r="D9087" t="s">
        <v>34</v>
      </c>
      <c r="E9087" t="s">
        <v>32</v>
      </c>
      <c r="F9087">
        <v>0.6</v>
      </c>
    </row>
    <row r="9088" s="76" customFormat="1" spans="1:6">
      <c r="A9088">
        <v>9354</v>
      </c>
      <c r="B9088">
        <v>432015260</v>
      </c>
      <c r="C9088">
        <v>2015</v>
      </c>
      <c r="D9088" t="s">
        <v>34</v>
      </c>
      <c r="E9088" t="s">
        <v>32</v>
      </c>
      <c r="F9088">
        <v>1</v>
      </c>
    </row>
    <row r="9089" s="76" customFormat="1" spans="1:6">
      <c r="A9089">
        <v>9356</v>
      </c>
      <c r="B9089">
        <v>432015260</v>
      </c>
      <c r="C9089">
        <v>2015</v>
      </c>
      <c r="D9089" t="s">
        <v>34</v>
      </c>
      <c r="E9089" t="s">
        <v>32</v>
      </c>
      <c r="F9089">
        <v>5</v>
      </c>
    </row>
    <row r="9090" s="76" customFormat="1" spans="1:6">
      <c r="A9090">
        <v>9337</v>
      </c>
      <c r="B9090">
        <v>432015260</v>
      </c>
      <c r="C9090">
        <v>2015</v>
      </c>
      <c r="D9090" t="s">
        <v>34</v>
      </c>
      <c r="E9090">
        <v>16</v>
      </c>
      <c r="F9090">
        <v>3.2</v>
      </c>
    </row>
    <row r="9091" s="76" customFormat="1" spans="1:6">
      <c r="A9091">
        <v>9345</v>
      </c>
      <c r="B9091">
        <v>432015260</v>
      </c>
      <c r="C9091">
        <v>2015</v>
      </c>
      <c r="D9091" t="s">
        <v>34</v>
      </c>
      <c r="E9091">
        <v>17</v>
      </c>
      <c r="F9091">
        <v>3.4</v>
      </c>
    </row>
    <row r="9092" s="76" customFormat="1" spans="1:6">
      <c r="A9092">
        <v>9336</v>
      </c>
      <c r="B9092">
        <v>432015260</v>
      </c>
      <c r="C9092">
        <v>2015</v>
      </c>
      <c r="D9092" t="s">
        <v>34</v>
      </c>
      <c r="E9092">
        <v>24</v>
      </c>
      <c r="F9092">
        <v>4.8</v>
      </c>
    </row>
    <row r="9093" s="76" customFormat="1" spans="1:6">
      <c r="A9093">
        <v>9341</v>
      </c>
      <c r="B9093">
        <v>432015260</v>
      </c>
      <c r="C9093">
        <v>2015</v>
      </c>
      <c r="D9093" t="s">
        <v>34</v>
      </c>
      <c r="E9093">
        <v>24</v>
      </c>
      <c r="F9093">
        <v>4.8</v>
      </c>
    </row>
    <row r="9094" s="76" customFormat="1" spans="1:6">
      <c r="A9094">
        <v>9338</v>
      </c>
      <c r="B9094">
        <v>432015260</v>
      </c>
      <c r="C9094">
        <v>2015</v>
      </c>
      <c r="D9094" t="s">
        <v>34</v>
      </c>
      <c r="E9094">
        <v>24</v>
      </c>
      <c r="F9094">
        <v>4.8</v>
      </c>
    </row>
    <row r="9095" s="76" customFormat="1" spans="1:6">
      <c r="A9095">
        <v>9340</v>
      </c>
      <c r="B9095">
        <v>432015260</v>
      </c>
      <c r="C9095">
        <v>2015</v>
      </c>
      <c r="D9095" t="s">
        <v>34</v>
      </c>
      <c r="E9095">
        <v>18</v>
      </c>
      <c r="F9095">
        <v>3.6</v>
      </c>
    </row>
    <row r="9096" s="76" customFormat="1" spans="1:6">
      <c r="A9096">
        <v>9333</v>
      </c>
      <c r="B9096">
        <v>432015260</v>
      </c>
      <c r="C9096">
        <v>2015</v>
      </c>
      <c r="D9096" t="s">
        <v>34</v>
      </c>
      <c r="E9096">
        <v>4</v>
      </c>
      <c r="F9096">
        <v>0.8</v>
      </c>
    </row>
    <row r="9097" s="76" customFormat="1" spans="1:6">
      <c r="A9097">
        <v>9332</v>
      </c>
      <c r="B9097">
        <v>432015260</v>
      </c>
      <c r="C9097">
        <v>2015</v>
      </c>
      <c r="D9097" t="s">
        <v>34</v>
      </c>
      <c r="E9097">
        <v>9</v>
      </c>
      <c r="F9097">
        <v>1.8</v>
      </c>
    </row>
    <row r="9098" s="76" customFormat="1" spans="1:6">
      <c r="A9098">
        <v>9342</v>
      </c>
      <c r="B9098">
        <v>432015260</v>
      </c>
      <c r="C9098">
        <v>2015</v>
      </c>
      <c r="D9098" t="s">
        <v>34</v>
      </c>
      <c r="E9098">
        <v>18</v>
      </c>
      <c r="F9098">
        <v>3.59</v>
      </c>
    </row>
    <row r="9099" s="76" customFormat="1" spans="1:6">
      <c r="A9099">
        <v>9331</v>
      </c>
      <c r="B9099">
        <v>432015260</v>
      </c>
      <c r="C9099">
        <v>2015</v>
      </c>
      <c r="D9099" t="s">
        <v>34</v>
      </c>
      <c r="E9099">
        <v>3</v>
      </c>
      <c r="F9099">
        <v>0.2</v>
      </c>
    </row>
    <row r="9100" s="76" customFormat="1" spans="1:6">
      <c r="A9100">
        <v>9343</v>
      </c>
      <c r="B9100">
        <v>432015260</v>
      </c>
      <c r="C9100">
        <v>2015</v>
      </c>
      <c r="D9100" t="s">
        <v>34</v>
      </c>
      <c r="E9100">
        <v>3</v>
      </c>
      <c r="F9100">
        <v>0.2</v>
      </c>
    </row>
    <row r="9101" s="76" customFormat="1" spans="1:6">
      <c r="A9101">
        <v>9353</v>
      </c>
      <c r="B9101">
        <v>432015260</v>
      </c>
      <c r="C9101">
        <v>2015</v>
      </c>
      <c r="D9101" t="s">
        <v>34</v>
      </c>
      <c r="E9101" t="s">
        <v>32</v>
      </c>
      <c r="F9101">
        <v>4.99</v>
      </c>
    </row>
    <row r="9102" s="76" customFormat="1" spans="1:6">
      <c r="A9102">
        <v>9344</v>
      </c>
      <c r="B9102">
        <v>432015260</v>
      </c>
      <c r="C9102">
        <v>2015</v>
      </c>
      <c r="D9102" t="s">
        <v>34</v>
      </c>
      <c r="E9102">
        <v>11</v>
      </c>
      <c r="F9102">
        <v>2.2</v>
      </c>
    </row>
    <row r="9103" s="76" customFormat="1" spans="1:6">
      <c r="A9103">
        <v>9330</v>
      </c>
      <c r="B9103">
        <v>432015260</v>
      </c>
      <c r="C9103">
        <v>2015</v>
      </c>
      <c r="D9103" t="s">
        <v>34</v>
      </c>
      <c r="E9103" t="s">
        <v>32</v>
      </c>
      <c r="F9103">
        <v>4.95</v>
      </c>
    </row>
    <row r="9104" s="76" customFormat="1" spans="1:6">
      <c r="A9104">
        <v>9346</v>
      </c>
      <c r="B9104">
        <v>432015260</v>
      </c>
      <c r="C9104">
        <v>2015</v>
      </c>
      <c r="D9104" t="s">
        <v>34</v>
      </c>
      <c r="E9104">
        <v>1</v>
      </c>
      <c r="F9104">
        <v>7</v>
      </c>
    </row>
    <row r="9105" s="76" customFormat="1" spans="1:6">
      <c r="A9105">
        <v>9359</v>
      </c>
      <c r="B9105">
        <v>432015270</v>
      </c>
      <c r="C9105">
        <v>2015</v>
      </c>
      <c r="D9105" t="s">
        <v>31</v>
      </c>
      <c r="E9105" t="s">
        <v>32</v>
      </c>
      <c r="F9105">
        <v>2.24</v>
      </c>
    </row>
    <row r="9106" s="76" customFormat="1" spans="1:6">
      <c r="A9106">
        <v>9360</v>
      </c>
      <c r="B9106">
        <v>432016110</v>
      </c>
      <c r="C9106" s="76">
        <v>2016</v>
      </c>
      <c r="D9106" s="76" t="s">
        <v>40</v>
      </c>
      <c r="E9106" s="76" t="s">
        <v>32</v>
      </c>
      <c r="F9106" s="76">
        <v>0.95</v>
      </c>
    </row>
    <row r="9107" s="76" customFormat="1" spans="1:6">
      <c r="A9107">
        <v>9367</v>
      </c>
      <c r="B9107">
        <v>432016110</v>
      </c>
      <c r="C9107" s="76">
        <v>2016</v>
      </c>
      <c r="D9107" s="76" t="s">
        <v>40</v>
      </c>
      <c r="E9107" s="76" t="s">
        <v>32</v>
      </c>
      <c r="F9107" s="76">
        <v>0.35</v>
      </c>
    </row>
    <row r="9108" s="76" customFormat="1" spans="1:6">
      <c r="A9108">
        <v>9364</v>
      </c>
      <c r="B9108">
        <v>432016110</v>
      </c>
      <c r="C9108" s="76">
        <v>2016</v>
      </c>
      <c r="D9108" s="76" t="s">
        <v>40</v>
      </c>
      <c r="E9108" s="76" t="s">
        <v>32</v>
      </c>
      <c r="F9108" s="76">
        <v>0.15</v>
      </c>
    </row>
    <row r="9109" s="76" customFormat="1" spans="1:6">
      <c r="A9109">
        <v>9365</v>
      </c>
      <c r="B9109">
        <v>432016110</v>
      </c>
      <c r="C9109" s="76">
        <v>2016</v>
      </c>
      <c r="D9109" s="76" t="s">
        <v>40</v>
      </c>
      <c r="E9109" s="76" t="s">
        <v>32</v>
      </c>
      <c r="F9109" s="76">
        <v>9</v>
      </c>
    </row>
    <row r="9110" s="76" customFormat="1" spans="1:6">
      <c r="A9110">
        <v>9375</v>
      </c>
      <c r="B9110">
        <v>432016110</v>
      </c>
      <c r="C9110" s="76">
        <v>2016</v>
      </c>
      <c r="D9110" s="76" t="s">
        <v>40</v>
      </c>
      <c r="E9110" s="76" t="s">
        <v>32</v>
      </c>
      <c r="F9110" s="76">
        <v>0.08</v>
      </c>
    </row>
    <row r="9111" s="76" customFormat="1" spans="1:6">
      <c r="A9111">
        <v>9368</v>
      </c>
      <c r="B9111">
        <v>432016110</v>
      </c>
      <c r="C9111" s="76">
        <v>2016</v>
      </c>
      <c r="D9111" s="76" t="s">
        <v>40</v>
      </c>
      <c r="E9111" s="76" t="s">
        <v>32</v>
      </c>
      <c r="F9111" s="76">
        <v>0.24</v>
      </c>
    </row>
    <row r="9112" s="76" customFormat="1" spans="1:6">
      <c r="A9112">
        <v>9366</v>
      </c>
      <c r="B9112">
        <v>432016110</v>
      </c>
      <c r="C9112" s="76">
        <v>2016</v>
      </c>
      <c r="D9112" s="76" t="s">
        <v>40</v>
      </c>
      <c r="E9112" s="76" t="s">
        <v>32</v>
      </c>
      <c r="F9112" s="76">
        <v>0.64</v>
      </c>
    </row>
    <row r="9113" s="76" customFormat="1" spans="1:6">
      <c r="A9113">
        <v>9374</v>
      </c>
      <c r="B9113">
        <v>432016110</v>
      </c>
      <c r="C9113" s="76">
        <v>2016</v>
      </c>
      <c r="D9113" s="76" t="s">
        <v>40</v>
      </c>
      <c r="E9113" s="76" t="s">
        <v>32</v>
      </c>
      <c r="F9113" s="76">
        <v>0.44</v>
      </c>
    </row>
    <row r="9114" s="76" customFormat="1" spans="1:6">
      <c r="A9114">
        <v>9371</v>
      </c>
      <c r="B9114">
        <v>432016110</v>
      </c>
      <c r="C9114" s="76">
        <v>2016</v>
      </c>
      <c r="D9114" s="76" t="s">
        <v>40</v>
      </c>
      <c r="E9114" s="76" t="s">
        <v>32</v>
      </c>
      <c r="F9114" s="76">
        <v>0.5</v>
      </c>
    </row>
    <row r="9115" s="76" customFormat="1" spans="1:6">
      <c r="A9115">
        <v>9378</v>
      </c>
      <c r="B9115">
        <v>432016110</v>
      </c>
      <c r="C9115" s="76">
        <v>2016</v>
      </c>
      <c r="D9115" s="76" t="s">
        <v>40</v>
      </c>
      <c r="E9115" s="76" t="s">
        <v>32</v>
      </c>
      <c r="F9115" s="76">
        <v>0.16</v>
      </c>
    </row>
    <row r="9116" s="76" customFormat="1" spans="1:6">
      <c r="A9116">
        <v>9361</v>
      </c>
      <c r="B9116">
        <v>432016110</v>
      </c>
      <c r="C9116" s="76">
        <v>2016</v>
      </c>
      <c r="D9116" s="76" t="s">
        <v>40</v>
      </c>
      <c r="E9116" s="76" t="s">
        <v>32</v>
      </c>
      <c r="F9116" s="76">
        <v>0.4</v>
      </c>
    </row>
    <row r="9117" s="76" customFormat="1" spans="1:6">
      <c r="A9117">
        <v>9369</v>
      </c>
      <c r="B9117">
        <v>432016110</v>
      </c>
      <c r="C9117" s="76">
        <v>2016</v>
      </c>
      <c r="D9117" s="76" t="s">
        <v>40</v>
      </c>
      <c r="E9117" s="76" t="s">
        <v>32</v>
      </c>
      <c r="F9117" s="76">
        <v>0.72</v>
      </c>
    </row>
    <row r="9118" s="76" customFormat="1" spans="1:6">
      <c r="A9118">
        <v>9380</v>
      </c>
      <c r="B9118">
        <v>432016110</v>
      </c>
      <c r="C9118" s="76">
        <v>2016</v>
      </c>
      <c r="D9118" s="76" t="s">
        <v>40</v>
      </c>
      <c r="E9118" s="76" t="s">
        <v>32</v>
      </c>
      <c r="F9118" s="76">
        <v>0.16</v>
      </c>
    </row>
    <row r="9119" s="76" customFormat="1" spans="1:6">
      <c r="A9119">
        <v>9379</v>
      </c>
      <c r="B9119">
        <v>432016110</v>
      </c>
      <c r="C9119" s="76">
        <v>2016</v>
      </c>
      <c r="D9119" s="76" t="s">
        <v>40</v>
      </c>
      <c r="E9119" s="76" t="s">
        <v>32</v>
      </c>
      <c r="F9119" s="76">
        <v>0.1</v>
      </c>
    </row>
    <row r="9120" s="76" customFormat="1" spans="1:6">
      <c r="A9120">
        <v>9376</v>
      </c>
      <c r="B9120">
        <v>432016110</v>
      </c>
      <c r="C9120" s="76">
        <v>2016</v>
      </c>
      <c r="D9120" s="76" t="s">
        <v>40</v>
      </c>
      <c r="E9120" s="76" t="s">
        <v>32</v>
      </c>
      <c r="F9120" s="76">
        <v>0.15</v>
      </c>
    </row>
    <row r="9121" s="76" customFormat="1" spans="1:6">
      <c r="A9121">
        <v>9373</v>
      </c>
      <c r="B9121">
        <v>432016110</v>
      </c>
      <c r="C9121" s="76">
        <v>2016</v>
      </c>
      <c r="D9121" s="76" t="s">
        <v>40</v>
      </c>
      <c r="E9121" s="76" t="s">
        <v>32</v>
      </c>
      <c r="F9121" s="76">
        <v>0.3</v>
      </c>
    </row>
    <row r="9122" s="76" customFormat="1" spans="1:6">
      <c r="A9122">
        <v>9372</v>
      </c>
      <c r="B9122">
        <v>432016110</v>
      </c>
      <c r="C9122" s="76">
        <v>2016</v>
      </c>
      <c r="D9122" s="76" t="s">
        <v>40</v>
      </c>
      <c r="E9122" s="76" t="s">
        <v>32</v>
      </c>
      <c r="F9122" s="76">
        <v>0.08</v>
      </c>
    </row>
    <row r="9123" s="76" customFormat="1" spans="1:6">
      <c r="A9123">
        <v>9377</v>
      </c>
      <c r="B9123">
        <v>432016110</v>
      </c>
      <c r="C9123" s="76">
        <v>2016</v>
      </c>
      <c r="D9123" s="76" t="s">
        <v>40</v>
      </c>
      <c r="E9123" s="76" t="s">
        <v>32</v>
      </c>
      <c r="F9123" s="76">
        <v>0.28</v>
      </c>
    </row>
    <row r="9124" s="76" customFormat="1" spans="1:6">
      <c r="A9124">
        <v>9363</v>
      </c>
      <c r="B9124">
        <v>432016110</v>
      </c>
      <c r="C9124" s="76">
        <v>2016</v>
      </c>
      <c r="D9124" s="76" t="s">
        <v>40</v>
      </c>
      <c r="E9124" s="76" t="s">
        <v>32</v>
      </c>
      <c r="F9124" s="76">
        <v>0.48</v>
      </c>
    </row>
    <row r="9125" s="76" customFormat="1" spans="1:6">
      <c r="A9125">
        <v>9362</v>
      </c>
      <c r="B9125">
        <v>432016110</v>
      </c>
      <c r="C9125" s="76">
        <v>2016</v>
      </c>
      <c r="D9125" s="76" t="s">
        <v>40</v>
      </c>
      <c r="E9125" s="76" t="s">
        <v>32</v>
      </c>
      <c r="F9125" s="76">
        <v>1.89</v>
      </c>
    </row>
    <row r="9126" s="76" customFormat="1" spans="1:6">
      <c r="A9126">
        <v>9370</v>
      </c>
      <c r="B9126">
        <v>432016110</v>
      </c>
      <c r="C9126" s="76">
        <v>2016</v>
      </c>
      <c r="D9126" s="76" t="s">
        <v>40</v>
      </c>
      <c r="E9126" s="76" t="s">
        <v>32</v>
      </c>
      <c r="F9126" s="76">
        <v>0.1</v>
      </c>
    </row>
    <row r="9127" s="76" customFormat="1" spans="1:6">
      <c r="A9127">
        <v>9382</v>
      </c>
      <c r="B9127">
        <v>432016211</v>
      </c>
      <c r="C9127" s="76">
        <v>2016</v>
      </c>
      <c r="D9127" s="76" t="s">
        <v>37</v>
      </c>
      <c r="E9127" s="76" t="s">
        <v>32</v>
      </c>
      <c r="F9127" s="76">
        <v>1.5</v>
      </c>
    </row>
    <row r="9128" s="76" customFormat="1" spans="1:6">
      <c r="A9128">
        <v>9384</v>
      </c>
      <c r="B9128">
        <v>432016241</v>
      </c>
      <c r="C9128" s="76">
        <v>2016</v>
      </c>
      <c r="D9128" s="76" t="s">
        <v>33</v>
      </c>
      <c r="E9128" s="76" t="s">
        <v>32</v>
      </c>
      <c r="F9128" s="76">
        <v>0.9</v>
      </c>
    </row>
    <row r="9129" s="76" customFormat="1" spans="1:6">
      <c r="A9129">
        <v>9383</v>
      </c>
      <c r="B9129">
        <v>432016241</v>
      </c>
      <c r="C9129" s="76">
        <v>2016</v>
      </c>
      <c r="D9129" s="76" t="s">
        <v>33</v>
      </c>
      <c r="E9129" s="76" t="s">
        <v>32</v>
      </c>
      <c r="F9129" s="76">
        <v>0.99</v>
      </c>
    </row>
    <row r="9130" s="76" customFormat="1" spans="1:6">
      <c r="A9130">
        <v>9386</v>
      </c>
      <c r="B9130">
        <v>432016241</v>
      </c>
      <c r="C9130" s="76">
        <v>2016</v>
      </c>
      <c r="D9130" s="76" t="s">
        <v>33</v>
      </c>
      <c r="E9130" s="76" t="s">
        <v>32</v>
      </c>
      <c r="F9130" s="76">
        <v>0.45</v>
      </c>
    </row>
    <row r="9131" s="76" customFormat="1" spans="1:6">
      <c r="A9131">
        <v>9385</v>
      </c>
      <c r="B9131">
        <v>432016241</v>
      </c>
      <c r="C9131" s="76">
        <v>2016</v>
      </c>
      <c r="D9131" s="76" t="s">
        <v>33</v>
      </c>
      <c r="E9131" s="76" t="s">
        <v>32</v>
      </c>
      <c r="F9131" s="76">
        <v>1.5</v>
      </c>
    </row>
    <row r="9132" s="76" customFormat="1" spans="1:6">
      <c r="A9132">
        <v>9388</v>
      </c>
      <c r="B9132">
        <v>432016243</v>
      </c>
      <c r="C9132" s="76">
        <v>2016</v>
      </c>
      <c r="D9132" s="76" t="s">
        <v>38</v>
      </c>
      <c r="E9132" s="76" t="s">
        <v>32</v>
      </c>
      <c r="F9132" s="76">
        <v>1.5</v>
      </c>
    </row>
    <row r="9133" s="76" customFormat="1" spans="1:6">
      <c r="A9133">
        <v>9395</v>
      </c>
      <c r="B9133">
        <v>432016260</v>
      </c>
      <c r="C9133" s="76">
        <v>2016</v>
      </c>
      <c r="D9133" s="76" t="s">
        <v>34</v>
      </c>
      <c r="E9133" s="76" t="s">
        <v>32</v>
      </c>
      <c r="F9133" s="76">
        <v>1.55</v>
      </c>
    </row>
    <row r="9134" s="76" customFormat="1" spans="1:6">
      <c r="A9134">
        <v>9392</v>
      </c>
      <c r="B9134">
        <v>432016260</v>
      </c>
      <c r="C9134" s="76">
        <v>2016</v>
      </c>
      <c r="D9134" s="76" t="s">
        <v>34</v>
      </c>
      <c r="E9134" s="76" t="s">
        <v>32</v>
      </c>
      <c r="F9134" s="76">
        <v>1</v>
      </c>
    </row>
    <row r="9135" s="76" customFormat="1" spans="1:6">
      <c r="A9135">
        <v>9394</v>
      </c>
      <c r="B9135">
        <v>432016260</v>
      </c>
      <c r="C9135" s="76">
        <v>2016</v>
      </c>
      <c r="D9135" s="76" t="s">
        <v>34</v>
      </c>
      <c r="E9135" s="76" t="s">
        <v>32</v>
      </c>
      <c r="F9135" s="76">
        <v>1.2</v>
      </c>
    </row>
    <row r="9136" s="76" customFormat="1" spans="1:6">
      <c r="A9136">
        <v>9401</v>
      </c>
      <c r="B9136">
        <v>432016260</v>
      </c>
      <c r="C9136" s="76">
        <v>2016</v>
      </c>
      <c r="D9136" s="76" t="s">
        <v>34</v>
      </c>
      <c r="E9136" s="76" t="s">
        <v>32</v>
      </c>
      <c r="F9136" s="76">
        <v>0.8</v>
      </c>
    </row>
    <row r="9137" s="76" customFormat="1" spans="1:6">
      <c r="A9137">
        <v>9391</v>
      </c>
      <c r="B9137">
        <v>432016260</v>
      </c>
      <c r="C9137" s="76">
        <v>2016</v>
      </c>
      <c r="D9137" s="76" t="s">
        <v>34</v>
      </c>
      <c r="E9137" s="76" t="s">
        <v>32</v>
      </c>
      <c r="F9137" s="76">
        <v>2.8</v>
      </c>
    </row>
    <row r="9138" s="76" customFormat="1" spans="1:6">
      <c r="A9138">
        <v>9397</v>
      </c>
      <c r="B9138">
        <v>432016260</v>
      </c>
      <c r="C9138" s="76">
        <v>2016</v>
      </c>
      <c r="D9138" s="76" t="s">
        <v>34</v>
      </c>
      <c r="E9138" s="76" t="s">
        <v>32</v>
      </c>
      <c r="F9138" s="76">
        <v>2</v>
      </c>
    </row>
    <row r="9139" s="76" customFormat="1" spans="1:6">
      <c r="A9139">
        <v>9410</v>
      </c>
      <c r="B9139">
        <v>432016260</v>
      </c>
      <c r="C9139" s="76">
        <v>2016</v>
      </c>
      <c r="D9139" s="76" t="s">
        <v>34</v>
      </c>
      <c r="E9139" s="76" t="s">
        <v>32</v>
      </c>
      <c r="F9139" s="76">
        <v>0.2</v>
      </c>
    </row>
    <row r="9140" s="76" customFormat="1" spans="1:6">
      <c r="A9140">
        <v>9390</v>
      </c>
      <c r="B9140">
        <v>432016260</v>
      </c>
      <c r="C9140" s="76">
        <v>2016</v>
      </c>
      <c r="D9140" s="76" t="s">
        <v>34</v>
      </c>
      <c r="E9140" s="76" t="s">
        <v>32</v>
      </c>
      <c r="F9140" s="76">
        <v>4</v>
      </c>
    </row>
    <row r="9141" s="76" customFormat="1" spans="1:6">
      <c r="A9141">
        <v>9403</v>
      </c>
      <c r="B9141">
        <v>432016260</v>
      </c>
      <c r="C9141" s="76">
        <v>2016</v>
      </c>
      <c r="D9141" s="76" t="s">
        <v>34</v>
      </c>
      <c r="E9141" s="76" t="s">
        <v>32</v>
      </c>
      <c r="F9141" s="76">
        <v>4.8</v>
      </c>
    </row>
    <row r="9142" s="76" customFormat="1" spans="1:6">
      <c r="A9142">
        <v>9402</v>
      </c>
      <c r="B9142">
        <v>432016260</v>
      </c>
      <c r="C9142" s="76">
        <v>2016</v>
      </c>
      <c r="D9142" s="76" t="s">
        <v>34</v>
      </c>
      <c r="E9142" s="76" t="s">
        <v>32</v>
      </c>
      <c r="F9142" s="76">
        <v>4.4</v>
      </c>
    </row>
    <row r="9143" s="76" customFormat="1" spans="1:6">
      <c r="A9143">
        <v>9404</v>
      </c>
      <c r="B9143">
        <v>432016260</v>
      </c>
      <c r="C9143" s="76">
        <v>2016</v>
      </c>
      <c r="D9143" s="76" t="s">
        <v>34</v>
      </c>
      <c r="E9143" s="76" t="s">
        <v>32</v>
      </c>
      <c r="F9143" s="76">
        <v>10</v>
      </c>
    </row>
    <row r="9144" s="76" customFormat="1" spans="1:6">
      <c r="A9144">
        <v>9398</v>
      </c>
      <c r="B9144">
        <v>432016260</v>
      </c>
      <c r="C9144" s="76">
        <v>2016</v>
      </c>
      <c r="D9144" s="76" t="s">
        <v>34</v>
      </c>
      <c r="E9144" s="76">
        <v>25</v>
      </c>
      <c r="F9144" s="76">
        <v>5</v>
      </c>
    </row>
    <row r="9145" s="76" customFormat="1" spans="1:6">
      <c r="A9145">
        <v>9399</v>
      </c>
      <c r="B9145">
        <v>432016260</v>
      </c>
      <c r="C9145" s="76">
        <v>2016</v>
      </c>
      <c r="D9145" s="76" t="s">
        <v>34</v>
      </c>
      <c r="E9145" s="76">
        <v>25</v>
      </c>
      <c r="F9145" s="76">
        <v>4.99</v>
      </c>
    </row>
    <row r="9146" s="76" customFormat="1" spans="1:6">
      <c r="A9146">
        <v>9393</v>
      </c>
      <c r="B9146">
        <v>432016260</v>
      </c>
      <c r="C9146" s="76">
        <v>2016</v>
      </c>
      <c r="D9146" s="76" t="s">
        <v>34</v>
      </c>
      <c r="E9146" s="76">
        <v>25</v>
      </c>
      <c r="F9146" s="76">
        <v>5</v>
      </c>
    </row>
    <row r="9147" s="76" customFormat="1" spans="1:6">
      <c r="A9147">
        <v>9409</v>
      </c>
      <c r="B9147">
        <v>432016260</v>
      </c>
      <c r="C9147" s="76">
        <v>2016</v>
      </c>
      <c r="D9147" s="76" t="s">
        <v>34</v>
      </c>
      <c r="E9147" s="76">
        <v>20</v>
      </c>
      <c r="F9147" s="76">
        <v>5</v>
      </c>
    </row>
    <row r="9148" s="76" customFormat="1" spans="1:6">
      <c r="A9148">
        <v>9389</v>
      </c>
      <c r="B9148">
        <v>432016260</v>
      </c>
      <c r="C9148" s="76">
        <v>2016</v>
      </c>
      <c r="D9148" s="76" t="s">
        <v>34</v>
      </c>
      <c r="E9148" s="76" t="s">
        <v>32</v>
      </c>
      <c r="F9148" s="76">
        <v>5</v>
      </c>
    </row>
    <row r="9149" s="76" customFormat="1" spans="1:6">
      <c r="A9149">
        <v>9396</v>
      </c>
      <c r="B9149">
        <v>432016260</v>
      </c>
      <c r="C9149" s="76">
        <v>2016</v>
      </c>
      <c r="D9149" s="76" t="s">
        <v>34</v>
      </c>
      <c r="E9149" s="76" t="s">
        <v>32</v>
      </c>
      <c r="F9149" s="76">
        <v>4.8</v>
      </c>
    </row>
    <row r="9150" s="76" customFormat="1" spans="1:6">
      <c r="A9150">
        <v>9407</v>
      </c>
      <c r="B9150">
        <v>432016260</v>
      </c>
      <c r="C9150" s="76">
        <v>2016</v>
      </c>
      <c r="D9150" s="76" t="s">
        <v>34</v>
      </c>
      <c r="E9150" s="76" t="s">
        <v>32</v>
      </c>
      <c r="F9150" s="76">
        <v>4.99</v>
      </c>
    </row>
    <row r="9151" s="76" customFormat="1" spans="1:6">
      <c r="A9151">
        <v>9405</v>
      </c>
      <c r="B9151">
        <v>432016260</v>
      </c>
      <c r="C9151" s="76">
        <v>2016</v>
      </c>
      <c r="D9151" s="76" t="s">
        <v>34</v>
      </c>
      <c r="E9151" s="76" t="s">
        <v>32</v>
      </c>
      <c r="F9151" s="76">
        <v>4.8</v>
      </c>
    </row>
    <row r="9152" s="76" customFormat="1" spans="1:6">
      <c r="A9152">
        <v>9408</v>
      </c>
      <c r="B9152">
        <v>432016260</v>
      </c>
      <c r="C9152" s="76">
        <v>2016</v>
      </c>
      <c r="D9152" s="76" t="s">
        <v>34</v>
      </c>
      <c r="E9152" s="76" t="s">
        <v>32</v>
      </c>
      <c r="F9152" s="76">
        <v>5</v>
      </c>
    </row>
    <row r="9153" s="76" customFormat="1" spans="1:6">
      <c r="A9153">
        <v>9400</v>
      </c>
      <c r="B9153">
        <v>432016260</v>
      </c>
      <c r="C9153" s="76">
        <v>2016</v>
      </c>
      <c r="D9153" s="76" t="s">
        <v>34</v>
      </c>
      <c r="E9153" s="76" t="s">
        <v>32</v>
      </c>
      <c r="F9153" s="76">
        <v>3.8</v>
      </c>
    </row>
    <row r="9154" s="76" customFormat="1" spans="1:6">
      <c r="A9154">
        <v>9406</v>
      </c>
      <c r="B9154">
        <v>432016260</v>
      </c>
      <c r="C9154" s="76">
        <v>2016</v>
      </c>
      <c r="D9154" s="76" t="s">
        <v>34</v>
      </c>
      <c r="E9154" s="76">
        <v>25</v>
      </c>
      <c r="F9154" s="76">
        <v>4.95</v>
      </c>
    </row>
    <row r="9155" s="76" customFormat="1" spans="1:6">
      <c r="A9155">
        <v>9411</v>
      </c>
      <c r="B9155">
        <v>432016270</v>
      </c>
      <c r="C9155" s="76">
        <v>2016</v>
      </c>
      <c r="D9155" s="76" t="s">
        <v>31</v>
      </c>
      <c r="E9155" s="76" t="s">
        <v>32</v>
      </c>
      <c r="F9155" s="76">
        <v>2.11</v>
      </c>
    </row>
    <row r="9156" s="76" customFormat="1" spans="1:6">
      <c r="A9156">
        <v>9415</v>
      </c>
      <c r="B9156">
        <v>432016270</v>
      </c>
      <c r="C9156" s="76">
        <v>2016</v>
      </c>
      <c r="D9156" s="76" t="s">
        <v>31</v>
      </c>
      <c r="E9156" s="76" t="s">
        <v>32</v>
      </c>
      <c r="F9156" s="76">
        <v>0.01</v>
      </c>
    </row>
    <row r="9157" s="76" customFormat="1" spans="1:6">
      <c r="A9157">
        <v>9414</v>
      </c>
      <c r="B9157">
        <v>432016270</v>
      </c>
      <c r="C9157" s="76">
        <v>2016</v>
      </c>
      <c r="D9157" s="76" t="s">
        <v>31</v>
      </c>
      <c r="E9157" s="76" t="s">
        <v>32</v>
      </c>
      <c r="F9157" s="76">
        <v>1</v>
      </c>
    </row>
    <row r="9158" s="76" customFormat="1" spans="1:6">
      <c r="A9158">
        <v>9413</v>
      </c>
      <c r="B9158">
        <v>432016270</v>
      </c>
      <c r="C9158" s="76">
        <v>2016</v>
      </c>
      <c r="D9158" s="76" t="s">
        <v>31</v>
      </c>
      <c r="E9158" s="76" t="s">
        <v>32</v>
      </c>
      <c r="F9158" s="76">
        <v>0.61</v>
      </c>
    </row>
    <row r="9159" s="76" customFormat="1" spans="1:6">
      <c r="A9159">
        <v>9412</v>
      </c>
      <c r="B9159">
        <v>432016270</v>
      </c>
      <c r="C9159" s="76">
        <v>2016</v>
      </c>
      <c r="D9159" s="76" t="s">
        <v>31</v>
      </c>
      <c r="E9159" s="76" t="s">
        <v>32</v>
      </c>
      <c r="F9159" s="76">
        <v>2.13</v>
      </c>
    </row>
    <row r="9160" s="76" customFormat="1" spans="1:6">
      <c r="A9160">
        <v>9417</v>
      </c>
      <c r="B9160">
        <v>432017110</v>
      </c>
      <c r="C9160" s="76">
        <v>2017</v>
      </c>
      <c r="D9160" s="76" t="s">
        <v>40</v>
      </c>
      <c r="E9160" s="76">
        <v>1</v>
      </c>
      <c r="F9160" s="76">
        <v>0.8</v>
      </c>
    </row>
    <row r="9161" s="76" customFormat="1" spans="1:6">
      <c r="A9161">
        <v>9422</v>
      </c>
      <c r="B9161">
        <v>432017110</v>
      </c>
      <c r="C9161" s="76">
        <v>2017</v>
      </c>
      <c r="D9161" s="76" t="s">
        <v>40</v>
      </c>
      <c r="E9161" s="76" t="s">
        <v>32</v>
      </c>
      <c r="F9161" s="76">
        <v>2.06</v>
      </c>
    </row>
    <row r="9162" s="76" customFormat="1" spans="1:6">
      <c r="A9162">
        <v>9424</v>
      </c>
      <c r="B9162">
        <v>432017110</v>
      </c>
      <c r="C9162" s="76">
        <v>2017</v>
      </c>
      <c r="D9162" s="76" t="s">
        <v>40</v>
      </c>
      <c r="E9162" s="76" t="s">
        <v>32</v>
      </c>
      <c r="F9162" s="76">
        <v>1.5</v>
      </c>
    </row>
    <row r="9163" s="76" customFormat="1" spans="1:6">
      <c r="A9163">
        <v>9419</v>
      </c>
      <c r="B9163">
        <v>432017110</v>
      </c>
      <c r="C9163" s="76">
        <v>2017</v>
      </c>
      <c r="D9163" s="76" t="s">
        <v>40</v>
      </c>
      <c r="E9163" s="76" t="s">
        <v>32</v>
      </c>
      <c r="F9163" s="76">
        <v>3.54</v>
      </c>
    </row>
    <row r="9164" s="76" customFormat="1" spans="1:6">
      <c r="A9164">
        <v>9421</v>
      </c>
      <c r="B9164">
        <v>432017110</v>
      </c>
      <c r="C9164" s="76">
        <v>2017</v>
      </c>
      <c r="D9164" s="76" t="s">
        <v>40</v>
      </c>
      <c r="E9164" s="76" t="s">
        <v>32</v>
      </c>
      <c r="F9164" s="76">
        <v>1.2</v>
      </c>
    </row>
    <row r="9165" s="76" customFormat="1" spans="1:6">
      <c r="A9165">
        <v>9425</v>
      </c>
      <c r="B9165">
        <v>432017110</v>
      </c>
      <c r="C9165" s="76">
        <v>2017</v>
      </c>
      <c r="D9165" s="76" t="s">
        <v>40</v>
      </c>
      <c r="E9165" s="76" t="s">
        <v>32</v>
      </c>
      <c r="F9165" s="76">
        <v>0.2</v>
      </c>
    </row>
    <row r="9166" s="76" customFormat="1" spans="1:6">
      <c r="A9166">
        <v>9426</v>
      </c>
      <c r="B9166">
        <v>432017110</v>
      </c>
      <c r="C9166" s="76">
        <v>2017</v>
      </c>
      <c r="D9166" s="76" t="s">
        <v>40</v>
      </c>
      <c r="E9166" s="76" t="s">
        <v>32</v>
      </c>
      <c r="F9166" s="76">
        <v>0.05</v>
      </c>
    </row>
    <row r="9167" s="76" customFormat="1" spans="1:6">
      <c r="A9167">
        <v>9423</v>
      </c>
      <c r="B9167">
        <v>432017110</v>
      </c>
      <c r="C9167" s="76">
        <v>2017</v>
      </c>
      <c r="D9167" s="76" t="s">
        <v>40</v>
      </c>
      <c r="E9167" s="76" t="s">
        <v>32</v>
      </c>
      <c r="F9167" s="76">
        <v>5</v>
      </c>
    </row>
    <row r="9168" s="76" customFormat="1" spans="1:6">
      <c r="A9168">
        <v>9420</v>
      </c>
      <c r="B9168">
        <v>432017110</v>
      </c>
      <c r="C9168" s="76">
        <v>2017</v>
      </c>
      <c r="D9168" s="76" t="s">
        <v>40</v>
      </c>
      <c r="E9168" s="76" t="s">
        <v>32</v>
      </c>
      <c r="F9168" s="76">
        <v>0.6</v>
      </c>
    </row>
    <row r="9169" s="76" customFormat="1" spans="1:6">
      <c r="A9169">
        <v>9427</v>
      </c>
      <c r="B9169">
        <v>432017211</v>
      </c>
      <c r="C9169" s="76">
        <v>2017</v>
      </c>
      <c r="D9169" s="76" t="s">
        <v>37</v>
      </c>
      <c r="E9169" s="76" t="s">
        <v>32</v>
      </c>
      <c r="F9169" s="76">
        <v>0.75</v>
      </c>
    </row>
    <row r="9170" s="76" customFormat="1" spans="1:6">
      <c r="A9170">
        <v>9429</v>
      </c>
      <c r="B9170">
        <v>432017241</v>
      </c>
      <c r="C9170" s="76">
        <v>2017</v>
      </c>
      <c r="D9170" s="76" t="s">
        <v>33</v>
      </c>
      <c r="E9170" s="76" t="s">
        <v>32</v>
      </c>
      <c r="F9170" s="76">
        <v>1.5</v>
      </c>
    </row>
    <row r="9171" s="76" customFormat="1" spans="1:6">
      <c r="A9171">
        <v>9428</v>
      </c>
      <c r="B9171">
        <v>432017241</v>
      </c>
      <c r="C9171" s="76">
        <v>2017</v>
      </c>
      <c r="D9171" s="76" t="s">
        <v>33</v>
      </c>
      <c r="E9171" s="76" t="s">
        <v>32</v>
      </c>
      <c r="F9171" s="76">
        <v>0.5</v>
      </c>
    </row>
    <row r="9172" s="76" customFormat="1" spans="1:6">
      <c r="A9172">
        <v>9432</v>
      </c>
      <c r="B9172">
        <v>432017242</v>
      </c>
      <c r="C9172" s="76">
        <v>2017</v>
      </c>
      <c r="D9172" s="76" t="s">
        <v>35</v>
      </c>
      <c r="E9172" s="76" t="s">
        <v>32</v>
      </c>
      <c r="F9172" s="76">
        <v>3.6</v>
      </c>
    </row>
    <row r="9173" s="76" customFormat="1" spans="1:6">
      <c r="A9173">
        <v>9431</v>
      </c>
      <c r="B9173">
        <v>432017242</v>
      </c>
      <c r="C9173" s="76">
        <v>2017</v>
      </c>
      <c r="D9173" s="76" t="s">
        <v>35</v>
      </c>
      <c r="E9173" s="76" t="s">
        <v>32</v>
      </c>
      <c r="F9173" s="76">
        <v>0.7</v>
      </c>
    </row>
    <row r="9174" s="76" customFormat="1" spans="1:6">
      <c r="A9174">
        <v>9433</v>
      </c>
      <c r="B9174">
        <v>432017243</v>
      </c>
      <c r="C9174" s="76">
        <v>2017</v>
      </c>
      <c r="D9174" s="76" t="s">
        <v>38</v>
      </c>
      <c r="E9174" s="76" t="s">
        <v>32</v>
      </c>
      <c r="F9174" s="76">
        <v>3</v>
      </c>
    </row>
    <row r="9175" s="76" customFormat="1" spans="1:6">
      <c r="A9175">
        <v>9441</v>
      </c>
      <c r="B9175">
        <v>432017260</v>
      </c>
      <c r="C9175" s="76">
        <v>2017</v>
      </c>
      <c r="D9175" s="76" t="s">
        <v>34</v>
      </c>
      <c r="E9175" s="76" t="s">
        <v>32</v>
      </c>
      <c r="F9175" s="76">
        <v>5</v>
      </c>
    </row>
    <row r="9176" s="76" customFormat="1" spans="1:6">
      <c r="A9176">
        <v>9442</v>
      </c>
      <c r="B9176">
        <v>432017260</v>
      </c>
      <c r="C9176" s="76">
        <v>2017</v>
      </c>
      <c r="D9176" s="76" t="s">
        <v>34</v>
      </c>
      <c r="E9176" s="76" t="s">
        <v>32</v>
      </c>
      <c r="F9176" s="76">
        <v>5.06</v>
      </c>
    </row>
    <row r="9177" s="76" customFormat="1" spans="1:6">
      <c r="A9177">
        <v>9439</v>
      </c>
      <c r="B9177">
        <v>432017260</v>
      </c>
      <c r="C9177" s="76">
        <v>2017</v>
      </c>
      <c r="D9177" s="76" t="s">
        <v>34</v>
      </c>
      <c r="E9177" s="76" t="s">
        <v>32</v>
      </c>
      <c r="F9177" s="76">
        <v>1.25</v>
      </c>
    </row>
    <row r="9178" s="76" customFormat="1" spans="1:6">
      <c r="A9178">
        <v>9437</v>
      </c>
      <c r="B9178">
        <v>432017260</v>
      </c>
      <c r="C9178" s="76">
        <v>2017</v>
      </c>
      <c r="D9178" s="76" t="s">
        <v>34</v>
      </c>
      <c r="E9178" s="76" t="s">
        <v>32</v>
      </c>
      <c r="F9178" s="76">
        <v>0.99</v>
      </c>
    </row>
    <row r="9179" s="76" customFormat="1" spans="1:6">
      <c r="A9179">
        <v>9443</v>
      </c>
      <c r="B9179">
        <v>432017260</v>
      </c>
      <c r="C9179" s="76">
        <v>2017</v>
      </c>
      <c r="D9179" s="76" t="s">
        <v>34</v>
      </c>
      <c r="E9179" s="76" t="s">
        <v>32</v>
      </c>
      <c r="F9179" s="76">
        <v>9</v>
      </c>
    </row>
    <row r="9180" s="76" customFormat="1" spans="1:6">
      <c r="A9180">
        <v>9438</v>
      </c>
      <c r="B9180">
        <v>432017260</v>
      </c>
      <c r="C9180" s="76">
        <v>2017</v>
      </c>
      <c r="D9180" s="76" t="s">
        <v>34</v>
      </c>
      <c r="E9180" s="76" t="s">
        <v>32</v>
      </c>
      <c r="F9180" s="76">
        <v>0.55</v>
      </c>
    </row>
    <row r="9181" s="76" customFormat="1" spans="1:6">
      <c r="A9181">
        <v>9444</v>
      </c>
      <c r="B9181">
        <v>432017260</v>
      </c>
      <c r="C9181" s="76">
        <v>2017</v>
      </c>
      <c r="D9181" s="76" t="s">
        <v>34</v>
      </c>
      <c r="E9181" s="76" t="s">
        <v>32</v>
      </c>
      <c r="F9181" s="76">
        <v>5.8</v>
      </c>
    </row>
    <row r="9182" s="76" customFormat="1" spans="1:6">
      <c r="A9182">
        <v>9440</v>
      </c>
      <c r="B9182">
        <v>432017260</v>
      </c>
      <c r="C9182" s="76">
        <v>2017</v>
      </c>
      <c r="D9182" s="76" t="s">
        <v>34</v>
      </c>
      <c r="E9182" s="76" t="s">
        <v>32</v>
      </c>
      <c r="F9182" s="76">
        <v>2.19</v>
      </c>
    </row>
    <row r="9183" s="76" customFormat="1" spans="1:6">
      <c r="A9183">
        <v>9435</v>
      </c>
      <c r="B9183">
        <v>432017260</v>
      </c>
      <c r="C9183" s="76">
        <v>2017</v>
      </c>
      <c r="D9183" s="76" t="s">
        <v>34</v>
      </c>
      <c r="E9183" s="76">
        <v>1</v>
      </c>
      <c r="F9183" s="76">
        <v>5</v>
      </c>
    </row>
    <row r="9184" s="76" customFormat="1" spans="1:6">
      <c r="A9184">
        <v>9445</v>
      </c>
      <c r="B9184">
        <v>432017260</v>
      </c>
      <c r="C9184" s="76">
        <v>2017</v>
      </c>
      <c r="D9184" s="76" t="s">
        <v>34</v>
      </c>
      <c r="E9184" s="76" t="s">
        <v>32</v>
      </c>
      <c r="F9184" s="76">
        <v>4.99</v>
      </c>
    </row>
    <row r="9185" s="76" customFormat="1" spans="1:6">
      <c r="A9185">
        <v>9434</v>
      </c>
      <c r="B9185">
        <v>432017260</v>
      </c>
      <c r="C9185" s="76">
        <v>2017</v>
      </c>
      <c r="D9185" s="76" t="s">
        <v>34</v>
      </c>
      <c r="E9185" s="76" t="s">
        <v>32</v>
      </c>
      <c r="F9185" s="76">
        <v>4.99</v>
      </c>
    </row>
    <row r="9186" s="76" customFormat="1" spans="1:6">
      <c r="A9186">
        <v>9436</v>
      </c>
      <c r="B9186">
        <v>432017260</v>
      </c>
      <c r="C9186" s="76">
        <v>2017</v>
      </c>
      <c r="D9186" s="76" t="s">
        <v>34</v>
      </c>
      <c r="E9186" s="76">
        <v>25</v>
      </c>
      <c r="F9186" s="76">
        <v>5.02</v>
      </c>
    </row>
    <row r="9187" s="76" customFormat="1" spans="1:6">
      <c r="A9187">
        <v>9447</v>
      </c>
      <c r="B9187">
        <v>432017270</v>
      </c>
      <c r="C9187" s="76">
        <v>2017</v>
      </c>
      <c r="D9187" s="76" t="s">
        <v>31</v>
      </c>
      <c r="E9187" s="76" t="s">
        <v>32</v>
      </c>
      <c r="F9187" s="76">
        <v>0.04</v>
      </c>
    </row>
    <row r="9188" s="76" customFormat="1" spans="1:6">
      <c r="A9188">
        <v>9455</v>
      </c>
      <c r="B9188">
        <v>432017270</v>
      </c>
      <c r="C9188" s="76">
        <v>2017</v>
      </c>
      <c r="D9188" s="76" t="s">
        <v>31</v>
      </c>
      <c r="E9188" s="76" t="s">
        <v>32</v>
      </c>
      <c r="F9188" s="76">
        <v>0.01</v>
      </c>
    </row>
    <row r="9189" s="76" customFormat="1" spans="1:6">
      <c r="A9189">
        <v>9469</v>
      </c>
      <c r="B9189">
        <v>432017270</v>
      </c>
      <c r="C9189" s="76">
        <v>2017</v>
      </c>
      <c r="D9189" s="76" t="s">
        <v>31</v>
      </c>
      <c r="E9189" s="76" t="s">
        <v>32</v>
      </c>
      <c r="F9189" s="76">
        <v>0.6</v>
      </c>
    </row>
    <row r="9190" s="76" customFormat="1" spans="1:6">
      <c r="A9190">
        <v>9460</v>
      </c>
      <c r="B9190">
        <v>432017270</v>
      </c>
      <c r="C9190" s="76">
        <v>2017</v>
      </c>
      <c r="D9190" s="76" t="s">
        <v>31</v>
      </c>
      <c r="E9190" s="76" t="s">
        <v>32</v>
      </c>
      <c r="F9190" s="76">
        <v>4</v>
      </c>
    </row>
    <row r="9191" s="76" customFormat="1" spans="1:6">
      <c r="A9191">
        <v>9466</v>
      </c>
      <c r="B9191">
        <v>432017270</v>
      </c>
      <c r="C9191" s="76">
        <v>2017</v>
      </c>
      <c r="D9191" s="76" t="s">
        <v>31</v>
      </c>
      <c r="E9191" s="76" t="s">
        <v>32</v>
      </c>
      <c r="F9191" s="76">
        <v>8</v>
      </c>
    </row>
    <row r="9192" s="76" customFormat="1" spans="1:6">
      <c r="A9192">
        <v>9458</v>
      </c>
      <c r="B9192">
        <v>432017270</v>
      </c>
      <c r="C9192" s="76">
        <v>2017</v>
      </c>
      <c r="D9192" s="76" t="s">
        <v>31</v>
      </c>
      <c r="E9192" s="76" t="s">
        <v>32</v>
      </c>
      <c r="F9192" s="76">
        <v>10</v>
      </c>
    </row>
    <row r="9193" s="76" customFormat="1" spans="1:6">
      <c r="A9193">
        <v>9474</v>
      </c>
      <c r="B9193">
        <v>432017270</v>
      </c>
      <c r="C9193" s="76">
        <v>2017</v>
      </c>
      <c r="D9193" s="76" t="s">
        <v>31</v>
      </c>
      <c r="E9193" s="76" t="s">
        <v>32</v>
      </c>
      <c r="F9193" s="76">
        <v>0.12</v>
      </c>
    </row>
    <row r="9194" s="76" customFormat="1" spans="1:6">
      <c r="A9194">
        <v>9459</v>
      </c>
      <c r="B9194">
        <v>432017270</v>
      </c>
      <c r="C9194" s="76">
        <v>2017</v>
      </c>
      <c r="D9194" s="76" t="s">
        <v>31</v>
      </c>
      <c r="E9194" s="76" t="s">
        <v>32</v>
      </c>
      <c r="F9194" s="76">
        <v>10</v>
      </c>
    </row>
    <row r="9195" s="76" customFormat="1" spans="1:6">
      <c r="A9195">
        <v>9465</v>
      </c>
      <c r="B9195">
        <v>432017270</v>
      </c>
      <c r="C9195" s="76">
        <v>2017</v>
      </c>
      <c r="D9195" s="76" t="s">
        <v>31</v>
      </c>
      <c r="E9195" s="76" t="s">
        <v>32</v>
      </c>
      <c r="F9195" s="76">
        <v>3.18</v>
      </c>
    </row>
    <row r="9196" s="76" customFormat="1" spans="1:6">
      <c r="A9196">
        <v>9453</v>
      </c>
      <c r="B9196">
        <v>432017270</v>
      </c>
      <c r="C9196" s="76">
        <v>2017</v>
      </c>
      <c r="D9196" s="76" t="s">
        <v>31</v>
      </c>
      <c r="E9196" s="76">
        <v>3</v>
      </c>
      <c r="F9196" s="76">
        <v>5.02</v>
      </c>
    </row>
    <row r="9197" s="76" customFormat="1" spans="1:6">
      <c r="A9197">
        <v>9446</v>
      </c>
      <c r="B9197">
        <v>432017270</v>
      </c>
      <c r="C9197" s="76">
        <v>2017</v>
      </c>
      <c r="D9197" s="76" t="s">
        <v>31</v>
      </c>
      <c r="E9197" s="76" t="s">
        <v>32</v>
      </c>
      <c r="F9197" s="76">
        <v>0.6</v>
      </c>
    </row>
    <row r="9198" s="76" customFormat="1" spans="1:6">
      <c r="A9198">
        <v>9457</v>
      </c>
      <c r="B9198">
        <v>432017270</v>
      </c>
      <c r="C9198" s="76">
        <v>2017</v>
      </c>
      <c r="D9198" s="76" t="s">
        <v>31</v>
      </c>
      <c r="E9198" s="76" t="s">
        <v>32</v>
      </c>
      <c r="F9198" s="76">
        <v>8</v>
      </c>
    </row>
    <row r="9199" s="76" customFormat="1" spans="1:6">
      <c r="A9199">
        <v>9468</v>
      </c>
      <c r="B9199">
        <v>432017270</v>
      </c>
      <c r="C9199" s="76">
        <v>2017</v>
      </c>
      <c r="D9199" s="76" t="s">
        <v>31</v>
      </c>
      <c r="E9199" s="76" t="s">
        <v>32</v>
      </c>
      <c r="F9199" s="76">
        <v>2</v>
      </c>
    </row>
    <row r="9200" s="76" customFormat="1" spans="1:6">
      <c r="A9200">
        <v>9471</v>
      </c>
      <c r="B9200">
        <v>432017270</v>
      </c>
      <c r="C9200" s="76">
        <v>2017</v>
      </c>
      <c r="D9200" s="76" t="s">
        <v>31</v>
      </c>
      <c r="E9200" s="76" t="s">
        <v>32</v>
      </c>
      <c r="F9200" s="76">
        <v>3.5</v>
      </c>
    </row>
    <row r="9201" s="76" customFormat="1" spans="1:6">
      <c r="A9201">
        <v>9450</v>
      </c>
      <c r="B9201">
        <v>432017270</v>
      </c>
      <c r="C9201" s="76">
        <v>2017</v>
      </c>
      <c r="D9201" s="76" t="s">
        <v>31</v>
      </c>
      <c r="E9201" s="76" t="s">
        <v>32</v>
      </c>
      <c r="F9201" s="76">
        <v>2</v>
      </c>
    </row>
    <row r="9202" s="76" customFormat="1" spans="1:6">
      <c r="A9202">
        <v>9452</v>
      </c>
      <c r="B9202">
        <v>432017270</v>
      </c>
      <c r="C9202" s="76">
        <v>2017</v>
      </c>
      <c r="D9202" s="76" t="s">
        <v>31</v>
      </c>
      <c r="E9202" s="76" t="s">
        <v>32</v>
      </c>
      <c r="F9202" s="76">
        <v>1.05</v>
      </c>
    </row>
    <row r="9203" s="76" customFormat="1" spans="1:6">
      <c r="A9203">
        <v>9472</v>
      </c>
      <c r="B9203">
        <v>432017270</v>
      </c>
      <c r="C9203" s="76">
        <v>2017</v>
      </c>
      <c r="D9203" s="76" t="s">
        <v>31</v>
      </c>
      <c r="E9203" s="76" t="s">
        <v>32</v>
      </c>
      <c r="F9203" s="76">
        <v>5</v>
      </c>
    </row>
    <row r="9204" s="76" customFormat="1" spans="1:6">
      <c r="A9204">
        <v>9461</v>
      </c>
      <c r="B9204">
        <v>432017270</v>
      </c>
      <c r="C9204" s="76">
        <v>2017</v>
      </c>
      <c r="D9204" s="76" t="s">
        <v>31</v>
      </c>
      <c r="E9204" s="76" t="s">
        <v>32</v>
      </c>
      <c r="F9204" s="76">
        <v>2</v>
      </c>
    </row>
    <row r="9205" s="76" customFormat="1" spans="1:6">
      <c r="A9205">
        <v>9451</v>
      </c>
      <c r="B9205">
        <v>432017270</v>
      </c>
      <c r="C9205" s="76">
        <v>2017</v>
      </c>
      <c r="D9205" s="76" t="s">
        <v>31</v>
      </c>
      <c r="E9205" s="76" t="s">
        <v>32</v>
      </c>
      <c r="F9205" s="76">
        <v>3.38</v>
      </c>
    </row>
    <row r="9206" s="76" customFormat="1" spans="1:6">
      <c r="A9206">
        <v>9470</v>
      </c>
      <c r="B9206">
        <v>432017270</v>
      </c>
      <c r="C9206" s="76">
        <v>2017</v>
      </c>
      <c r="D9206" s="76" t="s">
        <v>31</v>
      </c>
      <c r="E9206" s="76" t="s">
        <v>32</v>
      </c>
      <c r="F9206" s="76">
        <v>10</v>
      </c>
    </row>
    <row r="9207" s="76" customFormat="1" spans="1:6">
      <c r="A9207">
        <v>9463</v>
      </c>
      <c r="B9207">
        <v>432017270</v>
      </c>
      <c r="C9207" s="76">
        <v>2017</v>
      </c>
      <c r="D9207" s="76" t="s">
        <v>31</v>
      </c>
      <c r="E9207" s="76" t="s">
        <v>32</v>
      </c>
      <c r="F9207" s="76">
        <v>2</v>
      </c>
    </row>
    <row r="9208" s="76" customFormat="1" spans="1:6">
      <c r="A9208">
        <v>9462</v>
      </c>
      <c r="B9208">
        <v>432017270</v>
      </c>
      <c r="C9208" s="76">
        <v>2017</v>
      </c>
      <c r="D9208" s="76" t="s">
        <v>31</v>
      </c>
      <c r="E9208" s="76" t="s">
        <v>32</v>
      </c>
      <c r="F9208" s="76">
        <v>4</v>
      </c>
    </row>
    <row r="9209" s="76" customFormat="1" spans="1:6">
      <c r="A9209">
        <v>9448</v>
      </c>
      <c r="B9209">
        <v>432017270</v>
      </c>
      <c r="C9209" s="76">
        <v>2017</v>
      </c>
      <c r="D9209" s="76" t="s">
        <v>31</v>
      </c>
      <c r="E9209" s="76" t="s">
        <v>32</v>
      </c>
      <c r="F9209" s="76">
        <v>2</v>
      </c>
    </row>
    <row r="9210" s="76" customFormat="1" spans="1:6">
      <c r="A9210">
        <v>9464</v>
      </c>
      <c r="B9210">
        <v>432017270</v>
      </c>
      <c r="C9210" s="76">
        <v>2017</v>
      </c>
      <c r="D9210" s="76" t="s">
        <v>31</v>
      </c>
      <c r="E9210" s="76" t="s">
        <v>32</v>
      </c>
      <c r="F9210" s="76">
        <v>9</v>
      </c>
    </row>
    <row r="9211" s="76" customFormat="1" spans="1:6">
      <c r="A9211">
        <v>9454</v>
      </c>
      <c r="B9211">
        <v>432017270</v>
      </c>
      <c r="C9211" s="76">
        <v>2017</v>
      </c>
      <c r="D9211" s="76" t="s">
        <v>31</v>
      </c>
      <c r="E9211" s="76" t="s">
        <v>32</v>
      </c>
      <c r="F9211" s="76">
        <v>4.9</v>
      </c>
    </row>
    <row r="9212" s="76" customFormat="1" spans="1:6">
      <c r="A9212">
        <v>9449</v>
      </c>
      <c r="B9212">
        <v>432017270</v>
      </c>
      <c r="C9212" s="76">
        <v>2017</v>
      </c>
      <c r="D9212" s="76" t="s">
        <v>31</v>
      </c>
      <c r="E9212" s="76" t="s">
        <v>32</v>
      </c>
      <c r="F9212" s="76">
        <v>1</v>
      </c>
    </row>
    <row r="9213" s="76" customFormat="1" spans="1:6">
      <c r="A9213">
        <v>9473</v>
      </c>
      <c r="B9213">
        <v>432017270</v>
      </c>
      <c r="C9213" s="76">
        <v>2017</v>
      </c>
      <c r="D9213" s="76" t="s">
        <v>31</v>
      </c>
      <c r="E9213" s="76" t="s">
        <v>32</v>
      </c>
      <c r="F9213" s="76">
        <v>10</v>
      </c>
    </row>
    <row r="9214" s="76" customFormat="1" spans="1:6">
      <c r="A9214">
        <v>9467</v>
      </c>
      <c r="B9214">
        <v>432017270</v>
      </c>
      <c r="C9214" s="76">
        <v>2017</v>
      </c>
      <c r="D9214" s="76" t="s">
        <v>31</v>
      </c>
      <c r="E9214" s="76" t="s">
        <v>32</v>
      </c>
      <c r="F9214" s="76">
        <v>6</v>
      </c>
    </row>
    <row r="9215" s="76" customFormat="1" spans="1:6">
      <c r="A9215">
        <v>9482</v>
      </c>
      <c r="B9215">
        <v>432018110</v>
      </c>
      <c r="C9215" s="76">
        <v>2018</v>
      </c>
      <c r="D9215" s="76" t="s">
        <v>40</v>
      </c>
      <c r="E9215" s="76" t="s">
        <v>32</v>
      </c>
      <c r="F9215" s="76">
        <v>0.04</v>
      </c>
    </row>
    <row r="9216" s="76" customFormat="1" spans="1:6">
      <c r="A9216">
        <v>9484</v>
      </c>
      <c r="B9216">
        <v>432018110</v>
      </c>
      <c r="C9216" s="76">
        <v>2018</v>
      </c>
      <c r="D9216" s="76" t="s">
        <v>40</v>
      </c>
      <c r="E9216" s="76" t="s">
        <v>32</v>
      </c>
      <c r="F9216" s="76">
        <v>0.13</v>
      </c>
    </row>
    <row r="9217" s="76" customFormat="1" spans="1:6">
      <c r="A9217">
        <v>9480</v>
      </c>
      <c r="B9217">
        <v>432018110</v>
      </c>
      <c r="C9217" s="76">
        <v>2018</v>
      </c>
      <c r="D9217" s="76" t="s">
        <v>40</v>
      </c>
      <c r="E9217" s="76" t="s">
        <v>32</v>
      </c>
      <c r="F9217" s="76">
        <v>0.03</v>
      </c>
    </row>
    <row r="9218" s="76" customFormat="1" spans="1:6">
      <c r="A9218">
        <v>9481</v>
      </c>
      <c r="B9218">
        <v>432018110</v>
      </c>
      <c r="C9218" s="76">
        <v>2018</v>
      </c>
      <c r="D9218" s="76" t="s">
        <v>40</v>
      </c>
      <c r="E9218" s="76" t="s">
        <v>32</v>
      </c>
      <c r="F9218" s="76">
        <v>0.04</v>
      </c>
    </row>
    <row r="9219" s="76" customFormat="1" spans="1:6">
      <c r="A9219">
        <v>9475</v>
      </c>
      <c r="B9219">
        <v>432018110</v>
      </c>
      <c r="C9219" s="76">
        <v>2018</v>
      </c>
      <c r="D9219" s="76" t="s">
        <v>40</v>
      </c>
      <c r="E9219" s="76" t="s">
        <v>32</v>
      </c>
      <c r="F9219" s="76">
        <v>1</v>
      </c>
    </row>
    <row r="9220" s="76" customFormat="1" spans="1:6">
      <c r="A9220">
        <v>9483</v>
      </c>
      <c r="B9220">
        <v>432018110</v>
      </c>
      <c r="C9220" s="76">
        <v>2018</v>
      </c>
      <c r="D9220" s="76" t="s">
        <v>40</v>
      </c>
      <c r="E9220" s="76" t="s">
        <v>32</v>
      </c>
      <c r="F9220" s="76">
        <v>1.65</v>
      </c>
    </row>
    <row r="9221" s="76" customFormat="1" spans="1:6">
      <c r="A9221">
        <v>9478</v>
      </c>
      <c r="B9221">
        <v>432018110</v>
      </c>
      <c r="C9221" s="76">
        <v>2018</v>
      </c>
      <c r="D9221" s="76" t="s">
        <v>40</v>
      </c>
      <c r="E9221" s="76" t="s">
        <v>32</v>
      </c>
      <c r="F9221" s="76">
        <v>0.09</v>
      </c>
    </row>
    <row r="9222" s="76" customFormat="1" spans="1:6">
      <c r="A9222">
        <v>9477</v>
      </c>
      <c r="B9222">
        <v>432018110</v>
      </c>
      <c r="C9222" s="76">
        <v>2018</v>
      </c>
      <c r="D9222" s="76" t="s">
        <v>40</v>
      </c>
      <c r="E9222" s="76" t="s">
        <v>32</v>
      </c>
      <c r="F9222" s="76">
        <v>0.09</v>
      </c>
    </row>
    <row r="9223" s="76" customFormat="1" spans="1:6">
      <c r="A9223">
        <v>9476</v>
      </c>
      <c r="B9223">
        <v>432018110</v>
      </c>
      <c r="C9223" s="76">
        <v>2018</v>
      </c>
      <c r="D9223" s="76" t="s">
        <v>40</v>
      </c>
      <c r="E9223" s="76" t="s">
        <v>32</v>
      </c>
      <c r="F9223" s="76">
        <v>15</v>
      </c>
    </row>
    <row r="9224" s="76" customFormat="1" spans="1:6">
      <c r="A9224">
        <v>9485</v>
      </c>
      <c r="B9224">
        <v>432018211</v>
      </c>
      <c r="C9224" s="76">
        <v>2018</v>
      </c>
      <c r="D9224" s="76" t="s">
        <v>37</v>
      </c>
      <c r="E9224" s="76" t="s">
        <v>32</v>
      </c>
      <c r="F9224" s="76">
        <v>2.2</v>
      </c>
    </row>
    <row r="9225" s="76" customFormat="1" spans="1:6">
      <c r="A9225">
        <v>9486</v>
      </c>
      <c r="B9225">
        <v>432018221</v>
      </c>
      <c r="C9225" s="76">
        <v>2018</v>
      </c>
      <c r="D9225" s="76" t="s">
        <v>30</v>
      </c>
      <c r="E9225" s="76" t="s">
        <v>32</v>
      </c>
      <c r="F9225" s="76">
        <v>1</v>
      </c>
    </row>
    <row r="9226" s="76" customFormat="1" spans="1:6">
      <c r="A9226">
        <v>9492</v>
      </c>
      <c r="B9226">
        <v>432018241</v>
      </c>
      <c r="C9226" s="76">
        <v>2018</v>
      </c>
      <c r="D9226" s="76" t="s">
        <v>33</v>
      </c>
      <c r="E9226" s="76" t="s">
        <v>32</v>
      </c>
      <c r="F9226" s="76">
        <v>0.75</v>
      </c>
    </row>
    <row r="9227" s="76" customFormat="1" spans="1:6">
      <c r="A9227">
        <v>9488</v>
      </c>
      <c r="B9227">
        <v>432018241</v>
      </c>
      <c r="C9227" s="76">
        <v>2018</v>
      </c>
      <c r="D9227" s="76" t="s">
        <v>33</v>
      </c>
      <c r="E9227" s="76" t="s">
        <v>32</v>
      </c>
      <c r="F9227" s="76">
        <v>3.25</v>
      </c>
    </row>
    <row r="9228" s="76" customFormat="1" spans="1:6">
      <c r="A9228">
        <v>9491</v>
      </c>
      <c r="B9228">
        <v>432018241</v>
      </c>
      <c r="C9228" s="76">
        <v>2018</v>
      </c>
      <c r="D9228" s="76" t="s">
        <v>33</v>
      </c>
      <c r="E9228" s="76" t="s">
        <v>32</v>
      </c>
      <c r="F9228" s="76">
        <v>1</v>
      </c>
    </row>
    <row r="9229" s="76" customFormat="1" spans="1:6">
      <c r="A9229">
        <v>9490</v>
      </c>
      <c r="B9229">
        <v>432018241</v>
      </c>
      <c r="C9229" s="76">
        <v>2018</v>
      </c>
      <c r="D9229" s="76" t="s">
        <v>33</v>
      </c>
      <c r="E9229" s="76" t="s">
        <v>32</v>
      </c>
      <c r="F9229" s="76">
        <v>4.2</v>
      </c>
    </row>
    <row r="9230" s="76" customFormat="1" spans="1:6">
      <c r="A9230">
        <v>9487</v>
      </c>
      <c r="B9230">
        <v>432018241</v>
      </c>
      <c r="C9230" s="76">
        <v>2018</v>
      </c>
      <c r="D9230" s="76" t="s">
        <v>33</v>
      </c>
      <c r="E9230" s="76" t="s">
        <v>32</v>
      </c>
      <c r="F9230" s="76">
        <v>0.9</v>
      </c>
    </row>
    <row r="9231" s="76" customFormat="1" spans="1:6">
      <c r="A9231">
        <v>9494</v>
      </c>
      <c r="B9231">
        <v>432018242</v>
      </c>
      <c r="C9231" s="76">
        <v>2018</v>
      </c>
      <c r="D9231" s="76" t="s">
        <v>35</v>
      </c>
      <c r="E9231" s="76" t="s">
        <v>32</v>
      </c>
      <c r="F9231" s="76">
        <v>1.8</v>
      </c>
    </row>
    <row r="9232" s="76" customFormat="1" spans="1:6">
      <c r="A9232">
        <v>9495</v>
      </c>
      <c r="B9232">
        <v>432018242</v>
      </c>
      <c r="C9232" s="76">
        <v>2018</v>
      </c>
      <c r="D9232" s="76" t="s">
        <v>35</v>
      </c>
      <c r="E9232" s="76" t="s">
        <v>32</v>
      </c>
      <c r="F9232" s="76">
        <v>0.3</v>
      </c>
    </row>
    <row r="9233" s="76" customFormat="1" spans="1:6">
      <c r="A9233">
        <v>9496</v>
      </c>
      <c r="B9233">
        <v>432018242</v>
      </c>
      <c r="C9233" s="76">
        <v>2018</v>
      </c>
      <c r="D9233" s="76" t="s">
        <v>35</v>
      </c>
      <c r="E9233" s="76" t="s">
        <v>32</v>
      </c>
      <c r="F9233" s="76">
        <v>0.75</v>
      </c>
    </row>
    <row r="9234" s="76" customFormat="1" spans="1:6">
      <c r="A9234">
        <v>9493</v>
      </c>
      <c r="B9234">
        <v>432018242</v>
      </c>
      <c r="C9234" s="76">
        <v>2018</v>
      </c>
      <c r="D9234" s="76" t="s">
        <v>35</v>
      </c>
      <c r="E9234" s="76" t="s">
        <v>32</v>
      </c>
      <c r="F9234" s="76">
        <v>10</v>
      </c>
    </row>
    <row r="9235" s="76" customFormat="1" spans="1:6">
      <c r="A9235">
        <v>9497</v>
      </c>
      <c r="B9235">
        <v>432018243</v>
      </c>
      <c r="C9235" s="76">
        <v>2018</v>
      </c>
      <c r="D9235" s="76" t="s">
        <v>38</v>
      </c>
      <c r="E9235" s="76" t="s">
        <v>32</v>
      </c>
      <c r="F9235" s="76">
        <v>2</v>
      </c>
    </row>
    <row r="9236" s="76" customFormat="1" spans="1:6">
      <c r="A9236">
        <v>9506</v>
      </c>
      <c r="B9236">
        <v>432018260</v>
      </c>
      <c r="C9236" s="76">
        <v>2018</v>
      </c>
      <c r="D9236" s="76" t="s">
        <v>34</v>
      </c>
      <c r="E9236" s="76" t="s">
        <v>32</v>
      </c>
      <c r="F9236" s="76">
        <v>4.6</v>
      </c>
    </row>
    <row r="9237" s="76" customFormat="1" spans="1:6">
      <c r="A9237">
        <v>9514</v>
      </c>
      <c r="B9237">
        <v>432018260</v>
      </c>
      <c r="C9237" s="76">
        <v>2018</v>
      </c>
      <c r="D9237" s="76" t="s">
        <v>34</v>
      </c>
      <c r="E9237" s="76" t="s">
        <v>32</v>
      </c>
      <c r="F9237" s="76">
        <v>10</v>
      </c>
    </row>
    <row r="9238" s="76" customFormat="1" spans="1:6">
      <c r="A9238">
        <v>9508</v>
      </c>
      <c r="B9238">
        <v>432018260</v>
      </c>
      <c r="C9238" s="76">
        <v>2018</v>
      </c>
      <c r="D9238" s="76" t="s">
        <v>34</v>
      </c>
      <c r="E9238" s="76" t="s">
        <v>32</v>
      </c>
      <c r="F9238" s="76">
        <v>2.2</v>
      </c>
    </row>
    <row r="9239" s="76" customFormat="1" spans="1:6">
      <c r="A9239">
        <v>9503</v>
      </c>
      <c r="B9239">
        <v>432018260</v>
      </c>
      <c r="C9239" s="76">
        <v>2018</v>
      </c>
      <c r="D9239" s="76" t="s">
        <v>34</v>
      </c>
      <c r="E9239" s="76">
        <v>12</v>
      </c>
      <c r="F9239" s="76">
        <v>2.4</v>
      </c>
    </row>
    <row r="9240" s="76" customFormat="1" spans="1:6">
      <c r="A9240">
        <v>9505</v>
      </c>
      <c r="B9240">
        <v>432018260</v>
      </c>
      <c r="C9240" s="76">
        <v>2018</v>
      </c>
      <c r="D9240" s="76" t="s">
        <v>34</v>
      </c>
      <c r="E9240" s="76" t="s">
        <v>32</v>
      </c>
      <c r="F9240" s="76">
        <v>5</v>
      </c>
    </row>
    <row r="9241" s="76" customFormat="1" spans="1:6">
      <c r="A9241">
        <v>9512</v>
      </c>
      <c r="B9241">
        <v>432018260</v>
      </c>
      <c r="C9241" s="76">
        <v>2018</v>
      </c>
      <c r="D9241" s="76" t="s">
        <v>34</v>
      </c>
      <c r="E9241" s="76" t="s">
        <v>32</v>
      </c>
      <c r="F9241" s="76">
        <v>6.6</v>
      </c>
    </row>
    <row r="9242" s="76" customFormat="1" spans="1:6">
      <c r="A9242">
        <v>9509</v>
      </c>
      <c r="B9242">
        <v>432018260</v>
      </c>
      <c r="C9242" s="76">
        <v>2018</v>
      </c>
      <c r="D9242" s="76" t="s">
        <v>34</v>
      </c>
      <c r="E9242" s="76" t="s">
        <v>32</v>
      </c>
      <c r="F9242" s="76">
        <v>0.2</v>
      </c>
    </row>
    <row r="9243" s="76" customFormat="1" spans="1:6">
      <c r="A9243">
        <v>9511</v>
      </c>
      <c r="B9243">
        <v>432018260</v>
      </c>
      <c r="C9243" s="76">
        <v>2018</v>
      </c>
      <c r="D9243" s="76" t="s">
        <v>34</v>
      </c>
      <c r="E9243" s="76" t="s">
        <v>32</v>
      </c>
      <c r="F9243" s="76">
        <v>6</v>
      </c>
    </row>
    <row r="9244" s="76" customFormat="1" spans="1:6">
      <c r="A9244">
        <v>9500</v>
      </c>
      <c r="B9244">
        <v>432018260</v>
      </c>
      <c r="C9244" s="76">
        <v>2018</v>
      </c>
      <c r="D9244" s="76" t="s">
        <v>34</v>
      </c>
      <c r="E9244" s="76">
        <v>10</v>
      </c>
      <c r="F9244" s="76">
        <v>5</v>
      </c>
    </row>
    <row r="9245" s="76" customFormat="1" spans="1:6">
      <c r="A9245">
        <v>9504</v>
      </c>
      <c r="B9245">
        <v>432018260</v>
      </c>
      <c r="C9245" s="76">
        <v>2018</v>
      </c>
      <c r="D9245" s="76" t="s">
        <v>34</v>
      </c>
      <c r="E9245" s="76">
        <v>19</v>
      </c>
      <c r="F9245" s="76">
        <v>4.18</v>
      </c>
    </row>
    <row r="9246" s="76" customFormat="1" spans="1:6">
      <c r="A9246">
        <v>9499</v>
      </c>
      <c r="B9246">
        <v>432018260</v>
      </c>
      <c r="C9246" s="76">
        <v>2018</v>
      </c>
      <c r="D9246" s="76" t="s">
        <v>34</v>
      </c>
      <c r="E9246" s="76">
        <v>25</v>
      </c>
      <c r="F9246" s="76">
        <v>5</v>
      </c>
    </row>
    <row r="9247" s="76" customFormat="1" spans="1:6">
      <c r="A9247">
        <v>9502</v>
      </c>
      <c r="B9247">
        <v>432018260</v>
      </c>
      <c r="C9247" s="76">
        <v>2018</v>
      </c>
      <c r="D9247" s="76" t="s">
        <v>34</v>
      </c>
      <c r="E9247" s="76">
        <v>50</v>
      </c>
      <c r="F9247" s="76">
        <v>10</v>
      </c>
    </row>
    <row r="9248" s="76" customFormat="1" spans="1:6">
      <c r="A9248">
        <v>9501</v>
      </c>
      <c r="B9248">
        <v>432018260</v>
      </c>
      <c r="C9248" s="76">
        <v>2018</v>
      </c>
      <c r="D9248" s="76" t="s">
        <v>34</v>
      </c>
      <c r="E9248" s="76">
        <v>25</v>
      </c>
      <c r="F9248" s="76">
        <v>4.99</v>
      </c>
    </row>
    <row r="9249" s="76" customFormat="1" spans="1:6">
      <c r="A9249">
        <v>9507</v>
      </c>
      <c r="B9249">
        <v>432018260</v>
      </c>
      <c r="C9249" s="76">
        <v>2018</v>
      </c>
      <c r="D9249" s="76" t="s">
        <v>34</v>
      </c>
      <c r="E9249" s="76" t="s">
        <v>32</v>
      </c>
      <c r="F9249" s="76">
        <v>0.01</v>
      </c>
    </row>
    <row r="9250" s="76" customFormat="1" spans="1:6">
      <c r="A9250">
        <v>9513</v>
      </c>
      <c r="B9250">
        <v>432018260</v>
      </c>
      <c r="C9250" s="76">
        <v>2018</v>
      </c>
      <c r="D9250" s="76" t="s">
        <v>34</v>
      </c>
      <c r="E9250" s="76" t="s">
        <v>32</v>
      </c>
      <c r="F9250" s="76">
        <v>10</v>
      </c>
    </row>
    <row r="9251" s="76" customFormat="1" spans="1:6">
      <c r="A9251">
        <v>9510</v>
      </c>
      <c r="B9251">
        <v>432018260</v>
      </c>
      <c r="C9251" s="76">
        <v>2018</v>
      </c>
      <c r="D9251" s="76" t="s">
        <v>34</v>
      </c>
      <c r="E9251" s="76" t="s">
        <v>32</v>
      </c>
      <c r="F9251" s="76">
        <v>5</v>
      </c>
    </row>
    <row r="9252" s="76" customFormat="1" spans="1:6">
      <c r="A9252">
        <v>9516</v>
      </c>
      <c r="B9252">
        <v>432018260</v>
      </c>
      <c r="C9252" s="76">
        <v>2018</v>
      </c>
      <c r="D9252" s="76" t="s">
        <v>34</v>
      </c>
      <c r="E9252" s="76" t="s">
        <v>32</v>
      </c>
      <c r="F9252" s="76">
        <v>5</v>
      </c>
    </row>
    <row r="9253" s="76" customFormat="1" spans="1:6">
      <c r="A9253">
        <v>9515</v>
      </c>
      <c r="B9253">
        <v>432018260</v>
      </c>
      <c r="C9253" s="76">
        <v>2018</v>
      </c>
      <c r="D9253" s="76" t="s">
        <v>34</v>
      </c>
      <c r="E9253" s="76" t="s">
        <v>32</v>
      </c>
      <c r="F9253" s="76">
        <v>11.34</v>
      </c>
    </row>
    <row r="9254" s="76" customFormat="1" spans="1:6">
      <c r="A9254">
        <v>9498</v>
      </c>
      <c r="B9254">
        <v>432018260</v>
      </c>
      <c r="C9254" s="76">
        <v>2018</v>
      </c>
      <c r="D9254" s="76" t="s">
        <v>34</v>
      </c>
      <c r="E9254" s="76">
        <v>13</v>
      </c>
      <c r="F9254" s="76">
        <v>2.6</v>
      </c>
    </row>
    <row r="9255" s="76" customFormat="1" spans="1:6">
      <c r="A9255">
        <v>9523</v>
      </c>
      <c r="B9255">
        <v>432018270</v>
      </c>
      <c r="C9255" s="76">
        <v>2018</v>
      </c>
      <c r="D9255" s="76" t="s">
        <v>31</v>
      </c>
      <c r="E9255" s="76" t="s">
        <v>32</v>
      </c>
      <c r="F9255" s="76">
        <v>0.09</v>
      </c>
    </row>
    <row r="9256" s="76" customFormat="1" spans="1:6">
      <c r="A9256">
        <v>9529</v>
      </c>
      <c r="B9256">
        <v>432018270</v>
      </c>
      <c r="C9256" s="76">
        <v>2018</v>
      </c>
      <c r="D9256" s="76" t="s">
        <v>31</v>
      </c>
      <c r="E9256" s="76" t="s">
        <v>32</v>
      </c>
      <c r="F9256" s="76">
        <v>1.75</v>
      </c>
    </row>
    <row r="9257" s="76" customFormat="1" spans="1:6">
      <c r="A9257">
        <v>9525</v>
      </c>
      <c r="B9257">
        <v>432018270</v>
      </c>
      <c r="C9257" s="76">
        <v>2018</v>
      </c>
      <c r="D9257" s="76" t="s">
        <v>31</v>
      </c>
      <c r="E9257" s="76" t="s">
        <v>32</v>
      </c>
      <c r="F9257" s="76">
        <v>1.37</v>
      </c>
    </row>
    <row r="9258" s="76" customFormat="1" spans="1:6">
      <c r="A9258">
        <v>9520</v>
      </c>
      <c r="B9258">
        <v>432018270</v>
      </c>
      <c r="C9258" s="76">
        <v>2018</v>
      </c>
      <c r="D9258" s="76" t="s">
        <v>31</v>
      </c>
      <c r="E9258" s="76" t="s">
        <v>32</v>
      </c>
      <c r="F9258" s="76">
        <v>0.94</v>
      </c>
    </row>
    <row r="9259" s="76" customFormat="1" spans="1:6">
      <c r="A9259">
        <v>9518</v>
      </c>
      <c r="B9259">
        <v>432018270</v>
      </c>
      <c r="C9259" s="76">
        <v>2018</v>
      </c>
      <c r="D9259" s="76" t="s">
        <v>31</v>
      </c>
      <c r="E9259" s="76" t="s">
        <v>32</v>
      </c>
      <c r="F9259" s="76">
        <v>1.75</v>
      </c>
    </row>
    <row r="9260" s="76" customFormat="1" spans="1:6">
      <c r="A9260">
        <v>9535</v>
      </c>
      <c r="B9260">
        <v>432018270</v>
      </c>
      <c r="C9260" s="76">
        <v>2018</v>
      </c>
      <c r="D9260" s="76" t="s">
        <v>31</v>
      </c>
      <c r="E9260" s="76" t="s">
        <v>32</v>
      </c>
      <c r="F9260" s="76">
        <v>0.45</v>
      </c>
    </row>
    <row r="9261" s="76" customFormat="1" spans="1:6">
      <c r="A9261">
        <v>9517</v>
      </c>
      <c r="B9261">
        <v>432018270</v>
      </c>
      <c r="C9261" s="76">
        <v>2018</v>
      </c>
      <c r="D9261" s="76" t="s">
        <v>31</v>
      </c>
      <c r="E9261" s="76" t="s">
        <v>32</v>
      </c>
      <c r="F9261" s="76">
        <v>0.63</v>
      </c>
    </row>
    <row r="9262" s="76" customFormat="1" spans="1:6">
      <c r="A9262">
        <v>9528</v>
      </c>
      <c r="B9262">
        <v>432018270</v>
      </c>
      <c r="C9262" s="76">
        <v>2018</v>
      </c>
      <c r="D9262" s="76" t="s">
        <v>31</v>
      </c>
      <c r="E9262" s="76" t="s">
        <v>32</v>
      </c>
      <c r="F9262" s="76">
        <v>2</v>
      </c>
    </row>
    <row r="9263" s="76" customFormat="1" spans="1:6">
      <c r="A9263">
        <v>9519</v>
      </c>
      <c r="B9263">
        <v>432018270</v>
      </c>
      <c r="C9263" s="76">
        <v>2018</v>
      </c>
      <c r="D9263" s="76" t="s">
        <v>31</v>
      </c>
      <c r="E9263" s="76" t="s">
        <v>32</v>
      </c>
      <c r="F9263" s="76">
        <v>0.74</v>
      </c>
    </row>
    <row r="9264" s="76" customFormat="1" spans="1:6">
      <c r="A9264">
        <v>9527</v>
      </c>
      <c r="B9264">
        <v>432018270</v>
      </c>
      <c r="C9264" s="76">
        <v>2018</v>
      </c>
      <c r="D9264" s="76" t="s">
        <v>31</v>
      </c>
      <c r="E9264" s="76" t="s">
        <v>32</v>
      </c>
      <c r="F9264" s="76">
        <v>1</v>
      </c>
    </row>
    <row r="9265" s="76" customFormat="1" spans="1:6">
      <c r="A9265">
        <v>9533</v>
      </c>
      <c r="B9265">
        <v>432018270</v>
      </c>
      <c r="C9265" s="76">
        <v>2018</v>
      </c>
      <c r="D9265" s="76" t="s">
        <v>31</v>
      </c>
      <c r="E9265" s="76" t="s">
        <v>32</v>
      </c>
      <c r="F9265" s="76">
        <v>2</v>
      </c>
    </row>
    <row r="9266" s="76" customFormat="1" spans="1:6">
      <c r="A9266">
        <v>9526</v>
      </c>
      <c r="B9266">
        <v>432018270</v>
      </c>
      <c r="C9266" s="76">
        <v>2018</v>
      </c>
      <c r="D9266" s="76" t="s">
        <v>31</v>
      </c>
      <c r="E9266" s="76" t="s">
        <v>32</v>
      </c>
      <c r="F9266" s="76">
        <v>8</v>
      </c>
    </row>
    <row r="9267" s="76" customFormat="1" spans="1:6">
      <c r="A9267">
        <v>9534</v>
      </c>
      <c r="B9267">
        <v>432018270</v>
      </c>
      <c r="C9267" s="76">
        <v>2018</v>
      </c>
      <c r="D9267" s="76" t="s">
        <v>31</v>
      </c>
      <c r="E9267" s="76" t="s">
        <v>32</v>
      </c>
      <c r="F9267" s="76">
        <v>2.02</v>
      </c>
    </row>
    <row r="9268" s="76" customFormat="1" spans="1:6">
      <c r="A9268">
        <v>9531</v>
      </c>
      <c r="B9268">
        <v>432018270</v>
      </c>
      <c r="C9268" s="76">
        <v>2018</v>
      </c>
      <c r="D9268" s="76" t="s">
        <v>31</v>
      </c>
      <c r="E9268" s="76" t="s">
        <v>32</v>
      </c>
      <c r="F9268" s="76">
        <v>2</v>
      </c>
    </row>
    <row r="9269" s="76" customFormat="1" spans="1:6">
      <c r="A9269">
        <v>9530</v>
      </c>
      <c r="B9269">
        <v>432018270</v>
      </c>
      <c r="C9269" s="76">
        <v>2018</v>
      </c>
      <c r="D9269" s="76" t="s">
        <v>31</v>
      </c>
      <c r="E9269" s="76" t="s">
        <v>32</v>
      </c>
      <c r="F9269" s="76">
        <v>1.89</v>
      </c>
    </row>
    <row r="9270" s="76" customFormat="1" spans="1:6">
      <c r="A9270">
        <v>9536</v>
      </c>
      <c r="B9270">
        <v>432018270</v>
      </c>
      <c r="C9270" s="76">
        <v>2018</v>
      </c>
      <c r="D9270" s="76" t="s">
        <v>31</v>
      </c>
      <c r="E9270" s="76" t="s">
        <v>32</v>
      </c>
      <c r="F9270" s="76">
        <v>2</v>
      </c>
    </row>
    <row r="9271" s="76" customFormat="1" spans="1:6">
      <c r="A9271">
        <v>9532</v>
      </c>
      <c r="B9271">
        <v>432018270</v>
      </c>
      <c r="C9271" s="76">
        <v>2018</v>
      </c>
      <c r="D9271" s="76" t="s">
        <v>31</v>
      </c>
      <c r="E9271" s="76" t="s">
        <v>32</v>
      </c>
      <c r="F9271" s="76">
        <v>3</v>
      </c>
    </row>
    <row r="9272" s="76" customFormat="1" spans="1:6">
      <c r="A9272">
        <v>9521</v>
      </c>
      <c r="B9272">
        <v>432018270</v>
      </c>
      <c r="C9272" s="76">
        <v>2018</v>
      </c>
      <c r="D9272" s="76" t="s">
        <v>31</v>
      </c>
      <c r="E9272" s="76" t="s">
        <v>32</v>
      </c>
      <c r="F9272" s="76">
        <v>2</v>
      </c>
    </row>
    <row r="9273" s="76" customFormat="1" spans="1:6">
      <c r="A9273">
        <v>9522</v>
      </c>
      <c r="B9273">
        <v>432018270</v>
      </c>
      <c r="C9273" s="76">
        <v>2018</v>
      </c>
      <c r="D9273" s="76" t="s">
        <v>31</v>
      </c>
      <c r="E9273" s="76" t="s">
        <v>32</v>
      </c>
      <c r="F9273" s="76">
        <v>2</v>
      </c>
    </row>
    <row r="9274" s="76" customFormat="1" spans="1:6">
      <c r="A9274">
        <v>9538</v>
      </c>
      <c r="B9274">
        <v>432019110</v>
      </c>
      <c r="C9274" s="76">
        <v>2019</v>
      </c>
      <c r="D9274" s="76" t="s">
        <v>40</v>
      </c>
      <c r="E9274" s="76" t="s">
        <v>32</v>
      </c>
      <c r="F9274" s="76">
        <v>0.29</v>
      </c>
    </row>
    <row r="9275" s="76" customFormat="1" spans="1:6">
      <c r="A9275">
        <v>9537</v>
      </c>
      <c r="B9275">
        <v>432019110</v>
      </c>
      <c r="C9275" s="76">
        <v>2019</v>
      </c>
      <c r="D9275" s="76" t="s">
        <v>40</v>
      </c>
      <c r="E9275" s="76">
        <v>2</v>
      </c>
      <c r="F9275" s="76">
        <v>2.2</v>
      </c>
    </row>
    <row r="9276" s="76" customFormat="1" spans="1:6">
      <c r="A9276">
        <v>9539</v>
      </c>
      <c r="B9276">
        <v>432019110</v>
      </c>
      <c r="C9276" s="76">
        <v>2019</v>
      </c>
      <c r="D9276" s="76" t="s">
        <v>40</v>
      </c>
      <c r="E9276" s="76" t="s">
        <v>32</v>
      </c>
      <c r="F9276" s="76">
        <v>0.15</v>
      </c>
    </row>
    <row r="9277" s="76" customFormat="1" spans="1:6">
      <c r="A9277">
        <v>9540</v>
      </c>
      <c r="B9277">
        <v>432019110</v>
      </c>
      <c r="C9277" s="76">
        <v>2019</v>
      </c>
      <c r="D9277" s="76" t="s">
        <v>40</v>
      </c>
      <c r="E9277" s="76" t="s">
        <v>32</v>
      </c>
      <c r="F9277" s="76">
        <v>0.6</v>
      </c>
    </row>
    <row r="9278" s="76" customFormat="1" spans="1:6">
      <c r="A9278">
        <v>9542</v>
      </c>
      <c r="B9278">
        <v>432019110</v>
      </c>
      <c r="C9278" s="76">
        <v>2019</v>
      </c>
      <c r="D9278" s="76" t="s">
        <v>40</v>
      </c>
      <c r="E9278" s="76" t="s">
        <v>32</v>
      </c>
      <c r="F9278" s="76">
        <v>2</v>
      </c>
    </row>
    <row r="9279" s="76" customFormat="1" spans="1:6">
      <c r="A9279">
        <v>9541</v>
      </c>
      <c r="B9279">
        <v>432019110</v>
      </c>
      <c r="C9279" s="76">
        <v>2019</v>
      </c>
      <c r="D9279" s="76" t="s">
        <v>40</v>
      </c>
      <c r="E9279" s="76" t="s">
        <v>32</v>
      </c>
      <c r="F9279" s="76">
        <v>2</v>
      </c>
    </row>
    <row r="9280" s="76" customFormat="1" spans="1:6">
      <c r="A9280">
        <v>9545</v>
      </c>
      <c r="B9280">
        <v>432019211</v>
      </c>
      <c r="C9280" s="76">
        <v>2019</v>
      </c>
      <c r="D9280" s="76" t="s">
        <v>37</v>
      </c>
      <c r="E9280" s="76">
        <v>1</v>
      </c>
      <c r="F9280" s="76">
        <v>0.9</v>
      </c>
    </row>
    <row r="9281" s="76" customFormat="1" spans="1:6">
      <c r="A9281">
        <v>9544</v>
      </c>
      <c r="B9281">
        <v>432019211</v>
      </c>
      <c r="C9281" s="76">
        <v>2019</v>
      </c>
      <c r="D9281" s="76" t="s">
        <v>37</v>
      </c>
      <c r="E9281" s="76" t="s">
        <v>32</v>
      </c>
      <c r="F9281" s="76">
        <v>2.5</v>
      </c>
    </row>
    <row r="9282" s="76" customFormat="1" spans="1:6">
      <c r="A9282">
        <v>9546</v>
      </c>
      <c r="B9282">
        <v>432019221</v>
      </c>
      <c r="C9282" s="76">
        <v>2019</v>
      </c>
      <c r="D9282" s="76" t="s">
        <v>30</v>
      </c>
      <c r="E9282" s="76" t="s">
        <v>32</v>
      </c>
      <c r="F9282" s="76">
        <v>0.65</v>
      </c>
    </row>
    <row r="9283" s="76" customFormat="1" spans="1:6">
      <c r="A9283">
        <v>9547</v>
      </c>
      <c r="B9283">
        <v>432019241</v>
      </c>
      <c r="C9283" s="76">
        <v>2019</v>
      </c>
      <c r="D9283" s="76" t="s">
        <v>33</v>
      </c>
      <c r="E9283" s="76" t="s">
        <v>32</v>
      </c>
      <c r="F9283" s="76">
        <v>0.75</v>
      </c>
    </row>
    <row r="9284" s="76" customFormat="1" spans="1:6">
      <c r="A9284">
        <v>9553</v>
      </c>
      <c r="B9284">
        <v>432019241</v>
      </c>
      <c r="C9284" s="76">
        <v>2019</v>
      </c>
      <c r="D9284" s="76" t="s">
        <v>33</v>
      </c>
      <c r="E9284" s="76" t="s">
        <v>32</v>
      </c>
      <c r="F9284" s="76">
        <v>0.6</v>
      </c>
    </row>
    <row r="9285" s="76" customFormat="1" spans="1:6">
      <c r="A9285">
        <v>9555</v>
      </c>
      <c r="B9285">
        <v>432019241</v>
      </c>
      <c r="C9285" s="76">
        <v>2019</v>
      </c>
      <c r="D9285" s="76" t="s">
        <v>33</v>
      </c>
      <c r="E9285" s="76" t="s">
        <v>32</v>
      </c>
      <c r="F9285" s="76">
        <v>0.9</v>
      </c>
    </row>
    <row r="9286" s="76" customFormat="1" spans="1:6">
      <c r="A9286">
        <v>9551</v>
      </c>
      <c r="B9286">
        <v>432019241</v>
      </c>
      <c r="C9286" s="76">
        <v>2019</v>
      </c>
      <c r="D9286" s="76" t="s">
        <v>33</v>
      </c>
      <c r="E9286" s="76" t="s">
        <v>32</v>
      </c>
      <c r="F9286" s="76">
        <v>0.6</v>
      </c>
    </row>
    <row r="9287" s="76" customFormat="1" spans="1:6">
      <c r="A9287">
        <v>9554</v>
      </c>
      <c r="B9287">
        <v>432019241</v>
      </c>
      <c r="C9287" s="76">
        <v>2019</v>
      </c>
      <c r="D9287" s="76" t="s">
        <v>33</v>
      </c>
      <c r="E9287" s="76" t="s">
        <v>32</v>
      </c>
      <c r="F9287" s="76">
        <v>0.9</v>
      </c>
    </row>
    <row r="9288" s="76" customFormat="1" spans="1:6">
      <c r="A9288">
        <v>9548</v>
      </c>
      <c r="B9288">
        <v>432019241</v>
      </c>
      <c r="C9288" s="76">
        <v>2019</v>
      </c>
      <c r="D9288" s="76" t="s">
        <v>33</v>
      </c>
      <c r="E9288" s="76" t="s">
        <v>32</v>
      </c>
      <c r="F9288" s="76">
        <v>0.9</v>
      </c>
    </row>
    <row r="9289" s="76" customFormat="1" spans="1:6">
      <c r="A9289">
        <v>9550</v>
      </c>
      <c r="B9289">
        <v>432019241</v>
      </c>
      <c r="C9289" s="76">
        <v>2019</v>
      </c>
      <c r="D9289" s="76" t="s">
        <v>33</v>
      </c>
      <c r="E9289" s="76" t="s">
        <v>32</v>
      </c>
      <c r="F9289" s="76">
        <v>0.3</v>
      </c>
    </row>
    <row r="9290" s="76" customFormat="1" spans="1:6">
      <c r="A9290">
        <v>9549</v>
      </c>
      <c r="B9290">
        <v>432019241</v>
      </c>
      <c r="C9290" s="76">
        <v>2019</v>
      </c>
      <c r="D9290" s="76" t="s">
        <v>33</v>
      </c>
      <c r="E9290" s="76" t="s">
        <v>32</v>
      </c>
      <c r="F9290" s="76">
        <v>1.8</v>
      </c>
    </row>
    <row r="9291" s="76" customFormat="1" spans="1:6">
      <c r="A9291">
        <v>9552</v>
      </c>
      <c r="B9291">
        <v>432019241</v>
      </c>
      <c r="C9291" s="76">
        <v>2019</v>
      </c>
      <c r="D9291" s="76" t="s">
        <v>33</v>
      </c>
      <c r="E9291" s="76" t="s">
        <v>32</v>
      </c>
      <c r="F9291" s="76">
        <v>0.75</v>
      </c>
    </row>
    <row r="9292" s="76" customFormat="1" spans="1:6">
      <c r="A9292">
        <v>9557</v>
      </c>
      <c r="B9292">
        <v>432019242</v>
      </c>
      <c r="C9292" s="76">
        <v>2019</v>
      </c>
      <c r="D9292" s="76" t="s">
        <v>35</v>
      </c>
      <c r="E9292" s="76" t="s">
        <v>32</v>
      </c>
      <c r="F9292" s="76">
        <v>1.5</v>
      </c>
    </row>
    <row r="9293" s="76" customFormat="1" spans="1:6">
      <c r="A9293">
        <v>9558</v>
      </c>
      <c r="B9293">
        <v>432019243</v>
      </c>
      <c r="C9293" s="76">
        <v>2019</v>
      </c>
      <c r="D9293" s="76" t="s">
        <v>38</v>
      </c>
      <c r="E9293" s="76" t="s">
        <v>32</v>
      </c>
      <c r="F9293" s="76">
        <v>1.5</v>
      </c>
    </row>
    <row r="9294" s="76" customFormat="1" spans="1:6">
      <c r="A9294">
        <v>9574</v>
      </c>
      <c r="B9294">
        <v>432019260</v>
      </c>
      <c r="C9294" s="76">
        <v>2019</v>
      </c>
      <c r="D9294" s="76" t="s">
        <v>34</v>
      </c>
      <c r="E9294" s="76" t="s">
        <v>32</v>
      </c>
      <c r="F9294" s="76">
        <v>1.4</v>
      </c>
    </row>
    <row r="9295" s="76" customFormat="1" spans="1:6">
      <c r="A9295">
        <v>9573</v>
      </c>
      <c r="B9295">
        <v>432019260</v>
      </c>
      <c r="C9295" s="76">
        <v>2019</v>
      </c>
      <c r="D9295" s="76" t="s">
        <v>34</v>
      </c>
      <c r="E9295" s="76" t="s">
        <v>32</v>
      </c>
      <c r="F9295" s="76">
        <v>1</v>
      </c>
    </row>
    <row r="9296" s="76" customFormat="1" spans="1:6">
      <c r="A9296">
        <v>9565</v>
      </c>
      <c r="B9296">
        <v>432019260</v>
      </c>
      <c r="C9296" s="76">
        <v>2019</v>
      </c>
      <c r="D9296" s="76" t="s">
        <v>34</v>
      </c>
      <c r="E9296" s="76">
        <v>13</v>
      </c>
      <c r="F9296" s="76">
        <v>2.6</v>
      </c>
    </row>
    <row r="9297" s="76" customFormat="1" spans="1:6">
      <c r="A9297">
        <v>9564</v>
      </c>
      <c r="B9297">
        <v>432019260</v>
      </c>
      <c r="C9297" s="76">
        <v>2019</v>
      </c>
      <c r="D9297" s="76" t="s">
        <v>34</v>
      </c>
      <c r="E9297" s="76">
        <v>10</v>
      </c>
      <c r="F9297" s="76">
        <v>2</v>
      </c>
    </row>
    <row r="9298" s="76" customFormat="1" spans="1:6">
      <c r="A9298">
        <v>9559</v>
      </c>
      <c r="B9298">
        <v>432019260</v>
      </c>
      <c r="C9298" s="76">
        <v>2019</v>
      </c>
      <c r="D9298" s="76" t="s">
        <v>34</v>
      </c>
      <c r="E9298" s="76">
        <v>14</v>
      </c>
      <c r="F9298" s="76">
        <v>2.64</v>
      </c>
    </row>
    <row r="9299" s="76" customFormat="1" spans="1:6">
      <c r="A9299">
        <v>9576</v>
      </c>
      <c r="B9299">
        <v>432019260</v>
      </c>
      <c r="C9299" s="76">
        <v>2019</v>
      </c>
      <c r="D9299" s="76" t="s">
        <v>34</v>
      </c>
      <c r="E9299" s="76">
        <v>7</v>
      </c>
      <c r="F9299" s="76">
        <v>3.3</v>
      </c>
    </row>
    <row r="9300" s="76" customFormat="1" spans="1:6">
      <c r="A9300">
        <v>9575</v>
      </c>
      <c r="B9300">
        <v>432019260</v>
      </c>
      <c r="C9300" s="76">
        <v>2019</v>
      </c>
      <c r="D9300" s="76" t="s">
        <v>34</v>
      </c>
      <c r="E9300" s="76" t="s">
        <v>32</v>
      </c>
      <c r="F9300" s="76">
        <v>1.4</v>
      </c>
    </row>
    <row r="9301" s="76" customFormat="1" spans="1:6">
      <c r="A9301">
        <v>9569</v>
      </c>
      <c r="B9301">
        <v>432019260</v>
      </c>
      <c r="C9301" s="76">
        <v>2019</v>
      </c>
      <c r="D9301" s="76" t="s">
        <v>34</v>
      </c>
      <c r="E9301" s="76" t="s">
        <v>32</v>
      </c>
      <c r="F9301" s="76">
        <v>2.42</v>
      </c>
    </row>
    <row r="9302" s="76" customFormat="1" spans="1:6">
      <c r="A9302">
        <v>9571</v>
      </c>
      <c r="B9302">
        <v>432019260</v>
      </c>
      <c r="C9302" s="76">
        <v>2019</v>
      </c>
      <c r="D9302" s="76" t="s">
        <v>34</v>
      </c>
      <c r="E9302" s="76" t="s">
        <v>32</v>
      </c>
      <c r="F9302" s="76">
        <v>4</v>
      </c>
    </row>
    <row r="9303" s="76" customFormat="1" spans="1:6">
      <c r="A9303">
        <v>9563</v>
      </c>
      <c r="B9303">
        <v>432019260</v>
      </c>
      <c r="C9303" s="76">
        <v>2019</v>
      </c>
      <c r="D9303" s="76" t="s">
        <v>34</v>
      </c>
      <c r="E9303" s="76">
        <v>17</v>
      </c>
      <c r="F9303" s="76">
        <v>4.25</v>
      </c>
    </row>
    <row r="9304" s="76" customFormat="1" spans="1:6">
      <c r="A9304">
        <v>9572</v>
      </c>
      <c r="B9304">
        <v>432019260</v>
      </c>
      <c r="C9304" s="76">
        <v>2019</v>
      </c>
      <c r="D9304" s="76" t="s">
        <v>34</v>
      </c>
      <c r="E9304" s="76" t="s">
        <v>32</v>
      </c>
      <c r="F9304" s="76">
        <v>4.6</v>
      </c>
    </row>
    <row r="9305" s="76" customFormat="1" spans="1:6">
      <c r="A9305">
        <v>9578</v>
      </c>
      <c r="B9305">
        <v>432019260</v>
      </c>
      <c r="C9305" s="76">
        <v>2019</v>
      </c>
      <c r="D9305" s="76" t="s">
        <v>34</v>
      </c>
      <c r="E9305" s="76" t="s">
        <v>32</v>
      </c>
      <c r="F9305" s="76">
        <v>0.9</v>
      </c>
    </row>
    <row r="9306" s="76" customFormat="1" spans="1:6">
      <c r="A9306">
        <v>9577</v>
      </c>
      <c r="B9306">
        <v>432019260</v>
      </c>
      <c r="C9306" s="76">
        <v>2019</v>
      </c>
      <c r="D9306" s="76" t="s">
        <v>34</v>
      </c>
      <c r="E9306" s="76" t="s">
        <v>32</v>
      </c>
      <c r="F9306" s="76">
        <v>3.6</v>
      </c>
    </row>
    <row r="9307" s="76" customFormat="1" spans="1:6">
      <c r="A9307">
        <v>9561</v>
      </c>
      <c r="B9307">
        <v>432019260</v>
      </c>
      <c r="C9307" s="76">
        <v>2019</v>
      </c>
      <c r="D9307" s="76" t="s">
        <v>34</v>
      </c>
      <c r="E9307" s="76">
        <v>16</v>
      </c>
      <c r="F9307" s="76">
        <v>4.8</v>
      </c>
    </row>
    <row r="9308" s="76" customFormat="1" spans="1:6">
      <c r="A9308">
        <v>9566</v>
      </c>
      <c r="B9308">
        <v>432019260</v>
      </c>
      <c r="C9308" s="76">
        <v>2019</v>
      </c>
      <c r="D9308" s="76" t="s">
        <v>34</v>
      </c>
      <c r="E9308" s="76">
        <v>25</v>
      </c>
      <c r="F9308" s="76">
        <v>5</v>
      </c>
    </row>
    <row r="9309" s="76" customFormat="1" spans="1:6">
      <c r="A9309">
        <v>9579</v>
      </c>
      <c r="B9309">
        <v>432019260</v>
      </c>
      <c r="C9309" s="76">
        <v>2019</v>
      </c>
      <c r="D9309" s="76" t="s">
        <v>34</v>
      </c>
      <c r="E9309" s="76" t="s">
        <v>32</v>
      </c>
      <c r="F9309" s="76">
        <v>2.8</v>
      </c>
    </row>
    <row r="9310" s="76" customFormat="1" spans="1:6">
      <c r="A9310">
        <v>9560</v>
      </c>
      <c r="B9310">
        <v>432019260</v>
      </c>
      <c r="C9310" s="76">
        <v>2019</v>
      </c>
      <c r="D9310" s="76" t="s">
        <v>34</v>
      </c>
      <c r="E9310" s="76">
        <v>23</v>
      </c>
      <c r="F9310" s="76">
        <v>4.6</v>
      </c>
    </row>
    <row r="9311" s="76" customFormat="1" spans="1:6">
      <c r="A9311">
        <v>9562</v>
      </c>
      <c r="B9311">
        <v>432019260</v>
      </c>
      <c r="C9311" s="76">
        <v>2019</v>
      </c>
      <c r="D9311" s="76" t="s">
        <v>34</v>
      </c>
      <c r="E9311" s="76">
        <v>21</v>
      </c>
      <c r="F9311" s="76">
        <v>4.2</v>
      </c>
    </row>
    <row r="9312" s="76" customFormat="1" spans="1:6">
      <c r="A9312">
        <v>9567</v>
      </c>
      <c r="B9312">
        <v>432019260</v>
      </c>
      <c r="C9312" s="76">
        <v>2019</v>
      </c>
      <c r="D9312" s="76" t="s">
        <v>34</v>
      </c>
      <c r="E9312" s="76">
        <v>22</v>
      </c>
      <c r="F9312" s="76">
        <v>6.5</v>
      </c>
    </row>
    <row r="9313" s="76" customFormat="1" spans="1:6">
      <c r="A9313">
        <v>9568</v>
      </c>
      <c r="B9313">
        <v>432019260</v>
      </c>
      <c r="C9313" s="76">
        <v>2019</v>
      </c>
      <c r="D9313" s="76" t="s">
        <v>34</v>
      </c>
      <c r="E9313" s="76">
        <v>25</v>
      </c>
      <c r="F9313" s="76">
        <v>5</v>
      </c>
    </row>
    <row r="9314" s="76" customFormat="1" spans="1:6">
      <c r="A9314">
        <v>9570</v>
      </c>
      <c r="B9314">
        <v>432019260</v>
      </c>
      <c r="C9314" s="76">
        <v>2019</v>
      </c>
      <c r="D9314" s="76" t="s">
        <v>34</v>
      </c>
      <c r="E9314" s="76" t="s">
        <v>32</v>
      </c>
      <c r="F9314" s="76">
        <v>1.2</v>
      </c>
    </row>
    <row r="9315" s="76" customFormat="1" spans="1:6">
      <c r="A9315">
        <v>9582</v>
      </c>
      <c r="B9315">
        <v>432019270</v>
      </c>
      <c r="C9315" s="76">
        <v>2019</v>
      </c>
      <c r="D9315" s="76" t="s">
        <v>31</v>
      </c>
      <c r="E9315" s="76" t="s">
        <v>32</v>
      </c>
      <c r="F9315" s="76">
        <v>0.22</v>
      </c>
    </row>
    <row r="9316" s="76" customFormat="1" spans="1:6">
      <c r="A9316">
        <v>9586</v>
      </c>
      <c r="B9316">
        <v>432019270</v>
      </c>
      <c r="C9316" s="76">
        <v>2019</v>
      </c>
      <c r="D9316" s="76" t="s">
        <v>31</v>
      </c>
      <c r="E9316" s="76" t="s">
        <v>32</v>
      </c>
      <c r="F9316" s="76">
        <v>2</v>
      </c>
    </row>
    <row r="9317" s="76" customFormat="1" spans="1:6">
      <c r="A9317">
        <v>9585</v>
      </c>
      <c r="B9317">
        <v>432019270</v>
      </c>
      <c r="C9317" s="76">
        <v>2019</v>
      </c>
      <c r="D9317" s="76" t="s">
        <v>31</v>
      </c>
      <c r="E9317" s="76" t="s">
        <v>32</v>
      </c>
      <c r="F9317" s="76">
        <v>1.86</v>
      </c>
    </row>
    <row r="9318" s="76" customFormat="1" spans="1:6">
      <c r="A9318">
        <v>9587</v>
      </c>
      <c r="B9318">
        <v>432019270</v>
      </c>
      <c r="C9318" s="76">
        <v>2019</v>
      </c>
      <c r="D9318" s="76" t="s">
        <v>31</v>
      </c>
      <c r="E9318" s="76" t="s">
        <v>32</v>
      </c>
      <c r="F9318" s="76">
        <v>1</v>
      </c>
    </row>
    <row r="9319" s="76" customFormat="1" spans="1:6">
      <c r="A9319">
        <v>9581</v>
      </c>
      <c r="B9319">
        <v>432019270</v>
      </c>
      <c r="C9319" s="76">
        <v>2019</v>
      </c>
      <c r="D9319" s="76" t="s">
        <v>31</v>
      </c>
      <c r="E9319" s="76" t="s">
        <v>32</v>
      </c>
      <c r="F9319" s="76">
        <v>10</v>
      </c>
    </row>
    <row r="9320" s="76" customFormat="1" spans="1:6">
      <c r="A9320">
        <v>9584</v>
      </c>
      <c r="B9320">
        <v>432019270</v>
      </c>
      <c r="C9320" s="76">
        <v>2019</v>
      </c>
      <c r="D9320" s="76" t="s">
        <v>31</v>
      </c>
      <c r="E9320" s="76" t="s">
        <v>32</v>
      </c>
      <c r="F9320" s="76">
        <v>2</v>
      </c>
    </row>
    <row r="9321" s="76" customFormat="1" spans="1:6">
      <c r="A9321">
        <v>9589</v>
      </c>
      <c r="B9321">
        <v>432020110</v>
      </c>
      <c r="C9321" s="76">
        <v>2020</v>
      </c>
      <c r="D9321" s="76" t="s">
        <v>40</v>
      </c>
      <c r="E9321" s="76" t="s">
        <v>32</v>
      </c>
      <c r="F9321" s="76">
        <v>0.24</v>
      </c>
    </row>
    <row r="9322" s="76" customFormat="1" spans="1:6">
      <c r="A9322">
        <v>9590</v>
      </c>
      <c r="B9322">
        <v>432020110</v>
      </c>
      <c r="C9322" s="76">
        <v>2020</v>
      </c>
      <c r="D9322" s="76" t="s">
        <v>40</v>
      </c>
      <c r="E9322" s="76" t="s">
        <v>32</v>
      </c>
      <c r="F9322" s="76">
        <v>0.44</v>
      </c>
    </row>
    <row r="9323" s="76" customFormat="1" spans="1:6">
      <c r="A9323">
        <v>9593</v>
      </c>
      <c r="B9323">
        <v>432020110</v>
      </c>
      <c r="C9323" s="76">
        <v>2020</v>
      </c>
      <c r="D9323" s="76" t="s">
        <v>40</v>
      </c>
      <c r="E9323" s="76" t="s">
        <v>32</v>
      </c>
      <c r="F9323" s="76">
        <v>0.16</v>
      </c>
    </row>
    <row r="9324" s="76" customFormat="1" spans="1:6">
      <c r="A9324">
        <v>9597</v>
      </c>
      <c r="B9324">
        <v>432020110</v>
      </c>
      <c r="C9324" s="76">
        <v>2020</v>
      </c>
      <c r="D9324" s="76" t="s">
        <v>40</v>
      </c>
      <c r="E9324" s="76" t="s">
        <v>32</v>
      </c>
      <c r="F9324" s="76">
        <v>0.08</v>
      </c>
    </row>
    <row r="9325" s="76" customFormat="1" spans="1:6">
      <c r="A9325">
        <v>9592</v>
      </c>
      <c r="B9325">
        <v>432020110</v>
      </c>
      <c r="C9325" s="76">
        <v>2020</v>
      </c>
      <c r="D9325" s="76" t="s">
        <v>40</v>
      </c>
      <c r="E9325" s="76" t="s">
        <v>32</v>
      </c>
      <c r="F9325" s="76">
        <v>0.15</v>
      </c>
    </row>
    <row r="9326" s="76" customFormat="1" spans="1:6">
      <c r="A9326">
        <v>9591</v>
      </c>
      <c r="B9326">
        <v>432020110</v>
      </c>
      <c r="C9326" s="76">
        <v>2020</v>
      </c>
      <c r="D9326" s="76" t="s">
        <v>40</v>
      </c>
      <c r="E9326" s="76" t="s">
        <v>32</v>
      </c>
      <c r="F9326" s="76">
        <v>0.14</v>
      </c>
    </row>
    <row r="9327" s="76" customFormat="1" spans="1:6">
      <c r="A9327">
        <v>9595</v>
      </c>
      <c r="B9327">
        <v>432020110</v>
      </c>
      <c r="C9327" s="76">
        <v>2020</v>
      </c>
      <c r="D9327" s="76" t="s">
        <v>40</v>
      </c>
      <c r="E9327" s="76" t="s">
        <v>32</v>
      </c>
      <c r="F9327" s="76">
        <v>0.12</v>
      </c>
    </row>
    <row r="9328" s="76" customFormat="1" spans="1:6">
      <c r="A9328">
        <v>9588</v>
      </c>
      <c r="B9328">
        <v>432020110</v>
      </c>
      <c r="C9328" s="76">
        <v>2020</v>
      </c>
      <c r="D9328" s="76" t="s">
        <v>40</v>
      </c>
      <c r="E9328" s="76" t="s">
        <v>32</v>
      </c>
      <c r="F9328" s="76">
        <v>0.32</v>
      </c>
    </row>
    <row r="9329" s="76" customFormat="1" spans="1:6">
      <c r="A9329">
        <v>9596</v>
      </c>
      <c r="B9329">
        <v>432020110</v>
      </c>
      <c r="C9329" s="76">
        <v>2020</v>
      </c>
      <c r="D9329" s="76" t="s">
        <v>40</v>
      </c>
      <c r="E9329" s="76" t="s">
        <v>32</v>
      </c>
      <c r="F9329" s="76">
        <v>0.09</v>
      </c>
    </row>
    <row r="9330" s="76" customFormat="1" spans="1:6">
      <c r="A9330">
        <v>9594</v>
      </c>
      <c r="B9330">
        <v>432020110</v>
      </c>
      <c r="C9330" s="76">
        <v>2020</v>
      </c>
      <c r="D9330" s="76" t="s">
        <v>40</v>
      </c>
      <c r="E9330" s="76" t="s">
        <v>32</v>
      </c>
      <c r="F9330" s="76">
        <v>0.86</v>
      </c>
    </row>
    <row r="9331" s="76" customFormat="1" spans="1:6">
      <c r="A9331">
        <v>9599</v>
      </c>
      <c r="B9331">
        <v>432020211</v>
      </c>
      <c r="C9331" s="76">
        <v>2020</v>
      </c>
      <c r="D9331" s="76" t="s">
        <v>37</v>
      </c>
      <c r="E9331" s="76" t="s">
        <v>32</v>
      </c>
      <c r="F9331" s="76">
        <v>0.2</v>
      </c>
    </row>
    <row r="9332" s="76" customFormat="1" spans="1:6">
      <c r="A9332">
        <v>9601</v>
      </c>
      <c r="B9332">
        <v>432020241</v>
      </c>
      <c r="C9332" s="76">
        <v>2020</v>
      </c>
      <c r="D9332" s="76" t="s">
        <v>33</v>
      </c>
      <c r="E9332" s="76" t="s">
        <v>32</v>
      </c>
      <c r="F9332" s="76">
        <v>0.23</v>
      </c>
    </row>
    <row r="9333" s="76" customFormat="1" spans="1:6">
      <c r="A9333">
        <v>9600</v>
      </c>
      <c r="B9333">
        <v>432020241</v>
      </c>
      <c r="C9333" s="76">
        <v>2020</v>
      </c>
      <c r="D9333" s="76" t="s">
        <v>33</v>
      </c>
      <c r="E9333" s="76" t="s">
        <v>32</v>
      </c>
      <c r="F9333" s="76">
        <v>0.9</v>
      </c>
    </row>
    <row r="9334" s="76" customFormat="1" spans="1:6">
      <c r="A9334">
        <v>9603</v>
      </c>
      <c r="B9334">
        <v>432020242</v>
      </c>
      <c r="C9334" s="76">
        <v>2020</v>
      </c>
      <c r="D9334" s="76" t="s">
        <v>35</v>
      </c>
      <c r="E9334" s="76" t="s">
        <v>32</v>
      </c>
      <c r="F9334" s="76">
        <v>0.6</v>
      </c>
    </row>
    <row r="9335" s="76" customFormat="1" spans="1:6">
      <c r="A9335">
        <v>9646</v>
      </c>
      <c r="B9335">
        <v>432020260</v>
      </c>
      <c r="C9335" s="76">
        <v>2020</v>
      </c>
      <c r="D9335" s="76" t="s">
        <v>34</v>
      </c>
      <c r="E9335" s="76" t="s">
        <v>32</v>
      </c>
      <c r="F9335" s="76">
        <v>3.5</v>
      </c>
    </row>
    <row r="9336" s="76" customFormat="1" spans="1:6">
      <c r="A9336">
        <v>9639</v>
      </c>
      <c r="B9336">
        <v>432020260</v>
      </c>
      <c r="C9336" s="76">
        <v>2020</v>
      </c>
      <c r="D9336" s="76" t="s">
        <v>34</v>
      </c>
      <c r="E9336" s="76" t="s">
        <v>32</v>
      </c>
      <c r="F9336" s="76">
        <v>0.21</v>
      </c>
    </row>
    <row r="9337" s="76" customFormat="1" spans="1:6">
      <c r="A9337">
        <v>9653</v>
      </c>
      <c r="B9337">
        <v>432020260</v>
      </c>
      <c r="C9337" s="76">
        <v>2020</v>
      </c>
      <c r="D9337" s="76" t="s">
        <v>34</v>
      </c>
      <c r="E9337" s="76" t="s">
        <v>32</v>
      </c>
      <c r="F9337" s="76">
        <v>0.88</v>
      </c>
    </row>
    <row r="9338" s="76" customFormat="1" spans="1:6">
      <c r="A9338">
        <v>9650</v>
      </c>
      <c r="B9338">
        <v>432020260</v>
      </c>
      <c r="C9338" s="76">
        <v>2020</v>
      </c>
      <c r="D9338" s="76" t="s">
        <v>34</v>
      </c>
      <c r="E9338" s="76" t="s">
        <v>32</v>
      </c>
      <c r="F9338" s="76">
        <v>2.5</v>
      </c>
    </row>
    <row r="9339" s="76" customFormat="1" spans="1:6">
      <c r="A9339">
        <v>9678</v>
      </c>
      <c r="B9339">
        <v>432020260</v>
      </c>
      <c r="C9339" s="76">
        <v>2020</v>
      </c>
      <c r="D9339" s="76" t="s">
        <v>34</v>
      </c>
      <c r="E9339" s="76" t="s">
        <v>32</v>
      </c>
      <c r="F9339" s="76">
        <v>5</v>
      </c>
    </row>
    <row r="9340" s="76" customFormat="1" spans="1:6">
      <c r="A9340">
        <v>9610</v>
      </c>
      <c r="B9340">
        <v>432020260</v>
      </c>
      <c r="C9340" s="76">
        <v>2020</v>
      </c>
      <c r="D9340" s="76" t="s">
        <v>34</v>
      </c>
      <c r="E9340" s="76">
        <v>8</v>
      </c>
      <c r="F9340" s="76">
        <v>1.6</v>
      </c>
    </row>
    <row r="9341" s="76" customFormat="1" spans="1:6">
      <c r="A9341">
        <v>9607</v>
      </c>
      <c r="B9341">
        <v>432020260</v>
      </c>
      <c r="C9341" s="76">
        <v>2020</v>
      </c>
      <c r="D9341" s="76" t="s">
        <v>34</v>
      </c>
      <c r="E9341" s="76">
        <v>18</v>
      </c>
      <c r="F9341" s="76">
        <v>5</v>
      </c>
    </row>
    <row r="9342" s="76" customFormat="1" spans="1:6">
      <c r="A9342">
        <v>9604</v>
      </c>
      <c r="B9342">
        <v>432020260</v>
      </c>
      <c r="C9342" s="76">
        <v>2020</v>
      </c>
      <c r="D9342" s="76" t="s">
        <v>34</v>
      </c>
      <c r="E9342" s="76">
        <v>8</v>
      </c>
      <c r="F9342" s="76">
        <v>2.2</v>
      </c>
    </row>
    <row r="9343" s="76" customFormat="1" spans="1:6">
      <c r="A9343">
        <v>9631</v>
      </c>
      <c r="B9343">
        <v>432020260</v>
      </c>
      <c r="C9343" s="76">
        <v>2020</v>
      </c>
      <c r="D9343" s="76" t="s">
        <v>34</v>
      </c>
      <c r="E9343" s="76">
        <v>16</v>
      </c>
      <c r="F9343" s="76">
        <v>1.7</v>
      </c>
    </row>
    <row r="9344" s="76" customFormat="1" spans="1:6">
      <c r="A9344">
        <v>9659</v>
      </c>
      <c r="B9344">
        <v>432020260</v>
      </c>
      <c r="C9344" s="76">
        <v>2020</v>
      </c>
      <c r="D9344" s="76" t="s">
        <v>34</v>
      </c>
      <c r="E9344" s="76" t="s">
        <v>32</v>
      </c>
      <c r="F9344" s="76">
        <v>0.25</v>
      </c>
    </row>
    <row r="9345" s="76" customFormat="1" spans="1:6">
      <c r="A9345">
        <v>9629</v>
      </c>
      <c r="B9345">
        <v>432020260</v>
      </c>
      <c r="C9345" s="76">
        <v>2020</v>
      </c>
      <c r="D9345" s="76" t="s">
        <v>34</v>
      </c>
      <c r="E9345" s="76">
        <v>6</v>
      </c>
      <c r="F9345" s="76">
        <v>1.8</v>
      </c>
    </row>
    <row r="9346" s="76" customFormat="1" spans="1:6">
      <c r="A9346">
        <v>9674</v>
      </c>
      <c r="B9346">
        <v>432020260</v>
      </c>
      <c r="C9346" s="76">
        <v>2020</v>
      </c>
      <c r="D9346" s="76" t="s">
        <v>34</v>
      </c>
      <c r="E9346" s="76" t="s">
        <v>32</v>
      </c>
      <c r="F9346" s="76">
        <v>0.3</v>
      </c>
    </row>
    <row r="9347" s="76" customFormat="1" spans="1:6">
      <c r="A9347">
        <v>9668</v>
      </c>
      <c r="B9347">
        <v>432020260</v>
      </c>
      <c r="C9347" s="76">
        <v>2020</v>
      </c>
      <c r="D9347" s="76" t="s">
        <v>34</v>
      </c>
      <c r="E9347" s="76" t="s">
        <v>32</v>
      </c>
      <c r="F9347" s="76">
        <v>0.72</v>
      </c>
    </row>
    <row r="9348" s="76" customFormat="1" spans="1:6">
      <c r="A9348">
        <v>9636</v>
      </c>
      <c r="B9348">
        <v>432020260</v>
      </c>
      <c r="C9348" s="76">
        <v>2020</v>
      </c>
      <c r="D9348" s="76" t="s">
        <v>34</v>
      </c>
      <c r="E9348" s="76" t="s">
        <v>32</v>
      </c>
      <c r="F9348" s="76">
        <v>6</v>
      </c>
    </row>
    <row r="9349" s="76" customFormat="1" spans="1:6">
      <c r="A9349">
        <v>9618</v>
      </c>
      <c r="B9349">
        <v>432020260</v>
      </c>
      <c r="C9349" s="76">
        <v>2020</v>
      </c>
      <c r="D9349" s="76" t="s">
        <v>34</v>
      </c>
      <c r="E9349" s="76" t="s">
        <v>32</v>
      </c>
      <c r="F9349" s="76">
        <v>1.76</v>
      </c>
    </row>
    <row r="9350" s="76" customFormat="1" spans="1:6">
      <c r="A9350">
        <v>9675</v>
      </c>
      <c r="B9350">
        <v>432020260</v>
      </c>
      <c r="C9350" s="76">
        <v>2020</v>
      </c>
      <c r="D9350" s="76" t="s">
        <v>34</v>
      </c>
      <c r="E9350" s="76" t="s">
        <v>32</v>
      </c>
      <c r="F9350" s="76">
        <v>0.3</v>
      </c>
    </row>
    <row r="9351" s="76" customFormat="1" spans="1:6">
      <c r="A9351">
        <v>9676</v>
      </c>
      <c r="B9351">
        <v>432020260</v>
      </c>
      <c r="C9351" s="76">
        <v>2020</v>
      </c>
      <c r="D9351" s="76" t="s">
        <v>34</v>
      </c>
      <c r="E9351" s="76" t="s">
        <v>32</v>
      </c>
      <c r="F9351" s="76">
        <v>1.62</v>
      </c>
    </row>
    <row r="9352" s="76" customFormat="1" spans="1:6">
      <c r="A9352">
        <v>9679</v>
      </c>
      <c r="B9352">
        <v>432020260</v>
      </c>
      <c r="C9352" s="76">
        <v>2020</v>
      </c>
      <c r="D9352" s="76" t="s">
        <v>34</v>
      </c>
      <c r="E9352" s="76" t="s">
        <v>32</v>
      </c>
      <c r="F9352" s="76">
        <v>0.06</v>
      </c>
    </row>
    <row r="9353" s="76" customFormat="1" spans="1:6">
      <c r="A9353">
        <v>9648</v>
      </c>
      <c r="B9353">
        <v>432020260</v>
      </c>
      <c r="C9353" s="76">
        <v>2020</v>
      </c>
      <c r="D9353" s="76" t="s">
        <v>34</v>
      </c>
      <c r="E9353" s="76" t="s">
        <v>32</v>
      </c>
      <c r="F9353" s="76">
        <v>2.6</v>
      </c>
    </row>
    <row r="9354" s="76" customFormat="1" spans="1:6">
      <c r="A9354">
        <v>9611</v>
      </c>
      <c r="B9354">
        <v>432020260</v>
      </c>
      <c r="C9354" s="76">
        <v>2020</v>
      </c>
      <c r="D9354" s="76" t="s">
        <v>34</v>
      </c>
      <c r="E9354" s="76">
        <v>3</v>
      </c>
      <c r="F9354" s="76">
        <v>0.75</v>
      </c>
    </row>
    <row r="9355" s="76" customFormat="1" spans="1:6">
      <c r="A9355">
        <v>9612</v>
      </c>
      <c r="B9355">
        <v>432020260</v>
      </c>
      <c r="C9355" s="76">
        <v>2020</v>
      </c>
      <c r="D9355" s="76" t="s">
        <v>34</v>
      </c>
      <c r="E9355" s="76">
        <v>20</v>
      </c>
      <c r="F9355" s="76">
        <v>5</v>
      </c>
    </row>
    <row r="9356" s="76" customFormat="1" spans="1:6">
      <c r="A9356">
        <v>9642</v>
      </c>
      <c r="B9356">
        <v>432020260</v>
      </c>
      <c r="C9356" s="76">
        <v>2020</v>
      </c>
      <c r="D9356" s="76" t="s">
        <v>34</v>
      </c>
      <c r="E9356" s="76" t="s">
        <v>32</v>
      </c>
      <c r="F9356" s="76">
        <v>2.08</v>
      </c>
    </row>
    <row r="9357" s="76" customFormat="1" spans="1:6">
      <c r="A9357">
        <v>9662</v>
      </c>
      <c r="B9357">
        <v>432020260</v>
      </c>
      <c r="C9357" s="76">
        <v>2020</v>
      </c>
      <c r="D9357" s="76" t="s">
        <v>34</v>
      </c>
      <c r="E9357" s="76" t="s">
        <v>32</v>
      </c>
      <c r="F9357" s="76">
        <v>8</v>
      </c>
    </row>
    <row r="9358" s="76" customFormat="1" spans="1:6">
      <c r="A9358">
        <v>9661</v>
      </c>
      <c r="B9358">
        <v>432020260</v>
      </c>
      <c r="C9358" s="76">
        <v>2020</v>
      </c>
      <c r="D9358" s="76" t="s">
        <v>34</v>
      </c>
      <c r="E9358" s="76" t="s">
        <v>32</v>
      </c>
      <c r="F9358" s="76">
        <v>10</v>
      </c>
    </row>
    <row r="9359" s="76" customFormat="1" spans="1:6">
      <c r="A9359">
        <v>9630</v>
      </c>
      <c r="B9359">
        <v>432020260</v>
      </c>
      <c r="C9359" s="76">
        <v>2020</v>
      </c>
      <c r="D9359" s="76" t="s">
        <v>34</v>
      </c>
      <c r="E9359" s="76">
        <v>52</v>
      </c>
      <c r="F9359" s="76">
        <v>12</v>
      </c>
    </row>
    <row r="9360" s="76" customFormat="1" spans="1:6">
      <c r="A9360">
        <v>9664</v>
      </c>
      <c r="B9360">
        <v>432020260</v>
      </c>
      <c r="C9360" s="76">
        <v>2020</v>
      </c>
      <c r="D9360" s="76" t="s">
        <v>34</v>
      </c>
      <c r="E9360" s="76" t="s">
        <v>32</v>
      </c>
      <c r="F9360" s="76">
        <v>1.2</v>
      </c>
    </row>
    <row r="9361" s="76" customFormat="1" spans="1:6">
      <c r="A9361">
        <v>9665</v>
      </c>
      <c r="B9361">
        <v>432020260</v>
      </c>
      <c r="C9361" s="76">
        <v>2020</v>
      </c>
      <c r="D9361" s="76" t="s">
        <v>34</v>
      </c>
      <c r="E9361" s="76" t="s">
        <v>32</v>
      </c>
      <c r="F9361" s="76">
        <v>10</v>
      </c>
    </row>
    <row r="9362" s="76" customFormat="1" spans="1:6">
      <c r="A9362">
        <v>9669</v>
      </c>
      <c r="B9362">
        <v>432020260</v>
      </c>
      <c r="C9362" s="76">
        <v>2020</v>
      </c>
      <c r="D9362" s="76" t="s">
        <v>34</v>
      </c>
      <c r="E9362" s="76" t="s">
        <v>32</v>
      </c>
      <c r="F9362" s="76">
        <v>1</v>
      </c>
    </row>
    <row r="9363" s="76" customFormat="1" spans="1:6">
      <c r="A9363">
        <v>9644</v>
      </c>
      <c r="B9363">
        <v>432020260</v>
      </c>
      <c r="C9363" s="76">
        <v>2020</v>
      </c>
      <c r="D9363" s="76" t="s">
        <v>34</v>
      </c>
      <c r="E9363" s="76" t="s">
        <v>32</v>
      </c>
      <c r="F9363" s="76">
        <v>5</v>
      </c>
    </row>
    <row r="9364" s="76" customFormat="1" spans="1:6">
      <c r="A9364">
        <v>9641</v>
      </c>
      <c r="B9364">
        <v>432020260</v>
      </c>
      <c r="C9364" s="76">
        <v>2020</v>
      </c>
      <c r="D9364" s="76" t="s">
        <v>34</v>
      </c>
      <c r="E9364" s="76" t="s">
        <v>32</v>
      </c>
      <c r="F9364" s="76">
        <v>2.75</v>
      </c>
    </row>
    <row r="9365" s="76" customFormat="1" spans="1:6">
      <c r="A9365">
        <v>9619</v>
      </c>
      <c r="B9365">
        <v>432020260</v>
      </c>
      <c r="C9365" s="76">
        <v>2020</v>
      </c>
      <c r="D9365" s="76" t="s">
        <v>34</v>
      </c>
      <c r="E9365" s="76" t="s">
        <v>32</v>
      </c>
      <c r="F9365" s="76">
        <v>0.22</v>
      </c>
    </row>
    <row r="9366" s="76" customFormat="1" spans="1:6">
      <c r="A9366">
        <v>9649</v>
      </c>
      <c r="B9366">
        <v>432020260</v>
      </c>
      <c r="C9366" s="76">
        <v>2020</v>
      </c>
      <c r="D9366" s="76" t="s">
        <v>34</v>
      </c>
      <c r="E9366" s="76" t="s">
        <v>32</v>
      </c>
      <c r="F9366" s="76">
        <v>5</v>
      </c>
    </row>
    <row r="9367" s="76" customFormat="1" spans="1:6">
      <c r="A9367">
        <v>9623</v>
      </c>
      <c r="B9367">
        <v>432020260</v>
      </c>
      <c r="C9367" s="76">
        <v>2020</v>
      </c>
      <c r="D9367" s="76" t="s">
        <v>34</v>
      </c>
      <c r="E9367" s="76">
        <v>17</v>
      </c>
      <c r="F9367" s="76">
        <v>5</v>
      </c>
    </row>
    <row r="9368" s="76" customFormat="1" spans="1:6">
      <c r="A9368">
        <v>9624</v>
      </c>
      <c r="B9368">
        <v>432020260</v>
      </c>
      <c r="C9368" s="76">
        <v>2020</v>
      </c>
      <c r="D9368" s="76" t="s">
        <v>34</v>
      </c>
      <c r="E9368" s="76">
        <v>17</v>
      </c>
      <c r="F9368" s="76">
        <v>5</v>
      </c>
    </row>
    <row r="9369" s="76" customFormat="1" spans="1:6">
      <c r="A9369">
        <v>9615</v>
      </c>
      <c r="B9369">
        <v>432020260</v>
      </c>
      <c r="C9369" s="76">
        <v>2020</v>
      </c>
      <c r="D9369" s="76" t="s">
        <v>34</v>
      </c>
      <c r="E9369" s="76">
        <v>1</v>
      </c>
      <c r="F9369" s="76">
        <v>0.25</v>
      </c>
    </row>
    <row r="9370" s="76" customFormat="1" spans="1:6">
      <c r="A9370">
        <v>9626</v>
      </c>
      <c r="B9370">
        <v>432020260</v>
      </c>
      <c r="C9370" s="76">
        <v>2020</v>
      </c>
      <c r="D9370" s="76" t="s">
        <v>34</v>
      </c>
      <c r="E9370" s="76">
        <v>20</v>
      </c>
      <c r="F9370" s="76">
        <v>5</v>
      </c>
    </row>
    <row r="9371" s="76" customFormat="1" spans="1:6">
      <c r="A9371">
        <v>9605</v>
      </c>
      <c r="B9371">
        <v>432020260</v>
      </c>
      <c r="C9371" s="76">
        <v>2020</v>
      </c>
      <c r="D9371" s="76" t="s">
        <v>34</v>
      </c>
      <c r="E9371" s="76">
        <v>2</v>
      </c>
      <c r="F9371" s="76">
        <v>0.72</v>
      </c>
    </row>
    <row r="9372" s="76" customFormat="1" spans="1:6">
      <c r="A9372">
        <v>9606</v>
      </c>
      <c r="B9372">
        <v>432020260</v>
      </c>
      <c r="C9372" s="76">
        <v>2020</v>
      </c>
      <c r="D9372" s="76" t="s">
        <v>34</v>
      </c>
      <c r="E9372" s="76">
        <v>24</v>
      </c>
      <c r="F9372" s="76">
        <v>4.8</v>
      </c>
    </row>
    <row r="9373" s="76" customFormat="1" spans="1:6">
      <c r="A9373">
        <v>9613</v>
      </c>
      <c r="B9373">
        <v>432020260</v>
      </c>
      <c r="C9373" s="76">
        <v>2020</v>
      </c>
      <c r="D9373" s="76" t="s">
        <v>34</v>
      </c>
      <c r="E9373" s="76">
        <v>25</v>
      </c>
      <c r="F9373" s="76">
        <v>5</v>
      </c>
    </row>
    <row r="9374" s="76" customFormat="1" spans="1:6">
      <c r="A9374">
        <v>9627</v>
      </c>
      <c r="B9374">
        <v>432020260</v>
      </c>
      <c r="C9374" s="76">
        <v>2020</v>
      </c>
      <c r="D9374" s="76" t="s">
        <v>34</v>
      </c>
      <c r="E9374" s="76">
        <v>25</v>
      </c>
      <c r="F9374" s="76">
        <v>8</v>
      </c>
    </row>
    <row r="9375" s="76" customFormat="1" spans="1:6">
      <c r="A9375">
        <v>9608</v>
      </c>
      <c r="B9375">
        <v>432020260</v>
      </c>
      <c r="C9375" s="76">
        <v>2020</v>
      </c>
      <c r="D9375" s="76" t="s">
        <v>34</v>
      </c>
      <c r="E9375" s="76">
        <v>25</v>
      </c>
      <c r="F9375" s="76">
        <v>5</v>
      </c>
    </row>
    <row r="9376" s="76" customFormat="1" spans="1:6">
      <c r="A9376">
        <v>9628</v>
      </c>
      <c r="B9376">
        <v>432020260</v>
      </c>
      <c r="C9376" s="76">
        <v>2020</v>
      </c>
      <c r="D9376" s="76" t="s">
        <v>34</v>
      </c>
      <c r="E9376" s="76">
        <v>20</v>
      </c>
      <c r="F9376" s="76">
        <v>5</v>
      </c>
    </row>
    <row r="9377" s="76" customFormat="1" spans="1:6">
      <c r="A9377">
        <v>9622</v>
      </c>
      <c r="B9377">
        <v>432020260</v>
      </c>
      <c r="C9377" s="76">
        <v>2020</v>
      </c>
      <c r="D9377" s="76" t="s">
        <v>34</v>
      </c>
      <c r="E9377" s="76">
        <v>8</v>
      </c>
      <c r="F9377" s="76">
        <v>2</v>
      </c>
    </row>
    <row r="9378" s="76" customFormat="1" spans="1:6">
      <c r="A9378">
        <v>9656</v>
      </c>
      <c r="B9378">
        <v>432020260</v>
      </c>
      <c r="C9378" s="76">
        <v>2020</v>
      </c>
      <c r="D9378" s="76" t="s">
        <v>34</v>
      </c>
      <c r="E9378" s="76" t="s">
        <v>32</v>
      </c>
      <c r="F9378" s="76">
        <v>4.5</v>
      </c>
    </row>
    <row r="9379" s="76" customFormat="1" spans="1:6">
      <c r="A9379">
        <v>9633</v>
      </c>
      <c r="B9379">
        <v>432020260</v>
      </c>
      <c r="C9379" s="76">
        <v>2020</v>
      </c>
      <c r="D9379" s="76" t="s">
        <v>34</v>
      </c>
      <c r="E9379" s="76">
        <v>20</v>
      </c>
      <c r="F9379" s="76">
        <v>5</v>
      </c>
    </row>
    <row r="9380" s="76" customFormat="1" spans="1:6">
      <c r="A9380">
        <v>9625</v>
      </c>
      <c r="B9380">
        <v>432020260</v>
      </c>
      <c r="C9380" s="76">
        <v>2020</v>
      </c>
      <c r="D9380" s="76" t="s">
        <v>34</v>
      </c>
      <c r="E9380" s="76">
        <v>7</v>
      </c>
      <c r="F9380" s="76">
        <v>1.62</v>
      </c>
    </row>
    <row r="9381" s="76" customFormat="1" spans="1:6">
      <c r="A9381">
        <v>9609</v>
      </c>
      <c r="B9381">
        <v>432020260</v>
      </c>
      <c r="C9381" s="76">
        <v>2020</v>
      </c>
      <c r="D9381" s="76" t="s">
        <v>34</v>
      </c>
      <c r="E9381" s="76">
        <v>60</v>
      </c>
      <c r="F9381" s="76">
        <v>12</v>
      </c>
    </row>
    <row r="9382" s="76" customFormat="1" spans="1:6">
      <c r="A9382">
        <v>9614</v>
      </c>
      <c r="B9382">
        <v>432020260</v>
      </c>
      <c r="C9382" s="76">
        <v>2020</v>
      </c>
      <c r="D9382" s="76" t="s">
        <v>34</v>
      </c>
      <c r="E9382" s="76">
        <v>1</v>
      </c>
      <c r="F9382" s="76">
        <v>0.25</v>
      </c>
    </row>
    <row r="9383" s="76" customFormat="1" spans="1:6">
      <c r="A9383">
        <v>9651</v>
      </c>
      <c r="B9383">
        <v>432020260</v>
      </c>
      <c r="C9383" s="76">
        <v>2020</v>
      </c>
      <c r="D9383" s="76" t="s">
        <v>34</v>
      </c>
      <c r="E9383" s="76" t="s">
        <v>32</v>
      </c>
      <c r="F9383" s="76">
        <v>5</v>
      </c>
    </row>
    <row r="9384" s="76" customFormat="1" spans="1:6">
      <c r="A9384">
        <v>9632</v>
      </c>
      <c r="B9384">
        <v>432020260</v>
      </c>
      <c r="C9384" s="76">
        <v>2020</v>
      </c>
      <c r="D9384" s="76" t="s">
        <v>34</v>
      </c>
      <c r="E9384" s="76">
        <v>19</v>
      </c>
      <c r="F9384" s="76">
        <v>1.86</v>
      </c>
    </row>
    <row r="9385" s="76" customFormat="1" spans="1:6">
      <c r="A9385">
        <v>9677</v>
      </c>
      <c r="B9385">
        <v>432020260</v>
      </c>
      <c r="C9385" s="76">
        <v>2020</v>
      </c>
      <c r="D9385" s="76" t="s">
        <v>34</v>
      </c>
      <c r="E9385" s="76" t="s">
        <v>32</v>
      </c>
      <c r="F9385" s="76">
        <v>1</v>
      </c>
    </row>
    <row r="9386" s="76" customFormat="1" spans="1:6">
      <c r="A9386">
        <v>9660</v>
      </c>
      <c r="B9386">
        <v>432020260</v>
      </c>
      <c r="C9386" s="76">
        <v>2020</v>
      </c>
      <c r="D9386" s="76" t="s">
        <v>34</v>
      </c>
      <c r="E9386" s="76" t="s">
        <v>32</v>
      </c>
      <c r="F9386" s="76">
        <v>0.6</v>
      </c>
    </row>
    <row r="9387" s="76" customFormat="1" spans="1:6">
      <c r="A9387">
        <v>9640</v>
      </c>
      <c r="B9387">
        <v>432020260</v>
      </c>
      <c r="C9387" s="76">
        <v>2020</v>
      </c>
      <c r="D9387" s="76" t="s">
        <v>34</v>
      </c>
      <c r="E9387" s="76" t="s">
        <v>32</v>
      </c>
      <c r="F9387" s="76">
        <v>3.4</v>
      </c>
    </row>
    <row r="9388" s="76" customFormat="1" spans="1:6">
      <c r="A9388">
        <v>9645</v>
      </c>
      <c r="B9388">
        <v>432020260</v>
      </c>
      <c r="C9388" s="76">
        <v>2020</v>
      </c>
      <c r="D9388" s="76" t="s">
        <v>34</v>
      </c>
      <c r="E9388" s="76" t="s">
        <v>32</v>
      </c>
      <c r="F9388" s="76">
        <v>4.48</v>
      </c>
    </row>
    <row r="9389" s="76" customFormat="1" spans="1:6">
      <c r="A9389">
        <v>9637</v>
      </c>
      <c r="B9389">
        <v>432020260</v>
      </c>
      <c r="C9389" s="76">
        <v>2020</v>
      </c>
      <c r="D9389" s="76" t="s">
        <v>34</v>
      </c>
      <c r="E9389" s="76" t="s">
        <v>32</v>
      </c>
      <c r="F9389" s="76">
        <v>5</v>
      </c>
    </row>
    <row r="9390" s="76" customFormat="1" spans="1:6">
      <c r="A9390">
        <v>9620</v>
      </c>
      <c r="B9390">
        <v>432020260</v>
      </c>
      <c r="C9390" s="76">
        <v>2020</v>
      </c>
      <c r="D9390" s="76" t="s">
        <v>34</v>
      </c>
      <c r="E9390" s="76" t="s">
        <v>32</v>
      </c>
      <c r="F9390" s="76">
        <v>1</v>
      </c>
    </row>
    <row r="9391" s="76" customFormat="1" spans="1:6">
      <c r="A9391">
        <v>9621</v>
      </c>
      <c r="B9391">
        <v>432020260</v>
      </c>
      <c r="C9391" s="76">
        <v>2020</v>
      </c>
      <c r="D9391" s="76" t="s">
        <v>34</v>
      </c>
      <c r="E9391" s="76" t="s">
        <v>32</v>
      </c>
      <c r="F9391" s="76">
        <v>1.54</v>
      </c>
    </row>
    <row r="9392" s="76" customFormat="1" spans="1:6">
      <c r="A9392">
        <v>9643</v>
      </c>
      <c r="B9392">
        <v>432020260</v>
      </c>
      <c r="C9392" s="76">
        <v>2020</v>
      </c>
      <c r="D9392" s="76" t="s">
        <v>34</v>
      </c>
      <c r="E9392" s="76" t="s">
        <v>32</v>
      </c>
      <c r="F9392" s="76">
        <v>1.5</v>
      </c>
    </row>
    <row r="9393" s="76" customFormat="1" spans="1:6">
      <c r="A9393">
        <v>9654</v>
      </c>
      <c r="B9393">
        <v>432020260</v>
      </c>
      <c r="C9393" s="76">
        <v>2020</v>
      </c>
      <c r="D9393" s="76" t="s">
        <v>34</v>
      </c>
      <c r="E9393" s="76" t="s">
        <v>32</v>
      </c>
      <c r="F9393" s="76">
        <v>5</v>
      </c>
    </row>
    <row r="9394" s="76" customFormat="1" spans="1:6">
      <c r="A9394">
        <v>9663</v>
      </c>
      <c r="B9394">
        <v>432020260</v>
      </c>
      <c r="C9394" s="76">
        <v>2020</v>
      </c>
      <c r="D9394" s="76" t="s">
        <v>34</v>
      </c>
      <c r="E9394" s="76" t="s">
        <v>32</v>
      </c>
      <c r="F9394" s="76">
        <v>5</v>
      </c>
    </row>
    <row r="9395" s="76" customFormat="1" spans="1:6">
      <c r="A9395">
        <v>9658</v>
      </c>
      <c r="B9395">
        <v>432020260</v>
      </c>
      <c r="C9395" s="76">
        <v>2020</v>
      </c>
      <c r="D9395" s="76" t="s">
        <v>34</v>
      </c>
      <c r="E9395" s="76" t="s">
        <v>32</v>
      </c>
      <c r="F9395" s="76">
        <v>0.25</v>
      </c>
    </row>
    <row r="9396" s="76" customFormat="1" spans="1:6">
      <c r="A9396">
        <v>9655</v>
      </c>
      <c r="B9396">
        <v>432020260</v>
      </c>
      <c r="C9396" s="76">
        <v>2020</v>
      </c>
      <c r="D9396" s="76" t="s">
        <v>34</v>
      </c>
      <c r="E9396" s="76" t="s">
        <v>32</v>
      </c>
      <c r="F9396" s="76">
        <v>5</v>
      </c>
    </row>
    <row r="9397" s="76" customFormat="1" spans="1:6">
      <c r="A9397">
        <v>9666</v>
      </c>
      <c r="B9397">
        <v>432020260</v>
      </c>
      <c r="C9397" s="76">
        <v>2020</v>
      </c>
      <c r="D9397" s="76" t="s">
        <v>34</v>
      </c>
      <c r="E9397" s="76" t="s">
        <v>32</v>
      </c>
      <c r="F9397" s="76">
        <v>1.2</v>
      </c>
    </row>
    <row r="9398" s="76" customFormat="1" spans="1:6">
      <c r="A9398">
        <v>9638</v>
      </c>
      <c r="B9398">
        <v>432020260</v>
      </c>
      <c r="C9398" s="76">
        <v>2020</v>
      </c>
      <c r="D9398" s="76" t="s">
        <v>34</v>
      </c>
      <c r="E9398" s="76" t="s">
        <v>32</v>
      </c>
      <c r="F9398" s="76">
        <v>2.4</v>
      </c>
    </row>
    <row r="9399" s="76" customFormat="1" spans="1:6">
      <c r="A9399">
        <v>9671</v>
      </c>
      <c r="B9399">
        <v>432020260</v>
      </c>
      <c r="C9399" s="76">
        <v>2020</v>
      </c>
      <c r="D9399" s="76" t="s">
        <v>34</v>
      </c>
      <c r="E9399" s="76" t="s">
        <v>32</v>
      </c>
      <c r="F9399" s="76">
        <v>0.25</v>
      </c>
    </row>
    <row r="9400" s="76" customFormat="1" spans="1:6">
      <c r="A9400">
        <v>9672</v>
      </c>
      <c r="B9400">
        <v>432020260</v>
      </c>
      <c r="C9400" s="76">
        <v>2020</v>
      </c>
      <c r="D9400" s="76" t="s">
        <v>34</v>
      </c>
      <c r="E9400" s="76" t="s">
        <v>32</v>
      </c>
      <c r="F9400" s="76">
        <v>0.3</v>
      </c>
    </row>
    <row r="9401" s="76" customFormat="1" spans="1:6">
      <c r="A9401">
        <v>9670</v>
      </c>
      <c r="B9401">
        <v>432020260</v>
      </c>
      <c r="C9401" s="76">
        <v>2020</v>
      </c>
      <c r="D9401" s="76" t="s">
        <v>34</v>
      </c>
      <c r="E9401" s="76" t="s">
        <v>32</v>
      </c>
      <c r="F9401" s="76">
        <v>4.4</v>
      </c>
    </row>
    <row r="9402" s="76" customFormat="1" spans="1:6">
      <c r="A9402">
        <v>9617</v>
      </c>
      <c r="B9402">
        <v>432020260</v>
      </c>
      <c r="C9402" s="76">
        <v>2020</v>
      </c>
      <c r="D9402" s="76" t="s">
        <v>34</v>
      </c>
      <c r="E9402" s="76" t="s">
        <v>32</v>
      </c>
      <c r="F9402" s="76">
        <v>2.2</v>
      </c>
    </row>
    <row r="9403" s="76" customFormat="1" spans="1:6">
      <c r="A9403">
        <v>9657</v>
      </c>
      <c r="B9403">
        <v>432020260</v>
      </c>
      <c r="C9403" s="76">
        <v>2020</v>
      </c>
      <c r="D9403" s="76" t="s">
        <v>34</v>
      </c>
      <c r="E9403" s="76" t="s">
        <v>32</v>
      </c>
      <c r="F9403" s="76">
        <v>0.5</v>
      </c>
    </row>
    <row r="9404" s="76" customFormat="1" spans="1:6">
      <c r="A9404">
        <v>9647</v>
      </c>
      <c r="B9404">
        <v>432020260</v>
      </c>
      <c r="C9404" s="76">
        <v>2020</v>
      </c>
      <c r="D9404" s="76" t="s">
        <v>34</v>
      </c>
      <c r="E9404" s="76" t="s">
        <v>32</v>
      </c>
      <c r="F9404" s="76">
        <v>1.98</v>
      </c>
    </row>
    <row r="9405" s="76" customFormat="1" spans="1:6">
      <c r="A9405">
        <v>9667</v>
      </c>
      <c r="B9405">
        <v>432020260</v>
      </c>
      <c r="C9405" s="76">
        <v>2020</v>
      </c>
      <c r="D9405" s="76" t="s">
        <v>34</v>
      </c>
      <c r="E9405" s="76" t="s">
        <v>32</v>
      </c>
      <c r="F9405" s="76">
        <v>0.53</v>
      </c>
    </row>
    <row r="9406" s="76" customFormat="1" spans="1:6">
      <c r="A9406">
        <v>9616</v>
      </c>
      <c r="B9406">
        <v>432020260</v>
      </c>
      <c r="C9406" s="76">
        <v>2020</v>
      </c>
      <c r="D9406" s="76" t="s">
        <v>34</v>
      </c>
      <c r="E9406" s="76" t="s">
        <v>32</v>
      </c>
      <c r="F9406" s="76">
        <v>1.6</v>
      </c>
    </row>
    <row r="9407" s="76" customFormat="1" spans="1:6">
      <c r="A9407">
        <v>9635</v>
      </c>
      <c r="B9407">
        <v>432020260</v>
      </c>
      <c r="C9407" s="76">
        <v>2020</v>
      </c>
      <c r="D9407" s="76" t="s">
        <v>34</v>
      </c>
      <c r="E9407" s="76">
        <v>20</v>
      </c>
      <c r="F9407" s="76">
        <v>5</v>
      </c>
    </row>
    <row r="9408" s="76" customFormat="1" spans="1:6">
      <c r="A9408">
        <v>9673</v>
      </c>
      <c r="B9408">
        <v>432020260</v>
      </c>
      <c r="C9408" s="76">
        <v>2020</v>
      </c>
      <c r="D9408" s="76" t="s">
        <v>34</v>
      </c>
      <c r="E9408" s="76" t="s">
        <v>32</v>
      </c>
      <c r="F9408" s="76">
        <v>0.45</v>
      </c>
    </row>
    <row r="9409" s="76" customFormat="1" spans="1:6">
      <c r="A9409">
        <v>9652</v>
      </c>
      <c r="B9409">
        <v>432020260</v>
      </c>
      <c r="C9409" s="76">
        <v>2020</v>
      </c>
      <c r="D9409" s="76" t="s">
        <v>34</v>
      </c>
      <c r="E9409" s="76" t="s">
        <v>32</v>
      </c>
      <c r="F9409" s="76">
        <v>5</v>
      </c>
    </row>
    <row r="9410" s="76" customFormat="1" spans="1:6">
      <c r="A9410">
        <v>9687</v>
      </c>
      <c r="B9410">
        <v>432020270</v>
      </c>
      <c r="C9410" s="76">
        <v>2020</v>
      </c>
      <c r="D9410" s="76" t="s">
        <v>31</v>
      </c>
      <c r="E9410" s="76" t="s">
        <v>32</v>
      </c>
      <c r="F9410" s="76">
        <v>0.76</v>
      </c>
    </row>
    <row r="9411" s="76" customFormat="1" spans="1:6">
      <c r="A9411">
        <v>9686</v>
      </c>
      <c r="B9411">
        <v>432020270</v>
      </c>
      <c r="C9411" s="76">
        <v>2020</v>
      </c>
      <c r="D9411" s="76" t="s">
        <v>31</v>
      </c>
      <c r="E9411" s="76" t="s">
        <v>32</v>
      </c>
      <c r="F9411" s="76">
        <v>0.95</v>
      </c>
    </row>
    <row r="9412" s="76" customFormat="1" spans="1:6">
      <c r="A9412">
        <v>9685</v>
      </c>
      <c r="B9412">
        <v>432020270</v>
      </c>
      <c r="C9412" s="76">
        <v>2020</v>
      </c>
      <c r="D9412" s="76" t="s">
        <v>31</v>
      </c>
      <c r="E9412" s="76" t="s">
        <v>32</v>
      </c>
      <c r="F9412" s="76">
        <v>0.02</v>
      </c>
    </row>
    <row r="9413" s="76" customFormat="1" spans="1:6">
      <c r="A9413">
        <v>9698</v>
      </c>
      <c r="B9413">
        <v>432020270</v>
      </c>
      <c r="C9413" s="76">
        <v>2020</v>
      </c>
      <c r="D9413" s="76" t="s">
        <v>31</v>
      </c>
      <c r="E9413" s="76" t="s">
        <v>32</v>
      </c>
      <c r="F9413" s="76">
        <v>1.32</v>
      </c>
    </row>
    <row r="9414" s="76" customFormat="1" spans="1:6">
      <c r="A9414">
        <v>9693</v>
      </c>
      <c r="B9414">
        <v>432020270</v>
      </c>
      <c r="C9414" s="76">
        <v>2020</v>
      </c>
      <c r="D9414" s="76" t="s">
        <v>31</v>
      </c>
      <c r="E9414" s="76" t="s">
        <v>32</v>
      </c>
      <c r="F9414" s="76">
        <v>2</v>
      </c>
    </row>
    <row r="9415" s="76" customFormat="1" spans="1:6">
      <c r="A9415">
        <v>9697</v>
      </c>
      <c r="B9415">
        <v>432020270</v>
      </c>
      <c r="C9415" s="76">
        <v>2020</v>
      </c>
      <c r="D9415" s="76" t="s">
        <v>31</v>
      </c>
      <c r="E9415" s="76" t="s">
        <v>32</v>
      </c>
      <c r="F9415" s="76">
        <v>1.8</v>
      </c>
    </row>
    <row r="9416" s="76" customFormat="1" spans="1:6">
      <c r="A9416">
        <v>9683</v>
      </c>
      <c r="B9416">
        <v>432020270</v>
      </c>
      <c r="C9416" s="76">
        <v>2020</v>
      </c>
      <c r="D9416" s="76" t="s">
        <v>31</v>
      </c>
      <c r="E9416" s="76" t="s">
        <v>32</v>
      </c>
      <c r="F9416" s="76">
        <v>1.8</v>
      </c>
    </row>
    <row r="9417" s="76" customFormat="1" spans="1:6">
      <c r="A9417">
        <v>9690</v>
      </c>
      <c r="B9417">
        <v>432020270</v>
      </c>
      <c r="C9417" s="76">
        <v>2020</v>
      </c>
      <c r="D9417" s="76" t="s">
        <v>31</v>
      </c>
      <c r="E9417" s="76" t="s">
        <v>32</v>
      </c>
      <c r="F9417" s="76">
        <v>0.87</v>
      </c>
    </row>
    <row r="9418" s="76" customFormat="1" spans="1:6">
      <c r="A9418">
        <v>9695</v>
      </c>
      <c r="B9418">
        <v>432020270</v>
      </c>
      <c r="C9418" s="76">
        <v>2020</v>
      </c>
      <c r="D9418" s="76" t="s">
        <v>31</v>
      </c>
      <c r="E9418" s="76" t="s">
        <v>32</v>
      </c>
      <c r="F9418" s="76">
        <v>6</v>
      </c>
    </row>
    <row r="9419" s="76" customFormat="1" spans="1:6">
      <c r="A9419">
        <v>9681</v>
      </c>
      <c r="B9419">
        <v>432020270</v>
      </c>
      <c r="C9419" s="76">
        <v>2020</v>
      </c>
      <c r="D9419" s="76" t="s">
        <v>31</v>
      </c>
      <c r="E9419" s="76" t="s">
        <v>32</v>
      </c>
      <c r="F9419" s="76">
        <v>10</v>
      </c>
    </row>
    <row r="9420" s="76" customFormat="1" spans="1:6">
      <c r="A9420">
        <v>9682</v>
      </c>
      <c r="B9420">
        <v>432020270</v>
      </c>
      <c r="C9420" s="76">
        <v>2020</v>
      </c>
      <c r="D9420" s="76" t="s">
        <v>31</v>
      </c>
      <c r="E9420" s="76" t="s">
        <v>32</v>
      </c>
      <c r="F9420" s="76">
        <v>2</v>
      </c>
    </row>
    <row r="9421" s="76" customFormat="1" spans="1:6">
      <c r="A9421">
        <v>9684</v>
      </c>
      <c r="B9421">
        <v>432020270</v>
      </c>
      <c r="C9421" s="76">
        <v>2020</v>
      </c>
      <c r="D9421" s="76" t="s">
        <v>31</v>
      </c>
      <c r="E9421" s="76" t="s">
        <v>32</v>
      </c>
      <c r="F9421" s="76">
        <v>0.19</v>
      </c>
    </row>
    <row r="9422" s="76" customFormat="1" spans="1:6">
      <c r="A9422">
        <v>9688</v>
      </c>
      <c r="B9422">
        <v>432020270</v>
      </c>
      <c r="C9422" s="76">
        <v>2020</v>
      </c>
      <c r="D9422" s="76" t="s">
        <v>31</v>
      </c>
      <c r="E9422" s="76" t="s">
        <v>32</v>
      </c>
      <c r="F9422" s="76">
        <v>0.6</v>
      </c>
    </row>
    <row r="9423" s="76" customFormat="1" spans="1:6">
      <c r="A9423">
        <v>9696</v>
      </c>
      <c r="B9423">
        <v>432020270</v>
      </c>
      <c r="C9423" s="76">
        <v>2020</v>
      </c>
      <c r="D9423" s="76" t="s">
        <v>31</v>
      </c>
      <c r="E9423" s="76" t="s">
        <v>32</v>
      </c>
      <c r="F9423" s="76">
        <v>5</v>
      </c>
    </row>
    <row r="9424" s="76" customFormat="1" spans="1:6">
      <c r="A9424">
        <v>9692</v>
      </c>
      <c r="B9424">
        <v>432020270</v>
      </c>
      <c r="C9424" s="76">
        <v>2020</v>
      </c>
      <c r="D9424" s="76" t="s">
        <v>31</v>
      </c>
      <c r="E9424" s="76" t="s">
        <v>32</v>
      </c>
      <c r="F9424" s="76">
        <v>0.64</v>
      </c>
    </row>
    <row r="9425" s="76" customFormat="1" spans="1:6">
      <c r="A9425">
        <v>9694</v>
      </c>
      <c r="B9425">
        <v>432020270</v>
      </c>
      <c r="C9425" s="76">
        <v>2020</v>
      </c>
      <c r="D9425" s="76" t="s">
        <v>31</v>
      </c>
      <c r="E9425" s="76" t="s">
        <v>32</v>
      </c>
      <c r="F9425" s="76">
        <v>0.18</v>
      </c>
    </row>
    <row r="9426" s="76" customFormat="1" spans="1:6">
      <c r="A9426">
        <v>9691</v>
      </c>
      <c r="B9426">
        <v>432020270</v>
      </c>
      <c r="C9426" s="76">
        <v>2020</v>
      </c>
      <c r="D9426" s="76" t="s">
        <v>31</v>
      </c>
      <c r="E9426" s="76" t="s">
        <v>32</v>
      </c>
      <c r="F9426" s="76">
        <v>0.96</v>
      </c>
    </row>
    <row r="9427" s="76" customFormat="1" spans="1:6">
      <c r="A9427">
        <v>9689</v>
      </c>
      <c r="B9427">
        <v>432020270</v>
      </c>
      <c r="C9427" s="76">
        <v>2020</v>
      </c>
      <c r="D9427" s="76" t="s">
        <v>31</v>
      </c>
      <c r="E9427" s="76" t="s">
        <v>32</v>
      </c>
      <c r="F9427" s="76">
        <v>2.7</v>
      </c>
    </row>
    <row r="9428" s="76" customFormat="1" spans="1:6">
      <c r="A9428">
        <v>9704</v>
      </c>
      <c r="B9428">
        <v>432021110</v>
      </c>
      <c r="C9428" s="76">
        <v>2021</v>
      </c>
      <c r="D9428" s="76" t="s">
        <v>40</v>
      </c>
      <c r="E9428" s="76" t="s">
        <v>32</v>
      </c>
      <c r="F9428" s="76">
        <v>0.2</v>
      </c>
    </row>
    <row r="9429" s="76" customFormat="1" spans="1:6">
      <c r="A9429">
        <v>9706</v>
      </c>
      <c r="B9429">
        <v>432021110</v>
      </c>
      <c r="C9429" s="76">
        <v>2021</v>
      </c>
      <c r="D9429" s="76" t="s">
        <v>40</v>
      </c>
      <c r="E9429" s="76" t="s">
        <v>32</v>
      </c>
      <c r="F9429" s="76">
        <v>0.4</v>
      </c>
    </row>
    <row r="9430" s="76" customFormat="1" spans="1:6">
      <c r="A9430">
        <v>9707</v>
      </c>
      <c r="B9430">
        <v>432021110</v>
      </c>
      <c r="C9430" s="76">
        <v>2021</v>
      </c>
      <c r="D9430" s="76" t="s">
        <v>40</v>
      </c>
      <c r="E9430" s="76" t="s">
        <v>32</v>
      </c>
      <c r="F9430" s="76">
        <v>0.05</v>
      </c>
    </row>
    <row r="9431" s="76" customFormat="1" spans="1:6">
      <c r="A9431">
        <v>9703</v>
      </c>
      <c r="B9431">
        <v>432021110</v>
      </c>
      <c r="C9431" s="76">
        <v>2021</v>
      </c>
      <c r="D9431" s="76" t="s">
        <v>40</v>
      </c>
      <c r="E9431" s="76" t="s">
        <v>32</v>
      </c>
      <c r="F9431" s="76">
        <v>0.76</v>
      </c>
    </row>
    <row r="9432" s="76" customFormat="1" spans="1:6">
      <c r="A9432">
        <v>9705</v>
      </c>
      <c r="B9432">
        <v>432021110</v>
      </c>
      <c r="C9432" s="76">
        <v>2021</v>
      </c>
      <c r="D9432" s="76" t="s">
        <v>40</v>
      </c>
      <c r="E9432" s="76" t="s">
        <v>32</v>
      </c>
      <c r="F9432" s="76">
        <v>0.2</v>
      </c>
    </row>
    <row r="9433" s="76" customFormat="1" spans="1:6">
      <c r="A9433">
        <v>9708</v>
      </c>
      <c r="B9433">
        <v>432021110</v>
      </c>
      <c r="C9433" s="76">
        <v>2021</v>
      </c>
      <c r="D9433" s="76" t="s">
        <v>40</v>
      </c>
      <c r="E9433" s="76" t="s">
        <v>32</v>
      </c>
      <c r="F9433" s="76">
        <v>0.04</v>
      </c>
    </row>
    <row r="9434" s="76" customFormat="1" spans="1:6">
      <c r="A9434">
        <v>9702</v>
      </c>
      <c r="B9434">
        <v>432021110</v>
      </c>
      <c r="C9434" s="76">
        <v>2021</v>
      </c>
      <c r="D9434" s="76" t="s">
        <v>40</v>
      </c>
      <c r="E9434" s="76" t="s">
        <v>32</v>
      </c>
      <c r="F9434" s="76">
        <v>1</v>
      </c>
    </row>
    <row r="9435" s="76" customFormat="1" spans="1:6">
      <c r="A9435">
        <v>9701</v>
      </c>
      <c r="B9435">
        <v>432021110</v>
      </c>
      <c r="C9435" s="76">
        <v>2021</v>
      </c>
      <c r="D9435" s="76" t="s">
        <v>40</v>
      </c>
      <c r="E9435" s="76" t="s">
        <v>32</v>
      </c>
      <c r="F9435" s="76">
        <v>0.64</v>
      </c>
    </row>
    <row r="9436" s="76" customFormat="1" spans="1:6">
      <c r="A9436">
        <v>9700</v>
      </c>
      <c r="B9436">
        <v>432021110</v>
      </c>
      <c r="C9436" s="76">
        <v>2021</v>
      </c>
      <c r="D9436" s="76" t="s">
        <v>40</v>
      </c>
      <c r="E9436" s="76" t="s">
        <v>32</v>
      </c>
      <c r="F9436" s="76">
        <v>0.8</v>
      </c>
    </row>
    <row r="9437" s="76" customFormat="1" spans="1:6">
      <c r="A9437">
        <v>9699</v>
      </c>
      <c r="B9437">
        <v>432021110</v>
      </c>
      <c r="C9437" s="76">
        <v>2021</v>
      </c>
      <c r="D9437" s="76" t="s">
        <v>40</v>
      </c>
      <c r="E9437" s="76" t="s">
        <v>32</v>
      </c>
      <c r="F9437" s="76">
        <v>1.2</v>
      </c>
    </row>
    <row r="9438" s="76" customFormat="1" spans="1:6">
      <c r="A9438">
        <v>9709</v>
      </c>
      <c r="B9438">
        <v>432021211</v>
      </c>
      <c r="C9438" s="76">
        <v>2021</v>
      </c>
      <c r="D9438" s="76" t="s">
        <v>37</v>
      </c>
      <c r="E9438" s="76">
        <v>2</v>
      </c>
      <c r="F9438" s="76">
        <v>200</v>
      </c>
    </row>
    <row r="9439" s="76" customFormat="1" spans="1:6">
      <c r="A9439">
        <v>9711</v>
      </c>
      <c r="B9439">
        <v>432021211</v>
      </c>
      <c r="C9439" s="76">
        <v>2021</v>
      </c>
      <c r="D9439" s="76" t="s">
        <v>37</v>
      </c>
      <c r="E9439" s="76" t="s">
        <v>32</v>
      </c>
      <c r="F9439" s="76">
        <v>6</v>
      </c>
    </row>
    <row r="9440" s="76" customFormat="1" spans="1:6">
      <c r="A9440">
        <v>9710</v>
      </c>
      <c r="B9440">
        <v>432021211</v>
      </c>
      <c r="C9440" s="76">
        <v>2021</v>
      </c>
      <c r="D9440" s="76" t="s">
        <v>37</v>
      </c>
      <c r="E9440" s="76" t="s">
        <v>32</v>
      </c>
      <c r="F9440" s="76">
        <v>0.6</v>
      </c>
    </row>
    <row r="9441" s="76" customFormat="1" spans="1:6">
      <c r="A9441">
        <v>9712</v>
      </c>
      <c r="B9441">
        <v>432021223</v>
      </c>
      <c r="C9441" s="76">
        <v>2021</v>
      </c>
      <c r="D9441" s="76" t="s">
        <v>36</v>
      </c>
      <c r="E9441" s="76" t="s">
        <v>32</v>
      </c>
      <c r="F9441" s="76">
        <v>3</v>
      </c>
    </row>
    <row r="9442" s="76" customFormat="1" spans="1:6">
      <c r="A9442">
        <v>9716</v>
      </c>
      <c r="B9442">
        <v>432021241</v>
      </c>
      <c r="C9442" s="76">
        <v>2021</v>
      </c>
      <c r="D9442" s="76" t="s">
        <v>33</v>
      </c>
      <c r="E9442" s="76" t="s">
        <v>32</v>
      </c>
      <c r="F9442" s="76">
        <v>3</v>
      </c>
    </row>
    <row r="9443" s="76" customFormat="1" spans="1:6">
      <c r="A9443">
        <v>9715</v>
      </c>
      <c r="B9443">
        <v>432021241</v>
      </c>
      <c r="C9443" s="76">
        <v>2021</v>
      </c>
      <c r="D9443" s="76" t="s">
        <v>33</v>
      </c>
      <c r="E9443" s="76" t="s">
        <v>32</v>
      </c>
      <c r="F9443" s="76">
        <v>0.6</v>
      </c>
    </row>
    <row r="9444" s="76" customFormat="1" spans="1:6">
      <c r="A9444">
        <v>9714</v>
      </c>
      <c r="B9444">
        <v>432021241</v>
      </c>
      <c r="C9444" s="76">
        <v>2021</v>
      </c>
      <c r="D9444" s="76" t="s">
        <v>33</v>
      </c>
      <c r="E9444" s="76" t="s">
        <v>32</v>
      </c>
      <c r="F9444" s="76">
        <v>0.8</v>
      </c>
    </row>
    <row r="9445" s="76" customFormat="1" spans="1:6">
      <c r="A9445">
        <v>9717</v>
      </c>
      <c r="B9445">
        <v>432021241</v>
      </c>
      <c r="C9445" s="76">
        <v>2021</v>
      </c>
      <c r="D9445" s="76" t="s">
        <v>33</v>
      </c>
      <c r="E9445" s="76" t="s">
        <v>32</v>
      </c>
      <c r="F9445" s="76">
        <v>0.3</v>
      </c>
    </row>
    <row r="9446" s="76" customFormat="1" spans="1:6">
      <c r="A9446">
        <v>9713</v>
      </c>
      <c r="B9446">
        <v>432021241</v>
      </c>
      <c r="C9446" s="76">
        <v>2021</v>
      </c>
      <c r="D9446" s="76" t="s">
        <v>33</v>
      </c>
      <c r="E9446" s="76" t="s">
        <v>32</v>
      </c>
      <c r="F9446" s="76">
        <v>0.6</v>
      </c>
    </row>
    <row r="9447" s="76" customFormat="1" spans="1:6">
      <c r="A9447">
        <v>9727</v>
      </c>
      <c r="B9447">
        <v>432021242</v>
      </c>
      <c r="C9447" s="76">
        <v>2021</v>
      </c>
      <c r="D9447" s="76" t="s">
        <v>35</v>
      </c>
      <c r="E9447" s="76" t="s">
        <v>32</v>
      </c>
      <c r="F9447" s="76">
        <v>1.5</v>
      </c>
    </row>
    <row r="9448" s="76" customFormat="1" spans="1:6">
      <c r="A9448">
        <v>9726</v>
      </c>
      <c r="B9448">
        <v>432021242</v>
      </c>
      <c r="C9448" s="76">
        <v>2021</v>
      </c>
      <c r="D9448" s="76" t="s">
        <v>35</v>
      </c>
      <c r="E9448" s="76" t="s">
        <v>32</v>
      </c>
      <c r="F9448" s="76">
        <v>1.2</v>
      </c>
    </row>
    <row r="9449" s="76" customFormat="1" spans="1:6">
      <c r="A9449">
        <v>9721</v>
      </c>
      <c r="B9449">
        <v>432021242</v>
      </c>
      <c r="C9449" s="76">
        <v>2021</v>
      </c>
      <c r="D9449" s="76" t="s">
        <v>35</v>
      </c>
      <c r="E9449" s="76" t="s">
        <v>32</v>
      </c>
      <c r="F9449" s="76">
        <v>0.75</v>
      </c>
    </row>
    <row r="9450" s="76" customFormat="1" spans="1:6">
      <c r="A9450">
        <v>9722</v>
      </c>
      <c r="B9450">
        <v>432021242</v>
      </c>
      <c r="C9450" s="76">
        <v>2021</v>
      </c>
      <c r="D9450" s="76" t="s">
        <v>35</v>
      </c>
      <c r="E9450" s="76" t="s">
        <v>32</v>
      </c>
      <c r="F9450" s="76">
        <v>2</v>
      </c>
    </row>
    <row r="9451" s="76" customFormat="1" spans="1:6">
      <c r="A9451">
        <v>9723</v>
      </c>
      <c r="B9451">
        <v>432021242</v>
      </c>
      <c r="C9451" s="76">
        <v>2021</v>
      </c>
      <c r="D9451" s="76" t="s">
        <v>35</v>
      </c>
      <c r="E9451" s="76" t="s">
        <v>32</v>
      </c>
      <c r="F9451" s="76">
        <v>2.4</v>
      </c>
    </row>
    <row r="9452" s="76" customFormat="1" spans="1:6">
      <c r="A9452">
        <v>9720</v>
      </c>
      <c r="B9452">
        <v>432021242</v>
      </c>
      <c r="C9452" s="76">
        <v>2021</v>
      </c>
      <c r="D9452" s="76" t="s">
        <v>35</v>
      </c>
      <c r="E9452" s="76" t="s">
        <v>32</v>
      </c>
      <c r="F9452" s="76">
        <v>1</v>
      </c>
    </row>
    <row r="9453" s="76" customFormat="1" spans="1:6">
      <c r="A9453">
        <v>9724</v>
      </c>
      <c r="B9453">
        <v>432021242</v>
      </c>
      <c r="C9453" s="76">
        <v>2021</v>
      </c>
      <c r="D9453" s="76" t="s">
        <v>35</v>
      </c>
      <c r="E9453" s="76" t="s">
        <v>32</v>
      </c>
      <c r="F9453" s="76">
        <v>0.9</v>
      </c>
    </row>
    <row r="9454" s="76" customFormat="1" spans="1:6">
      <c r="A9454">
        <v>9725</v>
      </c>
      <c r="B9454">
        <v>432021242</v>
      </c>
      <c r="C9454" s="76">
        <v>2021</v>
      </c>
      <c r="D9454" s="76" t="s">
        <v>35</v>
      </c>
      <c r="E9454" s="76" t="s">
        <v>32</v>
      </c>
      <c r="F9454" s="76">
        <v>1.5</v>
      </c>
    </row>
    <row r="9455" s="76" customFormat="1" spans="1:6">
      <c r="A9455">
        <v>9719</v>
      </c>
      <c r="B9455">
        <v>432021242</v>
      </c>
      <c r="C9455" s="76">
        <v>2021</v>
      </c>
      <c r="D9455" s="76" t="s">
        <v>35</v>
      </c>
      <c r="E9455" s="76" t="s">
        <v>32</v>
      </c>
      <c r="F9455" s="76">
        <v>1.5</v>
      </c>
    </row>
    <row r="9456" s="76" customFormat="1" spans="1:6">
      <c r="A9456">
        <v>9718</v>
      </c>
      <c r="B9456">
        <v>432021242</v>
      </c>
      <c r="C9456" s="76">
        <v>2021</v>
      </c>
      <c r="D9456" s="76" t="s">
        <v>35</v>
      </c>
      <c r="E9456" s="76" t="s">
        <v>32</v>
      </c>
      <c r="F9456" s="76">
        <v>9</v>
      </c>
    </row>
    <row r="9457" s="76" customFormat="1" spans="1:6">
      <c r="A9457">
        <v>9728</v>
      </c>
      <c r="B9457">
        <v>432021243</v>
      </c>
      <c r="C9457" s="76">
        <v>2021</v>
      </c>
      <c r="D9457" s="76" t="s">
        <v>38</v>
      </c>
      <c r="E9457" s="76" t="s">
        <v>32</v>
      </c>
      <c r="F9457" s="76">
        <v>2</v>
      </c>
    </row>
    <row r="9458" s="76" customFormat="1" spans="1:6">
      <c r="A9458">
        <v>9751</v>
      </c>
      <c r="B9458">
        <v>432021260</v>
      </c>
      <c r="C9458" s="76">
        <v>2021</v>
      </c>
      <c r="D9458" s="76" t="s">
        <v>34</v>
      </c>
      <c r="E9458" s="76" t="s">
        <v>32</v>
      </c>
      <c r="F9458" s="76">
        <v>2.2</v>
      </c>
    </row>
    <row r="9459" s="76" customFormat="1" spans="1:6">
      <c r="A9459">
        <v>9744</v>
      </c>
      <c r="B9459">
        <v>432021260</v>
      </c>
      <c r="C9459" s="76">
        <v>2021</v>
      </c>
      <c r="D9459" s="76" t="s">
        <v>34</v>
      </c>
      <c r="E9459" s="76" t="s">
        <v>32</v>
      </c>
      <c r="F9459" s="76">
        <v>2.5</v>
      </c>
    </row>
    <row r="9460" s="76" customFormat="1" spans="1:6">
      <c r="A9460">
        <v>9730</v>
      </c>
      <c r="B9460">
        <v>432021260</v>
      </c>
      <c r="C9460" s="76">
        <v>2021</v>
      </c>
      <c r="D9460" s="76" t="s">
        <v>34</v>
      </c>
      <c r="E9460" s="76">
        <v>10</v>
      </c>
      <c r="F9460" s="76">
        <v>3.2</v>
      </c>
    </row>
    <row r="9461" s="76" customFormat="1" spans="1:6">
      <c r="A9461">
        <v>9741</v>
      </c>
      <c r="B9461">
        <v>432021260</v>
      </c>
      <c r="C9461" s="76">
        <v>2021</v>
      </c>
      <c r="D9461" s="76" t="s">
        <v>34</v>
      </c>
      <c r="E9461" s="76" t="s">
        <v>32</v>
      </c>
      <c r="F9461" s="76">
        <v>1.75</v>
      </c>
    </row>
    <row r="9462" s="76" customFormat="1" spans="1:6">
      <c r="A9462">
        <v>9737</v>
      </c>
      <c r="B9462">
        <v>432021260</v>
      </c>
      <c r="C9462" s="76">
        <v>2021</v>
      </c>
      <c r="D9462" s="76" t="s">
        <v>34</v>
      </c>
      <c r="E9462" s="76">
        <v>7</v>
      </c>
      <c r="F9462" s="76">
        <v>2.1</v>
      </c>
    </row>
    <row r="9463" s="76" customFormat="1" spans="1:6">
      <c r="A9463">
        <v>9750</v>
      </c>
      <c r="B9463">
        <v>432021260</v>
      </c>
      <c r="C9463" s="76">
        <v>2021</v>
      </c>
      <c r="D9463" s="76" t="s">
        <v>34</v>
      </c>
      <c r="E9463" s="76" t="s">
        <v>32</v>
      </c>
      <c r="F9463" s="76">
        <v>0.3</v>
      </c>
    </row>
    <row r="9464" s="76" customFormat="1" spans="1:6">
      <c r="A9464">
        <v>9743</v>
      </c>
      <c r="B9464">
        <v>432021260</v>
      </c>
      <c r="C9464" s="76">
        <v>2021</v>
      </c>
      <c r="D9464" s="76" t="s">
        <v>34</v>
      </c>
      <c r="E9464" s="76" t="s">
        <v>32</v>
      </c>
      <c r="F9464" s="76">
        <v>3.78</v>
      </c>
    </row>
    <row r="9465" s="76" customFormat="1" spans="1:6">
      <c r="A9465">
        <v>9756</v>
      </c>
      <c r="B9465">
        <v>432021260</v>
      </c>
      <c r="C9465" s="76">
        <v>2021</v>
      </c>
      <c r="D9465" s="76" t="s">
        <v>34</v>
      </c>
      <c r="E9465" s="76" t="s">
        <v>32</v>
      </c>
      <c r="F9465" s="76">
        <v>4.5</v>
      </c>
    </row>
    <row r="9466" s="76" customFormat="1" spans="1:6">
      <c r="A9466">
        <v>9746</v>
      </c>
      <c r="B9466">
        <v>432021260</v>
      </c>
      <c r="C9466" s="76">
        <v>2021</v>
      </c>
      <c r="D9466" s="76" t="s">
        <v>34</v>
      </c>
      <c r="E9466" s="76" t="s">
        <v>32</v>
      </c>
      <c r="F9466" s="76">
        <v>4.95</v>
      </c>
    </row>
    <row r="9467" s="76" customFormat="1" spans="1:6">
      <c r="A9467">
        <v>9752</v>
      </c>
      <c r="B9467">
        <v>432021260</v>
      </c>
      <c r="C9467" s="76">
        <v>2021</v>
      </c>
      <c r="D9467" s="76" t="s">
        <v>34</v>
      </c>
      <c r="E9467" s="76" t="s">
        <v>32</v>
      </c>
      <c r="F9467" s="76">
        <v>4.7</v>
      </c>
    </row>
    <row r="9468" s="76" customFormat="1" spans="1:6">
      <c r="A9468">
        <v>9757</v>
      </c>
      <c r="B9468">
        <v>432021260</v>
      </c>
      <c r="C9468" s="76">
        <v>2021</v>
      </c>
      <c r="D9468" s="76" t="s">
        <v>34</v>
      </c>
      <c r="E9468" s="76" t="s">
        <v>32</v>
      </c>
      <c r="F9468" s="76">
        <v>2.7</v>
      </c>
    </row>
    <row r="9469" s="76" customFormat="1" spans="1:6">
      <c r="A9469">
        <v>9758</v>
      </c>
      <c r="B9469">
        <v>432021260</v>
      </c>
      <c r="C9469" s="76">
        <v>2021</v>
      </c>
      <c r="D9469" s="76" t="s">
        <v>34</v>
      </c>
      <c r="E9469" s="76" t="s">
        <v>32</v>
      </c>
      <c r="F9469" s="76">
        <v>1.84</v>
      </c>
    </row>
    <row r="9470" s="76" customFormat="1" spans="1:6">
      <c r="A9470">
        <v>9729</v>
      </c>
      <c r="B9470">
        <v>432021260</v>
      </c>
      <c r="C9470" s="76">
        <v>2021</v>
      </c>
      <c r="D9470" s="76" t="s">
        <v>34</v>
      </c>
      <c r="E9470" s="76">
        <v>6</v>
      </c>
      <c r="F9470" s="76">
        <v>1.2</v>
      </c>
    </row>
    <row r="9471" s="76" customFormat="1" spans="1:6">
      <c r="A9471">
        <v>9742</v>
      </c>
      <c r="B9471">
        <v>432021260</v>
      </c>
      <c r="C9471" s="76">
        <v>2021</v>
      </c>
      <c r="D9471" s="76" t="s">
        <v>34</v>
      </c>
      <c r="E9471" s="76" t="s">
        <v>32</v>
      </c>
      <c r="F9471" s="76">
        <v>2.52</v>
      </c>
    </row>
    <row r="9472" s="76" customFormat="1" spans="1:6">
      <c r="A9472">
        <v>9736</v>
      </c>
      <c r="B9472">
        <v>432021260</v>
      </c>
      <c r="C9472" s="76">
        <v>2021</v>
      </c>
      <c r="D9472" s="76" t="s">
        <v>34</v>
      </c>
      <c r="E9472" s="76">
        <v>11</v>
      </c>
      <c r="F9472" s="76">
        <v>3.78</v>
      </c>
    </row>
    <row r="9473" s="76" customFormat="1" spans="1:6">
      <c r="A9473">
        <v>9745</v>
      </c>
      <c r="B9473">
        <v>432021260</v>
      </c>
      <c r="C9473" s="76">
        <v>2021</v>
      </c>
      <c r="D9473" s="76" t="s">
        <v>34</v>
      </c>
      <c r="E9473" s="76" t="s">
        <v>32</v>
      </c>
      <c r="F9473" s="76">
        <v>0.5</v>
      </c>
    </row>
    <row r="9474" s="76" customFormat="1" spans="1:6">
      <c r="A9474">
        <v>9732</v>
      </c>
      <c r="B9474">
        <v>432021260</v>
      </c>
      <c r="C9474" s="76">
        <v>2021</v>
      </c>
      <c r="D9474" s="76" t="s">
        <v>34</v>
      </c>
      <c r="E9474" s="76">
        <v>19</v>
      </c>
      <c r="F9474" s="76">
        <v>4.75</v>
      </c>
    </row>
    <row r="9475" s="76" customFormat="1" spans="1:6">
      <c r="A9475">
        <v>9731</v>
      </c>
      <c r="B9475">
        <v>432021260</v>
      </c>
      <c r="C9475" s="76">
        <v>2021</v>
      </c>
      <c r="D9475" s="76" t="s">
        <v>34</v>
      </c>
      <c r="E9475" s="76">
        <v>19</v>
      </c>
      <c r="F9475" s="76">
        <v>4.75</v>
      </c>
    </row>
    <row r="9476" s="76" customFormat="1" spans="1:6">
      <c r="A9476">
        <v>9733</v>
      </c>
      <c r="B9476">
        <v>432021260</v>
      </c>
      <c r="C9476" s="76">
        <v>2021</v>
      </c>
      <c r="D9476" s="76" t="s">
        <v>34</v>
      </c>
      <c r="E9476" s="76">
        <v>15</v>
      </c>
      <c r="F9476" s="76">
        <v>4.5</v>
      </c>
    </row>
    <row r="9477" s="76" customFormat="1" spans="1:6">
      <c r="A9477">
        <v>9765</v>
      </c>
      <c r="B9477">
        <v>432021260</v>
      </c>
      <c r="C9477" s="76">
        <v>2021</v>
      </c>
      <c r="D9477" s="76" t="s">
        <v>34</v>
      </c>
      <c r="E9477" s="76" t="s">
        <v>32</v>
      </c>
      <c r="F9477" s="76">
        <v>4.98</v>
      </c>
    </row>
    <row r="9478" s="76" customFormat="1" spans="1:6">
      <c r="A9478">
        <v>9748</v>
      </c>
      <c r="B9478">
        <v>432021260</v>
      </c>
      <c r="C9478" s="76">
        <v>2021</v>
      </c>
      <c r="D9478" s="76" t="s">
        <v>34</v>
      </c>
      <c r="E9478" s="76" t="s">
        <v>32</v>
      </c>
      <c r="F9478" s="76">
        <v>0.6</v>
      </c>
    </row>
    <row r="9479" s="76" customFormat="1" spans="1:6">
      <c r="A9479">
        <v>9739</v>
      </c>
      <c r="B9479">
        <v>432021260</v>
      </c>
      <c r="C9479" s="76">
        <v>2021</v>
      </c>
      <c r="D9479" s="76" t="s">
        <v>34</v>
      </c>
      <c r="E9479" s="76">
        <v>9</v>
      </c>
      <c r="F9479" s="76">
        <v>2.7</v>
      </c>
    </row>
    <row r="9480" s="76" customFormat="1" spans="1:6">
      <c r="A9480">
        <v>9735</v>
      </c>
      <c r="B9480">
        <v>432021260</v>
      </c>
      <c r="C9480" s="76">
        <v>2021</v>
      </c>
      <c r="D9480" s="76" t="s">
        <v>34</v>
      </c>
      <c r="E9480" s="76">
        <v>12</v>
      </c>
      <c r="F9480" s="76">
        <v>3.18</v>
      </c>
    </row>
    <row r="9481" s="76" customFormat="1" spans="1:6">
      <c r="A9481">
        <v>9738</v>
      </c>
      <c r="B9481">
        <v>432021260</v>
      </c>
      <c r="C9481" s="76">
        <v>2021</v>
      </c>
      <c r="D9481" s="76" t="s">
        <v>34</v>
      </c>
      <c r="E9481" s="76">
        <v>7</v>
      </c>
      <c r="F9481" s="76">
        <v>2.1</v>
      </c>
    </row>
    <row r="9482" s="76" customFormat="1" spans="1:6">
      <c r="A9482">
        <v>9747</v>
      </c>
      <c r="B9482">
        <v>432021260</v>
      </c>
      <c r="C9482" s="76">
        <v>2021</v>
      </c>
      <c r="D9482" s="76" t="s">
        <v>34</v>
      </c>
      <c r="E9482" s="76" t="s">
        <v>32</v>
      </c>
      <c r="F9482" s="76">
        <v>9.75</v>
      </c>
    </row>
    <row r="9483" s="76" customFormat="1" spans="1:6">
      <c r="A9483">
        <v>9763</v>
      </c>
      <c r="B9483">
        <v>432021260</v>
      </c>
      <c r="C9483" s="76">
        <v>2021</v>
      </c>
      <c r="D9483" s="76" t="s">
        <v>34</v>
      </c>
      <c r="E9483" s="76" t="s">
        <v>32</v>
      </c>
      <c r="F9483" s="76">
        <v>2.2</v>
      </c>
    </row>
    <row r="9484" s="76" customFormat="1" spans="1:6">
      <c r="A9484">
        <v>9760</v>
      </c>
      <c r="B9484">
        <v>432021260</v>
      </c>
      <c r="C9484" s="76">
        <v>2021</v>
      </c>
      <c r="D9484" s="76" t="s">
        <v>34</v>
      </c>
      <c r="E9484" s="76" t="s">
        <v>32</v>
      </c>
      <c r="F9484" s="76">
        <v>3.96</v>
      </c>
    </row>
    <row r="9485" s="76" customFormat="1" spans="1:6">
      <c r="A9485">
        <v>9759</v>
      </c>
      <c r="B9485">
        <v>432021260</v>
      </c>
      <c r="C9485" s="76">
        <v>2021</v>
      </c>
      <c r="D9485" s="76" t="s">
        <v>34</v>
      </c>
      <c r="E9485" s="76" t="s">
        <v>32</v>
      </c>
      <c r="F9485" s="76">
        <v>3.96</v>
      </c>
    </row>
    <row r="9486" s="76" customFormat="1" spans="1:6">
      <c r="A9486">
        <v>9753</v>
      </c>
      <c r="B9486">
        <v>432021260</v>
      </c>
      <c r="C9486" s="76">
        <v>2021</v>
      </c>
      <c r="D9486" s="76" t="s">
        <v>34</v>
      </c>
      <c r="E9486" s="76" t="s">
        <v>32</v>
      </c>
      <c r="F9486" s="76">
        <v>5</v>
      </c>
    </row>
    <row r="9487" s="76" customFormat="1" spans="1:6">
      <c r="A9487">
        <v>9754</v>
      </c>
      <c r="B9487">
        <v>432021260</v>
      </c>
      <c r="C9487" s="76">
        <v>2021</v>
      </c>
      <c r="D9487" s="76" t="s">
        <v>34</v>
      </c>
      <c r="E9487" s="76" t="s">
        <v>32</v>
      </c>
      <c r="F9487" s="76">
        <v>4.76</v>
      </c>
    </row>
    <row r="9488" s="76" customFormat="1" spans="1:6">
      <c r="A9488">
        <v>9761</v>
      </c>
      <c r="B9488">
        <v>432021260</v>
      </c>
      <c r="C9488" s="76">
        <v>2021</v>
      </c>
      <c r="D9488" s="76" t="s">
        <v>34</v>
      </c>
      <c r="E9488" s="76" t="s">
        <v>32</v>
      </c>
      <c r="F9488" s="76">
        <v>4.8</v>
      </c>
    </row>
    <row r="9489" s="76" customFormat="1" spans="1:6">
      <c r="A9489">
        <v>9749</v>
      </c>
      <c r="B9489">
        <v>432021260</v>
      </c>
      <c r="C9489" s="76">
        <v>2021</v>
      </c>
      <c r="D9489" s="76" t="s">
        <v>34</v>
      </c>
      <c r="E9489" s="76" t="s">
        <v>32</v>
      </c>
      <c r="F9489" s="76">
        <v>8</v>
      </c>
    </row>
    <row r="9490" s="76" customFormat="1" spans="1:6">
      <c r="A9490">
        <v>9764</v>
      </c>
      <c r="B9490">
        <v>432021260</v>
      </c>
      <c r="C9490" s="76">
        <v>2021</v>
      </c>
      <c r="D9490" s="76" t="s">
        <v>34</v>
      </c>
      <c r="E9490" s="76" t="s">
        <v>32</v>
      </c>
      <c r="F9490" s="76">
        <v>10</v>
      </c>
    </row>
    <row r="9491" s="76" customFormat="1" spans="1:6">
      <c r="A9491">
        <v>9740</v>
      </c>
      <c r="B9491">
        <v>432021260</v>
      </c>
      <c r="C9491" s="76">
        <v>2021</v>
      </c>
      <c r="D9491" s="76" t="s">
        <v>34</v>
      </c>
      <c r="E9491" s="76">
        <v>5</v>
      </c>
      <c r="F9491" s="76">
        <v>1.6</v>
      </c>
    </row>
    <row r="9492" s="76" customFormat="1" spans="1:6">
      <c r="A9492">
        <v>9762</v>
      </c>
      <c r="B9492">
        <v>432021260</v>
      </c>
      <c r="C9492" s="76">
        <v>2021</v>
      </c>
      <c r="D9492" s="76" t="s">
        <v>34</v>
      </c>
      <c r="E9492" s="76" t="s">
        <v>32</v>
      </c>
      <c r="F9492" s="76">
        <v>4</v>
      </c>
    </row>
    <row r="9493" s="76" customFormat="1" spans="1:6">
      <c r="A9493">
        <v>9755</v>
      </c>
      <c r="B9493">
        <v>432021260</v>
      </c>
      <c r="C9493" s="76">
        <v>2021</v>
      </c>
      <c r="D9493" s="76" t="s">
        <v>34</v>
      </c>
      <c r="E9493" s="76" t="s">
        <v>32</v>
      </c>
      <c r="F9493" s="76">
        <v>4</v>
      </c>
    </row>
    <row r="9494" s="76" customFormat="1" spans="1:6">
      <c r="A9494">
        <v>9734</v>
      </c>
      <c r="B9494">
        <v>432021260</v>
      </c>
      <c r="C9494" s="76">
        <v>2021</v>
      </c>
      <c r="D9494" s="76" t="s">
        <v>34</v>
      </c>
      <c r="E9494" s="76">
        <v>10</v>
      </c>
      <c r="F9494" s="76">
        <v>2.5</v>
      </c>
    </row>
    <row r="9495" s="76" customFormat="1" spans="1:6">
      <c r="A9495">
        <v>9775</v>
      </c>
      <c r="B9495">
        <v>432021270</v>
      </c>
      <c r="C9495" s="76">
        <v>2021</v>
      </c>
      <c r="D9495" s="76" t="s">
        <v>31</v>
      </c>
      <c r="E9495" s="76" t="s">
        <v>32</v>
      </c>
      <c r="F9495" s="76">
        <v>2</v>
      </c>
    </row>
    <row r="9496" s="76" customFormat="1" spans="1:6">
      <c r="A9496">
        <v>9769</v>
      </c>
      <c r="B9496">
        <v>432021270</v>
      </c>
      <c r="C9496" s="76">
        <v>2021</v>
      </c>
      <c r="D9496" s="76" t="s">
        <v>31</v>
      </c>
      <c r="E9496" s="76" t="s">
        <v>32</v>
      </c>
      <c r="F9496" s="76">
        <v>1.5</v>
      </c>
    </row>
    <row r="9497" s="76" customFormat="1" spans="1:6">
      <c r="A9497">
        <v>9768</v>
      </c>
      <c r="B9497">
        <v>432021270</v>
      </c>
      <c r="C9497" s="76">
        <v>2021</v>
      </c>
      <c r="D9497" s="76" t="s">
        <v>31</v>
      </c>
      <c r="E9497" s="76" t="s">
        <v>32</v>
      </c>
      <c r="F9497" s="76">
        <v>7</v>
      </c>
    </row>
    <row r="9498" s="76" customFormat="1" spans="1:6">
      <c r="A9498">
        <v>9773</v>
      </c>
      <c r="B9498">
        <v>432021270</v>
      </c>
      <c r="C9498" s="76">
        <v>2021</v>
      </c>
      <c r="D9498" s="76" t="s">
        <v>31</v>
      </c>
      <c r="E9498" s="76" t="s">
        <v>32</v>
      </c>
      <c r="F9498" s="76">
        <v>4.19</v>
      </c>
    </row>
    <row r="9499" s="76" customFormat="1" spans="1:6">
      <c r="A9499">
        <v>9772</v>
      </c>
      <c r="B9499">
        <v>432021270</v>
      </c>
      <c r="C9499" s="76">
        <v>2021</v>
      </c>
      <c r="D9499" s="76" t="s">
        <v>31</v>
      </c>
      <c r="E9499" s="76" t="s">
        <v>32</v>
      </c>
      <c r="F9499" s="76">
        <v>5</v>
      </c>
    </row>
    <row r="9500" s="76" customFormat="1" spans="1:6">
      <c r="A9500">
        <v>9774</v>
      </c>
      <c r="B9500">
        <v>432021270</v>
      </c>
      <c r="C9500" s="76">
        <v>2021</v>
      </c>
      <c r="D9500" s="76" t="s">
        <v>31</v>
      </c>
      <c r="E9500" s="76" t="s">
        <v>32</v>
      </c>
      <c r="F9500" s="76">
        <v>0.63</v>
      </c>
    </row>
    <row r="9501" s="76" customFormat="1" spans="1:6">
      <c r="A9501">
        <v>9770</v>
      </c>
      <c r="B9501">
        <v>432021270</v>
      </c>
      <c r="C9501" s="76">
        <v>2021</v>
      </c>
      <c r="D9501" s="76" t="s">
        <v>31</v>
      </c>
      <c r="E9501" s="76" t="s">
        <v>32</v>
      </c>
      <c r="F9501" s="76">
        <v>1</v>
      </c>
    </row>
    <row r="9502" s="76" customFormat="1" spans="1:6">
      <c r="A9502">
        <v>9766</v>
      </c>
      <c r="B9502">
        <v>432021270</v>
      </c>
      <c r="C9502" s="76">
        <v>2021</v>
      </c>
      <c r="D9502" s="76" t="s">
        <v>31</v>
      </c>
      <c r="E9502" s="76" t="s">
        <v>32</v>
      </c>
      <c r="F9502" s="76">
        <v>0.38</v>
      </c>
    </row>
    <row r="9503" s="76" customFormat="1" spans="1:6">
      <c r="A9503">
        <v>9771</v>
      </c>
      <c r="B9503">
        <v>432021270</v>
      </c>
      <c r="C9503" s="76">
        <v>2021</v>
      </c>
      <c r="D9503" s="76" t="s">
        <v>31</v>
      </c>
      <c r="E9503" s="76" t="s">
        <v>32</v>
      </c>
      <c r="F9503" s="76">
        <v>1</v>
      </c>
    </row>
    <row r="9504" s="76" customFormat="1" spans="1:6">
      <c r="A9504">
        <v>9779</v>
      </c>
      <c r="B9504">
        <v>432021283</v>
      </c>
      <c r="C9504" s="76">
        <v>2021</v>
      </c>
      <c r="D9504" s="76" t="s">
        <v>41</v>
      </c>
      <c r="E9504" s="76" t="s">
        <v>32</v>
      </c>
      <c r="F9504" s="76">
        <v>0.75</v>
      </c>
    </row>
    <row r="9505" s="76" customFormat="1" spans="1:6">
      <c r="A9505">
        <v>9777</v>
      </c>
      <c r="B9505">
        <v>432021283</v>
      </c>
      <c r="C9505" s="76">
        <v>2021</v>
      </c>
      <c r="D9505" s="76" t="s">
        <v>41</v>
      </c>
      <c r="E9505" s="76" t="s">
        <v>32</v>
      </c>
      <c r="F9505" s="76">
        <v>2.4</v>
      </c>
    </row>
    <row r="9506" s="76" customFormat="1" spans="1:6">
      <c r="A9506">
        <v>9776</v>
      </c>
      <c r="B9506">
        <v>432021283</v>
      </c>
      <c r="C9506" s="76">
        <v>2021</v>
      </c>
      <c r="D9506" s="76" t="s">
        <v>41</v>
      </c>
      <c r="E9506" s="76" t="s">
        <v>32</v>
      </c>
      <c r="F9506" s="76">
        <v>2</v>
      </c>
    </row>
    <row r="9507" s="76" customFormat="1" spans="1:6">
      <c r="A9507">
        <v>9778</v>
      </c>
      <c r="B9507">
        <v>432021283</v>
      </c>
      <c r="C9507" s="76">
        <v>2021</v>
      </c>
      <c r="D9507" s="76" t="s">
        <v>41</v>
      </c>
      <c r="E9507" s="76" t="s">
        <v>32</v>
      </c>
      <c r="F9507" s="76">
        <v>1</v>
      </c>
    </row>
    <row r="9508" s="76" customFormat="1" spans="1:6">
      <c r="A9508">
        <v>9782</v>
      </c>
      <c r="B9508">
        <v>442012211</v>
      </c>
      <c r="C9508">
        <v>2012</v>
      </c>
      <c r="D9508" t="s">
        <v>37</v>
      </c>
      <c r="E9508">
        <v>2</v>
      </c>
      <c r="F9508">
        <v>200</v>
      </c>
    </row>
    <row r="9509" s="76" customFormat="1" spans="1:6">
      <c r="A9509">
        <v>9780</v>
      </c>
      <c r="B9509">
        <v>442012211</v>
      </c>
      <c r="C9509">
        <v>2012</v>
      </c>
      <c r="D9509" t="s">
        <v>37</v>
      </c>
      <c r="E9509">
        <v>2</v>
      </c>
      <c r="F9509">
        <v>66</v>
      </c>
    </row>
    <row r="9510" s="76" customFormat="1" spans="1:6">
      <c r="A9510">
        <v>9781</v>
      </c>
      <c r="B9510">
        <v>442012211</v>
      </c>
      <c r="C9510">
        <v>2012</v>
      </c>
      <c r="D9510" t="s">
        <v>37</v>
      </c>
      <c r="E9510">
        <v>1</v>
      </c>
      <c r="F9510">
        <v>103.6</v>
      </c>
    </row>
    <row r="9511" s="76" customFormat="1" spans="1:6">
      <c r="A9511">
        <v>9785</v>
      </c>
      <c r="B9511">
        <v>442012211</v>
      </c>
      <c r="C9511">
        <v>2012</v>
      </c>
      <c r="D9511" t="s">
        <v>37</v>
      </c>
      <c r="E9511">
        <v>1</v>
      </c>
      <c r="F9511">
        <v>30</v>
      </c>
    </row>
    <row r="9512" s="76" customFormat="1" spans="1:6">
      <c r="A9512">
        <v>9786</v>
      </c>
      <c r="B9512">
        <v>442012211</v>
      </c>
      <c r="C9512">
        <v>2012</v>
      </c>
      <c r="D9512" t="s">
        <v>37</v>
      </c>
      <c r="E9512">
        <v>1</v>
      </c>
      <c r="F9512">
        <v>30</v>
      </c>
    </row>
    <row r="9513" s="76" customFormat="1" spans="1:6">
      <c r="A9513">
        <v>9783</v>
      </c>
      <c r="B9513">
        <v>442012211</v>
      </c>
      <c r="C9513">
        <v>2012</v>
      </c>
      <c r="D9513" t="s">
        <v>37</v>
      </c>
      <c r="E9513">
        <v>1</v>
      </c>
      <c r="F9513">
        <v>33</v>
      </c>
    </row>
    <row r="9514" s="76" customFormat="1" spans="1:6">
      <c r="A9514">
        <v>9784</v>
      </c>
      <c r="B9514">
        <v>442012211</v>
      </c>
      <c r="C9514">
        <v>2012</v>
      </c>
      <c r="D9514" t="s">
        <v>37</v>
      </c>
      <c r="E9514">
        <v>1</v>
      </c>
      <c r="F9514">
        <v>33</v>
      </c>
    </row>
    <row r="9515" s="76" customFormat="1" spans="1:6">
      <c r="A9515">
        <v>9789</v>
      </c>
      <c r="B9515">
        <v>442012260</v>
      </c>
      <c r="C9515">
        <v>2012</v>
      </c>
      <c r="D9515" t="s">
        <v>34</v>
      </c>
      <c r="E9515">
        <v>7</v>
      </c>
      <c r="F9515">
        <v>1.05</v>
      </c>
    </row>
    <row r="9516" s="76" customFormat="1" spans="1:6">
      <c r="A9516">
        <v>9793</v>
      </c>
      <c r="B9516">
        <v>442012260</v>
      </c>
      <c r="C9516">
        <v>2012</v>
      </c>
      <c r="D9516" t="s">
        <v>34</v>
      </c>
      <c r="E9516">
        <v>56</v>
      </c>
      <c r="F9516">
        <v>4.76</v>
      </c>
    </row>
    <row r="9517" s="76" customFormat="1" spans="1:6">
      <c r="A9517">
        <v>9794</v>
      </c>
      <c r="B9517">
        <v>442012260</v>
      </c>
      <c r="C9517">
        <v>2012</v>
      </c>
      <c r="D9517" t="s">
        <v>34</v>
      </c>
      <c r="E9517">
        <v>47</v>
      </c>
      <c r="F9517">
        <v>4</v>
      </c>
    </row>
    <row r="9518" s="76" customFormat="1" spans="1:6">
      <c r="A9518">
        <v>9792</v>
      </c>
      <c r="B9518">
        <v>442012260</v>
      </c>
      <c r="C9518">
        <v>2012</v>
      </c>
      <c r="D9518" t="s">
        <v>34</v>
      </c>
      <c r="E9518">
        <v>11</v>
      </c>
      <c r="F9518">
        <v>1.65</v>
      </c>
    </row>
    <row r="9519" s="76" customFormat="1" spans="1:6">
      <c r="A9519">
        <v>9787</v>
      </c>
      <c r="B9519">
        <v>442012260</v>
      </c>
      <c r="C9519">
        <v>2012</v>
      </c>
      <c r="D9519" t="s">
        <v>34</v>
      </c>
      <c r="E9519">
        <v>33</v>
      </c>
      <c r="F9519">
        <v>4.95</v>
      </c>
    </row>
    <row r="9520" s="76" customFormat="1" spans="1:6">
      <c r="A9520">
        <v>9788</v>
      </c>
      <c r="B9520">
        <v>442012260</v>
      </c>
      <c r="C9520">
        <v>2012</v>
      </c>
      <c r="D9520" t="s">
        <v>34</v>
      </c>
      <c r="E9520">
        <v>65</v>
      </c>
      <c r="F9520">
        <v>4.95</v>
      </c>
    </row>
    <row r="9521" s="76" customFormat="1" spans="1:6">
      <c r="A9521">
        <v>9795</v>
      </c>
      <c r="B9521">
        <v>442012260</v>
      </c>
      <c r="C9521">
        <v>2012</v>
      </c>
      <c r="D9521" t="s">
        <v>34</v>
      </c>
      <c r="E9521">
        <v>42</v>
      </c>
      <c r="F9521">
        <v>3.57</v>
      </c>
    </row>
    <row r="9522" s="76" customFormat="1" spans="1:6">
      <c r="A9522">
        <v>9790</v>
      </c>
      <c r="B9522">
        <v>442012260</v>
      </c>
      <c r="C9522">
        <v>2012</v>
      </c>
      <c r="D9522" t="s">
        <v>34</v>
      </c>
      <c r="E9522">
        <v>5</v>
      </c>
      <c r="F9522">
        <v>0.75</v>
      </c>
    </row>
    <row r="9523" s="76" customFormat="1" spans="1:6">
      <c r="A9523">
        <v>9791</v>
      </c>
      <c r="B9523">
        <v>442012260</v>
      </c>
      <c r="C9523">
        <v>2012</v>
      </c>
      <c r="D9523" t="s">
        <v>34</v>
      </c>
      <c r="E9523">
        <v>33</v>
      </c>
      <c r="F9523">
        <v>4.95</v>
      </c>
    </row>
    <row r="9524" s="76" customFormat="1" spans="1:6">
      <c r="A9524">
        <v>9796</v>
      </c>
      <c r="B9524">
        <v>442012260</v>
      </c>
      <c r="C9524">
        <v>2012</v>
      </c>
      <c r="D9524" t="s">
        <v>34</v>
      </c>
      <c r="E9524">
        <v>33</v>
      </c>
      <c r="F9524">
        <v>4.95</v>
      </c>
    </row>
    <row r="9525" s="76" customFormat="1" spans="1:6">
      <c r="A9525">
        <v>9798</v>
      </c>
      <c r="B9525">
        <v>442012270</v>
      </c>
      <c r="C9525">
        <v>2012</v>
      </c>
      <c r="D9525" t="s">
        <v>31</v>
      </c>
      <c r="E9525" t="s">
        <v>32</v>
      </c>
      <c r="F9525">
        <v>1</v>
      </c>
    </row>
    <row r="9526" s="76" customFormat="1" spans="1:6">
      <c r="A9526">
        <v>9797</v>
      </c>
      <c r="B9526">
        <v>442012270</v>
      </c>
      <c r="C9526">
        <v>2012</v>
      </c>
      <c r="D9526" t="s">
        <v>31</v>
      </c>
      <c r="E9526" t="s">
        <v>32</v>
      </c>
      <c r="F9526">
        <v>1</v>
      </c>
    </row>
    <row r="9527" s="76" customFormat="1" spans="1:6">
      <c r="A9527">
        <v>9799</v>
      </c>
      <c r="B9527">
        <v>442012270</v>
      </c>
      <c r="C9527">
        <v>2012</v>
      </c>
      <c r="D9527" t="s">
        <v>31</v>
      </c>
      <c r="E9527" t="s">
        <v>32</v>
      </c>
      <c r="F9527">
        <v>0.1</v>
      </c>
    </row>
    <row r="9528" s="76" customFormat="1" spans="1:6">
      <c r="A9528">
        <v>9800</v>
      </c>
      <c r="B9528">
        <v>442012270</v>
      </c>
      <c r="C9528">
        <v>2012</v>
      </c>
      <c r="D9528" t="s">
        <v>31</v>
      </c>
      <c r="E9528" t="s">
        <v>32</v>
      </c>
      <c r="F9528">
        <v>0.1</v>
      </c>
    </row>
    <row r="9529" s="76" customFormat="1" spans="1:6">
      <c r="A9529">
        <v>9801</v>
      </c>
      <c r="B9529">
        <v>442013110</v>
      </c>
      <c r="C9529">
        <v>2013</v>
      </c>
      <c r="D9529" t="s">
        <v>40</v>
      </c>
      <c r="E9529">
        <v>2</v>
      </c>
      <c r="F9529">
        <v>8.8</v>
      </c>
    </row>
    <row r="9530" s="76" customFormat="1" spans="1:6">
      <c r="A9530">
        <v>9804</v>
      </c>
      <c r="B9530">
        <v>442013211</v>
      </c>
      <c r="C9530">
        <v>2013</v>
      </c>
      <c r="D9530" t="s">
        <v>37</v>
      </c>
      <c r="E9530">
        <v>2</v>
      </c>
      <c r="F9530">
        <v>70</v>
      </c>
    </row>
    <row r="9531" s="76" customFormat="1" spans="1:6">
      <c r="A9531">
        <v>9802</v>
      </c>
      <c r="B9531">
        <v>442013211</v>
      </c>
      <c r="C9531">
        <v>2013</v>
      </c>
      <c r="D9531" t="s">
        <v>37</v>
      </c>
      <c r="E9531">
        <v>1</v>
      </c>
      <c r="F9531">
        <v>60</v>
      </c>
    </row>
    <row r="9532" s="76" customFormat="1" spans="1:6">
      <c r="A9532">
        <v>9803</v>
      </c>
      <c r="B9532">
        <v>442013211</v>
      </c>
      <c r="C9532">
        <v>2013</v>
      </c>
      <c r="D9532" t="s">
        <v>37</v>
      </c>
      <c r="E9532">
        <v>1</v>
      </c>
      <c r="F9532">
        <v>66</v>
      </c>
    </row>
    <row r="9533" s="76" customFormat="1" spans="1:6">
      <c r="A9533">
        <v>9807</v>
      </c>
      <c r="B9533">
        <v>442013260</v>
      </c>
      <c r="C9533">
        <v>2013</v>
      </c>
      <c r="D9533" t="s">
        <v>34</v>
      </c>
      <c r="E9533">
        <v>18</v>
      </c>
      <c r="F9533">
        <v>2.7</v>
      </c>
    </row>
    <row r="9534" s="76" customFormat="1" spans="1:6">
      <c r="A9534">
        <v>9809</v>
      </c>
      <c r="B9534">
        <v>442013260</v>
      </c>
      <c r="C9534">
        <v>2013</v>
      </c>
      <c r="D9534" t="s">
        <v>34</v>
      </c>
      <c r="E9534">
        <v>22</v>
      </c>
      <c r="F9534">
        <v>3.3</v>
      </c>
    </row>
    <row r="9535" s="76" customFormat="1" spans="1:6">
      <c r="A9535">
        <v>9806</v>
      </c>
      <c r="B9535">
        <v>442013260</v>
      </c>
      <c r="C9535">
        <v>2013</v>
      </c>
      <c r="D9535" t="s">
        <v>34</v>
      </c>
      <c r="E9535">
        <v>33</v>
      </c>
      <c r="F9535">
        <v>4.95</v>
      </c>
    </row>
    <row r="9536" s="76" customFormat="1" spans="1:6">
      <c r="A9536">
        <v>9805</v>
      </c>
      <c r="B9536">
        <v>442013260</v>
      </c>
      <c r="C9536">
        <v>2013</v>
      </c>
      <c r="D9536" t="s">
        <v>34</v>
      </c>
      <c r="E9536">
        <v>33</v>
      </c>
      <c r="F9536">
        <v>4.95</v>
      </c>
    </row>
    <row r="9537" s="76" customFormat="1" spans="1:6">
      <c r="A9537">
        <v>9808</v>
      </c>
      <c r="B9537">
        <v>442013260</v>
      </c>
      <c r="C9537">
        <v>2013</v>
      </c>
      <c r="D9537" t="s">
        <v>34</v>
      </c>
      <c r="E9537">
        <v>26</v>
      </c>
      <c r="F9537">
        <v>3.9</v>
      </c>
    </row>
    <row r="9538" s="76" customFormat="1" spans="1:6">
      <c r="A9538">
        <v>9810</v>
      </c>
      <c r="B9538">
        <v>442013270</v>
      </c>
      <c r="C9538">
        <v>2013</v>
      </c>
      <c r="D9538" t="s">
        <v>31</v>
      </c>
      <c r="E9538" t="s">
        <v>32</v>
      </c>
      <c r="F9538">
        <v>0.2</v>
      </c>
    </row>
    <row r="9539" s="76" customFormat="1" spans="1:6">
      <c r="A9539">
        <v>9811</v>
      </c>
      <c r="B9539">
        <v>442013270</v>
      </c>
      <c r="C9539">
        <v>2013</v>
      </c>
      <c r="D9539" t="s">
        <v>31</v>
      </c>
      <c r="E9539" t="s">
        <v>32</v>
      </c>
      <c r="F9539">
        <v>2.12</v>
      </c>
    </row>
    <row r="9540" s="76" customFormat="1" spans="1:6">
      <c r="A9540">
        <v>9812</v>
      </c>
      <c r="B9540">
        <v>442014221</v>
      </c>
      <c r="C9540">
        <v>2014</v>
      </c>
      <c r="D9540" t="s">
        <v>30</v>
      </c>
      <c r="E9540">
        <v>2</v>
      </c>
      <c r="F9540">
        <v>78</v>
      </c>
    </row>
    <row r="9541" s="76" customFormat="1" spans="1:6">
      <c r="A9541">
        <v>9813</v>
      </c>
      <c r="B9541">
        <v>442014250</v>
      </c>
      <c r="C9541">
        <v>2014</v>
      </c>
      <c r="D9541" t="s">
        <v>44</v>
      </c>
      <c r="E9541">
        <v>1</v>
      </c>
      <c r="F9541">
        <v>108.6</v>
      </c>
    </row>
    <row r="9542" s="76" customFormat="1" spans="1:6">
      <c r="A9542">
        <v>9819</v>
      </c>
      <c r="B9542">
        <v>442014260</v>
      </c>
      <c r="C9542">
        <v>2014</v>
      </c>
      <c r="D9542" t="s">
        <v>34</v>
      </c>
      <c r="E9542">
        <v>18</v>
      </c>
      <c r="F9542">
        <v>3.6</v>
      </c>
    </row>
    <row r="9543" s="76" customFormat="1" spans="1:6">
      <c r="A9543">
        <v>9820</v>
      </c>
      <c r="B9543">
        <v>442014260</v>
      </c>
      <c r="C9543">
        <v>2014</v>
      </c>
      <c r="D9543" t="s">
        <v>34</v>
      </c>
      <c r="E9543">
        <v>16</v>
      </c>
      <c r="F9543">
        <v>3.2</v>
      </c>
    </row>
    <row r="9544" s="76" customFormat="1" spans="1:6">
      <c r="A9544">
        <v>9815</v>
      </c>
      <c r="B9544">
        <v>442014260</v>
      </c>
      <c r="C9544">
        <v>2014</v>
      </c>
      <c r="D9544" t="s">
        <v>34</v>
      </c>
      <c r="E9544">
        <v>33</v>
      </c>
      <c r="F9544">
        <v>4.95</v>
      </c>
    </row>
    <row r="9545" s="76" customFormat="1" spans="1:6">
      <c r="A9545">
        <v>9814</v>
      </c>
      <c r="B9545">
        <v>442014260</v>
      </c>
      <c r="C9545">
        <v>2014</v>
      </c>
      <c r="D9545" t="s">
        <v>34</v>
      </c>
      <c r="E9545">
        <v>25</v>
      </c>
      <c r="F9545">
        <v>4.95</v>
      </c>
    </row>
    <row r="9546" s="76" customFormat="1" spans="1:6">
      <c r="A9546">
        <v>9816</v>
      </c>
      <c r="B9546">
        <v>442014260</v>
      </c>
      <c r="C9546">
        <v>2014</v>
      </c>
      <c r="D9546" t="s">
        <v>34</v>
      </c>
      <c r="E9546">
        <v>33</v>
      </c>
      <c r="F9546">
        <v>4.95</v>
      </c>
    </row>
    <row r="9547" s="76" customFormat="1" spans="1:6">
      <c r="A9547">
        <v>9817</v>
      </c>
      <c r="B9547">
        <v>442014260</v>
      </c>
      <c r="C9547">
        <v>2014</v>
      </c>
      <c r="D9547" t="s">
        <v>34</v>
      </c>
      <c r="E9547">
        <v>17</v>
      </c>
      <c r="F9547">
        <v>4.4</v>
      </c>
    </row>
    <row r="9548" s="76" customFormat="1" spans="1:6">
      <c r="A9548">
        <v>9818</v>
      </c>
      <c r="B9548">
        <v>442014260</v>
      </c>
      <c r="C9548">
        <v>2014</v>
      </c>
      <c r="D9548" t="s">
        <v>34</v>
      </c>
      <c r="E9548">
        <v>46</v>
      </c>
      <c r="F9548">
        <v>3.91</v>
      </c>
    </row>
    <row r="9549" s="76" customFormat="1" spans="1:6">
      <c r="A9549">
        <v>9821</v>
      </c>
      <c r="B9549">
        <v>442014270</v>
      </c>
      <c r="C9549">
        <v>2014</v>
      </c>
      <c r="D9549" t="s">
        <v>31</v>
      </c>
      <c r="E9549"/>
      <c r="F9549">
        <v>2.79</v>
      </c>
    </row>
    <row r="9550" s="76" customFormat="1" spans="1:6">
      <c r="A9550">
        <v>9822</v>
      </c>
      <c r="B9550">
        <v>442015120</v>
      </c>
      <c r="C9550">
        <v>2015</v>
      </c>
      <c r="D9550" t="s">
        <v>42</v>
      </c>
      <c r="E9550">
        <v>1</v>
      </c>
      <c r="F9550">
        <v>32</v>
      </c>
    </row>
    <row r="9551" s="76" customFormat="1" spans="1:6">
      <c r="A9551">
        <v>9825</v>
      </c>
      <c r="B9551">
        <v>442015211</v>
      </c>
      <c r="C9551">
        <v>2015</v>
      </c>
      <c r="D9551" t="s">
        <v>37</v>
      </c>
      <c r="E9551">
        <v>1</v>
      </c>
      <c r="F9551">
        <v>60</v>
      </c>
    </row>
    <row r="9552" s="76" customFormat="1" spans="1:6">
      <c r="A9552">
        <v>9826</v>
      </c>
      <c r="B9552">
        <v>442015211</v>
      </c>
      <c r="C9552">
        <v>2015</v>
      </c>
      <c r="D9552" t="s">
        <v>37</v>
      </c>
      <c r="E9552" t="s">
        <v>32</v>
      </c>
      <c r="F9552">
        <v>35</v>
      </c>
    </row>
    <row r="9553" s="76" customFormat="1" spans="1:6">
      <c r="A9553">
        <v>9824</v>
      </c>
      <c r="B9553">
        <v>442015211</v>
      </c>
      <c r="C9553">
        <v>2015</v>
      </c>
      <c r="D9553" t="s">
        <v>37</v>
      </c>
      <c r="E9553">
        <v>2</v>
      </c>
      <c r="F9553">
        <v>200</v>
      </c>
    </row>
    <row r="9554" s="76" customFormat="1" spans="1:6">
      <c r="A9554">
        <v>9823</v>
      </c>
      <c r="B9554">
        <v>442015211</v>
      </c>
      <c r="C9554">
        <v>2015</v>
      </c>
      <c r="D9554" t="s">
        <v>37</v>
      </c>
      <c r="E9554">
        <v>2</v>
      </c>
      <c r="F9554">
        <v>120</v>
      </c>
    </row>
    <row r="9555" s="76" customFormat="1" spans="1:6">
      <c r="A9555">
        <v>9827</v>
      </c>
      <c r="B9555">
        <v>442015250</v>
      </c>
      <c r="C9555">
        <v>2015</v>
      </c>
      <c r="D9555" t="s">
        <v>44</v>
      </c>
      <c r="E9555">
        <v>1</v>
      </c>
      <c r="F9555">
        <v>108.6</v>
      </c>
    </row>
    <row r="9556" s="76" customFormat="1" spans="1:6">
      <c r="A9556">
        <v>9832</v>
      </c>
      <c r="B9556">
        <v>442015260</v>
      </c>
      <c r="C9556">
        <v>2015</v>
      </c>
      <c r="D9556" t="s">
        <v>34</v>
      </c>
      <c r="E9556">
        <v>25</v>
      </c>
      <c r="F9556">
        <v>5</v>
      </c>
    </row>
    <row r="9557" s="76" customFormat="1" spans="1:6">
      <c r="A9557">
        <v>9829</v>
      </c>
      <c r="B9557">
        <v>442015260</v>
      </c>
      <c r="C9557">
        <v>2015</v>
      </c>
      <c r="D9557" t="s">
        <v>34</v>
      </c>
      <c r="E9557">
        <v>33</v>
      </c>
      <c r="F9557">
        <v>4.95</v>
      </c>
    </row>
    <row r="9558" s="76" customFormat="1" spans="1:6">
      <c r="A9558">
        <v>9830</v>
      </c>
      <c r="B9558">
        <v>442015260</v>
      </c>
      <c r="C9558">
        <v>2015</v>
      </c>
      <c r="D9558" t="s">
        <v>34</v>
      </c>
      <c r="E9558">
        <v>25</v>
      </c>
      <c r="F9558">
        <v>5</v>
      </c>
    </row>
    <row r="9559" s="76" customFormat="1" spans="1:6">
      <c r="A9559">
        <v>9831</v>
      </c>
      <c r="B9559">
        <v>442015260</v>
      </c>
      <c r="C9559">
        <v>2015</v>
      </c>
      <c r="D9559" t="s">
        <v>34</v>
      </c>
      <c r="E9559">
        <v>25</v>
      </c>
      <c r="F9559">
        <v>5</v>
      </c>
    </row>
    <row r="9560" s="76" customFormat="1" spans="1:6">
      <c r="A9560">
        <v>9828</v>
      </c>
      <c r="B9560">
        <v>442015260</v>
      </c>
      <c r="C9560">
        <v>2015</v>
      </c>
      <c r="D9560" t="s">
        <v>34</v>
      </c>
      <c r="E9560">
        <v>33</v>
      </c>
      <c r="F9560">
        <v>4.95</v>
      </c>
    </row>
    <row r="9561" s="76" customFormat="1" spans="1:6">
      <c r="A9561">
        <v>9837</v>
      </c>
      <c r="B9561">
        <v>442015270</v>
      </c>
      <c r="C9561">
        <v>2015</v>
      </c>
      <c r="D9561" t="s">
        <v>31</v>
      </c>
      <c r="E9561" t="s">
        <v>32</v>
      </c>
      <c r="F9561">
        <v>1.3</v>
      </c>
    </row>
    <row r="9562" s="76" customFormat="1" spans="1:6">
      <c r="A9562">
        <v>9835</v>
      </c>
      <c r="B9562">
        <v>442015270</v>
      </c>
      <c r="C9562">
        <v>2015</v>
      </c>
      <c r="D9562" t="s">
        <v>31</v>
      </c>
      <c r="E9562" t="s">
        <v>32</v>
      </c>
      <c r="F9562">
        <v>0.7</v>
      </c>
    </row>
    <row r="9563" s="76" customFormat="1" spans="1:6">
      <c r="A9563">
        <v>9833</v>
      </c>
      <c r="B9563">
        <v>442015270</v>
      </c>
      <c r="C9563">
        <v>2015</v>
      </c>
      <c r="D9563" t="s">
        <v>31</v>
      </c>
      <c r="E9563" t="s">
        <v>32</v>
      </c>
      <c r="F9563">
        <v>1.24</v>
      </c>
    </row>
    <row r="9564" s="76" customFormat="1" spans="1:6">
      <c r="A9564">
        <v>9834</v>
      </c>
      <c r="B9564">
        <v>442015270</v>
      </c>
      <c r="C9564">
        <v>2015</v>
      </c>
      <c r="D9564" t="s">
        <v>31</v>
      </c>
      <c r="E9564" t="s">
        <v>32</v>
      </c>
      <c r="F9564">
        <v>0.26</v>
      </c>
    </row>
    <row r="9565" s="76" customFormat="1" spans="1:6">
      <c r="A9565">
        <v>9836</v>
      </c>
      <c r="B9565">
        <v>442015270</v>
      </c>
      <c r="C9565">
        <v>2015</v>
      </c>
      <c r="D9565" t="s">
        <v>31</v>
      </c>
      <c r="E9565" t="s">
        <v>32</v>
      </c>
      <c r="F9565">
        <v>0.45</v>
      </c>
    </row>
    <row r="9566" s="76" customFormat="1" spans="1:6">
      <c r="A9566">
        <v>9838</v>
      </c>
      <c r="B9566">
        <v>442016120</v>
      </c>
      <c r="C9566" s="76">
        <v>2016</v>
      </c>
      <c r="D9566" s="76" t="s">
        <v>42</v>
      </c>
      <c r="E9566" s="76">
        <v>3</v>
      </c>
      <c r="F9566" s="76">
        <v>96</v>
      </c>
    </row>
    <row r="9567" s="76" customFormat="1" spans="1:6">
      <c r="A9567">
        <v>9839</v>
      </c>
      <c r="B9567">
        <v>442016211</v>
      </c>
      <c r="C9567" s="76">
        <v>2016</v>
      </c>
      <c r="D9567" s="76" t="s">
        <v>37</v>
      </c>
      <c r="E9567" s="76">
        <v>1</v>
      </c>
      <c r="F9567" s="76">
        <v>60</v>
      </c>
    </row>
    <row r="9568" s="76" customFormat="1" spans="1:6">
      <c r="A9568">
        <v>9840</v>
      </c>
      <c r="B9568">
        <v>442016250</v>
      </c>
      <c r="C9568" s="76">
        <v>2016</v>
      </c>
      <c r="D9568" s="76" t="s">
        <v>44</v>
      </c>
      <c r="E9568" s="76">
        <v>1</v>
      </c>
      <c r="F9568" s="76">
        <v>108.6</v>
      </c>
    </row>
    <row r="9569" s="76" customFormat="1" spans="1:6">
      <c r="A9569">
        <v>9841</v>
      </c>
      <c r="B9569">
        <v>442016260</v>
      </c>
      <c r="C9569" s="76">
        <v>2016</v>
      </c>
      <c r="D9569" s="76" t="s">
        <v>34</v>
      </c>
      <c r="E9569" s="76">
        <v>6</v>
      </c>
      <c r="F9569" s="76">
        <v>1.2</v>
      </c>
    </row>
    <row r="9570" s="76" customFormat="1" spans="1:6">
      <c r="A9570">
        <v>9843</v>
      </c>
      <c r="B9570">
        <v>442016260</v>
      </c>
      <c r="C9570" s="76">
        <v>2016</v>
      </c>
      <c r="D9570" s="76" t="s">
        <v>34</v>
      </c>
      <c r="E9570" s="76">
        <v>25</v>
      </c>
      <c r="F9570" s="76">
        <v>5</v>
      </c>
    </row>
    <row r="9571" s="76" customFormat="1" spans="1:6">
      <c r="A9571">
        <v>9844</v>
      </c>
      <c r="B9571">
        <v>442016260</v>
      </c>
      <c r="C9571" s="76">
        <v>2016</v>
      </c>
      <c r="D9571" s="76" t="s">
        <v>34</v>
      </c>
      <c r="E9571" s="76">
        <v>22</v>
      </c>
      <c r="F9571" s="76">
        <v>4.4</v>
      </c>
    </row>
    <row r="9572" s="76" customFormat="1" spans="1:6">
      <c r="A9572">
        <v>9842</v>
      </c>
      <c r="B9572">
        <v>442016260</v>
      </c>
      <c r="C9572" s="76">
        <v>2016</v>
      </c>
      <c r="D9572" s="76" t="s">
        <v>34</v>
      </c>
      <c r="E9572" s="76">
        <v>33</v>
      </c>
      <c r="F9572" s="76">
        <v>4.95</v>
      </c>
    </row>
    <row r="9573" s="76" customFormat="1" spans="1:6">
      <c r="A9573">
        <v>9846</v>
      </c>
      <c r="B9573">
        <v>442016270</v>
      </c>
      <c r="C9573" s="76">
        <v>2016</v>
      </c>
      <c r="D9573" s="76" t="s">
        <v>31</v>
      </c>
      <c r="E9573" s="76" t="s">
        <v>32</v>
      </c>
      <c r="F9573" s="76">
        <v>4</v>
      </c>
    </row>
    <row r="9574" s="76" customFormat="1" spans="1:6">
      <c r="A9574">
        <v>9851</v>
      </c>
      <c r="B9574">
        <v>442016270</v>
      </c>
      <c r="C9574" s="76">
        <v>2016</v>
      </c>
      <c r="D9574" s="76" t="s">
        <v>31</v>
      </c>
      <c r="E9574" s="76" t="s">
        <v>32</v>
      </c>
      <c r="F9574" s="76">
        <v>0.35</v>
      </c>
    </row>
    <row r="9575" s="76" customFormat="1" spans="1:6">
      <c r="A9575">
        <v>9849</v>
      </c>
      <c r="B9575">
        <v>442016270</v>
      </c>
      <c r="C9575" s="76">
        <v>2016</v>
      </c>
      <c r="D9575" s="76" t="s">
        <v>31</v>
      </c>
      <c r="E9575" s="76" t="s">
        <v>32</v>
      </c>
      <c r="F9575" s="76">
        <v>6</v>
      </c>
    </row>
    <row r="9576" s="76" customFormat="1" spans="1:6">
      <c r="A9576">
        <v>9847</v>
      </c>
      <c r="B9576">
        <v>442016270</v>
      </c>
      <c r="C9576" s="76">
        <v>2016</v>
      </c>
      <c r="D9576" s="76" t="s">
        <v>31</v>
      </c>
      <c r="E9576" s="76" t="s">
        <v>32</v>
      </c>
      <c r="F9576" s="76">
        <v>1.21</v>
      </c>
    </row>
    <row r="9577" s="76" customFormat="1" spans="1:6">
      <c r="A9577">
        <v>9845</v>
      </c>
      <c r="B9577">
        <v>442016270</v>
      </c>
      <c r="C9577" s="76">
        <v>2016</v>
      </c>
      <c r="D9577" s="76" t="s">
        <v>31</v>
      </c>
      <c r="E9577" s="76" t="s">
        <v>32</v>
      </c>
      <c r="F9577" s="76">
        <v>5</v>
      </c>
    </row>
    <row r="9578" s="76" customFormat="1" spans="1:6">
      <c r="A9578">
        <v>9852</v>
      </c>
      <c r="B9578">
        <v>442016270</v>
      </c>
      <c r="C9578" s="76">
        <v>2016</v>
      </c>
      <c r="D9578" s="76" t="s">
        <v>31</v>
      </c>
      <c r="E9578" s="76" t="s">
        <v>32</v>
      </c>
      <c r="F9578" s="76">
        <v>1.7</v>
      </c>
    </row>
    <row r="9579" s="76" customFormat="1" spans="1:6">
      <c r="A9579">
        <v>9848</v>
      </c>
      <c r="B9579">
        <v>442016270</v>
      </c>
      <c r="C9579" s="76">
        <v>2016</v>
      </c>
      <c r="D9579" s="76" t="s">
        <v>31</v>
      </c>
      <c r="E9579" s="76" t="s">
        <v>32</v>
      </c>
      <c r="F9579" s="76">
        <v>0.2</v>
      </c>
    </row>
    <row r="9580" s="76" customFormat="1" spans="1:6">
      <c r="A9580">
        <v>9850</v>
      </c>
      <c r="B9580">
        <v>442016270</v>
      </c>
      <c r="C9580" s="76">
        <v>2016</v>
      </c>
      <c r="D9580" s="76" t="s">
        <v>31</v>
      </c>
      <c r="E9580" s="76" t="s">
        <v>32</v>
      </c>
      <c r="F9580" s="76">
        <v>0.27</v>
      </c>
    </row>
    <row r="9581" s="76" customFormat="1" spans="1:6">
      <c r="A9581">
        <v>9853</v>
      </c>
      <c r="B9581">
        <v>442016270</v>
      </c>
      <c r="C9581" s="76">
        <v>2016</v>
      </c>
      <c r="D9581" s="76" t="s">
        <v>31</v>
      </c>
      <c r="E9581" s="76" t="s">
        <v>32</v>
      </c>
      <c r="F9581" s="76">
        <v>0.76</v>
      </c>
    </row>
    <row r="9582" s="76" customFormat="1" spans="1:6">
      <c r="A9582">
        <v>9854</v>
      </c>
      <c r="B9582">
        <v>442017110</v>
      </c>
      <c r="C9582" s="76">
        <v>2017</v>
      </c>
      <c r="D9582" s="76" t="s">
        <v>40</v>
      </c>
      <c r="E9582" s="76">
        <v>1</v>
      </c>
      <c r="F9582" s="76">
        <v>5</v>
      </c>
    </row>
    <row r="9583" s="76" customFormat="1" spans="1:6">
      <c r="A9583">
        <v>9855</v>
      </c>
      <c r="B9583">
        <v>442017120</v>
      </c>
      <c r="C9583" s="76">
        <v>2017</v>
      </c>
      <c r="D9583" s="76" t="s">
        <v>42</v>
      </c>
      <c r="E9583" s="76">
        <v>1</v>
      </c>
      <c r="F9583" s="76">
        <v>30</v>
      </c>
    </row>
    <row r="9584" s="76" customFormat="1" spans="1:6">
      <c r="A9584">
        <v>9856</v>
      </c>
      <c r="B9584">
        <v>442017250</v>
      </c>
      <c r="C9584" s="76">
        <v>2017</v>
      </c>
      <c r="D9584" s="76" t="s">
        <v>44</v>
      </c>
      <c r="E9584" s="76">
        <v>1</v>
      </c>
      <c r="F9584" s="76">
        <v>108.6</v>
      </c>
    </row>
    <row r="9585" s="76" customFormat="1" spans="1:6">
      <c r="A9585">
        <v>9859</v>
      </c>
      <c r="B9585">
        <v>442017260</v>
      </c>
      <c r="C9585" s="76">
        <v>2017</v>
      </c>
      <c r="D9585" s="76" t="s">
        <v>34</v>
      </c>
      <c r="E9585" s="76">
        <v>7</v>
      </c>
      <c r="F9585" s="76">
        <v>1.4</v>
      </c>
    </row>
    <row r="9586" s="76" customFormat="1" spans="1:6">
      <c r="A9586">
        <v>9861</v>
      </c>
      <c r="B9586">
        <v>442017260</v>
      </c>
      <c r="C9586" s="76">
        <v>2017</v>
      </c>
      <c r="D9586" s="76" t="s">
        <v>34</v>
      </c>
      <c r="E9586" s="76">
        <v>13</v>
      </c>
      <c r="F9586" s="76">
        <v>2.6</v>
      </c>
    </row>
    <row r="9587" s="76" customFormat="1" spans="1:6">
      <c r="A9587">
        <v>9857</v>
      </c>
      <c r="B9587">
        <v>442017260</v>
      </c>
      <c r="C9587" s="76">
        <v>2017</v>
      </c>
      <c r="D9587" s="76" t="s">
        <v>34</v>
      </c>
      <c r="E9587" s="76">
        <v>25</v>
      </c>
      <c r="F9587" s="76">
        <v>5</v>
      </c>
    </row>
    <row r="9588" s="76" customFormat="1" spans="1:6">
      <c r="A9588">
        <v>9862</v>
      </c>
      <c r="B9588">
        <v>442017260</v>
      </c>
      <c r="C9588" s="76">
        <v>2017</v>
      </c>
      <c r="D9588" s="76" t="s">
        <v>34</v>
      </c>
      <c r="E9588" s="76">
        <v>25</v>
      </c>
      <c r="F9588" s="76">
        <v>4.95</v>
      </c>
    </row>
    <row r="9589" s="76" customFormat="1" spans="1:6">
      <c r="A9589">
        <v>9863</v>
      </c>
      <c r="B9589">
        <v>442017260</v>
      </c>
      <c r="C9589" s="76">
        <v>2017</v>
      </c>
      <c r="D9589" s="76" t="s">
        <v>34</v>
      </c>
      <c r="E9589" s="76" t="s">
        <v>32</v>
      </c>
      <c r="F9589" s="76">
        <v>4.95</v>
      </c>
    </row>
    <row r="9590" s="76" customFormat="1" spans="1:6">
      <c r="A9590">
        <v>9860</v>
      </c>
      <c r="B9590">
        <v>442017260</v>
      </c>
      <c r="C9590" s="76">
        <v>2017</v>
      </c>
      <c r="D9590" s="76" t="s">
        <v>34</v>
      </c>
      <c r="E9590" s="76">
        <v>25</v>
      </c>
      <c r="F9590" s="76">
        <v>4.95</v>
      </c>
    </row>
    <row r="9591" s="76" customFormat="1" spans="1:6">
      <c r="A9591">
        <v>9858</v>
      </c>
      <c r="B9591">
        <v>442017260</v>
      </c>
      <c r="C9591" s="76">
        <v>2017</v>
      </c>
      <c r="D9591" s="76" t="s">
        <v>34</v>
      </c>
      <c r="E9591" s="76">
        <v>25</v>
      </c>
      <c r="F9591" s="76">
        <v>4.95</v>
      </c>
    </row>
    <row r="9592" s="76" customFormat="1" spans="1:6">
      <c r="A9592">
        <v>9865</v>
      </c>
      <c r="B9592">
        <v>442017270</v>
      </c>
      <c r="C9592" s="76">
        <v>2017</v>
      </c>
      <c r="D9592" s="76" t="s">
        <v>31</v>
      </c>
      <c r="E9592" s="76">
        <v>1</v>
      </c>
      <c r="F9592" s="76">
        <v>6</v>
      </c>
    </row>
    <row r="9593" s="76" customFormat="1" spans="1:6">
      <c r="A9593">
        <v>9866</v>
      </c>
      <c r="B9593">
        <v>442017270</v>
      </c>
      <c r="C9593" s="76">
        <v>2017</v>
      </c>
      <c r="D9593" s="76" t="s">
        <v>31</v>
      </c>
      <c r="E9593" s="76">
        <v>1</v>
      </c>
      <c r="F9593" s="76">
        <v>4.5</v>
      </c>
    </row>
    <row r="9594" s="76" customFormat="1" spans="1:6">
      <c r="A9594">
        <v>9864</v>
      </c>
      <c r="B9594">
        <v>442017270</v>
      </c>
      <c r="C9594" s="76">
        <v>2017</v>
      </c>
      <c r="D9594" s="76" t="s">
        <v>31</v>
      </c>
      <c r="E9594" s="76" t="s">
        <v>32</v>
      </c>
      <c r="F9594" s="76">
        <v>5</v>
      </c>
    </row>
    <row r="9595" s="76" customFormat="1" spans="1:6">
      <c r="A9595">
        <v>9867</v>
      </c>
      <c r="B9595">
        <v>442017270</v>
      </c>
      <c r="C9595" s="76">
        <v>2017</v>
      </c>
      <c r="D9595" s="76" t="s">
        <v>31</v>
      </c>
      <c r="E9595" s="76">
        <v>1</v>
      </c>
      <c r="F9595" s="76">
        <v>7</v>
      </c>
    </row>
    <row r="9596" s="76" customFormat="1" spans="1:6">
      <c r="A9596">
        <v>9868</v>
      </c>
      <c r="B9596">
        <v>442017270</v>
      </c>
      <c r="C9596" s="76">
        <v>2017</v>
      </c>
      <c r="D9596" s="76" t="s">
        <v>31</v>
      </c>
      <c r="E9596" s="76" t="s">
        <v>32</v>
      </c>
      <c r="F9596" s="76">
        <v>0.71</v>
      </c>
    </row>
    <row r="9597" s="76" customFormat="1" spans="1:6">
      <c r="A9597">
        <v>9869</v>
      </c>
      <c r="B9597">
        <v>442018120</v>
      </c>
      <c r="C9597" s="76">
        <v>2018</v>
      </c>
      <c r="D9597" s="76" t="s">
        <v>42</v>
      </c>
      <c r="E9597" s="76">
        <v>3</v>
      </c>
      <c r="F9597" s="76">
        <v>90</v>
      </c>
    </row>
    <row r="9598" s="76" customFormat="1" spans="1:6">
      <c r="A9598">
        <v>9870</v>
      </c>
      <c r="B9598">
        <v>442018211</v>
      </c>
      <c r="C9598" s="76">
        <v>2018</v>
      </c>
      <c r="D9598" s="76" t="s">
        <v>37</v>
      </c>
      <c r="E9598" s="76">
        <v>1</v>
      </c>
      <c r="F9598" s="76">
        <v>35</v>
      </c>
    </row>
    <row r="9599" s="76" customFormat="1" spans="1:6">
      <c r="A9599">
        <v>9879</v>
      </c>
      <c r="B9599">
        <v>442018221</v>
      </c>
      <c r="C9599" s="76">
        <v>2018</v>
      </c>
      <c r="D9599" s="76" t="s">
        <v>30</v>
      </c>
      <c r="E9599" s="76">
        <v>1</v>
      </c>
      <c r="F9599" s="76">
        <v>5.9</v>
      </c>
    </row>
    <row r="9600" s="76" customFormat="1" spans="1:6">
      <c r="A9600">
        <v>9872</v>
      </c>
      <c r="B9600">
        <v>442018221</v>
      </c>
      <c r="C9600" s="76">
        <v>2018</v>
      </c>
      <c r="D9600" s="76" t="s">
        <v>30</v>
      </c>
      <c r="E9600" s="76">
        <v>2</v>
      </c>
      <c r="F9600" s="76">
        <v>92</v>
      </c>
    </row>
    <row r="9601" s="76" customFormat="1" spans="1:6">
      <c r="A9601">
        <v>9877</v>
      </c>
      <c r="B9601">
        <v>442018221</v>
      </c>
      <c r="C9601" s="76">
        <v>2018</v>
      </c>
      <c r="D9601" s="76" t="s">
        <v>30</v>
      </c>
      <c r="E9601" s="76">
        <v>2</v>
      </c>
      <c r="F9601" s="76">
        <v>12</v>
      </c>
    </row>
    <row r="9602" s="76" customFormat="1" spans="1:6">
      <c r="A9602">
        <v>9874</v>
      </c>
      <c r="B9602">
        <v>442018221</v>
      </c>
      <c r="C9602" s="76">
        <v>2018</v>
      </c>
      <c r="D9602" s="76" t="s">
        <v>30</v>
      </c>
      <c r="E9602" s="76">
        <v>1</v>
      </c>
      <c r="F9602" s="76">
        <v>46</v>
      </c>
    </row>
    <row r="9603" s="76" customFormat="1" spans="1:6">
      <c r="A9603">
        <v>9873</v>
      </c>
      <c r="B9603">
        <v>442018221</v>
      </c>
      <c r="C9603" s="76">
        <v>2018</v>
      </c>
      <c r="D9603" s="76" t="s">
        <v>30</v>
      </c>
      <c r="E9603" s="76">
        <v>2</v>
      </c>
      <c r="F9603" s="76">
        <v>81.4</v>
      </c>
    </row>
    <row r="9604" s="76" customFormat="1" spans="1:6">
      <c r="A9604">
        <v>9875</v>
      </c>
      <c r="B9604">
        <v>442018221</v>
      </c>
      <c r="C9604" s="76">
        <v>2018</v>
      </c>
      <c r="D9604" s="76" t="s">
        <v>30</v>
      </c>
      <c r="E9604" s="76">
        <v>2</v>
      </c>
      <c r="F9604" s="76">
        <v>23</v>
      </c>
    </row>
    <row r="9605" s="76" customFormat="1" spans="1:6">
      <c r="A9605">
        <v>9878</v>
      </c>
      <c r="B9605">
        <v>442018221</v>
      </c>
      <c r="C9605" s="76">
        <v>2018</v>
      </c>
      <c r="D9605" s="76" t="s">
        <v>30</v>
      </c>
      <c r="E9605" s="76">
        <v>3</v>
      </c>
      <c r="F9605" s="76">
        <v>16.55</v>
      </c>
    </row>
    <row r="9606" s="76" customFormat="1" spans="1:6">
      <c r="A9606">
        <v>9871</v>
      </c>
      <c r="B9606">
        <v>442018221</v>
      </c>
      <c r="C9606" s="76">
        <v>2018</v>
      </c>
      <c r="D9606" s="76" t="s">
        <v>30</v>
      </c>
      <c r="E9606" s="76">
        <v>2</v>
      </c>
      <c r="F9606" s="76">
        <v>81.8</v>
      </c>
    </row>
    <row r="9607" s="76" customFormat="1" spans="1:6">
      <c r="A9607">
        <v>9876</v>
      </c>
      <c r="B9607">
        <v>442018221</v>
      </c>
      <c r="C9607" s="76">
        <v>2018</v>
      </c>
      <c r="D9607" s="76" t="s">
        <v>30</v>
      </c>
      <c r="E9607" s="76">
        <v>2</v>
      </c>
      <c r="F9607" s="76">
        <v>90.6</v>
      </c>
    </row>
    <row r="9608" s="76" customFormat="1" spans="1:6">
      <c r="A9608">
        <v>9880</v>
      </c>
      <c r="B9608">
        <v>442018250</v>
      </c>
      <c r="C9608" s="76">
        <v>2018</v>
      </c>
      <c r="D9608" s="76" t="s">
        <v>44</v>
      </c>
      <c r="E9608" s="76">
        <v>1</v>
      </c>
      <c r="F9608" s="76">
        <v>175</v>
      </c>
    </row>
    <row r="9609" s="76" customFormat="1" spans="1:6">
      <c r="A9609">
        <v>9881</v>
      </c>
      <c r="B9609">
        <v>442018250</v>
      </c>
      <c r="C9609" s="76">
        <v>2018</v>
      </c>
      <c r="D9609" s="76" t="s">
        <v>44</v>
      </c>
      <c r="E9609" s="76">
        <v>1</v>
      </c>
      <c r="F9609" s="76">
        <v>108.6</v>
      </c>
    </row>
    <row r="9610" s="76" customFormat="1" spans="1:6">
      <c r="A9610">
        <v>9883</v>
      </c>
      <c r="B9610">
        <v>442018260</v>
      </c>
      <c r="C9610" s="76">
        <v>2018</v>
      </c>
      <c r="D9610" s="76" t="s">
        <v>34</v>
      </c>
      <c r="E9610" s="76">
        <v>1</v>
      </c>
      <c r="F9610" s="76">
        <v>0.22</v>
      </c>
    </row>
    <row r="9611" s="76" customFormat="1" spans="1:6">
      <c r="A9611">
        <v>9882</v>
      </c>
      <c r="B9611">
        <v>442018260</v>
      </c>
      <c r="C9611" s="76">
        <v>2018</v>
      </c>
      <c r="D9611" s="76" t="s">
        <v>34</v>
      </c>
      <c r="E9611" s="76">
        <v>9</v>
      </c>
      <c r="F9611" s="76">
        <v>1.8</v>
      </c>
    </row>
    <row r="9612" s="76" customFormat="1" spans="1:6">
      <c r="A9612">
        <v>9884</v>
      </c>
      <c r="B9612">
        <v>442018270</v>
      </c>
      <c r="C9612" s="76">
        <v>2018</v>
      </c>
      <c r="D9612" s="76" t="s">
        <v>31</v>
      </c>
      <c r="E9612" s="76" t="s">
        <v>32</v>
      </c>
      <c r="F9612" s="76">
        <v>5.5</v>
      </c>
    </row>
    <row r="9613" s="76" customFormat="1" spans="1:6">
      <c r="A9613">
        <v>9886</v>
      </c>
      <c r="B9613">
        <v>442018270</v>
      </c>
      <c r="C9613" s="76">
        <v>2018</v>
      </c>
      <c r="D9613" s="76" t="s">
        <v>31</v>
      </c>
      <c r="E9613" s="76" t="s">
        <v>32</v>
      </c>
      <c r="F9613" s="76">
        <v>3</v>
      </c>
    </row>
    <row r="9614" s="76" customFormat="1" spans="1:6">
      <c r="A9614">
        <v>9885</v>
      </c>
      <c r="B9614">
        <v>442018270</v>
      </c>
      <c r="C9614" s="76">
        <v>2018</v>
      </c>
      <c r="D9614" s="76" t="s">
        <v>31</v>
      </c>
      <c r="E9614" s="76" t="s">
        <v>32</v>
      </c>
      <c r="F9614" s="76">
        <v>4</v>
      </c>
    </row>
    <row r="9615" s="76" customFormat="1" spans="1:6">
      <c r="A9615">
        <v>9892</v>
      </c>
      <c r="B9615">
        <v>442018270</v>
      </c>
      <c r="C9615" s="76">
        <v>2018</v>
      </c>
      <c r="D9615" s="76" t="s">
        <v>31</v>
      </c>
      <c r="E9615" s="76" t="s">
        <v>32</v>
      </c>
      <c r="F9615" s="76">
        <v>0.47</v>
      </c>
    </row>
    <row r="9616" s="76" customFormat="1" spans="1:6">
      <c r="A9616">
        <v>9890</v>
      </c>
      <c r="B9616">
        <v>442018270</v>
      </c>
      <c r="C9616" s="76">
        <v>2018</v>
      </c>
      <c r="D9616" s="76" t="s">
        <v>31</v>
      </c>
      <c r="E9616" s="76" t="s">
        <v>32</v>
      </c>
      <c r="F9616" s="76">
        <v>0.5</v>
      </c>
    </row>
    <row r="9617" s="76" customFormat="1" spans="1:6">
      <c r="A9617">
        <v>9889</v>
      </c>
      <c r="B9617">
        <v>442018270</v>
      </c>
      <c r="C9617" s="76">
        <v>2018</v>
      </c>
      <c r="D9617" s="76" t="s">
        <v>31</v>
      </c>
      <c r="E9617" s="76" t="s">
        <v>32</v>
      </c>
      <c r="F9617" s="76">
        <v>0.26</v>
      </c>
    </row>
    <row r="9618" s="76" customFormat="1" spans="1:6">
      <c r="A9618">
        <v>9891</v>
      </c>
      <c r="B9618">
        <v>442018270</v>
      </c>
      <c r="C9618" s="76">
        <v>2018</v>
      </c>
      <c r="D9618" s="76" t="s">
        <v>31</v>
      </c>
      <c r="E9618" s="76" t="s">
        <v>32</v>
      </c>
      <c r="F9618" s="76">
        <v>0.63</v>
      </c>
    </row>
    <row r="9619" s="76" customFormat="1" spans="1:6">
      <c r="A9619">
        <v>9887</v>
      </c>
      <c r="B9619">
        <v>442018270</v>
      </c>
      <c r="C9619" s="76">
        <v>2018</v>
      </c>
      <c r="D9619" s="76" t="s">
        <v>31</v>
      </c>
      <c r="E9619" s="76" t="s">
        <v>32</v>
      </c>
      <c r="F9619" s="76">
        <v>0.69</v>
      </c>
    </row>
    <row r="9620" s="76" customFormat="1" spans="1:6">
      <c r="A9620">
        <v>9894</v>
      </c>
      <c r="B9620">
        <v>442018270</v>
      </c>
      <c r="C9620" s="76">
        <v>2018</v>
      </c>
      <c r="D9620" s="76" t="s">
        <v>31</v>
      </c>
      <c r="E9620" s="76" t="s">
        <v>32</v>
      </c>
      <c r="F9620" s="76">
        <v>8.94</v>
      </c>
    </row>
    <row r="9621" s="76" customFormat="1" spans="1:6">
      <c r="A9621">
        <v>9888</v>
      </c>
      <c r="B9621">
        <v>442018270</v>
      </c>
      <c r="C9621" s="76">
        <v>2018</v>
      </c>
      <c r="D9621" s="76" t="s">
        <v>31</v>
      </c>
      <c r="E9621" s="76" t="s">
        <v>32</v>
      </c>
      <c r="F9621" s="76">
        <v>3.69</v>
      </c>
    </row>
    <row r="9622" s="76" customFormat="1" spans="1:6">
      <c r="A9622">
        <v>9893</v>
      </c>
      <c r="B9622">
        <v>442018270</v>
      </c>
      <c r="C9622" s="76">
        <v>2018</v>
      </c>
      <c r="D9622" s="76" t="s">
        <v>31</v>
      </c>
      <c r="E9622" s="76" t="s">
        <v>32</v>
      </c>
      <c r="F9622" s="76">
        <v>2.3</v>
      </c>
    </row>
    <row r="9623" s="76" customFormat="1" spans="1:6">
      <c r="A9623">
        <v>9895</v>
      </c>
      <c r="B9623">
        <v>442018270</v>
      </c>
      <c r="C9623" s="76">
        <v>2018</v>
      </c>
      <c r="D9623" s="76" t="s">
        <v>31</v>
      </c>
      <c r="E9623" s="76" t="s">
        <v>32</v>
      </c>
      <c r="F9623" s="76">
        <v>4.2</v>
      </c>
    </row>
    <row r="9624" s="76" customFormat="1" spans="1:6">
      <c r="A9624">
        <v>9897</v>
      </c>
      <c r="B9624">
        <v>442019211</v>
      </c>
      <c r="C9624" s="76">
        <v>2019</v>
      </c>
      <c r="D9624" s="76" t="s">
        <v>37</v>
      </c>
      <c r="E9624" s="76">
        <v>1</v>
      </c>
      <c r="F9624" s="76">
        <v>35</v>
      </c>
    </row>
    <row r="9625" s="76" customFormat="1" spans="1:6">
      <c r="A9625">
        <v>9896</v>
      </c>
      <c r="B9625">
        <v>442019211</v>
      </c>
      <c r="C9625" s="76">
        <v>2019</v>
      </c>
      <c r="D9625" s="76" t="s">
        <v>37</v>
      </c>
      <c r="E9625" s="76">
        <v>1</v>
      </c>
      <c r="F9625" s="76">
        <v>100</v>
      </c>
    </row>
    <row r="9626" s="76" customFormat="1" spans="1:6">
      <c r="A9626">
        <v>9898</v>
      </c>
      <c r="B9626">
        <v>442019211</v>
      </c>
      <c r="C9626" s="76">
        <v>2019</v>
      </c>
      <c r="D9626" s="76" t="s">
        <v>37</v>
      </c>
      <c r="E9626" s="76">
        <v>1</v>
      </c>
      <c r="F9626" s="76">
        <v>100</v>
      </c>
    </row>
    <row r="9627" s="76" customFormat="1" spans="1:6">
      <c r="A9627">
        <v>9902</v>
      </c>
      <c r="B9627">
        <v>442019221</v>
      </c>
      <c r="C9627" s="76">
        <v>2019</v>
      </c>
      <c r="D9627" s="76" t="s">
        <v>30</v>
      </c>
      <c r="E9627" s="76">
        <v>2</v>
      </c>
      <c r="F9627" s="76">
        <v>10.45</v>
      </c>
    </row>
    <row r="9628" s="76" customFormat="1" spans="1:6">
      <c r="A9628">
        <v>9899</v>
      </c>
      <c r="B9628">
        <v>442019221</v>
      </c>
      <c r="C9628" s="76">
        <v>2019</v>
      </c>
      <c r="D9628" s="76" t="s">
        <v>30</v>
      </c>
      <c r="E9628" s="76">
        <v>1</v>
      </c>
      <c r="F9628" s="76">
        <v>46</v>
      </c>
    </row>
    <row r="9629" s="76" customFormat="1" spans="1:6">
      <c r="A9629">
        <v>9901</v>
      </c>
      <c r="B9629">
        <v>442019221</v>
      </c>
      <c r="C9629" s="76">
        <v>2019</v>
      </c>
      <c r="D9629" s="76" t="s">
        <v>30</v>
      </c>
      <c r="E9629" s="76">
        <v>2</v>
      </c>
      <c r="F9629" s="76">
        <v>24.5</v>
      </c>
    </row>
    <row r="9630" s="76" customFormat="1" spans="1:6">
      <c r="A9630">
        <v>9900</v>
      </c>
      <c r="B9630">
        <v>442019221</v>
      </c>
      <c r="C9630" s="76">
        <v>2019</v>
      </c>
      <c r="D9630" s="76" t="s">
        <v>30</v>
      </c>
      <c r="E9630" s="76">
        <v>2</v>
      </c>
      <c r="F9630" s="76">
        <v>92</v>
      </c>
    </row>
    <row r="9631" s="76" customFormat="1" spans="1:6">
      <c r="A9631">
        <v>9904</v>
      </c>
      <c r="B9631">
        <v>442019223</v>
      </c>
      <c r="C9631" s="76">
        <v>2019</v>
      </c>
      <c r="D9631" s="76" t="s">
        <v>36</v>
      </c>
      <c r="E9631" s="76" t="s">
        <v>32</v>
      </c>
      <c r="F9631" s="76">
        <v>0.52</v>
      </c>
    </row>
    <row r="9632" s="76" customFormat="1" spans="1:6">
      <c r="A9632">
        <v>9903</v>
      </c>
      <c r="B9632">
        <v>442019223</v>
      </c>
      <c r="C9632" s="76">
        <v>2019</v>
      </c>
      <c r="D9632" s="76" t="s">
        <v>36</v>
      </c>
      <c r="E9632" s="76" t="s">
        <v>32</v>
      </c>
      <c r="F9632" s="76">
        <v>0.9</v>
      </c>
    </row>
    <row r="9633" s="76" customFormat="1" spans="1:6">
      <c r="A9633">
        <v>9911</v>
      </c>
      <c r="B9633">
        <v>442019242</v>
      </c>
      <c r="C9633" s="76">
        <v>2019</v>
      </c>
      <c r="D9633" s="76" t="s">
        <v>35</v>
      </c>
      <c r="E9633" s="76" t="s">
        <v>32</v>
      </c>
      <c r="F9633" s="76">
        <v>1.8</v>
      </c>
    </row>
    <row r="9634" s="76" customFormat="1" spans="1:6">
      <c r="A9634">
        <v>9914</v>
      </c>
      <c r="B9634">
        <v>442019242</v>
      </c>
      <c r="C9634" s="76">
        <v>2019</v>
      </c>
      <c r="D9634" s="76" t="s">
        <v>35</v>
      </c>
      <c r="E9634" s="76" t="s">
        <v>32</v>
      </c>
      <c r="F9634" s="76">
        <v>4</v>
      </c>
    </row>
    <row r="9635" s="76" customFormat="1" spans="1:6">
      <c r="A9635">
        <v>9916</v>
      </c>
      <c r="B9635">
        <v>442019242</v>
      </c>
      <c r="C9635" s="76">
        <v>2019</v>
      </c>
      <c r="D9635" s="76" t="s">
        <v>35</v>
      </c>
      <c r="E9635" s="76" t="s">
        <v>32</v>
      </c>
      <c r="F9635" s="76">
        <v>6</v>
      </c>
    </row>
    <row r="9636" s="76" customFormat="1" spans="1:6">
      <c r="A9636">
        <v>9905</v>
      </c>
      <c r="B9636">
        <v>442019242</v>
      </c>
      <c r="C9636" s="76">
        <v>2019</v>
      </c>
      <c r="D9636" s="76" t="s">
        <v>35</v>
      </c>
      <c r="E9636" s="76" t="s">
        <v>32</v>
      </c>
      <c r="F9636" s="76">
        <v>15</v>
      </c>
    </row>
    <row r="9637" s="76" customFormat="1" spans="1:6">
      <c r="A9637">
        <v>9915</v>
      </c>
      <c r="B9637">
        <v>442019242</v>
      </c>
      <c r="C9637" s="76">
        <v>2019</v>
      </c>
      <c r="D9637" s="76" t="s">
        <v>35</v>
      </c>
      <c r="E9637" s="76" t="s">
        <v>32</v>
      </c>
      <c r="F9637" s="76">
        <v>3</v>
      </c>
    </row>
    <row r="9638" s="76" customFormat="1" spans="1:6">
      <c r="A9638">
        <v>9908</v>
      </c>
      <c r="B9638">
        <v>442019242</v>
      </c>
      <c r="C9638" s="76">
        <v>2019</v>
      </c>
      <c r="D9638" s="76" t="s">
        <v>35</v>
      </c>
      <c r="E9638" s="76" t="s">
        <v>32</v>
      </c>
      <c r="F9638" s="76">
        <v>18</v>
      </c>
    </row>
    <row r="9639" s="76" customFormat="1" spans="1:6">
      <c r="A9639">
        <v>9909</v>
      </c>
      <c r="B9639">
        <v>442019242</v>
      </c>
      <c r="C9639" s="76">
        <v>2019</v>
      </c>
      <c r="D9639" s="76" t="s">
        <v>35</v>
      </c>
      <c r="E9639" s="76" t="s">
        <v>32</v>
      </c>
      <c r="F9639" s="76">
        <v>0.6</v>
      </c>
    </row>
    <row r="9640" s="76" customFormat="1" spans="1:6">
      <c r="A9640">
        <v>9906</v>
      </c>
      <c r="B9640">
        <v>442019242</v>
      </c>
      <c r="C9640" s="76">
        <v>2019</v>
      </c>
      <c r="D9640" s="76" t="s">
        <v>35</v>
      </c>
      <c r="E9640" s="76" t="s">
        <v>32</v>
      </c>
      <c r="F9640" s="76">
        <v>1.8</v>
      </c>
    </row>
    <row r="9641" s="76" customFormat="1" spans="1:6">
      <c r="A9641">
        <v>9907</v>
      </c>
      <c r="B9641">
        <v>442019242</v>
      </c>
      <c r="C9641" s="76">
        <v>2019</v>
      </c>
      <c r="D9641" s="76" t="s">
        <v>35</v>
      </c>
      <c r="E9641" s="76" t="s">
        <v>32</v>
      </c>
      <c r="F9641" s="76">
        <v>5.3</v>
      </c>
    </row>
    <row r="9642" s="76" customFormat="1" spans="1:6">
      <c r="A9642">
        <v>9913</v>
      </c>
      <c r="B9642">
        <v>442019242</v>
      </c>
      <c r="C9642" s="76">
        <v>2019</v>
      </c>
      <c r="D9642" s="76" t="s">
        <v>35</v>
      </c>
      <c r="E9642" s="76" t="s">
        <v>32</v>
      </c>
      <c r="F9642" s="76">
        <v>2</v>
      </c>
    </row>
    <row r="9643" s="76" customFormat="1" spans="1:6">
      <c r="A9643">
        <v>9912</v>
      </c>
      <c r="B9643">
        <v>442019242</v>
      </c>
      <c r="C9643" s="76">
        <v>2019</v>
      </c>
      <c r="D9643" s="76" t="s">
        <v>35</v>
      </c>
      <c r="E9643" s="76" t="s">
        <v>32</v>
      </c>
      <c r="F9643" s="76">
        <v>3.6</v>
      </c>
    </row>
    <row r="9644" s="76" customFormat="1" spans="1:6">
      <c r="A9644">
        <v>9910</v>
      </c>
      <c r="B9644">
        <v>442019242</v>
      </c>
      <c r="C9644" s="76">
        <v>2019</v>
      </c>
      <c r="D9644" s="76" t="s">
        <v>35</v>
      </c>
      <c r="E9644" s="76" t="s">
        <v>32</v>
      </c>
      <c r="F9644" s="76">
        <v>10</v>
      </c>
    </row>
    <row r="9645" s="76" customFormat="1" spans="1:6">
      <c r="A9645">
        <v>9917</v>
      </c>
      <c r="B9645">
        <v>442019250</v>
      </c>
      <c r="C9645" s="76">
        <v>2019</v>
      </c>
      <c r="D9645" s="76" t="s">
        <v>44</v>
      </c>
      <c r="E9645" s="76">
        <v>1</v>
      </c>
      <c r="F9645" s="76">
        <v>175</v>
      </c>
    </row>
    <row r="9646" s="76" customFormat="1" spans="1:6">
      <c r="A9646">
        <v>9918</v>
      </c>
      <c r="B9646">
        <v>442019250</v>
      </c>
      <c r="C9646" s="76">
        <v>2019</v>
      </c>
      <c r="D9646" s="76" t="s">
        <v>44</v>
      </c>
      <c r="E9646" s="76">
        <v>1</v>
      </c>
      <c r="F9646" s="76">
        <v>108.6</v>
      </c>
    </row>
    <row r="9647" s="76" customFormat="1" spans="1:6">
      <c r="A9647">
        <v>9920</v>
      </c>
      <c r="B9647">
        <v>442019260</v>
      </c>
      <c r="C9647" s="76">
        <v>2019</v>
      </c>
      <c r="D9647" s="76" t="s">
        <v>34</v>
      </c>
      <c r="E9647" s="76">
        <v>8</v>
      </c>
      <c r="F9647" s="76">
        <v>1.54</v>
      </c>
    </row>
    <row r="9648" s="76" customFormat="1" spans="1:6">
      <c r="A9648">
        <v>9922</v>
      </c>
      <c r="B9648">
        <v>442019260</v>
      </c>
      <c r="C9648" s="76">
        <v>2019</v>
      </c>
      <c r="D9648" s="76" t="s">
        <v>34</v>
      </c>
      <c r="E9648" s="76">
        <v>3</v>
      </c>
      <c r="F9648" s="76">
        <v>1.65</v>
      </c>
    </row>
    <row r="9649" s="76" customFormat="1" spans="1:6">
      <c r="A9649">
        <v>9921</v>
      </c>
      <c r="B9649">
        <v>442019260</v>
      </c>
      <c r="C9649" s="76">
        <v>2019</v>
      </c>
      <c r="D9649" s="76" t="s">
        <v>34</v>
      </c>
      <c r="E9649" s="76">
        <v>36</v>
      </c>
      <c r="F9649" s="76">
        <v>19.8</v>
      </c>
    </row>
    <row r="9650" s="76" customFormat="1" spans="1:6">
      <c r="A9650">
        <v>9923</v>
      </c>
      <c r="B9650">
        <v>442019260</v>
      </c>
      <c r="C9650" s="76">
        <v>2019</v>
      </c>
      <c r="D9650" s="76" t="s">
        <v>34</v>
      </c>
      <c r="E9650" s="76">
        <v>5</v>
      </c>
      <c r="F9650" s="76">
        <v>2.75</v>
      </c>
    </row>
    <row r="9651" s="76" customFormat="1" spans="1:6">
      <c r="A9651">
        <v>9919</v>
      </c>
      <c r="B9651">
        <v>442019260</v>
      </c>
      <c r="C9651" s="76">
        <v>2019</v>
      </c>
      <c r="D9651" s="76" t="s">
        <v>34</v>
      </c>
      <c r="E9651" s="76">
        <v>15</v>
      </c>
      <c r="F9651" s="76">
        <v>4.8</v>
      </c>
    </row>
    <row r="9652" s="76" customFormat="1" spans="1:6">
      <c r="A9652">
        <v>9924</v>
      </c>
      <c r="B9652">
        <v>442019270</v>
      </c>
      <c r="C9652" s="76">
        <v>2019</v>
      </c>
      <c r="D9652" s="76" t="s">
        <v>31</v>
      </c>
      <c r="E9652" s="76" t="s">
        <v>32</v>
      </c>
      <c r="F9652" s="76">
        <v>1.58</v>
      </c>
    </row>
    <row r="9653" s="76" customFormat="1" spans="1:6">
      <c r="A9653">
        <v>9926</v>
      </c>
      <c r="B9653">
        <v>442019270</v>
      </c>
      <c r="C9653" s="76">
        <v>2019</v>
      </c>
      <c r="D9653" s="76" t="s">
        <v>31</v>
      </c>
      <c r="E9653" s="76" t="s">
        <v>32</v>
      </c>
      <c r="F9653" s="76">
        <v>0.37</v>
      </c>
    </row>
    <row r="9654" s="76" customFormat="1" spans="1:6">
      <c r="A9654">
        <v>9927</v>
      </c>
      <c r="B9654">
        <v>442019270</v>
      </c>
      <c r="C9654" s="76">
        <v>2019</v>
      </c>
      <c r="D9654" s="76" t="s">
        <v>31</v>
      </c>
      <c r="E9654" s="76" t="s">
        <v>32</v>
      </c>
      <c r="F9654" s="76">
        <v>1</v>
      </c>
    </row>
    <row r="9655" s="76" customFormat="1" spans="1:6">
      <c r="A9655">
        <v>9925</v>
      </c>
      <c r="B9655">
        <v>442019270</v>
      </c>
      <c r="C9655" s="76">
        <v>2019</v>
      </c>
      <c r="D9655" s="76" t="s">
        <v>31</v>
      </c>
      <c r="E9655" s="76" t="s">
        <v>32</v>
      </c>
      <c r="F9655" s="76">
        <v>5</v>
      </c>
    </row>
    <row r="9656" s="76" customFormat="1" spans="1:6">
      <c r="A9656">
        <v>9930</v>
      </c>
      <c r="B9656">
        <v>442019270</v>
      </c>
      <c r="C9656" s="76">
        <v>2019</v>
      </c>
      <c r="D9656" s="76" t="s">
        <v>31</v>
      </c>
      <c r="E9656" s="76" t="s">
        <v>32</v>
      </c>
      <c r="F9656" s="76">
        <v>5</v>
      </c>
    </row>
    <row r="9657" s="76" customFormat="1" spans="1:6">
      <c r="A9657">
        <v>9929</v>
      </c>
      <c r="B9657">
        <v>442019270</v>
      </c>
      <c r="C9657" s="76">
        <v>2019</v>
      </c>
      <c r="D9657" s="76" t="s">
        <v>31</v>
      </c>
      <c r="E9657" s="76" t="s">
        <v>32</v>
      </c>
      <c r="F9657" s="76">
        <v>20</v>
      </c>
    </row>
    <row r="9658" s="76" customFormat="1" spans="1:6">
      <c r="A9658">
        <v>9932</v>
      </c>
      <c r="B9658">
        <v>442020211</v>
      </c>
      <c r="C9658" s="76">
        <v>2020</v>
      </c>
      <c r="D9658" s="76" t="s">
        <v>37</v>
      </c>
      <c r="E9658" s="76">
        <v>1</v>
      </c>
      <c r="F9658" s="76">
        <v>100</v>
      </c>
    </row>
    <row r="9659" s="76" customFormat="1" spans="1:6">
      <c r="A9659">
        <v>9931</v>
      </c>
      <c r="B9659">
        <v>442020211</v>
      </c>
      <c r="C9659" s="76">
        <v>2020</v>
      </c>
      <c r="D9659" s="76" t="s">
        <v>37</v>
      </c>
      <c r="E9659" s="76">
        <v>2</v>
      </c>
      <c r="F9659" s="76">
        <v>200</v>
      </c>
    </row>
    <row r="9660" s="76" customFormat="1" spans="1:6">
      <c r="A9660">
        <v>9939</v>
      </c>
      <c r="B9660">
        <v>442020221</v>
      </c>
      <c r="C9660" s="76">
        <v>2020</v>
      </c>
      <c r="D9660" s="76" t="s">
        <v>30</v>
      </c>
      <c r="E9660" s="76">
        <v>2</v>
      </c>
      <c r="F9660" s="76">
        <v>18</v>
      </c>
    </row>
    <row r="9661" s="76" customFormat="1" spans="1:6">
      <c r="A9661">
        <v>9934</v>
      </c>
      <c r="B9661">
        <v>442020221</v>
      </c>
      <c r="C9661" s="76">
        <v>2020</v>
      </c>
      <c r="D9661" s="76" t="s">
        <v>30</v>
      </c>
      <c r="E9661" s="76">
        <v>4</v>
      </c>
      <c r="F9661" s="76">
        <v>94.5</v>
      </c>
    </row>
    <row r="9662" s="76" customFormat="1" spans="1:6">
      <c r="A9662">
        <v>9940</v>
      </c>
      <c r="B9662">
        <v>442020221</v>
      </c>
      <c r="C9662" s="76">
        <v>2020</v>
      </c>
      <c r="D9662" s="76" t="s">
        <v>30</v>
      </c>
      <c r="E9662" s="76">
        <v>3</v>
      </c>
      <c r="F9662" s="76">
        <v>2.93</v>
      </c>
    </row>
    <row r="9663" s="76" customFormat="1" spans="1:6">
      <c r="A9663">
        <v>9938</v>
      </c>
      <c r="B9663">
        <v>442020221</v>
      </c>
      <c r="C9663" s="76">
        <v>2020</v>
      </c>
      <c r="D9663" s="76" t="s">
        <v>30</v>
      </c>
      <c r="E9663" s="76">
        <v>2</v>
      </c>
      <c r="F9663" s="76">
        <v>133.86</v>
      </c>
    </row>
    <row r="9664" s="76" customFormat="1" spans="1:6">
      <c r="A9664">
        <v>9936</v>
      </c>
      <c r="B9664">
        <v>442020221</v>
      </c>
      <c r="C9664" s="76">
        <v>2020</v>
      </c>
      <c r="D9664" s="76" t="s">
        <v>30</v>
      </c>
      <c r="E9664" s="76">
        <v>1</v>
      </c>
      <c r="F9664" s="76">
        <v>6</v>
      </c>
    </row>
    <row r="9665" s="76" customFormat="1" spans="1:6">
      <c r="A9665">
        <v>9933</v>
      </c>
      <c r="B9665">
        <v>442020221</v>
      </c>
      <c r="C9665" s="76">
        <v>2020</v>
      </c>
      <c r="D9665" s="76" t="s">
        <v>30</v>
      </c>
      <c r="E9665" s="76">
        <v>2</v>
      </c>
      <c r="F9665" s="76">
        <v>8.57</v>
      </c>
    </row>
    <row r="9666" s="76" customFormat="1" spans="1:6">
      <c r="A9666">
        <v>9937</v>
      </c>
      <c r="B9666">
        <v>442020221</v>
      </c>
      <c r="C9666" s="76">
        <v>2020</v>
      </c>
      <c r="D9666" s="76" t="s">
        <v>30</v>
      </c>
      <c r="E9666" s="76">
        <v>2</v>
      </c>
      <c r="F9666" s="76">
        <v>84.6</v>
      </c>
    </row>
    <row r="9667" s="76" customFormat="1" spans="1:6">
      <c r="A9667">
        <v>9935</v>
      </c>
      <c r="B9667">
        <v>442020221</v>
      </c>
      <c r="C9667" s="76">
        <v>2020</v>
      </c>
      <c r="D9667" s="76" t="s">
        <v>30</v>
      </c>
      <c r="E9667" s="76">
        <v>2</v>
      </c>
      <c r="F9667" s="76">
        <v>93</v>
      </c>
    </row>
    <row r="9668" s="76" customFormat="1" spans="1:6">
      <c r="A9668">
        <v>9945</v>
      </c>
      <c r="B9668">
        <v>442020260</v>
      </c>
      <c r="C9668" s="76">
        <v>2020</v>
      </c>
      <c r="D9668" s="76" t="s">
        <v>34</v>
      </c>
      <c r="E9668" s="76">
        <v>2</v>
      </c>
      <c r="F9668" s="76">
        <v>0.44</v>
      </c>
    </row>
    <row r="9669" s="76" customFormat="1" spans="1:6">
      <c r="A9669">
        <v>9943</v>
      </c>
      <c r="B9669">
        <v>442020260</v>
      </c>
      <c r="C9669" s="76">
        <v>2020</v>
      </c>
      <c r="D9669" s="76" t="s">
        <v>34</v>
      </c>
      <c r="E9669" s="76">
        <v>16</v>
      </c>
      <c r="F9669" s="76">
        <v>4.8</v>
      </c>
    </row>
    <row r="9670" s="76" customFormat="1" spans="1:6">
      <c r="A9670">
        <v>9951</v>
      </c>
      <c r="B9670">
        <v>442020260</v>
      </c>
      <c r="C9670" s="76">
        <v>2020</v>
      </c>
      <c r="D9670" s="76" t="s">
        <v>34</v>
      </c>
      <c r="E9670" s="76">
        <v>33</v>
      </c>
      <c r="F9670" s="76">
        <v>10</v>
      </c>
    </row>
    <row r="9671" s="76" customFormat="1" spans="1:6">
      <c r="A9671">
        <v>9941</v>
      </c>
      <c r="B9671">
        <v>442020260</v>
      </c>
      <c r="C9671" s="76">
        <v>2020</v>
      </c>
      <c r="D9671" s="76" t="s">
        <v>34</v>
      </c>
      <c r="E9671" s="76">
        <v>23</v>
      </c>
      <c r="F9671" s="76">
        <v>4.6</v>
      </c>
    </row>
    <row r="9672" s="76" customFormat="1" spans="1:6">
      <c r="A9672">
        <v>9949</v>
      </c>
      <c r="B9672">
        <v>442020260</v>
      </c>
      <c r="C9672" s="76">
        <v>2020</v>
      </c>
      <c r="D9672" s="76" t="s">
        <v>34</v>
      </c>
      <c r="E9672" s="76">
        <v>34</v>
      </c>
      <c r="F9672" s="76">
        <v>9.9</v>
      </c>
    </row>
    <row r="9673" s="76" customFormat="1" spans="1:6">
      <c r="A9673">
        <v>9948</v>
      </c>
      <c r="B9673">
        <v>442020260</v>
      </c>
      <c r="C9673" s="76">
        <v>2020</v>
      </c>
      <c r="D9673" s="76" t="s">
        <v>34</v>
      </c>
      <c r="E9673" s="76">
        <v>23</v>
      </c>
      <c r="F9673" s="76">
        <v>4.95</v>
      </c>
    </row>
    <row r="9674" s="76" customFormat="1" spans="1:6">
      <c r="A9674">
        <v>9946</v>
      </c>
      <c r="B9674">
        <v>442020260</v>
      </c>
      <c r="C9674" s="76">
        <v>2020</v>
      </c>
      <c r="D9674" s="76" t="s">
        <v>34</v>
      </c>
      <c r="E9674" s="76">
        <v>10</v>
      </c>
      <c r="F9674" s="76">
        <v>3</v>
      </c>
    </row>
    <row r="9675" s="76" customFormat="1" spans="1:6">
      <c r="A9675">
        <v>9947</v>
      </c>
      <c r="B9675">
        <v>442020260</v>
      </c>
      <c r="C9675" s="76">
        <v>2020</v>
      </c>
      <c r="D9675" s="76" t="s">
        <v>34</v>
      </c>
      <c r="E9675" s="76">
        <v>20</v>
      </c>
      <c r="F9675" s="76">
        <v>11</v>
      </c>
    </row>
    <row r="9676" s="76" customFormat="1" spans="1:6">
      <c r="A9676">
        <v>9944</v>
      </c>
      <c r="B9676">
        <v>442020260</v>
      </c>
      <c r="C9676" s="76">
        <v>2020</v>
      </c>
      <c r="D9676" s="76" t="s">
        <v>34</v>
      </c>
      <c r="E9676" s="76">
        <v>15</v>
      </c>
      <c r="F9676" s="76">
        <v>4.8</v>
      </c>
    </row>
    <row r="9677" s="76" customFormat="1" spans="1:6">
      <c r="A9677">
        <v>9950</v>
      </c>
      <c r="B9677">
        <v>442020260</v>
      </c>
      <c r="C9677" s="76">
        <v>2020</v>
      </c>
      <c r="D9677" s="76" t="s">
        <v>34</v>
      </c>
      <c r="E9677" s="76">
        <v>68</v>
      </c>
      <c r="F9677" s="76">
        <v>37.25</v>
      </c>
    </row>
    <row r="9678" s="76" customFormat="1" spans="1:6">
      <c r="A9678">
        <v>9942</v>
      </c>
      <c r="B9678">
        <v>442020260</v>
      </c>
      <c r="C9678" s="76">
        <v>2020</v>
      </c>
      <c r="D9678" s="76" t="s">
        <v>34</v>
      </c>
      <c r="E9678" s="76">
        <v>36</v>
      </c>
      <c r="F9678" s="76">
        <v>19.8</v>
      </c>
    </row>
    <row r="9679" s="76" customFormat="1" spans="1:6">
      <c r="A9679">
        <v>9958</v>
      </c>
      <c r="B9679">
        <v>442020270</v>
      </c>
      <c r="C9679" s="76">
        <v>2020</v>
      </c>
      <c r="D9679" s="76" t="s">
        <v>31</v>
      </c>
      <c r="E9679" s="76" t="s">
        <v>32</v>
      </c>
      <c r="F9679" s="76">
        <v>3.03</v>
      </c>
    </row>
    <row r="9680" s="76" customFormat="1" spans="1:6">
      <c r="A9680">
        <v>9962</v>
      </c>
      <c r="B9680">
        <v>442020270</v>
      </c>
      <c r="C9680" s="76">
        <v>2020</v>
      </c>
      <c r="D9680" s="76" t="s">
        <v>31</v>
      </c>
      <c r="E9680" s="76" t="s">
        <v>32</v>
      </c>
      <c r="F9680" s="76">
        <v>0.22</v>
      </c>
    </row>
    <row r="9681" s="76" customFormat="1" spans="1:6">
      <c r="A9681">
        <v>9954</v>
      </c>
      <c r="B9681">
        <v>442020270</v>
      </c>
      <c r="C9681" s="76">
        <v>2020</v>
      </c>
      <c r="D9681" s="76" t="s">
        <v>31</v>
      </c>
      <c r="E9681" s="76" t="s">
        <v>32</v>
      </c>
      <c r="F9681" s="76">
        <v>2.41</v>
      </c>
    </row>
    <row r="9682" s="76" customFormat="1" spans="1:6">
      <c r="A9682">
        <v>9959</v>
      </c>
      <c r="B9682">
        <v>442020270</v>
      </c>
      <c r="C9682" s="76">
        <v>2020</v>
      </c>
      <c r="D9682" s="76" t="s">
        <v>31</v>
      </c>
      <c r="E9682" s="76" t="s">
        <v>32</v>
      </c>
      <c r="F9682" s="76">
        <v>0.42</v>
      </c>
    </row>
    <row r="9683" s="76" customFormat="1" spans="1:6">
      <c r="A9683">
        <v>9964</v>
      </c>
      <c r="B9683">
        <v>442020270</v>
      </c>
      <c r="C9683" s="76">
        <v>2020</v>
      </c>
      <c r="D9683" s="76" t="s">
        <v>31</v>
      </c>
      <c r="E9683" s="76" t="s">
        <v>32</v>
      </c>
      <c r="F9683" s="76">
        <v>5</v>
      </c>
    </row>
    <row r="9684" s="76" customFormat="1" spans="1:6">
      <c r="A9684">
        <v>9965</v>
      </c>
      <c r="B9684">
        <v>442020270</v>
      </c>
      <c r="C9684" s="76">
        <v>2020</v>
      </c>
      <c r="D9684" s="76" t="s">
        <v>31</v>
      </c>
      <c r="E9684" s="76" t="s">
        <v>32</v>
      </c>
      <c r="F9684" s="76">
        <v>2.48</v>
      </c>
    </row>
    <row r="9685" s="76" customFormat="1" spans="1:6">
      <c r="A9685">
        <v>9966</v>
      </c>
      <c r="B9685">
        <v>442020270</v>
      </c>
      <c r="C9685" s="76">
        <v>2020</v>
      </c>
      <c r="D9685" s="76" t="s">
        <v>31</v>
      </c>
      <c r="E9685" s="76" t="s">
        <v>32</v>
      </c>
      <c r="F9685" s="76">
        <v>13</v>
      </c>
    </row>
    <row r="9686" s="76" customFormat="1" spans="1:6">
      <c r="A9686">
        <v>9952</v>
      </c>
      <c r="B9686">
        <v>442020270</v>
      </c>
      <c r="C9686" s="76">
        <v>2020</v>
      </c>
      <c r="D9686" s="76" t="s">
        <v>31</v>
      </c>
      <c r="E9686" s="76" t="s">
        <v>32</v>
      </c>
      <c r="F9686" s="76">
        <v>0.22</v>
      </c>
    </row>
    <row r="9687" s="76" customFormat="1" spans="1:6">
      <c r="A9687">
        <v>9953</v>
      </c>
      <c r="B9687">
        <v>442020270</v>
      </c>
      <c r="C9687" s="76">
        <v>2020</v>
      </c>
      <c r="D9687" s="76" t="s">
        <v>31</v>
      </c>
      <c r="E9687" s="76" t="s">
        <v>32</v>
      </c>
      <c r="F9687" s="76">
        <v>1</v>
      </c>
    </row>
    <row r="9688" s="76" customFormat="1" spans="1:6">
      <c r="A9688">
        <v>9955</v>
      </c>
      <c r="B9688">
        <v>442020270</v>
      </c>
      <c r="C9688" s="76">
        <v>2020</v>
      </c>
      <c r="D9688" s="76" t="s">
        <v>31</v>
      </c>
      <c r="E9688" s="76" t="s">
        <v>32</v>
      </c>
      <c r="F9688" s="76">
        <v>2.02</v>
      </c>
    </row>
    <row r="9689" s="76" customFormat="1" spans="1:6">
      <c r="A9689">
        <v>9957</v>
      </c>
      <c r="B9689">
        <v>442020270</v>
      </c>
      <c r="C9689" s="76">
        <v>2020</v>
      </c>
      <c r="D9689" s="76" t="s">
        <v>31</v>
      </c>
      <c r="E9689" s="76" t="s">
        <v>32</v>
      </c>
      <c r="F9689" s="76">
        <v>1.79</v>
      </c>
    </row>
    <row r="9690" s="76" customFormat="1" spans="1:6">
      <c r="A9690">
        <v>9961</v>
      </c>
      <c r="B9690">
        <v>442020270</v>
      </c>
      <c r="C9690" s="76">
        <v>2020</v>
      </c>
      <c r="D9690" s="76" t="s">
        <v>31</v>
      </c>
      <c r="E9690" s="76" t="s">
        <v>32</v>
      </c>
      <c r="F9690" s="76">
        <v>0.6</v>
      </c>
    </row>
    <row r="9691" s="76" customFormat="1" spans="1:6">
      <c r="A9691">
        <v>9963</v>
      </c>
      <c r="B9691">
        <v>442020270</v>
      </c>
      <c r="C9691" s="76">
        <v>2020</v>
      </c>
      <c r="D9691" s="76" t="s">
        <v>31</v>
      </c>
      <c r="E9691" s="76" t="s">
        <v>32</v>
      </c>
      <c r="F9691" s="76">
        <v>0.28</v>
      </c>
    </row>
    <row r="9692" s="76" customFormat="1" spans="1:6">
      <c r="A9692">
        <v>9956</v>
      </c>
      <c r="B9692">
        <v>442020270</v>
      </c>
      <c r="C9692" s="76">
        <v>2020</v>
      </c>
      <c r="D9692" s="76" t="s">
        <v>31</v>
      </c>
      <c r="E9692" s="76" t="s">
        <v>32</v>
      </c>
      <c r="F9692" s="76">
        <v>1.09</v>
      </c>
    </row>
    <row r="9693" s="76" customFormat="1" spans="1:6">
      <c r="A9693">
        <v>9968</v>
      </c>
      <c r="B9693">
        <v>442020270</v>
      </c>
      <c r="C9693" s="76">
        <v>2020</v>
      </c>
      <c r="D9693" s="76" t="s">
        <v>31</v>
      </c>
      <c r="E9693" s="76" t="s">
        <v>32</v>
      </c>
      <c r="F9693" s="76">
        <v>2</v>
      </c>
    </row>
    <row r="9694" s="76" customFormat="1" spans="1:6">
      <c r="A9694">
        <v>9960</v>
      </c>
      <c r="B9694">
        <v>442020270</v>
      </c>
      <c r="C9694" s="76">
        <v>2020</v>
      </c>
      <c r="D9694" s="76" t="s">
        <v>31</v>
      </c>
      <c r="E9694" s="76" t="s">
        <v>32</v>
      </c>
      <c r="F9694" s="76">
        <v>0.43</v>
      </c>
    </row>
    <row r="9695" s="76" customFormat="1" spans="1:6">
      <c r="A9695">
        <v>9969</v>
      </c>
      <c r="B9695">
        <v>442021120</v>
      </c>
      <c r="C9695" s="76">
        <v>2021</v>
      </c>
      <c r="D9695" s="76" t="s">
        <v>42</v>
      </c>
      <c r="E9695" s="76">
        <v>1</v>
      </c>
      <c r="F9695" s="76">
        <v>30</v>
      </c>
    </row>
    <row r="9696" s="76" customFormat="1" spans="1:6">
      <c r="A9696">
        <v>9970</v>
      </c>
      <c r="B9696">
        <v>442021120</v>
      </c>
      <c r="C9696" s="76">
        <v>2021</v>
      </c>
      <c r="D9696" s="76" t="s">
        <v>42</v>
      </c>
      <c r="E9696" s="76">
        <v>1</v>
      </c>
      <c r="F9696" s="76">
        <v>40</v>
      </c>
    </row>
    <row r="9697" s="76" customFormat="1" spans="1:6">
      <c r="A9697">
        <v>9971</v>
      </c>
      <c r="B9697">
        <v>442021211</v>
      </c>
      <c r="C9697" s="76">
        <v>2021</v>
      </c>
      <c r="D9697" s="76" t="s">
        <v>37</v>
      </c>
      <c r="E9697" s="76">
        <v>2</v>
      </c>
      <c r="F9697" s="76">
        <v>200</v>
      </c>
    </row>
    <row r="9698" s="76" customFormat="1" spans="1:6">
      <c r="A9698">
        <v>9972</v>
      </c>
      <c r="B9698">
        <v>442021221</v>
      </c>
      <c r="C9698" s="76">
        <v>2021</v>
      </c>
      <c r="D9698" s="76" t="s">
        <v>30</v>
      </c>
      <c r="E9698" s="76">
        <v>2</v>
      </c>
      <c r="F9698" s="76">
        <v>100.32</v>
      </c>
    </row>
    <row r="9699" s="76" customFormat="1" spans="1:6">
      <c r="A9699">
        <v>9974</v>
      </c>
      <c r="B9699">
        <v>442021221</v>
      </c>
      <c r="C9699" s="76">
        <v>2021</v>
      </c>
      <c r="D9699" s="76" t="s">
        <v>30</v>
      </c>
      <c r="E9699" s="76" t="s">
        <v>32</v>
      </c>
      <c r="F9699" s="76">
        <v>49.66</v>
      </c>
    </row>
    <row r="9700" s="76" customFormat="1" spans="1:6">
      <c r="A9700">
        <v>9973</v>
      </c>
      <c r="B9700">
        <v>442021221</v>
      </c>
      <c r="C9700" s="76">
        <v>2021</v>
      </c>
      <c r="D9700" s="76" t="s">
        <v>30</v>
      </c>
      <c r="E9700" s="76" t="s">
        <v>32</v>
      </c>
      <c r="F9700" s="76">
        <v>95</v>
      </c>
    </row>
    <row r="9701" s="76" customFormat="1" spans="1:6">
      <c r="A9701">
        <v>9976</v>
      </c>
      <c r="B9701">
        <v>442021223</v>
      </c>
      <c r="C9701" s="76">
        <v>2021</v>
      </c>
      <c r="D9701" s="76" t="s">
        <v>36</v>
      </c>
      <c r="E9701" s="76" t="s">
        <v>32</v>
      </c>
      <c r="F9701" s="76">
        <v>9.05</v>
      </c>
    </row>
    <row r="9702" s="76" customFormat="1" spans="1:6">
      <c r="A9702">
        <v>9975</v>
      </c>
      <c r="B9702">
        <v>442021223</v>
      </c>
      <c r="C9702" s="76">
        <v>2021</v>
      </c>
      <c r="D9702" s="76" t="s">
        <v>36</v>
      </c>
      <c r="E9702" s="76" t="s">
        <v>32</v>
      </c>
      <c r="F9702" s="76">
        <v>0.6</v>
      </c>
    </row>
    <row r="9703" s="76" customFormat="1" spans="1:6">
      <c r="A9703">
        <v>9988</v>
      </c>
      <c r="B9703">
        <v>442021242</v>
      </c>
      <c r="C9703" s="76">
        <v>2021</v>
      </c>
      <c r="D9703" s="76" t="s">
        <v>35</v>
      </c>
      <c r="E9703" s="76" t="s">
        <v>32</v>
      </c>
      <c r="F9703" s="76">
        <v>30.8</v>
      </c>
    </row>
    <row r="9704" s="76" customFormat="1" spans="1:6">
      <c r="A9704">
        <v>9981</v>
      </c>
      <c r="B9704">
        <v>442021242</v>
      </c>
      <c r="C9704" s="76">
        <v>2021</v>
      </c>
      <c r="D9704" s="76" t="s">
        <v>35</v>
      </c>
      <c r="E9704" s="76" t="s">
        <v>32</v>
      </c>
      <c r="F9704" s="76">
        <v>2.5</v>
      </c>
    </row>
    <row r="9705" s="76" customFormat="1" spans="1:6">
      <c r="A9705">
        <v>9983</v>
      </c>
      <c r="B9705">
        <v>442021242</v>
      </c>
      <c r="C9705" s="76">
        <v>2021</v>
      </c>
      <c r="D9705" s="76" t="s">
        <v>35</v>
      </c>
      <c r="E9705" s="76" t="s">
        <v>32</v>
      </c>
      <c r="F9705" s="76">
        <v>7</v>
      </c>
    </row>
    <row r="9706" s="76" customFormat="1" spans="1:6">
      <c r="A9706">
        <v>9985</v>
      </c>
      <c r="B9706">
        <v>442021242</v>
      </c>
      <c r="C9706" s="76">
        <v>2021</v>
      </c>
      <c r="D9706" s="76" t="s">
        <v>35</v>
      </c>
      <c r="E9706" s="76" t="s">
        <v>32</v>
      </c>
      <c r="F9706" s="76">
        <v>2.5</v>
      </c>
    </row>
    <row r="9707" s="76" customFormat="1" spans="1:6">
      <c r="A9707">
        <v>9987</v>
      </c>
      <c r="B9707">
        <v>442021242</v>
      </c>
      <c r="C9707" s="76">
        <v>2021</v>
      </c>
      <c r="D9707" s="76" t="s">
        <v>35</v>
      </c>
      <c r="E9707" s="76" t="s">
        <v>32</v>
      </c>
      <c r="F9707" s="76">
        <v>8</v>
      </c>
    </row>
    <row r="9708" s="76" customFormat="1" spans="1:6">
      <c r="A9708">
        <v>9978</v>
      </c>
      <c r="B9708">
        <v>442021242</v>
      </c>
      <c r="C9708" s="76">
        <v>2021</v>
      </c>
      <c r="D9708" s="76" t="s">
        <v>35</v>
      </c>
      <c r="E9708" s="76" t="s">
        <v>32</v>
      </c>
      <c r="F9708" s="76">
        <v>2.5</v>
      </c>
    </row>
    <row r="9709" s="76" customFormat="1" spans="1:6">
      <c r="A9709">
        <v>9980</v>
      </c>
      <c r="B9709">
        <v>442021242</v>
      </c>
      <c r="C9709" s="76">
        <v>2021</v>
      </c>
      <c r="D9709" s="76" t="s">
        <v>35</v>
      </c>
      <c r="E9709" s="76" t="s">
        <v>32</v>
      </c>
      <c r="F9709" s="76">
        <v>0.65</v>
      </c>
    </row>
    <row r="9710" s="76" customFormat="1" spans="1:6">
      <c r="A9710">
        <v>9986</v>
      </c>
      <c r="B9710">
        <v>442021242</v>
      </c>
      <c r="C9710" s="76">
        <v>2021</v>
      </c>
      <c r="D9710" s="76" t="s">
        <v>35</v>
      </c>
      <c r="E9710" s="76" t="s">
        <v>32</v>
      </c>
      <c r="F9710" s="76">
        <v>5</v>
      </c>
    </row>
    <row r="9711" s="76" customFormat="1" spans="1:6">
      <c r="A9711">
        <v>9977</v>
      </c>
      <c r="B9711">
        <v>442021242</v>
      </c>
      <c r="C9711" s="76">
        <v>2021</v>
      </c>
      <c r="D9711" s="76" t="s">
        <v>35</v>
      </c>
      <c r="E9711" s="76" t="s">
        <v>32</v>
      </c>
      <c r="F9711" s="76">
        <v>0.3</v>
      </c>
    </row>
    <row r="9712" s="76" customFormat="1" spans="1:6">
      <c r="A9712">
        <v>9984</v>
      </c>
      <c r="B9712">
        <v>442021242</v>
      </c>
      <c r="C9712" s="76">
        <v>2021</v>
      </c>
      <c r="D9712" s="76" t="s">
        <v>35</v>
      </c>
      <c r="E9712" s="76" t="s">
        <v>32</v>
      </c>
      <c r="F9712" s="76">
        <v>2.5</v>
      </c>
    </row>
    <row r="9713" s="76" customFormat="1" spans="1:6">
      <c r="A9713">
        <v>9979</v>
      </c>
      <c r="B9713">
        <v>442021242</v>
      </c>
      <c r="C9713" s="76">
        <v>2021</v>
      </c>
      <c r="D9713" s="76" t="s">
        <v>35</v>
      </c>
      <c r="E9713" s="76" t="s">
        <v>32</v>
      </c>
      <c r="F9713" s="76">
        <v>7</v>
      </c>
    </row>
    <row r="9714" s="76" customFormat="1" spans="1:6">
      <c r="A9714">
        <v>9982</v>
      </c>
      <c r="B9714">
        <v>442021242</v>
      </c>
      <c r="C9714" s="76">
        <v>2021</v>
      </c>
      <c r="D9714" s="76" t="s">
        <v>35</v>
      </c>
      <c r="E9714" s="76" t="s">
        <v>32</v>
      </c>
      <c r="F9714" s="76">
        <v>8.5</v>
      </c>
    </row>
    <row r="9715" s="76" customFormat="1" spans="1:6">
      <c r="A9715">
        <v>9989</v>
      </c>
      <c r="B9715">
        <v>442021243</v>
      </c>
      <c r="C9715" s="76">
        <v>2021</v>
      </c>
      <c r="D9715" s="76" t="s">
        <v>38</v>
      </c>
      <c r="E9715" s="76" t="s">
        <v>32</v>
      </c>
      <c r="F9715" s="76">
        <v>7</v>
      </c>
    </row>
    <row r="9716" s="76" customFormat="1" spans="1:6">
      <c r="A9716">
        <v>9999</v>
      </c>
      <c r="B9716">
        <v>442021260</v>
      </c>
      <c r="C9716" s="76">
        <v>2021</v>
      </c>
      <c r="D9716" s="76" t="s">
        <v>34</v>
      </c>
      <c r="E9716" s="76">
        <v>32</v>
      </c>
      <c r="F9716" s="76">
        <v>17.6</v>
      </c>
    </row>
    <row r="9717" s="76" customFormat="1" spans="1:6">
      <c r="A9717">
        <v>9993</v>
      </c>
      <c r="B9717">
        <v>442021260</v>
      </c>
      <c r="C9717" s="76">
        <v>2021</v>
      </c>
      <c r="D9717" s="76" t="s">
        <v>34</v>
      </c>
      <c r="E9717" s="76">
        <v>11</v>
      </c>
      <c r="F9717" s="76">
        <v>5</v>
      </c>
    </row>
    <row r="9718" s="76" customFormat="1" spans="1:6">
      <c r="A9718">
        <v>10004</v>
      </c>
      <c r="B9718">
        <v>442021260</v>
      </c>
      <c r="C9718" s="76">
        <v>2021</v>
      </c>
      <c r="D9718" s="76" t="s">
        <v>34</v>
      </c>
      <c r="E9718" s="76">
        <v>67</v>
      </c>
      <c r="F9718" s="76">
        <v>50</v>
      </c>
    </row>
    <row r="9719" s="76" customFormat="1" spans="1:6">
      <c r="A9719">
        <v>9998</v>
      </c>
      <c r="B9719">
        <v>442021260</v>
      </c>
      <c r="C9719" s="76">
        <v>2021</v>
      </c>
      <c r="D9719" s="76" t="s">
        <v>34</v>
      </c>
      <c r="E9719" s="76">
        <v>53</v>
      </c>
      <c r="F9719" s="76">
        <v>31.55</v>
      </c>
    </row>
    <row r="9720" s="76" customFormat="1" spans="1:6">
      <c r="A9720">
        <v>10003</v>
      </c>
      <c r="B9720">
        <v>442021260</v>
      </c>
      <c r="C9720" s="76">
        <v>2021</v>
      </c>
      <c r="D9720" s="76" t="s">
        <v>34</v>
      </c>
      <c r="E9720" s="76">
        <v>35</v>
      </c>
      <c r="F9720" s="76">
        <v>24.5</v>
      </c>
    </row>
    <row r="9721" s="76" customFormat="1" spans="1:6">
      <c r="A9721">
        <v>9992</v>
      </c>
      <c r="B9721">
        <v>442021260</v>
      </c>
      <c r="C9721" s="76">
        <v>2021</v>
      </c>
      <c r="D9721" s="76" t="s">
        <v>34</v>
      </c>
      <c r="E9721" s="76">
        <v>20</v>
      </c>
      <c r="F9721" s="76">
        <v>4.4</v>
      </c>
    </row>
    <row r="9722" s="76" customFormat="1" spans="1:6">
      <c r="A9722">
        <v>10001</v>
      </c>
      <c r="B9722">
        <v>442021260</v>
      </c>
      <c r="C9722" s="76">
        <v>2021</v>
      </c>
      <c r="D9722" s="76" t="s">
        <v>34</v>
      </c>
      <c r="E9722" s="76">
        <v>91</v>
      </c>
      <c r="F9722" s="76">
        <v>50</v>
      </c>
    </row>
    <row r="9723" s="76" customFormat="1" spans="1:6">
      <c r="A9723">
        <v>9991</v>
      </c>
      <c r="B9723">
        <v>442021260</v>
      </c>
      <c r="C9723" s="76">
        <v>2021</v>
      </c>
      <c r="D9723" s="76" t="s">
        <v>34</v>
      </c>
      <c r="E9723" s="76">
        <v>17</v>
      </c>
      <c r="F9723" s="76">
        <v>4.99</v>
      </c>
    </row>
    <row r="9724" s="76" customFormat="1" spans="1:6">
      <c r="A9724">
        <v>10006</v>
      </c>
      <c r="B9724">
        <v>442021260</v>
      </c>
      <c r="C9724" s="76">
        <v>2021</v>
      </c>
      <c r="D9724" s="76" t="s">
        <v>34</v>
      </c>
      <c r="E9724" s="76">
        <v>32</v>
      </c>
      <c r="F9724" s="76">
        <v>20</v>
      </c>
    </row>
    <row r="9725" s="76" customFormat="1" spans="1:6">
      <c r="A9725">
        <v>10009</v>
      </c>
      <c r="B9725">
        <v>442021260</v>
      </c>
      <c r="C9725" s="76">
        <v>2021</v>
      </c>
      <c r="D9725" s="76" t="s">
        <v>34</v>
      </c>
      <c r="E9725" s="76">
        <v>32</v>
      </c>
      <c r="F9725" s="76">
        <v>20.35</v>
      </c>
    </row>
    <row r="9726" s="76" customFormat="1" spans="1:6">
      <c r="A9726">
        <v>10010</v>
      </c>
      <c r="B9726">
        <v>442021260</v>
      </c>
      <c r="C9726" s="76">
        <v>2021</v>
      </c>
      <c r="D9726" s="76" t="s">
        <v>34</v>
      </c>
      <c r="E9726" s="76" t="s">
        <v>32</v>
      </c>
      <c r="F9726" s="76">
        <v>2.7</v>
      </c>
    </row>
    <row r="9727" s="76" customFormat="1" spans="1:6">
      <c r="A9727">
        <v>10014</v>
      </c>
      <c r="B9727">
        <v>442021260</v>
      </c>
      <c r="C9727" s="76">
        <v>2021</v>
      </c>
      <c r="D9727" s="76" t="s">
        <v>34</v>
      </c>
      <c r="E9727" s="76" t="s">
        <v>32</v>
      </c>
      <c r="F9727" s="76">
        <v>96.53</v>
      </c>
    </row>
    <row r="9728" s="76" customFormat="1" spans="1:6">
      <c r="A9728">
        <v>10008</v>
      </c>
      <c r="B9728">
        <v>442021260</v>
      </c>
      <c r="C9728" s="76">
        <v>2021</v>
      </c>
      <c r="D9728" s="76" t="s">
        <v>34</v>
      </c>
      <c r="E9728" s="76">
        <v>40</v>
      </c>
      <c r="F9728" s="76">
        <v>25</v>
      </c>
    </row>
    <row r="9729" s="76" customFormat="1" spans="1:6">
      <c r="A9729">
        <v>9995</v>
      </c>
      <c r="B9729">
        <v>442021260</v>
      </c>
      <c r="C9729" s="76">
        <v>2021</v>
      </c>
      <c r="D9729" s="76" t="s">
        <v>34</v>
      </c>
      <c r="E9729" s="76" t="s">
        <v>32</v>
      </c>
      <c r="F9729" s="76">
        <v>10</v>
      </c>
    </row>
    <row r="9730" s="76" customFormat="1" spans="1:6">
      <c r="A9730">
        <v>9994</v>
      </c>
      <c r="B9730">
        <v>442021260</v>
      </c>
      <c r="C9730" s="76">
        <v>2021</v>
      </c>
      <c r="D9730" s="76" t="s">
        <v>34</v>
      </c>
      <c r="E9730" s="76">
        <v>7</v>
      </c>
      <c r="F9730" s="76">
        <v>2.48</v>
      </c>
    </row>
    <row r="9731" s="76" customFormat="1" spans="1:6">
      <c r="A9731">
        <v>10011</v>
      </c>
      <c r="B9731">
        <v>442021260</v>
      </c>
      <c r="C9731" s="76">
        <v>2021</v>
      </c>
      <c r="D9731" s="76" t="s">
        <v>34</v>
      </c>
      <c r="E9731" s="76">
        <v>62</v>
      </c>
      <c r="F9731" s="76">
        <v>39.9</v>
      </c>
    </row>
    <row r="9732" s="76" customFormat="1" spans="1:6">
      <c r="A9732">
        <v>10013</v>
      </c>
      <c r="B9732">
        <v>442021260</v>
      </c>
      <c r="C9732" s="76">
        <v>2021</v>
      </c>
      <c r="D9732" s="76" t="s">
        <v>34</v>
      </c>
      <c r="E9732" s="76">
        <v>47</v>
      </c>
      <c r="F9732" s="76">
        <v>30.32</v>
      </c>
    </row>
    <row r="9733" s="76" customFormat="1" spans="1:6">
      <c r="A9733">
        <v>10005</v>
      </c>
      <c r="B9733">
        <v>442021260</v>
      </c>
      <c r="C9733" s="76">
        <v>2021</v>
      </c>
      <c r="D9733" s="76" t="s">
        <v>34</v>
      </c>
      <c r="E9733" s="76">
        <v>43</v>
      </c>
      <c r="F9733" s="76">
        <v>30.1</v>
      </c>
    </row>
    <row r="9734" s="76" customFormat="1" spans="1:6">
      <c r="A9734">
        <v>10007</v>
      </c>
      <c r="B9734">
        <v>442021260</v>
      </c>
      <c r="C9734" s="76">
        <v>2021</v>
      </c>
      <c r="D9734" s="76" t="s">
        <v>34</v>
      </c>
      <c r="E9734" s="76">
        <v>62</v>
      </c>
      <c r="F9734" s="76">
        <v>39.99</v>
      </c>
    </row>
    <row r="9735" s="76" customFormat="1" spans="1:6">
      <c r="A9735">
        <v>9990</v>
      </c>
      <c r="B9735">
        <v>442021260</v>
      </c>
      <c r="C9735" s="76">
        <v>2021</v>
      </c>
      <c r="D9735" s="76" t="s">
        <v>34</v>
      </c>
      <c r="E9735" s="76">
        <v>3</v>
      </c>
      <c r="F9735" s="76">
        <v>1.08</v>
      </c>
    </row>
    <row r="9736" s="76" customFormat="1" spans="1:6">
      <c r="A9736">
        <v>9996</v>
      </c>
      <c r="B9736">
        <v>442021260</v>
      </c>
      <c r="C9736" s="76">
        <v>2021</v>
      </c>
      <c r="D9736" s="76" t="s">
        <v>34</v>
      </c>
      <c r="E9736" s="76" t="s">
        <v>32</v>
      </c>
      <c r="F9736" s="76">
        <v>2.1</v>
      </c>
    </row>
    <row r="9737" s="76" customFormat="1" spans="1:6">
      <c r="A9737">
        <v>10002</v>
      </c>
      <c r="B9737">
        <v>442021260</v>
      </c>
      <c r="C9737" s="76">
        <v>2021</v>
      </c>
      <c r="D9737" s="76" t="s">
        <v>34</v>
      </c>
      <c r="E9737" s="76">
        <v>47</v>
      </c>
      <c r="F9737" s="76">
        <v>30</v>
      </c>
    </row>
    <row r="9738" s="76" customFormat="1" spans="1:6">
      <c r="A9738">
        <v>10000</v>
      </c>
      <c r="B9738">
        <v>442021260</v>
      </c>
      <c r="C9738" s="76">
        <v>2021</v>
      </c>
      <c r="D9738" s="76" t="s">
        <v>34</v>
      </c>
      <c r="E9738" s="76">
        <v>19</v>
      </c>
      <c r="F9738" s="76">
        <v>10.2</v>
      </c>
    </row>
    <row r="9739" s="76" customFormat="1" spans="1:6">
      <c r="A9739">
        <v>10012</v>
      </c>
      <c r="B9739">
        <v>442021260</v>
      </c>
      <c r="C9739" s="76">
        <v>2021</v>
      </c>
      <c r="D9739" s="76" t="s">
        <v>34</v>
      </c>
      <c r="E9739" s="76" t="s">
        <v>32</v>
      </c>
      <c r="F9739" s="76">
        <v>30</v>
      </c>
    </row>
    <row r="9740" s="76" customFormat="1" spans="1:6">
      <c r="A9740">
        <v>10020</v>
      </c>
      <c r="B9740">
        <v>442021270</v>
      </c>
      <c r="C9740" s="76">
        <v>2021</v>
      </c>
      <c r="D9740" s="76" t="s">
        <v>31</v>
      </c>
      <c r="E9740" s="76" t="s">
        <v>32</v>
      </c>
      <c r="F9740" s="76">
        <v>0.14</v>
      </c>
    </row>
    <row r="9741" s="76" customFormat="1" spans="1:6">
      <c r="A9741">
        <v>10017</v>
      </c>
      <c r="B9741">
        <v>442021270</v>
      </c>
      <c r="C9741" s="76">
        <v>2021</v>
      </c>
      <c r="D9741" s="76" t="s">
        <v>31</v>
      </c>
      <c r="E9741" s="76" t="s">
        <v>32</v>
      </c>
      <c r="F9741" s="76">
        <v>1.6</v>
      </c>
    </row>
    <row r="9742" s="76" customFormat="1" spans="1:6">
      <c r="A9742">
        <v>10047</v>
      </c>
      <c r="B9742">
        <v>442021270</v>
      </c>
      <c r="C9742" s="76">
        <v>2021</v>
      </c>
      <c r="D9742" s="76" t="s">
        <v>31</v>
      </c>
      <c r="E9742" s="76" t="s">
        <v>32</v>
      </c>
      <c r="F9742" s="76">
        <v>10</v>
      </c>
    </row>
    <row r="9743" s="76" customFormat="1" spans="1:6">
      <c r="A9743">
        <v>10038</v>
      </c>
      <c r="B9743">
        <v>442021270</v>
      </c>
      <c r="C9743" s="76">
        <v>2021</v>
      </c>
      <c r="D9743" s="76" t="s">
        <v>31</v>
      </c>
      <c r="E9743" s="76" t="s">
        <v>32</v>
      </c>
      <c r="F9743" s="76">
        <v>10</v>
      </c>
    </row>
    <row r="9744" s="76" customFormat="1" spans="1:6">
      <c r="A9744">
        <v>10039</v>
      </c>
      <c r="B9744">
        <v>442021270</v>
      </c>
      <c r="C9744" s="76">
        <v>2021</v>
      </c>
      <c r="D9744" s="76" t="s">
        <v>31</v>
      </c>
      <c r="E9744" s="76" t="s">
        <v>32</v>
      </c>
      <c r="F9744" s="76">
        <v>19</v>
      </c>
    </row>
    <row r="9745" s="76" customFormat="1" spans="1:6">
      <c r="A9745">
        <v>10040</v>
      </c>
      <c r="B9745">
        <v>442021270</v>
      </c>
      <c r="C9745" s="76">
        <v>2021</v>
      </c>
      <c r="D9745" s="76" t="s">
        <v>31</v>
      </c>
      <c r="E9745" s="76" t="s">
        <v>32</v>
      </c>
      <c r="F9745" s="76">
        <v>20</v>
      </c>
    </row>
    <row r="9746" s="76" customFormat="1" spans="1:6">
      <c r="A9746">
        <v>10029</v>
      </c>
      <c r="B9746">
        <v>442021270</v>
      </c>
      <c r="C9746" s="76">
        <v>2021</v>
      </c>
      <c r="D9746" s="76" t="s">
        <v>31</v>
      </c>
      <c r="E9746" s="76" t="s">
        <v>32</v>
      </c>
      <c r="F9746" s="76">
        <v>8</v>
      </c>
    </row>
    <row r="9747" s="76" customFormat="1" spans="1:6">
      <c r="A9747">
        <v>10034</v>
      </c>
      <c r="B9747">
        <v>442021270</v>
      </c>
      <c r="C9747" s="76">
        <v>2021</v>
      </c>
      <c r="D9747" s="76" t="s">
        <v>31</v>
      </c>
      <c r="E9747" s="76" t="s">
        <v>32</v>
      </c>
      <c r="F9747" s="76">
        <v>5</v>
      </c>
    </row>
    <row r="9748" s="76" customFormat="1" spans="1:6">
      <c r="A9748">
        <v>10026</v>
      </c>
      <c r="B9748">
        <v>442021270</v>
      </c>
      <c r="C9748" s="76">
        <v>2021</v>
      </c>
      <c r="D9748" s="76" t="s">
        <v>31</v>
      </c>
      <c r="E9748" s="76" t="s">
        <v>32</v>
      </c>
      <c r="F9748" s="76">
        <v>2.2</v>
      </c>
    </row>
    <row r="9749" s="76" customFormat="1" spans="1:6">
      <c r="A9749">
        <v>10049</v>
      </c>
      <c r="B9749">
        <v>442021270</v>
      </c>
      <c r="C9749" s="76">
        <v>2021</v>
      </c>
      <c r="D9749" s="76" t="s">
        <v>31</v>
      </c>
      <c r="E9749" s="76" t="s">
        <v>32</v>
      </c>
      <c r="F9749" s="76">
        <v>1</v>
      </c>
    </row>
    <row r="9750" s="76" customFormat="1" spans="1:6">
      <c r="A9750">
        <v>10035</v>
      </c>
      <c r="B9750">
        <v>442021270</v>
      </c>
      <c r="C9750" s="76">
        <v>2021</v>
      </c>
      <c r="D9750" s="76" t="s">
        <v>31</v>
      </c>
      <c r="E9750" s="76" t="s">
        <v>32</v>
      </c>
      <c r="F9750" s="76">
        <v>15</v>
      </c>
    </row>
    <row r="9751" s="76" customFormat="1" spans="1:6">
      <c r="A9751">
        <v>10050</v>
      </c>
      <c r="B9751">
        <v>442021270</v>
      </c>
      <c r="C9751" s="76">
        <v>2021</v>
      </c>
      <c r="D9751" s="76" t="s">
        <v>31</v>
      </c>
      <c r="E9751" s="76" t="s">
        <v>32</v>
      </c>
      <c r="F9751" s="76">
        <v>2.14</v>
      </c>
    </row>
    <row r="9752" s="76" customFormat="1" spans="1:6">
      <c r="A9752">
        <v>10046</v>
      </c>
      <c r="B9752">
        <v>442021270</v>
      </c>
      <c r="C9752" s="76">
        <v>2021</v>
      </c>
      <c r="D9752" s="76" t="s">
        <v>31</v>
      </c>
      <c r="E9752" s="76" t="s">
        <v>32</v>
      </c>
      <c r="F9752" s="76">
        <v>3</v>
      </c>
    </row>
    <row r="9753" s="76" customFormat="1" spans="1:6">
      <c r="A9753">
        <v>10048</v>
      </c>
      <c r="B9753">
        <v>442021270</v>
      </c>
      <c r="C9753" s="76">
        <v>2021</v>
      </c>
      <c r="D9753" s="76" t="s">
        <v>31</v>
      </c>
      <c r="E9753" s="76" t="s">
        <v>32</v>
      </c>
      <c r="F9753" s="76">
        <v>4</v>
      </c>
    </row>
    <row r="9754" s="76" customFormat="1" spans="1:6">
      <c r="A9754">
        <v>10045</v>
      </c>
      <c r="B9754">
        <v>442021270</v>
      </c>
      <c r="C9754" s="76">
        <v>2021</v>
      </c>
      <c r="D9754" s="76" t="s">
        <v>31</v>
      </c>
      <c r="E9754" s="76" t="s">
        <v>32</v>
      </c>
      <c r="F9754" s="76">
        <v>3</v>
      </c>
    </row>
    <row r="9755" s="76" customFormat="1" spans="1:6">
      <c r="A9755">
        <v>10037</v>
      </c>
      <c r="B9755">
        <v>442021270</v>
      </c>
      <c r="C9755" s="76">
        <v>2021</v>
      </c>
      <c r="D9755" s="76" t="s">
        <v>31</v>
      </c>
      <c r="E9755" s="76" t="s">
        <v>32</v>
      </c>
      <c r="F9755" s="76">
        <v>7</v>
      </c>
    </row>
    <row r="9756" s="76" customFormat="1" spans="1:6">
      <c r="A9756">
        <v>10042</v>
      </c>
      <c r="B9756">
        <v>442021270</v>
      </c>
      <c r="C9756" s="76">
        <v>2021</v>
      </c>
      <c r="D9756" s="76" t="s">
        <v>31</v>
      </c>
      <c r="E9756" s="76" t="s">
        <v>32</v>
      </c>
      <c r="F9756" s="76">
        <v>10</v>
      </c>
    </row>
    <row r="9757" s="76" customFormat="1" spans="1:6">
      <c r="A9757">
        <v>10024</v>
      </c>
      <c r="B9757">
        <v>442021270</v>
      </c>
      <c r="C9757" s="76">
        <v>2021</v>
      </c>
      <c r="D9757" s="76" t="s">
        <v>31</v>
      </c>
      <c r="E9757" s="76" t="s">
        <v>32</v>
      </c>
      <c r="F9757" s="76">
        <v>10</v>
      </c>
    </row>
    <row r="9758" s="76" customFormat="1" spans="1:6">
      <c r="A9758">
        <v>10032</v>
      </c>
      <c r="B9758">
        <v>442021270</v>
      </c>
      <c r="C9758" s="76">
        <v>2021</v>
      </c>
      <c r="D9758" s="76" t="s">
        <v>31</v>
      </c>
      <c r="E9758" s="76" t="s">
        <v>32</v>
      </c>
      <c r="F9758" s="76">
        <v>10</v>
      </c>
    </row>
    <row r="9759" s="76" customFormat="1" spans="1:6">
      <c r="A9759">
        <v>10044</v>
      </c>
      <c r="B9759">
        <v>442021270</v>
      </c>
      <c r="C9759" s="76">
        <v>2021</v>
      </c>
      <c r="D9759" s="76" t="s">
        <v>31</v>
      </c>
      <c r="E9759" s="76" t="s">
        <v>32</v>
      </c>
      <c r="F9759" s="76">
        <v>2.5</v>
      </c>
    </row>
    <row r="9760" s="76" customFormat="1" spans="1:6">
      <c r="A9760">
        <v>10043</v>
      </c>
      <c r="B9760">
        <v>442021270</v>
      </c>
      <c r="C9760" s="76">
        <v>2021</v>
      </c>
      <c r="D9760" s="76" t="s">
        <v>31</v>
      </c>
      <c r="E9760" s="76" t="s">
        <v>32</v>
      </c>
      <c r="F9760" s="76">
        <v>20</v>
      </c>
    </row>
    <row r="9761" s="76" customFormat="1" spans="1:6">
      <c r="A9761">
        <v>10030</v>
      </c>
      <c r="B9761">
        <v>442021270</v>
      </c>
      <c r="C9761" s="76">
        <v>2021</v>
      </c>
      <c r="D9761" s="76" t="s">
        <v>31</v>
      </c>
      <c r="E9761" s="76" t="s">
        <v>32</v>
      </c>
      <c r="F9761" s="76">
        <v>0.35</v>
      </c>
    </row>
    <row r="9762" s="76" customFormat="1" spans="1:6">
      <c r="A9762">
        <v>10022</v>
      </c>
      <c r="B9762">
        <v>442021270</v>
      </c>
      <c r="C9762" s="76">
        <v>2021</v>
      </c>
      <c r="D9762" s="76" t="s">
        <v>31</v>
      </c>
      <c r="E9762" s="76" t="s">
        <v>32</v>
      </c>
      <c r="F9762" s="76">
        <v>0.93</v>
      </c>
    </row>
    <row r="9763" s="76" customFormat="1" spans="1:6">
      <c r="A9763">
        <v>10027</v>
      </c>
      <c r="B9763">
        <v>442021270</v>
      </c>
      <c r="C9763" s="76">
        <v>2021</v>
      </c>
      <c r="D9763" s="76" t="s">
        <v>31</v>
      </c>
      <c r="E9763" s="76" t="s">
        <v>32</v>
      </c>
      <c r="F9763" s="76">
        <v>2.02</v>
      </c>
    </row>
    <row r="9764" s="76" customFormat="1" spans="1:6">
      <c r="A9764">
        <v>10031</v>
      </c>
      <c r="B9764">
        <v>442021270</v>
      </c>
      <c r="C9764" s="76">
        <v>2021</v>
      </c>
      <c r="D9764" s="76" t="s">
        <v>31</v>
      </c>
      <c r="E9764" s="76" t="s">
        <v>32</v>
      </c>
      <c r="F9764" s="76">
        <v>0.01</v>
      </c>
    </row>
    <row r="9765" s="76" customFormat="1" spans="1:6">
      <c r="A9765">
        <v>10033</v>
      </c>
      <c r="B9765">
        <v>442021270</v>
      </c>
      <c r="C9765" s="76">
        <v>2021</v>
      </c>
      <c r="D9765" s="76" t="s">
        <v>31</v>
      </c>
      <c r="E9765" s="76" t="s">
        <v>32</v>
      </c>
      <c r="F9765" s="76">
        <v>0.6</v>
      </c>
    </row>
    <row r="9766" s="76" customFormat="1" spans="1:6">
      <c r="A9766">
        <v>10018</v>
      </c>
      <c r="B9766">
        <v>442021270</v>
      </c>
      <c r="C9766" s="76">
        <v>2021</v>
      </c>
      <c r="D9766" s="76" t="s">
        <v>31</v>
      </c>
      <c r="E9766" s="76" t="s">
        <v>32</v>
      </c>
      <c r="F9766" s="76">
        <v>0.9</v>
      </c>
    </row>
    <row r="9767" s="76" customFormat="1" spans="1:6">
      <c r="A9767">
        <v>10019</v>
      </c>
      <c r="B9767">
        <v>442021270</v>
      </c>
      <c r="C9767" s="76">
        <v>2021</v>
      </c>
      <c r="D9767" s="76" t="s">
        <v>31</v>
      </c>
      <c r="E9767" s="76" t="s">
        <v>32</v>
      </c>
      <c r="F9767" s="76">
        <v>0.38</v>
      </c>
    </row>
    <row r="9768" s="76" customFormat="1" spans="1:6">
      <c r="A9768">
        <v>10021</v>
      </c>
      <c r="B9768">
        <v>442021270</v>
      </c>
      <c r="C9768" s="76">
        <v>2021</v>
      </c>
      <c r="D9768" s="76" t="s">
        <v>31</v>
      </c>
      <c r="E9768" s="76" t="s">
        <v>32</v>
      </c>
      <c r="F9768" s="76">
        <v>1</v>
      </c>
    </row>
    <row r="9769" s="76" customFormat="1" spans="1:6">
      <c r="A9769">
        <v>10023</v>
      </c>
      <c r="B9769">
        <v>442021270</v>
      </c>
      <c r="C9769" s="76">
        <v>2021</v>
      </c>
      <c r="D9769" s="76" t="s">
        <v>31</v>
      </c>
      <c r="E9769" s="76" t="s">
        <v>32</v>
      </c>
      <c r="F9769" s="76">
        <v>0.22</v>
      </c>
    </row>
    <row r="9770" s="76" customFormat="1" spans="1:6">
      <c r="A9770">
        <v>10025</v>
      </c>
      <c r="B9770">
        <v>442021270</v>
      </c>
      <c r="C9770" s="76">
        <v>2021</v>
      </c>
      <c r="D9770" s="76" t="s">
        <v>31</v>
      </c>
      <c r="E9770" s="76" t="s">
        <v>32</v>
      </c>
      <c r="F9770" s="76">
        <v>0.31</v>
      </c>
    </row>
    <row r="9771" s="76" customFormat="1" spans="1:6">
      <c r="A9771">
        <v>10036</v>
      </c>
      <c r="B9771">
        <v>442021270</v>
      </c>
      <c r="C9771" s="76">
        <v>2021</v>
      </c>
      <c r="D9771" s="76" t="s">
        <v>31</v>
      </c>
      <c r="E9771" s="76" t="s">
        <v>32</v>
      </c>
      <c r="F9771" s="76">
        <v>0.01</v>
      </c>
    </row>
    <row r="9772" s="76" customFormat="1" spans="1:6">
      <c r="A9772">
        <v>10016</v>
      </c>
      <c r="B9772">
        <v>442021270</v>
      </c>
      <c r="C9772" s="76">
        <v>2021</v>
      </c>
      <c r="D9772" s="76" t="s">
        <v>31</v>
      </c>
      <c r="E9772" s="76" t="s">
        <v>32</v>
      </c>
      <c r="F9772" s="76">
        <v>0.02</v>
      </c>
    </row>
    <row r="9773" s="76" customFormat="1" spans="1:6">
      <c r="A9773">
        <v>10015</v>
      </c>
      <c r="B9773">
        <v>442021270</v>
      </c>
      <c r="C9773" s="76">
        <v>2021</v>
      </c>
      <c r="D9773" s="76" t="s">
        <v>31</v>
      </c>
      <c r="E9773" s="76" t="s">
        <v>32</v>
      </c>
      <c r="F9773" s="76">
        <v>2.8</v>
      </c>
    </row>
    <row r="9774" s="76" customFormat="1" spans="1:6">
      <c r="A9774">
        <v>10028</v>
      </c>
      <c r="B9774">
        <v>442021270</v>
      </c>
      <c r="C9774" s="76">
        <v>2021</v>
      </c>
      <c r="D9774" s="76" t="s">
        <v>31</v>
      </c>
      <c r="E9774" s="76" t="s">
        <v>32</v>
      </c>
      <c r="F9774" s="76">
        <v>2.07</v>
      </c>
    </row>
    <row r="9775" s="76" customFormat="1" spans="1:6">
      <c r="A9775">
        <v>10051</v>
      </c>
      <c r="B9775">
        <v>452012110</v>
      </c>
      <c r="C9775">
        <v>2012</v>
      </c>
      <c r="D9775" t="s">
        <v>40</v>
      </c>
      <c r="E9775">
        <v>3</v>
      </c>
      <c r="F9775">
        <v>0.33</v>
      </c>
    </row>
    <row r="9776" s="76" customFormat="1" spans="1:6">
      <c r="A9776">
        <v>10052</v>
      </c>
      <c r="B9776">
        <v>452012110</v>
      </c>
      <c r="C9776">
        <v>2012</v>
      </c>
      <c r="D9776" t="s">
        <v>40</v>
      </c>
      <c r="E9776">
        <v>1</v>
      </c>
      <c r="F9776">
        <v>2</v>
      </c>
    </row>
    <row r="9777" s="76" customFormat="1" spans="1:6">
      <c r="A9777">
        <v>10053</v>
      </c>
      <c r="B9777">
        <v>452012110</v>
      </c>
      <c r="C9777">
        <v>2012</v>
      </c>
      <c r="D9777" t="s">
        <v>40</v>
      </c>
      <c r="E9777">
        <v>1</v>
      </c>
      <c r="F9777">
        <v>2</v>
      </c>
    </row>
    <row r="9778" s="76" customFormat="1" spans="1:6">
      <c r="A9778">
        <v>10055</v>
      </c>
      <c r="B9778">
        <v>452012211</v>
      </c>
      <c r="C9778">
        <v>2012</v>
      </c>
      <c r="D9778" t="s">
        <v>37</v>
      </c>
      <c r="E9778">
        <v>1</v>
      </c>
      <c r="F9778">
        <v>66</v>
      </c>
    </row>
    <row r="9779" s="76" customFormat="1" spans="1:6">
      <c r="A9779">
        <v>10054</v>
      </c>
      <c r="B9779">
        <v>452012211</v>
      </c>
      <c r="C9779">
        <v>2012</v>
      </c>
      <c r="D9779" t="s">
        <v>37</v>
      </c>
      <c r="E9779">
        <v>2</v>
      </c>
      <c r="F9779">
        <v>200</v>
      </c>
    </row>
    <row r="9780" s="76" customFormat="1" spans="1:6">
      <c r="A9780">
        <v>10056</v>
      </c>
      <c r="B9780">
        <v>452012260</v>
      </c>
      <c r="C9780">
        <v>2012</v>
      </c>
      <c r="D9780" t="s">
        <v>34</v>
      </c>
      <c r="E9780">
        <v>33</v>
      </c>
      <c r="F9780">
        <v>4.95</v>
      </c>
    </row>
    <row r="9781" s="76" customFormat="1" spans="1:6">
      <c r="A9781">
        <v>10060</v>
      </c>
      <c r="B9781">
        <v>452013110</v>
      </c>
      <c r="C9781">
        <v>2013</v>
      </c>
      <c r="D9781" t="s">
        <v>40</v>
      </c>
      <c r="E9781">
        <v>2</v>
      </c>
      <c r="F9781">
        <v>4</v>
      </c>
    </row>
    <row r="9782" s="76" customFormat="1" spans="1:6">
      <c r="A9782">
        <v>10061</v>
      </c>
      <c r="B9782">
        <v>452013110</v>
      </c>
      <c r="C9782">
        <v>2013</v>
      </c>
      <c r="D9782" t="s">
        <v>40</v>
      </c>
      <c r="E9782">
        <v>5</v>
      </c>
      <c r="F9782">
        <v>1.23</v>
      </c>
    </row>
    <row r="9783" s="76" customFormat="1" spans="1:6">
      <c r="A9783">
        <v>10058</v>
      </c>
      <c r="B9783">
        <v>452013110</v>
      </c>
      <c r="C9783">
        <v>2013</v>
      </c>
      <c r="D9783" t="s">
        <v>40</v>
      </c>
      <c r="E9783">
        <v>1</v>
      </c>
      <c r="F9783">
        <v>2</v>
      </c>
    </row>
    <row r="9784" s="76" customFormat="1" spans="1:6">
      <c r="A9784">
        <v>10057</v>
      </c>
      <c r="B9784">
        <v>452013110</v>
      </c>
      <c r="C9784">
        <v>2013</v>
      </c>
      <c r="D9784" t="s">
        <v>40</v>
      </c>
      <c r="E9784">
        <v>2</v>
      </c>
      <c r="F9784">
        <v>3.6</v>
      </c>
    </row>
    <row r="9785" s="76" customFormat="1" spans="1:6">
      <c r="A9785">
        <v>10059</v>
      </c>
      <c r="B9785">
        <v>452013110</v>
      </c>
      <c r="C9785">
        <v>2013</v>
      </c>
      <c r="D9785" t="s">
        <v>40</v>
      </c>
      <c r="E9785">
        <v>1</v>
      </c>
      <c r="F9785">
        <v>30</v>
      </c>
    </row>
    <row r="9786" s="76" customFormat="1" spans="1:6">
      <c r="A9786">
        <v>10062</v>
      </c>
      <c r="B9786">
        <v>452013223</v>
      </c>
      <c r="C9786">
        <v>2013</v>
      </c>
      <c r="D9786" t="s">
        <v>36</v>
      </c>
      <c r="E9786">
        <v>3</v>
      </c>
      <c r="F9786">
        <v>0.1</v>
      </c>
    </row>
    <row r="9787" s="76" customFormat="1" spans="1:6">
      <c r="A9787">
        <v>10063</v>
      </c>
      <c r="B9787">
        <v>452013243</v>
      </c>
      <c r="C9787">
        <v>2013</v>
      </c>
      <c r="D9787" t="s">
        <v>38</v>
      </c>
      <c r="E9787">
        <v>1</v>
      </c>
      <c r="F9787">
        <v>3</v>
      </c>
    </row>
    <row r="9788" s="76" customFormat="1" spans="1:6">
      <c r="A9788">
        <v>10065</v>
      </c>
      <c r="B9788">
        <v>452013260</v>
      </c>
      <c r="C9788">
        <v>2013</v>
      </c>
      <c r="D9788" t="s">
        <v>34</v>
      </c>
      <c r="E9788">
        <v>17</v>
      </c>
      <c r="F9788">
        <v>2.55</v>
      </c>
    </row>
    <row r="9789" s="76" customFormat="1" spans="1:6">
      <c r="A9789">
        <v>10064</v>
      </c>
      <c r="B9789">
        <v>452013260</v>
      </c>
      <c r="C9789">
        <v>2013</v>
      </c>
      <c r="D9789" t="s">
        <v>34</v>
      </c>
      <c r="E9789">
        <v>17</v>
      </c>
      <c r="F9789">
        <v>2.55</v>
      </c>
    </row>
    <row r="9790" s="76" customFormat="1" spans="1:6">
      <c r="A9790">
        <v>10066</v>
      </c>
      <c r="B9790">
        <v>452014110</v>
      </c>
      <c r="C9790">
        <v>2014</v>
      </c>
      <c r="D9790" t="s">
        <v>40</v>
      </c>
      <c r="E9790">
        <v>1</v>
      </c>
      <c r="F9790">
        <v>2</v>
      </c>
    </row>
    <row r="9791" s="76" customFormat="1" spans="1:6">
      <c r="A9791">
        <v>10067</v>
      </c>
      <c r="B9791">
        <v>452014110</v>
      </c>
      <c r="C9791">
        <v>2014</v>
      </c>
      <c r="D9791" t="s">
        <v>40</v>
      </c>
      <c r="E9791">
        <v>1</v>
      </c>
      <c r="F9791">
        <v>30</v>
      </c>
    </row>
    <row r="9792" s="76" customFormat="1" spans="1:6">
      <c r="A9792">
        <v>10068</v>
      </c>
      <c r="B9792">
        <v>452014221</v>
      </c>
      <c r="C9792">
        <v>2014</v>
      </c>
      <c r="D9792" t="s">
        <v>30</v>
      </c>
      <c r="E9792">
        <v>2</v>
      </c>
      <c r="F9792">
        <v>12</v>
      </c>
    </row>
    <row r="9793" s="76" customFormat="1" spans="1:6">
      <c r="A9793">
        <v>10070</v>
      </c>
      <c r="B9793">
        <v>452015110</v>
      </c>
      <c r="C9793">
        <v>2015</v>
      </c>
      <c r="D9793" t="s">
        <v>40</v>
      </c>
      <c r="E9793">
        <v>2</v>
      </c>
      <c r="F9793">
        <v>0.72</v>
      </c>
    </row>
    <row r="9794" s="76" customFormat="1" spans="1:6">
      <c r="A9794">
        <v>10069</v>
      </c>
      <c r="B9794">
        <v>452015110</v>
      </c>
      <c r="C9794">
        <v>2015</v>
      </c>
      <c r="D9794" t="s">
        <v>40</v>
      </c>
      <c r="E9794">
        <v>1</v>
      </c>
      <c r="F9794">
        <v>1.8</v>
      </c>
    </row>
    <row r="9795" s="76" customFormat="1" spans="1:6">
      <c r="A9795">
        <v>10072</v>
      </c>
      <c r="B9795">
        <v>452015241</v>
      </c>
      <c r="C9795">
        <v>2015</v>
      </c>
      <c r="D9795" t="s">
        <v>33</v>
      </c>
      <c r="E9795">
        <v>2</v>
      </c>
      <c r="F9795">
        <v>1.2</v>
      </c>
    </row>
    <row r="9796" s="76" customFormat="1" spans="1:6">
      <c r="A9796">
        <v>10071</v>
      </c>
      <c r="B9796">
        <v>452015241</v>
      </c>
      <c r="C9796">
        <v>2015</v>
      </c>
      <c r="D9796" t="s">
        <v>33</v>
      </c>
      <c r="E9796">
        <v>2</v>
      </c>
      <c r="F9796">
        <v>30</v>
      </c>
    </row>
    <row r="9797" s="76" customFormat="1" spans="1:6">
      <c r="A9797">
        <v>10074</v>
      </c>
      <c r="B9797">
        <v>452015243</v>
      </c>
      <c r="C9797">
        <v>2015</v>
      </c>
      <c r="D9797" t="s">
        <v>38</v>
      </c>
      <c r="E9797">
        <v>1</v>
      </c>
      <c r="F9797">
        <v>3</v>
      </c>
    </row>
    <row r="9798" s="76" customFormat="1" spans="1:6">
      <c r="A9798">
        <v>10073</v>
      </c>
      <c r="B9798">
        <v>452015243</v>
      </c>
      <c r="C9798">
        <v>2015</v>
      </c>
      <c r="D9798" t="s">
        <v>38</v>
      </c>
      <c r="E9798">
        <v>1</v>
      </c>
      <c r="F9798">
        <v>3</v>
      </c>
    </row>
    <row r="9799" s="76" customFormat="1" spans="1:6">
      <c r="A9799">
        <v>10076</v>
      </c>
      <c r="B9799">
        <v>452015260</v>
      </c>
      <c r="C9799">
        <v>2015</v>
      </c>
      <c r="D9799" t="s">
        <v>34</v>
      </c>
      <c r="E9799">
        <v>33</v>
      </c>
      <c r="F9799">
        <v>4.95</v>
      </c>
    </row>
    <row r="9800" s="76" customFormat="1" spans="1:6">
      <c r="A9800">
        <v>10075</v>
      </c>
      <c r="B9800">
        <v>452015260</v>
      </c>
      <c r="C9800">
        <v>2015</v>
      </c>
      <c r="D9800" t="s">
        <v>34</v>
      </c>
      <c r="E9800">
        <v>66</v>
      </c>
      <c r="F9800">
        <v>9.9</v>
      </c>
    </row>
    <row r="9801" s="76" customFormat="1" spans="1:6">
      <c r="A9801">
        <v>10077</v>
      </c>
      <c r="B9801">
        <v>452015260</v>
      </c>
      <c r="C9801">
        <v>2015</v>
      </c>
      <c r="D9801" t="s">
        <v>34</v>
      </c>
      <c r="E9801">
        <v>66</v>
      </c>
      <c r="F9801">
        <v>9.9</v>
      </c>
    </row>
    <row r="9802" s="76" customFormat="1" spans="1:6">
      <c r="A9802">
        <v>10078</v>
      </c>
      <c r="B9802">
        <v>452015260</v>
      </c>
      <c r="C9802">
        <v>2015</v>
      </c>
      <c r="D9802" t="s">
        <v>34</v>
      </c>
      <c r="E9802">
        <v>24</v>
      </c>
      <c r="F9802">
        <v>4.8</v>
      </c>
    </row>
    <row r="9803" s="76" customFormat="1" spans="1:6">
      <c r="A9803">
        <v>10080</v>
      </c>
      <c r="B9803">
        <v>452015270</v>
      </c>
      <c r="C9803">
        <v>2015</v>
      </c>
      <c r="D9803" t="s">
        <v>31</v>
      </c>
      <c r="E9803" t="s">
        <v>32</v>
      </c>
      <c r="F9803">
        <v>1.8</v>
      </c>
    </row>
    <row r="9804" s="76" customFormat="1" spans="1:6">
      <c r="A9804">
        <v>10081</v>
      </c>
      <c r="B9804">
        <v>452015270</v>
      </c>
      <c r="C9804">
        <v>2015</v>
      </c>
      <c r="D9804" t="s">
        <v>31</v>
      </c>
      <c r="E9804" t="s">
        <v>32</v>
      </c>
      <c r="F9804">
        <v>1</v>
      </c>
    </row>
    <row r="9805" s="76" customFormat="1" spans="1:6">
      <c r="A9805">
        <v>10079</v>
      </c>
      <c r="B9805">
        <v>452015270</v>
      </c>
      <c r="C9805">
        <v>2015</v>
      </c>
      <c r="D9805" t="s">
        <v>31</v>
      </c>
      <c r="E9805" t="s">
        <v>32</v>
      </c>
      <c r="F9805">
        <v>6</v>
      </c>
    </row>
    <row r="9806" s="76" customFormat="1" spans="1:6">
      <c r="A9806">
        <v>10086</v>
      </c>
      <c r="B9806">
        <v>452016110</v>
      </c>
      <c r="C9806" s="76">
        <v>2016</v>
      </c>
      <c r="D9806" s="76" t="s">
        <v>40</v>
      </c>
      <c r="E9806" s="76">
        <v>1</v>
      </c>
      <c r="F9806" s="76">
        <v>0.36</v>
      </c>
    </row>
    <row r="9807" s="76" customFormat="1" spans="1:6">
      <c r="A9807">
        <v>10085</v>
      </c>
      <c r="B9807">
        <v>452016110</v>
      </c>
      <c r="C9807" s="76">
        <v>2016</v>
      </c>
      <c r="D9807" s="76" t="s">
        <v>40</v>
      </c>
      <c r="E9807" s="76">
        <v>1</v>
      </c>
      <c r="F9807" s="76">
        <v>0.2</v>
      </c>
    </row>
    <row r="9808" s="76" customFormat="1" spans="1:6">
      <c r="A9808">
        <v>10087</v>
      </c>
      <c r="B9808">
        <v>452016110</v>
      </c>
      <c r="C9808" s="76">
        <v>2016</v>
      </c>
      <c r="D9808" s="76" t="s">
        <v>40</v>
      </c>
      <c r="E9808" s="76">
        <v>1</v>
      </c>
      <c r="F9808" s="76">
        <v>0.5</v>
      </c>
    </row>
    <row r="9809" s="76" customFormat="1" spans="1:6">
      <c r="A9809">
        <v>10088</v>
      </c>
      <c r="B9809">
        <v>452016110</v>
      </c>
      <c r="C9809" s="76">
        <v>2016</v>
      </c>
      <c r="D9809" s="76" t="s">
        <v>40</v>
      </c>
      <c r="E9809" s="76">
        <v>2</v>
      </c>
      <c r="F9809" s="76">
        <v>1.95</v>
      </c>
    </row>
    <row r="9810" s="76" customFormat="1" spans="1:6">
      <c r="A9810">
        <v>10084</v>
      </c>
      <c r="B9810">
        <v>452016110</v>
      </c>
      <c r="C9810" s="76">
        <v>2016</v>
      </c>
      <c r="D9810" s="76" t="s">
        <v>40</v>
      </c>
      <c r="E9810" s="76">
        <v>2</v>
      </c>
      <c r="F9810" s="76">
        <v>6</v>
      </c>
    </row>
    <row r="9811" s="76" customFormat="1" spans="1:6">
      <c r="A9811">
        <v>10082</v>
      </c>
      <c r="B9811">
        <v>452016110</v>
      </c>
      <c r="C9811" s="76">
        <v>2016</v>
      </c>
      <c r="D9811" s="76" t="s">
        <v>40</v>
      </c>
      <c r="E9811" s="76">
        <v>1</v>
      </c>
      <c r="F9811" s="76">
        <v>1</v>
      </c>
    </row>
    <row r="9812" s="76" customFormat="1" spans="1:6">
      <c r="A9812">
        <v>10083</v>
      </c>
      <c r="B9812">
        <v>452016110</v>
      </c>
      <c r="C9812" s="76">
        <v>2016</v>
      </c>
      <c r="D9812" s="76" t="s">
        <v>40</v>
      </c>
      <c r="E9812" s="76">
        <v>2</v>
      </c>
      <c r="F9812" s="76">
        <v>2</v>
      </c>
    </row>
    <row r="9813" s="76" customFormat="1" spans="1:6">
      <c r="A9813">
        <v>10089</v>
      </c>
      <c r="B9813">
        <v>452016110</v>
      </c>
      <c r="C9813" s="76">
        <v>2016</v>
      </c>
      <c r="D9813" s="76" t="s">
        <v>40</v>
      </c>
      <c r="E9813" s="76">
        <v>2</v>
      </c>
      <c r="F9813" s="76">
        <v>2.1</v>
      </c>
    </row>
    <row r="9814" s="76" customFormat="1" spans="1:6">
      <c r="A9814" s="78">
        <v>10090</v>
      </c>
      <c r="B9814">
        <v>452016211</v>
      </c>
      <c r="C9814" s="77">
        <v>2016</v>
      </c>
      <c r="D9814" s="77" t="s">
        <v>37</v>
      </c>
      <c r="E9814" s="77">
        <v>2</v>
      </c>
      <c r="F9814" s="77">
        <v>132</v>
      </c>
    </row>
    <row r="9815" s="76" customFormat="1" spans="1:6">
      <c r="A9815">
        <v>10092</v>
      </c>
      <c r="B9815">
        <v>452016211</v>
      </c>
      <c r="C9815" s="76">
        <v>2016</v>
      </c>
      <c r="D9815" s="76" t="s">
        <v>37</v>
      </c>
      <c r="E9815" s="76">
        <v>2</v>
      </c>
      <c r="F9815" s="76">
        <v>70</v>
      </c>
    </row>
    <row r="9816" s="76" customFormat="1" spans="1:6">
      <c r="A9816">
        <v>10091</v>
      </c>
      <c r="B9816">
        <v>452016211</v>
      </c>
      <c r="C9816" s="76">
        <v>2016</v>
      </c>
      <c r="D9816" s="76" t="s">
        <v>37</v>
      </c>
      <c r="E9816" s="76">
        <v>2</v>
      </c>
      <c r="F9816" s="76">
        <v>200</v>
      </c>
    </row>
    <row r="9817" s="76" customFormat="1" spans="1:6">
      <c r="A9817">
        <v>10094</v>
      </c>
      <c r="B9817">
        <v>452016241</v>
      </c>
      <c r="C9817" s="76">
        <v>2016</v>
      </c>
      <c r="D9817" s="76" t="s">
        <v>33</v>
      </c>
      <c r="E9817" s="76">
        <v>2</v>
      </c>
      <c r="F9817" s="76">
        <v>70</v>
      </c>
    </row>
    <row r="9818" s="76" customFormat="1" spans="1:6">
      <c r="A9818">
        <v>10093</v>
      </c>
      <c r="B9818">
        <v>452016241</v>
      </c>
      <c r="C9818" s="76">
        <v>2016</v>
      </c>
      <c r="D9818" s="76" t="s">
        <v>33</v>
      </c>
      <c r="E9818" s="76">
        <v>1</v>
      </c>
      <c r="F9818" s="76">
        <v>15</v>
      </c>
    </row>
    <row r="9819" s="76" customFormat="1" spans="1:6">
      <c r="A9819">
        <v>10095</v>
      </c>
      <c r="B9819">
        <v>452016241</v>
      </c>
      <c r="C9819" s="76">
        <v>2016</v>
      </c>
      <c r="D9819" s="76" t="s">
        <v>33</v>
      </c>
      <c r="E9819" s="76">
        <v>1</v>
      </c>
      <c r="F9819" s="76">
        <v>35</v>
      </c>
    </row>
    <row r="9820" s="76" customFormat="1" spans="1:6">
      <c r="A9820">
        <v>10098</v>
      </c>
      <c r="B9820">
        <v>452016242</v>
      </c>
      <c r="C9820" s="76">
        <v>2016</v>
      </c>
      <c r="D9820" s="76" t="s">
        <v>35</v>
      </c>
      <c r="E9820" s="76">
        <v>1</v>
      </c>
      <c r="F9820" s="76">
        <v>1.2</v>
      </c>
    </row>
    <row r="9821" s="76" customFormat="1" spans="1:6">
      <c r="A9821">
        <v>10097</v>
      </c>
      <c r="B9821">
        <v>452016242</v>
      </c>
      <c r="C9821" s="76">
        <v>2016</v>
      </c>
      <c r="D9821" s="76" t="s">
        <v>35</v>
      </c>
      <c r="E9821" s="76">
        <v>1</v>
      </c>
      <c r="F9821" s="76">
        <v>1.2</v>
      </c>
    </row>
    <row r="9822" s="76" customFormat="1" spans="1:6">
      <c r="A9822">
        <v>10096</v>
      </c>
      <c r="B9822">
        <v>452016242</v>
      </c>
      <c r="C9822" s="76">
        <v>2016</v>
      </c>
      <c r="D9822" s="76" t="s">
        <v>35</v>
      </c>
      <c r="E9822" s="76">
        <v>2</v>
      </c>
      <c r="F9822" s="76">
        <v>3.6</v>
      </c>
    </row>
    <row r="9823" s="76" customFormat="1" spans="1:6">
      <c r="A9823">
        <v>10099</v>
      </c>
      <c r="B9823">
        <v>452016250</v>
      </c>
      <c r="C9823" s="76">
        <v>2016</v>
      </c>
      <c r="D9823" s="76" t="s">
        <v>44</v>
      </c>
      <c r="E9823" s="76">
        <v>2</v>
      </c>
      <c r="F9823" s="76">
        <v>217.2</v>
      </c>
    </row>
    <row r="9824" s="76" customFormat="1" spans="1:6">
      <c r="A9824">
        <v>10100</v>
      </c>
      <c r="B9824">
        <v>452016260</v>
      </c>
      <c r="C9824" s="76">
        <v>2016</v>
      </c>
      <c r="D9824" s="76" t="s">
        <v>34</v>
      </c>
      <c r="E9824" s="76">
        <v>33</v>
      </c>
      <c r="F9824" s="76">
        <v>4.95</v>
      </c>
    </row>
    <row r="9825" s="76" customFormat="1" spans="1:6">
      <c r="A9825">
        <v>10101</v>
      </c>
      <c r="B9825">
        <v>452016260</v>
      </c>
      <c r="C9825" s="76">
        <v>2016</v>
      </c>
      <c r="D9825" s="76" t="s">
        <v>34</v>
      </c>
      <c r="E9825" s="76">
        <v>22</v>
      </c>
      <c r="F9825" s="76">
        <v>4.4</v>
      </c>
    </row>
    <row r="9826" s="76" customFormat="1" spans="1:6">
      <c r="A9826">
        <v>10102</v>
      </c>
      <c r="B9826">
        <v>452016260</v>
      </c>
      <c r="C9826" s="76">
        <v>2016</v>
      </c>
      <c r="D9826" s="76" t="s">
        <v>34</v>
      </c>
      <c r="E9826" s="76">
        <v>25</v>
      </c>
      <c r="F9826" s="76">
        <v>4.95</v>
      </c>
    </row>
    <row r="9827" s="76" customFormat="1" spans="1:6">
      <c r="A9827">
        <v>10103</v>
      </c>
      <c r="B9827">
        <v>452016260</v>
      </c>
      <c r="C9827" s="76">
        <v>2016</v>
      </c>
      <c r="D9827" s="76" t="s">
        <v>34</v>
      </c>
      <c r="E9827" s="76">
        <v>19</v>
      </c>
      <c r="F9827" s="76">
        <v>4.75</v>
      </c>
    </row>
    <row r="9828" s="76" customFormat="1" spans="1:6">
      <c r="A9828">
        <v>10104</v>
      </c>
      <c r="B9828">
        <v>452016260</v>
      </c>
      <c r="C9828" s="76">
        <v>2016</v>
      </c>
      <c r="D9828" s="76" t="s">
        <v>34</v>
      </c>
      <c r="E9828" s="76">
        <v>24</v>
      </c>
      <c r="F9828" s="76">
        <v>4.8</v>
      </c>
    </row>
    <row r="9829" s="76" customFormat="1" spans="1:6">
      <c r="A9829">
        <v>10105</v>
      </c>
      <c r="B9829">
        <v>452016260</v>
      </c>
      <c r="C9829" s="76">
        <v>2016</v>
      </c>
      <c r="D9829" s="76" t="s">
        <v>34</v>
      </c>
      <c r="E9829" s="76">
        <v>33</v>
      </c>
      <c r="F9829" s="76">
        <v>4.95</v>
      </c>
    </row>
    <row r="9830" s="76" customFormat="1" spans="1:6">
      <c r="A9830">
        <v>10106</v>
      </c>
      <c r="B9830">
        <v>452016260</v>
      </c>
      <c r="C9830" s="76">
        <v>2016</v>
      </c>
      <c r="D9830" s="76" t="s">
        <v>34</v>
      </c>
      <c r="E9830" s="76">
        <v>33</v>
      </c>
      <c r="F9830" s="76">
        <v>4.95</v>
      </c>
    </row>
    <row r="9831" s="76" customFormat="1" spans="1:6">
      <c r="A9831">
        <v>10107</v>
      </c>
      <c r="B9831">
        <v>452016260</v>
      </c>
      <c r="C9831" s="76">
        <v>2016</v>
      </c>
      <c r="D9831" s="76" t="s">
        <v>34</v>
      </c>
      <c r="E9831" s="76">
        <v>6</v>
      </c>
      <c r="F9831" s="76">
        <v>1.2</v>
      </c>
    </row>
    <row r="9832" s="76" customFormat="1" spans="1:6">
      <c r="A9832">
        <v>10110</v>
      </c>
      <c r="B9832">
        <v>452016270</v>
      </c>
      <c r="C9832" s="76">
        <v>2016</v>
      </c>
      <c r="D9832" s="76" t="s">
        <v>31</v>
      </c>
      <c r="E9832" s="76" t="s">
        <v>32</v>
      </c>
      <c r="F9832" s="76">
        <v>0.87</v>
      </c>
    </row>
    <row r="9833" s="76" customFormat="1" spans="1:6">
      <c r="A9833">
        <v>10109</v>
      </c>
      <c r="B9833">
        <v>452016270</v>
      </c>
      <c r="C9833" s="76">
        <v>2016</v>
      </c>
      <c r="D9833" s="76" t="s">
        <v>31</v>
      </c>
      <c r="E9833" s="76" t="s">
        <v>32</v>
      </c>
      <c r="F9833" s="76">
        <v>2</v>
      </c>
    </row>
    <row r="9834" s="76" customFormat="1" spans="1:6">
      <c r="A9834">
        <v>10108</v>
      </c>
      <c r="B9834">
        <v>452016270</v>
      </c>
      <c r="C9834" s="76">
        <v>2016</v>
      </c>
      <c r="D9834" s="76" t="s">
        <v>31</v>
      </c>
      <c r="E9834" s="76" t="s">
        <v>32</v>
      </c>
      <c r="F9834" s="76">
        <v>1.2</v>
      </c>
    </row>
    <row r="9835" s="76" customFormat="1" spans="1:6">
      <c r="A9835">
        <v>10111</v>
      </c>
      <c r="B9835">
        <v>452017221</v>
      </c>
      <c r="C9835" s="76">
        <v>2017</v>
      </c>
      <c r="D9835" s="76" t="s">
        <v>30</v>
      </c>
      <c r="E9835" s="76">
        <v>6</v>
      </c>
      <c r="F9835" s="76">
        <v>21</v>
      </c>
    </row>
    <row r="9836" s="76" customFormat="1" spans="1:6">
      <c r="A9836">
        <v>10114</v>
      </c>
      <c r="B9836">
        <v>452017241</v>
      </c>
      <c r="C9836" s="76">
        <v>2017</v>
      </c>
      <c r="D9836" s="76" t="s">
        <v>33</v>
      </c>
      <c r="E9836" s="76">
        <v>1</v>
      </c>
      <c r="F9836" s="76">
        <v>0.9</v>
      </c>
    </row>
    <row r="9837" s="76" customFormat="1" spans="1:6">
      <c r="A9837">
        <v>10115</v>
      </c>
      <c r="B9837">
        <v>452017241</v>
      </c>
      <c r="C9837" s="76">
        <v>2017</v>
      </c>
      <c r="D9837" s="76" t="s">
        <v>33</v>
      </c>
      <c r="E9837" s="76">
        <v>1</v>
      </c>
      <c r="F9837" s="76">
        <v>0.75</v>
      </c>
    </row>
    <row r="9838" s="76" customFormat="1" spans="1:6">
      <c r="A9838">
        <v>10112</v>
      </c>
      <c r="B9838">
        <v>452017241</v>
      </c>
      <c r="C9838" s="76">
        <v>2017</v>
      </c>
      <c r="D9838" s="76" t="s">
        <v>33</v>
      </c>
      <c r="E9838" s="76">
        <v>2</v>
      </c>
      <c r="F9838" s="76">
        <v>16</v>
      </c>
    </row>
    <row r="9839" s="76" customFormat="1" spans="1:6">
      <c r="A9839">
        <v>10116</v>
      </c>
      <c r="B9839">
        <v>452017241</v>
      </c>
      <c r="C9839" s="76">
        <v>2017</v>
      </c>
      <c r="D9839" s="76" t="s">
        <v>33</v>
      </c>
      <c r="E9839" s="76">
        <v>2</v>
      </c>
      <c r="F9839" s="76">
        <v>1.8</v>
      </c>
    </row>
    <row r="9840" s="76" customFormat="1" spans="1:6">
      <c r="A9840">
        <v>10113</v>
      </c>
      <c r="B9840">
        <v>452017241</v>
      </c>
      <c r="C9840" s="76">
        <v>2017</v>
      </c>
      <c r="D9840" s="76" t="s">
        <v>33</v>
      </c>
      <c r="E9840" s="76">
        <v>1</v>
      </c>
      <c r="F9840" s="76">
        <v>0.9</v>
      </c>
    </row>
    <row r="9841" s="76" customFormat="1" spans="1:6">
      <c r="A9841">
        <v>10117</v>
      </c>
      <c r="B9841">
        <v>452017242</v>
      </c>
      <c r="C9841" s="76">
        <v>2017</v>
      </c>
      <c r="D9841" s="76" t="s">
        <v>35</v>
      </c>
      <c r="E9841" s="76">
        <v>1</v>
      </c>
      <c r="F9841" s="76">
        <v>0.9</v>
      </c>
    </row>
    <row r="9842" s="76" customFormat="1" spans="1:6">
      <c r="A9842">
        <v>10121</v>
      </c>
      <c r="B9842">
        <v>452017243</v>
      </c>
      <c r="C9842" s="76">
        <v>2017</v>
      </c>
      <c r="D9842" s="76" t="s">
        <v>38</v>
      </c>
      <c r="E9842" s="76">
        <v>3</v>
      </c>
      <c r="F9842" s="76">
        <v>1.8</v>
      </c>
    </row>
    <row r="9843" s="76" customFormat="1" spans="1:6">
      <c r="A9843">
        <v>10118</v>
      </c>
      <c r="B9843">
        <v>452017243</v>
      </c>
      <c r="C9843" s="76">
        <v>2017</v>
      </c>
      <c r="D9843" s="76" t="s">
        <v>38</v>
      </c>
      <c r="E9843" s="76">
        <v>1</v>
      </c>
      <c r="F9843" s="76">
        <v>2</v>
      </c>
    </row>
    <row r="9844" s="76" customFormat="1" spans="1:6">
      <c r="A9844">
        <v>10120</v>
      </c>
      <c r="B9844">
        <v>452017243</v>
      </c>
      <c r="C9844" s="76">
        <v>2017</v>
      </c>
      <c r="D9844" s="76" t="s">
        <v>38</v>
      </c>
      <c r="E9844" s="76">
        <v>2</v>
      </c>
      <c r="F9844" s="76">
        <v>2.2</v>
      </c>
    </row>
    <row r="9845" s="76" customFormat="1" spans="1:6">
      <c r="A9845">
        <v>10119</v>
      </c>
      <c r="B9845">
        <v>452017243</v>
      </c>
      <c r="C9845" s="76">
        <v>2017</v>
      </c>
      <c r="D9845" s="76" t="s">
        <v>38</v>
      </c>
      <c r="E9845" s="76">
        <v>2</v>
      </c>
      <c r="F9845" s="76">
        <v>2.6</v>
      </c>
    </row>
    <row r="9846" s="76" customFormat="1" spans="1:6">
      <c r="A9846">
        <v>10126</v>
      </c>
      <c r="B9846">
        <v>452017260</v>
      </c>
      <c r="C9846" s="76">
        <v>2017</v>
      </c>
      <c r="D9846" s="76" t="s">
        <v>34</v>
      </c>
      <c r="E9846" s="76">
        <v>18</v>
      </c>
      <c r="F9846" s="76">
        <v>3.74</v>
      </c>
    </row>
    <row r="9847" s="76" customFormat="1" spans="1:6">
      <c r="A9847">
        <v>10124</v>
      </c>
      <c r="B9847">
        <v>452017260</v>
      </c>
      <c r="C9847" s="76">
        <v>2017</v>
      </c>
      <c r="D9847" s="76" t="s">
        <v>34</v>
      </c>
      <c r="E9847" s="76">
        <v>25</v>
      </c>
      <c r="F9847" s="76">
        <v>4.95</v>
      </c>
    </row>
    <row r="9848" s="76" customFormat="1" spans="1:6">
      <c r="A9848">
        <v>10122</v>
      </c>
      <c r="B9848">
        <v>452017260</v>
      </c>
      <c r="C9848" s="76">
        <v>2017</v>
      </c>
      <c r="D9848" s="76" t="s">
        <v>34</v>
      </c>
      <c r="E9848" s="76">
        <v>25</v>
      </c>
      <c r="F9848" s="76">
        <v>5</v>
      </c>
    </row>
    <row r="9849" s="76" customFormat="1" spans="1:6">
      <c r="A9849">
        <v>10125</v>
      </c>
      <c r="B9849">
        <v>452017260</v>
      </c>
      <c r="C9849" s="76">
        <v>2017</v>
      </c>
      <c r="D9849" s="76" t="s">
        <v>34</v>
      </c>
      <c r="E9849" s="76">
        <v>48</v>
      </c>
      <c r="F9849" s="76">
        <v>9.6</v>
      </c>
    </row>
    <row r="9850" s="76" customFormat="1" spans="1:6">
      <c r="A9850">
        <v>10127</v>
      </c>
      <c r="B9850">
        <v>452017260</v>
      </c>
      <c r="C9850" s="76">
        <v>2017</v>
      </c>
      <c r="D9850" s="76" t="s">
        <v>34</v>
      </c>
      <c r="E9850" s="76">
        <v>25</v>
      </c>
      <c r="F9850" s="76">
        <v>5</v>
      </c>
    </row>
    <row r="9851" s="76" customFormat="1" spans="1:6">
      <c r="A9851">
        <v>10128</v>
      </c>
      <c r="B9851">
        <v>452017260</v>
      </c>
      <c r="C9851" s="76">
        <v>2017</v>
      </c>
      <c r="D9851" s="76" t="s">
        <v>34</v>
      </c>
      <c r="E9851" s="76">
        <v>25</v>
      </c>
      <c r="F9851" s="76">
        <v>4.95</v>
      </c>
    </row>
    <row r="9852" s="76" customFormat="1" spans="1:6">
      <c r="A9852">
        <v>10129</v>
      </c>
      <c r="B9852">
        <v>452017260</v>
      </c>
      <c r="C9852" s="76">
        <v>2017</v>
      </c>
      <c r="D9852" s="76" t="s">
        <v>34</v>
      </c>
      <c r="E9852" s="76">
        <v>50</v>
      </c>
      <c r="F9852" s="76">
        <v>10</v>
      </c>
    </row>
    <row r="9853" s="76" customFormat="1" spans="1:6">
      <c r="A9853">
        <v>10123</v>
      </c>
      <c r="B9853">
        <v>452017260</v>
      </c>
      <c r="C9853" s="76">
        <v>2017</v>
      </c>
      <c r="D9853" s="76" t="s">
        <v>34</v>
      </c>
      <c r="E9853" s="76">
        <v>25</v>
      </c>
      <c r="F9853" s="76">
        <v>5</v>
      </c>
    </row>
    <row r="9854" s="76" customFormat="1" spans="1:6">
      <c r="A9854">
        <v>10131</v>
      </c>
      <c r="B9854">
        <v>452017260</v>
      </c>
      <c r="C9854" s="76">
        <v>2017</v>
      </c>
      <c r="D9854" s="76" t="s">
        <v>34</v>
      </c>
      <c r="E9854" s="76">
        <v>25</v>
      </c>
      <c r="F9854" s="76">
        <v>5</v>
      </c>
    </row>
    <row r="9855" s="76" customFormat="1" spans="1:6">
      <c r="A9855">
        <v>10132</v>
      </c>
      <c r="B9855">
        <v>452017260</v>
      </c>
      <c r="C9855" s="76">
        <v>2017</v>
      </c>
      <c r="D9855" s="76" t="s">
        <v>34</v>
      </c>
      <c r="E9855" s="76">
        <v>25</v>
      </c>
      <c r="F9855" s="76">
        <v>5</v>
      </c>
    </row>
    <row r="9856" s="76" customFormat="1" spans="1:6">
      <c r="A9856">
        <v>10133</v>
      </c>
      <c r="B9856">
        <v>452017260</v>
      </c>
      <c r="C9856" s="76">
        <v>2017</v>
      </c>
      <c r="D9856" s="76" t="s">
        <v>34</v>
      </c>
      <c r="E9856" s="76">
        <v>33</v>
      </c>
      <c r="F9856" s="76">
        <v>5</v>
      </c>
    </row>
    <row r="9857" s="76" customFormat="1" spans="1:6">
      <c r="A9857">
        <v>10134</v>
      </c>
      <c r="B9857">
        <v>452017260</v>
      </c>
      <c r="C9857" s="76">
        <v>2017</v>
      </c>
      <c r="D9857" s="76" t="s">
        <v>34</v>
      </c>
      <c r="E9857" s="76">
        <v>33</v>
      </c>
      <c r="F9857" s="76">
        <v>5.45</v>
      </c>
    </row>
    <row r="9858" s="76" customFormat="1" spans="1:6">
      <c r="A9858">
        <v>10130</v>
      </c>
      <c r="B9858">
        <v>452017260</v>
      </c>
      <c r="C9858" s="76">
        <v>2017</v>
      </c>
      <c r="D9858" s="76" t="s">
        <v>34</v>
      </c>
      <c r="E9858" s="76">
        <v>59</v>
      </c>
      <c r="F9858" s="76">
        <v>12.98</v>
      </c>
    </row>
    <row r="9859" s="76" customFormat="1" spans="1:6">
      <c r="A9859">
        <v>10135</v>
      </c>
      <c r="B9859">
        <v>452017270</v>
      </c>
      <c r="C9859" s="76">
        <v>2017</v>
      </c>
      <c r="D9859" s="76" t="s">
        <v>31</v>
      </c>
      <c r="E9859" s="76" t="s">
        <v>32</v>
      </c>
      <c r="F9859" s="76">
        <v>0.05</v>
      </c>
    </row>
    <row r="9860" s="76" customFormat="1" spans="1:6">
      <c r="A9860">
        <v>10136</v>
      </c>
      <c r="B9860">
        <v>452017270</v>
      </c>
      <c r="C9860" s="76">
        <v>2017</v>
      </c>
      <c r="D9860" s="76" t="s">
        <v>31</v>
      </c>
      <c r="E9860" s="76">
        <v>1</v>
      </c>
      <c r="F9860" s="76">
        <v>4</v>
      </c>
    </row>
    <row r="9861" s="76" customFormat="1" spans="1:6">
      <c r="A9861">
        <v>10137</v>
      </c>
      <c r="B9861">
        <v>452017270</v>
      </c>
      <c r="C9861" s="76">
        <v>2017</v>
      </c>
      <c r="D9861" s="76" t="s">
        <v>31</v>
      </c>
      <c r="E9861" s="76">
        <v>1</v>
      </c>
      <c r="F9861" s="76">
        <v>2</v>
      </c>
    </row>
    <row r="9862" s="76" customFormat="1" spans="1:6">
      <c r="A9862">
        <v>10140</v>
      </c>
      <c r="B9862">
        <v>452018110</v>
      </c>
      <c r="C9862" s="76">
        <v>2018</v>
      </c>
      <c r="D9862" s="76" t="s">
        <v>40</v>
      </c>
      <c r="E9862" s="76">
        <v>1</v>
      </c>
      <c r="F9862" s="76">
        <v>0.96</v>
      </c>
    </row>
    <row r="9863" s="76" customFormat="1" spans="1:6">
      <c r="A9863">
        <v>10138</v>
      </c>
      <c r="B9863">
        <v>452018110</v>
      </c>
      <c r="C9863" s="76">
        <v>2018</v>
      </c>
      <c r="D9863" s="76" t="s">
        <v>40</v>
      </c>
      <c r="E9863" s="76">
        <v>4</v>
      </c>
      <c r="F9863" s="76">
        <v>2.3</v>
      </c>
    </row>
    <row r="9864" s="76" customFormat="1" spans="1:6">
      <c r="A9864">
        <v>10139</v>
      </c>
      <c r="B9864">
        <v>452018110</v>
      </c>
      <c r="C9864" s="76">
        <v>2018</v>
      </c>
      <c r="D9864" s="76" t="s">
        <v>40</v>
      </c>
      <c r="E9864" s="76">
        <v>1</v>
      </c>
      <c r="F9864" s="76">
        <v>1.66</v>
      </c>
    </row>
    <row r="9865" s="76" customFormat="1" spans="1:6">
      <c r="A9865">
        <v>10141</v>
      </c>
      <c r="B9865">
        <v>452018211</v>
      </c>
      <c r="C9865" s="76">
        <v>2018</v>
      </c>
      <c r="D9865" s="76" t="s">
        <v>37</v>
      </c>
      <c r="E9865" s="76">
        <v>3</v>
      </c>
      <c r="F9865" s="76">
        <v>105</v>
      </c>
    </row>
    <row r="9866" s="76" customFormat="1" spans="1:6">
      <c r="A9866">
        <v>10142</v>
      </c>
      <c r="B9866">
        <v>452018242</v>
      </c>
      <c r="C9866" s="76">
        <v>2018</v>
      </c>
      <c r="D9866" s="76" t="s">
        <v>35</v>
      </c>
      <c r="E9866" s="76">
        <v>2</v>
      </c>
      <c r="F9866" s="76">
        <v>2.4</v>
      </c>
    </row>
    <row r="9867" s="76" customFormat="1" spans="1:6">
      <c r="A9867">
        <v>10146</v>
      </c>
      <c r="B9867">
        <v>452018243</v>
      </c>
      <c r="C9867" s="76">
        <v>2018</v>
      </c>
      <c r="D9867" s="76" t="s">
        <v>38</v>
      </c>
      <c r="E9867" s="76">
        <v>2</v>
      </c>
      <c r="F9867" s="76">
        <v>4</v>
      </c>
    </row>
    <row r="9868" s="76" customFormat="1" spans="1:6">
      <c r="A9868">
        <v>10145</v>
      </c>
      <c r="B9868">
        <v>452018243</v>
      </c>
      <c r="C9868" s="76">
        <v>2018</v>
      </c>
      <c r="D9868" s="76" t="s">
        <v>38</v>
      </c>
      <c r="E9868" s="76">
        <v>1</v>
      </c>
      <c r="F9868" s="76">
        <v>3</v>
      </c>
    </row>
    <row r="9869" s="76" customFormat="1" spans="1:6">
      <c r="A9869">
        <v>10144</v>
      </c>
      <c r="B9869">
        <v>452018243</v>
      </c>
      <c r="C9869" s="76">
        <v>2018</v>
      </c>
      <c r="D9869" s="76" t="s">
        <v>38</v>
      </c>
      <c r="E9869" s="76">
        <v>1</v>
      </c>
      <c r="F9869" s="76">
        <v>2.5</v>
      </c>
    </row>
    <row r="9870" s="76" customFormat="1" spans="1:6">
      <c r="A9870">
        <v>10143</v>
      </c>
      <c r="B9870">
        <v>452018243</v>
      </c>
      <c r="C9870" s="76">
        <v>2018</v>
      </c>
      <c r="D9870" s="76" t="s">
        <v>38</v>
      </c>
      <c r="E9870" s="76">
        <v>1</v>
      </c>
      <c r="F9870" s="76">
        <v>2.5</v>
      </c>
    </row>
    <row r="9871" s="76" customFormat="1" spans="1:6">
      <c r="A9871">
        <v>10147</v>
      </c>
      <c r="B9871">
        <v>452018260</v>
      </c>
      <c r="C9871" s="76">
        <v>2018</v>
      </c>
      <c r="D9871" s="76" t="s">
        <v>34</v>
      </c>
      <c r="E9871" s="76">
        <v>18</v>
      </c>
      <c r="F9871" s="76">
        <v>3.96</v>
      </c>
    </row>
    <row r="9872" s="76" customFormat="1" spans="1:6">
      <c r="A9872">
        <v>10153</v>
      </c>
      <c r="B9872">
        <v>452018260</v>
      </c>
      <c r="C9872" s="76">
        <v>2018</v>
      </c>
      <c r="D9872" s="76" t="s">
        <v>34</v>
      </c>
      <c r="E9872" s="76">
        <v>10</v>
      </c>
      <c r="F9872" s="76">
        <v>3.3</v>
      </c>
    </row>
    <row r="9873" s="76" customFormat="1" spans="1:6">
      <c r="A9873">
        <v>10155</v>
      </c>
      <c r="B9873">
        <v>452018260</v>
      </c>
      <c r="C9873" s="76">
        <v>2018</v>
      </c>
      <c r="D9873" s="76" t="s">
        <v>34</v>
      </c>
      <c r="E9873" s="76">
        <v>150</v>
      </c>
      <c r="F9873" s="76">
        <v>23.7</v>
      </c>
    </row>
    <row r="9874" s="76" customFormat="1" spans="1:6">
      <c r="A9874">
        <v>10150</v>
      </c>
      <c r="B9874">
        <v>452018260</v>
      </c>
      <c r="C9874" s="76">
        <v>2018</v>
      </c>
      <c r="D9874" s="76" t="s">
        <v>34</v>
      </c>
      <c r="E9874" s="76">
        <v>5</v>
      </c>
      <c r="F9874" s="76">
        <v>5</v>
      </c>
    </row>
    <row r="9875" s="76" customFormat="1" spans="1:6">
      <c r="A9875">
        <v>10154</v>
      </c>
      <c r="B9875">
        <v>452018260</v>
      </c>
      <c r="C9875" s="76">
        <v>2018</v>
      </c>
      <c r="D9875" s="76" t="s">
        <v>34</v>
      </c>
      <c r="E9875" s="76">
        <v>1</v>
      </c>
      <c r="F9875" s="76">
        <v>3.04</v>
      </c>
    </row>
    <row r="9876" s="76" customFormat="1" spans="1:6">
      <c r="A9876">
        <v>10151</v>
      </c>
      <c r="B9876">
        <v>452018260</v>
      </c>
      <c r="C9876" s="76">
        <v>2018</v>
      </c>
      <c r="D9876" s="76" t="s">
        <v>34</v>
      </c>
      <c r="E9876" s="76">
        <v>3</v>
      </c>
      <c r="F9876" s="76">
        <v>4.62</v>
      </c>
    </row>
    <row r="9877" s="76" customFormat="1" spans="1:6">
      <c r="A9877">
        <v>10156</v>
      </c>
      <c r="B9877">
        <v>452018260</v>
      </c>
      <c r="C9877" s="76">
        <v>2018</v>
      </c>
      <c r="D9877" s="76" t="s">
        <v>34</v>
      </c>
      <c r="E9877" s="76">
        <v>21</v>
      </c>
      <c r="F9877" s="76">
        <v>4.62</v>
      </c>
    </row>
    <row r="9878" s="76" customFormat="1" spans="1:6">
      <c r="A9878">
        <v>10148</v>
      </c>
      <c r="B9878">
        <v>452018260</v>
      </c>
      <c r="C9878" s="76">
        <v>2018</v>
      </c>
      <c r="D9878" s="76" t="s">
        <v>34</v>
      </c>
      <c r="E9878" s="76">
        <v>18</v>
      </c>
      <c r="F9878" s="76">
        <v>4.09</v>
      </c>
    </row>
    <row r="9879" s="76" customFormat="1" spans="1:6">
      <c r="A9879">
        <v>10152</v>
      </c>
      <c r="B9879">
        <v>452018260</v>
      </c>
      <c r="C9879" s="76">
        <v>2018</v>
      </c>
      <c r="D9879" s="76" t="s">
        <v>34</v>
      </c>
      <c r="E9879" s="76">
        <v>25</v>
      </c>
      <c r="F9879" s="76">
        <v>5</v>
      </c>
    </row>
    <row r="9880" s="76" customFormat="1" spans="1:6">
      <c r="A9880">
        <v>10149</v>
      </c>
      <c r="B9880">
        <v>452018260</v>
      </c>
      <c r="C9880" s="76">
        <v>2018</v>
      </c>
      <c r="D9880" s="76" t="s">
        <v>34</v>
      </c>
      <c r="E9880" s="76">
        <v>3</v>
      </c>
      <c r="F9880" s="76">
        <v>4.09</v>
      </c>
    </row>
    <row r="9881" s="76" customFormat="1" spans="1:6">
      <c r="A9881">
        <v>10172</v>
      </c>
      <c r="B9881">
        <v>452018270</v>
      </c>
      <c r="C9881" s="76">
        <v>2018</v>
      </c>
      <c r="D9881" s="76" t="s">
        <v>31</v>
      </c>
      <c r="E9881" s="76" t="s">
        <v>32</v>
      </c>
      <c r="F9881" s="76">
        <v>2</v>
      </c>
    </row>
    <row r="9882" s="76" customFormat="1" spans="1:6">
      <c r="A9882">
        <v>10166</v>
      </c>
      <c r="B9882">
        <v>452018270</v>
      </c>
      <c r="C9882" s="76">
        <v>2018</v>
      </c>
      <c r="D9882" s="76" t="s">
        <v>31</v>
      </c>
      <c r="E9882" s="76" t="s">
        <v>32</v>
      </c>
      <c r="F9882" s="76">
        <v>0.1</v>
      </c>
    </row>
    <row r="9883" s="76" customFormat="1" spans="1:6">
      <c r="A9883">
        <v>10170</v>
      </c>
      <c r="B9883">
        <v>452018270</v>
      </c>
      <c r="C9883" s="76">
        <v>2018</v>
      </c>
      <c r="D9883" s="76" t="s">
        <v>31</v>
      </c>
      <c r="E9883" s="76" t="s">
        <v>32</v>
      </c>
      <c r="F9883" s="76">
        <v>0.12</v>
      </c>
    </row>
    <row r="9884" s="76" customFormat="1" spans="1:6">
      <c r="A9884">
        <v>10160</v>
      </c>
      <c r="B9884">
        <v>452018270</v>
      </c>
      <c r="C9884" s="76">
        <v>2018</v>
      </c>
      <c r="D9884" s="76" t="s">
        <v>31</v>
      </c>
      <c r="E9884" s="76" t="s">
        <v>32</v>
      </c>
      <c r="F9884" s="76">
        <v>4</v>
      </c>
    </row>
    <row r="9885" s="76" customFormat="1" spans="1:6">
      <c r="A9885">
        <v>10169</v>
      </c>
      <c r="B9885">
        <v>452018270</v>
      </c>
      <c r="C9885" s="76">
        <v>2018</v>
      </c>
      <c r="D9885" s="76" t="s">
        <v>31</v>
      </c>
      <c r="E9885" s="76" t="s">
        <v>32</v>
      </c>
      <c r="F9885" s="76">
        <v>1.53</v>
      </c>
    </row>
    <row r="9886" s="76" customFormat="1" spans="1:6">
      <c r="A9886">
        <v>10164</v>
      </c>
      <c r="B9886">
        <v>452018270</v>
      </c>
      <c r="C9886" s="76">
        <v>2018</v>
      </c>
      <c r="D9886" s="76" t="s">
        <v>31</v>
      </c>
      <c r="E9886" s="76" t="s">
        <v>32</v>
      </c>
      <c r="F9886" s="76">
        <v>2</v>
      </c>
    </row>
    <row r="9887" s="76" customFormat="1" spans="1:6">
      <c r="A9887">
        <v>10161</v>
      </c>
      <c r="B9887">
        <v>452018270</v>
      </c>
      <c r="C9887" s="76">
        <v>2018</v>
      </c>
      <c r="D9887" s="76" t="s">
        <v>31</v>
      </c>
      <c r="E9887" s="76" t="s">
        <v>32</v>
      </c>
      <c r="F9887" s="76">
        <v>2</v>
      </c>
    </row>
    <row r="9888" s="76" customFormat="1" spans="1:6">
      <c r="A9888">
        <v>10157</v>
      </c>
      <c r="B9888">
        <v>452018270</v>
      </c>
      <c r="C9888" s="76">
        <v>2018</v>
      </c>
      <c r="D9888" s="76" t="s">
        <v>31</v>
      </c>
      <c r="E9888" s="76" t="s">
        <v>32</v>
      </c>
      <c r="F9888" s="76">
        <v>2.1</v>
      </c>
    </row>
    <row r="9889" s="76" customFormat="1" spans="1:6">
      <c r="A9889">
        <v>10162</v>
      </c>
      <c r="B9889">
        <v>452018270</v>
      </c>
      <c r="C9889" s="76">
        <v>2018</v>
      </c>
      <c r="D9889" s="76" t="s">
        <v>31</v>
      </c>
      <c r="E9889" s="76" t="s">
        <v>32</v>
      </c>
      <c r="F9889" s="76">
        <v>0.58</v>
      </c>
    </row>
    <row r="9890" s="76" customFormat="1" spans="1:6">
      <c r="A9890">
        <v>10167</v>
      </c>
      <c r="B9890">
        <v>452018270</v>
      </c>
      <c r="C9890" s="76">
        <v>2018</v>
      </c>
      <c r="D9890" s="76" t="s">
        <v>31</v>
      </c>
      <c r="E9890" s="76" t="s">
        <v>32</v>
      </c>
      <c r="F9890" s="76">
        <v>1.8</v>
      </c>
    </row>
    <row r="9891" s="76" customFormat="1" spans="1:6">
      <c r="A9891">
        <v>10168</v>
      </c>
      <c r="B9891">
        <v>452018270</v>
      </c>
      <c r="C9891" s="76">
        <v>2018</v>
      </c>
      <c r="D9891" s="76" t="s">
        <v>31</v>
      </c>
      <c r="E9891" s="76" t="s">
        <v>32</v>
      </c>
      <c r="F9891" s="76">
        <v>3</v>
      </c>
    </row>
    <row r="9892" s="76" customFormat="1" spans="1:6">
      <c r="A9892">
        <v>10163</v>
      </c>
      <c r="B9892">
        <v>452018270</v>
      </c>
      <c r="C9892" s="76">
        <v>2018</v>
      </c>
      <c r="D9892" s="76" t="s">
        <v>31</v>
      </c>
      <c r="E9892" s="76" t="s">
        <v>32</v>
      </c>
      <c r="F9892" s="76">
        <v>4.5</v>
      </c>
    </row>
    <row r="9893" s="76" customFormat="1" spans="1:6">
      <c r="A9893">
        <v>10165</v>
      </c>
      <c r="B9893">
        <v>452018270</v>
      </c>
      <c r="C9893" s="76">
        <v>2018</v>
      </c>
      <c r="D9893" s="76" t="s">
        <v>31</v>
      </c>
      <c r="E9893" s="76" t="s">
        <v>32</v>
      </c>
      <c r="F9893" s="76">
        <v>0.1</v>
      </c>
    </row>
    <row r="9894" s="76" customFormat="1" spans="1:6">
      <c r="A9894">
        <v>10158</v>
      </c>
      <c r="B9894">
        <v>452018270</v>
      </c>
      <c r="C9894" s="76">
        <v>2018</v>
      </c>
      <c r="D9894" s="76" t="s">
        <v>31</v>
      </c>
      <c r="E9894" s="76" t="s">
        <v>32</v>
      </c>
      <c r="F9894" s="76">
        <v>3.7</v>
      </c>
    </row>
    <row r="9895" s="76" customFormat="1" spans="1:6">
      <c r="A9895">
        <v>10171</v>
      </c>
      <c r="B9895">
        <v>452018270</v>
      </c>
      <c r="C9895" s="76">
        <v>2018</v>
      </c>
      <c r="D9895" s="76" t="s">
        <v>31</v>
      </c>
      <c r="E9895" s="76" t="s">
        <v>32</v>
      </c>
      <c r="F9895" s="76">
        <v>2</v>
      </c>
    </row>
    <row r="9896" s="76" customFormat="1" spans="1:6">
      <c r="A9896">
        <v>10159</v>
      </c>
      <c r="B9896">
        <v>452018270</v>
      </c>
      <c r="C9896" s="76">
        <v>2018</v>
      </c>
      <c r="D9896" s="76" t="s">
        <v>31</v>
      </c>
      <c r="E9896" s="76" t="s">
        <v>32</v>
      </c>
      <c r="F9896" s="76">
        <v>0.6</v>
      </c>
    </row>
    <row r="9897" s="76" customFormat="1" spans="1:6">
      <c r="A9897">
        <v>10174</v>
      </c>
      <c r="B9897">
        <v>452019110</v>
      </c>
      <c r="C9897" s="76">
        <v>2019</v>
      </c>
      <c r="D9897" s="76" t="s">
        <v>40</v>
      </c>
      <c r="E9897" s="76">
        <v>4</v>
      </c>
      <c r="F9897" s="76">
        <v>3.84</v>
      </c>
    </row>
    <row r="9898" s="76" customFormat="1" spans="1:6">
      <c r="A9898">
        <v>10173</v>
      </c>
      <c r="B9898">
        <v>452019110</v>
      </c>
      <c r="C9898" s="76">
        <v>2019</v>
      </c>
      <c r="D9898" s="76" t="s">
        <v>40</v>
      </c>
      <c r="E9898" s="76">
        <v>3</v>
      </c>
      <c r="F9898" s="76">
        <v>23</v>
      </c>
    </row>
    <row r="9899" s="76" customFormat="1" spans="1:6">
      <c r="A9899">
        <v>10175</v>
      </c>
      <c r="B9899">
        <v>452019110</v>
      </c>
      <c r="C9899" s="76">
        <v>2019</v>
      </c>
      <c r="D9899" s="76" t="s">
        <v>40</v>
      </c>
      <c r="E9899" s="76">
        <v>2</v>
      </c>
      <c r="F9899" s="76">
        <v>2</v>
      </c>
    </row>
    <row r="9900" s="76" customFormat="1" spans="1:6">
      <c r="A9900">
        <v>10176</v>
      </c>
      <c r="B9900">
        <v>452019242</v>
      </c>
      <c r="C9900" s="76">
        <v>2019</v>
      </c>
      <c r="D9900" s="76" t="s">
        <v>35</v>
      </c>
      <c r="E9900" s="76">
        <v>1</v>
      </c>
      <c r="F9900" s="76">
        <v>3.5</v>
      </c>
    </row>
    <row r="9901" s="76" customFormat="1" spans="1:6">
      <c r="A9901">
        <v>10177</v>
      </c>
      <c r="B9901">
        <v>452019242</v>
      </c>
      <c r="C9901" s="76">
        <v>2019</v>
      </c>
      <c r="D9901" s="76" t="s">
        <v>35</v>
      </c>
      <c r="E9901" s="76">
        <v>1</v>
      </c>
      <c r="F9901" s="76">
        <v>1.2</v>
      </c>
    </row>
    <row r="9902" s="76" customFormat="1" spans="1:6">
      <c r="A9902">
        <v>10179</v>
      </c>
      <c r="B9902">
        <v>452019243</v>
      </c>
      <c r="C9902" s="76">
        <v>2019</v>
      </c>
      <c r="D9902" s="76" t="s">
        <v>38</v>
      </c>
      <c r="E9902" s="76">
        <v>1</v>
      </c>
      <c r="F9902" s="76">
        <v>2.7</v>
      </c>
    </row>
    <row r="9903" s="76" customFormat="1" spans="1:6">
      <c r="A9903">
        <v>10178</v>
      </c>
      <c r="B9903">
        <v>452019243</v>
      </c>
      <c r="C9903" s="76">
        <v>2019</v>
      </c>
      <c r="D9903" s="76" t="s">
        <v>38</v>
      </c>
      <c r="E9903" s="76">
        <v>1</v>
      </c>
      <c r="F9903" s="76">
        <v>4</v>
      </c>
    </row>
    <row r="9904" s="76" customFormat="1" spans="1:6">
      <c r="A9904">
        <v>10186</v>
      </c>
      <c r="B9904">
        <v>452019260</v>
      </c>
      <c r="C9904" s="76">
        <v>2019</v>
      </c>
      <c r="D9904" s="76" t="s">
        <v>34</v>
      </c>
      <c r="E9904" s="76">
        <v>11</v>
      </c>
      <c r="F9904" s="76">
        <v>2.2</v>
      </c>
    </row>
    <row r="9905" s="76" customFormat="1" spans="1:6">
      <c r="A9905">
        <v>10187</v>
      </c>
      <c r="B9905">
        <v>452019260</v>
      </c>
      <c r="C9905" s="76">
        <v>2019</v>
      </c>
      <c r="D9905" s="76" t="s">
        <v>34</v>
      </c>
      <c r="E9905" s="76">
        <v>133</v>
      </c>
      <c r="F9905" s="76">
        <v>19.95</v>
      </c>
    </row>
    <row r="9906" s="76" customFormat="1" spans="1:6">
      <c r="A9906">
        <v>10188</v>
      </c>
      <c r="B9906">
        <v>452019260</v>
      </c>
      <c r="C9906" s="76">
        <v>2019</v>
      </c>
      <c r="D9906" s="76" t="s">
        <v>34</v>
      </c>
      <c r="E9906" s="76">
        <v>25</v>
      </c>
      <c r="F9906" s="76">
        <v>5</v>
      </c>
    </row>
    <row r="9907" s="76" customFormat="1" spans="1:6">
      <c r="A9907">
        <v>10180</v>
      </c>
      <c r="B9907">
        <v>452019260</v>
      </c>
      <c r="C9907" s="76">
        <v>2019</v>
      </c>
      <c r="D9907" s="76" t="s">
        <v>34</v>
      </c>
      <c r="E9907" s="76">
        <v>14</v>
      </c>
      <c r="F9907" s="76">
        <v>4</v>
      </c>
    </row>
    <row r="9908" s="76" customFormat="1" spans="1:6">
      <c r="A9908">
        <v>10189</v>
      </c>
      <c r="B9908">
        <v>452019260</v>
      </c>
      <c r="C9908" s="76">
        <v>2019</v>
      </c>
      <c r="D9908" s="76" t="s">
        <v>34</v>
      </c>
      <c r="E9908" s="76">
        <v>25</v>
      </c>
      <c r="F9908" s="76">
        <v>5</v>
      </c>
    </row>
    <row r="9909" s="76" customFormat="1" spans="1:6">
      <c r="A9909">
        <v>10190</v>
      </c>
      <c r="B9909">
        <v>452019260</v>
      </c>
      <c r="C9909" s="76">
        <v>2019</v>
      </c>
      <c r="D9909" s="76" t="s">
        <v>34</v>
      </c>
      <c r="E9909" s="76">
        <v>30</v>
      </c>
      <c r="F9909" s="76">
        <v>6</v>
      </c>
    </row>
    <row r="9910" s="76" customFormat="1" spans="1:6">
      <c r="A9910">
        <v>10191</v>
      </c>
      <c r="B9910">
        <v>452019260</v>
      </c>
      <c r="C9910" s="76">
        <v>2019</v>
      </c>
      <c r="D9910" s="76" t="s">
        <v>34</v>
      </c>
      <c r="E9910" s="76">
        <v>30</v>
      </c>
      <c r="F9910" s="76">
        <v>6</v>
      </c>
    </row>
    <row r="9911" s="76" customFormat="1" spans="1:6">
      <c r="A9911">
        <v>10182</v>
      </c>
      <c r="B9911">
        <v>452019260</v>
      </c>
      <c r="C9911" s="76">
        <v>2019</v>
      </c>
      <c r="D9911" s="76" t="s">
        <v>34</v>
      </c>
      <c r="E9911" s="76">
        <v>25</v>
      </c>
      <c r="F9911" s="76">
        <v>5</v>
      </c>
    </row>
    <row r="9912" s="76" customFormat="1" spans="1:6">
      <c r="A9912">
        <v>10181</v>
      </c>
      <c r="B9912">
        <v>452019260</v>
      </c>
      <c r="C9912" s="76">
        <v>2019</v>
      </c>
      <c r="D9912" s="76" t="s">
        <v>34</v>
      </c>
      <c r="E9912" s="76">
        <v>44</v>
      </c>
      <c r="F9912" s="76">
        <v>9.68</v>
      </c>
    </row>
    <row r="9913" s="76" customFormat="1" spans="1:6">
      <c r="A9913">
        <v>10185</v>
      </c>
      <c r="B9913">
        <v>452019260</v>
      </c>
      <c r="C9913" s="76">
        <v>2019</v>
      </c>
      <c r="D9913" s="76" t="s">
        <v>34</v>
      </c>
      <c r="E9913" s="76">
        <v>20</v>
      </c>
      <c r="F9913" s="76">
        <v>5</v>
      </c>
    </row>
    <row r="9914" s="76" customFormat="1" spans="1:6">
      <c r="A9914">
        <v>10192</v>
      </c>
      <c r="B9914">
        <v>452019260</v>
      </c>
      <c r="C9914" s="76">
        <v>2019</v>
      </c>
      <c r="D9914" s="76" t="s">
        <v>34</v>
      </c>
      <c r="E9914" s="76">
        <v>20</v>
      </c>
      <c r="F9914" s="76">
        <v>6.4</v>
      </c>
    </row>
    <row r="9915" s="76" customFormat="1" spans="1:6">
      <c r="A9915">
        <v>10184</v>
      </c>
      <c r="B9915">
        <v>452019260</v>
      </c>
      <c r="C9915" s="76">
        <v>2019</v>
      </c>
      <c r="D9915" s="76" t="s">
        <v>34</v>
      </c>
      <c r="E9915" s="76">
        <v>27</v>
      </c>
      <c r="F9915" s="76">
        <v>6</v>
      </c>
    </row>
    <row r="9916" s="76" customFormat="1" spans="1:6">
      <c r="A9916">
        <v>10183</v>
      </c>
      <c r="B9916">
        <v>452019260</v>
      </c>
      <c r="C9916" s="76">
        <v>2019</v>
      </c>
      <c r="D9916" s="76" t="s">
        <v>34</v>
      </c>
      <c r="E9916" s="76">
        <v>24</v>
      </c>
      <c r="F9916" s="76">
        <v>4.8</v>
      </c>
    </row>
    <row r="9917" s="76" customFormat="1" spans="1:6">
      <c r="A9917">
        <v>10193</v>
      </c>
      <c r="B9917">
        <v>452019260</v>
      </c>
      <c r="C9917" s="76">
        <v>2019</v>
      </c>
      <c r="D9917" s="76" t="s">
        <v>34</v>
      </c>
      <c r="E9917" s="76">
        <v>16</v>
      </c>
      <c r="F9917" s="76">
        <v>5</v>
      </c>
    </row>
    <row r="9918" s="76" customFormat="1" spans="1:6">
      <c r="A9918">
        <v>10197</v>
      </c>
      <c r="B9918">
        <v>452019270</v>
      </c>
      <c r="C9918" s="76">
        <v>2019</v>
      </c>
      <c r="D9918" s="76" t="s">
        <v>31</v>
      </c>
      <c r="E9918" s="76">
        <v>4</v>
      </c>
      <c r="F9918" s="76">
        <v>2.18</v>
      </c>
    </row>
    <row r="9919" s="76" customFormat="1" spans="1:6">
      <c r="A9919">
        <v>10198</v>
      </c>
      <c r="B9919">
        <v>452019270</v>
      </c>
      <c r="C9919" s="76">
        <v>2019</v>
      </c>
      <c r="D9919" s="76" t="s">
        <v>31</v>
      </c>
      <c r="E9919" s="76">
        <v>1</v>
      </c>
      <c r="F9919" s="76">
        <v>2</v>
      </c>
    </row>
    <row r="9920" s="76" customFormat="1" spans="1:6">
      <c r="A9920">
        <v>10196</v>
      </c>
      <c r="B9920">
        <v>452019270</v>
      </c>
      <c r="C9920" s="76">
        <v>2019</v>
      </c>
      <c r="D9920" s="76" t="s">
        <v>31</v>
      </c>
      <c r="E9920" s="76">
        <v>1</v>
      </c>
      <c r="F9920" s="76">
        <v>2</v>
      </c>
    </row>
    <row r="9921" s="76" customFormat="1" spans="1:6">
      <c r="A9921">
        <v>10194</v>
      </c>
      <c r="B9921">
        <v>452019270</v>
      </c>
      <c r="C9921" s="76">
        <v>2019</v>
      </c>
      <c r="D9921" s="76" t="s">
        <v>31</v>
      </c>
      <c r="E9921" s="76">
        <v>2</v>
      </c>
      <c r="F9921" s="76">
        <v>1.9</v>
      </c>
    </row>
    <row r="9922" s="76" customFormat="1" spans="1:6">
      <c r="A9922">
        <v>10195</v>
      </c>
      <c r="B9922">
        <v>452019270</v>
      </c>
      <c r="C9922" s="76">
        <v>2019</v>
      </c>
      <c r="D9922" s="76" t="s">
        <v>31</v>
      </c>
      <c r="E9922" s="76">
        <v>1</v>
      </c>
      <c r="F9922" s="76">
        <v>1.5</v>
      </c>
    </row>
    <row r="9923" s="76" customFormat="1" spans="1:6">
      <c r="A9923">
        <v>10202</v>
      </c>
      <c r="B9923">
        <v>452020110</v>
      </c>
      <c r="C9923" s="76">
        <v>2020</v>
      </c>
      <c r="D9923" s="76" t="s">
        <v>40</v>
      </c>
      <c r="E9923" s="76">
        <v>1</v>
      </c>
      <c r="F9923" s="76">
        <v>0.7</v>
      </c>
    </row>
    <row r="9924" s="76" customFormat="1" spans="1:6">
      <c r="A9924">
        <v>10204</v>
      </c>
      <c r="B9924">
        <v>452020110</v>
      </c>
      <c r="C9924" s="76">
        <v>2020</v>
      </c>
      <c r="D9924" s="76" t="s">
        <v>40</v>
      </c>
      <c r="E9924" s="76">
        <v>3</v>
      </c>
      <c r="F9924" s="76">
        <v>5.2</v>
      </c>
    </row>
    <row r="9925" s="76" customFormat="1" spans="1:6">
      <c r="A9925">
        <v>10205</v>
      </c>
      <c r="B9925">
        <v>452020110</v>
      </c>
      <c r="C9925" s="76">
        <v>2020</v>
      </c>
      <c r="D9925" s="76" t="s">
        <v>40</v>
      </c>
      <c r="E9925" s="76">
        <v>3</v>
      </c>
      <c r="F9925" s="76">
        <v>60</v>
      </c>
    </row>
    <row r="9926" s="76" customFormat="1" spans="1:6">
      <c r="A9926">
        <v>10199</v>
      </c>
      <c r="B9926">
        <v>452020110</v>
      </c>
      <c r="C9926" s="76">
        <v>2020</v>
      </c>
      <c r="D9926" s="76" t="s">
        <v>40</v>
      </c>
      <c r="E9926" s="76">
        <v>1</v>
      </c>
      <c r="F9926" s="76">
        <v>2.4</v>
      </c>
    </row>
    <row r="9927" s="76" customFormat="1" spans="1:6">
      <c r="A9927">
        <v>10201</v>
      </c>
      <c r="B9927">
        <v>452020110</v>
      </c>
      <c r="C9927" s="76">
        <v>2020</v>
      </c>
      <c r="D9927" s="76" t="s">
        <v>40</v>
      </c>
      <c r="E9927" s="76">
        <v>1</v>
      </c>
      <c r="F9927" s="76">
        <v>0.02</v>
      </c>
    </row>
    <row r="9928" s="76" customFormat="1" spans="1:6">
      <c r="A9928">
        <v>10203</v>
      </c>
      <c r="B9928">
        <v>452020110</v>
      </c>
      <c r="C9928" s="76">
        <v>2020</v>
      </c>
      <c r="D9928" s="76" t="s">
        <v>40</v>
      </c>
      <c r="E9928" s="76">
        <v>1</v>
      </c>
      <c r="F9928" s="76">
        <v>0.96</v>
      </c>
    </row>
    <row r="9929" s="76" customFormat="1" spans="1:6">
      <c r="A9929">
        <v>10200</v>
      </c>
      <c r="B9929">
        <v>452020110</v>
      </c>
      <c r="C9929" s="76">
        <v>2020</v>
      </c>
      <c r="D9929" s="76" t="s">
        <v>40</v>
      </c>
      <c r="E9929" s="76">
        <v>1</v>
      </c>
      <c r="F9929" s="76">
        <v>0.16</v>
      </c>
    </row>
    <row r="9930" s="76" customFormat="1" spans="1:6">
      <c r="A9930">
        <v>10206</v>
      </c>
      <c r="B9930">
        <v>452020211</v>
      </c>
      <c r="C9930" s="76">
        <v>2020</v>
      </c>
      <c r="D9930" s="76" t="s">
        <v>37</v>
      </c>
      <c r="E9930" s="76">
        <v>1</v>
      </c>
      <c r="F9930" s="76">
        <v>1.5</v>
      </c>
    </row>
    <row r="9931" s="76" customFormat="1" spans="1:6">
      <c r="A9931">
        <v>10207</v>
      </c>
      <c r="B9931">
        <v>452020221</v>
      </c>
      <c r="C9931" s="76">
        <v>2020</v>
      </c>
      <c r="D9931" s="76" t="s">
        <v>30</v>
      </c>
      <c r="E9931" s="76">
        <v>2</v>
      </c>
      <c r="F9931" s="76">
        <v>15</v>
      </c>
    </row>
    <row r="9932" s="76" customFormat="1" spans="1:6">
      <c r="A9932">
        <v>10208</v>
      </c>
      <c r="B9932">
        <v>452020241</v>
      </c>
      <c r="C9932" s="76">
        <v>2020</v>
      </c>
      <c r="D9932" s="76" t="s">
        <v>33</v>
      </c>
      <c r="E9932" s="76">
        <v>2</v>
      </c>
      <c r="F9932" s="76">
        <v>10</v>
      </c>
    </row>
    <row r="9933" s="76" customFormat="1" spans="1:6">
      <c r="A9933">
        <v>10209</v>
      </c>
      <c r="B9933">
        <v>452020242</v>
      </c>
      <c r="C9933" s="76">
        <v>2020</v>
      </c>
      <c r="D9933" s="76" t="s">
        <v>35</v>
      </c>
      <c r="E9933" s="76">
        <v>1</v>
      </c>
      <c r="F9933" s="76">
        <v>0.6</v>
      </c>
    </row>
    <row r="9934" s="76" customFormat="1" spans="1:6">
      <c r="A9934">
        <v>10211</v>
      </c>
      <c r="B9934">
        <v>452020242</v>
      </c>
      <c r="C9934" s="76">
        <v>2020</v>
      </c>
      <c r="D9934" s="76" t="s">
        <v>35</v>
      </c>
      <c r="E9934" s="76">
        <v>1</v>
      </c>
      <c r="F9934" s="76">
        <v>2.5</v>
      </c>
    </row>
    <row r="9935" s="76" customFormat="1" spans="1:6">
      <c r="A9935">
        <v>10210</v>
      </c>
      <c r="B9935">
        <v>452020242</v>
      </c>
      <c r="C9935" s="76">
        <v>2020</v>
      </c>
      <c r="D9935" s="76" t="s">
        <v>35</v>
      </c>
      <c r="E9935" s="76">
        <v>1</v>
      </c>
      <c r="F9935" s="76">
        <v>3</v>
      </c>
    </row>
    <row r="9936" s="76" customFormat="1" spans="1:6">
      <c r="A9936">
        <v>10215</v>
      </c>
      <c r="B9936">
        <v>452020243</v>
      </c>
      <c r="C9936" s="76">
        <v>2020</v>
      </c>
      <c r="D9936" s="76" t="s">
        <v>38</v>
      </c>
      <c r="E9936" s="76">
        <v>1</v>
      </c>
      <c r="F9936" s="76">
        <v>0.15</v>
      </c>
    </row>
    <row r="9937" s="76" customFormat="1" spans="1:6">
      <c r="A9937">
        <v>10212</v>
      </c>
      <c r="B9937">
        <v>452020243</v>
      </c>
      <c r="C9937" s="76">
        <v>2020</v>
      </c>
      <c r="D9937" s="76" t="s">
        <v>38</v>
      </c>
      <c r="E9937" s="76">
        <v>1</v>
      </c>
      <c r="F9937" s="76">
        <v>3</v>
      </c>
    </row>
    <row r="9938" s="76" customFormat="1" spans="1:6">
      <c r="A9938">
        <v>10217</v>
      </c>
      <c r="B9938">
        <v>452020243</v>
      </c>
      <c r="C9938" s="76">
        <v>2020</v>
      </c>
      <c r="D9938" s="76" t="s">
        <v>38</v>
      </c>
      <c r="E9938" s="76">
        <v>1</v>
      </c>
      <c r="F9938" s="76">
        <v>4</v>
      </c>
    </row>
    <row r="9939" s="76" customFormat="1" spans="1:6">
      <c r="A9939">
        <v>10214</v>
      </c>
      <c r="B9939">
        <v>452020243</v>
      </c>
      <c r="C9939" s="76">
        <v>2020</v>
      </c>
      <c r="D9939" s="76" t="s">
        <v>38</v>
      </c>
      <c r="E9939" s="76">
        <v>1</v>
      </c>
      <c r="F9939" s="76">
        <v>4</v>
      </c>
    </row>
    <row r="9940" s="76" customFormat="1" spans="1:6">
      <c r="A9940">
        <v>10213</v>
      </c>
      <c r="B9940">
        <v>452020243</v>
      </c>
      <c r="C9940" s="76">
        <v>2020</v>
      </c>
      <c r="D9940" s="76" t="s">
        <v>38</v>
      </c>
      <c r="E9940" s="76">
        <v>1</v>
      </c>
      <c r="F9940" s="76">
        <v>2.5</v>
      </c>
    </row>
    <row r="9941" s="76" customFormat="1" spans="1:6">
      <c r="A9941">
        <v>10216</v>
      </c>
      <c r="B9941">
        <v>452020243</v>
      </c>
      <c r="C9941" s="76">
        <v>2020</v>
      </c>
      <c r="D9941" s="76" t="s">
        <v>38</v>
      </c>
      <c r="E9941" s="76">
        <v>1</v>
      </c>
      <c r="F9941" s="76">
        <v>2.5</v>
      </c>
    </row>
    <row r="9942" s="76" customFormat="1" spans="1:6">
      <c r="A9942">
        <v>10219</v>
      </c>
      <c r="B9942">
        <v>452020260</v>
      </c>
      <c r="C9942" s="76">
        <v>2020</v>
      </c>
      <c r="D9942" s="76" t="s">
        <v>34</v>
      </c>
      <c r="E9942" s="76">
        <v>14</v>
      </c>
      <c r="F9942" s="76">
        <v>3.08</v>
      </c>
    </row>
    <row r="9943" s="76" customFormat="1" spans="1:6">
      <c r="A9943">
        <v>10243</v>
      </c>
      <c r="B9943">
        <v>452020260</v>
      </c>
      <c r="C9943" s="76">
        <v>2020</v>
      </c>
      <c r="D9943" s="76" t="s">
        <v>34</v>
      </c>
      <c r="E9943" s="76">
        <v>39</v>
      </c>
      <c r="F9943" s="76">
        <v>7.8</v>
      </c>
    </row>
    <row r="9944" s="76" customFormat="1" spans="1:6">
      <c r="A9944">
        <v>10221</v>
      </c>
      <c r="B9944">
        <v>452020260</v>
      </c>
      <c r="C9944" s="76">
        <v>2020</v>
      </c>
      <c r="D9944" s="76" t="s">
        <v>34</v>
      </c>
      <c r="E9944" s="76">
        <v>6</v>
      </c>
      <c r="F9944" s="76">
        <v>1.46</v>
      </c>
    </row>
    <row r="9945" s="76" customFormat="1" spans="1:6">
      <c r="A9945">
        <v>10218</v>
      </c>
      <c r="B9945">
        <v>452020260</v>
      </c>
      <c r="C9945" s="76">
        <v>2020</v>
      </c>
      <c r="D9945" s="76" t="s">
        <v>34</v>
      </c>
      <c r="E9945" s="76">
        <v>1</v>
      </c>
      <c r="F9945" s="76">
        <v>1.5</v>
      </c>
    </row>
    <row r="9946" s="76" customFormat="1" spans="1:6">
      <c r="A9946">
        <v>10282</v>
      </c>
      <c r="B9946">
        <v>452020260</v>
      </c>
      <c r="C9946" s="76">
        <v>2020</v>
      </c>
      <c r="D9946" s="76" t="s">
        <v>34</v>
      </c>
      <c r="E9946" s="76">
        <v>9</v>
      </c>
      <c r="F9946" s="76">
        <v>2.88</v>
      </c>
    </row>
    <row r="9947" s="76" customFormat="1" spans="1:6">
      <c r="A9947">
        <v>10220</v>
      </c>
      <c r="B9947">
        <v>452020260</v>
      </c>
      <c r="C9947" s="76">
        <v>2020</v>
      </c>
      <c r="D9947" s="76" t="s">
        <v>34</v>
      </c>
      <c r="E9947" s="76">
        <v>3</v>
      </c>
      <c r="F9947" s="76">
        <v>2</v>
      </c>
    </row>
    <row r="9948" s="76" customFormat="1" spans="1:6">
      <c r="A9948">
        <v>10240</v>
      </c>
      <c r="B9948">
        <v>452020260</v>
      </c>
      <c r="C9948" s="76">
        <v>2020</v>
      </c>
      <c r="D9948" s="76" t="s">
        <v>34</v>
      </c>
      <c r="E9948" s="76">
        <v>3</v>
      </c>
      <c r="F9948" s="76">
        <v>0.75</v>
      </c>
    </row>
    <row r="9949" s="76" customFormat="1" spans="1:6">
      <c r="A9949">
        <v>10264</v>
      </c>
      <c r="B9949">
        <v>452020260</v>
      </c>
      <c r="C9949" s="76">
        <v>2020</v>
      </c>
      <c r="D9949" s="76" t="s">
        <v>34</v>
      </c>
      <c r="E9949" s="76">
        <v>38</v>
      </c>
      <c r="F9949" s="76">
        <v>7.6</v>
      </c>
    </row>
    <row r="9950" s="76" customFormat="1" spans="1:6">
      <c r="A9950">
        <v>10223</v>
      </c>
      <c r="B9950">
        <v>452020260</v>
      </c>
      <c r="C9950" s="76">
        <v>2020</v>
      </c>
      <c r="D9950" s="76" t="s">
        <v>34</v>
      </c>
      <c r="E9950" s="76">
        <v>5</v>
      </c>
      <c r="F9950" s="76">
        <v>7.94</v>
      </c>
    </row>
    <row r="9951" s="76" customFormat="1" spans="1:6">
      <c r="A9951">
        <v>10245</v>
      </c>
      <c r="B9951">
        <v>452020260</v>
      </c>
      <c r="C9951" s="76">
        <v>2020</v>
      </c>
      <c r="D9951" s="76" t="s">
        <v>34</v>
      </c>
      <c r="E9951" s="76">
        <v>1</v>
      </c>
      <c r="F9951" s="76">
        <v>5</v>
      </c>
    </row>
    <row r="9952" s="76" customFormat="1" spans="1:6">
      <c r="A9952">
        <v>10232</v>
      </c>
      <c r="B9952">
        <v>452020260</v>
      </c>
      <c r="C9952" s="76">
        <v>2020</v>
      </c>
      <c r="D9952" s="76" t="s">
        <v>34</v>
      </c>
      <c r="E9952" s="76">
        <v>6</v>
      </c>
      <c r="F9952" s="76">
        <v>4.8</v>
      </c>
    </row>
    <row r="9953" s="76" customFormat="1" spans="1:6">
      <c r="A9953">
        <v>10272</v>
      </c>
      <c r="B9953">
        <v>452020260</v>
      </c>
      <c r="C9953" s="76">
        <v>2020</v>
      </c>
      <c r="D9953" s="76" t="s">
        <v>34</v>
      </c>
      <c r="E9953" s="76">
        <v>24</v>
      </c>
      <c r="F9953" s="76">
        <v>5</v>
      </c>
    </row>
    <row r="9954" s="76" customFormat="1" spans="1:6">
      <c r="A9954">
        <v>10251</v>
      </c>
      <c r="B9954">
        <v>452020260</v>
      </c>
      <c r="C9954" s="76">
        <v>2020</v>
      </c>
      <c r="D9954" s="76" t="s">
        <v>34</v>
      </c>
      <c r="E9954" s="76">
        <v>40</v>
      </c>
      <c r="F9954" s="76">
        <v>10</v>
      </c>
    </row>
    <row r="9955" s="76" customFormat="1" spans="1:6">
      <c r="A9955">
        <v>10257</v>
      </c>
      <c r="B9955">
        <v>452020260</v>
      </c>
      <c r="C9955" s="76">
        <v>2020</v>
      </c>
      <c r="D9955" s="76" t="s">
        <v>34</v>
      </c>
      <c r="E9955" s="76">
        <v>20</v>
      </c>
      <c r="F9955" s="76">
        <v>4.2</v>
      </c>
    </row>
    <row r="9956" s="76" customFormat="1" spans="1:6">
      <c r="A9956">
        <v>10246</v>
      </c>
      <c r="B9956">
        <v>452020260</v>
      </c>
      <c r="C9956" s="76">
        <v>2020</v>
      </c>
      <c r="D9956" s="76" t="s">
        <v>34</v>
      </c>
      <c r="E9956" s="76">
        <v>25</v>
      </c>
      <c r="F9956" s="76">
        <v>5</v>
      </c>
    </row>
    <row r="9957" s="76" customFormat="1" spans="1:6">
      <c r="A9957">
        <v>10244</v>
      </c>
      <c r="B9957">
        <v>452020260</v>
      </c>
      <c r="C9957" s="76">
        <v>2020</v>
      </c>
      <c r="D9957" s="76" t="s">
        <v>34</v>
      </c>
      <c r="E9957" s="76">
        <v>15</v>
      </c>
      <c r="F9957" s="76">
        <v>4.8</v>
      </c>
    </row>
    <row r="9958" s="76" customFormat="1" spans="1:6">
      <c r="A9958">
        <v>10226</v>
      </c>
      <c r="B9958">
        <v>452020260</v>
      </c>
      <c r="C9958" s="76">
        <v>2020</v>
      </c>
      <c r="D9958" s="76" t="s">
        <v>34</v>
      </c>
      <c r="E9958" s="76">
        <v>25</v>
      </c>
      <c r="F9958" s="76">
        <v>5</v>
      </c>
    </row>
    <row r="9959" s="76" customFormat="1" spans="1:6">
      <c r="A9959">
        <v>10267</v>
      </c>
      <c r="B9959">
        <v>452020260</v>
      </c>
      <c r="C9959" s="76">
        <v>2020</v>
      </c>
      <c r="D9959" s="76" t="s">
        <v>34</v>
      </c>
      <c r="E9959" s="76">
        <v>20</v>
      </c>
      <c r="F9959" s="76">
        <v>8</v>
      </c>
    </row>
    <row r="9960" s="76" customFormat="1" spans="1:6">
      <c r="A9960">
        <v>10271</v>
      </c>
      <c r="B9960">
        <v>452020260</v>
      </c>
      <c r="C9960" s="76">
        <v>2020</v>
      </c>
      <c r="D9960" s="76" t="s">
        <v>34</v>
      </c>
      <c r="E9960" s="76">
        <v>1</v>
      </c>
      <c r="F9960" s="76">
        <v>0.75</v>
      </c>
    </row>
    <row r="9961" s="76" customFormat="1" spans="1:6">
      <c r="A9961">
        <v>10276</v>
      </c>
      <c r="B9961">
        <v>452020260</v>
      </c>
      <c r="C9961" s="76">
        <v>2020</v>
      </c>
      <c r="D9961" s="76" t="s">
        <v>34</v>
      </c>
      <c r="E9961" s="76">
        <v>19</v>
      </c>
      <c r="F9961" s="76">
        <v>6</v>
      </c>
    </row>
    <row r="9962" s="76" customFormat="1" spans="1:6">
      <c r="A9962">
        <v>10229</v>
      </c>
      <c r="B9962">
        <v>452020260</v>
      </c>
      <c r="C9962" s="76">
        <v>2020</v>
      </c>
      <c r="D9962" s="76" t="s">
        <v>34</v>
      </c>
      <c r="E9962" s="76">
        <v>1</v>
      </c>
      <c r="F9962" s="76">
        <v>16</v>
      </c>
    </row>
    <row r="9963" s="76" customFormat="1" spans="1:6">
      <c r="A9963">
        <v>10225</v>
      </c>
      <c r="B9963">
        <v>452020260</v>
      </c>
      <c r="C9963" s="76">
        <v>2020</v>
      </c>
      <c r="D9963" s="76" t="s">
        <v>34</v>
      </c>
      <c r="E9963" s="76">
        <v>22</v>
      </c>
      <c r="F9963" s="76">
        <v>4.84</v>
      </c>
    </row>
    <row r="9964" s="76" customFormat="1" spans="1:6">
      <c r="A9964">
        <v>10275</v>
      </c>
      <c r="B9964">
        <v>452020260</v>
      </c>
      <c r="C9964" s="76">
        <v>2020</v>
      </c>
      <c r="D9964" s="76" t="s">
        <v>34</v>
      </c>
      <c r="E9964" s="76">
        <v>35</v>
      </c>
      <c r="F9964" s="76">
        <v>10</v>
      </c>
    </row>
    <row r="9965" s="76" customFormat="1" spans="1:6">
      <c r="A9965">
        <v>10260</v>
      </c>
      <c r="B9965">
        <v>452020260</v>
      </c>
      <c r="C9965" s="76">
        <v>2020</v>
      </c>
      <c r="D9965" s="76" t="s">
        <v>34</v>
      </c>
      <c r="E9965" s="76">
        <v>17</v>
      </c>
      <c r="F9965" s="76">
        <v>4.9</v>
      </c>
    </row>
    <row r="9966" s="76" customFormat="1" spans="1:6">
      <c r="A9966">
        <v>10274</v>
      </c>
      <c r="B9966">
        <v>452020260</v>
      </c>
      <c r="C9966" s="76">
        <v>2020</v>
      </c>
      <c r="D9966" s="76" t="s">
        <v>34</v>
      </c>
      <c r="E9966" s="76">
        <v>30</v>
      </c>
      <c r="F9966" s="76">
        <v>6</v>
      </c>
    </row>
    <row r="9967" s="76" customFormat="1" spans="1:6">
      <c r="A9967">
        <v>10250</v>
      </c>
      <c r="B9967">
        <v>452020260</v>
      </c>
      <c r="C9967" s="76">
        <v>2020</v>
      </c>
      <c r="D9967" s="76" t="s">
        <v>34</v>
      </c>
      <c r="E9967" s="76">
        <v>22</v>
      </c>
      <c r="F9967" s="76">
        <v>7.04</v>
      </c>
    </row>
    <row r="9968" s="76" customFormat="1" spans="1:6">
      <c r="A9968">
        <v>10277</v>
      </c>
      <c r="B9968">
        <v>452020260</v>
      </c>
      <c r="C9968" s="76">
        <v>2020</v>
      </c>
      <c r="D9968" s="76" t="s">
        <v>34</v>
      </c>
      <c r="E9968" s="76">
        <v>23</v>
      </c>
      <c r="F9968" s="76">
        <v>6.1</v>
      </c>
    </row>
    <row r="9969" s="76" customFormat="1" spans="1:6">
      <c r="A9969">
        <v>10279</v>
      </c>
      <c r="B9969">
        <v>452020260</v>
      </c>
      <c r="C9969" s="76">
        <v>2020</v>
      </c>
      <c r="D9969" s="76" t="s">
        <v>34</v>
      </c>
      <c r="E9969" s="76">
        <v>20</v>
      </c>
      <c r="F9969" s="76">
        <v>5</v>
      </c>
    </row>
    <row r="9970" s="76" customFormat="1" spans="1:6">
      <c r="A9970">
        <v>10283</v>
      </c>
      <c r="B9970">
        <v>452020260</v>
      </c>
      <c r="C9970" s="76">
        <v>2020</v>
      </c>
      <c r="D9970" s="76" t="s">
        <v>34</v>
      </c>
      <c r="E9970" s="76">
        <v>4</v>
      </c>
      <c r="F9970" s="76">
        <v>1.2</v>
      </c>
    </row>
    <row r="9971" s="76" customFormat="1" spans="1:6">
      <c r="A9971">
        <v>10224</v>
      </c>
      <c r="B9971">
        <v>452020260</v>
      </c>
      <c r="C9971" s="76">
        <v>2020</v>
      </c>
      <c r="D9971" s="76" t="s">
        <v>34</v>
      </c>
      <c r="E9971" s="76">
        <v>4</v>
      </c>
      <c r="F9971" s="76">
        <v>4.18</v>
      </c>
    </row>
    <row r="9972" s="76" customFormat="1" spans="1:6">
      <c r="A9972">
        <v>10237</v>
      </c>
      <c r="B9972">
        <v>452020260</v>
      </c>
      <c r="C9972" s="76">
        <v>2020</v>
      </c>
      <c r="D9972" s="76" t="s">
        <v>34</v>
      </c>
      <c r="E9972" s="76">
        <v>22</v>
      </c>
      <c r="F9972" s="76">
        <v>4.91</v>
      </c>
    </row>
    <row r="9973" s="76" customFormat="1" spans="1:6">
      <c r="A9973">
        <v>10254</v>
      </c>
      <c r="B9973">
        <v>452020260</v>
      </c>
      <c r="C9973" s="76">
        <v>2020</v>
      </c>
      <c r="D9973" s="76" t="s">
        <v>34</v>
      </c>
      <c r="E9973" s="76">
        <v>40</v>
      </c>
      <c r="F9973" s="76">
        <v>10</v>
      </c>
    </row>
    <row r="9974" s="76" customFormat="1" spans="1:6">
      <c r="A9974">
        <v>10247</v>
      </c>
      <c r="B9974">
        <v>452020260</v>
      </c>
      <c r="C9974" s="76">
        <v>2020</v>
      </c>
      <c r="D9974" s="76" t="s">
        <v>34</v>
      </c>
      <c r="E9974" s="76">
        <v>19</v>
      </c>
      <c r="F9974" s="76">
        <v>6.78</v>
      </c>
    </row>
    <row r="9975" s="76" customFormat="1" spans="1:6">
      <c r="A9975">
        <v>10252</v>
      </c>
      <c r="B9975">
        <v>452020260</v>
      </c>
      <c r="C9975" s="76">
        <v>2020</v>
      </c>
      <c r="D9975" s="76" t="s">
        <v>34</v>
      </c>
      <c r="E9975" s="76">
        <v>7</v>
      </c>
      <c r="F9975" s="76">
        <v>1.4</v>
      </c>
    </row>
    <row r="9976" s="76" customFormat="1" spans="1:6">
      <c r="A9976">
        <v>10270</v>
      </c>
      <c r="B9976">
        <v>452020260</v>
      </c>
      <c r="C9976" s="76">
        <v>2020</v>
      </c>
      <c r="D9976" s="76" t="s">
        <v>34</v>
      </c>
      <c r="E9976" s="76">
        <v>12</v>
      </c>
      <c r="F9976" s="76">
        <v>3.92</v>
      </c>
    </row>
    <row r="9977" s="76" customFormat="1" spans="1:6">
      <c r="A9977">
        <v>10230</v>
      </c>
      <c r="B9977">
        <v>452020260</v>
      </c>
      <c r="C9977" s="76">
        <v>2020</v>
      </c>
      <c r="D9977" s="76" t="s">
        <v>34</v>
      </c>
      <c r="E9977" s="76">
        <v>15</v>
      </c>
      <c r="F9977" s="76">
        <v>4.87</v>
      </c>
    </row>
    <row r="9978" s="76" customFormat="1" spans="1:6">
      <c r="A9978">
        <v>10248</v>
      </c>
      <c r="B9978">
        <v>452020260</v>
      </c>
      <c r="C9978" s="76">
        <v>2020</v>
      </c>
      <c r="D9978" s="76" t="s">
        <v>34</v>
      </c>
      <c r="E9978" s="76">
        <v>29</v>
      </c>
      <c r="F9978" s="76">
        <v>8</v>
      </c>
    </row>
    <row r="9979" s="76" customFormat="1" spans="1:6">
      <c r="A9979">
        <v>10256</v>
      </c>
      <c r="B9979">
        <v>452020260</v>
      </c>
      <c r="C9979" s="76">
        <v>2020</v>
      </c>
      <c r="D9979" s="76" t="s">
        <v>34</v>
      </c>
      <c r="E9979" s="76">
        <v>17</v>
      </c>
      <c r="F9979" s="76">
        <v>5.1</v>
      </c>
    </row>
    <row r="9980" s="76" customFormat="1" spans="1:6">
      <c r="A9980">
        <v>10280</v>
      </c>
      <c r="B9980">
        <v>452020260</v>
      </c>
      <c r="C9980" s="76">
        <v>2020</v>
      </c>
      <c r="D9980" s="76" t="s">
        <v>34</v>
      </c>
      <c r="E9980" s="76">
        <v>13</v>
      </c>
      <c r="F9980" s="76">
        <v>4.16</v>
      </c>
    </row>
    <row r="9981" s="76" customFormat="1" spans="1:6">
      <c r="A9981">
        <v>10278</v>
      </c>
      <c r="B9981">
        <v>452020260</v>
      </c>
      <c r="C9981" s="76">
        <v>2020</v>
      </c>
      <c r="D9981" s="76" t="s">
        <v>34</v>
      </c>
      <c r="E9981" s="76">
        <v>17</v>
      </c>
      <c r="F9981" s="76">
        <v>1.6</v>
      </c>
    </row>
    <row r="9982" s="76" customFormat="1" spans="1:6">
      <c r="A9982">
        <v>10263</v>
      </c>
      <c r="B9982">
        <v>452020260</v>
      </c>
      <c r="C9982" s="76">
        <v>2020</v>
      </c>
      <c r="D9982" s="76" t="s">
        <v>34</v>
      </c>
      <c r="E9982" s="76">
        <v>35</v>
      </c>
      <c r="F9982" s="76">
        <v>8</v>
      </c>
    </row>
    <row r="9983" s="76" customFormat="1" spans="1:6">
      <c r="A9983">
        <v>10266</v>
      </c>
      <c r="B9983">
        <v>452020260</v>
      </c>
      <c r="C9983" s="76">
        <v>2020</v>
      </c>
      <c r="D9983" s="76" t="s">
        <v>34</v>
      </c>
      <c r="E9983" s="76">
        <v>52</v>
      </c>
      <c r="F9983" s="76">
        <v>15</v>
      </c>
    </row>
    <row r="9984" s="76" customFormat="1" spans="1:6">
      <c r="A9984">
        <v>10222</v>
      </c>
      <c r="B9984">
        <v>452020260</v>
      </c>
      <c r="C9984" s="76">
        <v>2020</v>
      </c>
      <c r="D9984" s="76" t="s">
        <v>34</v>
      </c>
      <c r="E9984" s="76">
        <v>35</v>
      </c>
      <c r="F9984" s="76">
        <v>10</v>
      </c>
    </row>
    <row r="9985" s="76" customFormat="1" spans="1:6">
      <c r="A9985">
        <v>10238</v>
      </c>
      <c r="B9985">
        <v>452020260</v>
      </c>
      <c r="C9985" s="76">
        <v>2020</v>
      </c>
      <c r="D9985" s="76" t="s">
        <v>34</v>
      </c>
      <c r="E9985" s="76">
        <v>3</v>
      </c>
      <c r="F9985" s="76">
        <v>10</v>
      </c>
    </row>
    <row r="9986" s="76" customFormat="1" spans="1:6">
      <c r="A9986">
        <v>10273</v>
      </c>
      <c r="B9986">
        <v>452020260</v>
      </c>
      <c r="C9986" s="76">
        <v>2020</v>
      </c>
      <c r="D9986" s="76" t="s">
        <v>34</v>
      </c>
      <c r="E9986" s="76">
        <v>1</v>
      </c>
      <c r="F9986" s="76">
        <v>1</v>
      </c>
    </row>
    <row r="9987" s="76" customFormat="1" spans="1:6">
      <c r="A9987">
        <v>10262</v>
      </c>
      <c r="B9987">
        <v>452020260</v>
      </c>
      <c r="C9987" s="76">
        <v>2020</v>
      </c>
      <c r="D9987" s="76" t="s">
        <v>34</v>
      </c>
      <c r="E9987" s="76">
        <v>1</v>
      </c>
      <c r="F9987" s="76">
        <v>5</v>
      </c>
    </row>
    <row r="9988" s="76" customFormat="1" spans="1:6">
      <c r="A9988">
        <v>10255</v>
      </c>
      <c r="B9988">
        <v>452020260</v>
      </c>
      <c r="C9988" s="76">
        <v>2020</v>
      </c>
      <c r="D9988" s="76" t="s">
        <v>34</v>
      </c>
      <c r="E9988" s="76">
        <v>1</v>
      </c>
      <c r="F9988" s="76">
        <v>8.4</v>
      </c>
    </row>
    <row r="9989" s="76" customFormat="1" spans="1:6">
      <c r="A9989">
        <v>10234</v>
      </c>
      <c r="B9989">
        <v>452020260</v>
      </c>
      <c r="C9989" s="76">
        <v>2020</v>
      </c>
      <c r="D9989" s="76" t="s">
        <v>34</v>
      </c>
      <c r="E9989" s="76">
        <v>20</v>
      </c>
      <c r="F9989" s="76">
        <v>5</v>
      </c>
    </row>
    <row r="9990" s="76" customFormat="1" spans="1:6">
      <c r="A9990">
        <v>10269</v>
      </c>
      <c r="B9990">
        <v>452020260</v>
      </c>
      <c r="C9990" s="76">
        <v>2020</v>
      </c>
      <c r="D9990" s="76" t="s">
        <v>34</v>
      </c>
      <c r="E9990" s="76">
        <v>16</v>
      </c>
      <c r="F9990" s="76">
        <v>5</v>
      </c>
    </row>
    <row r="9991" s="76" customFormat="1" spans="1:6">
      <c r="A9991">
        <v>10227</v>
      </c>
      <c r="B9991">
        <v>452020260</v>
      </c>
      <c r="C9991" s="76">
        <v>2020</v>
      </c>
      <c r="D9991" s="76" t="s">
        <v>34</v>
      </c>
      <c r="E9991" s="76">
        <v>2</v>
      </c>
      <c r="F9991" s="76">
        <v>2.3</v>
      </c>
    </row>
    <row r="9992" s="76" customFormat="1" spans="1:6">
      <c r="A9992">
        <v>10259</v>
      </c>
      <c r="B9992">
        <v>452020260</v>
      </c>
      <c r="C9992" s="76">
        <v>2020</v>
      </c>
      <c r="D9992" s="76" t="s">
        <v>34</v>
      </c>
      <c r="E9992" s="76">
        <v>20</v>
      </c>
      <c r="F9992" s="76">
        <v>4.2</v>
      </c>
    </row>
    <row r="9993" s="76" customFormat="1" spans="1:6">
      <c r="A9993">
        <v>10281</v>
      </c>
      <c r="B9993">
        <v>452020260</v>
      </c>
      <c r="C9993" s="76">
        <v>2020</v>
      </c>
      <c r="D9993" s="76" t="s">
        <v>34</v>
      </c>
      <c r="E9993" s="76">
        <v>13</v>
      </c>
      <c r="F9993" s="76">
        <v>4.2</v>
      </c>
    </row>
    <row r="9994" s="76" customFormat="1" spans="1:6">
      <c r="A9994">
        <v>10241</v>
      </c>
      <c r="B9994">
        <v>452020260</v>
      </c>
      <c r="C9994" s="76">
        <v>2020</v>
      </c>
      <c r="D9994" s="76" t="s">
        <v>34</v>
      </c>
      <c r="E9994" s="76">
        <v>1</v>
      </c>
      <c r="F9994" s="76">
        <v>5.83</v>
      </c>
    </row>
    <row r="9995" s="76" customFormat="1" spans="1:6">
      <c r="A9995">
        <v>10233</v>
      </c>
      <c r="B9995">
        <v>452020260</v>
      </c>
      <c r="C9995" s="76">
        <v>2020</v>
      </c>
      <c r="D9995" s="76" t="s">
        <v>34</v>
      </c>
      <c r="E9995" s="76">
        <v>12</v>
      </c>
      <c r="F9995" s="76">
        <v>4.8</v>
      </c>
    </row>
    <row r="9996" s="76" customFormat="1" spans="1:6">
      <c r="A9996">
        <v>10242</v>
      </c>
      <c r="B9996">
        <v>452020260</v>
      </c>
      <c r="C9996" s="76">
        <v>2020</v>
      </c>
      <c r="D9996" s="76" t="s">
        <v>34</v>
      </c>
      <c r="E9996" s="76">
        <v>1</v>
      </c>
      <c r="F9996" s="76">
        <v>5</v>
      </c>
    </row>
    <row r="9997" s="76" customFormat="1" spans="1:6">
      <c r="A9997">
        <v>10253</v>
      </c>
      <c r="B9997">
        <v>452020260</v>
      </c>
      <c r="C9997" s="76">
        <v>2020</v>
      </c>
      <c r="D9997" s="76" t="s">
        <v>34</v>
      </c>
      <c r="E9997" s="76">
        <v>24</v>
      </c>
      <c r="F9997" s="76">
        <v>6</v>
      </c>
    </row>
    <row r="9998" s="76" customFormat="1" spans="1:6">
      <c r="A9998">
        <v>10261</v>
      </c>
      <c r="B9998">
        <v>452020260</v>
      </c>
      <c r="C9998" s="76">
        <v>2020</v>
      </c>
      <c r="D9998" s="76" t="s">
        <v>34</v>
      </c>
      <c r="E9998" s="76">
        <v>44</v>
      </c>
      <c r="F9998" s="76">
        <v>10</v>
      </c>
    </row>
    <row r="9999" s="76" customFormat="1" spans="1:6">
      <c r="A9999">
        <v>10258</v>
      </c>
      <c r="B9999">
        <v>452020260</v>
      </c>
      <c r="C9999" s="76">
        <v>2020</v>
      </c>
      <c r="D9999" s="76" t="s">
        <v>34</v>
      </c>
      <c r="E9999" s="76">
        <v>6</v>
      </c>
      <c r="F9999" s="76">
        <v>1.2</v>
      </c>
    </row>
    <row r="10000" s="76" customFormat="1" spans="1:6">
      <c r="A10000">
        <v>10268</v>
      </c>
      <c r="B10000">
        <v>452020260</v>
      </c>
      <c r="C10000" s="76">
        <v>2020</v>
      </c>
      <c r="D10000" s="76" t="s">
        <v>34</v>
      </c>
      <c r="E10000" s="76">
        <v>1</v>
      </c>
      <c r="F10000" s="76">
        <v>4.8</v>
      </c>
    </row>
    <row r="10001" s="76" customFormat="1" spans="1:6">
      <c r="A10001">
        <v>10231</v>
      </c>
      <c r="B10001">
        <v>452020260</v>
      </c>
      <c r="C10001" s="76">
        <v>2020</v>
      </c>
      <c r="D10001" s="76" t="s">
        <v>34</v>
      </c>
      <c r="E10001" s="76">
        <v>3</v>
      </c>
      <c r="F10001" s="76">
        <v>4.84</v>
      </c>
    </row>
    <row r="10002" s="76" customFormat="1" spans="1:6">
      <c r="A10002">
        <v>10239</v>
      </c>
      <c r="B10002">
        <v>452020260</v>
      </c>
      <c r="C10002" s="76">
        <v>2020</v>
      </c>
      <c r="D10002" s="76" t="s">
        <v>34</v>
      </c>
      <c r="E10002" s="76">
        <v>5</v>
      </c>
      <c r="F10002" s="76">
        <v>4.91</v>
      </c>
    </row>
    <row r="10003" s="76" customFormat="1" spans="1:6">
      <c r="A10003">
        <v>10236</v>
      </c>
      <c r="B10003">
        <v>452020260</v>
      </c>
      <c r="C10003" s="76">
        <v>2020</v>
      </c>
      <c r="D10003" s="76" t="s">
        <v>34</v>
      </c>
      <c r="E10003" s="76">
        <v>2</v>
      </c>
      <c r="F10003" s="76">
        <v>6.1</v>
      </c>
    </row>
    <row r="10004" s="76" customFormat="1" spans="1:6">
      <c r="A10004">
        <v>10228</v>
      </c>
      <c r="B10004">
        <v>452020260</v>
      </c>
      <c r="C10004" s="76">
        <v>2020</v>
      </c>
      <c r="D10004" s="76" t="s">
        <v>34</v>
      </c>
      <c r="E10004" s="76">
        <v>1</v>
      </c>
      <c r="F10004" s="76">
        <v>0.96</v>
      </c>
    </row>
    <row r="10005" s="76" customFormat="1" spans="1:6">
      <c r="A10005">
        <v>10249</v>
      </c>
      <c r="B10005">
        <v>452020260</v>
      </c>
      <c r="C10005" s="76">
        <v>2020</v>
      </c>
      <c r="D10005" s="76" t="s">
        <v>34</v>
      </c>
      <c r="E10005" s="76">
        <v>3</v>
      </c>
      <c r="F10005" s="76">
        <v>0.9</v>
      </c>
    </row>
    <row r="10006" s="76" customFormat="1" spans="1:6">
      <c r="A10006">
        <v>10235</v>
      </c>
      <c r="B10006">
        <v>452020260</v>
      </c>
      <c r="C10006" s="76">
        <v>2020</v>
      </c>
      <c r="D10006" s="76" t="s">
        <v>34</v>
      </c>
      <c r="E10006" s="76">
        <v>3</v>
      </c>
      <c r="F10006" s="76">
        <v>5.66</v>
      </c>
    </row>
    <row r="10007" s="76" customFormat="1" spans="1:6">
      <c r="A10007">
        <v>10265</v>
      </c>
      <c r="B10007">
        <v>452020260</v>
      </c>
      <c r="C10007" s="76">
        <v>2020</v>
      </c>
      <c r="D10007" s="76" t="s">
        <v>34</v>
      </c>
      <c r="E10007" s="76">
        <v>1</v>
      </c>
      <c r="F10007" s="76">
        <v>5</v>
      </c>
    </row>
    <row r="10008" s="76" customFormat="1" spans="1:6">
      <c r="A10008">
        <v>10302</v>
      </c>
      <c r="B10008">
        <v>452020270</v>
      </c>
      <c r="C10008" s="76">
        <v>2020</v>
      </c>
      <c r="D10008" s="76" t="s">
        <v>31</v>
      </c>
      <c r="E10008" s="76">
        <v>1</v>
      </c>
      <c r="F10008" s="76">
        <v>1</v>
      </c>
    </row>
    <row r="10009" s="76" customFormat="1" spans="1:6">
      <c r="A10009">
        <v>10292</v>
      </c>
      <c r="B10009">
        <v>452020270</v>
      </c>
      <c r="C10009" s="76">
        <v>2020</v>
      </c>
      <c r="D10009" s="76" t="s">
        <v>31</v>
      </c>
      <c r="E10009" s="76">
        <v>9</v>
      </c>
      <c r="F10009" s="76">
        <v>2</v>
      </c>
    </row>
    <row r="10010" s="76" customFormat="1" spans="1:6">
      <c r="A10010">
        <v>10285</v>
      </c>
      <c r="B10010">
        <v>452020270</v>
      </c>
      <c r="C10010" s="76">
        <v>2020</v>
      </c>
      <c r="D10010" s="76" t="s">
        <v>31</v>
      </c>
      <c r="E10010" s="76">
        <v>1</v>
      </c>
      <c r="F10010" s="76">
        <v>0.5</v>
      </c>
    </row>
    <row r="10011" s="76" customFormat="1" spans="1:6">
      <c r="A10011">
        <v>10290</v>
      </c>
      <c r="B10011">
        <v>452020270</v>
      </c>
      <c r="C10011" s="76">
        <v>2020</v>
      </c>
      <c r="D10011" s="76" t="s">
        <v>31</v>
      </c>
      <c r="E10011" s="76">
        <v>1</v>
      </c>
      <c r="F10011" s="76">
        <v>6</v>
      </c>
    </row>
    <row r="10012" s="76" customFormat="1" spans="1:6">
      <c r="A10012">
        <v>10287</v>
      </c>
      <c r="B10012">
        <v>452020270</v>
      </c>
      <c r="C10012" s="76">
        <v>2020</v>
      </c>
      <c r="D10012" s="76" t="s">
        <v>31</v>
      </c>
      <c r="E10012" s="76">
        <v>1</v>
      </c>
      <c r="F10012" s="76">
        <v>8</v>
      </c>
    </row>
    <row r="10013" s="76" customFormat="1" spans="1:6">
      <c r="A10013">
        <v>10293</v>
      </c>
      <c r="B10013">
        <v>452020270</v>
      </c>
      <c r="C10013" s="76">
        <v>2020</v>
      </c>
      <c r="D10013" s="76" t="s">
        <v>31</v>
      </c>
      <c r="E10013" s="76">
        <v>1</v>
      </c>
      <c r="F10013" s="76">
        <v>2</v>
      </c>
    </row>
    <row r="10014" s="76" customFormat="1" spans="1:6">
      <c r="A10014">
        <v>10297</v>
      </c>
      <c r="B10014">
        <v>452020270</v>
      </c>
      <c r="C10014" s="76">
        <v>2020</v>
      </c>
      <c r="D10014" s="76" t="s">
        <v>31</v>
      </c>
      <c r="E10014" s="76">
        <v>2</v>
      </c>
      <c r="F10014" s="76">
        <v>2.13</v>
      </c>
    </row>
    <row r="10015" s="76" customFormat="1" spans="1:6">
      <c r="A10015">
        <v>10291</v>
      </c>
      <c r="B10015">
        <v>452020270</v>
      </c>
      <c r="C10015" s="76">
        <v>2020</v>
      </c>
      <c r="D10015" s="76" t="s">
        <v>31</v>
      </c>
      <c r="E10015" s="76">
        <v>1</v>
      </c>
      <c r="F10015" s="76">
        <v>3</v>
      </c>
    </row>
    <row r="10016" s="76" customFormat="1" spans="1:6">
      <c r="A10016">
        <v>10289</v>
      </c>
      <c r="B10016">
        <v>452020270</v>
      </c>
      <c r="C10016" s="76">
        <v>2020</v>
      </c>
      <c r="D10016" s="76" t="s">
        <v>31</v>
      </c>
      <c r="E10016" s="76">
        <v>1</v>
      </c>
      <c r="F10016" s="76">
        <v>3</v>
      </c>
    </row>
    <row r="10017" s="76" customFormat="1" spans="1:6">
      <c r="A10017">
        <v>10288</v>
      </c>
      <c r="B10017">
        <v>452020270</v>
      </c>
      <c r="C10017" s="76">
        <v>2020</v>
      </c>
      <c r="D10017" s="76" t="s">
        <v>31</v>
      </c>
      <c r="E10017" s="76">
        <v>7</v>
      </c>
      <c r="F10017" s="76">
        <v>2</v>
      </c>
    </row>
    <row r="10018" s="76" customFormat="1" spans="1:6">
      <c r="A10018">
        <v>10301</v>
      </c>
      <c r="B10018">
        <v>452020270</v>
      </c>
      <c r="C10018" s="76">
        <v>2020</v>
      </c>
      <c r="D10018" s="76" t="s">
        <v>31</v>
      </c>
      <c r="E10018" s="76">
        <v>1</v>
      </c>
      <c r="F10018" s="76">
        <v>0.5</v>
      </c>
    </row>
    <row r="10019" s="76" customFormat="1" spans="1:6">
      <c r="A10019">
        <v>10298</v>
      </c>
      <c r="B10019">
        <v>452020270</v>
      </c>
      <c r="C10019" s="76">
        <v>2020</v>
      </c>
      <c r="D10019" s="76" t="s">
        <v>31</v>
      </c>
      <c r="E10019" s="76">
        <v>1</v>
      </c>
      <c r="F10019" s="76">
        <v>6</v>
      </c>
    </row>
    <row r="10020" s="76" customFormat="1" spans="1:6">
      <c r="A10020">
        <v>10300</v>
      </c>
      <c r="B10020">
        <v>452020270</v>
      </c>
      <c r="C10020" s="76">
        <v>2020</v>
      </c>
      <c r="D10020" s="76" t="s">
        <v>31</v>
      </c>
      <c r="E10020" s="76">
        <v>1</v>
      </c>
      <c r="F10020" s="76">
        <v>2.5</v>
      </c>
    </row>
    <row r="10021" s="76" customFormat="1" spans="1:6">
      <c r="A10021">
        <v>10296</v>
      </c>
      <c r="B10021">
        <v>452020270</v>
      </c>
      <c r="C10021" s="76">
        <v>2020</v>
      </c>
      <c r="D10021" s="76" t="s">
        <v>31</v>
      </c>
      <c r="E10021" s="76">
        <v>1</v>
      </c>
      <c r="F10021" s="76">
        <v>2</v>
      </c>
    </row>
    <row r="10022" s="76" customFormat="1" spans="1:6">
      <c r="A10022">
        <v>10286</v>
      </c>
      <c r="B10022">
        <v>452020270</v>
      </c>
      <c r="C10022" s="76">
        <v>2020</v>
      </c>
      <c r="D10022" s="76" t="s">
        <v>31</v>
      </c>
      <c r="E10022" s="76">
        <v>1</v>
      </c>
      <c r="F10022" s="76">
        <v>0.77</v>
      </c>
    </row>
    <row r="10023" s="76" customFormat="1" spans="1:6">
      <c r="A10023">
        <v>10294</v>
      </c>
      <c r="B10023">
        <v>452020270</v>
      </c>
      <c r="C10023" s="76">
        <v>2020</v>
      </c>
      <c r="D10023" s="76" t="s">
        <v>31</v>
      </c>
      <c r="E10023" s="76">
        <v>1</v>
      </c>
      <c r="F10023" s="76">
        <v>0.44</v>
      </c>
    </row>
    <row r="10024" s="76" customFormat="1" spans="1:6">
      <c r="A10024">
        <v>10299</v>
      </c>
      <c r="B10024">
        <v>452020270</v>
      </c>
      <c r="C10024" s="76">
        <v>2020</v>
      </c>
      <c r="D10024" s="76" t="s">
        <v>31</v>
      </c>
      <c r="E10024" s="76">
        <v>1</v>
      </c>
      <c r="F10024" s="76">
        <v>0.3</v>
      </c>
    </row>
    <row r="10025" s="76" customFormat="1" spans="1:6">
      <c r="A10025">
        <v>10303</v>
      </c>
      <c r="B10025">
        <v>452020270</v>
      </c>
      <c r="C10025" s="76">
        <v>2020</v>
      </c>
      <c r="D10025" s="76" t="s">
        <v>31</v>
      </c>
      <c r="E10025" s="76">
        <v>1</v>
      </c>
      <c r="F10025" s="76">
        <v>15</v>
      </c>
    </row>
    <row r="10026" s="76" customFormat="1" spans="1:6">
      <c r="A10026">
        <v>10284</v>
      </c>
      <c r="B10026">
        <v>452020270</v>
      </c>
      <c r="C10026" s="76">
        <v>2020</v>
      </c>
      <c r="D10026" s="76" t="s">
        <v>31</v>
      </c>
      <c r="E10026" s="76">
        <v>4</v>
      </c>
      <c r="F10026" s="76">
        <v>0.3</v>
      </c>
    </row>
    <row r="10027" s="76" customFormat="1" spans="1:6">
      <c r="A10027">
        <v>10295</v>
      </c>
      <c r="B10027">
        <v>452020270</v>
      </c>
      <c r="C10027" s="76">
        <v>2020</v>
      </c>
      <c r="D10027" s="76" t="s">
        <v>31</v>
      </c>
      <c r="E10027" s="76">
        <v>1</v>
      </c>
      <c r="F10027" s="76">
        <v>1</v>
      </c>
    </row>
    <row r="10028" s="76" customFormat="1" spans="1:6">
      <c r="A10028">
        <v>10304</v>
      </c>
      <c r="B10028">
        <v>452020270</v>
      </c>
      <c r="C10028" s="76">
        <v>2020</v>
      </c>
      <c r="D10028" s="76" t="s">
        <v>31</v>
      </c>
      <c r="E10028" s="76" t="s">
        <v>32</v>
      </c>
      <c r="F10028" s="76">
        <v>10</v>
      </c>
    </row>
    <row r="10029" s="76" customFormat="1" spans="1:6">
      <c r="A10029">
        <v>10306</v>
      </c>
      <c r="B10029">
        <v>452021110</v>
      </c>
      <c r="C10029" s="76">
        <v>2021</v>
      </c>
      <c r="D10029" s="76" t="s">
        <v>40</v>
      </c>
      <c r="E10029" s="76">
        <v>1</v>
      </c>
      <c r="F10029" s="76">
        <v>0.39</v>
      </c>
    </row>
    <row r="10030" s="76" customFormat="1" spans="1:6">
      <c r="A10030">
        <v>10308</v>
      </c>
      <c r="B10030">
        <v>452021110</v>
      </c>
      <c r="C10030" s="76">
        <v>2021</v>
      </c>
      <c r="D10030" s="76" t="s">
        <v>40</v>
      </c>
      <c r="E10030" s="76">
        <v>3</v>
      </c>
      <c r="F10030" s="76">
        <v>2.4</v>
      </c>
    </row>
    <row r="10031" s="76" customFormat="1" spans="1:6">
      <c r="A10031">
        <v>10307</v>
      </c>
      <c r="B10031">
        <v>452021110</v>
      </c>
      <c r="C10031" s="76">
        <v>2021</v>
      </c>
      <c r="D10031" s="76" t="s">
        <v>40</v>
      </c>
      <c r="E10031" s="76">
        <v>4</v>
      </c>
      <c r="F10031" s="76">
        <v>0.24</v>
      </c>
    </row>
    <row r="10032" s="76" customFormat="1" spans="1:6">
      <c r="A10032">
        <v>10309</v>
      </c>
      <c r="B10032">
        <v>452021110</v>
      </c>
      <c r="C10032" s="76">
        <v>2021</v>
      </c>
      <c r="D10032" s="76" t="s">
        <v>40</v>
      </c>
      <c r="E10032" s="76">
        <v>2</v>
      </c>
      <c r="F10032" s="76">
        <v>4.2</v>
      </c>
    </row>
    <row r="10033" s="76" customFormat="1" spans="1:6">
      <c r="A10033">
        <v>10312</v>
      </c>
      <c r="B10033">
        <v>452021211</v>
      </c>
      <c r="C10033" s="76">
        <v>2021</v>
      </c>
      <c r="D10033" s="76" t="s">
        <v>37</v>
      </c>
      <c r="E10033" s="76">
        <v>1</v>
      </c>
      <c r="F10033" s="76">
        <v>35</v>
      </c>
    </row>
    <row r="10034" s="76" customFormat="1" spans="1:6">
      <c r="A10034">
        <v>10311</v>
      </c>
      <c r="B10034">
        <v>452021211</v>
      </c>
      <c r="C10034" s="76">
        <v>2021</v>
      </c>
      <c r="D10034" s="76" t="s">
        <v>37</v>
      </c>
      <c r="E10034" s="76">
        <v>2</v>
      </c>
      <c r="F10034" s="76">
        <v>70</v>
      </c>
    </row>
    <row r="10035" s="76" customFormat="1" spans="1:6">
      <c r="A10035">
        <v>10313</v>
      </c>
      <c r="B10035">
        <v>452021211</v>
      </c>
      <c r="C10035" s="76">
        <v>2021</v>
      </c>
      <c r="D10035" s="76" t="s">
        <v>37</v>
      </c>
      <c r="E10035" s="76" t="s">
        <v>32</v>
      </c>
      <c r="F10035" s="76">
        <v>0.6</v>
      </c>
    </row>
    <row r="10036" s="76" customFormat="1" spans="1:6">
      <c r="A10036">
        <v>10315</v>
      </c>
      <c r="B10036">
        <v>452021241</v>
      </c>
      <c r="C10036" s="76">
        <v>2021</v>
      </c>
      <c r="D10036" s="76" t="s">
        <v>33</v>
      </c>
      <c r="E10036" s="76">
        <v>2</v>
      </c>
      <c r="F10036" s="76">
        <v>1.8</v>
      </c>
    </row>
    <row r="10037" s="76" customFormat="1" spans="1:6">
      <c r="A10037">
        <v>10314</v>
      </c>
      <c r="B10037">
        <v>452021241</v>
      </c>
      <c r="C10037" s="76">
        <v>2021</v>
      </c>
      <c r="D10037" s="76" t="s">
        <v>33</v>
      </c>
      <c r="E10037" s="76">
        <v>1</v>
      </c>
      <c r="F10037" s="76">
        <v>0.9</v>
      </c>
    </row>
    <row r="10038" s="76" customFormat="1" spans="1:6">
      <c r="A10038">
        <v>10316</v>
      </c>
      <c r="B10038">
        <v>452021241</v>
      </c>
      <c r="C10038" s="76">
        <v>2021</v>
      </c>
      <c r="D10038" s="76" t="s">
        <v>33</v>
      </c>
      <c r="E10038" s="76" t="s">
        <v>32</v>
      </c>
      <c r="F10038" s="76">
        <v>0.6</v>
      </c>
    </row>
    <row r="10039" s="76" customFormat="1" spans="1:6">
      <c r="A10039">
        <v>10321</v>
      </c>
      <c r="B10039">
        <v>452021242</v>
      </c>
      <c r="C10039" s="76">
        <v>2021</v>
      </c>
      <c r="D10039" s="76" t="s">
        <v>35</v>
      </c>
      <c r="E10039" s="76">
        <v>1</v>
      </c>
      <c r="F10039" s="76">
        <v>1.5</v>
      </c>
    </row>
    <row r="10040" s="76" customFormat="1" spans="1:6">
      <c r="A10040">
        <v>10322</v>
      </c>
      <c r="B10040">
        <v>452021242</v>
      </c>
      <c r="C10040" s="76">
        <v>2021</v>
      </c>
      <c r="D10040" s="76" t="s">
        <v>35</v>
      </c>
      <c r="E10040" s="76">
        <v>2</v>
      </c>
      <c r="F10040" s="76">
        <v>7</v>
      </c>
    </row>
    <row r="10041" s="76" customFormat="1" spans="1:6">
      <c r="A10041">
        <v>10319</v>
      </c>
      <c r="B10041">
        <v>452021242</v>
      </c>
      <c r="C10041" s="76">
        <v>2021</v>
      </c>
      <c r="D10041" s="76" t="s">
        <v>35</v>
      </c>
      <c r="E10041" s="76">
        <v>2</v>
      </c>
      <c r="F10041" s="76">
        <v>7</v>
      </c>
    </row>
    <row r="10042" s="76" customFormat="1" spans="1:6">
      <c r="A10042">
        <v>10318</v>
      </c>
      <c r="B10042">
        <v>452021242</v>
      </c>
      <c r="C10042" s="76">
        <v>2021</v>
      </c>
      <c r="D10042" s="76" t="s">
        <v>35</v>
      </c>
      <c r="E10042" s="76">
        <v>1</v>
      </c>
      <c r="F10042" s="76">
        <v>0.9</v>
      </c>
    </row>
    <row r="10043" s="76" customFormat="1" spans="1:6">
      <c r="A10043">
        <v>10317</v>
      </c>
      <c r="B10043">
        <v>452021242</v>
      </c>
      <c r="C10043" s="76">
        <v>2021</v>
      </c>
      <c r="D10043" s="76" t="s">
        <v>35</v>
      </c>
      <c r="E10043" s="76">
        <v>1</v>
      </c>
      <c r="F10043" s="76">
        <v>0.6</v>
      </c>
    </row>
    <row r="10044" s="76" customFormat="1" spans="1:6">
      <c r="A10044">
        <v>10320</v>
      </c>
      <c r="B10044">
        <v>452021242</v>
      </c>
      <c r="C10044" s="76">
        <v>2021</v>
      </c>
      <c r="D10044" s="76" t="s">
        <v>35</v>
      </c>
      <c r="E10044" s="76">
        <v>1</v>
      </c>
      <c r="F10044" s="76">
        <v>2.5</v>
      </c>
    </row>
    <row r="10045" s="76" customFormat="1" spans="1:6">
      <c r="A10045">
        <v>10323</v>
      </c>
      <c r="B10045">
        <v>452021243</v>
      </c>
      <c r="C10045" s="76">
        <v>2021</v>
      </c>
      <c r="D10045" s="76" t="s">
        <v>38</v>
      </c>
      <c r="E10045" s="76">
        <v>1</v>
      </c>
      <c r="F10045" s="76">
        <v>2.5</v>
      </c>
    </row>
    <row r="10046" s="76" customFormat="1" spans="1:6">
      <c r="A10046">
        <v>10325</v>
      </c>
      <c r="B10046">
        <v>452021243</v>
      </c>
      <c r="C10046" s="76">
        <v>2021</v>
      </c>
      <c r="D10046" s="76" t="s">
        <v>38</v>
      </c>
      <c r="E10046" s="76">
        <v>1</v>
      </c>
      <c r="F10046" s="76">
        <v>0.75</v>
      </c>
    </row>
    <row r="10047" s="76" customFormat="1" spans="1:6">
      <c r="A10047">
        <v>10324</v>
      </c>
      <c r="B10047">
        <v>452021243</v>
      </c>
      <c r="C10047" s="76">
        <v>2021</v>
      </c>
      <c r="D10047" s="76" t="s">
        <v>38</v>
      </c>
      <c r="E10047" s="76">
        <v>1</v>
      </c>
      <c r="F10047" s="76">
        <v>3</v>
      </c>
    </row>
    <row r="10048" s="76" customFormat="1" spans="1:6">
      <c r="A10048">
        <v>10326</v>
      </c>
      <c r="B10048">
        <v>452021243</v>
      </c>
      <c r="C10048" s="76">
        <v>2021</v>
      </c>
      <c r="D10048" s="76" t="s">
        <v>38</v>
      </c>
      <c r="E10048" s="76">
        <v>3</v>
      </c>
      <c r="F10048" s="76">
        <v>1.65</v>
      </c>
    </row>
    <row r="10049" s="76" customFormat="1" spans="1:6">
      <c r="A10049">
        <v>10328</v>
      </c>
      <c r="B10049">
        <v>452021260</v>
      </c>
      <c r="C10049" s="76">
        <v>2021</v>
      </c>
      <c r="D10049" s="76" t="s">
        <v>34</v>
      </c>
      <c r="E10049" s="76">
        <v>16</v>
      </c>
      <c r="F10049" s="76">
        <v>5</v>
      </c>
    </row>
    <row r="10050" s="76" customFormat="1" spans="1:6">
      <c r="A10050">
        <v>10327</v>
      </c>
      <c r="B10050">
        <v>452021260</v>
      </c>
      <c r="C10050" s="76">
        <v>2021</v>
      </c>
      <c r="D10050" s="76" t="s">
        <v>34</v>
      </c>
      <c r="E10050" s="76">
        <v>17</v>
      </c>
      <c r="F10050" s="76">
        <v>4.25</v>
      </c>
    </row>
    <row r="10051" s="76" customFormat="1" spans="1:6">
      <c r="A10051">
        <v>10329</v>
      </c>
      <c r="B10051">
        <v>452021260</v>
      </c>
      <c r="C10051" s="76">
        <v>2021</v>
      </c>
      <c r="D10051" s="76" t="s">
        <v>34</v>
      </c>
      <c r="E10051" s="76">
        <v>5</v>
      </c>
      <c r="F10051" s="76">
        <v>1</v>
      </c>
    </row>
    <row r="10052" s="76" customFormat="1" spans="1:6">
      <c r="A10052">
        <v>10333</v>
      </c>
      <c r="B10052">
        <v>452021260</v>
      </c>
      <c r="C10052" s="76">
        <v>2021</v>
      </c>
      <c r="D10052" s="76" t="s">
        <v>34</v>
      </c>
      <c r="E10052" s="76">
        <v>16</v>
      </c>
      <c r="F10052" s="76">
        <v>5</v>
      </c>
    </row>
    <row r="10053" s="76" customFormat="1" spans="1:6">
      <c r="A10053">
        <v>10334</v>
      </c>
      <c r="B10053">
        <v>452021260</v>
      </c>
      <c r="C10053" s="76">
        <v>2021</v>
      </c>
      <c r="D10053" s="76" t="s">
        <v>34</v>
      </c>
      <c r="E10053" s="76">
        <v>40</v>
      </c>
      <c r="F10053" s="76">
        <v>12</v>
      </c>
    </row>
    <row r="10054" s="76" customFormat="1" spans="1:6">
      <c r="A10054">
        <v>10336</v>
      </c>
      <c r="B10054">
        <v>452021260</v>
      </c>
      <c r="C10054" s="76">
        <v>2021</v>
      </c>
      <c r="D10054" s="76" t="s">
        <v>34</v>
      </c>
      <c r="E10054" s="76">
        <v>19</v>
      </c>
      <c r="F10054" s="76">
        <v>7.08</v>
      </c>
    </row>
    <row r="10055" s="76" customFormat="1" spans="1:6">
      <c r="A10055">
        <v>10332</v>
      </c>
      <c r="B10055">
        <v>452021260</v>
      </c>
      <c r="C10055" s="76">
        <v>2021</v>
      </c>
      <c r="D10055" s="76" t="s">
        <v>34</v>
      </c>
      <c r="E10055" s="76">
        <v>25</v>
      </c>
      <c r="F10055" s="76">
        <v>8.38</v>
      </c>
    </row>
    <row r="10056" s="76" customFormat="1" spans="1:6">
      <c r="A10056">
        <v>10337</v>
      </c>
      <c r="B10056">
        <v>452021260</v>
      </c>
      <c r="C10056" s="76">
        <v>2021</v>
      </c>
      <c r="D10056" s="76" t="s">
        <v>34</v>
      </c>
      <c r="E10056" s="76">
        <v>16</v>
      </c>
      <c r="F10056" s="76">
        <v>4.8</v>
      </c>
    </row>
    <row r="10057" s="76" customFormat="1" spans="1:6">
      <c r="A10057">
        <v>10339</v>
      </c>
      <c r="B10057">
        <v>452021260</v>
      </c>
      <c r="C10057" s="76">
        <v>2021</v>
      </c>
      <c r="D10057" s="76" t="s">
        <v>34</v>
      </c>
      <c r="E10057" s="76">
        <v>16</v>
      </c>
      <c r="F10057" s="76">
        <v>4.8</v>
      </c>
    </row>
    <row r="10058" s="76" customFormat="1" spans="1:6">
      <c r="A10058">
        <v>10340</v>
      </c>
      <c r="B10058">
        <v>452021260</v>
      </c>
      <c r="C10058" s="76">
        <v>2021</v>
      </c>
      <c r="D10058" s="76" t="s">
        <v>34</v>
      </c>
      <c r="E10058" s="76">
        <v>17</v>
      </c>
      <c r="F10058" s="76">
        <v>5</v>
      </c>
    </row>
    <row r="10059" s="76" customFormat="1" spans="1:6">
      <c r="A10059">
        <v>10330</v>
      </c>
      <c r="B10059">
        <v>452021260</v>
      </c>
      <c r="C10059" s="76">
        <v>2021</v>
      </c>
      <c r="D10059" s="76" t="s">
        <v>34</v>
      </c>
      <c r="E10059" s="76">
        <v>16</v>
      </c>
      <c r="F10059" s="76">
        <v>6.15</v>
      </c>
    </row>
    <row r="10060" s="76" customFormat="1" spans="1:6">
      <c r="A10060">
        <v>10341</v>
      </c>
      <c r="B10060">
        <v>452021260</v>
      </c>
      <c r="C10060" s="76">
        <v>2021</v>
      </c>
      <c r="D10060" s="76" t="s">
        <v>34</v>
      </c>
      <c r="E10060" s="76">
        <v>26</v>
      </c>
      <c r="F10060" s="76">
        <v>10</v>
      </c>
    </row>
    <row r="10061" s="76" customFormat="1" spans="1:6">
      <c r="A10061">
        <v>10342</v>
      </c>
      <c r="B10061">
        <v>452021260</v>
      </c>
      <c r="C10061" s="76">
        <v>2021</v>
      </c>
      <c r="D10061" s="76" t="s">
        <v>34</v>
      </c>
      <c r="E10061" s="76">
        <v>26</v>
      </c>
      <c r="F10061" s="76">
        <v>10</v>
      </c>
    </row>
    <row r="10062" s="76" customFormat="1" spans="1:6">
      <c r="A10062">
        <v>10338</v>
      </c>
      <c r="B10062">
        <v>452021260</v>
      </c>
      <c r="C10062" s="76">
        <v>2021</v>
      </c>
      <c r="D10062" s="76" t="s">
        <v>34</v>
      </c>
      <c r="E10062" s="76">
        <v>16</v>
      </c>
      <c r="F10062" s="76">
        <v>5.1</v>
      </c>
    </row>
    <row r="10063" s="76" customFormat="1" spans="1:6">
      <c r="A10063">
        <v>10335</v>
      </c>
      <c r="B10063">
        <v>452021260</v>
      </c>
      <c r="C10063" s="76">
        <v>2021</v>
      </c>
      <c r="D10063" s="76" t="s">
        <v>34</v>
      </c>
      <c r="E10063" s="76">
        <v>4</v>
      </c>
      <c r="F10063" s="76">
        <v>1</v>
      </c>
    </row>
    <row r="10064" s="76" customFormat="1" spans="1:6">
      <c r="A10064">
        <v>10331</v>
      </c>
      <c r="B10064">
        <v>452021260</v>
      </c>
      <c r="C10064" s="76">
        <v>2021</v>
      </c>
      <c r="D10064" s="76" t="s">
        <v>34</v>
      </c>
      <c r="E10064" s="76">
        <v>25</v>
      </c>
      <c r="F10064" s="76">
        <v>10</v>
      </c>
    </row>
    <row r="10065" s="76" customFormat="1" spans="1:6">
      <c r="A10065">
        <v>10348</v>
      </c>
      <c r="B10065">
        <v>452021270</v>
      </c>
      <c r="C10065" s="76">
        <v>2021</v>
      </c>
      <c r="D10065" s="76" t="s">
        <v>31</v>
      </c>
      <c r="E10065" s="76">
        <v>3</v>
      </c>
      <c r="F10065" s="76">
        <v>7.35</v>
      </c>
    </row>
    <row r="10066" s="76" customFormat="1" spans="1:6">
      <c r="A10066">
        <v>10344</v>
      </c>
      <c r="B10066">
        <v>452021270</v>
      </c>
      <c r="C10066" s="76">
        <v>2021</v>
      </c>
      <c r="D10066" s="76" t="s">
        <v>31</v>
      </c>
      <c r="E10066" s="76">
        <v>5</v>
      </c>
      <c r="F10066" s="76">
        <v>6.94</v>
      </c>
    </row>
    <row r="10067" s="76" customFormat="1" spans="1:6">
      <c r="A10067">
        <v>10343</v>
      </c>
      <c r="B10067">
        <v>452021270</v>
      </c>
      <c r="C10067" s="76">
        <v>2021</v>
      </c>
      <c r="D10067" s="76" t="s">
        <v>31</v>
      </c>
      <c r="E10067" s="76">
        <v>1</v>
      </c>
      <c r="F10067" s="76">
        <v>2</v>
      </c>
    </row>
    <row r="10068" s="76" customFormat="1" spans="1:6">
      <c r="A10068">
        <v>10355</v>
      </c>
      <c r="B10068">
        <v>452021270</v>
      </c>
      <c r="C10068" s="76">
        <v>2021</v>
      </c>
      <c r="D10068" s="76" t="s">
        <v>31</v>
      </c>
      <c r="F10068" s="76">
        <v>5.55</v>
      </c>
    </row>
    <row r="10069" s="76" customFormat="1" spans="1:6">
      <c r="A10069">
        <v>10346</v>
      </c>
      <c r="B10069">
        <v>452021270</v>
      </c>
      <c r="C10069" s="76">
        <v>2021</v>
      </c>
      <c r="D10069" s="76" t="s">
        <v>31</v>
      </c>
      <c r="E10069" s="76">
        <v>4</v>
      </c>
      <c r="F10069" s="76">
        <v>33.6</v>
      </c>
    </row>
    <row r="10070" s="76" customFormat="1" spans="1:6">
      <c r="A10070">
        <v>10350</v>
      </c>
      <c r="B10070">
        <v>452021270</v>
      </c>
      <c r="C10070" s="76">
        <v>2021</v>
      </c>
      <c r="D10070" s="76" t="s">
        <v>31</v>
      </c>
      <c r="E10070" s="76">
        <v>2</v>
      </c>
      <c r="F10070" s="76">
        <v>2</v>
      </c>
    </row>
    <row r="10071" s="76" customFormat="1" spans="1:6">
      <c r="A10071">
        <v>10353</v>
      </c>
      <c r="B10071">
        <v>452021270</v>
      </c>
      <c r="C10071" s="76">
        <v>2021</v>
      </c>
      <c r="D10071" s="76" t="s">
        <v>31</v>
      </c>
      <c r="F10071" s="76">
        <v>0.6</v>
      </c>
    </row>
    <row r="10072" s="76" customFormat="1" spans="1:6">
      <c r="A10072">
        <v>10354</v>
      </c>
      <c r="B10072">
        <v>452021270</v>
      </c>
      <c r="C10072" s="76">
        <v>2021</v>
      </c>
      <c r="D10072" s="76" t="s">
        <v>31</v>
      </c>
      <c r="F10072" s="76">
        <v>0.6</v>
      </c>
    </row>
    <row r="10073" s="76" customFormat="1" spans="1:6">
      <c r="A10073">
        <v>10345</v>
      </c>
      <c r="B10073">
        <v>452021270</v>
      </c>
      <c r="C10073" s="76">
        <v>2021</v>
      </c>
      <c r="D10073" s="76" t="s">
        <v>31</v>
      </c>
      <c r="E10073" s="76">
        <v>5</v>
      </c>
      <c r="F10073" s="76">
        <v>3.67</v>
      </c>
    </row>
    <row r="10074" s="76" customFormat="1" spans="1:6">
      <c r="A10074">
        <v>10352</v>
      </c>
      <c r="B10074">
        <v>452021270</v>
      </c>
      <c r="C10074" s="76">
        <v>2021</v>
      </c>
      <c r="D10074" s="76" t="s">
        <v>31</v>
      </c>
      <c r="F10074" s="76">
        <v>38.8</v>
      </c>
    </row>
    <row r="10075" s="76" customFormat="1" spans="1:6">
      <c r="A10075">
        <v>10351</v>
      </c>
      <c r="B10075">
        <v>452021270</v>
      </c>
      <c r="C10075" s="76">
        <v>2021</v>
      </c>
      <c r="D10075" s="76" t="s">
        <v>31</v>
      </c>
      <c r="F10075" s="76">
        <v>1</v>
      </c>
    </row>
    <row r="10076" s="76" customFormat="1" spans="1:6">
      <c r="A10076">
        <v>10347</v>
      </c>
      <c r="B10076">
        <v>452021270</v>
      </c>
      <c r="C10076" s="76">
        <v>2021</v>
      </c>
      <c r="D10076" s="76" t="s">
        <v>31</v>
      </c>
      <c r="F10076" s="76">
        <v>1.5</v>
      </c>
    </row>
    <row r="10077" s="76" customFormat="1" spans="1:6">
      <c r="A10077">
        <v>10349</v>
      </c>
      <c r="B10077">
        <v>452021270</v>
      </c>
      <c r="C10077" s="76">
        <v>2021</v>
      </c>
      <c r="D10077" s="76" t="s">
        <v>31</v>
      </c>
      <c r="E10077" s="76">
        <v>1</v>
      </c>
      <c r="F10077" s="76">
        <v>3.54</v>
      </c>
    </row>
    <row r="10078" s="76" customFormat="1" spans="1:6">
      <c r="A10078">
        <v>10356</v>
      </c>
      <c r="B10078">
        <v>462012211</v>
      </c>
      <c r="C10078">
        <v>2012</v>
      </c>
      <c r="D10078" t="s">
        <v>37</v>
      </c>
      <c r="E10078">
        <v>2</v>
      </c>
      <c r="F10078">
        <v>70</v>
      </c>
    </row>
    <row r="10079" s="76" customFormat="1" spans="1:6">
      <c r="A10079">
        <v>10357</v>
      </c>
      <c r="B10079">
        <v>462012260</v>
      </c>
      <c r="C10079">
        <v>2012</v>
      </c>
      <c r="D10079" t="s">
        <v>34</v>
      </c>
      <c r="E10079">
        <v>24</v>
      </c>
      <c r="F10079">
        <v>4.8</v>
      </c>
    </row>
    <row r="10080" s="76" customFormat="1" spans="1:6">
      <c r="A10080">
        <v>10358</v>
      </c>
      <c r="B10080">
        <v>462013270</v>
      </c>
      <c r="C10080">
        <v>2013</v>
      </c>
      <c r="D10080" t="s">
        <v>31</v>
      </c>
      <c r="E10080" t="s">
        <v>32</v>
      </c>
      <c r="F10080">
        <v>0.2</v>
      </c>
    </row>
    <row r="10081" s="76" customFormat="1" spans="1:6">
      <c r="A10081">
        <v>10359</v>
      </c>
      <c r="B10081">
        <v>462014110</v>
      </c>
      <c r="C10081">
        <v>2014</v>
      </c>
      <c r="D10081" t="s">
        <v>40</v>
      </c>
      <c r="E10081">
        <v>4</v>
      </c>
      <c r="F10081">
        <v>6</v>
      </c>
    </row>
    <row r="10082" s="76" customFormat="1" spans="1:6">
      <c r="A10082">
        <v>10360</v>
      </c>
      <c r="B10082">
        <v>462014270</v>
      </c>
      <c r="C10082">
        <v>2014</v>
      </c>
      <c r="D10082" t="s">
        <v>31</v>
      </c>
      <c r="E10082"/>
      <c r="F10082">
        <v>3.1</v>
      </c>
    </row>
    <row r="10083" s="76" customFormat="1" spans="1:6">
      <c r="A10083">
        <v>10361</v>
      </c>
      <c r="B10083">
        <v>462015211</v>
      </c>
      <c r="C10083">
        <v>2015</v>
      </c>
      <c r="D10083" t="s">
        <v>37</v>
      </c>
      <c r="E10083">
        <v>2</v>
      </c>
      <c r="F10083">
        <v>70</v>
      </c>
    </row>
    <row r="10084" s="76" customFormat="1" spans="1:6">
      <c r="A10084">
        <v>10362</v>
      </c>
      <c r="B10084">
        <v>462015250</v>
      </c>
      <c r="C10084">
        <v>2015</v>
      </c>
      <c r="D10084" t="s">
        <v>44</v>
      </c>
      <c r="E10084">
        <v>1</v>
      </c>
      <c r="F10084">
        <v>65</v>
      </c>
    </row>
    <row r="10085" s="76" customFormat="1" spans="1:6">
      <c r="A10085">
        <v>10364</v>
      </c>
      <c r="B10085">
        <v>462015270</v>
      </c>
      <c r="C10085" s="78">
        <v>2015</v>
      </c>
      <c r="D10085" s="78" t="s">
        <v>31</v>
      </c>
      <c r="E10085" s="78">
        <v>50</v>
      </c>
      <c r="F10085" s="78">
        <v>2.5</v>
      </c>
    </row>
    <row r="10086" s="76" customFormat="1" spans="1:6">
      <c r="A10086">
        <v>10365</v>
      </c>
      <c r="B10086">
        <v>462015270</v>
      </c>
      <c r="C10086" s="78">
        <v>2015</v>
      </c>
      <c r="D10086" s="78" t="s">
        <v>31</v>
      </c>
      <c r="E10086" s="78">
        <v>50</v>
      </c>
      <c r="F10086" s="78">
        <v>2.5</v>
      </c>
    </row>
    <row r="10087" s="76" customFormat="1" spans="1:6">
      <c r="A10087">
        <v>10363</v>
      </c>
      <c r="B10087">
        <v>462015270</v>
      </c>
      <c r="C10087">
        <v>2015</v>
      </c>
      <c r="D10087" t="s">
        <v>31</v>
      </c>
      <c r="E10087" t="s">
        <v>32</v>
      </c>
      <c r="F10087">
        <v>2</v>
      </c>
    </row>
    <row r="10088" s="76" customFormat="1" spans="1:6">
      <c r="A10088">
        <v>10366</v>
      </c>
      <c r="B10088">
        <v>462016250</v>
      </c>
      <c r="C10088" s="76">
        <v>2016</v>
      </c>
      <c r="D10088" s="76" t="s">
        <v>44</v>
      </c>
      <c r="E10088" s="76">
        <v>1</v>
      </c>
      <c r="F10088" s="76">
        <v>65</v>
      </c>
    </row>
    <row r="10089" s="76" customFormat="1" spans="1:6">
      <c r="A10089">
        <v>10367</v>
      </c>
      <c r="B10089">
        <v>462016270</v>
      </c>
      <c r="C10089" s="76">
        <v>2016</v>
      </c>
      <c r="D10089" s="76" t="s">
        <v>31</v>
      </c>
      <c r="E10089" s="76" t="s">
        <v>32</v>
      </c>
      <c r="F10089" s="76">
        <v>1.2</v>
      </c>
    </row>
    <row r="10090" s="76" customFormat="1" spans="1:6">
      <c r="A10090">
        <v>10368</v>
      </c>
      <c r="B10090">
        <v>462017120</v>
      </c>
      <c r="C10090" s="76">
        <v>2017</v>
      </c>
      <c r="D10090" s="76" t="s">
        <v>42</v>
      </c>
      <c r="E10090" s="76">
        <v>1</v>
      </c>
      <c r="F10090" s="76">
        <v>20</v>
      </c>
    </row>
    <row r="10091" s="76" customFormat="1" spans="1:6">
      <c r="A10091">
        <v>10369</v>
      </c>
      <c r="B10091">
        <v>462017270</v>
      </c>
      <c r="C10091" s="76">
        <v>2017</v>
      </c>
      <c r="D10091" s="76" t="s">
        <v>31</v>
      </c>
      <c r="E10091" s="76" t="s">
        <v>32</v>
      </c>
      <c r="F10091" s="76">
        <v>2.5</v>
      </c>
    </row>
    <row r="10092" s="76" customFormat="1" spans="1:6">
      <c r="A10092">
        <v>10370</v>
      </c>
      <c r="B10092">
        <v>462018120</v>
      </c>
      <c r="C10092" s="76">
        <v>2018</v>
      </c>
      <c r="D10092" s="76" t="s">
        <v>42</v>
      </c>
      <c r="E10092" s="76">
        <v>2</v>
      </c>
      <c r="F10092" s="76">
        <v>40</v>
      </c>
    </row>
    <row r="10093" s="76" customFormat="1" spans="1:6">
      <c r="A10093">
        <v>10373</v>
      </c>
      <c r="B10093">
        <v>462018270</v>
      </c>
      <c r="C10093" s="76">
        <v>2018</v>
      </c>
      <c r="D10093" s="76" t="s">
        <v>31</v>
      </c>
      <c r="E10093" s="76" t="s">
        <v>32</v>
      </c>
      <c r="F10093" s="76">
        <v>4</v>
      </c>
    </row>
    <row r="10094" s="76" customFormat="1" spans="1:6">
      <c r="A10094">
        <v>10371</v>
      </c>
      <c r="B10094">
        <v>462018270</v>
      </c>
      <c r="C10094" s="76">
        <v>2018</v>
      </c>
      <c r="D10094" s="76" t="s">
        <v>31</v>
      </c>
      <c r="E10094" s="76">
        <v>1</v>
      </c>
      <c r="F10094" s="76">
        <v>3.52</v>
      </c>
    </row>
    <row r="10095" s="76" customFormat="1" spans="1:6">
      <c r="A10095">
        <v>10372</v>
      </c>
      <c r="B10095">
        <v>462018270</v>
      </c>
      <c r="C10095" s="76">
        <v>2018</v>
      </c>
      <c r="D10095" s="76" t="s">
        <v>31</v>
      </c>
      <c r="E10095" s="76">
        <v>1</v>
      </c>
      <c r="F10095" s="76">
        <v>6.18</v>
      </c>
    </row>
    <row r="10096" s="76" customFormat="1" spans="1:6">
      <c r="A10096">
        <v>10375</v>
      </c>
      <c r="B10096">
        <v>462018270</v>
      </c>
      <c r="C10096" s="76">
        <v>2018</v>
      </c>
      <c r="D10096" s="76" t="s">
        <v>31</v>
      </c>
      <c r="E10096" s="76" t="s">
        <v>32</v>
      </c>
      <c r="F10096" s="76">
        <v>1</v>
      </c>
    </row>
    <row r="10097" s="76" customFormat="1" spans="1:6">
      <c r="A10097">
        <v>10374</v>
      </c>
      <c r="B10097">
        <v>462018270</v>
      </c>
      <c r="C10097" s="76">
        <v>2018</v>
      </c>
      <c r="D10097" s="76" t="s">
        <v>31</v>
      </c>
      <c r="E10097" s="76" t="s">
        <v>32</v>
      </c>
      <c r="F10097" s="76">
        <v>1.1</v>
      </c>
    </row>
    <row r="10098" s="76" customFormat="1" spans="1:6">
      <c r="A10098">
        <v>10376</v>
      </c>
      <c r="B10098">
        <v>462019221</v>
      </c>
      <c r="C10098" s="76">
        <v>2019</v>
      </c>
      <c r="D10098" s="76" t="s">
        <v>30</v>
      </c>
      <c r="E10098" s="76">
        <v>1</v>
      </c>
      <c r="F10098" s="76">
        <v>46</v>
      </c>
    </row>
    <row r="10099" s="76" customFormat="1" spans="1:6">
      <c r="A10099">
        <v>10377</v>
      </c>
      <c r="B10099">
        <v>462019270</v>
      </c>
      <c r="C10099" s="76">
        <v>2019</v>
      </c>
      <c r="D10099" s="76" t="s">
        <v>31</v>
      </c>
      <c r="E10099" s="76" t="s">
        <v>32</v>
      </c>
      <c r="F10099" s="76">
        <v>0.33</v>
      </c>
    </row>
    <row r="10100" s="76" customFormat="1" spans="1:6">
      <c r="A10100">
        <v>10378</v>
      </c>
      <c r="B10100">
        <v>462019270</v>
      </c>
      <c r="C10100" s="76">
        <v>2019</v>
      </c>
      <c r="D10100" s="76" t="s">
        <v>31</v>
      </c>
      <c r="E10100" s="76" t="s">
        <v>32</v>
      </c>
      <c r="F10100" s="76">
        <v>1.5</v>
      </c>
    </row>
    <row r="10101" s="76" customFormat="1" spans="1:6">
      <c r="A10101">
        <v>10380</v>
      </c>
      <c r="B10101">
        <v>462019270</v>
      </c>
      <c r="C10101" s="76">
        <v>2019</v>
      </c>
      <c r="D10101" s="76" t="s">
        <v>31</v>
      </c>
      <c r="E10101" s="76" t="s">
        <v>32</v>
      </c>
      <c r="F10101" s="76">
        <v>0.9</v>
      </c>
    </row>
    <row r="10102" s="76" customFormat="1" spans="1:6">
      <c r="A10102">
        <v>10379</v>
      </c>
      <c r="B10102">
        <v>462019270</v>
      </c>
      <c r="C10102" s="76">
        <v>2019</v>
      </c>
      <c r="D10102" s="76" t="s">
        <v>31</v>
      </c>
      <c r="E10102" s="76" t="s">
        <v>32</v>
      </c>
      <c r="F10102" s="76">
        <v>0.43</v>
      </c>
    </row>
    <row r="10103" s="76" customFormat="1" spans="1:6">
      <c r="A10103">
        <v>10383</v>
      </c>
      <c r="B10103">
        <v>462020221</v>
      </c>
      <c r="C10103" s="76">
        <v>2020</v>
      </c>
      <c r="D10103" s="76" t="s">
        <v>30</v>
      </c>
      <c r="E10103" s="76">
        <v>1</v>
      </c>
      <c r="F10103" s="76">
        <v>46</v>
      </c>
    </row>
    <row r="10104" s="76" customFormat="1" spans="1:6">
      <c r="A10104">
        <v>10382</v>
      </c>
      <c r="B10104">
        <v>462020221</v>
      </c>
      <c r="C10104" s="76">
        <v>2020</v>
      </c>
      <c r="D10104" s="76" t="s">
        <v>30</v>
      </c>
      <c r="E10104" s="76" t="s">
        <v>32</v>
      </c>
      <c r="F10104" s="76">
        <v>50</v>
      </c>
    </row>
    <row r="10105" s="76" customFormat="1" spans="1:6">
      <c r="A10105">
        <v>10384</v>
      </c>
      <c r="B10105">
        <v>462020242</v>
      </c>
      <c r="C10105" s="76">
        <v>2020</v>
      </c>
      <c r="D10105" s="76" t="s">
        <v>35</v>
      </c>
      <c r="E10105" s="76">
        <v>1</v>
      </c>
      <c r="F10105" s="76">
        <v>2</v>
      </c>
    </row>
    <row r="10106" s="76" customFormat="1" spans="1:6">
      <c r="A10106">
        <v>10385</v>
      </c>
      <c r="B10106">
        <v>462020270</v>
      </c>
      <c r="C10106" s="76">
        <v>2020</v>
      </c>
      <c r="D10106" s="76" t="s">
        <v>31</v>
      </c>
      <c r="E10106" s="76" t="s">
        <v>32</v>
      </c>
      <c r="F10106" s="76">
        <v>0.5</v>
      </c>
    </row>
    <row r="10107" s="76" customFormat="1" spans="1:6">
      <c r="A10107">
        <v>10386</v>
      </c>
      <c r="B10107">
        <v>462021110</v>
      </c>
      <c r="C10107" s="76">
        <v>2021</v>
      </c>
      <c r="D10107" s="76" t="s">
        <v>40</v>
      </c>
      <c r="E10107" s="76" t="s">
        <v>32</v>
      </c>
      <c r="F10107" s="76">
        <v>0.6</v>
      </c>
    </row>
    <row r="10108" s="76" customFormat="1" spans="1:6">
      <c r="A10108">
        <v>10387</v>
      </c>
      <c r="B10108">
        <v>462021221</v>
      </c>
      <c r="C10108" s="76">
        <v>2021</v>
      </c>
      <c r="D10108" s="76" t="s">
        <v>30</v>
      </c>
      <c r="E10108" s="76">
        <v>1</v>
      </c>
      <c r="F10108" s="76">
        <v>48.71</v>
      </c>
    </row>
    <row r="10109" s="76" customFormat="1" spans="1:6">
      <c r="A10109">
        <v>10392</v>
      </c>
      <c r="B10109">
        <v>462021242</v>
      </c>
      <c r="C10109" s="76">
        <v>2021</v>
      </c>
      <c r="D10109" s="76" t="s">
        <v>35</v>
      </c>
      <c r="E10109" s="76" t="s">
        <v>32</v>
      </c>
      <c r="F10109" s="76">
        <v>2</v>
      </c>
    </row>
    <row r="10110" s="76" customFormat="1" spans="1:6">
      <c r="A10110">
        <v>10388</v>
      </c>
      <c r="B10110">
        <v>462021242</v>
      </c>
      <c r="C10110" s="76">
        <v>2021</v>
      </c>
      <c r="D10110" s="76" t="s">
        <v>35</v>
      </c>
      <c r="E10110" s="76">
        <v>2</v>
      </c>
      <c r="F10110" s="76">
        <v>2</v>
      </c>
    </row>
    <row r="10111" s="76" customFormat="1" spans="1:6">
      <c r="A10111">
        <v>10391</v>
      </c>
      <c r="B10111">
        <v>462021242</v>
      </c>
      <c r="C10111" s="76">
        <v>2021</v>
      </c>
      <c r="D10111" s="76" t="s">
        <v>35</v>
      </c>
      <c r="E10111" s="76" t="s">
        <v>32</v>
      </c>
      <c r="F10111" s="76">
        <v>2.5</v>
      </c>
    </row>
    <row r="10112" s="76" customFormat="1" spans="1:6">
      <c r="A10112">
        <v>10389</v>
      </c>
      <c r="B10112">
        <v>462021242</v>
      </c>
      <c r="C10112" s="76">
        <v>2021</v>
      </c>
      <c r="D10112" s="76" t="s">
        <v>35</v>
      </c>
      <c r="E10112" s="76">
        <v>1</v>
      </c>
      <c r="F10112" s="76">
        <v>1.2</v>
      </c>
    </row>
    <row r="10113" s="76" customFormat="1" spans="1:6">
      <c r="A10113">
        <v>10390</v>
      </c>
      <c r="B10113">
        <v>462021242</v>
      </c>
      <c r="C10113" s="76">
        <v>2021</v>
      </c>
      <c r="D10113" s="76" t="s">
        <v>35</v>
      </c>
      <c r="E10113" s="76" t="s">
        <v>32</v>
      </c>
      <c r="F10113" s="76">
        <v>1.88</v>
      </c>
    </row>
    <row r="10114" s="76" customFormat="1" spans="1:6">
      <c r="A10114">
        <v>10393</v>
      </c>
      <c r="B10114">
        <v>462021270</v>
      </c>
      <c r="C10114" s="76">
        <v>2021</v>
      </c>
      <c r="D10114" s="76" t="s">
        <v>31</v>
      </c>
      <c r="E10114" s="76" t="s">
        <v>32</v>
      </c>
      <c r="F10114" s="76">
        <v>0.06</v>
      </c>
    </row>
    <row r="10115" s="76" customFormat="1" spans="1:6">
      <c r="A10115">
        <v>10394</v>
      </c>
      <c r="B10115">
        <v>462021270</v>
      </c>
      <c r="C10115" s="76">
        <v>2021</v>
      </c>
      <c r="D10115" s="76" t="s">
        <v>31</v>
      </c>
      <c r="E10115" s="76" t="s">
        <v>32</v>
      </c>
      <c r="F10115" s="76">
        <v>0.03</v>
      </c>
    </row>
    <row r="10116" s="76" customFormat="1" spans="1:6">
      <c r="A10116">
        <v>10397</v>
      </c>
      <c r="B10116">
        <v>462021270</v>
      </c>
      <c r="C10116" s="76">
        <v>2021</v>
      </c>
      <c r="D10116" s="76" t="s">
        <v>31</v>
      </c>
      <c r="E10116" s="76" t="s">
        <v>32</v>
      </c>
      <c r="F10116" s="76">
        <v>20.72</v>
      </c>
    </row>
    <row r="10117" s="76" customFormat="1" spans="1:6">
      <c r="A10117">
        <v>10396</v>
      </c>
      <c r="B10117">
        <v>462021270</v>
      </c>
      <c r="C10117" s="76">
        <v>2021</v>
      </c>
      <c r="D10117" s="76" t="s">
        <v>31</v>
      </c>
      <c r="E10117" s="76" t="s">
        <v>32</v>
      </c>
      <c r="F10117" s="76">
        <v>5</v>
      </c>
    </row>
    <row r="10118" s="76" customFormat="1" spans="1:6">
      <c r="A10118">
        <v>10395</v>
      </c>
      <c r="B10118">
        <v>462021270</v>
      </c>
      <c r="C10118" s="76">
        <v>2021</v>
      </c>
      <c r="D10118" s="76" t="s">
        <v>31</v>
      </c>
      <c r="E10118" s="76" t="s">
        <v>32</v>
      </c>
      <c r="F10118" s="76">
        <v>0.12</v>
      </c>
    </row>
    <row r="10119" s="76" customFormat="1" spans="1:6">
      <c r="A10119">
        <v>10406</v>
      </c>
      <c r="B10119">
        <v>502012110</v>
      </c>
      <c r="C10119">
        <v>2012</v>
      </c>
      <c r="D10119" t="s">
        <v>40</v>
      </c>
      <c r="E10119">
        <v>1</v>
      </c>
      <c r="F10119">
        <v>1.8</v>
      </c>
    </row>
    <row r="10120" s="76" customFormat="1" spans="1:6">
      <c r="A10120">
        <v>10403</v>
      </c>
      <c r="B10120">
        <v>502012110</v>
      </c>
      <c r="C10120">
        <v>2012</v>
      </c>
      <c r="D10120" t="s">
        <v>40</v>
      </c>
      <c r="E10120">
        <v>1</v>
      </c>
      <c r="F10120">
        <v>1.2</v>
      </c>
    </row>
    <row r="10121" s="76" customFormat="1" spans="1:6">
      <c r="A10121">
        <v>10407</v>
      </c>
      <c r="B10121">
        <v>502012110</v>
      </c>
      <c r="C10121">
        <v>2012</v>
      </c>
      <c r="D10121" t="s">
        <v>40</v>
      </c>
      <c r="E10121">
        <v>1</v>
      </c>
      <c r="F10121">
        <v>1.8</v>
      </c>
    </row>
    <row r="10122" s="76" customFormat="1" spans="1:6">
      <c r="A10122">
        <v>10401</v>
      </c>
      <c r="B10122">
        <v>502012110</v>
      </c>
      <c r="C10122">
        <v>2012</v>
      </c>
      <c r="D10122" t="s">
        <v>40</v>
      </c>
      <c r="E10122">
        <v>1</v>
      </c>
      <c r="F10122">
        <v>1.25</v>
      </c>
    </row>
    <row r="10123" s="76" customFormat="1" spans="1:6">
      <c r="A10123">
        <v>10402</v>
      </c>
      <c r="B10123">
        <v>502012110</v>
      </c>
      <c r="C10123">
        <v>2012</v>
      </c>
      <c r="D10123" t="s">
        <v>40</v>
      </c>
      <c r="E10123">
        <v>1</v>
      </c>
      <c r="F10123">
        <v>1.25</v>
      </c>
    </row>
    <row r="10124" s="76" customFormat="1" spans="1:6">
      <c r="A10124">
        <v>10405</v>
      </c>
      <c r="B10124">
        <v>502012110</v>
      </c>
      <c r="C10124">
        <v>2012</v>
      </c>
      <c r="D10124" t="s">
        <v>40</v>
      </c>
      <c r="E10124">
        <v>1</v>
      </c>
      <c r="F10124">
        <v>1.05</v>
      </c>
    </row>
    <row r="10125" s="76" customFormat="1" spans="1:6">
      <c r="A10125">
        <v>10404</v>
      </c>
      <c r="B10125">
        <v>502012110</v>
      </c>
      <c r="C10125">
        <v>2012</v>
      </c>
      <c r="D10125" t="s">
        <v>40</v>
      </c>
      <c r="E10125">
        <v>1</v>
      </c>
      <c r="F10125">
        <v>1.1</v>
      </c>
    </row>
    <row r="10126" s="76" customFormat="1" spans="1:6">
      <c r="A10126">
        <v>10398</v>
      </c>
      <c r="B10126">
        <v>502012110</v>
      </c>
      <c r="C10126">
        <v>2012</v>
      </c>
      <c r="D10126" t="s">
        <v>40</v>
      </c>
      <c r="E10126">
        <v>1</v>
      </c>
      <c r="F10126">
        <v>2.5</v>
      </c>
    </row>
    <row r="10127" s="76" customFormat="1" spans="1:6">
      <c r="A10127">
        <v>10400</v>
      </c>
      <c r="B10127">
        <v>502012110</v>
      </c>
      <c r="C10127">
        <v>2012</v>
      </c>
      <c r="D10127" t="s">
        <v>40</v>
      </c>
      <c r="E10127">
        <v>1</v>
      </c>
      <c r="F10127">
        <v>2.4</v>
      </c>
    </row>
    <row r="10128" s="76" customFormat="1" spans="1:6">
      <c r="A10128">
        <v>10399</v>
      </c>
      <c r="B10128">
        <v>502012110</v>
      </c>
      <c r="C10128">
        <v>2012</v>
      </c>
      <c r="D10128" t="s">
        <v>40</v>
      </c>
      <c r="E10128">
        <v>1</v>
      </c>
      <c r="F10128">
        <v>2.4</v>
      </c>
    </row>
    <row r="10129" s="76" customFormat="1" spans="1:6">
      <c r="A10129">
        <v>10408</v>
      </c>
      <c r="B10129">
        <v>502013110</v>
      </c>
      <c r="C10129">
        <v>2013</v>
      </c>
      <c r="D10129" t="s">
        <v>40</v>
      </c>
      <c r="E10129">
        <v>3</v>
      </c>
      <c r="F10129">
        <v>13.2</v>
      </c>
    </row>
    <row r="10130" s="76" customFormat="1" spans="1:6">
      <c r="A10130">
        <v>10410</v>
      </c>
      <c r="B10130">
        <v>502013110</v>
      </c>
      <c r="C10130">
        <v>2013</v>
      </c>
      <c r="D10130" t="s">
        <v>40</v>
      </c>
      <c r="E10130">
        <v>1</v>
      </c>
      <c r="F10130">
        <v>2.4</v>
      </c>
    </row>
    <row r="10131" s="76" customFormat="1" spans="1:6">
      <c r="A10131">
        <v>10409</v>
      </c>
      <c r="B10131">
        <v>502013110</v>
      </c>
      <c r="C10131">
        <v>2013</v>
      </c>
      <c r="D10131" t="s">
        <v>40</v>
      </c>
      <c r="E10131">
        <v>2</v>
      </c>
      <c r="F10131">
        <v>12.9</v>
      </c>
    </row>
    <row r="10132" s="76" customFormat="1" spans="1:6">
      <c r="A10132">
        <v>10411</v>
      </c>
      <c r="B10132">
        <v>502013211</v>
      </c>
      <c r="C10132">
        <v>2013</v>
      </c>
      <c r="D10132" t="s">
        <v>37</v>
      </c>
      <c r="E10132">
        <v>1</v>
      </c>
      <c r="F10132">
        <v>66</v>
      </c>
    </row>
    <row r="10133" s="76" customFormat="1" spans="1:6">
      <c r="A10133">
        <v>10412</v>
      </c>
      <c r="B10133">
        <v>502013243</v>
      </c>
      <c r="C10133">
        <v>2013</v>
      </c>
      <c r="D10133" t="s">
        <v>38</v>
      </c>
      <c r="E10133">
        <v>1</v>
      </c>
      <c r="F10133">
        <v>3</v>
      </c>
    </row>
    <row r="10134" s="76" customFormat="1" spans="1:6">
      <c r="A10134">
        <v>10413</v>
      </c>
      <c r="B10134">
        <v>502013260</v>
      </c>
      <c r="C10134">
        <v>2013</v>
      </c>
      <c r="D10134" t="s">
        <v>34</v>
      </c>
      <c r="E10134">
        <v>25</v>
      </c>
      <c r="F10134">
        <v>4.95</v>
      </c>
    </row>
    <row r="10135" s="76" customFormat="1" spans="1:6">
      <c r="A10135">
        <v>10414</v>
      </c>
      <c r="B10135">
        <v>502014110</v>
      </c>
      <c r="C10135">
        <v>2014</v>
      </c>
      <c r="D10135" t="s">
        <v>40</v>
      </c>
      <c r="E10135">
        <v>8</v>
      </c>
      <c r="F10135">
        <v>1.78</v>
      </c>
    </row>
    <row r="10136" s="76" customFormat="1" spans="1:6">
      <c r="A10136">
        <v>10415</v>
      </c>
      <c r="B10136">
        <v>502014110</v>
      </c>
      <c r="C10136">
        <v>2014</v>
      </c>
      <c r="D10136" t="s">
        <v>40</v>
      </c>
      <c r="E10136">
        <v>2</v>
      </c>
      <c r="F10136">
        <v>13.5</v>
      </c>
    </row>
    <row r="10137" s="76" customFormat="1" spans="1:6">
      <c r="A10137">
        <v>10416</v>
      </c>
      <c r="B10137">
        <v>502014211</v>
      </c>
      <c r="C10137">
        <v>2014</v>
      </c>
      <c r="D10137" t="s">
        <v>37</v>
      </c>
      <c r="E10137">
        <v>2</v>
      </c>
      <c r="F10137">
        <v>70</v>
      </c>
    </row>
    <row r="10138" s="76" customFormat="1" spans="1:6">
      <c r="A10138">
        <v>10417</v>
      </c>
      <c r="B10138">
        <v>502014211</v>
      </c>
      <c r="C10138">
        <v>2014</v>
      </c>
      <c r="D10138" t="s">
        <v>37</v>
      </c>
      <c r="E10138">
        <v>1</v>
      </c>
      <c r="F10138">
        <v>66</v>
      </c>
    </row>
    <row r="10139" s="76" customFormat="1" spans="1:6">
      <c r="A10139" s="78">
        <v>10418</v>
      </c>
      <c r="B10139">
        <v>502014221</v>
      </c>
      <c r="C10139" s="78">
        <v>2014</v>
      </c>
      <c r="D10139" s="78" t="s">
        <v>30</v>
      </c>
      <c r="E10139" s="78">
        <v>2</v>
      </c>
      <c r="F10139" s="78">
        <v>93.4</v>
      </c>
    </row>
    <row r="10140" s="76" customFormat="1" spans="1:6">
      <c r="A10140">
        <v>10427</v>
      </c>
      <c r="B10140">
        <v>502015110</v>
      </c>
      <c r="C10140">
        <v>2015</v>
      </c>
      <c r="D10140" t="s">
        <v>40</v>
      </c>
      <c r="E10140" t="s">
        <v>32</v>
      </c>
      <c r="F10140">
        <v>2.56</v>
      </c>
    </row>
    <row r="10141" s="76" customFormat="1" spans="1:6">
      <c r="A10141">
        <v>10419</v>
      </c>
      <c r="B10141">
        <v>502015110</v>
      </c>
      <c r="C10141">
        <v>2015</v>
      </c>
      <c r="D10141" t="s">
        <v>40</v>
      </c>
      <c r="E10141">
        <v>3</v>
      </c>
      <c r="F10141">
        <v>1.89</v>
      </c>
    </row>
    <row r="10142" s="76" customFormat="1" spans="1:6">
      <c r="A10142">
        <v>10424</v>
      </c>
      <c r="B10142">
        <v>502015110</v>
      </c>
      <c r="C10142">
        <v>2015</v>
      </c>
      <c r="D10142" t="s">
        <v>40</v>
      </c>
      <c r="E10142" t="s">
        <v>32</v>
      </c>
      <c r="F10142">
        <v>0.04</v>
      </c>
    </row>
    <row r="10143" s="76" customFormat="1" spans="1:6">
      <c r="A10143">
        <v>10422</v>
      </c>
      <c r="B10143">
        <v>502015110</v>
      </c>
      <c r="C10143">
        <v>2015</v>
      </c>
      <c r="D10143" t="s">
        <v>40</v>
      </c>
      <c r="E10143" t="s">
        <v>32</v>
      </c>
      <c r="F10143">
        <v>1.26</v>
      </c>
    </row>
    <row r="10144" s="76" customFormat="1" spans="1:6">
      <c r="A10144">
        <v>10423</v>
      </c>
      <c r="B10144">
        <v>502015110</v>
      </c>
      <c r="C10144">
        <v>2015</v>
      </c>
      <c r="D10144" t="s">
        <v>40</v>
      </c>
      <c r="E10144" t="s">
        <v>32</v>
      </c>
      <c r="F10144">
        <v>0.8</v>
      </c>
    </row>
    <row r="10145" s="76" customFormat="1" spans="1:6">
      <c r="A10145">
        <v>10420</v>
      </c>
      <c r="B10145">
        <v>502015110</v>
      </c>
      <c r="C10145">
        <v>2015</v>
      </c>
      <c r="D10145" t="s">
        <v>40</v>
      </c>
      <c r="E10145" t="s">
        <v>32</v>
      </c>
      <c r="F10145">
        <v>0.64</v>
      </c>
    </row>
    <row r="10146" s="76" customFormat="1" spans="1:6">
      <c r="A10146">
        <v>10425</v>
      </c>
      <c r="B10146">
        <v>502015110</v>
      </c>
      <c r="C10146">
        <v>2015</v>
      </c>
      <c r="D10146" t="s">
        <v>40</v>
      </c>
      <c r="E10146" t="s">
        <v>32</v>
      </c>
      <c r="F10146">
        <v>0.34</v>
      </c>
    </row>
    <row r="10147" s="76" customFormat="1" spans="1:6">
      <c r="A10147">
        <v>10421</v>
      </c>
      <c r="B10147">
        <v>502015110</v>
      </c>
      <c r="C10147">
        <v>2015</v>
      </c>
      <c r="D10147" t="s">
        <v>40</v>
      </c>
      <c r="E10147" t="s">
        <v>32</v>
      </c>
      <c r="F10147">
        <v>1.2</v>
      </c>
    </row>
    <row r="10148" s="76" customFormat="1" spans="1:6">
      <c r="A10148">
        <v>10426</v>
      </c>
      <c r="B10148">
        <v>502015110</v>
      </c>
      <c r="C10148">
        <v>2015</v>
      </c>
      <c r="D10148" t="s">
        <v>40</v>
      </c>
      <c r="E10148" t="s">
        <v>32</v>
      </c>
      <c r="F10148">
        <v>0.98</v>
      </c>
    </row>
    <row r="10149" s="76" customFormat="1" spans="1:6">
      <c r="A10149">
        <v>10429</v>
      </c>
      <c r="B10149">
        <v>502015211</v>
      </c>
      <c r="C10149">
        <v>2015</v>
      </c>
      <c r="D10149" t="s">
        <v>37</v>
      </c>
      <c r="E10149" t="s">
        <v>32</v>
      </c>
      <c r="F10149">
        <v>66</v>
      </c>
    </row>
    <row r="10150" s="76" customFormat="1" spans="1:6">
      <c r="A10150">
        <v>10428</v>
      </c>
      <c r="B10150">
        <v>502015211</v>
      </c>
      <c r="C10150">
        <v>2015</v>
      </c>
      <c r="D10150" t="s">
        <v>37</v>
      </c>
      <c r="E10150">
        <v>2</v>
      </c>
      <c r="F10150">
        <v>210</v>
      </c>
    </row>
    <row r="10151" s="76" customFormat="1" spans="1:6">
      <c r="A10151">
        <v>10432</v>
      </c>
      <c r="B10151">
        <v>502015241</v>
      </c>
      <c r="C10151">
        <v>2015</v>
      </c>
      <c r="D10151" t="s">
        <v>33</v>
      </c>
      <c r="E10151" t="s">
        <v>32</v>
      </c>
      <c r="F10151">
        <v>4.3</v>
      </c>
    </row>
    <row r="10152" s="76" customFormat="1" spans="1:6">
      <c r="A10152">
        <v>10433</v>
      </c>
      <c r="B10152">
        <v>502015241</v>
      </c>
      <c r="C10152">
        <v>2015</v>
      </c>
      <c r="D10152" t="s">
        <v>33</v>
      </c>
      <c r="E10152" t="s">
        <v>32</v>
      </c>
      <c r="F10152">
        <v>2.5</v>
      </c>
    </row>
    <row r="10153" s="76" customFormat="1" spans="1:6">
      <c r="A10153">
        <v>10431</v>
      </c>
      <c r="B10153">
        <v>502015241</v>
      </c>
      <c r="C10153">
        <v>2015</v>
      </c>
      <c r="D10153" t="s">
        <v>33</v>
      </c>
      <c r="E10153" t="s">
        <v>32</v>
      </c>
      <c r="F10153">
        <v>0.15</v>
      </c>
    </row>
    <row r="10154" s="76" customFormat="1" spans="1:6">
      <c r="A10154">
        <v>10430</v>
      </c>
      <c r="B10154">
        <v>502015241</v>
      </c>
      <c r="C10154">
        <v>2015</v>
      </c>
      <c r="D10154" t="s">
        <v>33</v>
      </c>
      <c r="E10154" t="s">
        <v>32</v>
      </c>
      <c r="F10154">
        <v>1.5</v>
      </c>
    </row>
    <row r="10155" s="76" customFormat="1" spans="1:6">
      <c r="A10155">
        <v>10436</v>
      </c>
      <c r="B10155">
        <v>502015260</v>
      </c>
      <c r="C10155">
        <v>2015</v>
      </c>
      <c r="D10155" t="s">
        <v>34</v>
      </c>
      <c r="E10155" t="s">
        <v>32</v>
      </c>
      <c r="F10155">
        <v>10</v>
      </c>
    </row>
    <row r="10156" s="76" customFormat="1" spans="1:6">
      <c r="A10156">
        <v>10435</v>
      </c>
      <c r="B10156">
        <v>502015260</v>
      </c>
      <c r="C10156">
        <v>2015</v>
      </c>
      <c r="D10156" t="s">
        <v>34</v>
      </c>
      <c r="E10156">
        <v>1</v>
      </c>
      <c r="F10156">
        <v>3.2</v>
      </c>
    </row>
    <row r="10157" s="76" customFormat="1" spans="1:6">
      <c r="A10157">
        <v>10434</v>
      </c>
      <c r="B10157">
        <v>502015260</v>
      </c>
      <c r="C10157">
        <v>2015</v>
      </c>
      <c r="D10157" t="s">
        <v>34</v>
      </c>
      <c r="E10157">
        <v>50</v>
      </c>
      <c r="F10157">
        <v>10</v>
      </c>
    </row>
    <row r="10158" s="76" customFormat="1" spans="1:6">
      <c r="A10158">
        <v>10439</v>
      </c>
      <c r="B10158">
        <v>502016110</v>
      </c>
      <c r="C10158" s="76">
        <v>2016</v>
      </c>
      <c r="D10158" s="76" t="s">
        <v>40</v>
      </c>
      <c r="E10158" s="76" t="s">
        <v>32</v>
      </c>
      <c r="F10158" s="76">
        <v>0.7</v>
      </c>
    </row>
    <row r="10159" s="76" customFormat="1" spans="1:6">
      <c r="A10159">
        <v>10438</v>
      </c>
      <c r="B10159">
        <v>502016110</v>
      </c>
      <c r="C10159" s="76">
        <v>2016</v>
      </c>
      <c r="D10159" s="76" t="s">
        <v>40</v>
      </c>
      <c r="E10159" s="76" t="s">
        <v>32</v>
      </c>
      <c r="F10159" s="76">
        <v>1</v>
      </c>
    </row>
    <row r="10160" s="76" customFormat="1" spans="1:6">
      <c r="A10160">
        <v>10437</v>
      </c>
      <c r="B10160">
        <v>502016110</v>
      </c>
      <c r="C10160" s="76">
        <v>2016</v>
      </c>
      <c r="D10160" s="76" t="s">
        <v>40</v>
      </c>
      <c r="E10160" s="76" t="s">
        <v>32</v>
      </c>
      <c r="F10160" s="76">
        <v>0.96</v>
      </c>
    </row>
    <row r="10161" s="76" customFormat="1" spans="1:6">
      <c r="A10161">
        <v>10441</v>
      </c>
      <c r="B10161">
        <v>502016211</v>
      </c>
      <c r="C10161" s="76">
        <v>2016</v>
      </c>
      <c r="D10161" s="76" t="s">
        <v>37</v>
      </c>
      <c r="E10161" s="76">
        <v>2</v>
      </c>
      <c r="F10161" s="76">
        <v>120</v>
      </c>
    </row>
    <row r="10162" s="76" customFormat="1" spans="1:6">
      <c r="A10162">
        <v>10443</v>
      </c>
      <c r="B10162">
        <v>502016241</v>
      </c>
      <c r="C10162" s="76">
        <v>2016</v>
      </c>
      <c r="D10162" s="76" t="s">
        <v>33</v>
      </c>
      <c r="E10162" s="76" t="s">
        <v>32</v>
      </c>
      <c r="F10162" s="76">
        <v>3</v>
      </c>
    </row>
    <row r="10163" s="76" customFormat="1" spans="1:6">
      <c r="A10163">
        <v>10445</v>
      </c>
      <c r="B10163">
        <v>502016241</v>
      </c>
      <c r="C10163" s="76">
        <v>2016</v>
      </c>
      <c r="D10163" s="76" t="s">
        <v>33</v>
      </c>
      <c r="E10163" s="76" t="s">
        <v>32</v>
      </c>
      <c r="F10163" s="76">
        <v>0.6</v>
      </c>
    </row>
    <row r="10164" s="76" customFormat="1" spans="1:6">
      <c r="A10164">
        <v>10442</v>
      </c>
      <c r="B10164">
        <v>502016241</v>
      </c>
      <c r="C10164" s="76">
        <v>2016</v>
      </c>
      <c r="D10164" s="76" t="s">
        <v>33</v>
      </c>
      <c r="E10164" s="76" t="s">
        <v>32</v>
      </c>
      <c r="F10164" s="76">
        <v>0.9</v>
      </c>
    </row>
    <row r="10165" s="76" customFormat="1" spans="1:6">
      <c r="A10165">
        <v>10444</v>
      </c>
      <c r="B10165">
        <v>502016241</v>
      </c>
      <c r="C10165" s="76">
        <v>2016</v>
      </c>
      <c r="D10165" s="76" t="s">
        <v>33</v>
      </c>
      <c r="E10165" s="76" t="s">
        <v>32</v>
      </c>
      <c r="F10165" s="76">
        <v>4.9</v>
      </c>
    </row>
    <row r="10166" s="76" customFormat="1" spans="1:6">
      <c r="A10166">
        <v>10447</v>
      </c>
      <c r="B10166">
        <v>502016242</v>
      </c>
      <c r="C10166" s="76">
        <v>2016</v>
      </c>
      <c r="D10166" s="76" t="s">
        <v>35</v>
      </c>
      <c r="E10166" s="76" t="s">
        <v>32</v>
      </c>
      <c r="F10166" s="76">
        <v>1.5</v>
      </c>
    </row>
    <row r="10167" s="76" customFormat="1" spans="1:6">
      <c r="A10167">
        <v>10448</v>
      </c>
      <c r="B10167">
        <v>502016242</v>
      </c>
      <c r="C10167" s="76">
        <v>2016</v>
      </c>
      <c r="D10167" s="76" t="s">
        <v>35</v>
      </c>
      <c r="E10167" s="76" t="s">
        <v>32</v>
      </c>
      <c r="F10167" s="76">
        <v>1.2</v>
      </c>
    </row>
    <row r="10168" s="76" customFormat="1" spans="1:6">
      <c r="A10168">
        <v>10450</v>
      </c>
      <c r="B10168">
        <v>502016260</v>
      </c>
      <c r="C10168" s="76">
        <v>2016</v>
      </c>
      <c r="D10168" s="76" t="s">
        <v>34</v>
      </c>
      <c r="E10168" s="76" t="s">
        <v>32</v>
      </c>
      <c r="F10168" s="76">
        <v>4.95</v>
      </c>
    </row>
    <row r="10169" s="76" customFormat="1" spans="1:6">
      <c r="A10169">
        <v>10449</v>
      </c>
      <c r="B10169">
        <v>502016260</v>
      </c>
      <c r="C10169" s="76">
        <v>2016</v>
      </c>
      <c r="D10169" s="76" t="s">
        <v>34</v>
      </c>
      <c r="E10169" s="76">
        <v>25</v>
      </c>
      <c r="F10169" s="76">
        <v>5</v>
      </c>
    </row>
    <row r="10170" s="76" customFormat="1" spans="1:6">
      <c r="A10170">
        <v>10456</v>
      </c>
      <c r="B10170">
        <v>502017110</v>
      </c>
      <c r="C10170" s="76">
        <v>2017</v>
      </c>
      <c r="D10170" s="76" t="s">
        <v>40</v>
      </c>
      <c r="E10170" s="76" t="s">
        <v>32</v>
      </c>
      <c r="F10170" s="76">
        <v>10</v>
      </c>
    </row>
    <row r="10171" s="76" customFormat="1" spans="1:6">
      <c r="A10171">
        <v>10459</v>
      </c>
      <c r="B10171">
        <v>502017110</v>
      </c>
      <c r="C10171" s="76">
        <v>2017</v>
      </c>
      <c r="D10171" s="76" t="s">
        <v>40</v>
      </c>
      <c r="E10171" s="76" t="s">
        <v>32</v>
      </c>
      <c r="F10171" s="76">
        <v>0.2</v>
      </c>
    </row>
    <row r="10172" s="76" customFormat="1" spans="1:6">
      <c r="A10172">
        <v>10460</v>
      </c>
      <c r="B10172">
        <v>502017110</v>
      </c>
      <c r="C10172" s="76">
        <v>2017</v>
      </c>
      <c r="D10172" s="76" t="s">
        <v>40</v>
      </c>
      <c r="E10172" s="76" t="s">
        <v>32</v>
      </c>
      <c r="F10172" s="76">
        <v>20.5</v>
      </c>
    </row>
    <row r="10173" s="76" customFormat="1" spans="1:6">
      <c r="A10173">
        <v>10457</v>
      </c>
      <c r="B10173">
        <v>502017110</v>
      </c>
      <c r="C10173" s="76">
        <v>2017</v>
      </c>
      <c r="D10173" s="76" t="s">
        <v>40</v>
      </c>
      <c r="E10173" s="76" t="s">
        <v>32</v>
      </c>
      <c r="F10173" s="76">
        <v>3.64</v>
      </c>
    </row>
    <row r="10174" s="76" customFormat="1" spans="1:6">
      <c r="A10174">
        <v>10454</v>
      </c>
      <c r="B10174">
        <v>502017110</v>
      </c>
      <c r="C10174" s="76">
        <v>2017</v>
      </c>
      <c r="D10174" s="76" t="s">
        <v>40</v>
      </c>
      <c r="E10174" s="76" t="s">
        <v>32</v>
      </c>
      <c r="F10174" s="76">
        <v>2.98</v>
      </c>
    </row>
    <row r="10175" s="76" customFormat="1" spans="1:6">
      <c r="A10175">
        <v>10458</v>
      </c>
      <c r="B10175">
        <v>502017110</v>
      </c>
      <c r="C10175" s="76">
        <v>2017</v>
      </c>
      <c r="D10175" s="76" t="s">
        <v>40</v>
      </c>
      <c r="E10175" s="76" t="s">
        <v>32</v>
      </c>
      <c r="F10175" s="76">
        <v>3.5</v>
      </c>
    </row>
    <row r="10176" s="76" customFormat="1" spans="1:6">
      <c r="A10176">
        <v>10452</v>
      </c>
      <c r="B10176">
        <v>502017110</v>
      </c>
      <c r="C10176" s="76">
        <v>2017</v>
      </c>
      <c r="D10176" s="76" t="s">
        <v>40</v>
      </c>
      <c r="E10176" s="76">
        <v>3</v>
      </c>
      <c r="F10176" s="76">
        <v>13.5</v>
      </c>
    </row>
    <row r="10177" s="76" customFormat="1" spans="1:6">
      <c r="A10177">
        <v>10453</v>
      </c>
      <c r="B10177">
        <v>502017110</v>
      </c>
      <c r="C10177" s="76">
        <v>2017</v>
      </c>
      <c r="D10177" s="76" t="s">
        <v>40</v>
      </c>
      <c r="E10177" s="76">
        <v>1</v>
      </c>
      <c r="F10177" s="76">
        <v>10</v>
      </c>
    </row>
    <row r="10178" s="76" customFormat="1" spans="1:6">
      <c r="A10178">
        <v>10461</v>
      </c>
      <c r="B10178">
        <v>502017211</v>
      </c>
      <c r="C10178" s="76">
        <v>2017</v>
      </c>
      <c r="D10178" s="76" t="s">
        <v>37</v>
      </c>
      <c r="E10178" s="76" t="s">
        <v>32</v>
      </c>
      <c r="F10178" s="76">
        <v>12.5</v>
      </c>
    </row>
    <row r="10179" s="76" customFormat="1" spans="1:6">
      <c r="A10179">
        <v>10462</v>
      </c>
      <c r="B10179">
        <v>502017241</v>
      </c>
      <c r="C10179" s="76">
        <v>2017</v>
      </c>
      <c r="D10179" s="76" t="s">
        <v>33</v>
      </c>
      <c r="E10179" s="76" t="s">
        <v>32</v>
      </c>
      <c r="F10179" s="76">
        <v>0.6</v>
      </c>
    </row>
    <row r="10180" s="76" customFormat="1" spans="1:6">
      <c r="A10180">
        <v>10464</v>
      </c>
      <c r="B10180">
        <v>502017242</v>
      </c>
      <c r="C10180" s="76">
        <v>2017</v>
      </c>
      <c r="D10180" s="76" t="s">
        <v>35</v>
      </c>
      <c r="E10180" s="76" t="s">
        <v>32</v>
      </c>
      <c r="F10180" s="76">
        <v>1.2</v>
      </c>
    </row>
    <row r="10181" s="76" customFormat="1" spans="1:6">
      <c r="A10181">
        <v>10465</v>
      </c>
      <c r="B10181">
        <v>502017243</v>
      </c>
      <c r="C10181" s="76">
        <v>2017</v>
      </c>
      <c r="D10181" s="76" t="s">
        <v>38</v>
      </c>
      <c r="E10181" s="76" t="s">
        <v>32</v>
      </c>
      <c r="F10181" s="76">
        <v>3</v>
      </c>
    </row>
    <row r="10182" s="76" customFormat="1" spans="1:6">
      <c r="A10182">
        <v>10467</v>
      </c>
      <c r="B10182">
        <v>502017260</v>
      </c>
      <c r="C10182" s="76">
        <v>2017</v>
      </c>
      <c r="D10182" s="76" t="s">
        <v>34</v>
      </c>
      <c r="E10182" s="76">
        <v>1</v>
      </c>
      <c r="F10182" s="76">
        <v>2.8</v>
      </c>
    </row>
    <row r="10183" s="76" customFormat="1" spans="1:6">
      <c r="A10183">
        <v>10468</v>
      </c>
      <c r="B10183">
        <v>502017260</v>
      </c>
      <c r="C10183" s="76">
        <v>2017</v>
      </c>
      <c r="D10183" s="76" t="s">
        <v>34</v>
      </c>
      <c r="E10183" s="76" t="s">
        <v>32</v>
      </c>
      <c r="F10183" s="76">
        <v>4.95</v>
      </c>
    </row>
    <row r="10184" s="76" customFormat="1" spans="1:6">
      <c r="A10184">
        <v>10466</v>
      </c>
      <c r="B10184">
        <v>502017260</v>
      </c>
      <c r="C10184" s="76">
        <v>2017</v>
      </c>
      <c r="D10184" s="76" t="s">
        <v>34</v>
      </c>
      <c r="E10184" s="76">
        <v>30</v>
      </c>
      <c r="F10184" s="76">
        <v>6</v>
      </c>
    </row>
    <row r="10185" s="76" customFormat="1" spans="1:6">
      <c r="A10185">
        <v>10471</v>
      </c>
      <c r="B10185">
        <v>502017270</v>
      </c>
      <c r="C10185" s="76">
        <v>2017</v>
      </c>
      <c r="D10185" s="76" t="s">
        <v>31</v>
      </c>
      <c r="E10185" s="76" t="s">
        <v>32</v>
      </c>
      <c r="F10185" s="76">
        <v>2</v>
      </c>
    </row>
    <row r="10186" s="76" customFormat="1" spans="1:6">
      <c r="A10186">
        <v>10469</v>
      </c>
      <c r="B10186">
        <v>502017270</v>
      </c>
      <c r="C10186" s="76">
        <v>2017</v>
      </c>
      <c r="D10186" s="76" t="s">
        <v>31</v>
      </c>
      <c r="E10186" s="76" t="s">
        <v>32</v>
      </c>
      <c r="F10186" s="76">
        <v>7.87</v>
      </c>
    </row>
    <row r="10187" s="76" customFormat="1" spans="1:6">
      <c r="A10187">
        <v>10479</v>
      </c>
      <c r="B10187">
        <v>502018110</v>
      </c>
      <c r="C10187" s="76">
        <v>2018</v>
      </c>
      <c r="D10187" s="76" t="s">
        <v>40</v>
      </c>
      <c r="E10187" s="76" t="s">
        <v>32</v>
      </c>
      <c r="F10187" s="76">
        <v>2</v>
      </c>
    </row>
    <row r="10188" s="76" customFormat="1" spans="1:6">
      <c r="A10188">
        <v>10475</v>
      </c>
      <c r="B10188">
        <v>502018110</v>
      </c>
      <c r="C10188" s="76">
        <v>2018</v>
      </c>
      <c r="D10188" s="76" t="s">
        <v>40</v>
      </c>
      <c r="E10188" s="76" t="s">
        <v>32</v>
      </c>
      <c r="F10188" s="76">
        <v>1.38</v>
      </c>
    </row>
    <row r="10189" s="76" customFormat="1" spans="1:6">
      <c r="A10189">
        <v>10477</v>
      </c>
      <c r="B10189">
        <v>502018110</v>
      </c>
      <c r="C10189" s="76">
        <v>2018</v>
      </c>
      <c r="D10189" s="76" t="s">
        <v>40</v>
      </c>
      <c r="E10189" s="76" t="s">
        <v>32</v>
      </c>
      <c r="F10189" s="76">
        <v>1.97</v>
      </c>
    </row>
    <row r="10190" s="76" customFormat="1" spans="1:6">
      <c r="A10190">
        <v>10480</v>
      </c>
      <c r="B10190">
        <v>502018110</v>
      </c>
      <c r="C10190" s="76">
        <v>2018</v>
      </c>
      <c r="D10190" s="76" t="s">
        <v>40</v>
      </c>
      <c r="E10190" s="76" t="s">
        <v>32</v>
      </c>
      <c r="F10190" s="76">
        <v>0.66</v>
      </c>
    </row>
    <row r="10191" s="76" customFormat="1" spans="1:6">
      <c r="A10191">
        <v>10472</v>
      </c>
      <c r="B10191">
        <v>502018110</v>
      </c>
      <c r="C10191" s="76">
        <v>2018</v>
      </c>
      <c r="D10191" s="76" t="s">
        <v>40</v>
      </c>
      <c r="E10191" s="76" t="s">
        <v>32</v>
      </c>
      <c r="F10191" s="76">
        <v>0.03</v>
      </c>
    </row>
    <row r="10192" s="76" customFormat="1" spans="1:6">
      <c r="A10192">
        <v>10474</v>
      </c>
      <c r="B10192">
        <v>502018110</v>
      </c>
      <c r="C10192" s="76">
        <v>2018</v>
      </c>
      <c r="D10192" s="76" t="s">
        <v>40</v>
      </c>
      <c r="E10192" s="76" t="s">
        <v>32</v>
      </c>
      <c r="F10192" s="76">
        <v>0.75</v>
      </c>
    </row>
    <row r="10193" s="76" customFormat="1" spans="1:6">
      <c r="A10193">
        <v>10478</v>
      </c>
      <c r="B10193">
        <v>502018110</v>
      </c>
      <c r="C10193" s="76">
        <v>2018</v>
      </c>
      <c r="D10193" s="76" t="s">
        <v>40</v>
      </c>
      <c r="E10193" s="76" t="s">
        <v>32</v>
      </c>
      <c r="F10193" s="76">
        <v>1.04</v>
      </c>
    </row>
    <row r="10194" s="76" customFormat="1" spans="1:6">
      <c r="A10194">
        <v>10476</v>
      </c>
      <c r="B10194">
        <v>502018110</v>
      </c>
      <c r="C10194" s="76">
        <v>2018</v>
      </c>
      <c r="D10194" s="76" t="s">
        <v>40</v>
      </c>
      <c r="E10194" s="76" t="s">
        <v>32</v>
      </c>
      <c r="F10194" s="76">
        <v>0.7</v>
      </c>
    </row>
    <row r="10195" s="76" customFormat="1" spans="1:6">
      <c r="A10195">
        <v>10481</v>
      </c>
      <c r="B10195">
        <v>502018211</v>
      </c>
      <c r="C10195" s="76">
        <v>2018</v>
      </c>
      <c r="D10195" s="76" t="s">
        <v>37</v>
      </c>
      <c r="E10195" s="76">
        <v>2</v>
      </c>
      <c r="F10195" s="76">
        <v>0.67</v>
      </c>
    </row>
    <row r="10196" s="76" customFormat="1" spans="1:6">
      <c r="A10196">
        <v>10482</v>
      </c>
      <c r="B10196">
        <v>502018221</v>
      </c>
      <c r="C10196" s="76">
        <v>2018</v>
      </c>
      <c r="D10196" s="76" t="s">
        <v>30</v>
      </c>
      <c r="E10196" s="76">
        <v>1</v>
      </c>
      <c r="F10196" s="76">
        <v>0.85</v>
      </c>
    </row>
    <row r="10197" s="76" customFormat="1" spans="1:6">
      <c r="A10197">
        <v>10483</v>
      </c>
      <c r="B10197">
        <v>502018222</v>
      </c>
      <c r="C10197" s="76">
        <v>2018</v>
      </c>
      <c r="D10197" s="76" t="s">
        <v>43</v>
      </c>
      <c r="E10197" s="76" t="s">
        <v>32</v>
      </c>
      <c r="F10197" s="76">
        <v>0.5</v>
      </c>
    </row>
    <row r="10198" s="76" customFormat="1" spans="1:6">
      <c r="A10198">
        <v>10487</v>
      </c>
      <c r="B10198">
        <v>502018241</v>
      </c>
      <c r="C10198" s="76">
        <v>2018</v>
      </c>
      <c r="D10198" s="76" t="s">
        <v>33</v>
      </c>
      <c r="E10198" s="76">
        <v>1</v>
      </c>
      <c r="F10198" s="76">
        <v>3</v>
      </c>
    </row>
    <row r="10199" s="76" customFormat="1" spans="1:6">
      <c r="A10199">
        <v>10486</v>
      </c>
      <c r="B10199">
        <v>502018241</v>
      </c>
      <c r="C10199" s="76">
        <v>2018</v>
      </c>
      <c r="D10199" s="76" t="s">
        <v>33</v>
      </c>
      <c r="E10199" s="76">
        <v>1</v>
      </c>
      <c r="F10199" s="76">
        <v>1.2</v>
      </c>
    </row>
    <row r="10200" s="76" customFormat="1" spans="1:6">
      <c r="A10200">
        <v>10485</v>
      </c>
      <c r="B10200">
        <v>502018241</v>
      </c>
      <c r="C10200" s="76">
        <v>2018</v>
      </c>
      <c r="D10200" s="76" t="s">
        <v>33</v>
      </c>
      <c r="E10200" s="76">
        <v>1</v>
      </c>
      <c r="F10200" s="76">
        <v>1.2</v>
      </c>
    </row>
    <row r="10201" s="76" customFormat="1" spans="1:6">
      <c r="A10201">
        <v>10489</v>
      </c>
      <c r="B10201">
        <v>502018242</v>
      </c>
      <c r="C10201" s="76">
        <v>2018</v>
      </c>
      <c r="D10201" s="76" t="s">
        <v>35</v>
      </c>
      <c r="E10201" s="76">
        <v>2</v>
      </c>
      <c r="F10201" s="76">
        <v>21</v>
      </c>
    </row>
    <row r="10202" s="76" customFormat="1" spans="1:6">
      <c r="A10202">
        <v>10488</v>
      </c>
      <c r="B10202">
        <v>502018242</v>
      </c>
      <c r="C10202" s="76">
        <v>2018</v>
      </c>
      <c r="D10202" s="76" t="s">
        <v>35</v>
      </c>
      <c r="E10202" s="76">
        <v>1</v>
      </c>
      <c r="F10202" s="76">
        <v>1.8</v>
      </c>
    </row>
    <row r="10203" s="76" customFormat="1" spans="1:6">
      <c r="A10203">
        <v>10491</v>
      </c>
      <c r="B10203">
        <v>502018260</v>
      </c>
      <c r="C10203" s="76">
        <v>2018</v>
      </c>
      <c r="D10203" s="76" t="s">
        <v>34</v>
      </c>
      <c r="E10203" s="76">
        <v>1</v>
      </c>
      <c r="F10203" s="76">
        <v>0.2</v>
      </c>
    </row>
    <row r="10204" s="76" customFormat="1" spans="1:6">
      <c r="A10204">
        <v>10492</v>
      </c>
      <c r="B10204">
        <v>502018260</v>
      </c>
      <c r="C10204" s="76">
        <v>2018</v>
      </c>
      <c r="D10204" s="76" t="s">
        <v>34</v>
      </c>
      <c r="E10204" s="76" t="s">
        <v>32</v>
      </c>
      <c r="F10204" s="76">
        <v>1.89</v>
      </c>
    </row>
    <row r="10205" s="76" customFormat="1" spans="1:6">
      <c r="A10205">
        <v>10490</v>
      </c>
      <c r="B10205">
        <v>502018260</v>
      </c>
      <c r="C10205" s="76">
        <v>2018</v>
      </c>
      <c r="D10205" s="76" t="s">
        <v>34</v>
      </c>
      <c r="E10205" s="76">
        <v>55</v>
      </c>
      <c r="F10205" s="76">
        <v>11</v>
      </c>
    </row>
    <row r="10206" s="76" customFormat="1" spans="1:6">
      <c r="A10206">
        <v>10493</v>
      </c>
      <c r="B10206">
        <v>502018260</v>
      </c>
      <c r="C10206" s="76">
        <v>2018</v>
      </c>
      <c r="D10206" s="76" t="s">
        <v>34</v>
      </c>
      <c r="E10206" s="76" t="s">
        <v>32</v>
      </c>
      <c r="F10206" s="76">
        <v>6</v>
      </c>
    </row>
    <row r="10207" s="76" customFormat="1" spans="1:6">
      <c r="A10207">
        <v>10495</v>
      </c>
      <c r="B10207">
        <v>502018270</v>
      </c>
      <c r="C10207" s="76">
        <v>2018</v>
      </c>
      <c r="D10207" s="76" t="s">
        <v>31</v>
      </c>
      <c r="E10207" s="76" t="s">
        <v>32</v>
      </c>
      <c r="F10207" s="76">
        <v>2</v>
      </c>
    </row>
    <row r="10208" s="76" customFormat="1" spans="1:6">
      <c r="A10208">
        <v>10497</v>
      </c>
      <c r="B10208">
        <v>502018270</v>
      </c>
      <c r="C10208" s="76">
        <v>2018</v>
      </c>
      <c r="D10208" s="76" t="s">
        <v>31</v>
      </c>
      <c r="E10208" s="76" t="s">
        <v>32</v>
      </c>
      <c r="F10208" s="76">
        <v>18</v>
      </c>
    </row>
    <row r="10209" s="76" customFormat="1" spans="1:6">
      <c r="A10209">
        <v>10494</v>
      </c>
      <c r="B10209">
        <v>502018270</v>
      </c>
      <c r="C10209" s="76">
        <v>2018</v>
      </c>
      <c r="D10209" s="76" t="s">
        <v>31</v>
      </c>
      <c r="E10209" s="76" t="s">
        <v>32</v>
      </c>
      <c r="F10209" s="76">
        <v>2.13</v>
      </c>
    </row>
    <row r="10210" s="76" customFormat="1" spans="1:6">
      <c r="A10210">
        <v>10499</v>
      </c>
      <c r="B10210">
        <v>502019241</v>
      </c>
      <c r="C10210" s="76">
        <v>2019</v>
      </c>
      <c r="D10210" s="76" t="s">
        <v>33</v>
      </c>
      <c r="E10210" s="76" t="s">
        <v>32</v>
      </c>
      <c r="F10210" s="76">
        <v>4.9</v>
      </c>
    </row>
    <row r="10211" s="76" customFormat="1" spans="1:6">
      <c r="A10211">
        <v>10502</v>
      </c>
      <c r="B10211">
        <v>502019260</v>
      </c>
      <c r="C10211" s="76">
        <v>2019</v>
      </c>
      <c r="D10211" s="76" t="s">
        <v>34</v>
      </c>
      <c r="E10211" s="76">
        <v>25</v>
      </c>
      <c r="F10211" s="76">
        <v>5</v>
      </c>
    </row>
    <row r="10212" s="76" customFormat="1" spans="1:6">
      <c r="A10212">
        <v>10503</v>
      </c>
      <c r="B10212">
        <v>502019260</v>
      </c>
      <c r="C10212" s="76">
        <v>2019</v>
      </c>
      <c r="D10212" s="76" t="s">
        <v>34</v>
      </c>
      <c r="E10212" s="76">
        <v>8</v>
      </c>
      <c r="F10212" s="76">
        <v>2.4</v>
      </c>
    </row>
    <row r="10213" s="76" customFormat="1" spans="1:6">
      <c r="A10213">
        <v>10501</v>
      </c>
      <c r="B10213">
        <v>502019260</v>
      </c>
      <c r="C10213" s="76">
        <v>2019</v>
      </c>
      <c r="D10213" s="76" t="s">
        <v>34</v>
      </c>
      <c r="E10213" s="76">
        <v>21</v>
      </c>
      <c r="F10213" s="76">
        <v>4.2</v>
      </c>
    </row>
    <row r="10214" s="76" customFormat="1" spans="1:6">
      <c r="A10214">
        <v>10504</v>
      </c>
      <c r="B10214">
        <v>502019260</v>
      </c>
      <c r="C10214" s="76">
        <v>2019</v>
      </c>
      <c r="D10214" s="76" t="s">
        <v>34</v>
      </c>
      <c r="E10214" s="76" t="s">
        <v>32</v>
      </c>
      <c r="F10214" s="76">
        <v>4.4</v>
      </c>
    </row>
    <row r="10215" s="76" customFormat="1" spans="1:6">
      <c r="A10215">
        <v>10505</v>
      </c>
      <c r="B10215">
        <v>502019260</v>
      </c>
      <c r="C10215" s="76">
        <v>2019</v>
      </c>
      <c r="D10215" s="76" t="s">
        <v>34</v>
      </c>
      <c r="E10215" s="76" t="s">
        <v>32</v>
      </c>
      <c r="F10215" s="76">
        <v>2.4</v>
      </c>
    </row>
    <row r="10216" s="76" customFormat="1" spans="1:6">
      <c r="A10216">
        <v>10507</v>
      </c>
      <c r="B10216">
        <v>502019270</v>
      </c>
      <c r="C10216" s="76">
        <v>2019</v>
      </c>
      <c r="D10216" s="76" t="s">
        <v>31</v>
      </c>
      <c r="E10216" s="76" t="s">
        <v>32</v>
      </c>
      <c r="F10216" s="76">
        <v>19.5</v>
      </c>
    </row>
    <row r="10217" s="76" customFormat="1" spans="1:6">
      <c r="A10217">
        <v>10511</v>
      </c>
      <c r="B10217">
        <v>502020242</v>
      </c>
      <c r="C10217" s="76">
        <v>2020</v>
      </c>
      <c r="D10217" s="76" t="s">
        <v>35</v>
      </c>
      <c r="E10217" s="76" t="s">
        <v>32</v>
      </c>
      <c r="F10217" s="76">
        <v>10.65</v>
      </c>
    </row>
    <row r="10218" s="76" customFormat="1" spans="1:6">
      <c r="A10218">
        <v>10510</v>
      </c>
      <c r="B10218">
        <v>502020242</v>
      </c>
      <c r="C10218" s="76">
        <v>2020</v>
      </c>
      <c r="D10218" s="76" t="s">
        <v>35</v>
      </c>
      <c r="E10218" s="76" t="s">
        <v>32</v>
      </c>
      <c r="F10218" s="76">
        <v>1.5</v>
      </c>
    </row>
    <row r="10219" s="76" customFormat="1" spans="1:6">
      <c r="A10219">
        <v>10518</v>
      </c>
      <c r="B10219">
        <v>502020260</v>
      </c>
      <c r="C10219" s="76">
        <v>2020</v>
      </c>
      <c r="D10219" s="76" t="s">
        <v>34</v>
      </c>
      <c r="E10219" s="76" t="s">
        <v>32</v>
      </c>
      <c r="F10219" s="76">
        <v>0.25</v>
      </c>
    </row>
    <row r="10220" s="76" customFormat="1" spans="1:6">
      <c r="A10220">
        <v>10517</v>
      </c>
      <c r="B10220">
        <v>502020260</v>
      </c>
      <c r="C10220" s="76">
        <v>2020</v>
      </c>
      <c r="D10220" s="76" t="s">
        <v>34</v>
      </c>
      <c r="E10220" s="76" t="s">
        <v>32</v>
      </c>
      <c r="F10220" s="76">
        <v>3.52</v>
      </c>
    </row>
    <row r="10221" s="76" customFormat="1" spans="1:6">
      <c r="A10221">
        <v>10513</v>
      </c>
      <c r="B10221">
        <v>502020260</v>
      </c>
      <c r="C10221" s="76">
        <v>2020</v>
      </c>
      <c r="D10221" s="76" t="s">
        <v>34</v>
      </c>
      <c r="E10221" s="76">
        <v>8</v>
      </c>
      <c r="F10221" s="76">
        <v>2.4</v>
      </c>
    </row>
    <row r="10222" s="76" customFormat="1" spans="1:6">
      <c r="A10222">
        <v>10519</v>
      </c>
      <c r="B10222">
        <v>502020260</v>
      </c>
      <c r="C10222" s="76">
        <v>2020</v>
      </c>
      <c r="D10222" s="76" t="s">
        <v>34</v>
      </c>
      <c r="E10222" s="76" t="s">
        <v>32</v>
      </c>
      <c r="F10222" s="76">
        <v>0.25</v>
      </c>
    </row>
    <row r="10223" s="76" customFormat="1" spans="1:6">
      <c r="A10223">
        <v>10514</v>
      </c>
      <c r="B10223">
        <v>502020260</v>
      </c>
      <c r="C10223" s="76">
        <v>2020</v>
      </c>
      <c r="D10223" s="76" t="s">
        <v>34</v>
      </c>
      <c r="E10223" s="76">
        <v>17</v>
      </c>
      <c r="F10223" s="76">
        <v>4.4</v>
      </c>
    </row>
    <row r="10224" s="76" customFormat="1" spans="1:6">
      <c r="A10224">
        <v>10512</v>
      </c>
      <c r="B10224">
        <v>502020260</v>
      </c>
      <c r="C10224" s="76">
        <v>2020</v>
      </c>
      <c r="D10224" s="76" t="s">
        <v>34</v>
      </c>
      <c r="E10224" s="76">
        <v>40</v>
      </c>
      <c r="F10224" s="76">
        <v>8</v>
      </c>
    </row>
    <row r="10225" s="76" customFormat="1" spans="1:6">
      <c r="A10225">
        <v>10516</v>
      </c>
      <c r="B10225">
        <v>502020260</v>
      </c>
      <c r="C10225" s="76">
        <v>2020</v>
      </c>
      <c r="D10225" s="76" t="s">
        <v>34</v>
      </c>
      <c r="E10225" s="76">
        <v>28</v>
      </c>
      <c r="F10225" s="76">
        <v>8.96</v>
      </c>
    </row>
    <row r="10226" s="76" customFormat="1" spans="1:6">
      <c r="A10226">
        <v>10515</v>
      </c>
      <c r="B10226">
        <v>502020260</v>
      </c>
      <c r="C10226" s="76">
        <v>2020</v>
      </c>
      <c r="D10226" s="76" t="s">
        <v>34</v>
      </c>
      <c r="E10226" s="76">
        <v>1</v>
      </c>
      <c r="F10226" s="76">
        <v>0.25</v>
      </c>
    </row>
    <row r="10227" s="76" customFormat="1" spans="1:6">
      <c r="A10227">
        <v>10521</v>
      </c>
      <c r="B10227">
        <v>502020270</v>
      </c>
      <c r="C10227" s="76">
        <v>2020</v>
      </c>
      <c r="D10227" s="76" t="s">
        <v>31</v>
      </c>
      <c r="E10227" s="76" t="s">
        <v>32</v>
      </c>
      <c r="F10227" s="76">
        <v>3</v>
      </c>
    </row>
    <row r="10228" s="76" customFormat="1" spans="1:6">
      <c r="A10228">
        <v>10522</v>
      </c>
      <c r="B10228">
        <v>502021110</v>
      </c>
      <c r="C10228" s="76">
        <v>2021</v>
      </c>
      <c r="D10228" s="76" t="s">
        <v>40</v>
      </c>
      <c r="E10228" s="76" t="s">
        <v>32</v>
      </c>
      <c r="F10228" s="76">
        <v>3.27</v>
      </c>
    </row>
    <row r="10229" s="76" customFormat="1" spans="1:6">
      <c r="A10229">
        <v>10526</v>
      </c>
      <c r="B10229">
        <v>502021242</v>
      </c>
      <c r="C10229" s="76">
        <v>2021</v>
      </c>
      <c r="D10229" s="76" t="s">
        <v>35</v>
      </c>
      <c r="E10229" s="76" t="s">
        <v>32</v>
      </c>
      <c r="F10229" s="76">
        <v>1.2</v>
      </c>
    </row>
    <row r="10230" s="76" customFormat="1" spans="1:6">
      <c r="A10230">
        <v>10525</v>
      </c>
      <c r="B10230">
        <v>502021242</v>
      </c>
      <c r="C10230" s="76">
        <v>2021</v>
      </c>
      <c r="D10230" s="76" t="s">
        <v>35</v>
      </c>
      <c r="E10230" s="76" t="s">
        <v>32</v>
      </c>
      <c r="F10230" s="76">
        <v>1.5</v>
      </c>
    </row>
    <row r="10231" s="76" customFormat="1" spans="1:6">
      <c r="A10231">
        <v>10527</v>
      </c>
      <c r="B10231">
        <v>502021242</v>
      </c>
      <c r="C10231" s="76">
        <v>2021</v>
      </c>
      <c r="D10231" s="76" t="s">
        <v>35</v>
      </c>
      <c r="E10231" s="76" t="s">
        <v>32</v>
      </c>
      <c r="F10231" s="76">
        <v>2.5</v>
      </c>
    </row>
    <row r="10232" s="76" customFormat="1" spans="1:6">
      <c r="A10232">
        <v>10524</v>
      </c>
      <c r="B10232">
        <v>502021242</v>
      </c>
      <c r="C10232" s="76">
        <v>2021</v>
      </c>
      <c r="D10232" s="76" t="s">
        <v>35</v>
      </c>
      <c r="E10232" s="76" t="s">
        <v>32</v>
      </c>
      <c r="F10232" s="76">
        <v>9</v>
      </c>
    </row>
    <row r="10233" s="76" customFormat="1" spans="1:6">
      <c r="A10233">
        <v>10528</v>
      </c>
      <c r="B10233">
        <v>502021242</v>
      </c>
      <c r="C10233" s="76">
        <v>2021</v>
      </c>
      <c r="D10233" s="76" t="s">
        <v>35</v>
      </c>
      <c r="E10233" s="76" t="s">
        <v>32</v>
      </c>
      <c r="F10233" s="76">
        <v>1.5</v>
      </c>
    </row>
    <row r="10234" s="76" customFormat="1" spans="1:6">
      <c r="A10234">
        <v>10529</v>
      </c>
      <c r="B10234">
        <v>502021242</v>
      </c>
      <c r="C10234" s="76">
        <v>2021</v>
      </c>
      <c r="D10234" s="76" t="s">
        <v>35</v>
      </c>
      <c r="E10234" s="76" t="s">
        <v>32</v>
      </c>
      <c r="F10234" s="76">
        <v>1</v>
      </c>
    </row>
    <row r="10235" s="76" customFormat="1" spans="1:6">
      <c r="A10235">
        <v>10539</v>
      </c>
      <c r="B10235">
        <v>502021260</v>
      </c>
      <c r="C10235" s="76">
        <v>2021</v>
      </c>
      <c r="D10235" s="76" t="s">
        <v>34</v>
      </c>
      <c r="E10235" s="76" t="s">
        <v>32</v>
      </c>
      <c r="F10235" s="76">
        <v>8.32</v>
      </c>
    </row>
    <row r="10236" s="76" customFormat="1" spans="1:6">
      <c r="A10236">
        <v>10541</v>
      </c>
      <c r="B10236">
        <v>502021260</v>
      </c>
      <c r="C10236" s="76">
        <v>2021</v>
      </c>
      <c r="D10236" s="76" t="s">
        <v>34</v>
      </c>
      <c r="E10236" s="76" t="s">
        <v>32</v>
      </c>
      <c r="F10236" s="76">
        <v>4.1</v>
      </c>
    </row>
    <row r="10237" s="76" customFormat="1" spans="1:6">
      <c r="A10237">
        <v>10540</v>
      </c>
      <c r="B10237">
        <v>502021260</v>
      </c>
      <c r="C10237" s="76">
        <v>2021</v>
      </c>
      <c r="D10237" s="76" t="s">
        <v>34</v>
      </c>
      <c r="E10237" s="76" t="s">
        <v>32</v>
      </c>
      <c r="F10237" s="76">
        <v>4</v>
      </c>
    </row>
    <row r="10238" s="76" customFormat="1" spans="1:6">
      <c r="A10238">
        <v>10542</v>
      </c>
      <c r="B10238">
        <v>502021260</v>
      </c>
      <c r="C10238" s="76">
        <v>2021</v>
      </c>
      <c r="D10238" s="76" t="s">
        <v>34</v>
      </c>
      <c r="E10238" s="76" t="s">
        <v>32</v>
      </c>
      <c r="F10238" s="76">
        <v>8</v>
      </c>
    </row>
    <row r="10239" s="76" customFormat="1" spans="1:6">
      <c r="A10239">
        <v>10534</v>
      </c>
      <c r="B10239">
        <v>502021260</v>
      </c>
      <c r="C10239" s="76">
        <v>2021</v>
      </c>
      <c r="D10239" s="76" t="s">
        <v>34</v>
      </c>
      <c r="E10239" s="76">
        <v>16</v>
      </c>
      <c r="F10239" s="76">
        <v>4</v>
      </c>
    </row>
    <row r="10240" s="76" customFormat="1" spans="1:6">
      <c r="A10240">
        <v>10533</v>
      </c>
      <c r="B10240">
        <v>502021260</v>
      </c>
      <c r="C10240" s="76">
        <v>2021</v>
      </c>
      <c r="D10240" s="76" t="s">
        <v>34</v>
      </c>
      <c r="E10240" s="76">
        <v>13</v>
      </c>
      <c r="F10240" s="76">
        <v>5.6</v>
      </c>
    </row>
    <row r="10241" s="76" customFormat="1" spans="1:6">
      <c r="A10241">
        <v>10536</v>
      </c>
      <c r="B10241">
        <v>502021260</v>
      </c>
      <c r="C10241" s="76">
        <v>2021</v>
      </c>
      <c r="D10241" s="76" t="s">
        <v>34</v>
      </c>
      <c r="E10241" s="76">
        <v>6</v>
      </c>
      <c r="F10241" s="76">
        <v>1.3</v>
      </c>
    </row>
    <row r="10242" s="76" customFormat="1" spans="1:6">
      <c r="A10242">
        <v>10530</v>
      </c>
      <c r="B10242">
        <v>502021260</v>
      </c>
      <c r="C10242" s="76">
        <v>2021</v>
      </c>
      <c r="D10242" s="76" t="s">
        <v>34</v>
      </c>
      <c r="E10242" s="76">
        <v>32</v>
      </c>
      <c r="F10242" s="76">
        <v>10</v>
      </c>
    </row>
    <row r="10243" s="76" customFormat="1" spans="1:6">
      <c r="A10243">
        <v>10531</v>
      </c>
      <c r="B10243">
        <v>502021260</v>
      </c>
      <c r="C10243" s="76">
        <v>2021</v>
      </c>
      <c r="D10243" s="76" t="s">
        <v>34</v>
      </c>
      <c r="E10243" s="76">
        <v>24</v>
      </c>
      <c r="F10243" s="76">
        <v>6</v>
      </c>
    </row>
    <row r="10244" s="76" customFormat="1" spans="1:6">
      <c r="A10244">
        <v>10535</v>
      </c>
      <c r="B10244">
        <v>502021260</v>
      </c>
      <c r="C10244" s="76">
        <v>2021</v>
      </c>
      <c r="D10244" s="76" t="s">
        <v>34</v>
      </c>
      <c r="E10244" s="76">
        <v>19</v>
      </c>
      <c r="F10244" s="76">
        <v>6</v>
      </c>
    </row>
    <row r="10245" s="76" customFormat="1" spans="1:6">
      <c r="A10245">
        <v>10532</v>
      </c>
      <c r="B10245">
        <v>502021260</v>
      </c>
      <c r="C10245" s="76">
        <v>2021</v>
      </c>
      <c r="D10245" s="76" t="s">
        <v>34</v>
      </c>
      <c r="E10245" s="76">
        <v>10</v>
      </c>
      <c r="F10245" s="76">
        <v>4</v>
      </c>
    </row>
    <row r="10246" s="76" customFormat="1" spans="1:6">
      <c r="A10246">
        <v>10538</v>
      </c>
      <c r="B10246">
        <v>502021260</v>
      </c>
      <c r="C10246" s="76">
        <v>2021</v>
      </c>
      <c r="D10246" s="76" t="s">
        <v>34</v>
      </c>
      <c r="E10246" s="76">
        <v>1</v>
      </c>
      <c r="F10246" s="76">
        <v>0.33</v>
      </c>
    </row>
    <row r="10247" s="76" customFormat="1" spans="1:6">
      <c r="A10247">
        <v>10537</v>
      </c>
      <c r="B10247">
        <v>502021260</v>
      </c>
      <c r="C10247" s="76">
        <v>2021</v>
      </c>
      <c r="D10247" s="76" t="s">
        <v>34</v>
      </c>
      <c r="E10247" s="76">
        <v>22</v>
      </c>
      <c r="F10247" s="76">
        <v>7</v>
      </c>
    </row>
    <row r="10248" s="76" customFormat="1" spans="1:6">
      <c r="A10248">
        <v>10544</v>
      </c>
      <c r="B10248">
        <v>502021270</v>
      </c>
      <c r="C10248" s="76">
        <v>2021</v>
      </c>
      <c r="D10248" s="76" t="s">
        <v>31</v>
      </c>
      <c r="E10248" s="76" t="s">
        <v>32</v>
      </c>
      <c r="F10248" s="76">
        <v>6.82</v>
      </c>
    </row>
    <row r="10249" s="76" customFormat="1" spans="1:6">
      <c r="A10249">
        <v>10580</v>
      </c>
      <c r="B10249">
        <v>512012110</v>
      </c>
      <c r="C10249">
        <v>2012</v>
      </c>
      <c r="D10249" t="s">
        <v>40</v>
      </c>
      <c r="E10249">
        <v>3</v>
      </c>
      <c r="F10249">
        <v>240</v>
      </c>
    </row>
    <row r="10250" s="76" customFormat="1" spans="1:6">
      <c r="A10250">
        <v>10578</v>
      </c>
      <c r="B10250">
        <v>512012110</v>
      </c>
      <c r="C10250">
        <v>2012</v>
      </c>
      <c r="D10250" t="s">
        <v>40</v>
      </c>
      <c r="E10250">
        <v>1</v>
      </c>
      <c r="F10250">
        <v>3.8</v>
      </c>
    </row>
    <row r="10251" s="76" customFormat="1" spans="1:6">
      <c r="A10251">
        <v>10592</v>
      </c>
      <c r="B10251">
        <v>512012110</v>
      </c>
      <c r="C10251">
        <v>2012</v>
      </c>
      <c r="D10251" t="s">
        <v>40</v>
      </c>
      <c r="E10251">
        <v>2</v>
      </c>
      <c r="F10251">
        <v>2</v>
      </c>
    </row>
    <row r="10252" s="76" customFormat="1" spans="1:6">
      <c r="A10252">
        <v>10548</v>
      </c>
      <c r="B10252">
        <v>512012110</v>
      </c>
      <c r="C10252">
        <v>2012</v>
      </c>
      <c r="D10252" t="s">
        <v>40</v>
      </c>
      <c r="E10252">
        <v>2</v>
      </c>
      <c r="F10252">
        <v>0.2</v>
      </c>
    </row>
    <row r="10253" s="76" customFormat="1" spans="1:6">
      <c r="A10253">
        <v>10545</v>
      </c>
      <c r="B10253">
        <v>512012110</v>
      </c>
      <c r="C10253">
        <v>2012</v>
      </c>
      <c r="D10253" t="s">
        <v>40</v>
      </c>
      <c r="E10253">
        <v>2</v>
      </c>
      <c r="F10253">
        <v>0.8</v>
      </c>
    </row>
    <row r="10254" s="76" customFormat="1" spans="1:6">
      <c r="A10254">
        <v>10598</v>
      </c>
      <c r="B10254">
        <v>512012110</v>
      </c>
      <c r="C10254">
        <v>2012</v>
      </c>
      <c r="D10254" t="s">
        <v>40</v>
      </c>
      <c r="E10254">
        <v>2</v>
      </c>
      <c r="F10254">
        <v>4.4</v>
      </c>
    </row>
    <row r="10255" s="76" customFormat="1" spans="1:6">
      <c r="A10255">
        <v>10571</v>
      </c>
      <c r="B10255">
        <v>512012110</v>
      </c>
      <c r="C10255">
        <v>2012</v>
      </c>
      <c r="D10255" t="s">
        <v>40</v>
      </c>
      <c r="E10255">
        <v>1</v>
      </c>
      <c r="F10255">
        <v>2.8</v>
      </c>
    </row>
    <row r="10256" s="76" customFormat="1" spans="1:6">
      <c r="A10256">
        <v>10570</v>
      </c>
      <c r="B10256">
        <v>512012110</v>
      </c>
      <c r="C10256">
        <v>2012</v>
      </c>
      <c r="D10256" t="s">
        <v>40</v>
      </c>
      <c r="E10256">
        <v>1</v>
      </c>
      <c r="F10256">
        <v>2.8</v>
      </c>
    </row>
    <row r="10257" s="76" customFormat="1" spans="1:6">
      <c r="A10257">
        <v>10569</v>
      </c>
      <c r="B10257">
        <v>512012110</v>
      </c>
      <c r="C10257">
        <v>2012</v>
      </c>
      <c r="D10257" t="s">
        <v>40</v>
      </c>
      <c r="E10257">
        <v>1</v>
      </c>
      <c r="F10257">
        <v>2.8</v>
      </c>
    </row>
    <row r="10258" s="76" customFormat="1" spans="1:6">
      <c r="A10258">
        <v>10591</v>
      </c>
      <c r="B10258">
        <v>512012110</v>
      </c>
      <c r="C10258">
        <v>2012</v>
      </c>
      <c r="D10258" t="s">
        <v>40</v>
      </c>
      <c r="E10258">
        <v>1</v>
      </c>
      <c r="F10258">
        <v>2</v>
      </c>
    </row>
    <row r="10259" s="76" customFormat="1" spans="1:6">
      <c r="A10259">
        <v>10576</v>
      </c>
      <c r="B10259">
        <v>512012110</v>
      </c>
      <c r="C10259">
        <v>2012</v>
      </c>
      <c r="D10259" t="s">
        <v>40</v>
      </c>
      <c r="E10259">
        <v>3</v>
      </c>
      <c r="F10259">
        <v>7.5</v>
      </c>
    </row>
    <row r="10260" s="76" customFormat="1" spans="1:6">
      <c r="A10260">
        <v>10585</v>
      </c>
      <c r="B10260">
        <v>512012110</v>
      </c>
      <c r="C10260">
        <v>2012</v>
      </c>
      <c r="D10260" t="s">
        <v>40</v>
      </c>
      <c r="E10260">
        <v>1</v>
      </c>
      <c r="F10260">
        <v>2.2</v>
      </c>
    </row>
    <row r="10261" s="76" customFormat="1" spans="1:6">
      <c r="A10261">
        <v>10586</v>
      </c>
      <c r="B10261">
        <v>512012110</v>
      </c>
      <c r="C10261">
        <v>2012</v>
      </c>
      <c r="D10261" t="s">
        <v>40</v>
      </c>
      <c r="E10261">
        <v>1</v>
      </c>
      <c r="F10261">
        <v>2.2</v>
      </c>
    </row>
    <row r="10262" s="76" customFormat="1" spans="1:6">
      <c r="A10262">
        <v>10587</v>
      </c>
      <c r="B10262">
        <v>512012110</v>
      </c>
      <c r="C10262">
        <v>2012</v>
      </c>
      <c r="D10262" t="s">
        <v>40</v>
      </c>
      <c r="E10262">
        <v>1</v>
      </c>
      <c r="F10262">
        <v>2.2</v>
      </c>
    </row>
    <row r="10263" s="76" customFormat="1" spans="1:6">
      <c r="A10263">
        <v>10553</v>
      </c>
      <c r="B10263">
        <v>512012110</v>
      </c>
      <c r="C10263">
        <v>2012</v>
      </c>
      <c r="D10263" t="s">
        <v>40</v>
      </c>
      <c r="E10263">
        <v>1</v>
      </c>
      <c r="F10263">
        <v>3.6</v>
      </c>
    </row>
    <row r="10264" s="76" customFormat="1" spans="1:6">
      <c r="A10264">
        <v>10558</v>
      </c>
      <c r="B10264">
        <v>512012110</v>
      </c>
      <c r="C10264">
        <v>2012</v>
      </c>
      <c r="D10264" t="s">
        <v>40</v>
      </c>
      <c r="E10264">
        <v>3</v>
      </c>
      <c r="F10264">
        <v>7.5</v>
      </c>
    </row>
    <row r="10265" s="76" customFormat="1" spans="1:6">
      <c r="A10265">
        <v>10588</v>
      </c>
      <c r="B10265">
        <v>512012110</v>
      </c>
      <c r="C10265">
        <v>2012</v>
      </c>
      <c r="D10265" t="s">
        <v>40</v>
      </c>
      <c r="E10265">
        <v>1</v>
      </c>
      <c r="F10265">
        <v>2</v>
      </c>
    </row>
    <row r="10266" s="76" customFormat="1" spans="1:6">
      <c r="A10266">
        <v>10590</v>
      </c>
      <c r="B10266">
        <v>512012110</v>
      </c>
      <c r="C10266">
        <v>2012</v>
      </c>
      <c r="D10266" t="s">
        <v>40</v>
      </c>
      <c r="E10266">
        <v>1</v>
      </c>
      <c r="F10266">
        <v>2</v>
      </c>
    </row>
    <row r="10267" s="76" customFormat="1" spans="1:6">
      <c r="A10267">
        <v>10563</v>
      </c>
      <c r="B10267">
        <v>512012110</v>
      </c>
      <c r="C10267">
        <v>2012</v>
      </c>
      <c r="D10267" t="s">
        <v>40</v>
      </c>
      <c r="E10267">
        <v>1</v>
      </c>
      <c r="F10267">
        <v>3.4</v>
      </c>
    </row>
    <row r="10268" s="76" customFormat="1" spans="1:6">
      <c r="A10268">
        <v>10564</v>
      </c>
      <c r="B10268">
        <v>512012110</v>
      </c>
      <c r="C10268">
        <v>2012</v>
      </c>
      <c r="D10268" t="s">
        <v>40</v>
      </c>
      <c r="E10268">
        <v>1</v>
      </c>
      <c r="F10268">
        <v>3.4</v>
      </c>
    </row>
    <row r="10269" s="76" customFormat="1" spans="1:6">
      <c r="A10269">
        <v>10565</v>
      </c>
      <c r="B10269">
        <v>512012110</v>
      </c>
      <c r="C10269">
        <v>2012</v>
      </c>
      <c r="D10269" t="s">
        <v>40</v>
      </c>
      <c r="E10269">
        <v>1</v>
      </c>
      <c r="F10269">
        <v>3.4</v>
      </c>
    </row>
    <row r="10270" s="76" customFormat="1" spans="1:6">
      <c r="A10270">
        <v>10582</v>
      </c>
      <c r="B10270">
        <v>512012110</v>
      </c>
      <c r="C10270">
        <v>2012</v>
      </c>
      <c r="D10270" t="s">
        <v>40</v>
      </c>
      <c r="E10270">
        <v>3</v>
      </c>
      <c r="F10270">
        <v>7.2</v>
      </c>
    </row>
    <row r="10271" s="76" customFormat="1" spans="1:6">
      <c r="A10271">
        <v>10597</v>
      </c>
      <c r="B10271">
        <v>512012110</v>
      </c>
      <c r="C10271">
        <v>2012</v>
      </c>
      <c r="D10271" t="s">
        <v>40</v>
      </c>
      <c r="E10271">
        <v>1</v>
      </c>
      <c r="F10271">
        <v>0.8</v>
      </c>
    </row>
    <row r="10272" s="76" customFormat="1" spans="1:6">
      <c r="A10272">
        <v>10596</v>
      </c>
      <c r="B10272">
        <v>512012110</v>
      </c>
      <c r="C10272">
        <v>2012</v>
      </c>
      <c r="D10272" t="s">
        <v>40</v>
      </c>
      <c r="E10272">
        <v>1</v>
      </c>
      <c r="F10272">
        <v>0.8</v>
      </c>
    </row>
    <row r="10273" s="76" customFormat="1" spans="1:6">
      <c r="A10273">
        <v>10551</v>
      </c>
      <c r="B10273">
        <v>512012110</v>
      </c>
      <c r="C10273">
        <v>2012</v>
      </c>
      <c r="D10273" t="s">
        <v>40</v>
      </c>
      <c r="E10273">
        <v>1</v>
      </c>
      <c r="F10273">
        <v>3.9</v>
      </c>
    </row>
    <row r="10274" s="76" customFormat="1" spans="1:6">
      <c r="A10274">
        <v>10589</v>
      </c>
      <c r="B10274">
        <v>512012110</v>
      </c>
      <c r="C10274">
        <v>2012</v>
      </c>
      <c r="D10274" t="s">
        <v>40</v>
      </c>
      <c r="E10274">
        <v>2</v>
      </c>
      <c r="F10274">
        <v>2</v>
      </c>
    </row>
    <row r="10275" s="76" customFormat="1" spans="1:6">
      <c r="A10275">
        <v>10593</v>
      </c>
      <c r="B10275">
        <v>512012110</v>
      </c>
      <c r="C10275">
        <v>2012</v>
      </c>
      <c r="D10275" t="s">
        <v>40</v>
      </c>
      <c r="E10275">
        <v>1</v>
      </c>
      <c r="F10275">
        <v>1.8</v>
      </c>
    </row>
    <row r="10276" s="76" customFormat="1" spans="1:6">
      <c r="A10276">
        <v>10555</v>
      </c>
      <c r="B10276">
        <v>512012110</v>
      </c>
      <c r="C10276">
        <v>2012</v>
      </c>
      <c r="D10276" t="s">
        <v>40</v>
      </c>
      <c r="E10276">
        <v>1</v>
      </c>
      <c r="F10276">
        <v>14</v>
      </c>
    </row>
    <row r="10277" s="76" customFormat="1" spans="1:6">
      <c r="A10277">
        <v>10556</v>
      </c>
      <c r="B10277">
        <v>512012110</v>
      </c>
      <c r="C10277">
        <v>2012</v>
      </c>
      <c r="D10277" t="s">
        <v>40</v>
      </c>
      <c r="E10277">
        <v>1</v>
      </c>
      <c r="F10277">
        <v>14</v>
      </c>
    </row>
    <row r="10278" s="76" customFormat="1" spans="1:6">
      <c r="A10278">
        <v>10595</v>
      </c>
      <c r="B10278">
        <v>512012110</v>
      </c>
      <c r="C10278">
        <v>2012</v>
      </c>
      <c r="D10278" t="s">
        <v>40</v>
      </c>
      <c r="E10278">
        <v>3</v>
      </c>
      <c r="F10278">
        <v>1.5</v>
      </c>
    </row>
    <row r="10279" s="76" customFormat="1" spans="1:6">
      <c r="A10279">
        <v>10552</v>
      </c>
      <c r="B10279">
        <v>512012110</v>
      </c>
      <c r="C10279">
        <v>2012</v>
      </c>
      <c r="D10279" t="s">
        <v>40</v>
      </c>
      <c r="E10279">
        <v>1</v>
      </c>
      <c r="F10279">
        <v>3.8</v>
      </c>
    </row>
    <row r="10280" s="76" customFormat="1" spans="1:6">
      <c r="A10280">
        <v>10562</v>
      </c>
      <c r="B10280">
        <v>512012110</v>
      </c>
      <c r="C10280">
        <v>2012</v>
      </c>
      <c r="D10280" t="s">
        <v>40</v>
      </c>
      <c r="E10280">
        <v>1</v>
      </c>
      <c r="F10280">
        <v>6</v>
      </c>
    </row>
    <row r="10281" s="76" customFormat="1" spans="1:6">
      <c r="A10281">
        <v>10560</v>
      </c>
      <c r="B10281">
        <v>512012110</v>
      </c>
      <c r="C10281">
        <v>2012</v>
      </c>
      <c r="D10281" t="s">
        <v>40</v>
      </c>
      <c r="E10281">
        <v>1</v>
      </c>
      <c r="F10281">
        <v>6</v>
      </c>
    </row>
    <row r="10282" s="76" customFormat="1" spans="1:6">
      <c r="A10282">
        <v>10550</v>
      </c>
      <c r="B10282">
        <v>512012110</v>
      </c>
      <c r="C10282">
        <v>2012</v>
      </c>
      <c r="D10282" t="s">
        <v>40</v>
      </c>
      <c r="E10282">
        <v>2</v>
      </c>
      <c r="F10282">
        <v>4.2</v>
      </c>
    </row>
    <row r="10283" s="76" customFormat="1" spans="1:6">
      <c r="A10283">
        <v>10572</v>
      </c>
      <c r="B10283">
        <v>512012110</v>
      </c>
      <c r="C10283">
        <v>2012</v>
      </c>
      <c r="D10283" t="s">
        <v>40</v>
      </c>
      <c r="E10283">
        <v>2</v>
      </c>
      <c r="F10283">
        <v>2.4</v>
      </c>
    </row>
    <row r="10284" s="76" customFormat="1" spans="1:6">
      <c r="A10284">
        <v>10549</v>
      </c>
      <c r="B10284">
        <v>512012110</v>
      </c>
      <c r="C10284">
        <v>2012</v>
      </c>
      <c r="D10284" t="s">
        <v>40</v>
      </c>
      <c r="E10284">
        <v>4</v>
      </c>
      <c r="F10284">
        <v>0.2</v>
      </c>
    </row>
    <row r="10285" s="76" customFormat="1" spans="1:6">
      <c r="A10285">
        <v>10581</v>
      </c>
      <c r="B10285">
        <v>512012110</v>
      </c>
      <c r="C10285">
        <v>2012</v>
      </c>
      <c r="D10285" t="s">
        <v>40</v>
      </c>
      <c r="E10285">
        <v>4</v>
      </c>
      <c r="F10285">
        <v>28</v>
      </c>
    </row>
    <row r="10286" s="76" customFormat="1" spans="1:6">
      <c r="A10286">
        <v>10567</v>
      </c>
      <c r="B10286">
        <v>512012110</v>
      </c>
      <c r="C10286">
        <v>2012</v>
      </c>
      <c r="D10286" t="s">
        <v>40</v>
      </c>
      <c r="E10286">
        <v>1</v>
      </c>
      <c r="F10286">
        <v>2.9</v>
      </c>
    </row>
    <row r="10287" s="76" customFormat="1" spans="1:6">
      <c r="A10287">
        <v>10568</v>
      </c>
      <c r="B10287">
        <v>512012110</v>
      </c>
      <c r="C10287">
        <v>2012</v>
      </c>
      <c r="D10287" t="s">
        <v>40</v>
      </c>
      <c r="E10287">
        <v>1</v>
      </c>
      <c r="F10287">
        <v>2.9</v>
      </c>
    </row>
    <row r="10288" s="76" customFormat="1" spans="1:6">
      <c r="A10288">
        <v>10575</v>
      </c>
      <c r="B10288">
        <v>512012110</v>
      </c>
      <c r="C10288">
        <v>2012</v>
      </c>
      <c r="D10288" t="s">
        <v>40</v>
      </c>
      <c r="E10288">
        <v>2</v>
      </c>
      <c r="F10288">
        <v>0.8</v>
      </c>
    </row>
    <row r="10289" s="76" customFormat="1" spans="1:6">
      <c r="A10289">
        <v>10574</v>
      </c>
      <c r="B10289">
        <v>512012110</v>
      </c>
      <c r="C10289">
        <v>2012</v>
      </c>
      <c r="D10289" t="s">
        <v>40</v>
      </c>
      <c r="E10289">
        <v>2</v>
      </c>
      <c r="F10289">
        <v>0.8</v>
      </c>
    </row>
    <row r="10290" s="76" customFormat="1" spans="1:6">
      <c r="A10290">
        <v>10584</v>
      </c>
      <c r="B10290">
        <v>512012110</v>
      </c>
      <c r="C10290">
        <v>2012</v>
      </c>
      <c r="D10290" t="s">
        <v>40</v>
      </c>
      <c r="E10290">
        <v>3</v>
      </c>
      <c r="F10290">
        <v>180</v>
      </c>
    </row>
    <row r="10291" s="76" customFormat="1" spans="1:6">
      <c r="A10291">
        <v>10583</v>
      </c>
      <c r="B10291">
        <v>512012110</v>
      </c>
      <c r="C10291">
        <v>2012</v>
      </c>
      <c r="D10291" t="s">
        <v>40</v>
      </c>
      <c r="E10291">
        <v>1</v>
      </c>
      <c r="F10291">
        <v>60</v>
      </c>
    </row>
    <row r="10292" s="76" customFormat="1" spans="1:6">
      <c r="A10292">
        <v>10577</v>
      </c>
      <c r="B10292">
        <v>512012110</v>
      </c>
      <c r="C10292">
        <v>2012</v>
      </c>
      <c r="D10292" t="s">
        <v>40</v>
      </c>
      <c r="E10292">
        <v>2</v>
      </c>
      <c r="F10292">
        <v>46</v>
      </c>
    </row>
    <row r="10293" s="76" customFormat="1" spans="1:6">
      <c r="A10293">
        <v>10554</v>
      </c>
      <c r="B10293">
        <v>512012110</v>
      </c>
      <c r="C10293">
        <v>2012</v>
      </c>
      <c r="D10293" t="s">
        <v>40</v>
      </c>
      <c r="E10293">
        <v>2</v>
      </c>
      <c r="F10293">
        <v>4.9</v>
      </c>
    </row>
    <row r="10294" s="76" customFormat="1" spans="1:6">
      <c r="A10294">
        <v>10594</v>
      </c>
      <c r="B10294">
        <v>512012110</v>
      </c>
      <c r="C10294">
        <v>2012</v>
      </c>
      <c r="D10294" t="s">
        <v>40</v>
      </c>
      <c r="E10294">
        <v>1</v>
      </c>
      <c r="F10294">
        <v>1.8</v>
      </c>
    </row>
    <row r="10295" s="76" customFormat="1" spans="1:6">
      <c r="A10295">
        <v>10566</v>
      </c>
      <c r="B10295">
        <v>512012110</v>
      </c>
      <c r="C10295">
        <v>2012</v>
      </c>
      <c r="D10295" t="s">
        <v>40</v>
      </c>
      <c r="E10295">
        <v>2</v>
      </c>
      <c r="F10295">
        <v>3</v>
      </c>
    </row>
    <row r="10296" s="76" customFormat="1" spans="1:6">
      <c r="A10296">
        <v>10546</v>
      </c>
      <c r="B10296">
        <v>512012110</v>
      </c>
      <c r="C10296">
        <v>2012</v>
      </c>
      <c r="D10296" t="s">
        <v>40</v>
      </c>
      <c r="E10296">
        <v>1</v>
      </c>
      <c r="F10296">
        <v>0.4</v>
      </c>
    </row>
    <row r="10297" s="76" customFormat="1" spans="1:6">
      <c r="A10297">
        <v>10547</v>
      </c>
      <c r="B10297">
        <v>512012110</v>
      </c>
      <c r="C10297">
        <v>2012</v>
      </c>
      <c r="D10297" t="s">
        <v>40</v>
      </c>
      <c r="E10297">
        <v>1</v>
      </c>
      <c r="F10297">
        <v>0.4</v>
      </c>
    </row>
    <row r="10298" s="76" customFormat="1" spans="1:6">
      <c r="A10298">
        <v>10557</v>
      </c>
      <c r="B10298">
        <v>512012110</v>
      </c>
      <c r="C10298">
        <v>2012</v>
      </c>
      <c r="D10298" t="s">
        <v>40</v>
      </c>
      <c r="E10298">
        <v>2</v>
      </c>
      <c r="F10298">
        <v>7.6</v>
      </c>
    </row>
    <row r="10299" s="76" customFormat="1" spans="1:6">
      <c r="A10299">
        <v>10561</v>
      </c>
      <c r="B10299">
        <v>512012110</v>
      </c>
      <c r="C10299">
        <v>2012</v>
      </c>
      <c r="D10299" t="s">
        <v>40</v>
      </c>
      <c r="E10299">
        <v>1</v>
      </c>
      <c r="F10299">
        <v>6</v>
      </c>
    </row>
    <row r="10300" s="76" customFormat="1" spans="1:6">
      <c r="A10300">
        <v>10559</v>
      </c>
      <c r="B10300">
        <v>512012110</v>
      </c>
      <c r="C10300">
        <v>2012</v>
      </c>
      <c r="D10300" t="s">
        <v>40</v>
      </c>
      <c r="E10300">
        <v>1</v>
      </c>
      <c r="F10300">
        <v>6</v>
      </c>
    </row>
    <row r="10301" s="76" customFormat="1" spans="1:6">
      <c r="A10301">
        <v>10573</v>
      </c>
      <c r="B10301">
        <v>512012110</v>
      </c>
      <c r="C10301">
        <v>2012</v>
      </c>
      <c r="D10301" t="s">
        <v>40</v>
      </c>
      <c r="E10301">
        <v>2</v>
      </c>
      <c r="F10301">
        <v>2.4</v>
      </c>
    </row>
    <row r="10302" s="76" customFormat="1" spans="1:6">
      <c r="A10302">
        <v>10579</v>
      </c>
      <c r="B10302">
        <v>512012110</v>
      </c>
      <c r="C10302">
        <v>2012</v>
      </c>
      <c r="D10302" t="s">
        <v>40</v>
      </c>
      <c r="E10302">
        <v>3</v>
      </c>
      <c r="F10302">
        <v>6</v>
      </c>
    </row>
    <row r="10303" s="76" customFormat="1" spans="1:6">
      <c r="A10303">
        <v>10599</v>
      </c>
      <c r="B10303">
        <v>512012211</v>
      </c>
      <c r="C10303">
        <v>2012</v>
      </c>
      <c r="D10303" t="s">
        <v>37</v>
      </c>
      <c r="E10303">
        <v>1</v>
      </c>
      <c r="F10303">
        <v>60</v>
      </c>
    </row>
    <row r="10304" s="76" customFormat="1" spans="1:6">
      <c r="A10304">
        <v>10600</v>
      </c>
      <c r="B10304">
        <v>512012211</v>
      </c>
      <c r="C10304">
        <v>2012</v>
      </c>
      <c r="D10304" t="s">
        <v>37</v>
      </c>
      <c r="E10304">
        <v>1</v>
      </c>
      <c r="F10304">
        <v>2.2</v>
      </c>
    </row>
    <row r="10305" s="76" customFormat="1" spans="1:6">
      <c r="A10305">
        <v>10601</v>
      </c>
      <c r="B10305">
        <v>512012241</v>
      </c>
      <c r="C10305">
        <v>2012</v>
      </c>
      <c r="D10305" t="s">
        <v>33</v>
      </c>
      <c r="E10305">
        <v>3</v>
      </c>
      <c r="F10305">
        <v>0.18</v>
      </c>
    </row>
    <row r="10306" s="76" customFormat="1" spans="1:6">
      <c r="A10306">
        <v>10603</v>
      </c>
      <c r="B10306">
        <v>512012242</v>
      </c>
      <c r="C10306">
        <v>2012</v>
      </c>
      <c r="D10306" t="s">
        <v>35</v>
      </c>
      <c r="E10306">
        <v>1</v>
      </c>
      <c r="F10306">
        <v>1.2</v>
      </c>
    </row>
    <row r="10307" s="76" customFormat="1" spans="1:6">
      <c r="A10307">
        <v>10602</v>
      </c>
      <c r="B10307">
        <v>512012242</v>
      </c>
      <c r="C10307">
        <v>2012</v>
      </c>
      <c r="D10307" t="s">
        <v>35</v>
      </c>
      <c r="E10307">
        <v>2</v>
      </c>
      <c r="F10307">
        <v>3.6</v>
      </c>
    </row>
    <row r="10308" s="76" customFormat="1" spans="1:6">
      <c r="A10308">
        <v>10610</v>
      </c>
      <c r="B10308">
        <v>512013110</v>
      </c>
      <c r="C10308">
        <v>2013</v>
      </c>
      <c r="D10308" t="s">
        <v>40</v>
      </c>
      <c r="E10308">
        <v>2</v>
      </c>
      <c r="F10308">
        <v>55</v>
      </c>
    </row>
    <row r="10309" s="76" customFormat="1" spans="1:6">
      <c r="A10309">
        <v>10613</v>
      </c>
      <c r="B10309">
        <v>512013110</v>
      </c>
      <c r="C10309">
        <v>2013</v>
      </c>
      <c r="D10309" t="s">
        <v>40</v>
      </c>
      <c r="E10309">
        <v>2</v>
      </c>
      <c r="F10309">
        <v>7.6</v>
      </c>
    </row>
    <row r="10310" s="76" customFormat="1" spans="1:6">
      <c r="A10310">
        <v>10628</v>
      </c>
      <c r="B10310">
        <v>512013110</v>
      </c>
      <c r="C10310">
        <v>2013</v>
      </c>
      <c r="D10310" t="s">
        <v>40</v>
      </c>
      <c r="E10310">
        <v>4</v>
      </c>
      <c r="F10310">
        <v>0.3</v>
      </c>
    </row>
    <row r="10311" s="76" customFormat="1" spans="1:6">
      <c r="A10311">
        <v>10605</v>
      </c>
      <c r="B10311">
        <v>512013110</v>
      </c>
      <c r="C10311">
        <v>2013</v>
      </c>
      <c r="D10311" t="s">
        <v>40</v>
      </c>
      <c r="E10311">
        <v>2</v>
      </c>
      <c r="F10311">
        <v>1.4</v>
      </c>
    </row>
    <row r="10312" s="76" customFormat="1" spans="1:6">
      <c r="A10312">
        <v>10625</v>
      </c>
      <c r="B10312">
        <v>512013110</v>
      </c>
      <c r="C10312">
        <v>2013</v>
      </c>
      <c r="D10312" t="s">
        <v>40</v>
      </c>
      <c r="E10312">
        <v>2</v>
      </c>
      <c r="F10312">
        <v>10</v>
      </c>
    </row>
    <row r="10313" s="76" customFormat="1" spans="1:6">
      <c r="A10313">
        <v>10626</v>
      </c>
      <c r="B10313">
        <v>512013110</v>
      </c>
      <c r="C10313">
        <v>2013</v>
      </c>
      <c r="D10313" t="s">
        <v>40</v>
      </c>
      <c r="E10313">
        <v>2</v>
      </c>
      <c r="F10313">
        <v>2</v>
      </c>
    </row>
    <row r="10314" s="76" customFormat="1" spans="1:6">
      <c r="A10314">
        <v>10604</v>
      </c>
      <c r="B10314">
        <v>512013110</v>
      </c>
      <c r="C10314">
        <v>2013</v>
      </c>
      <c r="D10314" t="s">
        <v>40</v>
      </c>
      <c r="E10314">
        <v>2</v>
      </c>
      <c r="F10314">
        <v>2.48</v>
      </c>
    </row>
    <row r="10315" s="76" customFormat="1" spans="1:6">
      <c r="A10315">
        <v>10623</v>
      </c>
      <c r="B10315">
        <v>512013110</v>
      </c>
      <c r="C10315">
        <v>2013</v>
      </c>
      <c r="D10315" t="s">
        <v>40</v>
      </c>
      <c r="E10315">
        <v>2</v>
      </c>
      <c r="F10315">
        <v>2.4</v>
      </c>
    </row>
    <row r="10316" s="76" customFormat="1" spans="1:6">
      <c r="A10316">
        <v>10609</v>
      </c>
      <c r="B10316">
        <v>512013110</v>
      </c>
      <c r="C10316">
        <v>2013</v>
      </c>
      <c r="D10316" t="s">
        <v>40</v>
      </c>
      <c r="E10316">
        <v>2</v>
      </c>
      <c r="F10316">
        <v>10</v>
      </c>
    </row>
    <row r="10317" s="76" customFormat="1" spans="1:6">
      <c r="A10317">
        <v>10606</v>
      </c>
      <c r="B10317">
        <v>512013110</v>
      </c>
      <c r="C10317">
        <v>2013</v>
      </c>
      <c r="D10317" t="s">
        <v>40</v>
      </c>
      <c r="E10317">
        <v>1</v>
      </c>
      <c r="F10317">
        <v>12</v>
      </c>
    </row>
    <row r="10318" s="76" customFormat="1" spans="1:6">
      <c r="A10318">
        <v>10627</v>
      </c>
      <c r="B10318">
        <v>512013110</v>
      </c>
      <c r="C10318">
        <v>2013</v>
      </c>
      <c r="D10318" t="s">
        <v>40</v>
      </c>
      <c r="E10318">
        <v>2</v>
      </c>
      <c r="F10318">
        <v>0.32</v>
      </c>
    </row>
    <row r="10319" s="76" customFormat="1" spans="1:6">
      <c r="A10319">
        <v>10616</v>
      </c>
      <c r="B10319">
        <v>512013110</v>
      </c>
      <c r="C10319">
        <v>2013</v>
      </c>
      <c r="D10319" t="s">
        <v>40</v>
      </c>
      <c r="E10319">
        <v>3</v>
      </c>
      <c r="F10319">
        <v>240</v>
      </c>
    </row>
    <row r="10320" s="76" customFormat="1" spans="1:6">
      <c r="A10320">
        <v>10607</v>
      </c>
      <c r="B10320">
        <v>512013110</v>
      </c>
      <c r="C10320">
        <v>2013</v>
      </c>
      <c r="D10320" t="s">
        <v>40</v>
      </c>
      <c r="E10320">
        <v>2</v>
      </c>
      <c r="F10320">
        <v>6.8</v>
      </c>
    </row>
    <row r="10321" s="76" customFormat="1" spans="1:6">
      <c r="A10321">
        <v>10624</v>
      </c>
      <c r="B10321">
        <v>512013110</v>
      </c>
      <c r="C10321">
        <v>2013</v>
      </c>
      <c r="D10321" t="s">
        <v>40</v>
      </c>
      <c r="E10321">
        <v>2</v>
      </c>
      <c r="F10321">
        <v>2</v>
      </c>
    </row>
    <row r="10322" s="76" customFormat="1" spans="1:6">
      <c r="A10322">
        <v>10608</v>
      </c>
      <c r="B10322">
        <v>512013110</v>
      </c>
      <c r="C10322">
        <v>2013</v>
      </c>
      <c r="D10322" t="s">
        <v>40</v>
      </c>
      <c r="E10322">
        <v>2</v>
      </c>
      <c r="F10322">
        <v>4.5</v>
      </c>
    </row>
    <row r="10323" s="76" customFormat="1" spans="1:6">
      <c r="A10323">
        <v>10612</v>
      </c>
      <c r="B10323">
        <v>512013110</v>
      </c>
      <c r="C10323">
        <v>2013</v>
      </c>
      <c r="D10323" t="s">
        <v>40</v>
      </c>
      <c r="E10323">
        <v>2</v>
      </c>
      <c r="F10323">
        <v>0.74</v>
      </c>
    </row>
    <row r="10324" s="76" customFormat="1" spans="1:6">
      <c r="A10324">
        <v>10614</v>
      </c>
      <c r="B10324">
        <v>512013110</v>
      </c>
      <c r="C10324">
        <v>2013</v>
      </c>
      <c r="D10324" t="s">
        <v>40</v>
      </c>
      <c r="E10324">
        <v>2</v>
      </c>
      <c r="F10324">
        <v>24</v>
      </c>
    </row>
    <row r="10325" s="76" customFormat="1" spans="1:6">
      <c r="A10325">
        <v>10620</v>
      </c>
      <c r="B10325">
        <v>512013110</v>
      </c>
      <c r="C10325">
        <v>2013</v>
      </c>
      <c r="D10325" t="s">
        <v>40</v>
      </c>
      <c r="E10325">
        <v>1</v>
      </c>
      <c r="F10325">
        <v>60</v>
      </c>
    </row>
    <row r="10326" s="76" customFormat="1" spans="1:6">
      <c r="A10326">
        <v>10619</v>
      </c>
      <c r="B10326">
        <v>512013110</v>
      </c>
      <c r="C10326">
        <v>2013</v>
      </c>
      <c r="D10326" t="s">
        <v>40</v>
      </c>
      <c r="E10326">
        <v>3</v>
      </c>
      <c r="F10326">
        <v>180</v>
      </c>
    </row>
    <row r="10327" s="76" customFormat="1" spans="1:6">
      <c r="A10327">
        <v>10618</v>
      </c>
      <c r="B10327">
        <v>512013110</v>
      </c>
      <c r="C10327">
        <v>2013</v>
      </c>
      <c r="D10327" t="s">
        <v>40</v>
      </c>
      <c r="E10327">
        <v>4</v>
      </c>
      <c r="F10327">
        <v>240</v>
      </c>
    </row>
    <row r="10328" s="76" customFormat="1" spans="1:6">
      <c r="A10328">
        <v>10611</v>
      </c>
      <c r="B10328">
        <v>512013110</v>
      </c>
      <c r="C10328">
        <v>2013</v>
      </c>
      <c r="D10328" t="s">
        <v>40</v>
      </c>
      <c r="E10328">
        <v>4</v>
      </c>
      <c r="F10328">
        <v>10.5</v>
      </c>
    </row>
    <row r="10329" s="76" customFormat="1" spans="1:6">
      <c r="A10329">
        <v>10615</v>
      </c>
      <c r="B10329">
        <v>512013110</v>
      </c>
      <c r="C10329">
        <v>2013</v>
      </c>
      <c r="D10329" t="s">
        <v>40</v>
      </c>
      <c r="E10329">
        <v>2</v>
      </c>
      <c r="F10329">
        <v>1</v>
      </c>
    </row>
    <row r="10330" s="76" customFormat="1" spans="1:6">
      <c r="A10330">
        <v>10621</v>
      </c>
      <c r="B10330">
        <v>512013110</v>
      </c>
      <c r="C10330">
        <v>2013</v>
      </c>
      <c r="D10330" t="s">
        <v>40</v>
      </c>
      <c r="E10330">
        <v>2</v>
      </c>
      <c r="F10330">
        <v>8</v>
      </c>
    </row>
    <row r="10331" s="76" customFormat="1" spans="1:6">
      <c r="A10331">
        <v>10622</v>
      </c>
      <c r="B10331">
        <v>512013110</v>
      </c>
      <c r="C10331">
        <v>2013</v>
      </c>
      <c r="D10331" t="s">
        <v>40</v>
      </c>
      <c r="E10331">
        <v>1</v>
      </c>
      <c r="F10331">
        <v>4</v>
      </c>
    </row>
    <row r="10332" s="76" customFormat="1" spans="1:6">
      <c r="A10332">
        <v>10617</v>
      </c>
      <c r="B10332">
        <v>512013110</v>
      </c>
      <c r="C10332">
        <v>2013</v>
      </c>
      <c r="D10332" t="s">
        <v>40</v>
      </c>
      <c r="E10332">
        <v>3</v>
      </c>
      <c r="F10332">
        <v>9.3</v>
      </c>
    </row>
    <row r="10333" s="76" customFormat="1" spans="1:6">
      <c r="A10333">
        <v>10629</v>
      </c>
      <c r="B10333">
        <v>512013211</v>
      </c>
      <c r="C10333">
        <v>2013</v>
      </c>
      <c r="D10333" t="s">
        <v>37</v>
      </c>
      <c r="E10333">
        <v>1</v>
      </c>
      <c r="F10333">
        <v>60</v>
      </c>
    </row>
    <row r="10334" s="76" customFormat="1" spans="1:6">
      <c r="A10334">
        <v>10630</v>
      </c>
      <c r="B10334">
        <v>512013230</v>
      </c>
      <c r="C10334">
        <v>2013</v>
      </c>
      <c r="D10334" t="s">
        <v>45</v>
      </c>
      <c r="E10334">
        <v>3</v>
      </c>
      <c r="F10334">
        <v>15</v>
      </c>
    </row>
    <row r="10335" s="76" customFormat="1" spans="1:6">
      <c r="A10335">
        <v>10632</v>
      </c>
      <c r="B10335">
        <v>512013241</v>
      </c>
      <c r="C10335">
        <v>2013</v>
      </c>
      <c r="D10335" t="s">
        <v>33</v>
      </c>
      <c r="E10335">
        <v>1</v>
      </c>
      <c r="F10335">
        <v>5</v>
      </c>
    </row>
    <row r="10336" s="76" customFormat="1" spans="1:6">
      <c r="A10336">
        <v>10631</v>
      </c>
      <c r="B10336">
        <v>512013241</v>
      </c>
      <c r="C10336">
        <v>2013</v>
      </c>
      <c r="D10336" t="s">
        <v>33</v>
      </c>
      <c r="E10336">
        <v>7</v>
      </c>
      <c r="F10336">
        <v>24.1</v>
      </c>
    </row>
    <row r="10337" s="76" customFormat="1" spans="1:6">
      <c r="A10337">
        <v>10633</v>
      </c>
      <c r="B10337">
        <v>512013242</v>
      </c>
      <c r="C10337">
        <v>2013</v>
      </c>
      <c r="D10337" t="s">
        <v>35</v>
      </c>
      <c r="E10337">
        <v>1</v>
      </c>
      <c r="F10337">
        <v>1.2</v>
      </c>
    </row>
    <row r="10338" s="76" customFormat="1" spans="1:6">
      <c r="A10338">
        <v>10634</v>
      </c>
      <c r="B10338">
        <v>512013260</v>
      </c>
      <c r="C10338">
        <v>2013</v>
      </c>
      <c r="D10338" t="s">
        <v>34</v>
      </c>
      <c r="E10338">
        <v>42</v>
      </c>
      <c r="F10338">
        <v>9.35</v>
      </c>
    </row>
    <row r="10339" s="76" customFormat="1" spans="1:6">
      <c r="A10339">
        <v>10635</v>
      </c>
      <c r="B10339">
        <v>512013270</v>
      </c>
      <c r="C10339">
        <v>2013</v>
      </c>
      <c r="D10339" t="s">
        <v>31</v>
      </c>
      <c r="E10339" t="s">
        <v>32</v>
      </c>
      <c r="F10339">
        <v>0.21</v>
      </c>
    </row>
    <row r="10340" s="76" customFormat="1" spans="1:6">
      <c r="A10340">
        <v>10636</v>
      </c>
      <c r="B10340">
        <v>512013270</v>
      </c>
      <c r="C10340">
        <v>2013</v>
      </c>
      <c r="D10340" t="s">
        <v>31</v>
      </c>
      <c r="E10340" t="s">
        <v>32</v>
      </c>
      <c r="F10340">
        <v>0.11</v>
      </c>
    </row>
    <row r="10341" s="76" customFormat="1" spans="1:6">
      <c r="A10341">
        <v>10637</v>
      </c>
      <c r="B10341">
        <v>512013270</v>
      </c>
      <c r="C10341">
        <v>2013</v>
      </c>
      <c r="D10341" t="s">
        <v>31</v>
      </c>
      <c r="E10341" t="s">
        <v>32</v>
      </c>
      <c r="F10341">
        <v>3</v>
      </c>
    </row>
    <row r="10342" s="76" customFormat="1" spans="1:6">
      <c r="A10342">
        <v>10653</v>
      </c>
      <c r="B10342">
        <v>512014110</v>
      </c>
      <c r="C10342">
        <v>2014</v>
      </c>
      <c r="D10342" t="s">
        <v>40</v>
      </c>
      <c r="E10342">
        <v>2</v>
      </c>
      <c r="F10342">
        <v>55</v>
      </c>
    </row>
    <row r="10343" s="76" customFormat="1" spans="1:6">
      <c r="A10343">
        <v>10641</v>
      </c>
      <c r="B10343">
        <v>512014110</v>
      </c>
      <c r="C10343">
        <v>2014</v>
      </c>
      <c r="D10343" t="s">
        <v>40</v>
      </c>
      <c r="E10343">
        <v>2</v>
      </c>
      <c r="F10343">
        <v>160</v>
      </c>
    </row>
    <row r="10344" s="76" customFormat="1" spans="1:6">
      <c r="A10344">
        <v>10638</v>
      </c>
      <c r="B10344">
        <v>512014110</v>
      </c>
      <c r="C10344">
        <v>2014</v>
      </c>
      <c r="D10344" t="s">
        <v>40</v>
      </c>
      <c r="E10344">
        <v>2</v>
      </c>
      <c r="F10344">
        <v>38</v>
      </c>
    </row>
    <row r="10345" s="76" customFormat="1" spans="1:6">
      <c r="A10345">
        <v>10649</v>
      </c>
      <c r="B10345">
        <v>512014110</v>
      </c>
      <c r="C10345">
        <v>2014</v>
      </c>
      <c r="D10345" t="s">
        <v>40</v>
      </c>
      <c r="E10345">
        <v>3</v>
      </c>
      <c r="F10345">
        <v>3.15</v>
      </c>
    </row>
    <row r="10346" s="76" customFormat="1" spans="1:6">
      <c r="A10346">
        <v>10668</v>
      </c>
      <c r="B10346">
        <v>512014110</v>
      </c>
      <c r="C10346">
        <v>2014</v>
      </c>
      <c r="D10346" t="s">
        <v>40</v>
      </c>
      <c r="E10346">
        <v>1</v>
      </c>
      <c r="F10346">
        <v>0.5</v>
      </c>
    </row>
    <row r="10347" s="76" customFormat="1" spans="1:6">
      <c r="A10347">
        <v>10661</v>
      </c>
      <c r="B10347">
        <v>512014110</v>
      </c>
      <c r="C10347">
        <v>2014</v>
      </c>
      <c r="D10347" t="s">
        <v>40</v>
      </c>
      <c r="E10347">
        <v>2</v>
      </c>
      <c r="F10347">
        <v>1.8</v>
      </c>
    </row>
    <row r="10348" s="76" customFormat="1" spans="1:6">
      <c r="A10348">
        <v>10643</v>
      </c>
      <c r="B10348">
        <v>512014110</v>
      </c>
      <c r="C10348">
        <v>2014</v>
      </c>
      <c r="D10348" t="s">
        <v>40</v>
      </c>
      <c r="E10348">
        <v>2</v>
      </c>
      <c r="F10348">
        <v>10</v>
      </c>
    </row>
    <row r="10349" s="76" customFormat="1" spans="1:6">
      <c r="A10349">
        <v>10667</v>
      </c>
      <c r="B10349">
        <v>512014110</v>
      </c>
      <c r="C10349">
        <v>2014</v>
      </c>
      <c r="D10349" t="s">
        <v>40</v>
      </c>
      <c r="E10349">
        <v>2</v>
      </c>
      <c r="F10349">
        <v>1</v>
      </c>
    </row>
    <row r="10350" s="76" customFormat="1" spans="1:6">
      <c r="A10350">
        <v>10659</v>
      </c>
      <c r="B10350">
        <v>512014110</v>
      </c>
      <c r="C10350">
        <v>2014</v>
      </c>
      <c r="D10350" t="s">
        <v>40</v>
      </c>
      <c r="E10350">
        <v>2</v>
      </c>
      <c r="F10350">
        <v>2</v>
      </c>
    </row>
    <row r="10351" s="76" customFormat="1" spans="1:6">
      <c r="A10351">
        <v>10657</v>
      </c>
      <c r="B10351">
        <v>512014110</v>
      </c>
      <c r="C10351">
        <v>2014</v>
      </c>
      <c r="D10351" t="s">
        <v>40</v>
      </c>
      <c r="E10351">
        <v>2</v>
      </c>
      <c r="F10351">
        <v>2.1</v>
      </c>
    </row>
    <row r="10352" s="76" customFormat="1" spans="1:6">
      <c r="A10352">
        <v>10652</v>
      </c>
      <c r="B10352">
        <v>512014110</v>
      </c>
      <c r="C10352">
        <v>2014</v>
      </c>
      <c r="D10352" t="s">
        <v>40</v>
      </c>
      <c r="E10352">
        <v>1</v>
      </c>
      <c r="F10352">
        <v>2.4</v>
      </c>
    </row>
    <row r="10353" s="76" customFormat="1" spans="1:6">
      <c r="A10353">
        <v>10654</v>
      </c>
      <c r="B10353">
        <v>512014110</v>
      </c>
      <c r="C10353">
        <v>2014</v>
      </c>
      <c r="D10353" t="s">
        <v>40</v>
      </c>
      <c r="E10353">
        <v>1</v>
      </c>
      <c r="F10353">
        <v>2.4</v>
      </c>
    </row>
    <row r="10354" s="76" customFormat="1" spans="1:6">
      <c r="A10354">
        <v>10640</v>
      </c>
      <c r="B10354">
        <v>512014110</v>
      </c>
      <c r="C10354">
        <v>2014</v>
      </c>
      <c r="D10354" t="s">
        <v>40</v>
      </c>
      <c r="E10354">
        <v>6</v>
      </c>
      <c r="F10354">
        <v>4.44</v>
      </c>
    </row>
    <row r="10355" s="76" customFormat="1" spans="1:6">
      <c r="A10355">
        <v>10646</v>
      </c>
      <c r="B10355">
        <v>512014110</v>
      </c>
      <c r="C10355">
        <v>2014</v>
      </c>
      <c r="D10355" t="s">
        <v>40</v>
      </c>
      <c r="E10355">
        <v>1</v>
      </c>
      <c r="F10355">
        <v>12</v>
      </c>
    </row>
    <row r="10356" s="76" customFormat="1" spans="1:6">
      <c r="A10356">
        <v>10642</v>
      </c>
      <c r="B10356">
        <v>512014110</v>
      </c>
      <c r="C10356">
        <v>2014</v>
      </c>
      <c r="D10356" t="s">
        <v>40</v>
      </c>
      <c r="E10356">
        <v>4</v>
      </c>
      <c r="F10356">
        <v>240</v>
      </c>
    </row>
    <row r="10357" s="76" customFormat="1" spans="1:6">
      <c r="A10357">
        <v>10639</v>
      </c>
      <c r="B10357">
        <v>512014110</v>
      </c>
      <c r="C10357">
        <v>2014</v>
      </c>
      <c r="D10357" t="s">
        <v>40</v>
      </c>
      <c r="E10357">
        <v>2</v>
      </c>
      <c r="F10357">
        <v>120</v>
      </c>
    </row>
    <row r="10358" s="76" customFormat="1" spans="1:6">
      <c r="A10358">
        <v>10665</v>
      </c>
      <c r="B10358">
        <v>512014110</v>
      </c>
      <c r="C10358">
        <v>2014</v>
      </c>
      <c r="D10358" t="s">
        <v>40</v>
      </c>
      <c r="E10358">
        <v>2</v>
      </c>
      <c r="F10358">
        <v>1.35</v>
      </c>
    </row>
    <row r="10359" s="76" customFormat="1" spans="1:6">
      <c r="A10359">
        <v>10660</v>
      </c>
      <c r="B10359">
        <v>512014110</v>
      </c>
      <c r="C10359">
        <v>2014</v>
      </c>
      <c r="D10359" t="s">
        <v>40</v>
      </c>
      <c r="E10359">
        <v>2</v>
      </c>
      <c r="F10359">
        <v>2</v>
      </c>
    </row>
    <row r="10360" s="76" customFormat="1" spans="1:6">
      <c r="A10360">
        <v>10647</v>
      </c>
      <c r="B10360">
        <v>512014110</v>
      </c>
      <c r="C10360">
        <v>2014</v>
      </c>
      <c r="D10360" t="s">
        <v>40</v>
      </c>
      <c r="E10360">
        <v>2</v>
      </c>
      <c r="F10360">
        <v>9.6</v>
      </c>
    </row>
    <row r="10361" s="76" customFormat="1" spans="1:6">
      <c r="A10361">
        <v>10666</v>
      </c>
      <c r="B10361">
        <v>512014110</v>
      </c>
      <c r="C10361">
        <v>2014</v>
      </c>
      <c r="D10361" t="s">
        <v>40</v>
      </c>
      <c r="E10361">
        <v>1</v>
      </c>
      <c r="F10361">
        <v>1.2</v>
      </c>
    </row>
    <row r="10362" s="76" customFormat="1" spans="1:6">
      <c r="A10362">
        <v>10655</v>
      </c>
      <c r="B10362">
        <v>512014110</v>
      </c>
      <c r="C10362">
        <v>2014</v>
      </c>
      <c r="D10362" t="s">
        <v>40</v>
      </c>
      <c r="E10362">
        <v>2</v>
      </c>
      <c r="F10362">
        <v>2.4</v>
      </c>
    </row>
    <row r="10363" s="76" customFormat="1" spans="1:6">
      <c r="A10363">
        <v>10651</v>
      </c>
      <c r="B10363">
        <v>512014110</v>
      </c>
      <c r="C10363">
        <v>2014</v>
      </c>
      <c r="D10363" t="s">
        <v>40</v>
      </c>
      <c r="E10363">
        <v>2</v>
      </c>
      <c r="F10363">
        <v>3</v>
      </c>
    </row>
    <row r="10364" s="76" customFormat="1" spans="1:6">
      <c r="A10364">
        <v>10664</v>
      </c>
      <c r="B10364">
        <v>512014110</v>
      </c>
      <c r="C10364">
        <v>2014</v>
      </c>
      <c r="D10364" t="s">
        <v>40</v>
      </c>
      <c r="E10364">
        <v>1</v>
      </c>
      <c r="F10364">
        <v>1.5</v>
      </c>
    </row>
    <row r="10365" s="76" customFormat="1" spans="1:6">
      <c r="A10365">
        <v>10658</v>
      </c>
      <c r="B10365">
        <v>512014110</v>
      </c>
      <c r="C10365">
        <v>2014</v>
      </c>
      <c r="D10365" t="s">
        <v>40</v>
      </c>
      <c r="E10365">
        <v>2</v>
      </c>
      <c r="F10365">
        <v>2.06</v>
      </c>
    </row>
    <row r="10366" s="76" customFormat="1" spans="1:6">
      <c r="A10366">
        <v>10644</v>
      </c>
      <c r="B10366">
        <v>512014110</v>
      </c>
      <c r="C10366">
        <v>2014</v>
      </c>
      <c r="D10366" t="s">
        <v>40</v>
      </c>
      <c r="E10366">
        <v>3</v>
      </c>
      <c r="F10366">
        <v>13.2</v>
      </c>
    </row>
    <row r="10367" s="76" customFormat="1" spans="1:6">
      <c r="A10367">
        <v>10645</v>
      </c>
      <c r="B10367">
        <v>512014110</v>
      </c>
      <c r="C10367">
        <v>2014</v>
      </c>
      <c r="D10367" t="s">
        <v>40</v>
      </c>
      <c r="E10367">
        <v>3</v>
      </c>
      <c r="F10367">
        <v>21</v>
      </c>
    </row>
    <row r="10368" s="76" customFormat="1" spans="1:6">
      <c r="A10368">
        <v>10663</v>
      </c>
      <c r="B10368">
        <v>512014110</v>
      </c>
      <c r="C10368">
        <v>2014</v>
      </c>
      <c r="D10368" t="s">
        <v>40</v>
      </c>
      <c r="E10368">
        <v>2</v>
      </c>
      <c r="F10368">
        <v>1.5</v>
      </c>
    </row>
    <row r="10369" s="76" customFormat="1" spans="1:6">
      <c r="A10369">
        <v>10648</v>
      </c>
      <c r="B10369">
        <v>512014110</v>
      </c>
      <c r="C10369">
        <v>2014</v>
      </c>
      <c r="D10369" t="s">
        <v>40</v>
      </c>
      <c r="E10369">
        <v>2</v>
      </c>
      <c r="F10369">
        <v>10</v>
      </c>
    </row>
    <row r="10370" s="76" customFormat="1" spans="1:6">
      <c r="A10370">
        <v>10650</v>
      </c>
      <c r="B10370">
        <v>512014110</v>
      </c>
      <c r="C10370">
        <v>2014</v>
      </c>
      <c r="D10370" t="s">
        <v>40</v>
      </c>
      <c r="E10370">
        <v>3</v>
      </c>
      <c r="F10370">
        <v>12</v>
      </c>
    </row>
    <row r="10371" s="76" customFormat="1" spans="1:6">
      <c r="A10371">
        <v>10656</v>
      </c>
      <c r="B10371">
        <v>512014110</v>
      </c>
      <c r="C10371">
        <v>2014</v>
      </c>
      <c r="D10371" t="s">
        <v>40</v>
      </c>
      <c r="E10371">
        <v>3</v>
      </c>
      <c r="F10371">
        <v>2.2</v>
      </c>
    </row>
    <row r="10372" s="76" customFormat="1" spans="1:6">
      <c r="A10372">
        <v>10662</v>
      </c>
      <c r="B10372">
        <v>512014110</v>
      </c>
      <c r="C10372">
        <v>2014</v>
      </c>
      <c r="D10372" t="s">
        <v>40</v>
      </c>
      <c r="E10372">
        <v>1</v>
      </c>
      <c r="F10372">
        <v>1.5</v>
      </c>
    </row>
    <row r="10373" s="76" customFormat="1" spans="1:6">
      <c r="A10373">
        <v>10670</v>
      </c>
      <c r="B10373">
        <v>512014241</v>
      </c>
      <c r="C10373">
        <v>2014</v>
      </c>
      <c r="D10373" t="s">
        <v>33</v>
      </c>
      <c r="E10373">
        <v>1</v>
      </c>
      <c r="F10373">
        <v>5</v>
      </c>
    </row>
    <row r="10374" s="76" customFormat="1" spans="1:6">
      <c r="A10374">
        <v>10669</v>
      </c>
      <c r="B10374">
        <v>512014241</v>
      </c>
      <c r="C10374">
        <v>2014</v>
      </c>
      <c r="D10374" t="s">
        <v>33</v>
      </c>
      <c r="E10374">
        <v>1</v>
      </c>
      <c r="F10374">
        <v>5</v>
      </c>
    </row>
    <row r="10375" s="76" customFormat="1" spans="1:6">
      <c r="A10375">
        <v>10672</v>
      </c>
      <c r="B10375">
        <v>512014242</v>
      </c>
      <c r="C10375">
        <v>2014</v>
      </c>
      <c r="D10375" t="s">
        <v>35</v>
      </c>
      <c r="E10375">
        <v>1</v>
      </c>
      <c r="F10375">
        <v>1.2</v>
      </c>
    </row>
    <row r="10376" s="76" customFormat="1" spans="1:6">
      <c r="A10376">
        <v>10671</v>
      </c>
      <c r="B10376">
        <v>512014242</v>
      </c>
      <c r="C10376">
        <v>2014</v>
      </c>
      <c r="D10376" t="s">
        <v>35</v>
      </c>
      <c r="E10376">
        <v>1</v>
      </c>
      <c r="F10376">
        <v>1.2</v>
      </c>
    </row>
    <row r="10377" s="76" customFormat="1" spans="1:6">
      <c r="A10377">
        <v>10679</v>
      </c>
      <c r="B10377">
        <v>512014260</v>
      </c>
      <c r="C10377">
        <v>2014</v>
      </c>
      <c r="D10377" t="s">
        <v>34</v>
      </c>
      <c r="E10377">
        <v>20</v>
      </c>
      <c r="F10377">
        <v>3</v>
      </c>
    </row>
    <row r="10378" s="76" customFormat="1" spans="1:6">
      <c r="A10378">
        <v>10680</v>
      </c>
      <c r="B10378">
        <v>512014260</v>
      </c>
      <c r="C10378">
        <v>2014</v>
      </c>
      <c r="D10378" t="s">
        <v>34</v>
      </c>
      <c r="E10378">
        <v>13</v>
      </c>
      <c r="F10378">
        <v>1.95</v>
      </c>
    </row>
    <row r="10379" s="76" customFormat="1" spans="1:6">
      <c r="A10379">
        <v>10681</v>
      </c>
      <c r="B10379">
        <v>512014260</v>
      </c>
      <c r="C10379">
        <v>2014</v>
      </c>
      <c r="D10379" t="s">
        <v>34</v>
      </c>
      <c r="E10379">
        <v>12</v>
      </c>
      <c r="F10379">
        <v>1.8</v>
      </c>
    </row>
    <row r="10380" s="76" customFormat="1" spans="1:6">
      <c r="A10380">
        <v>10678</v>
      </c>
      <c r="B10380">
        <v>512014260</v>
      </c>
      <c r="C10380">
        <v>2014</v>
      </c>
      <c r="D10380" t="s">
        <v>34</v>
      </c>
      <c r="E10380">
        <v>21</v>
      </c>
      <c r="F10380">
        <v>3.15</v>
      </c>
    </row>
    <row r="10381" s="76" customFormat="1" spans="1:6">
      <c r="A10381">
        <v>10674</v>
      </c>
      <c r="B10381">
        <v>512014260</v>
      </c>
      <c r="C10381">
        <v>2014</v>
      </c>
      <c r="D10381" t="s">
        <v>34</v>
      </c>
      <c r="E10381">
        <v>33</v>
      </c>
      <c r="F10381">
        <v>4.95</v>
      </c>
    </row>
    <row r="10382" s="76" customFormat="1" spans="1:6">
      <c r="A10382">
        <v>10673</v>
      </c>
      <c r="B10382">
        <v>512014260</v>
      </c>
      <c r="C10382">
        <v>2014</v>
      </c>
      <c r="D10382" t="s">
        <v>34</v>
      </c>
      <c r="E10382">
        <v>20</v>
      </c>
      <c r="F10382">
        <v>3</v>
      </c>
    </row>
    <row r="10383" s="76" customFormat="1" spans="1:6">
      <c r="A10383">
        <v>10675</v>
      </c>
      <c r="B10383">
        <v>512014260</v>
      </c>
      <c r="C10383">
        <v>2014</v>
      </c>
      <c r="D10383" t="s">
        <v>34</v>
      </c>
      <c r="E10383">
        <v>33</v>
      </c>
      <c r="F10383">
        <v>4.95</v>
      </c>
    </row>
    <row r="10384" s="76" customFormat="1" spans="1:6">
      <c r="A10384">
        <v>10676</v>
      </c>
      <c r="B10384">
        <v>512014260</v>
      </c>
      <c r="C10384">
        <v>2014</v>
      </c>
      <c r="D10384" t="s">
        <v>34</v>
      </c>
      <c r="E10384">
        <v>33</v>
      </c>
      <c r="F10384">
        <v>4.95</v>
      </c>
    </row>
    <row r="10385" s="76" customFormat="1" spans="1:6">
      <c r="A10385">
        <v>10677</v>
      </c>
      <c r="B10385">
        <v>512014260</v>
      </c>
      <c r="C10385">
        <v>2014</v>
      </c>
      <c r="D10385" t="s">
        <v>34</v>
      </c>
      <c r="E10385">
        <v>24</v>
      </c>
      <c r="F10385">
        <v>4.8</v>
      </c>
    </row>
    <row r="10386" s="76" customFormat="1" spans="1:6">
      <c r="A10386">
        <v>10682</v>
      </c>
      <c r="B10386">
        <v>512014270</v>
      </c>
      <c r="C10386">
        <v>2014</v>
      </c>
      <c r="D10386" t="s">
        <v>31</v>
      </c>
      <c r="E10386"/>
      <c r="F10386">
        <v>2</v>
      </c>
    </row>
    <row r="10387" s="76" customFormat="1" spans="1:6">
      <c r="A10387">
        <v>10706</v>
      </c>
      <c r="B10387">
        <v>512015110</v>
      </c>
      <c r="C10387">
        <v>2015</v>
      </c>
      <c r="D10387" t="s">
        <v>40</v>
      </c>
      <c r="E10387">
        <v>1</v>
      </c>
      <c r="F10387">
        <v>2.4</v>
      </c>
    </row>
    <row r="10388" s="76" customFormat="1" spans="1:6">
      <c r="A10388">
        <v>10686</v>
      </c>
      <c r="B10388">
        <v>512015110</v>
      </c>
      <c r="C10388">
        <v>2015</v>
      </c>
      <c r="D10388" t="s">
        <v>40</v>
      </c>
      <c r="E10388">
        <v>4</v>
      </c>
      <c r="F10388">
        <v>80</v>
      </c>
    </row>
    <row r="10389" s="76" customFormat="1" spans="1:6">
      <c r="A10389">
        <v>10684</v>
      </c>
      <c r="B10389">
        <v>512015110</v>
      </c>
      <c r="C10389">
        <v>2015</v>
      </c>
      <c r="D10389" t="s">
        <v>40</v>
      </c>
      <c r="E10389">
        <v>4</v>
      </c>
      <c r="F10389">
        <v>44</v>
      </c>
    </row>
    <row r="10390" s="76" customFormat="1" spans="1:6">
      <c r="A10390">
        <v>10688</v>
      </c>
      <c r="B10390">
        <v>512015110</v>
      </c>
      <c r="C10390">
        <v>2015</v>
      </c>
      <c r="D10390" t="s">
        <v>40</v>
      </c>
      <c r="E10390">
        <v>3</v>
      </c>
      <c r="F10390">
        <v>45</v>
      </c>
    </row>
    <row r="10391" s="76" customFormat="1" spans="1:6">
      <c r="A10391">
        <v>10693</v>
      </c>
      <c r="B10391">
        <v>512015110</v>
      </c>
      <c r="C10391">
        <v>2015</v>
      </c>
      <c r="D10391" t="s">
        <v>40</v>
      </c>
      <c r="E10391">
        <v>1</v>
      </c>
      <c r="F10391">
        <v>1.2</v>
      </c>
    </row>
    <row r="10392" s="76" customFormat="1" spans="1:6">
      <c r="A10392">
        <v>10704</v>
      </c>
      <c r="B10392">
        <v>512015110</v>
      </c>
      <c r="C10392">
        <v>2015</v>
      </c>
      <c r="D10392" t="s">
        <v>40</v>
      </c>
      <c r="E10392" t="s">
        <v>32</v>
      </c>
      <c r="F10392">
        <v>39.2</v>
      </c>
    </row>
    <row r="10393" s="76" customFormat="1" spans="1:6">
      <c r="A10393">
        <v>10698</v>
      </c>
      <c r="B10393">
        <v>512015110</v>
      </c>
      <c r="C10393">
        <v>2015</v>
      </c>
      <c r="D10393" t="s">
        <v>40</v>
      </c>
      <c r="E10393">
        <v>2</v>
      </c>
      <c r="F10393">
        <v>0.5</v>
      </c>
    </row>
    <row r="10394" s="76" customFormat="1" spans="1:6">
      <c r="A10394">
        <v>10699</v>
      </c>
      <c r="B10394">
        <v>512015110</v>
      </c>
      <c r="C10394">
        <v>2015</v>
      </c>
      <c r="D10394" t="s">
        <v>40</v>
      </c>
      <c r="E10394">
        <v>4</v>
      </c>
      <c r="F10394">
        <v>0.51</v>
      </c>
    </row>
    <row r="10395" s="76" customFormat="1" spans="1:6">
      <c r="A10395">
        <v>10705</v>
      </c>
      <c r="B10395">
        <v>512015110</v>
      </c>
      <c r="C10395">
        <v>2015</v>
      </c>
      <c r="D10395" t="s">
        <v>40</v>
      </c>
      <c r="E10395">
        <v>1</v>
      </c>
      <c r="F10395">
        <v>0.4</v>
      </c>
    </row>
    <row r="10396" s="76" customFormat="1" spans="1:6">
      <c r="A10396">
        <v>10702</v>
      </c>
      <c r="B10396">
        <v>512015110</v>
      </c>
      <c r="C10396">
        <v>2015</v>
      </c>
      <c r="D10396" t="s">
        <v>40</v>
      </c>
      <c r="E10396">
        <v>2</v>
      </c>
      <c r="F10396">
        <v>9</v>
      </c>
    </row>
    <row r="10397" s="76" customFormat="1" spans="1:6">
      <c r="A10397">
        <v>10690</v>
      </c>
      <c r="B10397">
        <v>512015110</v>
      </c>
      <c r="C10397">
        <v>2015</v>
      </c>
      <c r="D10397" t="s">
        <v>40</v>
      </c>
      <c r="E10397">
        <v>1</v>
      </c>
      <c r="F10397">
        <v>8</v>
      </c>
    </row>
    <row r="10398" s="76" customFormat="1" spans="1:6">
      <c r="A10398">
        <v>10696</v>
      </c>
      <c r="B10398">
        <v>512015110</v>
      </c>
      <c r="C10398">
        <v>2015</v>
      </c>
      <c r="D10398" t="s">
        <v>40</v>
      </c>
      <c r="E10398">
        <v>1</v>
      </c>
      <c r="F10398">
        <v>8</v>
      </c>
    </row>
    <row r="10399" s="76" customFormat="1" spans="1:6">
      <c r="A10399">
        <v>10695</v>
      </c>
      <c r="B10399">
        <v>512015110</v>
      </c>
      <c r="C10399">
        <v>2015</v>
      </c>
      <c r="D10399" t="s">
        <v>40</v>
      </c>
      <c r="E10399">
        <v>1</v>
      </c>
      <c r="F10399">
        <v>2.4</v>
      </c>
    </row>
    <row r="10400" s="76" customFormat="1" spans="1:6">
      <c r="A10400">
        <v>10691</v>
      </c>
      <c r="B10400">
        <v>512015110</v>
      </c>
      <c r="C10400">
        <v>2015</v>
      </c>
      <c r="D10400" t="s">
        <v>40</v>
      </c>
      <c r="E10400">
        <v>2</v>
      </c>
      <c r="F10400">
        <v>8.1</v>
      </c>
    </row>
    <row r="10401" s="76" customFormat="1" spans="1:6">
      <c r="A10401">
        <v>10689</v>
      </c>
      <c r="B10401">
        <v>512015110</v>
      </c>
      <c r="C10401">
        <v>2015</v>
      </c>
      <c r="D10401" t="s">
        <v>40</v>
      </c>
      <c r="E10401">
        <v>2</v>
      </c>
      <c r="F10401">
        <v>10.8</v>
      </c>
    </row>
    <row r="10402" s="76" customFormat="1" spans="1:6">
      <c r="A10402">
        <v>10694</v>
      </c>
      <c r="B10402">
        <v>512015110</v>
      </c>
      <c r="C10402">
        <v>2015</v>
      </c>
      <c r="D10402" t="s">
        <v>40</v>
      </c>
      <c r="E10402">
        <v>2</v>
      </c>
      <c r="F10402">
        <v>6</v>
      </c>
    </row>
    <row r="10403" s="76" customFormat="1" spans="1:6">
      <c r="A10403">
        <v>10707</v>
      </c>
      <c r="B10403">
        <v>512015110</v>
      </c>
      <c r="C10403">
        <v>2015</v>
      </c>
      <c r="D10403" t="s">
        <v>40</v>
      </c>
      <c r="E10403" t="s">
        <v>32</v>
      </c>
      <c r="F10403">
        <v>2</v>
      </c>
    </row>
    <row r="10404" s="76" customFormat="1" spans="1:6">
      <c r="A10404">
        <v>10700</v>
      </c>
      <c r="B10404">
        <v>512015110</v>
      </c>
      <c r="C10404">
        <v>2015</v>
      </c>
      <c r="D10404" t="s">
        <v>40</v>
      </c>
      <c r="E10404">
        <v>4</v>
      </c>
      <c r="F10404">
        <v>0.29</v>
      </c>
    </row>
    <row r="10405" s="76" customFormat="1" spans="1:6">
      <c r="A10405">
        <v>10709</v>
      </c>
      <c r="B10405">
        <v>512015110</v>
      </c>
      <c r="C10405">
        <v>2015</v>
      </c>
      <c r="D10405" t="s">
        <v>40</v>
      </c>
      <c r="E10405" t="s">
        <v>32</v>
      </c>
      <c r="F10405">
        <v>2.48</v>
      </c>
    </row>
    <row r="10406" s="76" customFormat="1" spans="1:6">
      <c r="A10406">
        <v>10701</v>
      </c>
      <c r="B10406">
        <v>512015110</v>
      </c>
      <c r="C10406">
        <v>2015</v>
      </c>
      <c r="D10406" t="s">
        <v>40</v>
      </c>
      <c r="E10406">
        <v>3</v>
      </c>
      <c r="F10406">
        <v>9.3</v>
      </c>
    </row>
    <row r="10407" s="76" customFormat="1" spans="1:6">
      <c r="A10407">
        <v>10712</v>
      </c>
      <c r="B10407">
        <v>512015110</v>
      </c>
      <c r="C10407">
        <v>2015</v>
      </c>
      <c r="D10407" t="s">
        <v>40</v>
      </c>
      <c r="E10407" t="s">
        <v>32</v>
      </c>
      <c r="F10407">
        <v>1.13</v>
      </c>
    </row>
    <row r="10408" s="76" customFormat="1" spans="1:6">
      <c r="A10408">
        <v>10692</v>
      </c>
      <c r="B10408">
        <v>512015110</v>
      </c>
      <c r="C10408">
        <v>2015</v>
      </c>
      <c r="D10408" t="s">
        <v>40</v>
      </c>
      <c r="E10408">
        <v>4</v>
      </c>
      <c r="F10408">
        <v>260</v>
      </c>
    </row>
    <row r="10409" s="76" customFormat="1" spans="1:6">
      <c r="A10409">
        <v>10685</v>
      </c>
      <c r="B10409">
        <v>512015110</v>
      </c>
      <c r="C10409">
        <v>2015</v>
      </c>
      <c r="D10409" t="s">
        <v>40</v>
      </c>
      <c r="E10409">
        <v>4</v>
      </c>
      <c r="F10409">
        <v>72</v>
      </c>
    </row>
    <row r="10410" s="76" customFormat="1" spans="1:6">
      <c r="A10410">
        <v>10687</v>
      </c>
      <c r="B10410">
        <v>512015110</v>
      </c>
      <c r="C10410">
        <v>2015</v>
      </c>
      <c r="D10410" t="s">
        <v>40</v>
      </c>
      <c r="E10410">
        <v>2</v>
      </c>
      <c r="F10410">
        <v>4.8</v>
      </c>
    </row>
    <row r="10411" s="76" customFormat="1" spans="1:6">
      <c r="A10411">
        <v>10683</v>
      </c>
      <c r="B10411">
        <v>512015110</v>
      </c>
      <c r="C10411">
        <v>2015</v>
      </c>
      <c r="D10411" t="s">
        <v>40</v>
      </c>
      <c r="E10411">
        <v>3</v>
      </c>
      <c r="F10411">
        <v>2.4</v>
      </c>
    </row>
    <row r="10412" s="76" customFormat="1" spans="1:6">
      <c r="A10412">
        <v>10711</v>
      </c>
      <c r="B10412">
        <v>512015110</v>
      </c>
      <c r="C10412">
        <v>2015</v>
      </c>
      <c r="D10412" t="s">
        <v>40</v>
      </c>
      <c r="E10412" t="s">
        <v>32</v>
      </c>
      <c r="F10412">
        <v>2.1</v>
      </c>
    </row>
    <row r="10413" s="76" customFormat="1" spans="1:6">
      <c r="A10413">
        <v>10703</v>
      </c>
      <c r="B10413">
        <v>512015110</v>
      </c>
      <c r="C10413">
        <v>2015</v>
      </c>
      <c r="D10413" t="s">
        <v>40</v>
      </c>
      <c r="E10413" t="s">
        <v>32</v>
      </c>
      <c r="F10413">
        <v>4.05</v>
      </c>
    </row>
    <row r="10414" s="76" customFormat="1" spans="1:6">
      <c r="A10414">
        <v>10697</v>
      </c>
      <c r="B10414">
        <v>512015110</v>
      </c>
      <c r="C10414">
        <v>2015</v>
      </c>
      <c r="D10414" t="s">
        <v>40</v>
      </c>
      <c r="E10414">
        <v>2</v>
      </c>
      <c r="F10414">
        <v>0.64</v>
      </c>
    </row>
    <row r="10415" s="76" customFormat="1" spans="1:6">
      <c r="A10415">
        <v>10710</v>
      </c>
      <c r="B10415">
        <v>512015110</v>
      </c>
      <c r="C10415">
        <v>2015</v>
      </c>
      <c r="D10415" t="s">
        <v>40</v>
      </c>
      <c r="E10415" t="s">
        <v>32</v>
      </c>
      <c r="F10415">
        <v>2.48</v>
      </c>
    </row>
    <row r="10416" s="76" customFormat="1" spans="1:6">
      <c r="A10416">
        <v>10708</v>
      </c>
      <c r="B10416">
        <v>512015110</v>
      </c>
      <c r="C10416">
        <v>2015</v>
      </c>
      <c r="D10416" t="s">
        <v>40</v>
      </c>
      <c r="E10416" t="s">
        <v>32</v>
      </c>
      <c r="F10416">
        <v>2.5</v>
      </c>
    </row>
    <row r="10417" s="76" customFormat="1" spans="1:6">
      <c r="A10417">
        <v>10713</v>
      </c>
      <c r="B10417">
        <v>512015211</v>
      </c>
      <c r="C10417">
        <v>2015</v>
      </c>
      <c r="D10417" t="s">
        <v>37</v>
      </c>
      <c r="E10417">
        <v>2</v>
      </c>
      <c r="F10417">
        <v>70</v>
      </c>
    </row>
    <row r="10418" s="76" customFormat="1" spans="1:6">
      <c r="A10418">
        <v>10717</v>
      </c>
      <c r="B10418">
        <v>512015241</v>
      </c>
      <c r="C10418">
        <v>2015</v>
      </c>
      <c r="D10418" t="s">
        <v>33</v>
      </c>
      <c r="E10418" t="s">
        <v>32</v>
      </c>
      <c r="F10418">
        <v>0.6</v>
      </c>
    </row>
    <row r="10419" s="76" customFormat="1" spans="1:6">
      <c r="A10419">
        <v>10716</v>
      </c>
      <c r="B10419">
        <v>512015241</v>
      </c>
      <c r="C10419">
        <v>2015</v>
      </c>
      <c r="D10419" t="s">
        <v>33</v>
      </c>
      <c r="E10419" t="s">
        <v>32</v>
      </c>
      <c r="F10419">
        <v>1.2</v>
      </c>
    </row>
    <row r="10420" s="76" customFormat="1" spans="1:6">
      <c r="A10420">
        <v>10714</v>
      </c>
      <c r="B10420">
        <v>512015241</v>
      </c>
      <c r="C10420">
        <v>2015</v>
      </c>
      <c r="D10420" t="s">
        <v>33</v>
      </c>
      <c r="E10420">
        <v>1</v>
      </c>
      <c r="F10420">
        <v>2.5</v>
      </c>
    </row>
    <row r="10421" s="76" customFormat="1" spans="1:6">
      <c r="A10421">
        <v>10715</v>
      </c>
      <c r="B10421">
        <v>512015241</v>
      </c>
      <c r="C10421">
        <v>2015</v>
      </c>
      <c r="D10421" t="s">
        <v>33</v>
      </c>
      <c r="E10421">
        <v>1</v>
      </c>
      <c r="F10421">
        <v>2.5</v>
      </c>
    </row>
    <row r="10422" s="76" customFormat="1" spans="1:6">
      <c r="A10422">
        <v>10719</v>
      </c>
      <c r="B10422">
        <v>512015241</v>
      </c>
      <c r="C10422">
        <v>2015</v>
      </c>
      <c r="D10422" t="s">
        <v>33</v>
      </c>
      <c r="E10422" t="s">
        <v>32</v>
      </c>
      <c r="F10422">
        <v>1.2</v>
      </c>
    </row>
    <row r="10423" s="76" customFormat="1" spans="1:6">
      <c r="A10423">
        <v>10718</v>
      </c>
      <c r="B10423">
        <v>512015241</v>
      </c>
      <c r="C10423">
        <v>2015</v>
      </c>
      <c r="D10423" t="s">
        <v>33</v>
      </c>
      <c r="E10423" t="s">
        <v>32</v>
      </c>
      <c r="F10423">
        <v>0.18</v>
      </c>
    </row>
    <row r="10424" s="76" customFormat="1" spans="1:6">
      <c r="A10424">
        <v>10729</v>
      </c>
      <c r="B10424">
        <v>512015260</v>
      </c>
      <c r="C10424">
        <v>2015</v>
      </c>
      <c r="D10424" t="s">
        <v>34</v>
      </c>
      <c r="E10424" t="s">
        <v>32</v>
      </c>
      <c r="F10424">
        <v>2.25</v>
      </c>
    </row>
    <row r="10425" s="76" customFormat="1" spans="1:6">
      <c r="A10425">
        <v>10727</v>
      </c>
      <c r="B10425">
        <v>512015260</v>
      </c>
      <c r="C10425">
        <v>2015</v>
      </c>
      <c r="D10425" t="s">
        <v>34</v>
      </c>
      <c r="E10425" t="s">
        <v>32</v>
      </c>
      <c r="F10425">
        <v>5.1</v>
      </c>
    </row>
    <row r="10426" s="76" customFormat="1" spans="1:6">
      <c r="A10426">
        <v>10726</v>
      </c>
      <c r="B10426">
        <v>512015260</v>
      </c>
      <c r="C10426">
        <v>2015</v>
      </c>
      <c r="D10426" t="s">
        <v>34</v>
      </c>
      <c r="E10426" t="s">
        <v>32</v>
      </c>
      <c r="F10426">
        <v>4.6</v>
      </c>
    </row>
    <row r="10427" s="76" customFormat="1" spans="1:6">
      <c r="A10427">
        <v>10725</v>
      </c>
      <c r="B10427">
        <v>512015260</v>
      </c>
      <c r="C10427">
        <v>2015</v>
      </c>
      <c r="D10427" t="s">
        <v>34</v>
      </c>
      <c r="E10427" t="s">
        <v>32</v>
      </c>
      <c r="F10427">
        <v>10.65</v>
      </c>
    </row>
    <row r="10428" s="76" customFormat="1" spans="1:6">
      <c r="A10428">
        <v>10728</v>
      </c>
      <c r="B10428">
        <v>512015260</v>
      </c>
      <c r="C10428">
        <v>2015</v>
      </c>
      <c r="D10428" t="s">
        <v>34</v>
      </c>
      <c r="E10428" t="s">
        <v>32</v>
      </c>
      <c r="F10428">
        <v>7.25</v>
      </c>
    </row>
    <row r="10429" s="76" customFormat="1" spans="1:6">
      <c r="A10429">
        <v>10720</v>
      </c>
      <c r="B10429">
        <v>512015260</v>
      </c>
      <c r="C10429">
        <v>2015</v>
      </c>
      <c r="D10429" t="s">
        <v>34</v>
      </c>
      <c r="E10429">
        <v>33</v>
      </c>
      <c r="F10429">
        <v>4.95</v>
      </c>
    </row>
    <row r="10430" s="76" customFormat="1" spans="1:6">
      <c r="A10430">
        <v>10721</v>
      </c>
      <c r="B10430">
        <v>512015260</v>
      </c>
      <c r="C10430">
        <v>2015</v>
      </c>
      <c r="D10430" t="s">
        <v>34</v>
      </c>
      <c r="E10430">
        <v>33</v>
      </c>
      <c r="F10430">
        <v>4.95</v>
      </c>
    </row>
    <row r="10431" s="76" customFormat="1" spans="1:6">
      <c r="A10431">
        <v>10722</v>
      </c>
      <c r="B10431">
        <v>512015260</v>
      </c>
      <c r="C10431">
        <v>2015</v>
      </c>
      <c r="D10431" t="s">
        <v>34</v>
      </c>
      <c r="E10431">
        <v>33</v>
      </c>
      <c r="F10431">
        <v>4.95</v>
      </c>
    </row>
    <row r="10432" s="76" customFormat="1" spans="1:6">
      <c r="A10432">
        <v>10723</v>
      </c>
      <c r="B10432">
        <v>512015260</v>
      </c>
      <c r="C10432">
        <v>2015</v>
      </c>
      <c r="D10432" t="s">
        <v>34</v>
      </c>
      <c r="E10432">
        <v>33</v>
      </c>
      <c r="F10432">
        <v>4.95</v>
      </c>
    </row>
    <row r="10433" s="76" customFormat="1" spans="1:6">
      <c r="A10433">
        <v>10724</v>
      </c>
      <c r="B10433">
        <v>512015260</v>
      </c>
      <c r="C10433">
        <v>2015</v>
      </c>
      <c r="D10433" t="s">
        <v>34</v>
      </c>
      <c r="E10433" t="s">
        <v>32</v>
      </c>
      <c r="F10433">
        <v>8.25</v>
      </c>
    </row>
    <row r="10434" s="76" customFormat="1" spans="1:6">
      <c r="A10434">
        <v>10735</v>
      </c>
      <c r="B10434">
        <v>512015270</v>
      </c>
      <c r="C10434">
        <v>2015</v>
      </c>
      <c r="D10434" t="s">
        <v>31</v>
      </c>
      <c r="E10434" t="s">
        <v>32</v>
      </c>
      <c r="F10434">
        <v>0.6</v>
      </c>
    </row>
    <row r="10435" s="76" customFormat="1" spans="1:6">
      <c r="A10435">
        <v>10738</v>
      </c>
      <c r="B10435">
        <v>512015270</v>
      </c>
      <c r="C10435">
        <v>2015</v>
      </c>
      <c r="D10435" t="s">
        <v>31</v>
      </c>
      <c r="E10435" t="s">
        <v>32</v>
      </c>
      <c r="F10435">
        <v>1.95</v>
      </c>
    </row>
    <row r="10436" s="76" customFormat="1" spans="1:6">
      <c r="A10436">
        <v>10732</v>
      </c>
      <c r="B10436">
        <v>512015270</v>
      </c>
      <c r="C10436">
        <v>2015</v>
      </c>
      <c r="D10436" t="s">
        <v>31</v>
      </c>
      <c r="E10436" t="s">
        <v>32</v>
      </c>
      <c r="F10436">
        <v>4.96</v>
      </c>
    </row>
    <row r="10437" s="76" customFormat="1" spans="1:6">
      <c r="A10437">
        <v>10731</v>
      </c>
      <c r="B10437">
        <v>512015270</v>
      </c>
      <c r="C10437">
        <v>2015</v>
      </c>
      <c r="D10437" t="s">
        <v>31</v>
      </c>
      <c r="E10437" t="s">
        <v>32</v>
      </c>
      <c r="F10437">
        <v>1.1</v>
      </c>
    </row>
    <row r="10438" s="76" customFormat="1" spans="1:6">
      <c r="A10438">
        <v>10733</v>
      </c>
      <c r="B10438">
        <v>512015270</v>
      </c>
      <c r="C10438">
        <v>2015</v>
      </c>
      <c r="D10438" t="s">
        <v>31</v>
      </c>
      <c r="E10438" t="s">
        <v>32</v>
      </c>
      <c r="F10438">
        <v>1.9</v>
      </c>
    </row>
    <row r="10439" s="76" customFormat="1" spans="1:6">
      <c r="A10439">
        <v>10740</v>
      </c>
      <c r="B10439">
        <v>512015270</v>
      </c>
      <c r="C10439">
        <v>2015</v>
      </c>
      <c r="D10439" t="s">
        <v>31</v>
      </c>
      <c r="E10439" t="s">
        <v>32</v>
      </c>
      <c r="F10439">
        <v>1</v>
      </c>
    </row>
    <row r="10440" s="76" customFormat="1" spans="1:6">
      <c r="A10440">
        <v>10737</v>
      </c>
      <c r="B10440">
        <v>512015270</v>
      </c>
      <c r="C10440">
        <v>2015</v>
      </c>
      <c r="D10440" t="s">
        <v>31</v>
      </c>
      <c r="E10440" t="s">
        <v>32</v>
      </c>
      <c r="F10440">
        <v>2</v>
      </c>
    </row>
    <row r="10441" s="76" customFormat="1" spans="1:6">
      <c r="A10441">
        <v>10736</v>
      </c>
      <c r="B10441">
        <v>512015270</v>
      </c>
      <c r="C10441">
        <v>2015</v>
      </c>
      <c r="D10441" t="s">
        <v>31</v>
      </c>
      <c r="E10441" t="s">
        <v>32</v>
      </c>
      <c r="F10441">
        <v>0</v>
      </c>
    </row>
    <row r="10442" s="76" customFormat="1" spans="1:6">
      <c r="A10442">
        <v>10739</v>
      </c>
      <c r="B10442">
        <v>512015270</v>
      </c>
      <c r="C10442">
        <v>2015</v>
      </c>
      <c r="D10442" t="s">
        <v>31</v>
      </c>
      <c r="E10442" t="s">
        <v>32</v>
      </c>
      <c r="F10442">
        <v>5</v>
      </c>
    </row>
    <row r="10443" s="76" customFormat="1" spans="1:6">
      <c r="A10443">
        <v>10730</v>
      </c>
      <c r="B10443">
        <v>512015270</v>
      </c>
      <c r="C10443">
        <v>2015</v>
      </c>
      <c r="D10443" t="s">
        <v>31</v>
      </c>
      <c r="E10443" t="s">
        <v>32</v>
      </c>
      <c r="F10443">
        <v>5</v>
      </c>
    </row>
    <row r="10444" s="76" customFormat="1" spans="1:6">
      <c r="A10444">
        <v>10741</v>
      </c>
      <c r="B10444">
        <v>512015270</v>
      </c>
      <c r="C10444">
        <v>2015</v>
      </c>
      <c r="D10444" t="s">
        <v>31</v>
      </c>
      <c r="E10444" t="s">
        <v>32</v>
      </c>
      <c r="F10444">
        <v>2</v>
      </c>
    </row>
    <row r="10445" s="76" customFormat="1" spans="1:6">
      <c r="A10445">
        <v>10734</v>
      </c>
      <c r="B10445">
        <v>512015270</v>
      </c>
      <c r="C10445">
        <v>2015</v>
      </c>
      <c r="D10445" t="s">
        <v>31</v>
      </c>
      <c r="E10445">
        <v>1</v>
      </c>
      <c r="F10445">
        <v>3</v>
      </c>
    </row>
    <row r="10446" s="76" customFormat="1" spans="1:6">
      <c r="A10446">
        <v>10742</v>
      </c>
      <c r="B10446">
        <v>512016110</v>
      </c>
      <c r="C10446" s="76">
        <v>2016</v>
      </c>
      <c r="D10446" s="76" t="s">
        <v>40</v>
      </c>
      <c r="E10446" s="76">
        <v>2</v>
      </c>
      <c r="F10446" s="76">
        <v>5</v>
      </c>
    </row>
    <row r="10447" s="76" customFormat="1" spans="1:6">
      <c r="A10447">
        <v>10786</v>
      </c>
      <c r="B10447">
        <v>512016110</v>
      </c>
      <c r="C10447" s="76">
        <v>2016</v>
      </c>
      <c r="D10447" s="76" t="s">
        <v>40</v>
      </c>
      <c r="E10447" s="76" t="s">
        <v>32</v>
      </c>
      <c r="F10447" s="76">
        <v>1.44</v>
      </c>
    </row>
    <row r="10448" s="76" customFormat="1" spans="1:6">
      <c r="A10448">
        <v>10744</v>
      </c>
      <c r="B10448">
        <v>512016110</v>
      </c>
      <c r="C10448" s="76">
        <v>2016</v>
      </c>
      <c r="D10448" s="76" t="s">
        <v>40</v>
      </c>
      <c r="E10448" s="76">
        <v>1</v>
      </c>
      <c r="F10448" s="76">
        <v>42.5</v>
      </c>
    </row>
    <row r="10449" s="76" customFormat="1" spans="1:6">
      <c r="A10449">
        <v>10743</v>
      </c>
      <c r="B10449">
        <v>512016110</v>
      </c>
      <c r="C10449" s="76">
        <v>2016</v>
      </c>
      <c r="D10449" s="76" t="s">
        <v>40</v>
      </c>
      <c r="E10449" s="76">
        <v>2</v>
      </c>
      <c r="F10449" s="76">
        <v>1.24</v>
      </c>
    </row>
    <row r="10450" s="76" customFormat="1" spans="1:6">
      <c r="A10450">
        <v>10745</v>
      </c>
      <c r="B10450">
        <v>512016110</v>
      </c>
      <c r="C10450" s="76">
        <v>2016</v>
      </c>
      <c r="D10450" s="76" t="s">
        <v>40</v>
      </c>
      <c r="E10450" s="76">
        <v>3</v>
      </c>
      <c r="F10450" s="76">
        <v>34.5</v>
      </c>
    </row>
    <row r="10451" s="76" customFormat="1" spans="1:6">
      <c r="A10451">
        <v>10746</v>
      </c>
      <c r="B10451">
        <v>512016110</v>
      </c>
      <c r="C10451" s="76">
        <v>2016</v>
      </c>
      <c r="D10451" s="76" t="s">
        <v>40</v>
      </c>
      <c r="E10451" s="76" t="s">
        <v>32</v>
      </c>
      <c r="F10451" s="76">
        <v>15</v>
      </c>
    </row>
    <row r="10452" s="76" customFormat="1" spans="1:6">
      <c r="A10452">
        <v>10798</v>
      </c>
      <c r="B10452">
        <v>512016110</v>
      </c>
      <c r="C10452" s="76">
        <v>2016</v>
      </c>
      <c r="D10452" s="76" t="s">
        <v>40</v>
      </c>
      <c r="E10452" s="76" t="s">
        <v>32</v>
      </c>
      <c r="F10452" s="76">
        <v>4.5</v>
      </c>
    </row>
    <row r="10453" s="76" customFormat="1" spans="1:6">
      <c r="A10453">
        <v>10751</v>
      </c>
      <c r="B10453">
        <v>512016110</v>
      </c>
      <c r="C10453" s="76">
        <v>2016</v>
      </c>
      <c r="D10453" s="76" t="s">
        <v>40</v>
      </c>
      <c r="E10453" s="76" t="s">
        <v>32</v>
      </c>
      <c r="F10453" s="76">
        <v>3.4</v>
      </c>
    </row>
    <row r="10454" s="76" customFormat="1" spans="1:6">
      <c r="A10454">
        <v>10793</v>
      </c>
      <c r="B10454">
        <v>512016110</v>
      </c>
      <c r="C10454" s="76">
        <v>2016</v>
      </c>
      <c r="D10454" s="76" t="s">
        <v>40</v>
      </c>
      <c r="E10454" s="76" t="s">
        <v>32</v>
      </c>
      <c r="F10454" s="76">
        <v>4.8</v>
      </c>
    </row>
    <row r="10455" s="76" customFormat="1" spans="1:6">
      <c r="A10455">
        <v>10772</v>
      </c>
      <c r="B10455">
        <v>512016110</v>
      </c>
      <c r="C10455" s="76">
        <v>2016</v>
      </c>
      <c r="D10455" s="76" t="s">
        <v>40</v>
      </c>
      <c r="E10455" s="76" t="s">
        <v>32</v>
      </c>
      <c r="F10455" s="76">
        <v>5.4</v>
      </c>
    </row>
    <row r="10456" s="76" customFormat="1" spans="1:6">
      <c r="A10456">
        <v>10754</v>
      </c>
      <c r="B10456">
        <v>512016110</v>
      </c>
      <c r="C10456" s="76">
        <v>2016</v>
      </c>
      <c r="D10456" s="76" t="s">
        <v>40</v>
      </c>
      <c r="E10456" s="76" t="s">
        <v>32</v>
      </c>
      <c r="F10456" s="76">
        <v>1</v>
      </c>
    </row>
    <row r="10457" s="76" customFormat="1" spans="1:6">
      <c r="A10457">
        <v>10787</v>
      </c>
      <c r="B10457">
        <v>512016110</v>
      </c>
      <c r="C10457" s="76">
        <v>2016</v>
      </c>
      <c r="D10457" s="76" t="s">
        <v>40</v>
      </c>
      <c r="E10457" s="76" t="s">
        <v>32</v>
      </c>
      <c r="F10457" s="76">
        <v>0.1</v>
      </c>
    </row>
    <row r="10458" s="76" customFormat="1" spans="1:6">
      <c r="A10458">
        <v>10748</v>
      </c>
      <c r="B10458">
        <v>512016110</v>
      </c>
      <c r="C10458" s="76">
        <v>2016</v>
      </c>
      <c r="D10458" s="76" t="s">
        <v>40</v>
      </c>
      <c r="E10458" s="76">
        <v>3</v>
      </c>
      <c r="F10458" s="76">
        <v>18</v>
      </c>
    </row>
    <row r="10459" s="76" customFormat="1" spans="1:6">
      <c r="A10459">
        <v>10789</v>
      </c>
      <c r="B10459">
        <v>512016110</v>
      </c>
      <c r="C10459" s="76">
        <v>2016</v>
      </c>
      <c r="D10459" s="76" t="s">
        <v>40</v>
      </c>
      <c r="E10459" s="76" t="s">
        <v>32</v>
      </c>
      <c r="F10459" s="76">
        <v>0.5</v>
      </c>
    </row>
    <row r="10460" s="76" customFormat="1" spans="1:6">
      <c r="A10460">
        <v>10769</v>
      </c>
      <c r="B10460">
        <v>512016110</v>
      </c>
      <c r="C10460" s="76">
        <v>2016</v>
      </c>
      <c r="D10460" s="76" t="s">
        <v>40</v>
      </c>
      <c r="E10460" s="76" t="s">
        <v>32</v>
      </c>
      <c r="F10460" s="76">
        <v>2</v>
      </c>
    </row>
    <row r="10461" s="76" customFormat="1" spans="1:6">
      <c r="A10461">
        <v>10750</v>
      </c>
      <c r="B10461">
        <v>512016110</v>
      </c>
      <c r="C10461" s="76">
        <v>2016</v>
      </c>
      <c r="D10461" s="76" t="s">
        <v>40</v>
      </c>
      <c r="E10461" s="76" t="s">
        <v>32</v>
      </c>
      <c r="F10461" s="76">
        <v>12</v>
      </c>
    </row>
    <row r="10462" s="76" customFormat="1" spans="1:6">
      <c r="A10462">
        <v>10752</v>
      </c>
      <c r="B10462">
        <v>512016110</v>
      </c>
      <c r="C10462" s="76">
        <v>2016</v>
      </c>
      <c r="D10462" s="76" t="s">
        <v>40</v>
      </c>
      <c r="E10462" s="76" t="s">
        <v>32</v>
      </c>
      <c r="F10462" s="76">
        <v>2</v>
      </c>
    </row>
    <row r="10463" s="76" customFormat="1" spans="1:6">
      <c r="A10463">
        <v>10771</v>
      </c>
      <c r="B10463">
        <v>512016110</v>
      </c>
      <c r="C10463" s="76">
        <v>2016</v>
      </c>
      <c r="D10463" s="76" t="s">
        <v>40</v>
      </c>
      <c r="E10463" s="76" t="s">
        <v>32</v>
      </c>
      <c r="F10463" s="76">
        <v>2</v>
      </c>
    </row>
    <row r="10464" s="76" customFormat="1" spans="1:6">
      <c r="A10464">
        <v>10749</v>
      </c>
      <c r="B10464">
        <v>512016110</v>
      </c>
      <c r="C10464" s="76">
        <v>2016</v>
      </c>
      <c r="D10464" s="76" t="s">
        <v>40</v>
      </c>
      <c r="E10464" s="76" t="s">
        <v>32</v>
      </c>
      <c r="F10464" s="76">
        <v>6</v>
      </c>
    </row>
    <row r="10465" s="76" customFormat="1" spans="1:6">
      <c r="A10465">
        <v>10782</v>
      </c>
      <c r="B10465">
        <v>512016110</v>
      </c>
      <c r="C10465" s="76">
        <v>2016</v>
      </c>
      <c r="D10465" s="76" t="s">
        <v>40</v>
      </c>
      <c r="E10465" s="76" t="s">
        <v>32</v>
      </c>
      <c r="F10465" s="76">
        <v>0.16</v>
      </c>
    </row>
    <row r="10466" s="76" customFormat="1" spans="1:6">
      <c r="A10466">
        <v>10775</v>
      </c>
      <c r="B10466">
        <v>512016110</v>
      </c>
      <c r="C10466" s="76">
        <v>2016</v>
      </c>
      <c r="D10466" s="76" t="s">
        <v>40</v>
      </c>
      <c r="E10466" s="76" t="s">
        <v>32</v>
      </c>
      <c r="F10466" s="76">
        <v>0.02</v>
      </c>
    </row>
    <row r="10467" s="76" customFormat="1" spans="1:6">
      <c r="A10467">
        <v>10756</v>
      </c>
      <c r="B10467">
        <v>512016110</v>
      </c>
      <c r="C10467" s="76">
        <v>2016</v>
      </c>
      <c r="D10467" s="76" t="s">
        <v>40</v>
      </c>
      <c r="E10467" s="76">
        <v>3</v>
      </c>
      <c r="F10467" s="76">
        <v>2.4</v>
      </c>
    </row>
    <row r="10468" s="76" customFormat="1" spans="1:6">
      <c r="A10468">
        <v>10801</v>
      </c>
      <c r="B10468">
        <v>512016110</v>
      </c>
      <c r="C10468" s="76">
        <v>2016</v>
      </c>
      <c r="D10468" s="76" t="s">
        <v>40</v>
      </c>
      <c r="E10468" s="76" t="s">
        <v>32</v>
      </c>
      <c r="F10468" s="76">
        <v>0.64</v>
      </c>
    </row>
    <row r="10469" s="76" customFormat="1" spans="1:6">
      <c r="A10469">
        <v>10794</v>
      </c>
      <c r="B10469">
        <v>512016110</v>
      </c>
      <c r="C10469" s="76">
        <v>2016</v>
      </c>
      <c r="D10469" s="76" t="s">
        <v>40</v>
      </c>
      <c r="E10469" s="76" t="s">
        <v>32</v>
      </c>
      <c r="F10469" s="76">
        <v>0.3</v>
      </c>
    </row>
    <row r="10470" s="76" customFormat="1" spans="1:6">
      <c r="A10470">
        <v>10777</v>
      </c>
      <c r="B10470">
        <v>512016110</v>
      </c>
      <c r="C10470" s="76">
        <v>2016</v>
      </c>
      <c r="D10470" s="76" t="s">
        <v>40</v>
      </c>
      <c r="E10470" s="76" t="s">
        <v>32</v>
      </c>
      <c r="F10470" s="76">
        <v>1.08</v>
      </c>
    </row>
    <row r="10471" s="76" customFormat="1" spans="1:6">
      <c r="A10471">
        <v>10779</v>
      </c>
      <c r="B10471">
        <v>512016110</v>
      </c>
      <c r="C10471" s="76">
        <v>2016</v>
      </c>
      <c r="D10471" s="76" t="s">
        <v>40</v>
      </c>
      <c r="E10471" s="76" t="s">
        <v>32</v>
      </c>
      <c r="F10471" s="76">
        <v>0.66</v>
      </c>
    </row>
    <row r="10472" s="76" customFormat="1" spans="1:6">
      <c r="A10472">
        <v>10788</v>
      </c>
      <c r="B10472">
        <v>512016110</v>
      </c>
      <c r="C10472" s="76">
        <v>2016</v>
      </c>
      <c r="D10472" s="76" t="s">
        <v>40</v>
      </c>
      <c r="E10472" s="76" t="s">
        <v>32</v>
      </c>
      <c r="F10472" s="76">
        <v>1.26</v>
      </c>
    </row>
    <row r="10473" s="76" customFormat="1" spans="1:6">
      <c r="A10473">
        <v>10783</v>
      </c>
      <c r="B10473">
        <v>512016110</v>
      </c>
      <c r="C10473" s="76">
        <v>2016</v>
      </c>
      <c r="D10473" s="76" t="s">
        <v>40</v>
      </c>
      <c r="E10473" s="76" t="s">
        <v>32</v>
      </c>
      <c r="F10473" s="76">
        <v>0.34</v>
      </c>
    </row>
    <row r="10474" s="76" customFormat="1" spans="1:6">
      <c r="A10474">
        <v>10802</v>
      </c>
      <c r="B10474">
        <v>512016110</v>
      </c>
      <c r="C10474" s="76">
        <v>2016</v>
      </c>
      <c r="D10474" s="76" t="s">
        <v>40</v>
      </c>
      <c r="E10474" s="76" t="s">
        <v>32</v>
      </c>
      <c r="F10474" s="76">
        <v>0.5</v>
      </c>
    </row>
    <row r="10475" s="76" customFormat="1" spans="1:6">
      <c r="A10475">
        <v>10762</v>
      </c>
      <c r="B10475">
        <v>512016110</v>
      </c>
      <c r="C10475" s="76">
        <v>2016</v>
      </c>
      <c r="D10475" s="76" t="s">
        <v>40</v>
      </c>
      <c r="E10475" s="76" t="s">
        <v>32</v>
      </c>
      <c r="F10475" s="76">
        <v>0.02</v>
      </c>
    </row>
    <row r="10476" s="76" customFormat="1" spans="1:6">
      <c r="A10476">
        <v>10796</v>
      </c>
      <c r="B10476">
        <v>512016110</v>
      </c>
      <c r="C10476" s="76">
        <v>2016</v>
      </c>
      <c r="D10476" s="76" t="s">
        <v>40</v>
      </c>
      <c r="E10476" s="76" t="s">
        <v>32</v>
      </c>
      <c r="F10476" s="76">
        <v>0.45</v>
      </c>
    </row>
    <row r="10477" s="76" customFormat="1" spans="1:6">
      <c r="A10477">
        <v>10763</v>
      </c>
      <c r="B10477">
        <v>512016110</v>
      </c>
      <c r="C10477" s="76">
        <v>2016</v>
      </c>
      <c r="D10477" s="76" t="s">
        <v>40</v>
      </c>
      <c r="E10477" s="76" t="s">
        <v>32</v>
      </c>
      <c r="F10477" s="76">
        <v>2.4</v>
      </c>
    </row>
    <row r="10478" s="76" customFormat="1" spans="1:6">
      <c r="A10478">
        <v>10773</v>
      </c>
      <c r="B10478">
        <v>512016110</v>
      </c>
      <c r="C10478" s="76">
        <v>2016</v>
      </c>
      <c r="D10478" s="76" t="s">
        <v>40</v>
      </c>
      <c r="E10478" s="76" t="s">
        <v>32</v>
      </c>
      <c r="F10478" s="76">
        <v>34.5</v>
      </c>
    </row>
    <row r="10479" s="76" customFormat="1" spans="1:6">
      <c r="A10479">
        <v>10795</v>
      </c>
      <c r="B10479">
        <v>512016110</v>
      </c>
      <c r="C10479" s="76">
        <v>2016</v>
      </c>
      <c r="D10479" s="76" t="s">
        <v>40</v>
      </c>
      <c r="E10479" s="76" t="s">
        <v>32</v>
      </c>
      <c r="F10479" s="76">
        <v>2</v>
      </c>
    </row>
    <row r="10480" s="76" customFormat="1" spans="1:6">
      <c r="A10480">
        <v>10774</v>
      </c>
      <c r="B10480">
        <v>512016110</v>
      </c>
      <c r="C10480" s="76">
        <v>2016</v>
      </c>
      <c r="D10480" s="76" t="s">
        <v>40</v>
      </c>
      <c r="E10480" s="76" t="s">
        <v>32</v>
      </c>
      <c r="F10480" s="76">
        <v>2.4</v>
      </c>
    </row>
    <row r="10481" s="76" customFormat="1" spans="1:6">
      <c r="A10481">
        <v>10776</v>
      </c>
      <c r="B10481">
        <v>512016110</v>
      </c>
      <c r="C10481" s="76">
        <v>2016</v>
      </c>
      <c r="D10481" s="76" t="s">
        <v>40</v>
      </c>
      <c r="E10481" s="76" t="s">
        <v>32</v>
      </c>
      <c r="F10481" s="76">
        <v>1.58</v>
      </c>
    </row>
    <row r="10482" s="76" customFormat="1" spans="1:6">
      <c r="A10482">
        <v>10799</v>
      </c>
      <c r="B10482">
        <v>512016110</v>
      </c>
      <c r="C10482" s="76">
        <v>2016</v>
      </c>
      <c r="D10482" s="76" t="s">
        <v>40</v>
      </c>
      <c r="E10482" s="76" t="s">
        <v>32</v>
      </c>
      <c r="F10482" s="76">
        <v>1.12</v>
      </c>
    </row>
    <row r="10483" s="76" customFormat="1" spans="1:6">
      <c r="A10483">
        <v>10791</v>
      </c>
      <c r="B10483">
        <v>512016110</v>
      </c>
      <c r="C10483" s="76">
        <v>2016</v>
      </c>
      <c r="D10483" s="76" t="s">
        <v>40</v>
      </c>
      <c r="E10483" s="76" t="s">
        <v>32</v>
      </c>
      <c r="F10483" s="76">
        <v>0.46</v>
      </c>
    </row>
    <row r="10484" s="76" customFormat="1" spans="1:6">
      <c r="A10484">
        <v>10758</v>
      </c>
      <c r="B10484">
        <v>512016110</v>
      </c>
      <c r="C10484" s="76">
        <v>2016</v>
      </c>
      <c r="D10484" s="76" t="s">
        <v>40</v>
      </c>
      <c r="E10484" s="76" t="s">
        <v>32</v>
      </c>
      <c r="F10484" s="76">
        <v>0.72</v>
      </c>
    </row>
    <row r="10485" s="76" customFormat="1" spans="1:6">
      <c r="A10485">
        <v>10781</v>
      </c>
      <c r="B10485">
        <v>512016110</v>
      </c>
      <c r="C10485" s="76">
        <v>2016</v>
      </c>
      <c r="D10485" s="76" t="s">
        <v>40</v>
      </c>
      <c r="E10485" s="76" t="s">
        <v>32</v>
      </c>
      <c r="F10485" s="76">
        <v>0.42</v>
      </c>
    </row>
    <row r="10486" s="76" customFormat="1" spans="1:6">
      <c r="A10486">
        <v>10761</v>
      </c>
      <c r="B10486">
        <v>512016110</v>
      </c>
      <c r="C10486" s="76">
        <v>2016</v>
      </c>
      <c r="D10486" s="76" t="s">
        <v>40</v>
      </c>
      <c r="E10486" s="76" t="s">
        <v>32</v>
      </c>
      <c r="F10486" s="76">
        <v>8.05</v>
      </c>
    </row>
    <row r="10487" s="76" customFormat="1" spans="1:6">
      <c r="A10487">
        <v>10767</v>
      </c>
      <c r="B10487">
        <v>512016110</v>
      </c>
      <c r="C10487" s="76">
        <v>2016</v>
      </c>
      <c r="D10487" s="76" t="s">
        <v>40</v>
      </c>
      <c r="E10487" s="76" t="s">
        <v>32</v>
      </c>
      <c r="F10487" s="76">
        <v>0.13</v>
      </c>
    </row>
    <row r="10488" s="76" customFormat="1" spans="1:6">
      <c r="A10488">
        <v>10797</v>
      </c>
      <c r="B10488">
        <v>512016110</v>
      </c>
      <c r="C10488" s="76">
        <v>2016</v>
      </c>
      <c r="D10488" s="76" t="s">
        <v>40</v>
      </c>
      <c r="E10488" s="76" t="s">
        <v>32</v>
      </c>
      <c r="F10488" s="76">
        <v>0.6</v>
      </c>
    </row>
    <row r="10489" s="76" customFormat="1" spans="1:6">
      <c r="A10489">
        <v>10785</v>
      </c>
      <c r="B10489">
        <v>512016110</v>
      </c>
      <c r="C10489" s="76">
        <v>2016</v>
      </c>
      <c r="D10489" s="76" t="s">
        <v>40</v>
      </c>
      <c r="E10489" s="76" t="s">
        <v>32</v>
      </c>
      <c r="F10489" s="76">
        <v>0.03</v>
      </c>
    </row>
    <row r="10490" s="76" customFormat="1" spans="1:6">
      <c r="A10490">
        <v>10792</v>
      </c>
      <c r="B10490">
        <v>512016110</v>
      </c>
      <c r="C10490" s="76">
        <v>2016</v>
      </c>
      <c r="D10490" s="76" t="s">
        <v>40</v>
      </c>
      <c r="E10490" s="76" t="s">
        <v>32</v>
      </c>
      <c r="F10490" s="76">
        <v>0.4</v>
      </c>
    </row>
    <row r="10491" s="76" customFormat="1" spans="1:6">
      <c r="A10491">
        <v>10757</v>
      </c>
      <c r="B10491">
        <v>512016110</v>
      </c>
      <c r="C10491" s="76">
        <v>2016</v>
      </c>
      <c r="D10491" s="76" t="s">
        <v>40</v>
      </c>
      <c r="E10491" s="76" t="s">
        <v>32</v>
      </c>
      <c r="F10491" s="76">
        <v>0.17</v>
      </c>
    </row>
    <row r="10492" s="76" customFormat="1" spans="1:6">
      <c r="A10492">
        <v>10747</v>
      </c>
      <c r="B10492">
        <v>512016110</v>
      </c>
      <c r="C10492" s="76">
        <v>2016</v>
      </c>
      <c r="D10492" s="76" t="s">
        <v>40</v>
      </c>
      <c r="E10492" s="76" t="s">
        <v>32</v>
      </c>
      <c r="F10492" s="76">
        <v>3</v>
      </c>
    </row>
    <row r="10493" s="76" customFormat="1" spans="1:6">
      <c r="A10493">
        <v>10753</v>
      </c>
      <c r="B10493">
        <v>512016110</v>
      </c>
      <c r="C10493" s="76">
        <v>2016</v>
      </c>
      <c r="D10493" s="76" t="s">
        <v>40</v>
      </c>
      <c r="E10493" s="76" t="s">
        <v>32</v>
      </c>
      <c r="F10493" s="76">
        <v>0.5</v>
      </c>
    </row>
    <row r="10494" s="76" customFormat="1" spans="1:6">
      <c r="A10494">
        <v>10804</v>
      </c>
      <c r="B10494">
        <v>512016110</v>
      </c>
      <c r="C10494" s="76">
        <v>2016</v>
      </c>
      <c r="D10494" s="76" t="s">
        <v>40</v>
      </c>
      <c r="E10494" s="76" t="s">
        <v>32</v>
      </c>
      <c r="F10494" s="76">
        <v>0.13</v>
      </c>
    </row>
    <row r="10495" s="76" customFormat="1" spans="1:6">
      <c r="A10495">
        <v>10765</v>
      </c>
      <c r="B10495">
        <v>512016110</v>
      </c>
      <c r="C10495" s="76">
        <v>2016</v>
      </c>
      <c r="D10495" s="76" t="s">
        <v>40</v>
      </c>
      <c r="E10495" s="76" t="s">
        <v>32</v>
      </c>
      <c r="F10495" s="76">
        <v>18</v>
      </c>
    </row>
    <row r="10496" s="76" customFormat="1" spans="1:6">
      <c r="A10496">
        <v>10760</v>
      </c>
      <c r="B10496">
        <v>512016110</v>
      </c>
      <c r="C10496" s="76">
        <v>2016</v>
      </c>
      <c r="D10496" s="76" t="s">
        <v>40</v>
      </c>
      <c r="E10496" s="76">
        <v>2</v>
      </c>
      <c r="F10496" s="76">
        <v>3</v>
      </c>
    </row>
    <row r="10497" s="76" customFormat="1" spans="1:6">
      <c r="A10497">
        <v>10780</v>
      </c>
      <c r="B10497">
        <v>512016110</v>
      </c>
      <c r="C10497" s="76">
        <v>2016</v>
      </c>
      <c r="D10497" s="76" t="s">
        <v>40</v>
      </c>
      <c r="E10497" s="76" t="s">
        <v>32</v>
      </c>
      <c r="F10497" s="76">
        <v>0.18</v>
      </c>
    </row>
    <row r="10498" s="76" customFormat="1" spans="1:6">
      <c r="A10498">
        <v>10764</v>
      </c>
      <c r="B10498">
        <v>512016110</v>
      </c>
      <c r="C10498" s="76">
        <v>2016</v>
      </c>
      <c r="D10498" s="76" t="s">
        <v>40</v>
      </c>
      <c r="E10498" s="76" t="s">
        <v>32</v>
      </c>
      <c r="F10498" s="76">
        <v>0.3</v>
      </c>
    </row>
    <row r="10499" s="76" customFormat="1" spans="1:6">
      <c r="A10499">
        <v>10784</v>
      </c>
      <c r="B10499">
        <v>512016110</v>
      </c>
      <c r="C10499" s="76">
        <v>2016</v>
      </c>
      <c r="D10499" s="76" t="s">
        <v>40</v>
      </c>
      <c r="E10499" s="76" t="s">
        <v>32</v>
      </c>
      <c r="F10499" s="76">
        <v>0.01</v>
      </c>
    </row>
    <row r="10500" s="76" customFormat="1" spans="1:6">
      <c r="A10500">
        <v>10778</v>
      </c>
      <c r="B10500">
        <v>512016110</v>
      </c>
      <c r="C10500" s="76">
        <v>2016</v>
      </c>
      <c r="D10500" s="76" t="s">
        <v>40</v>
      </c>
      <c r="E10500" s="76" t="s">
        <v>32</v>
      </c>
      <c r="F10500" s="76">
        <v>0.8</v>
      </c>
    </row>
    <row r="10501" s="76" customFormat="1" spans="1:6">
      <c r="A10501">
        <v>10768</v>
      </c>
      <c r="B10501">
        <v>512016110</v>
      </c>
      <c r="C10501" s="76">
        <v>2016</v>
      </c>
      <c r="D10501" s="76" t="s">
        <v>40</v>
      </c>
      <c r="E10501" s="76" t="s">
        <v>32</v>
      </c>
      <c r="F10501" s="76">
        <v>24.9</v>
      </c>
    </row>
    <row r="10502" s="76" customFormat="1" spans="1:6">
      <c r="A10502">
        <v>10770</v>
      </c>
      <c r="B10502">
        <v>512016110</v>
      </c>
      <c r="C10502" s="76">
        <v>2016</v>
      </c>
      <c r="D10502" s="76" t="s">
        <v>40</v>
      </c>
      <c r="E10502" s="76" t="s">
        <v>32</v>
      </c>
      <c r="F10502" s="76">
        <v>1.73</v>
      </c>
    </row>
    <row r="10503" s="76" customFormat="1" spans="1:6">
      <c r="A10503">
        <v>10803</v>
      </c>
      <c r="B10503">
        <v>512016110</v>
      </c>
      <c r="C10503" s="76">
        <v>2016</v>
      </c>
      <c r="D10503" s="76" t="s">
        <v>40</v>
      </c>
      <c r="E10503" s="76" t="s">
        <v>32</v>
      </c>
      <c r="F10503" s="76">
        <v>0.09</v>
      </c>
    </row>
    <row r="10504" s="76" customFormat="1" spans="1:6">
      <c r="A10504">
        <v>10755</v>
      </c>
      <c r="B10504">
        <v>512016110</v>
      </c>
      <c r="C10504" s="76">
        <v>2016</v>
      </c>
      <c r="D10504" s="76" t="s">
        <v>40</v>
      </c>
      <c r="E10504" s="76" t="s">
        <v>32</v>
      </c>
      <c r="F10504" s="76">
        <v>0.2</v>
      </c>
    </row>
    <row r="10505" s="76" customFormat="1" spans="1:6">
      <c r="A10505">
        <v>10790</v>
      </c>
      <c r="B10505">
        <v>512016110</v>
      </c>
      <c r="C10505" s="76">
        <v>2016</v>
      </c>
      <c r="D10505" s="76" t="s">
        <v>40</v>
      </c>
      <c r="E10505" s="76" t="s">
        <v>32</v>
      </c>
      <c r="F10505" s="76">
        <v>0.5</v>
      </c>
    </row>
    <row r="10506" s="76" customFormat="1" spans="1:6">
      <c r="A10506">
        <v>10766</v>
      </c>
      <c r="B10506">
        <v>512016110</v>
      </c>
      <c r="C10506" s="76">
        <v>2016</v>
      </c>
      <c r="D10506" s="76" t="s">
        <v>40</v>
      </c>
      <c r="E10506" s="76" t="s">
        <v>32</v>
      </c>
      <c r="F10506" s="76">
        <v>0.64</v>
      </c>
    </row>
    <row r="10507" s="76" customFormat="1" spans="1:6">
      <c r="A10507">
        <v>10800</v>
      </c>
      <c r="B10507">
        <v>512016110</v>
      </c>
      <c r="C10507" s="76">
        <v>2016</v>
      </c>
      <c r="D10507" s="76" t="s">
        <v>40</v>
      </c>
      <c r="E10507" s="76" t="s">
        <v>32</v>
      </c>
      <c r="F10507" s="76">
        <v>6</v>
      </c>
    </row>
    <row r="10508" s="76" customFormat="1" spans="1:6">
      <c r="A10508">
        <v>10759</v>
      </c>
      <c r="B10508">
        <v>512016110</v>
      </c>
      <c r="C10508" s="76">
        <v>2016</v>
      </c>
      <c r="D10508" s="76" t="s">
        <v>40</v>
      </c>
      <c r="E10508" s="76" t="s">
        <v>32</v>
      </c>
      <c r="F10508" s="76">
        <v>0.26</v>
      </c>
    </row>
    <row r="10509" s="76" customFormat="1" spans="1:6">
      <c r="A10509">
        <v>10806</v>
      </c>
      <c r="B10509">
        <v>512016211</v>
      </c>
      <c r="C10509" s="76">
        <v>2016</v>
      </c>
      <c r="D10509" s="76" t="s">
        <v>37</v>
      </c>
      <c r="E10509" s="76" t="s">
        <v>32</v>
      </c>
      <c r="F10509" s="76">
        <v>3</v>
      </c>
    </row>
    <row r="10510" s="76" customFormat="1" spans="1:6">
      <c r="A10510">
        <v>10811</v>
      </c>
      <c r="B10510">
        <v>512016241</v>
      </c>
      <c r="C10510" s="76">
        <v>2016</v>
      </c>
      <c r="D10510" s="76" t="s">
        <v>33</v>
      </c>
      <c r="E10510" s="76" t="s">
        <v>32</v>
      </c>
      <c r="F10510" s="76">
        <v>0.6</v>
      </c>
    </row>
    <row r="10511" s="76" customFormat="1" spans="1:6">
      <c r="A10511">
        <v>10813</v>
      </c>
      <c r="B10511">
        <v>512016241</v>
      </c>
      <c r="C10511" s="76">
        <v>2016</v>
      </c>
      <c r="D10511" s="76" t="s">
        <v>33</v>
      </c>
      <c r="E10511" s="76" t="s">
        <v>32</v>
      </c>
      <c r="F10511" s="76">
        <v>0.9</v>
      </c>
    </row>
    <row r="10512" s="76" customFormat="1" spans="1:6">
      <c r="A10512">
        <v>10818</v>
      </c>
      <c r="B10512">
        <v>512016241</v>
      </c>
      <c r="C10512" s="76">
        <v>2016</v>
      </c>
      <c r="D10512" s="76" t="s">
        <v>33</v>
      </c>
      <c r="E10512" s="76" t="s">
        <v>32</v>
      </c>
      <c r="F10512" s="76">
        <v>1.63</v>
      </c>
    </row>
    <row r="10513" s="76" customFormat="1" spans="1:6">
      <c r="A10513">
        <v>10814</v>
      </c>
      <c r="B10513">
        <v>512016241</v>
      </c>
      <c r="C10513" s="76">
        <v>2016</v>
      </c>
      <c r="D10513" s="76" t="s">
        <v>33</v>
      </c>
      <c r="E10513" s="76" t="s">
        <v>32</v>
      </c>
      <c r="F10513" s="76">
        <v>0.6</v>
      </c>
    </row>
    <row r="10514" s="76" customFormat="1" spans="1:6">
      <c r="A10514">
        <v>10817</v>
      </c>
      <c r="B10514">
        <v>512016241</v>
      </c>
      <c r="C10514" s="76">
        <v>2016</v>
      </c>
      <c r="D10514" s="76" t="s">
        <v>33</v>
      </c>
      <c r="E10514" s="76" t="s">
        <v>32</v>
      </c>
      <c r="F10514" s="76">
        <v>0.5</v>
      </c>
    </row>
    <row r="10515" s="76" customFormat="1" spans="1:6">
      <c r="A10515">
        <v>10821</v>
      </c>
      <c r="B10515">
        <v>512016241</v>
      </c>
      <c r="C10515" s="76">
        <v>2016</v>
      </c>
      <c r="D10515" s="76" t="s">
        <v>33</v>
      </c>
      <c r="E10515" s="76" t="s">
        <v>32</v>
      </c>
      <c r="F10515" s="76">
        <v>5</v>
      </c>
    </row>
    <row r="10516" s="76" customFormat="1" spans="1:6">
      <c r="A10516">
        <v>10808</v>
      </c>
      <c r="B10516">
        <v>512016241</v>
      </c>
      <c r="C10516" s="76">
        <v>2016</v>
      </c>
      <c r="D10516" s="76" t="s">
        <v>33</v>
      </c>
      <c r="E10516" s="76" t="s">
        <v>32</v>
      </c>
      <c r="F10516" s="76">
        <v>3</v>
      </c>
    </row>
    <row r="10517" s="76" customFormat="1" spans="1:6">
      <c r="A10517">
        <v>10807</v>
      </c>
      <c r="B10517">
        <v>512016241</v>
      </c>
      <c r="C10517" s="76">
        <v>2016</v>
      </c>
      <c r="D10517" s="76" t="s">
        <v>33</v>
      </c>
      <c r="E10517" s="76" t="s">
        <v>32</v>
      </c>
      <c r="F10517" s="76">
        <v>3</v>
      </c>
    </row>
    <row r="10518" s="76" customFormat="1" spans="1:6">
      <c r="A10518">
        <v>10812</v>
      </c>
      <c r="B10518">
        <v>512016241</v>
      </c>
      <c r="C10518" s="76">
        <v>2016</v>
      </c>
      <c r="D10518" s="76" t="s">
        <v>33</v>
      </c>
      <c r="E10518" s="76" t="s">
        <v>32</v>
      </c>
      <c r="F10518" s="76">
        <v>1.2</v>
      </c>
    </row>
    <row r="10519" s="76" customFormat="1" spans="1:6">
      <c r="A10519">
        <v>10820</v>
      </c>
      <c r="B10519">
        <v>512016241</v>
      </c>
      <c r="C10519" s="76">
        <v>2016</v>
      </c>
      <c r="D10519" s="76" t="s">
        <v>33</v>
      </c>
      <c r="E10519" s="76" t="s">
        <v>32</v>
      </c>
      <c r="F10519" s="76">
        <v>0.6</v>
      </c>
    </row>
    <row r="10520" s="76" customFormat="1" spans="1:6">
      <c r="A10520">
        <v>10816</v>
      </c>
      <c r="B10520">
        <v>512016241</v>
      </c>
      <c r="C10520" s="76">
        <v>2016</v>
      </c>
      <c r="D10520" s="76" t="s">
        <v>33</v>
      </c>
      <c r="E10520" s="76" t="s">
        <v>32</v>
      </c>
      <c r="F10520" s="76">
        <v>0.9</v>
      </c>
    </row>
    <row r="10521" s="76" customFormat="1" spans="1:6">
      <c r="A10521">
        <v>10809</v>
      </c>
      <c r="B10521">
        <v>512016241</v>
      </c>
      <c r="C10521" s="76">
        <v>2016</v>
      </c>
      <c r="D10521" s="76" t="s">
        <v>33</v>
      </c>
      <c r="E10521" s="76" t="s">
        <v>32</v>
      </c>
      <c r="F10521" s="76">
        <v>0.6</v>
      </c>
    </row>
    <row r="10522" s="76" customFormat="1" spans="1:6">
      <c r="A10522">
        <v>10810</v>
      </c>
      <c r="B10522">
        <v>512016241</v>
      </c>
      <c r="C10522" s="76">
        <v>2016</v>
      </c>
      <c r="D10522" s="76" t="s">
        <v>33</v>
      </c>
      <c r="E10522" s="76" t="s">
        <v>32</v>
      </c>
      <c r="F10522" s="76">
        <v>0.6</v>
      </c>
    </row>
    <row r="10523" s="76" customFormat="1" spans="1:6">
      <c r="A10523">
        <v>10815</v>
      </c>
      <c r="B10523">
        <v>512016241</v>
      </c>
      <c r="C10523" s="76">
        <v>2016</v>
      </c>
      <c r="D10523" s="76" t="s">
        <v>33</v>
      </c>
      <c r="E10523" s="76" t="s">
        <v>32</v>
      </c>
      <c r="F10523" s="76">
        <v>0.75</v>
      </c>
    </row>
    <row r="10524" s="76" customFormat="1" spans="1:6">
      <c r="A10524">
        <v>10819</v>
      </c>
      <c r="B10524">
        <v>512016241</v>
      </c>
      <c r="C10524" s="76">
        <v>2016</v>
      </c>
      <c r="D10524" s="76" t="s">
        <v>33</v>
      </c>
      <c r="E10524" s="76" t="s">
        <v>32</v>
      </c>
      <c r="F10524" s="76">
        <v>2.5</v>
      </c>
    </row>
    <row r="10525" s="76" customFormat="1" spans="1:6">
      <c r="A10525">
        <v>10823</v>
      </c>
      <c r="B10525">
        <v>512016242</v>
      </c>
      <c r="C10525" s="76">
        <v>2016</v>
      </c>
      <c r="D10525" s="76" t="s">
        <v>35</v>
      </c>
      <c r="E10525" s="76" t="s">
        <v>32</v>
      </c>
      <c r="F10525" s="76">
        <v>1.5</v>
      </c>
    </row>
    <row r="10526" s="76" customFormat="1" spans="1:6">
      <c r="A10526">
        <v>10824</v>
      </c>
      <c r="B10526">
        <v>512016243</v>
      </c>
      <c r="C10526" s="76">
        <v>2016</v>
      </c>
      <c r="D10526" s="76" t="s">
        <v>38</v>
      </c>
      <c r="E10526" s="76" t="s">
        <v>32</v>
      </c>
      <c r="F10526" s="76">
        <v>0.3</v>
      </c>
    </row>
    <row r="10527" s="76" customFormat="1" spans="1:6">
      <c r="A10527">
        <v>10827</v>
      </c>
      <c r="B10527">
        <v>512016260</v>
      </c>
      <c r="C10527" s="76">
        <v>2016</v>
      </c>
      <c r="D10527" s="76" t="s">
        <v>34</v>
      </c>
      <c r="E10527" s="76" t="s">
        <v>32</v>
      </c>
      <c r="F10527" s="76">
        <v>7</v>
      </c>
    </row>
    <row r="10528" s="76" customFormat="1" spans="1:6">
      <c r="A10528">
        <v>10831</v>
      </c>
      <c r="B10528">
        <v>512016260</v>
      </c>
      <c r="C10528" s="76">
        <v>2016</v>
      </c>
      <c r="D10528" s="76" t="s">
        <v>34</v>
      </c>
      <c r="E10528" s="76" t="s">
        <v>32</v>
      </c>
      <c r="F10528" s="76">
        <v>9.75</v>
      </c>
    </row>
    <row r="10529" s="76" customFormat="1" spans="1:6">
      <c r="A10529">
        <v>10832</v>
      </c>
      <c r="B10529">
        <v>512016260</v>
      </c>
      <c r="C10529" s="76">
        <v>2016</v>
      </c>
      <c r="D10529" s="76" t="s">
        <v>34</v>
      </c>
      <c r="E10529" s="76" t="s">
        <v>32</v>
      </c>
      <c r="F10529" s="76">
        <v>7.5</v>
      </c>
    </row>
    <row r="10530" s="76" customFormat="1" spans="1:6">
      <c r="A10530">
        <v>10837</v>
      </c>
      <c r="B10530">
        <v>512016260</v>
      </c>
      <c r="C10530" s="76">
        <v>2016</v>
      </c>
      <c r="D10530" s="76" t="s">
        <v>34</v>
      </c>
      <c r="E10530" s="76" t="s">
        <v>32</v>
      </c>
      <c r="F10530" s="76">
        <v>1.6</v>
      </c>
    </row>
    <row r="10531" s="76" customFormat="1" spans="1:6">
      <c r="A10531">
        <v>10835</v>
      </c>
      <c r="B10531">
        <v>512016260</v>
      </c>
      <c r="C10531" s="76">
        <v>2016</v>
      </c>
      <c r="D10531" s="76" t="s">
        <v>34</v>
      </c>
      <c r="E10531" s="76" t="s">
        <v>32</v>
      </c>
      <c r="F10531" s="76">
        <v>2.25</v>
      </c>
    </row>
    <row r="10532" s="76" customFormat="1" spans="1:6">
      <c r="A10532">
        <v>10834</v>
      </c>
      <c r="B10532">
        <v>512016260</v>
      </c>
      <c r="C10532" s="76">
        <v>2016</v>
      </c>
      <c r="D10532" s="76" t="s">
        <v>34</v>
      </c>
      <c r="E10532" s="76" t="s">
        <v>32</v>
      </c>
      <c r="F10532" s="76">
        <v>2.55</v>
      </c>
    </row>
    <row r="10533" s="76" customFormat="1" spans="1:6">
      <c r="A10533">
        <v>10833</v>
      </c>
      <c r="B10533">
        <v>512016260</v>
      </c>
      <c r="C10533" s="76">
        <v>2016</v>
      </c>
      <c r="D10533" s="76" t="s">
        <v>34</v>
      </c>
      <c r="E10533" s="76" t="s">
        <v>32</v>
      </c>
      <c r="F10533" s="76">
        <v>9.9</v>
      </c>
    </row>
    <row r="10534" s="76" customFormat="1" spans="1:6">
      <c r="A10534">
        <v>10836</v>
      </c>
      <c r="B10534">
        <v>512016260</v>
      </c>
      <c r="C10534" s="76">
        <v>2016</v>
      </c>
      <c r="D10534" s="76" t="s">
        <v>34</v>
      </c>
      <c r="E10534" s="76" t="s">
        <v>32</v>
      </c>
      <c r="F10534" s="76">
        <v>4.95</v>
      </c>
    </row>
    <row r="10535" s="76" customFormat="1" spans="1:6">
      <c r="A10535">
        <v>10830</v>
      </c>
      <c r="B10535">
        <v>512016260</v>
      </c>
      <c r="C10535" s="76">
        <v>2016</v>
      </c>
      <c r="D10535" s="76" t="s">
        <v>34</v>
      </c>
      <c r="E10535" s="76" t="s">
        <v>32</v>
      </c>
      <c r="F10535" s="76">
        <v>3.6</v>
      </c>
    </row>
    <row r="10536" s="76" customFormat="1" spans="1:6">
      <c r="A10536">
        <v>10828</v>
      </c>
      <c r="B10536">
        <v>512016260</v>
      </c>
      <c r="C10536" s="76">
        <v>2016</v>
      </c>
      <c r="D10536" s="76" t="s">
        <v>34</v>
      </c>
      <c r="E10536" s="76">
        <v>25</v>
      </c>
      <c r="F10536" s="76">
        <v>4.95</v>
      </c>
    </row>
    <row r="10537" s="76" customFormat="1" spans="1:6">
      <c r="A10537">
        <v>10829</v>
      </c>
      <c r="B10537">
        <v>512016260</v>
      </c>
      <c r="C10537" s="76">
        <v>2016</v>
      </c>
      <c r="D10537" s="76" t="s">
        <v>34</v>
      </c>
      <c r="E10537" s="76">
        <v>25</v>
      </c>
      <c r="F10537" s="76">
        <v>4.95</v>
      </c>
    </row>
    <row r="10538" s="76" customFormat="1" spans="1:6">
      <c r="A10538">
        <v>10825</v>
      </c>
      <c r="B10538">
        <v>512016260</v>
      </c>
      <c r="C10538" s="76">
        <v>2016</v>
      </c>
      <c r="D10538" s="76" t="s">
        <v>34</v>
      </c>
      <c r="E10538" s="76">
        <v>18</v>
      </c>
      <c r="F10538" s="76">
        <v>3.6</v>
      </c>
    </row>
    <row r="10539" s="76" customFormat="1" spans="1:6">
      <c r="A10539">
        <v>10826</v>
      </c>
      <c r="B10539">
        <v>512016260</v>
      </c>
      <c r="C10539" s="76">
        <v>2016</v>
      </c>
      <c r="D10539" s="76" t="s">
        <v>34</v>
      </c>
      <c r="E10539" s="76">
        <v>33</v>
      </c>
      <c r="F10539" s="76">
        <v>4.95</v>
      </c>
    </row>
    <row r="10540" s="76" customFormat="1" spans="1:6">
      <c r="A10540">
        <v>10861</v>
      </c>
      <c r="B10540">
        <v>512016270</v>
      </c>
      <c r="C10540" s="76">
        <v>2016</v>
      </c>
      <c r="D10540" s="76" t="s">
        <v>31</v>
      </c>
      <c r="E10540" s="76" t="s">
        <v>32</v>
      </c>
      <c r="F10540" s="76">
        <v>0.96</v>
      </c>
    </row>
    <row r="10541" s="76" customFormat="1" spans="1:6">
      <c r="A10541">
        <v>10840</v>
      </c>
      <c r="B10541">
        <v>512016270</v>
      </c>
      <c r="C10541" s="76">
        <v>2016</v>
      </c>
      <c r="D10541" s="76" t="s">
        <v>31</v>
      </c>
      <c r="E10541" s="76" t="s">
        <v>32</v>
      </c>
      <c r="F10541" s="76">
        <v>5</v>
      </c>
    </row>
    <row r="10542" s="76" customFormat="1" spans="1:6">
      <c r="A10542">
        <v>10842</v>
      </c>
      <c r="B10542">
        <v>512016270</v>
      </c>
      <c r="C10542" s="76">
        <v>2016</v>
      </c>
      <c r="D10542" s="76" t="s">
        <v>31</v>
      </c>
      <c r="E10542" s="76" t="s">
        <v>32</v>
      </c>
      <c r="F10542" s="76">
        <v>5</v>
      </c>
    </row>
    <row r="10543" s="76" customFormat="1" spans="1:6">
      <c r="A10543">
        <v>10863</v>
      </c>
      <c r="B10543">
        <v>512016270</v>
      </c>
      <c r="C10543" s="76">
        <v>2016</v>
      </c>
      <c r="D10543" s="76" t="s">
        <v>31</v>
      </c>
      <c r="E10543" s="76" t="s">
        <v>32</v>
      </c>
      <c r="F10543" s="76">
        <v>3.02</v>
      </c>
    </row>
    <row r="10544" s="76" customFormat="1" spans="1:6">
      <c r="A10544">
        <v>10852</v>
      </c>
      <c r="B10544">
        <v>512016270</v>
      </c>
      <c r="C10544" s="76">
        <v>2016</v>
      </c>
      <c r="D10544" s="76" t="s">
        <v>31</v>
      </c>
      <c r="E10544" s="76" t="s">
        <v>32</v>
      </c>
      <c r="F10544" s="76">
        <v>5</v>
      </c>
    </row>
    <row r="10545" s="76" customFormat="1" spans="1:6">
      <c r="A10545">
        <v>10854</v>
      </c>
      <c r="B10545">
        <v>512016270</v>
      </c>
      <c r="C10545" s="76">
        <v>2016</v>
      </c>
      <c r="D10545" s="76" t="s">
        <v>31</v>
      </c>
      <c r="E10545" s="76" t="s">
        <v>32</v>
      </c>
      <c r="F10545" s="76">
        <v>3</v>
      </c>
    </row>
    <row r="10546" s="76" customFormat="1" spans="1:6">
      <c r="A10546">
        <v>10853</v>
      </c>
      <c r="B10546">
        <v>512016270</v>
      </c>
      <c r="C10546" s="76">
        <v>2016</v>
      </c>
      <c r="D10546" s="76" t="s">
        <v>31</v>
      </c>
      <c r="E10546" s="76" t="s">
        <v>32</v>
      </c>
      <c r="F10546" s="76">
        <v>5</v>
      </c>
    </row>
    <row r="10547" s="76" customFormat="1" spans="1:6">
      <c r="A10547">
        <v>10843</v>
      </c>
      <c r="B10547">
        <v>512016270</v>
      </c>
      <c r="C10547" s="76">
        <v>2016</v>
      </c>
      <c r="D10547" s="76" t="s">
        <v>31</v>
      </c>
      <c r="E10547" s="76" t="s">
        <v>32</v>
      </c>
      <c r="F10547" s="76">
        <v>2</v>
      </c>
    </row>
    <row r="10548" s="76" customFormat="1" spans="1:6">
      <c r="A10548">
        <v>10858</v>
      </c>
      <c r="B10548">
        <v>512016270</v>
      </c>
      <c r="C10548" s="76">
        <v>2016</v>
      </c>
      <c r="D10548" s="76" t="s">
        <v>31</v>
      </c>
      <c r="E10548" s="76" t="s">
        <v>32</v>
      </c>
      <c r="F10548" s="76">
        <v>2</v>
      </c>
    </row>
    <row r="10549" s="76" customFormat="1" spans="1:6">
      <c r="A10549">
        <v>10845</v>
      </c>
      <c r="B10549">
        <v>512016270</v>
      </c>
      <c r="C10549" s="76">
        <v>2016</v>
      </c>
      <c r="D10549" s="76" t="s">
        <v>31</v>
      </c>
      <c r="E10549" s="76" t="s">
        <v>32</v>
      </c>
      <c r="F10549" s="76">
        <v>5</v>
      </c>
    </row>
    <row r="10550" s="76" customFormat="1" spans="1:6">
      <c r="A10550">
        <v>10848</v>
      </c>
      <c r="B10550">
        <v>512016270</v>
      </c>
      <c r="C10550" s="76">
        <v>2016</v>
      </c>
      <c r="D10550" s="76" t="s">
        <v>31</v>
      </c>
      <c r="E10550" s="76" t="s">
        <v>32</v>
      </c>
      <c r="F10550" s="76">
        <v>3</v>
      </c>
    </row>
    <row r="10551" s="76" customFormat="1" spans="1:6">
      <c r="A10551">
        <v>10850</v>
      </c>
      <c r="B10551">
        <v>512016270</v>
      </c>
      <c r="C10551" s="76">
        <v>2016</v>
      </c>
      <c r="D10551" s="76" t="s">
        <v>31</v>
      </c>
      <c r="E10551" s="76" t="s">
        <v>32</v>
      </c>
      <c r="F10551" s="76">
        <v>3</v>
      </c>
    </row>
    <row r="10552" s="76" customFormat="1" spans="1:6">
      <c r="A10552">
        <v>10855</v>
      </c>
      <c r="B10552">
        <v>512016270</v>
      </c>
      <c r="C10552" s="76">
        <v>2016</v>
      </c>
      <c r="D10552" s="76" t="s">
        <v>31</v>
      </c>
      <c r="E10552" s="76" t="s">
        <v>32</v>
      </c>
      <c r="F10552" s="76">
        <v>3</v>
      </c>
    </row>
    <row r="10553" s="76" customFormat="1" spans="1:6">
      <c r="A10553">
        <v>10846</v>
      </c>
      <c r="B10553">
        <v>512016270</v>
      </c>
      <c r="C10553" s="76">
        <v>2016</v>
      </c>
      <c r="D10553" s="76" t="s">
        <v>31</v>
      </c>
      <c r="E10553" s="76" t="s">
        <v>32</v>
      </c>
      <c r="F10553" s="76">
        <v>5</v>
      </c>
    </row>
    <row r="10554" s="76" customFormat="1" spans="1:6">
      <c r="A10554">
        <v>10862</v>
      </c>
      <c r="B10554">
        <v>512016270</v>
      </c>
      <c r="C10554" s="76">
        <v>2016</v>
      </c>
      <c r="D10554" s="76" t="s">
        <v>31</v>
      </c>
      <c r="E10554" s="76" t="s">
        <v>32</v>
      </c>
      <c r="F10554" s="76">
        <v>1.22</v>
      </c>
    </row>
    <row r="10555" s="76" customFormat="1" spans="1:6">
      <c r="A10555">
        <v>10849</v>
      </c>
      <c r="B10555">
        <v>512016270</v>
      </c>
      <c r="C10555" s="76">
        <v>2016</v>
      </c>
      <c r="D10555" s="76" t="s">
        <v>31</v>
      </c>
      <c r="E10555" s="76" t="s">
        <v>32</v>
      </c>
      <c r="F10555" s="76">
        <v>2</v>
      </c>
    </row>
    <row r="10556" s="76" customFormat="1" spans="1:6">
      <c r="A10556">
        <v>10841</v>
      </c>
      <c r="B10556">
        <v>512016270</v>
      </c>
      <c r="C10556" s="76">
        <v>2016</v>
      </c>
      <c r="D10556" s="76" t="s">
        <v>31</v>
      </c>
      <c r="E10556" s="76" t="s">
        <v>32</v>
      </c>
      <c r="F10556" s="76">
        <v>0.29</v>
      </c>
    </row>
    <row r="10557" s="76" customFormat="1" spans="1:6">
      <c r="A10557">
        <v>10839</v>
      </c>
      <c r="B10557">
        <v>512016270</v>
      </c>
      <c r="C10557" s="76">
        <v>2016</v>
      </c>
      <c r="D10557" s="76" t="s">
        <v>31</v>
      </c>
      <c r="E10557" s="76" t="s">
        <v>32</v>
      </c>
      <c r="F10557" s="76">
        <v>3.43</v>
      </c>
    </row>
    <row r="10558" s="76" customFormat="1" spans="1:6">
      <c r="A10558">
        <v>10838</v>
      </c>
      <c r="B10558">
        <v>512016270</v>
      </c>
      <c r="C10558" s="76">
        <v>2016</v>
      </c>
      <c r="D10558" s="76" t="s">
        <v>31</v>
      </c>
      <c r="E10558" s="76" t="s">
        <v>32</v>
      </c>
      <c r="F10558" s="76">
        <v>3</v>
      </c>
    </row>
    <row r="10559" s="76" customFormat="1" spans="1:6">
      <c r="A10559">
        <v>10844</v>
      </c>
      <c r="B10559">
        <v>512016270</v>
      </c>
      <c r="C10559" s="76">
        <v>2016</v>
      </c>
      <c r="D10559" s="76" t="s">
        <v>31</v>
      </c>
      <c r="E10559" s="76" t="s">
        <v>32</v>
      </c>
      <c r="F10559" s="76">
        <v>5</v>
      </c>
    </row>
    <row r="10560" s="76" customFormat="1" spans="1:6">
      <c r="A10560">
        <v>10864</v>
      </c>
      <c r="B10560">
        <v>512016270</v>
      </c>
      <c r="C10560" s="76">
        <v>2016</v>
      </c>
      <c r="D10560" s="76" t="s">
        <v>31</v>
      </c>
      <c r="E10560" s="76" t="s">
        <v>32</v>
      </c>
      <c r="F10560" s="76">
        <v>2</v>
      </c>
    </row>
    <row r="10561" s="76" customFormat="1" spans="1:6">
      <c r="A10561">
        <v>10857</v>
      </c>
      <c r="B10561">
        <v>512016270</v>
      </c>
      <c r="C10561" s="76">
        <v>2016</v>
      </c>
      <c r="D10561" s="76" t="s">
        <v>31</v>
      </c>
      <c r="E10561" s="76" t="s">
        <v>32</v>
      </c>
      <c r="F10561" s="76">
        <v>2</v>
      </c>
    </row>
    <row r="10562" s="76" customFormat="1" spans="1:6">
      <c r="A10562">
        <v>10847</v>
      </c>
      <c r="B10562">
        <v>512016270</v>
      </c>
      <c r="C10562" s="76">
        <v>2016</v>
      </c>
      <c r="D10562" s="76" t="s">
        <v>31</v>
      </c>
      <c r="E10562" s="76" t="s">
        <v>32</v>
      </c>
      <c r="F10562" s="76">
        <v>3</v>
      </c>
    </row>
    <row r="10563" s="76" customFormat="1" spans="1:6">
      <c r="A10563">
        <v>10860</v>
      </c>
      <c r="B10563">
        <v>512016270</v>
      </c>
      <c r="C10563" s="76">
        <v>2016</v>
      </c>
      <c r="D10563" s="76" t="s">
        <v>31</v>
      </c>
      <c r="E10563" s="76" t="s">
        <v>32</v>
      </c>
      <c r="F10563" s="76">
        <v>0.06</v>
      </c>
    </row>
    <row r="10564" s="76" customFormat="1" spans="1:6">
      <c r="A10564">
        <v>10859</v>
      </c>
      <c r="B10564">
        <v>512016270</v>
      </c>
      <c r="C10564" s="76">
        <v>2016</v>
      </c>
      <c r="D10564" s="76" t="s">
        <v>31</v>
      </c>
      <c r="E10564" s="76" t="s">
        <v>32</v>
      </c>
      <c r="F10564" s="76">
        <v>5.01</v>
      </c>
    </row>
    <row r="10565" s="76" customFormat="1" spans="1:6">
      <c r="A10565">
        <v>10851</v>
      </c>
      <c r="B10565">
        <v>512016270</v>
      </c>
      <c r="C10565" s="76">
        <v>2016</v>
      </c>
      <c r="D10565" s="76" t="s">
        <v>31</v>
      </c>
      <c r="E10565" s="76" t="s">
        <v>32</v>
      </c>
      <c r="F10565" s="76">
        <v>2</v>
      </c>
    </row>
    <row r="10566" s="76" customFormat="1" spans="1:6">
      <c r="A10566">
        <v>10856</v>
      </c>
      <c r="B10566">
        <v>512016270</v>
      </c>
      <c r="C10566" s="76">
        <v>2016</v>
      </c>
      <c r="D10566" s="76" t="s">
        <v>31</v>
      </c>
      <c r="E10566" s="76" t="s">
        <v>32</v>
      </c>
      <c r="F10566" s="76">
        <v>3.42</v>
      </c>
    </row>
    <row r="10567" s="76" customFormat="1" spans="1:6">
      <c r="A10567">
        <v>10874</v>
      </c>
      <c r="B10567">
        <v>512017110</v>
      </c>
      <c r="C10567" s="76">
        <v>2017</v>
      </c>
      <c r="D10567" s="76" t="s">
        <v>40</v>
      </c>
      <c r="E10567" s="76" t="s">
        <v>32</v>
      </c>
      <c r="F10567" s="76">
        <v>0.96</v>
      </c>
    </row>
    <row r="10568" s="76" customFormat="1" spans="1:6">
      <c r="A10568">
        <v>10891</v>
      </c>
      <c r="B10568">
        <v>512017110</v>
      </c>
      <c r="C10568" s="76">
        <v>2017</v>
      </c>
      <c r="D10568" s="76" t="s">
        <v>40</v>
      </c>
      <c r="E10568" s="76" t="s">
        <v>32</v>
      </c>
      <c r="F10568" s="76">
        <v>0.75</v>
      </c>
    </row>
    <row r="10569" s="76" customFormat="1" spans="1:6">
      <c r="A10569">
        <v>10868</v>
      </c>
      <c r="B10569">
        <v>512017110</v>
      </c>
      <c r="C10569" s="76">
        <v>2017</v>
      </c>
      <c r="D10569" s="76" t="s">
        <v>40</v>
      </c>
      <c r="E10569" s="76">
        <v>3</v>
      </c>
      <c r="F10569" s="76">
        <v>127.5</v>
      </c>
    </row>
    <row r="10570" s="76" customFormat="1" spans="1:6">
      <c r="A10570">
        <v>10870</v>
      </c>
      <c r="B10570">
        <v>512017110</v>
      </c>
      <c r="C10570" s="76">
        <v>2017</v>
      </c>
      <c r="D10570" s="76" t="s">
        <v>40</v>
      </c>
      <c r="E10570" s="76">
        <v>3</v>
      </c>
      <c r="F10570" s="76">
        <v>17.4</v>
      </c>
    </row>
    <row r="10571" s="76" customFormat="1" spans="1:6">
      <c r="A10571">
        <v>10867</v>
      </c>
      <c r="B10571">
        <v>512017110</v>
      </c>
      <c r="C10571" s="76">
        <v>2017</v>
      </c>
      <c r="D10571" s="76" t="s">
        <v>40</v>
      </c>
      <c r="E10571" s="76">
        <v>2</v>
      </c>
      <c r="F10571" s="76">
        <v>1</v>
      </c>
    </row>
    <row r="10572" s="76" customFormat="1" spans="1:6">
      <c r="A10572">
        <v>10894</v>
      </c>
      <c r="B10572">
        <v>512017110</v>
      </c>
      <c r="C10572" s="76">
        <v>2017</v>
      </c>
      <c r="D10572" s="76" t="s">
        <v>40</v>
      </c>
      <c r="E10572" s="76" t="s">
        <v>32</v>
      </c>
      <c r="F10572" s="76">
        <v>1.6</v>
      </c>
    </row>
    <row r="10573" s="76" customFormat="1" spans="1:6">
      <c r="A10573">
        <v>10883</v>
      </c>
      <c r="B10573">
        <v>512017110</v>
      </c>
      <c r="C10573" s="76">
        <v>2017</v>
      </c>
      <c r="D10573" s="76" t="s">
        <v>40</v>
      </c>
      <c r="E10573" s="76" t="s">
        <v>32</v>
      </c>
      <c r="F10573" s="76">
        <v>1.05</v>
      </c>
    </row>
    <row r="10574" s="76" customFormat="1" spans="1:6">
      <c r="A10574">
        <v>10881</v>
      </c>
      <c r="B10574">
        <v>512017110</v>
      </c>
      <c r="C10574" s="76">
        <v>2017</v>
      </c>
      <c r="D10574" s="76" t="s">
        <v>40</v>
      </c>
      <c r="E10574" s="76" t="s">
        <v>32</v>
      </c>
      <c r="F10574" s="76">
        <v>0.3</v>
      </c>
    </row>
    <row r="10575" s="76" customFormat="1" spans="1:6">
      <c r="A10575">
        <v>10884</v>
      </c>
      <c r="B10575">
        <v>512017110</v>
      </c>
      <c r="C10575" s="76">
        <v>2017</v>
      </c>
      <c r="D10575" s="76" t="s">
        <v>40</v>
      </c>
      <c r="E10575" s="76" t="s">
        <v>32</v>
      </c>
      <c r="F10575" s="76">
        <v>0.27</v>
      </c>
    </row>
    <row r="10576" s="76" customFormat="1" spans="1:6">
      <c r="A10576">
        <v>10882</v>
      </c>
      <c r="B10576">
        <v>512017110</v>
      </c>
      <c r="C10576" s="76">
        <v>2017</v>
      </c>
      <c r="D10576" s="76" t="s">
        <v>40</v>
      </c>
      <c r="E10576" s="76" t="s">
        <v>32</v>
      </c>
      <c r="F10576" s="76">
        <v>21.71</v>
      </c>
    </row>
    <row r="10577" s="76" customFormat="1" spans="1:6">
      <c r="A10577">
        <v>10885</v>
      </c>
      <c r="B10577">
        <v>512017110</v>
      </c>
      <c r="C10577" s="76">
        <v>2017</v>
      </c>
      <c r="D10577" s="76" t="s">
        <v>40</v>
      </c>
      <c r="E10577" s="76" t="s">
        <v>32</v>
      </c>
      <c r="F10577" s="76">
        <v>0.2</v>
      </c>
    </row>
    <row r="10578" s="76" customFormat="1" spans="1:6">
      <c r="A10578">
        <v>10873</v>
      </c>
      <c r="B10578">
        <v>512017110</v>
      </c>
      <c r="C10578" s="76">
        <v>2017</v>
      </c>
      <c r="D10578" s="76" t="s">
        <v>40</v>
      </c>
      <c r="E10578" s="76" t="s">
        <v>32</v>
      </c>
      <c r="F10578" s="76">
        <v>2</v>
      </c>
    </row>
    <row r="10579" s="76" customFormat="1" spans="1:6">
      <c r="A10579">
        <v>10876</v>
      </c>
      <c r="B10579">
        <v>512017110</v>
      </c>
      <c r="C10579" s="76">
        <v>2017</v>
      </c>
      <c r="D10579" s="76" t="s">
        <v>40</v>
      </c>
      <c r="E10579" s="76" t="s">
        <v>32</v>
      </c>
      <c r="F10579" s="76">
        <v>4.9</v>
      </c>
    </row>
    <row r="10580" s="76" customFormat="1" spans="1:6">
      <c r="A10580">
        <v>10895</v>
      </c>
      <c r="B10580">
        <v>512017110</v>
      </c>
      <c r="C10580" s="76">
        <v>2017</v>
      </c>
      <c r="D10580" s="76" t="s">
        <v>40</v>
      </c>
      <c r="E10580" s="76" t="s">
        <v>32</v>
      </c>
      <c r="F10580" s="76">
        <v>1</v>
      </c>
    </row>
    <row r="10581" s="76" customFormat="1" spans="1:6">
      <c r="A10581">
        <v>10877</v>
      </c>
      <c r="B10581">
        <v>512017110</v>
      </c>
      <c r="C10581" s="76">
        <v>2017</v>
      </c>
      <c r="D10581" s="76" t="s">
        <v>40</v>
      </c>
      <c r="E10581" s="76" t="s">
        <v>32</v>
      </c>
      <c r="F10581" s="76">
        <v>16.5</v>
      </c>
    </row>
    <row r="10582" s="76" customFormat="1" spans="1:6">
      <c r="A10582">
        <v>10871</v>
      </c>
      <c r="B10582">
        <v>512017110</v>
      </c>
      <c r="C10582" s="76">
        <v>2017</v>
      </c>
      <c r="D10582" s="76" t="s">
        <v>40</v>
      </c>
      <c r="E10582" s="76">
        <v>3</v>
      </c>
      <c r="F10582" s="76">
        <v>10.5</v>
      </c>
    </row>
    <row r="10583" s="76" customFormat="1" spans="1:6">
      <c r="A10583">
        <v>10893</v>
      </c>
      <c r="B10583">
        <v>512017110</v>
      </c>
      <c r="C10583" s="76">
        <v>2017</v>
      </c>
      <c r="D10583" s="76" t="s">
        <v>40</v>
      </c>
      <c r="E10583" s="76" t="s">
        <v>32</v>
      </c>
      <c r="F10583" s="76">
        <v>2.48</v>
      </c>
    </row>
    <row r="10584" s="76" customFormat="1" spans="1:6">
      <c r="A10584">
        <v>10880</v>
      </c>
      <c r="B10584">
        <v>512017110</v>
      </c>
      <c r="C10584" s="76">
        <v>2017</v>
      </c>
      <c r="D10584" s="76" t="s">
        <v>40</v>
      </c>
      <c r="E10584" s="76" t="s">
        <v>32</v>
      </c>
      <c r="F10584" s="76">
        <v>3</v>
      </c>
    </row>
    <row r="10585" s="76" customFormat="1" spans="1:6">
      <c r="A10585">
        <v>10890</v>
      </c>
      <c r="B10585">
        <v>512017110</v>
      </c>
      <c r="C10585" s="76">
        <v>2017</v>
      </c>
      <c r="D10585" s="76" t="s">
        <v>40</v>
      </c>
      <c r="E10585" s="76" t="s">
        <v>32</v>
      </c>
      <c r="F10585" s="76">
        <v>1.8</v>
      </c>
    </row>
    <row r="10586" s="76" customFormat="1" spans="1:6">
      <c r="A10586">
        <v>10878</v>
      </c>
      <c r="B10586">
        <v>512017110</v>
      </c>
      <c r="C10586" s="76">
        <v>2017</v>
      </c>
      <c r="D10586" s="76" t="s">
        <v>40</v>
      </c>
      <c r="E10586" s="76" t="s">
        <v>32</v>
      </c>
      <c r="F10586" s="76">
        <v>24.6</v>
      </c>
    </row>
    <row r="10587" s="76" customFormat="1" spans="1:6">
      <c r="A10587">
        <v>10892</v>
      </c>
      <c r="B10587">
        <v>512017110</v>
      </c>
      <c r="C10587" s="76">
        <v>2017</v>
      </c>
      <c r="D10587" s="76" t="s">
        <v>40</v>
      </c>
      <c r="E10587" s="76" t="s">
        <v>32</v>
      </c>
      <c r="F10587" s="76">
        <v>24</v>
      </c>
    </row>
    <row r="10588" s="76" customFormat="1" spans="1:6">
      <c r="A10588">
        <v>10869</v>
      </c>
      <c r="B10588">
        <v>512017110</v>
      </c>
      <c r="C10588" s="76">
        <v>2017</v>
      </c>
      <c r="D10588" s="76" t="s">
        <v>40</v>
      </c>
      <c r="E10588" s="76">
        <v>3</v>
      </c>
      <c r="F10588" s="76">
        <v>24</v>
      </c>
    </row>
    <row r="10589" s="76" customFormat="1" spans="1:6">
      <c r="A10589">
        <v>10889</v>
      </c>
      <c r="B10589">
        <v>512017110</v>
      </c>
      <c r="C10589" s="76">
        <v>2017</v>
      </c>
      <c r="D10589" s="76" t="s">
        <v>40</v>
      </c>
      <c r="E10589" s="76" t="s">
        <v>32</v>
      </c>
      <c r="F10589" s="76">
        <v>0.48</v>
      </c>
    </row>
    <row r="10590" s="76" customFormat="1" spans="1:6">
      <c r="A10590">
        <v>10888</v>
      </c>
      <c r="B10590">
        <v>512017110</v>
      </c>
      <c r="C10590" s="76">
        <v>2017</v>
      </c>
      <c r="D10590" s="76" t="s">
        <v>40</v>
      </c>
      <c r="E10590" s="76" t="s">
        <v>32</v>
      </c>
      <c r="F10590" s="76">
        <v>2.1</v>
      </c>
    </row>
    <row r="10591" s="76" customFormat="1" spans="1:6">
      <c r="A10591">
        <v>10887</v>
      </c>
      <c r="B10591">
        <v>512017110</v>
      </c>
      <c r="C10591" s="76">
        <v>2017</v>
      </c>
      <c r="D10591" s="76" t="s">
        <v>40</v>
      </c>
      <c r="E10591" s="76" t="s">
        <v>32</v>
      </c>
      <c r="F10591" s="76">
        <v>4.3</v>
      </c>
    </row>
    <row r="10592" s="76" customFormat="1" spans="1:6">
      <c r="A10592">
        <v>10879</v>
      </c>
      <c r="B10592">
        <v>512017110</v>
      </c>
      <c r="C10592" s="76">
        <v>2017</v>
      </c>
      <c r="D10592" s="76" t="s">
        <v>40</v>
      </c>
      <c r="E10592" s="76" t="s">
        <v>32</v>
      </c>
      <c r="F10592" s="76">
        <v>4</v>
      </c>
    </row>
    <row r="10593" s="76" customFormat="1" spans="1:6">
      <c r="A10593">
        <v>10896</v>
      </c>
      <c r="B10593">
        <v>512017110</v>
      </c>
      <c r="C10593" s="76">
        <v>2017</v>
      </c>
      <c r="D10593" s="76" t="s">
        <v>40</v>
      </c>
      <c r="E10593" s="76" t="s">
        <v>32</v>
      </c>
      <c r="F10593" s="76">
        <v>0.08</v>
      </c>
    </row>
    <row r="10594" s="76" customFormat="1" spans="1:6">
      <c r="A10594">
        <v>10872</v>
      </c>
      <c r="B10594">
        <v>512017110</v>
      </c>
      <c r="C10594" s="76">
        <v>2017</v>
      </c>
      <c r="D10594" s="76" t="s">
        <v>40</v>
      </c>
      <c r="E10594" s="76">
        <v>2</v>
      </c>
      <c r="F10594" s="76">
        <v>24.6</v>
      </c>
    </row>
    <row r="10595" s="76" customFormat="1" spans="1:6">
      <c r="A10595">
        <v>10886</v>
      </c>
      <c r="B10595">
        <v>512017110</v>
      </c>
      <c r="C10595" s="76">
        <v>2017</v>
      </c>
      <c r="D10595" s="76" t="s">
        <v>40</v>
      </c>
      <c r="E10595" s="76" t="s">
        <v>32</v>
      </c>
      <c r="F10595" s="76">
        <v>1.26</v>
      </c>
    </row>
    <row r="10596" s="76" customFormat="1" spans="1:6">
      <c r="A10596">
        <v>10866</v>
      </c>
      <c r="B10596">
        <v>512017110</v>
      </c>
      <c r="C10596" s="76">
        <v>2017</v>
      </c>
      <c r="D10596" s="76" t="s">
        <v>40</v>
      </c>
      <c r="E10596" s="76">
        <v>4</v>
      </c>
      <c r="F10596" s="76">
        <v>260</v>
      </c>
    </row>
    <row r="10597" s="76" customFormat="1" spans="1:6">
      <c r="A10597">
        <v>10897</v>
      </c>
      <c r="B10597">
        <v>512017221</v>
      </c>
      <c r="C10597" s="76">
        <v>2017</v>
      </c>
      <c r="D10597" s="76" t="s">
        <v>30</v>
      </c>
      <c r="E10597" s="76" t="s">
        <v>32</v>
      </c>
      <c r="F10597" s="76">
        <v>0.15</v>
      </c>
    </row>
    <row r="10598" s="76" customFormat="1" spans="1:6">
      <c r="A10598">
        <v>10898</v>
      </c>
      <c r="B10598">
        <v>512017241</v>
      </c>
      <c r="C10598" s="76">
        <v>2017</v>
      </c>
      <c r="D10598" s="76" t="s">
        <v>33</v>
      </c>
      <c r="E10598" s="76" t="s">
        <v>32</v>
      </c>
      <c r="F10598" s="76">
        <v>0.9</v>
      </c>
    </row>
    <row r="10599" s="76" customFormat="1" spans="1:6">
      <c r="A10599">
        <v>10900</v>
      </c>
      <c r="B10599">
        <v>512017241</v>
      </c>
      <c r="C10599" s="76">
        <v>2017</v>
      </c>
      <c r="D10599" s="76" t="s">
        <v>33</v>
      </c>
      <c r="E10599" s="76" t="s">
        <v>32</v>
      </c>
      <c r="F10599" s="76">
        <v>0.7</v>
      </c>
    </row>
    <row r="10600" s="76" customFormat="1" spans="1:6">
      <c r="A10600">
        <v>10899</v>
      </c>
      <c r="B10600">
        <v>512017241</v>
      </c>
      <c r="C10600" s="76">
        <v>2017</v>
      </c>
      <c r="D10600" s="76" t="s">
        <v>33</v>
      </c>
      <c r="E10600" s="76" t="s">
        <v>32</v>
      </c>
      <c r="F10600" s="76">
        <v>0.3</v>
      </c>
    </row>
    <row r="10601" s="76" customFormat="1" spans="1:6">
      <c r="A10601">
        <v>10901</v>
      </c>
      <c r="B10601">
        <v>512017241</v>
      </c>
      <c r="C10601" s="76">
        <v>2017</v>
      </c>
      <c r="D10601" s="76" t="s">
        <v>33</v>
      </c>
      <c r="E10601" s="76" t="s">
        <v>32</v>
      </c>
      <c r="F10601" s="76">
        <v>0.75</v>
      </c>
    </row>
    <row r="10602" s="76" customFormat="1" spans="1:6">
      <c r="A10602">
        <v>10903</v>
      </c>
      <c r="B10602">
        <v>512017241</v>
      </c>
      <c r="C10602" s="76">
        <v>2017</v>
      </c>
      <c r="D10602" s="76" t="s">
        <v>33</v>
      </c>
      <c r="E10602" s="76" t="s">
        <v>32</v>
      </c>
      <c r="F10602" s="76">
        <v>5.2</v>
      </c>
    </row>
    <row r="10603" s="76" customFormat="1" spans="1:6">
      <c r="A10603">
        <v>10906</v>
      </c>
      <c r="B10603">
        <v>512017242</v>
      </c>
      <c r="C10603" s="76">
        <v>2017</v>
      </c>
      <c r="D10603" s="76" t="s">
        <v>35</v>
      </c>
      <c r="E10603" s="76" t="s">
        <v>32</v>
      </c>
      <c r="F10603" s="76">
        <v>1.2</v>
      </c>
    </row>
    <row r="10604" s="76" customFormat="1" spans="1:6">
      <c r="A10604">
        <v>10904</v>
      </c>
      <c r="B10604">
        <v>512017242</v>
      </c>
      <c r="C10604" s="76">
        <v>2017</v>
      </c>
      <c r="D10604" s="76" t="s">
        <v>35</v>
      </c>
      <c r="E10604" s="76" t="s">
        <v>32</v>
      </c>
      <c r="F10604" s="76">
        <v>5</v>
      </c>
    </row>
    <row r="10605" s="76" customFormat="1" spans="1:6">
      <c r="A10605">
        <v>10908</v>
      </c>
      <c r="B10605">
        <v>512017242</v>
      </c>
      <c r="C10605" s="76">
        <v>2017</v>
      </c>
      <c r="D10605" s="76" t="s">
        <v>35</v>
      </c>
      <c r="E10605" s="76" t="s">
        <v>32</v>
      </c>
      <c r="F10605" s="76">
        <v>2.5</v>
      </c>
    </row>
    <row r="10606" s="76" customFormat="1" spans="1:6">
      <c r="A10606">
        <v>10905</v>
      </c>
      <c r="B10606">
        <v>512017242</v>
      </c>
      <c r="C10606" s="76">
        <v>2017</v>
      </c>
      <c r="D10606" s="76" t="s">
        <v>35</v>
      </c>
      <c r="E10606" s="76" t="s">
        <v>32</v>
      </c>
      <c r="F10606" s="76">
        <v>1.5</v>
      </c>
    </row>
    <row r="10607" s="76" customFormat="1" spans="1:6">
      <c r="A10607">
        <v>10909</v>
      </c>
      <c r="B10607">
        <v>512017242</v>
      </c>
      <c r="C10607" s="76">
        <v>2017</v>
      </c>
      <c r="D10607" s="76" t="s">
        <v>35</v>
      </c>
      <c r="E10607" s="76" t="s">
        <v>32</v>
      </c>
      <c r="F10607" s="76">
        <v>2</v>
      </c>
    </row>
    <row r="10608" s="76" customFormat="1" spans="1:6">
      <c r="A10608">
        <v>10907</v>
      </c>
      <c r="B10608">
        <v>512017242</v>
      </c>
      <c r="C10608" s="76">
        <v>2017</v>
      </c>
      <c r="D10608" s="76" t="s">
        <v>35</v>
      </c>
      <c r="E10608" s="76" t="s">
        <v>32</v>
      </c>
      <c r="F10608" s="76">
        <v>2.08</v>
      </c>
    </row>
    <row r="10609" s="76" customFormat="1" spans="1:6">
      <c r="A10609">
        <v>10918</v>
      </c>
      <c r="B10609">
        <v>512017260</v>
      </c>
      <c r="C10609" s="76">
        <v>2017</v>
      </c>
      <c r="D10609" s="76" t="s">
        <v>34</v>
      </c>
      <c r="E10609" s="76" t="s">
        <v>32</v>
      </c>
      <c r="F10609" s="76">
        <v>10</v>
      </c>
    </row>
    <row r="10610" s="76" customFormat="1" spans="1:6">
      <c r="A10610">
        <v>10919</v>
      </c>
      <c r="B10610">
        <v>512017260</v>
      </c>
      <c r="C10610" s="76">
        <v>2017</v>
      </c>
      <c r="D10610" s="76" t="s">
        <v>34</v>
      </c>
      <c r="E10610" s="76" t="s">
        <v>32</v>
      </c>
      <c r="F10610" s="76">
        <v>8.3</v>
      </c>
    </row>
    <row r="10611" s="76" customFormat="1" spans="1:6">
      <c r="A10611">
        <v>10924</v>
      </c>
      <c r="B10611">
        <v>512017260</v>
      </c>
      <c r="C10611" s="76">
        <v>2017</v>
      </c>
      <c r="D10611" s="76" t="s">
        <v>34</v>
      </c>
      <c r="E10611" s="76" t="s">
        <v>32</v>
      </c>
      <c r="F10611" s="76">
        <v>7.75</v>
      </c>
    </row>
    <row r="10612" s="76" customFormat="1" spans="1:6">
      <c r="A10612">
        <v>10928</v>
      </c>
      <c r="B10612">
        <v>512017260</v>
      </c>
      <c r="C10612" s="76">
        <v>2017</v>
      </c>
      <c r="D10612" s="76" t="s">
        <v>34</v>
      </c>
      <c r="E10612" s="76" t="s">
        <v>32</v>
      </c>
      <c r="F10612" s="76">
        <v>6.75</v>
      </c>
    </row>
    <row r="10613" s="76" customFormat="1" spans="1:6">
      <c r="A10613">
        <v>10911</v>
      </c>
      <c r="B10613">
        <v>512017260</v>
      </c>
      <c r="C10613" s="76">
        <v>2017</v>
      </c>
      <c r="D10613" s="76" t="s">
        <v>34</v>
      </c>
      <c r="E10613" s="76" t="s">
        <v>32</v>
      </c>
      <c r="F10613" s="76">
        <v>2.5</v>
      </c>
    </row>
    <row r="10614" s="76" customFormat="1" spans="1:6">
      <c r="A10614">
        <v>10921</v>
      </c>
      <c r="B10614">
        <v>512017260</v>
      </c>
      <c r="C10614" s="76">
        <v>2017</v>
      </c>
      <c r="D10614" s="76" t="s">
        <v>34</v>
      </c>
      <c r="E10614" s="76" t="s">
        <v>32</v>
      </c>
      <c r="F10614" s="76">
        <v>9.9</v>
      </c>
    </row>
    <row r="10615" s="76" customFormat="1" spans="1:6">
      <c r="A10615">
        <v>10925</v>
      </c>
      <c r="B10615">
        <v>512017260</v>
      </c>
      <c r="C10615" s="76">
        <v>2017</v>
      </c>
      <c r="D10615" s="76" t="s">
        <v>34</v>
      </c>
      <c r="E10615" s="76" t="s">
        <v>32</v>
      </c>
      <c r="F10615" s="76">
        <v>20.5</v>
      </c>
    </row>
    <row r="10616" s="76" customFormat="1" spans="1:6">
      <c r="A10616">
        <v>10930</v>
      </c>
      <c r="B10616">
        <v>512017260</v>
      </c>
      <c r="C10616" s="76">
        <v>2017</v>
      </c>
      <c r="D10616" s="76" t="s">
        <v>34</v>
      </c>
      <c r="E10616" s="76" t="s">
        <v>32</v>
      </c>
      <c r="F10616" s="76">
        <v>3.6</v>
      </c>
    </row>
    <row r="10617" s="76" customFormat="1" spans="1:6">
      <c r="A10617">
        <v>10927</v>
      </c>
      <c r="B10617">
        <v>512017260</v>
      </c>
      <c r="C10617" s="76">
        <v>2017</v>
      </c>
      <c r="D10617" s="76" t="s">
        <v>34</v>
      </c>
      <c r="E10617" s="76" t="s">
        <v>32</v>
      </c>
      <c r="F10617" s="76">
        <v>5</v>
      </c>
    </row>
    <row r="10618" s="76" customFormat="1" spans="1:6">
      <c r="A10618">
        <v>10922</v>
      </c>
      <c r="B10618">
        <v>512017260</v>
      </c>
      <c r="C10618" s="76">
        <v>2017</v>
      </c>
      <c r="D10618" s="76" t="s">
        <v>34</v>
      </c>
      <c r="E10618" s="76">
        <v>25</v>
      </c>
      <c r="F10618" s="76">
        <v>5</v>
      </c>
    </row>
    <row r="10619" s="76" customFormat="1" spans="1:6">
      <c r="A10619">
        <v>10929</v>
      </c>
      <c r="B10619">
        <v>512017260</v>
      </c>
      <c r="C10619" s="76">
        <v>2017</v>
      </c>
      <c r="D10619" s="76" t="s">
        <v>34</v>
      </c>
      <c r="E10619" s="76" t="s">
        <v>32</v>
      </c>
      <c r="F10619" s="76">
        <v>2.4</v>
      </c>
    </row>
    <row r="10620" s="76" customFormat="1" spans="1:6">
      <c r="A10620">
        <v>10916</v>
      </c>
      <c r="B10620">
        <v>512017260</v>
      </c>
      <c r="C10620" s="76">
        <v>2017</v>
      </c>
      <c r="D10620" s="76" t="s">
        <v>34</v>
      </c>
      <c r="E10620" s="76" t="s">
        <v>32</v>
      </c>
      <c r="F10620" s="76">
        <v>2.4</v>
      </c>
    </row>
    <row r="10621" s="76" customFormat="1" spans="1:6">
      <c r="A10621">
        <v>10910</v>
      </c>
      <c r="B10621">
        <v>512017260</v>
      </c>
      <c r="C10621" s="76">
        <v>2017</v>
      </c>
      <c r="D10621" s="76" t="s">
        <v>34</v>
      </c>
      <c r="E10621" s="76">
        <v>35</v>
      </c>
      <c r="F10621" s="76">
        <v>7</v>
      </c>
    </row>
    <row r="10622" s="76" customFormat="1" spans="1:6">
      <c r="A10622">
        <v>10915</v>
      </c>
      <c r="B10622">
        <v>512017260</v>
      </c>
      <c r="C10622" s="76">
        <v>2017</v>
      </c>
      <c r="D10622" s="76" t="s">
        <v>34</v>
      </c>
      <c r="E10622" s="76">
        <v>25</v>
      </c>
      <c r="F10622" s="76">
        <v>4.95</v>
      </c>
    </row>
    <row r="10623" s="76" customFormat="1" spans="1:6">
      <c r="A10623">
        <v>10920</v>
      </c>
      <c r="B10623">
        <v>512017260</v>
      </c>
      <c r="C10623" s="76">
        <v>2017</v>
      </c>
      <c r="D10623" s="76" t="s">
        <v>34</v>
      </c>
      <c r="E10623" s="76" t="s">
        <v>32</v>
      </c>
      <c r="F10623" s="76">
        <v>1.65</v>
      </c>
    </row>
    <row r="10624" s="76" customFormat="1" spans="1:6">
      <c r="A10624">
        <v>10923</v>
      </c>
      <c r="B10624">
        <v>512017260</v>
      </c>
      <c r="C10624" s="76">
        <v>2017</v>
      </c>
      <c r="D10624" s="76" t="s">
        <v>34</v>
      </c>
      <c r="E10624" s="76">
        <v>18</v>
      </c>
      <c r="F10624" s="76">
        <v>3.6</v>
      </c>
    </row>
    <row r="10625" s="76" customFormat="1" spans="1:6">
      <c r="A10625">
        <v>10917</v>
      </c>
      <c r="B10625">
        <v>512017260</v>
      </c>
      <c r="C10625" s="76">
        <v>2017</v>
      </c>
      <c r="D10625" s="76" t="s">
        <v>34</v>
      </c>
      <c r="E10625" s="76">
        <v>32</v>
      </c>
      <c r="F10625" s="76">
        <v>4.8</v>
      </c>
    </row>
    <row r="10626" s="76" customFormat="1" spans="1:6">
      <c r="A10626">
        <v>10913</v>
      </c>
      <c r="B10626">
        <v>512017260</v>
      </c>
      <c r="C10626" s="76">
        <v>2017</v>
      </c>
      <c r="D10626" s="76" t="s">
        <v>34</v>
      </c>
      <c r="E10626" s="76">
        <v>33</v>
      </c>
      <c r="F10626" s="76">
        <v>4.95</v>
      </c>
    </row>
    <row r="10627" s="76" customFormat="1" spans="1:6">
      <c r="A10627">
        <v>10914</v>
      </c>
      <c r="B10627">
        <v>512017260</v>
      </c>
      <c r="C10627" s="76">
        <v>2017</v>
      </c>
      <c r="D10627" s="76" t="s">
        <v>34</v>
      </c>
      <c r="E10627" s="76">
        <v>33</v>
      </c>
      <c r="F10627" s="76">
        <v>4.95</v>
      </c>
    </row>
    <row r="10628" s="76" customFormat="1" spans="1:6">
      <c r="A10628">
        <v>10912</v>
      </c>
      <c r="B10628">
        <v>512017260</v>
      </c>
      <c r="C10628" s="76">
        <v>2017</v>
      </c>
      <c r="D10628" s="76" t="s">
        <v>34</v>
      </c>
      <c r="E10628" s="76">
        <v>33</v>
      </c>
      <c r="F10628" s="76">
        <v>4.95</v>
      </c>
    </row>
    <row r="10629" s="76" customFormat="1" spans="1:6">
      <c r="A10629">
        <v>10926</v>
      </c>
      <c r="B10629">
        <v>512017260</v>
      </c>
      <c r="C10629" s="76">
        <v>2017</v>
      </c>
      <c r="D10629" s="76" t="s">
        <v>34</v>
      </c>
      <c r="E10629" s="76" t="s">
        <v>32</v>
      </c>
      <c r="F10629" s="76">
        <v>5</v>
      </c>
    </row>
    <row r="10630" s="76" customFormat="1" spans="1:6">
      <c r="A10630">
        <v>10931</v>
      </c>
      <c r="B10630">
        <v>512017270</v>
      </c>
      <c r="C10630" s="76">
        <v>2017</v>
      </c>
      <c r="D10630" s="76" t="s">
        <v>31</v>
      </c>
      <c r="E10630" s="76" t="s">
        <v>32</v>
      </c>
      <c r="F10630" s="76">
        <v>2.08</v>
      </c>
    </row>
    <row r="10631" s="76" customFormat="1" spans="1:6">
      <c r="A10631">
        <v>10942</v>
      </c>
      <c r="B10631">
        <v>512017270</v>
      </c>
      <c r="C10631" s="76">
        <v>2017</v>
      </c>
      <c r="D10631" s="76" t="s">
        <v>31</v>
      </c>
      <c r="E10631" s="76" t="s">
        <v>32</v>
      </c>
      <c r="F10631" s="76">
        <v>1.5</v>
      </c>
    </row>
    <row r="10632" s="76" customFormat="1" spans="1:6">
      <c r="A10632">
        <v>10940</v>
      </c>
      <c r="B10632">
        <v>512017270</v>
      </c>
      <c r="C10632" s="76">
        <v>2017</v>
      </c>
      <c r="D10632" s="76" t="s">
        <v>31</v>
      </c>
      <c r="E10632" s="76" t="s">
        <v>32</v>
      </c>
      <c r="F10632" s="76">
        <v>3</v>
      </c>
    </row>
    <row r="10633" s="76" customFormat="1" spans="1:6">
      <c r="A10633">
        <v>10936</v>
      </c>
      <c r="B10633">
        <v>512017270</v>
      </c>
      <c r="C10633" s="76">
        <v>2017</v>
      </c>
      <c r="D10633" s="76" t="s">
        <v>31</v>
      </c>
      <c r="E10633" s="76" t="s">
        <v>32</v>
      </c>
      <c r="F10633" s="76">
        <v>2</v>
      </c>
    </row>
    <row r="10634" s="76" customFormat="1" spans="1:6">
      <c r="A10634">
        <v>10941</v>
      </c>
      <c r="B10634">
        <v>512017270</v>
      </c>
      <c r="C10634" s="76">
        <v>2017</v>
      </c>
      <c r="D10634" s="76" t="s">
        <v>31</v>
      </c>
      <c r="E10634" s="76" t="s">
        <v>32</v>
      </c>
      <c r="F10634" s="76">
        <v>2</v>
      </c>
    </row>
    <row r="10635" s="76" customFormat="1" spans="1:6">
      <c r="A10635">
        <v>10939</v>
      </c>
      <c r="B10635">
        <v>512017270</v>
      </c>
      <c r="C10635" s="76">
        <v>2017</v>
      </c>
      <c r="D10635" s="76" t="s">
        <v>31</v>
      </c>
      <c r="E10635" s="76" t="s">
        <v>32</v>
      </c>
      <c r="F10635" s="76">
        <v>3</v>
      </c>
    </row>
    <row r="10636" s="76" customFormat="1" spans="1:6">
      <c r="A10636">
        <v>10937</v>
      </c>
      <c r="B10636">
        <v>512017270</v>
      </c>
      <c r="C10636" s="76">
        <v>2017</v>
      </c>
      <c r="D10636" s="76" t="s">
        <v>31</v>
      </c>
      <c r="E10636" s="76" t="s">
        <v>32</v>
      </c>
      <c r="F10636" s="76">
        <v>3</v>
      </c>
    </row>
    <row r="10637" s="76" customFormat="1" spans="1:6">
      <c r="A10637">
        <v>10938</v>
      </c>
      <c r="B10637">
        <v>512017270</v>
      </c>
      <c r="C10637" s="76">
        <v>2017</v>
      </c>
      <c r="D10637" s="76" t="s">
        <v>31</v>
      </c>
      <c r="E10637" s="76" t="s">
        <v>32</v>
      </c>
      <c r="F10637" s="76">
        <v>2</v>
      </c>
    </row>
    <row r="10638" s="76" customFormat="1" spans="1:6">
      <c r="A10638">
        <v>10935</v>
      </c>
      <c r="B10638">
        <v>512017270</v>
      </c>
      <c r="C10638" s="76">
        <v>2017</v>
      </c>
      <c r="D10638" s="76" t="s">
        <v>31</v>
      </c>
      <c r="E10638" s="76" t="s">
        <v>32</v>
      </c>
      <c r="F10638" s="76">
        <v>3.78</v>
      </c>
    </row>
    <row r="10639" s="76" customFormat="1" spans="1:6">
      <c r="A10639">
        <v>10934</v>
      </c>
      <c r="B10639">
        <v>512017270</v>
      </c>
      <c r="C10639" s="76">
        <v>2017</v>
      </c>
      <c r="D10639" s="76" t="s">
        <v>31</v>
      </c>
      <c r="E10639" s="76" t="s">
        <v>32</v>
      </c>
      <c r="F10639" s="76">
        <v>2</v>
      </c>
    </row>
    <row r="10640" s="76" customFormat="1" spans="1:6">
      <c r="A10640">
        <v>10933</v>
      </c>
      <c r="B10640">
        <v>512017270</v>
      </c>
      <c r="C10640" s="76">
        <v>2017</v>
      </c>
      <c r="D10640" s="76" t="s">
        <v>31</v>
      </c>
      <c r="E10640" s="76" t="s">
        <v>32</v>
      </c>
      <c r="F10640" s="76">
        <v>5</v>
      </c>
    </row>
    <row r="10641" s="76" customFormat="1" spans="1:6">
      <c r="A10641">
        <v>10955</v>
      </c>
      <c r="B10641">
        <v>512018110</v>
      </c>
      <c r="C10641" s="76">
        <v>2018</v>
      </c>
      <c r="D10641" s="76" t="s">
        <v>40</v>
      </c>
      <c r="E10641" s="76">
        <v>1</v>
      </c>
      <c r="F10641" s="76">
        <v>1.6</v>
      </c>
    </row>
    <row r="10642" s="76" customFormat="1" spans="1:6">
      <c r="A10642">
        <v>10943</v>
      </c>
      <c r="B10642">
        <v>512018110</v>
      </c>
      <c r="C10642" s="76">
        <v>2018</v>
      </c>
      <c r="D10642" s="76" t="s">
        <v>40</v>
      </c>
      <c r="E10642" s="76">
        <v>3</v>
      </c>
      <c r="F10642" s="76">
        <v>17.4</v>
      </c>
    </row>
    <row r="10643" s="76" customFormat="1" spans="1:6">
      <c r="A10643">
        <v>10959</v>
      </c>
      <c r="B10643">
        <v>512018110</v>
      </c>
      <c r="C10643" s="76">
        <v>2018</v>
      </c>
      <c r="D10643" s="76" t="s">
        <v>40</v>
      </c>
      <c r="E10643" s="76">
        <v>1</v>
      </c>
      <c r="F10643" s="76">
        <v>2.46</v>
      </c>
    </row>
    <row r="10644" s="76" customFormat="1" spans="1:6">
      <c r="A10644">
        <v>10975</v>
      </c>
      <c r="B10644">
        <v>512018110</v>
      </c>
      <c r="C10644" s="76">
        <v>2018</v>
      </c>
      <c r="D10644" s="76" t="s">
        <v>40</v>
      </c>
      <c r="E10644" s="76">
        <v>1</v>
      </c>
      <c r="F10644" s="76">
        <v>0.51</v>
      </c>
    </row>
    <row r="10645" s="76" customFormat="1" spans="1:6">
      <c r="A10645">
        <v>10946</v>
      </c>
      <c r="B10645">
        <v>512018110</v>
      </c>
      <c r="C10645" s="76">
        <v>2018</v>
      </c>
      <c r="D10645" s="76" t="s">
        <v>40</v>
      </c>
      <c r="E10645" s="76">
        <v>1</v>
      </c>
      <c r="F10645" s="76">
        <v>1.2</v>
      </c>
    </row>
    <row r="10646" s="76" customFormat="1" spans="1:6">
      <c r="A10646">
        <v>10969</v>
      </c>
      <c r="B10646">
        <v>512018110</v>
      </c>
      <c r="C10646" s="76">
        <v>2018</v>
      </c>
      <c r="D10646" s="76" t="s">
        <v>40</v>
      </c>
      <c r="E10646" s="76">
        <v>1</v>
      </c>
      <c r="F10646" s="76">
        <v>0.75</v>
      </c>
    </row>
    <row r="10647" s="76" customFormat="1" spans="1:6">
      <c r="A10647">
        <v>10968</v>
      </c>
      <c r="B10647">
        <v>512018110</v>
      </c>
      <c r="C10647" s="76">
        <v>2018</v>
      </c>
      <c r="D10647" s="76" t="s">
        <v>40</v>
      </c>
      <c r="E10647" s="76">
        <v>1</v>
      </c>
      <c r="F10647" s="76">
        <v>22</v>
      </c>
    </row>
    <row r="10648" s="76" customFormat="1" spans="1:6">
      <c r="A10648">
        <v>10947</v>
      </c>
      <c r="B10648">
        <v>512018110</v>
      </c>
      <c r="C10648" s="76">
        <v>2018</v>
      </c>
      <c r="D10648" s="76" t="s">
        <v>40</v>
      </c>
      <c r="E10648" s="76">
        <v>1</v>
      </c>
      <c r="F10648" s="76">
        <v>1.1</v>
      </c>
    </row>
    <row r="10649" s="76" customFormat="1" spans="1:6">
      <c r="A10649">
        <v>10972</v>
      </c>
      <c r="B10649">
        <v>512018110</v>
      </c>
      <c r="C10649" s="76">
        <v>2018</v>
      </c>
      <c r="D10649" s="76" t="s">
        <v>40</v>
      </c>
      <c r="E10649" s="76">
        <v>1</v>
      </c>
      <c r="F10649" s="76">
        <v>10.74</v>
      </c>
    </row>
    <row r="10650" s="76" customFormat="1" spans="1:6">
      <c r="A10650">
        <v>10977</v>
      </c>
      <c r="B10650">
        <v>512018110</v>
      </c>
      <c r="C10650" s="76">
        <v>2018</v>
      </c>
      <c r="D10650" s="76" t="s">
        <v>40</v>
      </c>
      <c r="E10650" s="76" t="s">
        <v>32</v>
      </c>
      <c r="F10650" s="76">
        <v>13.8</v>
      </c>
    </row>
    <row r="10651" s="76" customFormat="1" spans="1:6">
      <c r="A10651">
        <v>10950</v>
      </c>
      <c r="B10651">
        <v>512018110</v>
      </c>
      <c r="C10651" s="76">
        <v>2018</v>
      </c>
      <c r="D10651" s="76" t="s">
        <v>40</v>
      </c>
      <c r="E10651" s="76">
        <v>1</v>
      </c>
      <c r="F10651" s="76">
        <v>0.81</v>
      </c>
    </row>
    <row r="10652" s="76" customFormat="1" spans="1:6">
      <c r="A10652">
        <v>10976</v>
      </c>
      <c r="B10652">
        <v>512018110</v>
      </c>
      <c r="C10652" s="76">
        <v>2018</v>
      </c>
      <c r="D10652" s="76" t="s">
        <v>40</v>
      </c>
      <c r="E10652" s="76" t="s">
        <v>32</v>
      </c>
      <c r="F10652" s="76">
        <v>3.2</v>
      </c>
    </row>
    <row r="10653" s="76" customFormat="1" spans="1:6">
      <c r="A10653">
        <v>10960</v>
      </c>
      <c r="B10653">
        <v>512018110</v>
      </c>
      <c r="C10653" s="76">
        <v>2018</v>
      </c>
      <c r="D10653" s="76" t="s">
        <v>40</v>
      </c>
      <c r="E10653" s="76">
        <v>1</v>
      </c>
      <c r="F10653" s="76">
        <v>11</v>
      </c>
    </row>
    <row r="10654" s="76" customFormat="1" spans="1:6">
      <c r="A10654">
        <v>10949</v>
      </c>
      <c r="B10654">
        <v>512018110</v>
      </c>
      <c r="C10654" s="76">
        <v>2018</v>
      </c>
      <c r="D10654" s="76" t="s">
        <v>40</v>
      </c>
      <c r="E10654" s="76">
        <v>1</v>
      </c>
      <c r="F10654" s="76">
        <v>2</v>
      </c>
    </row>
    <row r="10655" s="76" customFormat="1" spans="1:6">
      <c r="A10655">
        <v>10961</v>
      </c>
      <c r="B10655">
        <v>512018110</v>
      </c>
      <c r="C10655" s="76">
        <v>2018</v>
      </c>
      <c r="D10655" s="76" t="s">
        <v>40</v>
      </c>
      <c r="E10655" s="76">
        <v>1</v>
      </c>
      <c r="F10655" s="76">
        <v>1.4</v>
      </c>
    </row>
    <row r="10656" s="76" customFormat="1" spans="1:6">
      <c r="A10656">
        <v>10970</v>
      </c>
      <c r="B10656">
        <v>512018110</v>
      </c>
      <c r="C10656" s="76">
        <v>2018</v>
      </c>
      <c r="D10656" s="76" t="s">
        <v>40</v>
      </c>
      <c r="E10656" s="76">
        <v>1</v>
      </c>
      <c r="F10656" s="76">
        <v>1.4</v>
      </c>
    </row>
    <row r="10657" s="76" customFormat="1" spans="1:6">
      <c r="A10657">
        <v>10974</v>
      </c>
      <c r="B10657">
        <v>512018110</v>
      </c>
      <c r="C10657" s="76">
        <v>2018</v>
      </c>
      <c r="D10657" s="76" t="s">
        <v>40</v>
      </c>
      <c r="E10657" s="76">
        <v>1</v>
      </c>
      <c r="F10657" s="76">
        <v>4.8</v>
      </c>
    </row>
    <row r="10658" s="76" customFormat="1" spans="1:6">
      <c r="A10658">
        <v>10973</v>
      </c>
      <c r="B10658">
        <v>512018110</v>
      </c>
      <c r="C10658" s="76">
        <v>2018</v>
      </c>
      <c r="D10658" s="76" t="s">
        <v>40</v>
      </c>
      <c r="E10658" s="76">
        <v>1</v>
      </c>
      <c r="F10658" s="76">
        <v>1.04</v>
      </c>
    </row>
    <row r="10659" s="76" customFormat="1" spans="1:6">
      <c r="A10659">
        <v>10953</v>
      </c>
      <c r="B10659">
        <v>512018110</v>
      </c>
      <c r="C10659" s="76">
        <v>2018</v>
      </c>
      <c r="D10659" s="76" t="s">
        <v>40</v>
      </c>
      <c r="E10659" s="76">
        <v>1</v>
      </c>
      <c r="F10659" s="76">
        <v>0.64</v>
      </c>
    </row>
    <row r="10660" s="76" customFormat="1" spans="1:6">
      <c r="A10660">
        <v>10951</v>
      </c>
      <c r="B10660">
        <v>512018110</v>
      </c>
      <c r="C10660" s="76">
        <v>2018</v>
      </c>
      <c r="D10660" s="76" t="s">
        <v>40</v>
      </c>
      <c r="E10660" s="76">
        <v>1</v>
      </c>
      <c r="F10660" s="76">
        <v>0.64</v>
      </c>
    </row>
    <row r="10661" s="76" customFormat="1" spans="1:6">
      <c r="A10661">
        <v>10958</v>
      </c>
      <c r="B10661">
        <v>512018110</v>
      </c>
      <c r="C10661" s="76">
        <v>2018</v>
      </c>
      <c r="D10661" s="76" t="s">
        <v>40</v>
      </c>
      <c r="E10661" s="76">
        <v>1</v>
      </c>
      <c r="F10661" s="76">
        <v>0.9</v>
      </c>
    </row>
    <row r="10662" s="76" customFormat="1" spans="1:6">
      <c r="A10662">
        <v>10945</v>
      </c>
      <c r="B10662">
        <v>512018110</v>
      </c>
      <c r="C10662" s="76">
        <v>2018</v>
      </c>
      <c r="D10662" s="76" t="s">
        <v>40</v>
      </c>
      <c r="E10662" s="76">
        <v>3</v>
      </c>
      <c r="F10662" s="76">
        <v>13.8</v>
      </c>
    </row>
    <row r="10663" s="76" customFormat="1" spans="1:6">
      <c r="A10663">
        <v>10964</v>
      </c>
      <c r="B10663">
        <v>512018110</v>
      </c>
      <c r="C10663" s="76">
        <v>2018</v>
      </c>
      <c r="D10663" s="76" t="s">
        <v>40</v>
      </c>
      <c r="E10663" s="76">
        <v>1</v>
      </c>
      <c r="F10663" s="76">
        <v>2.93</v>
      </c>
    </row>
    <row r="10664" s="76" customFormat="1" spans="1:6">
      <c r="A10664">
        <v>10944</v>
      </c>
      <c r="B10664">
        <v>512018110</v>
      </c>
      <c r="C10664" s="76">
        <v>2018</v>
      </c>
      <c r="D10664" s="76" t="s">
        <v>40</v>
      </c>
      <c r="E10664" s="76">
        <v>2</v>
      </c>
      <c r="F10664" s="76">
        <v>3.2</v>
      </c>
    </row>
    <row r="10665" s="76" customFormat="1" spans="1:6">
      <c r="A10665">
        <v>10965</v>
      </c>
      <c r="B10665">
        <v>512018110</v>
      </c>
      <c r="C10665" s="76">
        <v>2018</v>
      </c>
      <c r="D10665" s="76" t="s">
        <v>40</v>
      </c>
      <c r="E10665" s="76">
        <v>2</v>
      </c>
      <c r="F10665" s="76">
        <v>1.18</v>
      </c>
    </row>
    <row r="10666" s="76" customFormat="1" spans="1:6">
      <c r="A10666">
        <v>10948</v>
      </c>
      <c r="B10666">
        <v>512018110</v>
      </c>
      <c r="C10666" s="76">
        <v>2018</v>
      </c>
      <c r="D10666" s="76" t="s">
        <v>40</v>
      </c>
      <c r="E10666" s="76">
        <v>1</v>
      </c>
      <c r="F10666" s="76">
        <v>0.75</v>
      </c>
    </row>
    <row r="10667" s="76" customFormat="1" spans="1:6">
      <c r="A10667">
        <v>10954</v>
      </c>
      <c r="B10667">
        <v>512018110</v>
      </c>
      <c r="C10667" s="76">
        <v>2018</v>
      </c>
      <c r="D10667" s="76" t="s">
        <v>40</v>
      </c>
      <c r="E10667" s="76">
        <v>1</v>
      </c>
      <c r="F10667" s="76">
        <v>5.5</v>
      </c>
    </row>
    <row r="10668" s="76" customFormat="1" spans="1:6">
      <c r="A10668">
        <v>10966</v>
      </c>
      <c r="B10668">
        <v>512018110</v>
      </c>
      <c r="C10668" s="76">
        <v>2018</v>
      </c>
      <c r="D10668" s="76" t="s">
        <v>40</v>
      </c>
      <c r="E10668" s="76">
        <v>1</v>
      </c>
      <c r="F10668" s="76">
        <v>4</v>
      </c>
    </row>
    <row r="10669" s="76" customFormat="1" spans="1:6">
      <c r="A10669">
        <v>10956</v>
      </c>
      <c r="B10669">
        <v>512018110</v>
      </c>
      <c r="C10669" s="76">
        <v>2018</v>
      </c>
      <c r="D10669" s="76" t="s">
        <v>40</v>
      </c>
      <c r="E10669" s="76">
        <v>1</v>
      </c>
      <c r="F10669" s="76">
        <v>1.89</v>
      </c>
    </row>
    <row r="10670" s="76" customFormat="1" spans="1:6">
      <c r="A10670">
        <v>10957</v>
      </c>
      <c r="B10670">
        <v>512018110</v>
      </c>
      <c r="C10670" s="76">
        <v>2018</v>
      </c>
      <c r="D10670" s="76" t="s">
        <v>40</v>
      </c>
      <c r="E10670" s="76">
        <v>1</v>
      </c>
      <c r="F10670" s="76">
        <v>2.4</v>
      </c>
    </row>
    <row r="10671" s="76" customFormat="1" spans="1:6">
      <c r="A10671">
        <v>10963</v>
      </c>
      <c r="B10671">
        <v>512018110</v>
      </c>
      <c r="C10671" s="76">
        <v>2018</v>
      </c>
      <c r="D10671" s="76" t="s">
        <v>40</v>
      </c>
      <c r="E10671" s="76">
        <v>2</v>
      </c>
      <c r="F10671" s="76">
        <v>6</v>
      </c>
    </row>
    <row r="10672" s="76" customFormat="1" spans="1:6">
      <c r="A10672">
        <v>10952</v>
      </c>
      <c r="B10672">
        <v>512018110</v>
      </c>
      <c r="C10672" s="76">
        <v>2018</v>
      </c>
      <c r="D10672" s="76" t="s">
        <v>40</v>
      </c>
      <c r="E10672" s="76">
        <v>1</v>
      </c>
      <c r="F10672" s="76">
        <v>0.76</v>
      </c>
    </row>
    <row r="10673" s="76" customFormat="1" spans="1:6">
      <c r="A10673">
        <v>10962</v>
      </c>
      <c r="B10673">
        <v>512018110</v>
      </c>
      <c r="C10673" s="76">
        <v>2018</v>
      </c>
      <c r="D10673" s="76" t="s">
        <v>40</v>
      </c>
      <c r="E10673" s="76">
        <v>1</v>
      </c>
      <c r="F10673" s="76">
        <v>2.1</v>
      </c>
    </row>
    <row r="10674" s="76" customFormat="1" spans="1:6">
      <c r="A10674">
        <v>10971</v>
      </c>
      <c r="B10674">
        <v>512018110</v>
      </c>
      <c r="C10674" s="76">
        <v>2018</v>
      </c>
      <c r="D10674" s="76" t="s">
        <v>40</v>
      </c>
      <c r="E10674" s="76">
        <v>1</v>
      </c>
      <c r="F10674" s="76">
        <v>2.1</v>
      </c>
    </row>
    <row r="10675" s="76" customFormat="1" spans="1:6">
      <c r="A10675">
        <v>10978</v>
      </c>
      <c r="B10675">
        <v>512018211</v>
      </c>
      <c r="C10675" s="76">
        <v>2018</v>
      </c>
      <c r="D10675" s="76" t="s">
        <v>37</v>
      </c>
      <c r="E10675" s="76">
        <v>1</v>
      </c>
      <c r="F10675" s="76">
        <v>16.25</v>
      </c>
    </row>
    <row r="10676" s="76" customFormat="1" spans="1:6">
      <c r="A10676">
        <v>10979</v>
      </c>
      <c r="B10676">
        <v>512018221</v>
      </c>
      <c r="C10676" s="76">
        <v>2018</v>
      </c>
      <c r="D10676" s="76" t="s">
        <v>30</v>
      </c>
      <c r="E10676" s="76">
        <v>1</v>
      </c>
      <c r="F10676" s="76">
        <v>0.05</v>
      </c>
    </row>
    <row r="10677" s="76" customFormat="1" spans="1:6">
      <c r="A10677">
        <v>10980</v>
      </c>
      <c r="B10677">
        <v>512018221</v>
      </c>
      <c r="C10677" s="76">
        <v>2018</v>
      </c>
      <c r="D10677" s="76" t="s">
        <v>30</v>
      </c>
      <c r="E10677" s="76">
        <v>1</v>
      </c>
      <c r="F10677" s="76">
        <v>1.44</v>
      </c>
    </row>
    <row r="10678" s="76" customFormat="1" spans="1:6">
      <c r="A10678">
        <v>10981</v>
      </c>
      <c r="B10678">
        <v>512018223</v>
      </c>
      <c r="C10678" s="76">
        <v>2018</v>
      </c>
      <c r="D10678" s="76" t="s">
        <v>36</v>
      </c>
      <c r="E10678" s="76">
        <v>1</v>
      </c>
      <c r="F10678" s="76">
        <v>0.89</v>
      </c>
    </row>
    <row r="10679" s="76" customFormat="1" spans="1:6">
      <c r="A10679">
        <v>10982</v>
      </c>
      <c r="B10679">
        <v>512018241</v>
      </c>
      <c r="C10679" s="76">
        <v>2018</v>
      </c>
      <c r="D10679" s="76" t="s">
        <v>33</v>
      </c>
      <c r="E10679" s="76">
        <v>1</v>
      </c>
      <c r="F10679" s="76">
        <v>1.35</v>
      </c>
    </row>
    <row r="10680" s="76" customFormat="1" spans="1:6">
      <c r="A10680">
        <v>10984</v>
      </c>
      <c r="B10680">
        <v>512018241</v>
      </c>
      <c r="C10680" s="76">
        <v>2018</v>
      </c>
      <c r="D10680" s="76" t="s">
        <v>33</v>
      </c>
      <c r="E10680" s="76">
        <v>1</v>
      </c>
      <c r="F10680" s="76">
        <v>2.5</v>
      </c>
    </row>
    <row r="10681" s="76" customFormat="1" spans="1:6">
      <c r="A10681">
        <v>10985</v>
      </c>
      <c r="B10681">
        <v>512018241</v>
      </c>
      <c r="C10681" s="76">
        <v>2018</v>
      </c>
      <c r="D10681" s="76" t="s">
        <v>33</v>
      </c>
      <c r="E10681" s="76">
        <v>1</v>
      </c>
      <c r="F10681" s="76">
        <v>0.6</v>
      </c>
    </row>
    <row r="10682" s="76" customFormat="1" spans="1:6">
      <c r="A10682">
        <v>10987</v>
      </c>
      <c r="B10682">
        <v>512018242</v>
      </c>
      <c r="C10682" s="76">
        <v>2018</v>
      </c>
      <c r="D10682" s="76" t="s">
        <v>35</v>
      </c>
      <c r="E10682" s="76">
        <v>1</v>
      </c>
      <c r="F10682" s="76">
        <v>0.6</v>
      </c>
    </row>
    <row r="10683" s="76" customFormat="1" spans="1:6">
      <c r="A10683">
        <v>10986</v>
      </c>
      <c r="B10683">
        <v>512018242</v>
      </c>
      <c r="C10683" s="76">
        <v>2018</v>
      </c>
      <c r="D10683" s="76" t="s">
        <v>35</v>
      </c>
      <c r="E10683" s="76">
        <v>1</v>
      </c>
      <c r="F10683" s="76">
        <v>1.5</v>
      </c>
    </row>
    <row r="10684" s="76" customFormat="1" spans="1:6">
      <c r="A10684">
        <v>10988</v>
      </c>
      <c r="B10684">
        <v>512018243</v>
      </c>
      <c r="C10684" s="76">
        <v>2018</v>
      </c>
      <c r="D10684" s="76" t="s">
        <v>38</v>
      </c>
      <c r="E10684" s="76" t="s">
        <v>32</v>
      </c>
      <c r="F10684" s="76">
        <v>3.6</v>
      </c>
    </row>
    <row r="10685" s="76" customFormat="1" spans="1:6">
      <c r="A10685">
        <v>10995</v>
      </c>
      <c r="B10685">
        <v>512018260</v>
      </c>
      <c r="C10685" s="76">
        <v>2018</v>
      </c>
      <c r="D10685" s="76" t="s">
        <v>34</v>
      </c>
      <c r="E10685" s="76" t="s">
        <v>32</v>
      </c>
      <c r="F10685" s="76">
        <v>3.6</v>
      </c>
    </row>
    <row r="10686" s="76" customFormat="1" spans="1:6">
      <c r="A10686">
        <v>10996</v>
      </c>
      <c r="B10686">
        <v>512018260</v>
      </c>
      <c r="C10686" s="76">
        <v>2018</v>
      </c>
      <c r="D10686" s="76" t="s">
        <v>34</v>
      </c>
      <c r="E10686" s="76" t="s">
        <v>32</v>
      </c>
      <c r="F10686" s="76">
        <v>8.5</v>
      </c>
    </row>
    <row r="10687" s="76" customFormat="1" spans="1:6">
      <c r="A10687">
        <v>10992</v>
      </c>
      <c r="B10687">
        <v>512018260</v>
      </c>
      <c r="C10687" s="76">
        <v>2018</v>
      </c>
      <c r="D10687" s="76" t="s">
        <v>34</v>
      </c>
      <c r="E10687" s="76" t="s">
        <v>32</v>
      </c>
      <c r="F10687" s="76">
        <v>3</v>
      </c>
    </row>
    <row r="10688" s="76" customFormat="1" spans="1:6">
      <c r="A10688">
        <v>10990</v>
      </c>
      <c r="B10688">
        <v>512018260</v>
      </c>
      <c r="C10688" s="76">
        <v>2018</v>
      </c>
      <c r="D10688" s="76" t="s">
        <v>34</v>
      </c>
      <c r="E10688" s="76">
        <v>12</v>
      </c>
      <c r="F10688" s="76">
        <v>2.4</v>
      </c>
    </row>
    <row r="10689" s="76" customFormat="1" spans="1:6">
      <c r="A10689">
        <v>10991</v>
      </c>
      <c r="B10689">
        <v>512018260</v>
      </c>
      <c r="C10689" s="76">
        <v>2018</v>
      </c>
      <c r="D10689" s="76" t="s">
        <v>34</v>
      </c>
      <c r="E10689" s="76" t="s">
        <v>32</v>
      </c>
      <c r="F10689" s="76">
        <v>4.95</v>
      </c>
    </row>
    <row r="10690" s="76" customFormat="1" spans="1:6">
      <c r="A10690">
        <v>10994</v>
      </c>
      <c r="B10690">
        <v>512018260</v>
      </c>
      <c r="C10690" s="76">
        <v>2018</v>
      </c>
      <c r="D10690" s="76" t="s">
        <v>34</v>
      </c>
      <c r="E10690" s="76" t="s">
        <v>32</v>
      </c>
      <c r="F10690" s="76">
        <v>7</v>
      </c>
    </row>
    <row r="10691" s="76" customFormat="1" spans="1:6">
      <c r="A10691">
        <v>10997</v>
      </c>
      <c r="B10691">
        <v>512018260</v>
      </c>
      <c r="C10691" s="76">
        <v>2018</v>
      </c>
      <c r="D10691" s="76" t="s">
        <v>34</v>
      </c>
      <c r="E10691" s="76" t="s">
        <v>32</v>
      </c>
      <c r="F10691" s="76">
        <v>2.6</v>
      </c>
    </row>
    <row r="10692" s="76" customFormat="1" spans="1:6">
      <c r="A10692">
        <v>10989</v>
      </c>
      <c r="B10692">
        <v>512018260</v>
      </c>
      <c r="C10692" s="76">
        <v>2018</v>
      </c>
      <c r="D10692" s="76" t="s">
        <v>34</v>
      </c>
      <c r="E10692" s="76">
        <v>22</v>
      </c>
      <c r="F10692" s="76">
        <v>4.4</v>
      </c>
    </row>
    <row r="10693" s="76" customFormat="1" spans="1:6">
      <c r="A10693">
        <v>10993</v>
      </c>
      <c r="B10693">
        <v>512018260</v>
      </c>
      <c r="C10693" s="76">
        <v>2018</v>
      </c>
      <c r="D10693" s="76" t="s">
        <v>34</v>
      </c>
      <c r="E10693" s="76" t="s">
        <v>32</v>
      </c>
      <c r="F10693" s="76">
        <v>10.12</v>
      </c>
    </row>
    <row r="10694" s="76" customFormat="1" spans="1:6">
      <c r="A10694">
        <v>11012</v>
      </c>
      <c r="B10694">
        <v>512018270</v>
      </c>
      <c r="C10694" s="76">
        <v>2018</v>
      </c>
      <c r="D10694" s="76" t="s">
        <v>31</v>
      </c>
      <c r="E10694" s="76" t="s">
        <v>32</v>
      </c>
      <c r="F10694" s="76">
        <v>2</v>
      </c>
    </row>
    <row r="10695" s="76" customFormat="1" spans="1:6">
      <c r="A10695">
        <v>11009</v>
      </c>
      <c r="B10695">
        <v>512018270</v>
      </c>
      <c r="C10695" s="76">
        <v>2018</v>
      </c>
      <c r="D10695" s="76" t="s">
        <v>31</v>
      </c>
      <c r="E10695" s="76" t="s">
        <v>32</v>
      </c>
      <c r="F10695" s="76">
        <v>3</v>
      </c>
    </row>
    <row r="10696" s="76" customFormat="1" spans="1:6">
      <c r="A10696">
        <v>11003</v>
      </c>
      <c r="B10696">
        <v>512018270</v>
      </c>
      <c r="C10696" s="76">
        <v>2018</v>
      </c>
      <c r="D10696" s="76" t="s">
        <v>31</v>
      </c>
      <c r="E10696" s="76" t="s">
        <v>32</v>
      </c>
      <c r="F10696" s="76">
        <v>3</v>
      </c>
    </row>
    <row r="10697" s="76" customFormat="1" spans="1:6">
      <c r="A10697">
        <v>11007</v>
      </c>
      <c r="B10697">
        <v>512018270</v>
      </c>
      <c r="C10697" s="76">
        <v>2018</v>
      </c>
      <c r="D10697" s="76" t="s">
        <v>31</v>
      </c>
      <c r="E10697" s="76" t="s">
        <v>32</v>
      </c>
      <c r="F10697" s="76">
        <v>3</v>
      </c>
    </row>
    <row r="10698" s="76" customFormat="1" spans="1:6">
      <c r="A10698">
        <v>11005</v>
      </c>
      <c r="B10698">
        <v>512018270</v>
      </c>
      <c r="C10698" s="76">
        <v>2018</v>
      </c>
      <c r="D10698" s="76" t="s">
        <v>31</v>
      </c>
      <c r="E10698" s="76" t="s">
        <v>32</v>
      </c>
      <c r="F10698" s="76">
        <v>2</v>
      </c>
    </row>
    <row r="10699" s="76" customFormat="1" spans="1:6">
      <c r="A10699">
        <v>11013</v>
      </c>
      <c r="B10699">
        <v>512018270</v>
      </c>
      <c r="C10699" s="76">
        <v>2018</v>
      </c>
      <c r="D10699" s="76" t="s">
        <v>31</v>
      </c>
      <c r="E10699" s="76" t="s">
        <v>32</v>
      </c>
      <c r="F10699" s="76">
        <v>2</v>
      </c>
    </row>
    <row r="10700" s="76" customFormat="1" spans="1:6">
      <c r="A10700">
        <v>10998</v>
      </c>
      <c r="B10700">
        <v>512018270</v>
      </c>
      <c r="C10700" s="76">
        <v>2018</v>
      </c>
      <c r="D10700" s="76" t="s">
        <v>31</v>
      </c>
      <c r="E10700" s="76" t="s">
        <v>32</v>
      </c>
      <c r="F10700" s="76">
        <v>0.08</v>
      </c>
    </row>
    <row r="10701" s="76" customFormat="1" spans="1:6">
      <c r="A10701">
        <v>11001</v>
      </c>
      <c r="B10701">
        <v>512018270</v>
      </c>
      <c r="C10701" s="76">
        <v>2018</v>
      </c>
      <c r="D10701" s="76" t="s">
        <v>31</v>
      </c>
      <c r="E10701" s="76" t="s">
        <v>32</v>
      </c>
      <c r="F10701" s="76">
        <v>2</v>
      </c>
    </row>
    <row r="10702" s="76" customFormat="1" spans="1:6">
      <c r="A10702">
        <v>11014</v>
      </c>
      <c r="B10702">
        <v>512018270</v>
      </c>
      <c r="C10702" s="76">
        <v>2018</v>
      </c>
      <c r="D10702" s="76" t="s">
        <v>31</v>
      </c>
      <c r="E10702" s="76" t="s">
        <v>32</v>
      </c>
      <c r="F10702" s="76">
        <v>2</v>
      </c>
    </row>
    <row r="10703" s="76" customFormat="1" spans="1:6">
      <c r="A10703">
        <v>10999</v>
      </c>
      <c r="B10703">
        <v>512018270</v>
      </c>
      <c r="C10703" s="76">
        <v>2018</v>
      </c>
      <c r="D10703" s="76" t="s">
        <v>31</v>
      </c>
      <c r="E10703" s="76" t="s">
        <v>32</v>
      </c>
      <c r="F10703" s="76">
        <v>2</v>
      </c>
    </row>
    <row r="10704" s="76" customFormat="1" spans="1:6">
      <c r="A10704">
        <v>11008</v>
      </c>
      <c r="B10704">
        <v>512018270</v>
      </c>
      <c r="C10704" s="76">
        <v>2018</v>
      </c>
      <c r="D10704" s="76" t="s">
        <v>31</v>
      </c>
      <c r="E10704" s="76" t="s">
        <v>32</v>
      </c>
      <c r="F10704" s="76">
        <v>3</v>
      </c>
    </row>
    <row r="10705" s="76" customFormat="1" spans="1:6">
      <c r="A10705">
        <v>11004</v>
      </c>
      <c r="B10705">
        <v>512018270</v>
      </c>
      <c r="C10705" s="76">
        <v>2018</v>
      </c>
      <c r="D10705" s="76" t="s">
        <v>31</v>
      </c>
      <c r="E10705" s="76" t="s">
        <v>32</v>
      </c>
      <c r="F10705" s="76">
        <v>8</v>
      </c>
    </row>
    <row r="10706" s="76" customFormat="1" spans="1:6">
      <c r="A10706">
        <v>11011</v>
      </c>
      <c r="B10706">
        <v>512018270</v>
      </c>
      <c r="C10706" s="76">
        <v>2018</v>
      </c>
      <c r="D10706" s="76" t="s">
        <v>31</v>
      </c>
      <c r="E10706" s="76" t="s">
        <v>32</v>
      </c>
      <c r="F10706" s="76">
        <v>2</v>
      </c>
    </row>
    <row r="10707" s="76" customFormat="1" spans="1:6">
      <c r="A10707">
        <v>11002</v>
      </c>
      <c r="B10707">
        <v>512018270</v>
      </c>
      <c r="C10707" s="76">
        <v>2018</v>
      </c>
      <c r="D10707" s="76" t="s">
        <v>31</v>
      </c>
      <c r="E10707" s="76" t="s">
        <v>32</v>
      </c>
      <c r="F10707" s="76">
        <v>2</v>
      </c>
    </row>
    <row r="10708" s="76" customFormat="1" spans="1:6">
      <c r="A10708">
        <v>11006</v>
      </c>
      <c r="B10708">
        <v>512018270</v>
      </c>
      <c r="C10708" s="76">
        <v>2018</v>
      </c>
      <c r="D10708" s="76" t="s">
        <v>31</v>
      </c>
      <c r="E10708" s="76" t="s">
        <v>32</v>
      </c>
      <c r="F10708" s="76">
        <v>3</v>
      </c>
    </row>
    <row r="10709" s="76" customFormat="1" spans="1:6">
      <c r="A10709">
        <v>11010</v>
      </c>
      <c r="B10709">
        <v>512018270</v>
      </c>
      <c r="C10709" s="76">
        <v>2018</v>
      </c>
      <c r="D10709" s="76" t="s">
        <v>31</v>
      </c>
      <c r="E10709" s="76" t="s">
        <v>32</v>
      </c>
      <c r="F10709" s="76">
        <v>6</v>
      </c>
    </row>
    <row r="10710" s="76" customFormat="1" spans="1:6">
      <c r="A10710">
        <v>11020</v>
      </c>
      <c r="B10710">
        <v>512019110</v>
      </c>
      <c r="C10710" s="76">
        <v>2019</v>
      </c>
      <c r="D10710" s="76" t="s">
        <v>40</v>
      </c>
      <c r="E10710" s="76" t="s">
        <v>32</v>
      </c>
      <c r="F10710" s="76">
        <v>2.42</v>
      </c>
    </row>
    <row r="10711" s="76" customFormat="1" spans="1:6">
      <c r="A10711">
        <v>11023</v>
      </c>
      <c r="B10711">
        <v>512019110</v>
      </c>
      <c r="C10711" s="76">
        <v>2019</v>
      </c>
      <c r="D10711" s="76" t="s">
        <v>40</v>
      </c>
      <c r="E10711" s="76" t="s">
        <v>32</v>
      </c>
      <c r="F10711" s="76">
        <v>6.2</v>
      </c>
    </row>
    <row r="10712" s="76" customFormat="1" spans="1:6">
      <c r="A10712">
        <v>11022</v>
      </c>
      <c r="B10712">
        <v>512019110</v>
      </c>
      <c r="C10712" s="76">
        <v>2019</v>
      </c>
      <c r="D10712" s="76" t="s">
        <v>40</v>
      </c>
      <c r="E10712" s="76" t="s">
        <v>32</v>
      </c>
      <c r="F10712" s="76">
        <v>0.2</v>
      </c>
    </row>
    <row r="10713" s="76" customFormat="1" spans="1:6">
      <c r="A10713">
        <v>11018</v>
      </c>
      <c r="B10713">
        <v>512019110</v>
      </c>
      <c r="C10713" s="76">
        <v>2019</v>
      </c>
      <c r="D10713" s="76" t="s">
        <v>40</v>
      </c>
      <c r="E10713" s="76" t="s">
        <v>32</v>
      </c>
      <c r="F10713" s="76">
        <v>1</v>
      </c>
    </row>
    <row r="10714" s="76" customFormat="1" spans="1:6">
      <c r="A10714">
        <v>11016</v>
      </c>
      <c r="B10714">
        <v>512019110</v>
      </c>
      <c r="C10714" s="76">
        <v>2019</v>
      </c>
      <c r="D10714" s="76" t="s">
        <v>40</v>
      </c>
      <c r="E10714" s="76">
        <v>2</v>
      </c>
      <c r="F10714" s="76">
        <v>0.3</v>
      </c>
    </row>
    <row r="10715" s="76" customFormat="1" spans="1:6">
      <c r="A10715">
        <v>11024</v>
      </c>
      <c r="B10715">
        <v>512019110</v>
      </c>
      <c r="C10715" s="76">
        <v>2019</v>
      </c>
      <c r="D10715" s="76" t="s">
        <v>40</v>
      </c>
      <c r="E10715" s="76" t="s">
        <v>32</v>
      </c>
      <c r="F10715" s="76">
        <v>1.1</v>
      </c>
    </row>
    <row r="10716" s="76" customFormat="1" spans="1:6">
      <c r="A10716">
        <v>11015</v>
      </c>
      <c r="B10716">
        <v>512019110</v>
      </c>
      <c r="C10716" s="76">
        <v>2019</v>
      </c>
      <c r="D10716" s="76" t="s">
        <v>40</v>
      </c>
      <c r="E10716" s="76">
        <v>1</v>
      </c>
      <c r="F10716" s="76">
        <v>6.2</v>
      </c>
    </row>
    <row r="10717" s="76" customFormat="1" spans="1:6">
      <c r="A10717">
        <v>11021</v>
      </c>
      <c r="B10717">
        <v>512019110</v>
      </c>
      <c r="C10717" s="76">
        <v>2019</v>
      </c>
      <c r="D10717" s="76" t="s">
        <v>40</v>
      </c>
      <c r="E10717" s="76" t="s">
        <v>32</v>
      </c>
      <c r="F10717" s="76">
        <v>3.39</v>
      </c>
    </row>
    <row r="10718" s="76" customFormat="1" spans="1:6">
      <c r="A10718">
        <v>11019</v>
      </c>
      <c r="B10718">
        <v>512019110</v>
      </c>
      <c r="C10718" s="76">
        <v>2019</v>
      </c>
      <c r="D10718" s="76" t="s">
        <v>40</v>
      </c>
      <c r="E10718" s="76" t="s">
        <v>32</v>
      </c>
      <c r="F10718" s="76">
        <v>0.16</v>
      </c>
    </row>
    <row r="10719" s="76" customFormat="1" spans="1:6">
      <c r="A10719">
        <v>11017</v>
      </c>
      <c r="B10719">
        <v>512019110</v>
      </c>
      <c r="C10719" s="76">
        <v>2019</v>
      </c>
      <c r="D10719" s="76" t="s">
        <v>40</v>
      </c>
      <c r="E10719" s="76" t="s">
        <v>32</v>
      </c>
      <c r="F10719" s="76">
        <v>3</v>
      </c>
    </row>
    <row r="10720" s="76" customFormat="1" spans="1:6">
      <c r="A10720">
        <v>11027</v>
      </c>
      <c r="B10720">
        <v>512019211</v>
      </c>
      <c r="C10720" s="76">
        <v>2019</v>
      </c>
      <c r="D10720" s="76" t="s">
        <v>37</v>
      </c>
      <c r="E10720" s="76" t="s">
        <v>32</v>
      </c>
      <c r="F10720" s="76">
        <v>2.7</v>
      </c>
    </row>
    <row r="10721" s="76" customFormat="1" spans="1:6">
      <c r="A10721">
        <v>11026</v>
      </c>
      <c r="B10721">
        <v>512019211</v>
      </c>
      <c r="C10721" s="76">
        <v>2019</v>
      </c>
      <c r="D10721" s="76" t="s">
        <v>37</v>
      </c>
      <c r="E10721" s="76" t="s">
        <v>32</v>
      </c>
      <c r="F10721" s="76">
        <v>0.3</v>
      </c>
    </row>
    <row r="10722" s="76" customFormat="1" spans="1:6">
      <c r="A10722">
        <v>11028</v>
      </c>
      <c r="B10722">
        <v>512019241</v>
      </c>
      <c r="C10722" s="76">
        <v>2019</v>
      </c>
      <c r="D10722" s="76" t="s">
        <v>33</v>
      </c>
      <c r="E10722" s="76" t="s">
        <v>32</v>
      </c>
      <c r="F10722" s="76">
        <v>1.2</v>
      </c>
    </row>
    <row r="10723" s="76" customFormat="1" spans="1:6">
      <c r="A10723">
        <v>11030</v>
      </c>
      <c r="B10723">
        <v>512019242</v>
      </c>
      <c r="C10723" s="76">
        <v>2019</v>
      </c>
      <c r="D10723" s="76" t="s">
        <v>35</v>
      </c>
      <c r="E10723" s="76">
        <v>2</v>
      </c>
      <c r="F10723" s="76">
        <v>2.4</v>
      </c>
    </row>
    <row r="10724" s="76" customFormat="1" spans="1:6">
      <c r="A10724">
        <v>11033</v>
      </c>
      <c r="B10724">
        <v>512019242</v>
      </c>
      <c r="C10724" s="76">
        <v>2019</v>
      </c>
      <c r="D10724" s="76" t="s">
        <v>35</v>
      </c>
      <c r="E10724" s="76" t="s">
        <v>32</v>
      </c>
      <c r="F10724" s="76">
        <v>0.75</v>
      </c>
    </row>
    <row r="10725" s="76" customFormat="1" spans="1:6">
      <c r="A10725">
        <v>11034</v>
      </c>
      <c r="B10725">
        <v>512019242</v>
      </c>
      <c r="C10725" s="76">
        <v>2019</v>
      </c>
      <c r="D10725" s="76" t="s">
        <v>35</v>
      </c>
      <c r="E10725" s="76" t="s">
        <v>32</v>
      </c>
      <c r="F10725" s="76">
        <v>2.4</v>
      </c>
    </row>
    <row r="10726" s="76" customFormat="1" spans="1:6">
      <c r="A10726">
        <v>11037</v>
      </c>
      <c r="B10726">
        <v>512019242</v>
      </c>
      <c r="C10726" s="76">
        <v>2019</v>
      </c>
      <c r="D10726" s="76" t="s">
        <v>35</v>
      </c>
      <c r="E10726" s="76" t="s">
        <v>32</v>
      </c>
      <c r="F10726" s="76">
        <v>0.6</v>
      </c>
    </row>
    <row r="10727" s="76" customFormat="1" spans="1:6">
      <c r="A10727">
        <v>11031</v>
      </c>
      <c r="B10727">
        <v>512019242</v>
      </c>
      <c r="C10727" s="76">
        <v>2019</v>
      </c>
      <c r="D10727" s="76" t="s">
        <v>35</v>
      </c>
      <c r="E10727" s="76" t="s">
        <v>32</v>
      </c>
      <c r="F10727" s="76">
        <v>3</v>
      </c>
    </row>
    <row r="10728" s="76" customFormat="1" spans="1:6">
      <c r="A10728">
        <v>11035</v>
      </c>
      <c r="B10728">
        <v>512019242</v>
      </c>
      <c r="C10728" s="76">
        <v>2019</v>
      </c>
      <c r="D10728" s="76" t="s">
        <v>35</v>
      </c>
      <c r="E10728" s="76" t="s">
        <v>32</v>
      </c>
      <c r="F10728" s="76">
        <v>0.64</v>
      </c>
    </row>
    <row r="10729" s="76" customFormat="1" spans="1:6">
      <c r="A10729">
        <v>11032</v>
      </c>
      <c r="B10729">
        <v>512019242</v>
      </c>
      <c r="C10729" s="76">
        <v>2019</v>
      </c>
      <c r="D10729" s="76" t="s">
        <v>35</v>
      </c>
      <c r="E10729" s="76" t="s">
        <v>32</v>
      </c>
      <c r="F10729" s="76">
        <v>2</v>
      </c>
    </row>
    <row r="10730" s="76" customFormat="1" spans="1:6">
      <c r="A10730">
        <v>11036</v>
      </c>
      <c r="B10730">
        <v>512019242</v>
      </c>
      <c r="C10730" s="76">
        <v>2019</v>
      </c>
      <c r="D10730" s="76" t="s">
        <v>35</v>
      </c>
      <c r="E10730" s="76" t="s">
        <v>32</v>
      </c>
      <c r="F10730" s="76">
        <v>2.1</v>
      </c>
    </row>
    <row r="10731" s="76" customFormat="1" spans="1:6">
      <c r="A10731">
        <v>11039</v>
      </c>
      <c r="B10731">
        <v>512019243</v>
      </c>
      <c r="C10731" s="76">
        <v>2019</v>
      </c>
      <c r="D10731" s="76" t="s">
        <v>38</v>
      </c>
      <c r="E10731" s="76" t="s">
        <v>32</v>
      </c>
      <c r="F10731" s="76">
        <v>3</v>
      </c>
    </row>
    <row r="10732" s="76" customFormat="1" spans="1:6">
      <c r="A10732">
        <v>11038</v>
      </c>
      <c r="B10732">
        <v>512019243</v>
      </c>
      <c r="C10732" s="76">
        <v>2019</v>
      </c>
      <c r="D10732" s="76" t="s">
        <v>38</v>
      </c>
      <c r="E10732" s="76" t="s">
        <v>32</v>
      </c>
      <c r="F10732" s="76">
        <v>3</v>
      </c>
    </row>
    <row r="10733" s="76" customFormat="1" spans="1:6">
      <c r="A10733">
        <v>11045</v>
      </c>
      <c r="B10733">
        <v>512019260</v>
      </c>
      <c r="C10733" s="76">
        <v>2019</v>
      </c>
      <c r="D10733" s="76" t="s">
        <v>34</v>
      </c>
      <c r="E10733" s="76">
        <v>40</v>
      </c>
      <c r="F10733" s="76">
        <v>8</v>
      </c>
    </row>
    <row r="10734" s="76" customFormat="1" spans="1:6">
      <c r="A10734">
        <v>11044</v>
      </c>
      <c r="B10734">
        <v>512019260</v>
      </c>
      <c r="C10734" s="76">
        <v>2019</v>
      </c>
      <c r="D10734" s="76" t="s">
        <v>34</v>
      </c>
      <c r="E10734" s="76">
        <v>12</v>
      </c>
      <c r="F10734" s="76">
        <v>2.4</v>
      </c>
    </row>
    <row r="10735" s="76" customFormat="1" spans="1:6">
      <c r="A10735">
        <v>11047</v>
      </c>
      <c r="B10735">
        <v>512019260</v>
      </c>
      <c r="C10735" s="76">
        <v>2019</v>
      </c>
      <c r="D10735" s="76" t="s">
        <v>34</v>
      </c>
      <c r="E10735" s="76" t="s">
        <v>32</v>
      </c>
      <c r="F10735" s="76">
        <v>3.5</v>
      </c>
    </row>
    <row r="10736" s="76" customFormat="1" spans="1:6">
      <c r="A10736">
        <v>11042</v>
      </c>
      <c r="B10736">
        <v>512019260</v>
      </c>
      <c r="C10736" s="76">
        <v>2019</v>
      </c>
      <c r="D10736" s="76" t="s">
        <v>34</v>
      </c>
      <c r="E10736" s="76">
        <v>24</v>
      </c>
      <c r="F10736" s="76">
        <v>4.8</v>
      </c>
    </row>
    <row r="10737" s="76" customFormat="1" spans="1:6">
      <c r="A10737">
        <v>11043</v>
      </c>
      <c r="B10737">
        <v>512019260</v>
      </c>
      <c r="C10737" s="76">
        <v>2019</v>
      </c>
      <c r="D10737" s="76" t="s">
        <v>34</v>
      </c>
      <c r="E10737" s="76">
        <v>33</v>
      </c>
      <c r="F10737" s="76">
        <v>4.95</v>
      </c>
    </row>
    <row r="10738" s="76" customFormat="1" spans="1:6">
      <c r="A10738">
        <v>11040</v>
      </c>
      <c r="B10738">
        <v>512019260</v>
      </c>
      <c r="C10738" s="76">
        <v>2019</v>
      </c>
      <c r="D10738" s="76" t="s">
        <v>34</v>
      </c>
      <c r="E10738" s="76">
        <v>40</v>
      </c>
      <c r="F10738" s="76">
        <v>10</v>
      </c>
    </row>
    <row r="10739" s="76" customFormat="1" spans="1:6">
      <c r="A10739">
        <v>11048</v>
      </c>
      <c r="B10739">
        <v>512019260</v>
      </c>
      <c r="C10739" s="76">
        <v>2019</v>
      </c>
      <c r="D10739" s="76" t="s">
        <v>34</v>
      </c>
      <c r="E10739" s="76" t="s">
        <v>32</v>
      </c>
      <c r="F10739" s="76">
        <v>22.04</v>
      </c>
    </row>
    <row r="10740" s="76" customFormat="1" spans="1:6">
      <c r="A10740">
        <v>11046</v>
      </c>
      <c r="B10740">
        <v>512019260</v>
      </c>
      <c r="C10740" s="76">
        <v>2019</v>
      </c>
      <c r="D10740" s="76" t="s">
        <v>34</v>
      </c>
      <c r="E10740" s="76">
        <v>3</v>
      </c>
      <c r="F10740" s="76">
        <v>0.6</v>
      </c>
    </row>
    <row r="10741" s="76" customFormat="1" spans="1:6">
      <c r="A10741">
        <v>11041</v>
      </c>
      <c r="B10741">
        <v>512019260</v>
      </c>
      <c r="C10741" s="76">
        <v>2019</v>
      </c>
      <c r="D10741" s="76" t="s">
        <v>34</v>
      </c>
      <c r="E10741" s="76">
        <v>40</v>
      </c>
      <c r="F10741" s="76">
        <v>10</v>
      </c>
    </row>
    <row r="10742" s="76" customFormat="1" spans="1:6">
      <c r="A10742">
        <v>11051</v>
      </c>
      <c r="B10742">
        <v>512019270</v>
      </c>
      <c r="C10742" s="76">
        <v>2019</v>
      </c>
      <c r="D10742" s="76" t="s">
        <v>31</v>
      </c>
      <c r="E10742" s="76" t="s">
        <v>32</v>
      </c>
      <c r="F10742" s="76">
        <v>1</v>
      </c>
    </row>
    <row r="10743" s="76" customFormat="1" spans="1:6">
      <c r="A10743">
        <v>11050</v>
      </c>
      <c r="B10743">
        <v>512019270</v>
      </c>
      <c r="C10743" s="76">
        <v>2019</v>
      </c>
      <c r="D10743" s="76" t="s">
        <v>31</v>
      </c>
      <c r="E10743" s="76" t="s">
        <v>32</v>
      </c>
      <c r="F10743" s="76">
        <v>3</v>
      </c>
    </row>
    <row r="10744" s="76" customFormat="1" spans="1:6">
      <c r="A10744">
        <v>11062</v>
      </c>
      <c r="B10744">
        <v>512020110</v>
      </c>
      <c r="C10744" s="76">
        <v>2020</v>
      </c>
      <c r="D10744" s="76" t="s">
        <v>40</v>
      </c>
      <c r="E10744" s="76" t="s">
        <v>32</v>
      </c>
      <c r="F10744" s="76">
        <v>2.4</v>
      </c>
    </row>
    <row r="10745" s="76" customFormat="1" spans="1:6">
      <c r="A10745">
        <v>11057</v>
      </c>
      <c r="B10745">
        <v>512020110</v>
      </c>
      <c r="C10745" s="76">
        <v>2020</v>
      </c>
      <c r="D10745" s="76" t="s">
        <v>40</v>
      </c>
      <c r="E10745" s="76" t="s">
        <v>32</v>
      </c>
      <c r="F10745" s="76">
        <v>12.4</v>
      </c>
    </row>
    <row r="10746" s="76" customFormat="1" spans="1:6">
      <c r="A10746">
        <v>11053</v>
      </c>
      <c r="B10746">
        <v>512020110</v>
      </c>
      <c r="C10746" s="76">
        <v>2020</v>
      </c>
      <c r="D10746" s="76" t="s">
        <v>40</v>
      </c>
      <c r="E10746" s="76">
        <v>4</v>
      </c>
      <c r="F10746" s="76">
        <v>340</v>
      </c>
    </row>
    <row r="10747" s="76" customFormat="1" spans="1:6">
      <c r="A10747">
        <v>11059</v>
      </c>
      <c r="B10747">
        <v>512020110</v>
      </c>
      <c r="C10747" s="76">
        <v>2020</v>
      </c>
      <c r="D10747" s="76" t="s">
        <v>40</v>
      </c>
      <c r="E10747" s="76" t="s">
        <v>32</v>
      </c>
      <c r="F10747" s="76">
        <v>27.78</v>
      </c>
    </row>
    <row r="10748" s="76" customFormat="1" spans="1:6">
      <c r="A10748">
        <v>11056</v>
      </c>
      <c r="B10748">
        <v>512020110</v>
      </c>
      <c r="C10748" s="76">
        <v>2020</v>
      </c>
      <c r="D10748" s="76" t="s">
        <v>40</v>
      </c>
      <c r="E10748" s="76" t="s">
        <v>32</v>
      </c>
      <c r="F10748" s="76">
        <v>4.8</v>
      </c>
    </row>
    <row r="10749" s="76" customFormat="1" spans="1:6">
      <c r="A10749">
        <v>11058</v>
      </c>
      <c r="B10749">
        <v>512020110</v>
      </c>
      <c r="C10749" s="76">
        <v>2020</v>
      </c>
      <c r="D10749" s="76" t="s">
        <v>40</v>
      </c>
      <c r="E10749" s="76" t="s">
        <v>32</v>
      </c>
      <c r="F10749" s="76">
        <v>0.8</v>
      </c>
    </row>
    <row r="10750" s="76" customFormat="1" spans="1:6">
      <c r="A10750">
        <v>11060</v>
      </c>
      <c r="B10750">
        <v>512020110</v>
      </c>
      <c r="C10750" s="76">
        <v>2020</v>
      </c>
      <c r="D10750" s="76" t="s">
        <v>40</v>
      </c>
      <c r="E10750" s="76" t="s">
        <v>32</v>
      </c>
      <c r="F10750" s="76">
        <v>0.6</v>
      </c>
    </row>
    <row r="10751" s="76" customFormat="1" spans="1:6">
      <c r="A10751">
        <v>11061</v>
      </c>
      <c r="B10751">
        <v>512020110</v>
      </c>
      <c r="C10751" s="76">
        <v>2020</v>
      </c>
      <c r="D10751" s="76" t="s">
        <v>40</v>
      </c>
      <c r="E10751" s="76" t="s">
        <v>32</v>
      </c>
      <c r="F10751" s="76">
        <v>2.4</v>
      </c>
    </row>
    <row r="10752" s="76" customFormat="1" spans="1:6">
      <c r="A10752">
        <v>11054</v>
      </c>
      <c r="B10752">
        <v>512020110</v>
      </c>
      <c r="C10752" s="76">
        <v>2020</v>
      </c>
      <c r="D10752" s="76" t="s">
        <v>40</v>
      </c>
      <c r="E10752" s="76">
        <v>3</v>
      </c>
      <c r="F10752" s="76">
        <v>1.89</v>
      </c>
    </row>
    <row r="10753" s="76" customFormat="1" spans="1:6">
      <c r="A10753">
        <v>11052</v>
      </c>
      <c r="B10753">
        <v>512020110</v>
      </c>
      <c r="C10753" s="76">
        <v>2020</v>
      </c>
      <c r="D10753" s="76" t="s">
        <v>40</v>
      </c>
      <c r="E10753" s="76">
        <v>2</v>
      </c>
      <c r="F10753" s="76">
        <v>12.4</v>
      </c>
    </row>
    <row r="10754" s="76" customFormat="1" spans="1:6">
      <c r="A10754">
        <v>11055</v>
      </c>
      <c r="B10754">
        <v>512020110</v>
      </c>
      <c r="C10754" s="76">
        <v>2020</v>
      </c>
      <c r="D10754" s="76" t="s">
        <v>40</v>
      </c>
      <c r="E10754" s="76">
        <v>3</v>
      </c>
      <c r="F10754" s="76">
        <v>1.2</v>
      </c>
    </row>
    <row r="10755" s="76" customFormat="1" spans="1:6">
      <c r="A10755">
        <v>11064</v>
      </c>
      <c r="B10755">
        <v>512020110</v>
      </c>
      <c r="C10755" s="76">
        <v>2020</v>
      </c>
      <c r="D10755" s="76" t="s">
        <v>40</v>
      </c>
      <c r="E10755" s="76" t="s">
        <v>32</v>
      </c>
      <c r="F10755" s="76">
        <v>0.8</v>
      </c>
    </row>
    <row r="10756" s="76" customFormat="1" spans="1:6">
      <c r="A10756">
        <v>11063</v>
      </c>
      <c r="B10756">
        <v>512020110</v>
      </c>
      <c r="C10756" s="76">
        <v>2020</v>
      </c>
      <c r="D10756" s="76" t="s">
        <v>40</v>
      </c>
      <c r="E10756" s="76" t="s">
        <v>32</v>
      </c>
      <c r="F10756" s="76">
        <v>0.82</v>
      </c>
    </row>
    <row r="10757" s="76" customFormat="1" spans="1:6">
      <c r="A10757">
        <v>11066</v>
      </c>
      <c r="B10757">
        <v>512020222</v>
      </c>
      <c r="C10757" s="76">
        <v>2020</v>
      </c>
      <c r="D10757" s="76" t="s">
        <v>43</v>
      </c>
      <c r="E10757" s="76" t="s">
        <v>32</v>
      </c>
      <c r="F10757" s="76">
        <v>2.5</v>
      </c>
    </row>
    <row r="10758" s="76" customFormat="1" spans="1:6">
      <c r="A10758">
        <v>11068</v>
      </c>
      <c r="B10758">
        <v>512020241</v>
      </c>
      <c r="C10758" s="76">
        <v>2020</v>
      </c>
      <c r="D10758" s="76" t="s">
        <v>33</v>
      </c>
      <c r="E10758" s="76" t="s">
        <v>32</v>
      </c>
      <c r="F10758" s="76">
        <v>8</v>
      </c>
    </row>
    <row r="10759" s="76" customFormat="1" spans="1:6">
      <c r="A10759">
        <v>11067</v>
      </c>
      <c r="B10759">
        <v>512020241</v>
      </c>
      <c r="C10759" s="76">
        <v>2020</v>
      </c>
      <c r="D10759" s="76" t="s">
        <v>33</v>
      </c>
      <c r="E10759" s="76" t="s">
        <v>32</v>
      </c>
      <c r="F10759" s="76">
        <v>3</v>
      </c>
    </row>
    <row r="10760" s="76" customFormat="1" spans="1:6">
      <c r="A10760">
        <v>11070</v>
      </c>
      <c r="B10760">
        <v>512020242</v>
      </c>
      <c r="C10760" s="76">
        <v>2020</v>
      </c>
      <c r="D10760" s="76" t="s">
        <v>35</v>
      </c>
      <c r="E10760" s="76">
        <v>2</v>
      </c>
      <c r="F10760" s="76">
        <v>2.4</v>
      </c>
    </row>
    <row r="10761" s="76" customFormat="1" spans="1:6">
      <c r="A10761">
        <v>11076</v>
      </c>
      <c r="B10761">
        <v>512020242</v>
      </c>
      <c r="C10761" s="76">
        <v>2020</v>
      </c>
      <c r="D10761" s="76" t="s">
        <v>35</v>
      </c>
      <c r="E10761" s="76" t="s">
        <v>32</v>
      </c>
      <c r="F10761" s="76">
        <v>0.75</v>
      </c>
    </row>
    <row r="10762" s="76" customFormat="1" spans="1:6">
      <c r="A10762">
        <v>11077</v>
      </c>
      <c r="B10762">
        <v>512020242</v>
      </c>
      <c r="C10762" s="76">
        <v>2020</v>
      </c>
      <c r="D10762" s="76" t="s">
        <v>35</v>
      </c>
      <c r="E10762" s="76" t="s">
        <v>32</v>
      </c>
      <c r="F10762" s="76">
        <v>2</v>
      </c>
    </row>
    <row r="10763" s="76" customFormat="1" spans="1:6">
      <c r="A10763">
        <v>11074</v>
      </c>
      <c r="B10763">
        <v>512020242</v>
      </c>
      <c r="C10763" s="76">
        <v>2020</v>
      </c>
      <c r="D10763" s="76" t="s">
        <v>35</v>
      </c>
      <c r="E10763" s="76" t="s">
        <v>32</v>
      </c>
      <c r="F10763" s="76">
        <v>3.5</v>
      </c>
    </row>
    <row r="10764" s="76" customFormat="1" spans="1:6">
      <c r="A10764">
        <v>11071</v>
      </c>
      <c r="B10764">
        <v>512020242</v>
      </c>
      <c r="C10764" s="76">
        <v>2020</v>
      </c>
      <c r="D10764" s="76" t="s">
        <v>35</v>
      </c>
      <c r="E10764" s="76" t="s">
        <v>32</v>
      </c>
      <c r="F10764" s="76">
        <v>1.8</v>
      </c>
    </row>
    <row r="10765" s="76" customFormat="1" spans="1:6">
      <c r="A10765">
        <v>11073</v>
      </c>
      <c r="B10765">
        <v>512020242</v>
      </c>
      <c r="C10765" s="76">
        <v>2020</v>
      </c>
      <c r="D10765" s="76" t="s">
        <v>35</v>
      </c>
      <c r="E10765" s="76" t="s">
        <v>32</v>
      </c>
      <c r="F10765" s="76">
        <v>1.5</v>
      </c>
    </row>
    <row r="10766" s="76" customFormat="1" spans="1:6">
      <c r="A10766">
        <v>11072</v>
      </c>
      <c r="B10766">
        <v>512020242</v>
      </c>
      <c r="C10766" s="76">
        <v>2020</v>
      </c>
      <c r="D10766" s="76" t="s">
        <v>35</v>
      </c>
      <c r="E10766" s="76" t="s">
        <v>32</v>
      </c>
      <c r="F10766" s="76">
        <v>1.2</v>
      </c>
    </row>
    <row r="10767" s="76" customFormat="1" spans="1:6">
      <c r="A10767">
        <v>11078</v>
      </c>
      <c r="B10767">
        <v>512020242</v>
      </c>
      <c r="C10767" s="76">
        <v>2020</v>
      </c>
      <c r="D10767" s="76" t="s">
        <v>35</v>
      </c>
      <c r="E10767" s="76" t="s">
        <v>32</v>
      </c>
      <c r="F10767" s="76">
        <v>2.5</v>
      </c>
    </row>
    <row r="10768" s="76" customFormat="1" spans="1:6">
      <c r="A10768">
        <v>11075</v>
      </c>
      <c r="B10768">
        <v>512020242</v>
      </c>
      <c r="C10768" s="76">
        <v>2020</v>
      </c>
      <c r="D10768" s="76" t="s">
        <v>35</v>
      </c>
      <c r="E10768" s="76" t="s">
        <v>32</v>
      </c>
      <c r="F10768" s="76">
        <v>1.5</v>
      </c>
    </row>
    <row r="10769" s="76" customFormat="1" spans="1:6">
      <c r="A10769">
        <v>11079</v>
      </c>
      <c r="B10769">
        <v>512020243</v>
      </c>
      <c r="C10769" s="76">
        <v>2020</v>
      </c>
      <c r="D10769" s="76" t="s">
        <v>38</v>
      </c>
      <c r="E10769" s="76" t="s">
        <v>32</v>
      </c>
      <c r="F10769" s="76">
        <v>3</v>
      </c>
    </row>
    <row r="10770" s="76" customFormat="1" spans="1:6">
      <c r="A10770">
        <v>11087</v>
      </c>
      <c r="B10770">
        <v>512020260</v>
      </c>
      <c r="C10770" s="76">
        <v>2020</v>
      </c>
      <c r="D10770" s="76" t="s">
        <v>34</v>
      </c>
      <c r="E10770" s="76">
        <v>11</v>
      </c>
      <c r="F10770" s="76">
        <v>2.2</v>
      </c>
    </row>
    <row r="10771" s="76" customFormat="1" spans="1:6">
      <c r="A10771">
        <v>11098</v>
      </c>
      <c r="B10771">
        <v>512020260</v>
      </c>
      <c r="C10771" s="76">
        <v>2020</v>
      </c>
      <c r="D10771" s="76" t="s">
        <v>34</v>
      </c>
      <c r="E10771" s="76" t="s">
        <v>32</v>
      </c>
      <c r="F10771" s="76">
        <v>4.79</v>
      </c>
    </row>
    <row r="10772" s="76" customFormat="1" spans="1:6">
      <c r="A10772">
        <v>11086</v>
      </c>
      <c r="B10772">
        <v>512020260</v>
      </c>
      <c r="C10772" s="76">
        <v>2020</v>
      </c>
      <c r="D10772" s="76" t="s">
        <v>34</v>
      </c>
      <c r="E10772" s="76">
        <v>26</v>
      </c>
      <c r="F10772" s="76">
        <v>5.2</v>
      </c>
    </row>
    <row r="10773" s="76" customFormat="1" spans="1:6">
      <c r="A10773">
        <v>11094</v>
      </c>
      <c r="B10773">
        <v>512020260</v>
      </c>
      <c r="C10773" s="76">
        <v>2020</v>
      </c>
      <c r="D10773" s="76" t="s">
        <v>34</v>
      </c>
      <c r="E10773" s="76">
        <v>11</v>
      </c>
      <c r="F10773" s="76">
        <v>3.85</v>
      </c>
    </row>
    <row r="10774" s="76" customFormat="1" spans="1:6">
      <c r="A10774">
        <v>11095</v>
      </c>
      <c r="B10774">
        <v>512020260</v>
      </c>
      <c r="C10774" s="76">
        <v>2020</v>
      </c>
      <c r="D10774" s="76" t="s">
        <v>34</v>
      </c>
      <c r="E10774" s="76" t="s">
        <v>32</v>
      </c>
      <c r="F10774" s="76">
        <v>1.25</v>
      </c>
    </row>
    <row r="10775" s="76" customFormat="1" spans="1:6">
      <c r="A10775">
        <v>11088</v>
      </c>
      <c r="B10775">
        <v>512020260</v>
      </c>
      <c r="C10775" s="76">
        <v>2020</v>
      </c>
      <c r="D10775" s="76" t="s">
        <v>34</v>
      </c>
      <c r="E10775" s="76">
        <v>43</v>
      </c>
      <c r="F10775" s="76">
        <v>10.2</v>
      </c>
    </row>
    <row r="10776" s="76" customFormat="1" spans="1:6">
      <c r="A10776">
        <v>11082</v>
      </c>
      <c r="B10776">
        <v>512020260</v>
      </c>
      <c r="C10776" s="76">
        <v>2020</v>
      </c>
      <c r="D10776" s="76" t="s">
        <v>34</v>
      </c>
      <c r="E10776" s="76">
        <v>13</v>
      </c>
      <c r="F10776" s="76">
        <v>3.25</v>
      </c>
    </row>
    <row r="10777" s="76" customFormat="1" spans="1:6">
      <c r="A10777">
        <v>11083</v>
      </c>
      <c r="B10777">
        <v>512020260</v>
      </c>
      <c r="C10777" s="76">
        <v>2020</v>
      </c>
      <c r="D10777" s="76" t="s">
        <v>34</v>
      </c>
      <c r="E10777" s="76">
        <v>23</v>
      </c>
      <c r="F10777" s="76">
        <v>6.4</v>
      </c>
    </row>
    <row r="10778" s="76" customFormat="1" spans="1:6">
      <c r="A10778">
        <v>11090</v>
      </c>
      <c r="B10778">
        <v>512020260</v>
      </c>
      <c r="C10778" s="76">
        <v>2020</v>
      </c>
      <c r="D10778" s="76" t="s">
        <v>34</v>
      </c>
      <c r="E10778" s="76">
        <v>16</v>
      </c>
      <c r="F10778" s="76">
        <v>4.5</v>
      </c>
    </row>
    <row r="10779" s="76" customFormat="1" spans="1:6">
      <c r="A10779">
        <v>11081</v>
      </c>
      <c r="B10779">
        <v>512020260</v>
      </c>
      <c r="C10779" s="76">
        <v>2020</v>
      </c>
      <c r="D10779" s="76" t="s">
        <v>34</v>
      </c>
      <c r="E10779" s="76">
        <v>33</v>
      </c>
      <c r="F10779" s="76">
        <v>9.9</v>
      </c>
    </row>
    <row r="10780" s="76" customFormat="1" spans="1:6">
      <c r="A10780">
        <v>11089</v>
      </c>
      <c r="B10780">
        <v>512020260</v>
      </c>
      <c r="C10780" s="76">
        <v>2020</v>
      </c>
      <c r="D10780" s="76" t="s">
        <v>34</v>
      </c>
      <c r="E10780" s="76">
        <v>52</v>
      </c>
      <c r="F10780" s="76">
        <v>13</v>
      </c>
    </row>
    <row r="10781" s="76" customFormat="1" spans="1:6">
      <c r="A10781">
        <v>11084</v>
      </c>
      <c r="B10781">
        <v>512020260</v>
      </c>
      <c r="C10781" s="76">
        <v>2020</v>
      </c>
      <c r="D10781" s="76" t="s">
        <v>34</v>
      </c>
      <c r="E10781" s="76">
        <v>20</v>
      </c>
      <c r="F10781" s="76">
        <v>5</v>
      </c>
    </row>
    <row r="10782" s="76" customFormat="1" spans="1:6">
      <c r="A10782">
        <v>11085</v>
      </c>
      <c r="B10782">
        <v>512020260</v>
      </c>
      <c r="C10782" s="76">
        <v>2020</v>
      </c>
      <c r="D10782" s="76" t="s">
        <v>34</v>
      </c>
      <c r="E10782" s="76">
        <v>20</v>
      </c>
      <c r="F10782" s="76">
        <v>5</v>
      </c>
    </row>
    <row r="10783" s="76" customFormat="1" spans="1:6">
      <c r="A10783">
        <v>11080</v>
      </c>
      <c r="B10783">
        <v>512020260</v>
      </c>
      <c r="C10783" s="76">
        <v>2020</v>
      </c>
      <c r="D10783" s="76" t="s">
        <v>34</v>
      </c>
      <c r="E10783" s="76">
        <v>20</v>
      </c>
      <c r="F10783" s="76">
        <v>5</v>
      </c>
    </row>
    <row r="10784" s="76" customFormat="1" spans="1:6">
      <c r="A10784">
        <v>11096</v>
      </c>
      <c r="B10784">
        <v>512020260</v>
      </c>
      <c r="C10784" s="76">
        <v>2020</v>
      </c>
      <c r="D10784" s="76" t="s">
        <v>34</v>
      </c>
      <c r="E10784" s="76" t="s">
        <v>32</v>
      </c>
      <c r="F10784" s="76">
        <v>1</v>
      </c>
    </row>
    <row r="10785" s="76" customFormat="1" spans="1:6">
      <c r="A10785">
        <v>11097</v>
      </c>
      <c r="B10785">
        <v>512020260</v>
      </c>
      <c r="C10785" s="76">
        <v>2020</v>
      </c>
      <c r="D10785" s="76" t="s">
        <v>34</v>
      </c>
      <c r="E10785" s="76" t="s">
        <v>32</v>
      </c>
      <c r="F10785" s="76">
        <v>1.43</v>
      </c>
    </row>
    <row r="10786" s="76" customFormat="1" spans="1:6">
      <c r="A10786">
        <v>11091</v>
      </c>
      <c r="B10786">
        <v>512020260</v>
      </c>
      <c r="C10786" s="76">
        <v>2020</v>
      </c>
      <c r="D10786" s="76" t="s">
        <v>34</v>
      </c>
      <c r="E10786" s="76">
        <v>25</v>
      </c>
      <c r="F10786" s="76">
        <v>5</v>
      </c>
    </row>
    <row r="10787" s="76" customFormat="1" spans="1:6">
      <c r="A10787">
        <v>11092</v>
      </c>
      <c r="B10787">
        <v>512020260</v>
      </c>
      <c r="C10787" s="76">
        <v>2020</v>
      </c>
      <c r="D10787" s="76" t="s">
        <v>34</v>
      </c>
      <c r="E10787" s="76">
        <v>40</v>
      </c>
      <c r="F10787" s="76">
        <v>10</v>
      </c>
    </row>
    <row r="10788" s="76" customFormat="1" spans="1:6">
      <c r="A10788">
        <v>11093</v>
      </c>
      <c r="B10788">
        <v>512020260</v>
      </c>
      <c r="C10788" s="76">
        <v>2020</v>
      </c>
      <c r="D10788" s="76" t="s">
        <v>34</v>
      </c>
      <c r="E10788" s="76">
        <v>11</v>
      </c>
      <c r="F10788" s="76">
        <v>3.4</v>
      </c>
    </row>
    <row r="10789" s="76" customFormat="1" spans="1:6">
      <c r="A10789">
        <v>11101</v>
      </c>
      <c r="B10789">
        <v>512021110</v>
      </c>
      <c r="C10789" s="76">
        <v>2021</v>
      </c>
      <c r="D10789" s="76" t="s">
        <v>40</v>
      </c>
      <c r="E10789" s="76">
        <v>3</v>
      </c>
      <c r="F10789" s="76">
        <v>300</v>
      </c>
    </row>
    <row r="10790" s="76" customFormat="1" spans="1:6">
      <c r="A10790">
        <v>11117</v>
      </c>
      <c r="B10790">
        <v>512021110</v>
      </c>
      <c r="C10790" s="76">
        <v>2021</v>
      </c>
      <c r="D10790" s="76" t="s">
        <v>40</v>
      </c>
      <c r="E10790" s="76" t="s">
        <v>32</v>
      </c>
      <c r="F10790" s="76">
        <v>3.9</v>
      </c>
    </row>
    <row r="10791" s="76" customFormat="1" spans="1:6">
      <c r="A10791">
        <v>11103</v>
      </c>
      <c r="B10791">
        <v>512021110</v>
      </c>
      <c r="C10791" s="76">
        <v>2021</v>
      </c>
      <c r="D10791" s="76" t="s">
        <v>40</v>
      </c>
      <c r="E10791" s="76">
        <v>2</v>
      </c>
      <c r="F10791" s="76">
        <v>170</v>
      </c>
    </row>
    <row r="10792" s="76" customFormat="1" spans="1:6">
      <c r="A10792">
        <v>11108</v>
      </c>
      <c r="B10792">
        <v>512021110</v>
      </c>
      <c r="C10792" s="76">
        <v>2021</v>
      </c>
      <c r="D10792" s="76" t="s">
        <v>40</v>
      </c>
      <c r="E10792" s="76" t="s">
        <v>32</v>
      </c>
      <c r="F10792" s="76">
        <v>22.22</v>
      </c>
    </row>
    <row r="10793" s="76" customFormat="1" spans="1:6">
      <c r="A10793">
        <v>11111</v>
      </c>
      <c r="B10793">
        <v>512021110</v>
      </c>
      <c r="C10793" s="76">
        <v>2021</v>
      </c>
      <c r="D10793" s="76" t="s">
        <v>40</v>
      </c>
      <c r="E10793" s="76" t="s">
        <v>32</v>
      </c>
      <c r="F10793" s="76">
        <v>2</v>
      </c>
    </row>
    <row r="10794" s="76" customFormat="1" spans="1:6">
      <c r="A10794">
        <v>11109</v>
      </c>
      <c r="B10794">
        <v>512021110</v>
      </c>
      <c r="C10794" s="76">
        <v>2021</v>
      </c>
      <c r="D10794" s="76" t="s">
        <v>40</v>
      </c>
      <c r="E10794" s="76" t="s">
        <v>32</v>
      </c>
      <c r="F10794" s="76">
        <v>7.4</v>
      </c>
    </row>
    <row r="10795" s="76" customFormat="1" spans="1:6">
      <c r="A10795">
        <v>11104</v>
      </c>
      <c r="B10795">
        <v>512021110</v>
      </c>
      <c r="C10795" s="76">
        <v>2021</v>
      </c>
      <c r="D10795" s="76" t="s">
        <v>40</v>
      </c>
      <c r="E10795" s="76">
        <v>3</v>
      </c>
      <c r="F10795" s="76">
        <v>20.1</v>
      </c>
    </row>
    <row r="10796" s="76" customFormat="1" spans="1:6">
      <c r="A10796">
        <v>11110</v>
      </c>
      <c r="B10796">
        <v>512021110</v>
      </c>
      <c r="C10796" s="76">
        <v>2021</v>
      </c>
      <c r="D10796" s="76" t="s">
        <v>40</v>
      </c>
      <c r="E10796" s="76" t="s">
        <v>32</v>
      </c>
      <c r="F10796" s="76">
        <v>42</v>
      </c>
    </row>
    <row r="10797" s="76" customFormat="1" spans="1:6">
      <c r="A10797">
        <v>11105</v>
      </c>
      <c r="B10797">
        <v>512021110</v>
      </c>
      <c r="C10797" s="76">
        <v>2021</v>
      </c>
      <c r="D10797" s="76" t="s">
        <v>40</v>
      </c>
      <c r="E10797" s="76">
        <v>5</v>
      </c>
      <c r="F10797" s="76">
        <v>250</v>
      </c>
    </row>
    <row r="10798" s="76" customFormat="1" spans="1:6">
      <c r="A10798">
        <v>11115</v>
      </c>
      <c r="B10798">
        <v>512021110</v>
      </c>
      <c r="C10798" s="76">
        <v>2021</v>
      </c>
      <c r="D10798" s="76" t="s">
        <v>40</v>
      </c>
      <c r="E10798" s="76" t="s">
        <v>32</v>
      </c>
      <c r="F10798" s="76">
        <v>1.51</v>
      </c>
    </row>
    <row r="10799" s="76" customFormat="1" spans="1:6">
      <c r="A10799">
        <v>11116</v>
      </c>
      <c r="B10799">
        <v>512021110</v>
      </c>
      <c r="C10799" s="76">
        <v>2021</v>
      </c>
      <c r="D10799" s="76" t="s">
        <v>40</v>
      </c>
      <c r="E10799" s="76" t="s">
        <v>32</v>
      </c>
      <c r="F10799" s="76">
        <v>0.64</v>
      </c>
    </row>
    <row r="10800" s="76" customFormat="1" spans="1:6">
      <c r="A10800">
        <v>11107</v>
      </c>
      <c r="B10800">
        <v>512021110</v>
      </c>
      <c r="C10800" s="76">
        <v>2021</v>
      </c>
      <c r="D10800" s="76" t="s">
        <v>40</v>
      </c>
      <c r="E10800" s="76" t="s">
        <v>32</v>
      </c>
      <c r="F10800" s="76">
        <v>6</v>
      </c>
    </row>
    <row r="10801" s="76" customFormat="1" spans="1:6">
      <c r="A10801">
        <v>11113</v>
      </c>
      <c r="B10801">
        <v>512021110</v>
      </c>
      <c r="C10801" s="76">
        <v>2021</v>
      </c>
      <c r="D10801" s="76" t="s">
        <v>40</v>
      </c>
      <c r="E10801" s="76" t="s">
        <v>32</v>
      </c>
      <c r="F10801" s="76">
        <v>7.5</v>
      </c>
    </row>
    <row r="10802" s="76" customFormat="1" spans="1:6">
      <c r="A10802">
        <v>11114</v>
      </c>
      <c r="B10802">
        <v>512021110</v>
      </c>
      <c r="C10802" s="76">
        <v>2021</v>
      </c>
      <c r="D10802" s="76" t="s">
        <v>40</v>
      </c>
      <c r="E10802" s="76" t="s">
        <v>32</v>
      </c>
      <c r="F10802" s="76">
        <v>2.2</v>
      </c>
    </row>
    <row r="10803" s="76" customFormat="1" spans="1:6">
      <c r="A10803">
        <v>11102</v>
      </c>
      <c r="B10803">
        <v>512021110</v>
      </c>
      <c r="C10803" s="76">
        <v>2021</v>
      </c>
      <c r="D10803" s="76" t="s">
        <v>40</v>
      </c>
      <c r="E10803" s="76">
        <v>3</v>
      </c>
      <c r="F10803" s="76">
        <v>7.5</v>
      </c>
    </row>
    <row r="10804" s="76" customFormat="1" spans="1:6">
      <c r="A10804">
        <v>11100</v>
      </c>
      <c r="B10804">
        <v>512021110</v>
      </c>
      <c r="C10804" s="76">
        <v>2021</v>
      </c>
      <c r="D10804" s="76" t="s">
        <v>40</v>
      </c>
      <c r="E10804" s="76">
        <v>3</v>
      </c>
      <c r="F10804" s="76">
        <v>16.8</v>
      </c>
    </row>
    <row r="10805" s="76" customFormat="1" spans="1:6">
      <c r="A10805">
        <v>11112</v>
      </c>
      <c r="B10805">
        <v>512021110</v>
      </c>
      <c r="C10805" s="76">
        <v>2021</v>
      </c>
      <c r="D10805" s="76" t="s">
        <v>40</v>
      </c>
      <c r="E10805" s="76" t="s">
        <v>32</v>
      </c>
      <c r="F10805" s="76">
        <v>4.8</v>
      </c>
    </row>
    <row r="10806" s="76" customFormat="1" spans="1:6">
      <c r="A10806">
        <v>11106</v>
      </c>
      <c r="B10806">
        <v>512021110</v>
      </c>
      <c r="C10806" s="76">
        <v>2021</v>
      </c>
      <c r="D10806" s="76" t="s">
        <v>40</v>
      </c>
      <c r="E10806" s="76">
        <v>4</v>
      </c>
      <c r="F10806" s="76">
        <v>150</v>
      </c>
    </row>
    <row r="10807" s="76" customFormat="1" spans="1:6">
      <c r="A10807">
        <v>11118</v>
      </c>
      <c r="B10807">
        <v>512021211</v>
      </c>
      <c r="C10807" s="76">
        <v>2021</v>
      </c>
      <c r="D10807" s="76" t="s">
        <v>37</v>
      </c>
      <c r="E10807" s="76">
        <v>2</v>
      </c>
      <c r="F10807" s="76">
        <v>200</v>
      </c>
    </row>
    <row r="10808" s="76" customFormat="1" spans="1:6">
      <c r="A10808">
        <v>11119</v>
      </c>
      <c r="B10808">
        <v>512021221</v>
      </c>
      <c r="C10808" s="76">
        <v>2021</v>
      </c>
      <c r="D10808" s="76" t="s">
        <v>30</v>
      </c>
      <c r="E10808" s="76" t="s">
        <v>32</v>
      </c>
      <c r="F10808" s="76">
        <v>0.75</v>
      </c>
    </row>
    <row r="10809" s="76" customFormat="1" spans="1:6">
      <c r="A10809">
        <v>11120</v>
      </c>
      <c r="B10809">
        <v>512021241</v>
      </c>
      <c r="C10809" s="76">
        <v>2021</v>
      </c>
      <c r="D10809" s="76" t="s">
        <v>33</v>
      </c>
      <c r="E10809" s="76" t="s">
        <v>32</v>
      </c>
      <c r="F10809" s="76">
        <v>0.4</v>
      </c>
    </row>
    <row r="10810" s="76" customFormat="1" spans="1:6">
      <c r="A10810">
        <v>11126</v>
      </c>
      <c r="B10810">
        <v>512021242</v>
      </c>
      <c r="C10810" s="76">
        <v>2021</v>
      </c>
      <c r="D10810" s="76" t="s">
        <v>35</v>
      </c>
      <c r="E10810" s="76" t="s">
        <v>32</v>
      </c>
      <c r="F10810" s="76">
        <v>5</v>
      </c>
    </row>
    <row r="10811" s="76" customFormat="1" spans="1:6">
      <c r="A10811">
        <v>11127</v>
      </c>
      <c r="B10811">
        <v>512021242</v>
      </c>
      <c r="C10811" s="76">
        <v>2021</v>
      </c>
      <c r="D10811" s="76" t="s">
        <v>35</v>
      </c>
      <c r="E10811" s="76" t="s">
        <v>32</v>
      </c>
      <c r="F10811" s="76">
        <v>6</v>
      </c>
    </row>
    <row r="10812" s="76" customFormat="1" spans="1:6">
      <c r="A10812">
        <v>11132</v>
      </c>
      <c r="B10812">
        <v>512021242</v>
      </c>
      <c r="C10812" s="76">
        <v>2021</v>
      </c>
      <c r="D10812" s="76" t="s">
        <v>35</v>
      </c>
      <c r="E10812" s="76" t="s">
        <v>32</v>
      </c>
      <c r="F10812" s="76">
        <v>1.5</v>
      </c>
    </row>
    <row r="10813" s="76" customFormat="1" spans="1:6">
      <c r="A10813">
        <v>11131</v>
      </c>
      <c r="B10813">
        <v>512021242</v>
      </c>
      <c r="C10813" s="76">
        <v>2021</v>
      </c>
      <c r="D10813" s="76" t="s">
        <v>35</v>
      </c>
      <c r="E10813" s="76" t="s">
        <v>32</v>
      </c>
      <c r="F10813" s="76">
        <v>1.2</v>
      </c>
    </row>
    <row r="10814" s="76" customFormat="1" spans="1:6">
      <c r="A10814">
        <v>11125</v>
      </c>
      <c r="B10814">
        <v>512021242</v>
      </c>
      <c r="C10814" s="76">
        <v>2021</v>
      </c>
      <c r="D10814" s="76" t="s">
        <v>35</v>
      </c>
      <c r="E10814" s="76" t="s">
        <v>32</v>
      </c>
      <c r="F10814" s="76">
        <v>1.8</v>
      </c>
    </row>
    <row r="10815" s="76" customFormat="1" spans="1:6">
      <c r="A10815">
        <v>11122</v>
      </c>
      <c r="B10815">
        <v>512021242</v>
      </c>
      <c r="C10815" s="76">
        <v>2021</v>
      </c>
      <c r="D10815" s="76" t="s">
        <v>35</v>
      </c>
      <c r="E10815" s="76" t="s">
        <v>32</v>
      </c>
      <c r="F10815" s="76">
        <v>1.8</v>
      </c>
    </row>
    <row r="10816" s="76" customFormat="1" spans="1:6">
      <c r="A10816">
        <v>11123</v>
      </c>
      <c r="B10816">
        <v>512021242</v>
      </c>
      <c r="C10816" s="76">
        <v>2021</v>
      </c>
      <c r="D10816" s="76" t="s">
        <v>35</v>
      </c>
      <c r="E10816" s="76" t="s">
        <v>32</v>
      </c>
      <c r="F10816" s="76">
        <v>3.6</v>
      </c>
    </row>
    <row r="10817" s="76" customFormat="1" spans="1:6">
      <c r="A10817">
        <v>11129</v>
      </c>
      <c r="B10817">
        <v>512021242</v>
      </c>
      <c r="C10817" s="76">
        <v>2021</v>
      </c>
      <c r="D10817" s="76" t="s">
        <v>35</v>
      </c>
      <c r="E10817" s="76" t="s">
        <v>32</v>
      </c>
      <c r="F10817" s="76">
        <v>1.8</v>
      </c>
    </row>
    <row r="10818" s="76" customFormat="1" spans="1:6">
      <c r="A10818">
        <v>11128</v>
      </c>
      <c r="B10818">
        <v>512021242</v>
      </c>
      <c r="C10818" s="76">
        <v>2021</v>
      </c>
      <c r="D10818" s="76" t="s">
        <v>35</v>
      </c>
      <c r="E10818" s="76" t="s">
        <v>32</v>
      </c>
      <c r="F10818" s="76">
        <v>4</v>
      </c>
    </row>
    <row r="10819" s="76" customFormat="1" spans="1:6">
      <c r="A10819">
        <v>11134</v>
      </c>
      <c r="B10819">
        <v>512021242</v>
      </c>
      <c r="C10819" s="76">
        <v>2021</v>
      </c>
      <c r="D10819" s="76" t="s">
        <v>35</v>
      </c>
      <c r="E10819" s="76" t="s">
        <v>32</v>
      </c>
      <c r="F10819" s="76">
        <v>1.5</v>
      </c>
    </row>
    <row r="10820" s="76" customFormat="1" spans="1:6">
      <c r="A10820">
        <v>11133</v>
      </c>
      <c r="B10820">
        <v>512021242</v>
      </c>
      <c r="C10820" s="76">
        <v>2021</v>
      </c>
      <c r="D10820" s="76" t="s">
        <v>35</v>
      </c>
      <c r="E10820" s="76" t="s">
        <v>32</v>
      </c>
      <c r="F10820" s="76">
        <v>1.5</v>
      </c>
    </row>
    <row r="10821" s="76" customFormat="1" spans="1:6">
      <c r="A10821">
        <v>11124</v>
      </c>
      <c r="B10821">
        <v>512021242</v>
      </c>
      <c r="C10821" s="76">
        <v>2021</v>
      </c>
      <c r="D10821" s="76" t="s">
        <v>35</v>
      </c>
      <c r="E10821" s="76" t="s">
        <v>32</v>
      </c>
      <c r="F10821" s="76">
        <v>1.8</v>
      </c>
    </row>
    <row r="10822" s="76" customFormat="1" spans="1:6">
      <c r="A10822">
        <v>11130</v>
      </c>
      <c r="B10822">
        <v>512021242</v>
      </c>
      <c r="C10822" s="76">
        <v>2021</v>
      </c>
      <c r="D10822" s="76" t="s">
        <v>35</v>
      </c>
      <c r="E10822" s="76" t="s">
        <v>32</v>
      </c>
      <c r="F10822" s="76">
        <v>2.5</v>
      </c>
    </row>
    <row r="10823" s="76" customFormat="1" spans="1:6">
      <c r="A10823">
        <v>11147</v>
      </c>
      <c r="B10823">
        <v>512021260</v>
      </c>
      <c r="C10823" s="76">
        <v>2021</v>
      </c>
      <c r="D10823" s="76" t="s">
        <v>34</v>
      </c>
      <c r="E10823" s="76">
        <v>18</v>
      </c>
      <c r="F10823" s="76">
        <v>6.43</v>
      </c>
    </row>
    <row r="10824" s="76" customFormat="1" spans="1:6">
      <c r="A10824">
        <v>11145</v>
      </c>
      <c r="B10824">
        <v>512021260</v>
      </c>
      <c r="C10824" s="76">
        <v>2021</v>
      </c>
      <c r="D10824" s="76" t="s">
        <v>34</v>
      </c>
      <c r="E10824" s="76">
        <v>10</v>
      </c>
      <c r="F10824" s="76">
        <v>2.35</v>
      </c>
    </row>
    <row r="10825" s="76" customFormat="1" spans="1:6">
      <c r="A10825">
        <v>11146</v>
      </c>
      <c r="B10825">
        <v>512021260</v>
      </c>
      <c r="C10825" s="76">
        <v>2021</v>
      </c>
      <c r="D10825" s="76" t="s">
        <v>34</v>
      </c>
      <c r="E10825" s="76">
        <v>6</v>
      </c>
      <c r="F10825" s="76">
        <v>1.8</v>
      </c>
    </row>
    <row r="10826" s="76" customFormat="1" spans="1:6">
      <c r="A10826">
        <v>11152</v>
      </c>
      <c r="B10826">
        <v>512021260</v>
      </c>
      <c r="C10826" s="76">
        <v>2021</v>
      </c>
      <c r="D10826" s="76" t="s">
        <v>34</v>
      </c>
      <c r="E10826" s="76" t="s">
        <v>32</v>
      </c>
      <c r="F10826" s="76">
        <v>12.48</v>
      </c>
    </row>
    <row r="10827" s="76" customFormat="1" spans="1:6">
      <c r="A10827">
        <v>11150</v>
      </c>
      <c r="B10827">
        <v>512021260</v>
      </c>
      <c r="C10827" s="76">
        <v>2021</v>
      </c>
      <c r="D10827" s="76" t="s">
        <v>34</v>
      </c>
      <c r="E10827" s="76" t="s">
        <v>32</v>
      </c>
      <c r="F10827" s="76">
        <v>20.92</v>
      </c>
    </row>
    <row r="10828" s="76" customFormat="1" spans="1:6">
      <c r="A10828">
        <v>11149</v>
      </c>
      <c r="B10828">
        <v>512021260</v>
      </c>
      <c r="C10828" s="76">
        <v>2021</v>
      </c>
      <c r="D10828" s="76" t="s">
        <v>34</v>
      </c>
      <c r="E10828" s="76">
        <v>7</v>
      </c>
      <c r="F10828" s="76">
        <v>2.1</v>
      </c>
    </row>
    <row r="10829" s="76" customFormat="1" spans="1:6">
      <c r="A10829">
        <v>11144</v>
      </c>
      <c r="B10829">
        <v>512021260</v>
      </c>
      <c r="C10829" s="76">
        <v>2021</v>
      </c>
      <c r="D10829" s="76" t="s">
        <v>34</v>
      </c>
      <c r="E10829" s="76">
        <v>5</v>
      </c>
      <c r="F10829" s="76">
        <v>1.65</v>
      </c>
    </row>
    <row r="10830" s="76" customFormat="1" spans="1:6">
      <c r="A10830">
        <v>11137</v>
      </c>
      <c r="B10830">
        <v>512021260</v>
      </c>
      <c r="C10830" s="76">
        <v>2021</v>
      </c>
      <c r="D10830" s="76" t="s">
        <v>34</v>
      </c>
      <c r="E10830" s="76">
        <v>21</v>
      </c>
      <c r="F10830" s="76">
        <v>6.6</v>
      </c>
    </row>
    <row r="10831" s="76" customFormat="1" spans="1:6">
      <c r="A10831">
        <v>11148</v>
      </c>
      <c r="B10831">
        <v>512021260</v>
      </c>
      <c r="C10831" s="76">
        <v>2021</v>
      </c>
      <c r="D10831" s="76" t="s">
        <v>34</v>
      </c>
      <c r="E10831" s="76">
        <v>31</v>
      </c>
      <c r="F10831" s="76">
        <v>9.92</v>
      </c>
    </row>
    <row r="10832" s="76" customFormat="1" spans="1:6">
      <c r="A10832">
        <v>11139</v>
      </c>
      <c r="B10832">
        <v>512021260</v>
      </c>
      <c r="C10832" s="76">
        <v>2021</v>
      </c>
      <c r="D10832" s="76" t="s">
        <v>34</v>
      </c>
      <c r="E10832" s="76">
        <v>1</v>
      </c>
      <c r="F10832" s="76">
        <v>0.36</v>
      </c>
    </row>
    <row r="10833" s="76" customFormat="1" spans="1:6">
      <c r="A10833">
        <v>11140</v>
      </c>
      <c r="B10833">
        <v>512021260</v>
      </c>
      <c r="C10833" s="76">
        <v>2021</v>
      </c>
      <c r="D10833" s="76" t="s">
        <v>34</v>
      </c>
      <c r="E10833" s="76">
        <v>3</v>
      </c>
      <c r="F10833" s="76">
        <v>0.96</v>
      </c>
    </row>
    <row r="10834" s="76" customFormat="1" spans="1:6">
      <c r="A10834">
        <v>11141</v>
      </c>
      <c r="B10834">
        <v>512021260</v>
      </c>
      <c r="C10834" s="76">
        <v>2021</v>
      </c>
      <c r="D10834" s="76" t="s">
        <v>34</v>
      </c>
      <c r="E10834" s="76">
        <v>1</v>
      </c>
      <c r="F10834" s="76">
        <v>0.32</v>
      </c>
    </row>
    <row r="10835" s="76" customFormat="1" spans="1:6">
      <c r="A10835">
        <v>11135</v>
      </c>
      <c r="B10835">
        <v>512021260</v>
      </c>
      <c r="C10835" s="76">
        <v>2021</v>
      </c>
      <c r="D10835" s="76" t="s">
        <v>34</v>
      </c>
      <c r="E10835" s="76">
        <v>40</v>
      </c>
      <c r="F10835" s="76">
        <v>12</v>
      </c>
    </row>
    <row r="10836" s="76" customFormat="1" spans="1:6">
      <c r="A10836">
        <v>11136</v>
      </c>
      <c r="B10836">
        <v>512021260</v>
      </c>
      <c r="C10836" s="76">
        <v>2021</v>
      </c>
      <c r="D10836" s="76" t="s">
        <v>34</v>
      </c>
      <c r="E10836" s="76">
        <v>12</v>
      </c>
      <c r="F10836" s="76">
        <v>3</v>
      </c>
    </row>
    <row r="10837" s="76" customFormat="1" spans="1:6">
      <c r="A10837">
        <v>11143</v>
      </c>
      <c r="B10837">
        <v>512021260</v>
      </c>
      <c r="C10837" s="76">
        <v>2021</v>
      </c>
      <c r="D10837" s="76" t="s">
        <v>34</v>
      </c>
      <c r="E10837" s="76">
        <v>7</v>
      </c>
      <c r="F10837" s="76">
        <v>2.7</v>
      </c>
    </row>
    <row r="10838" s="76" customFormat="1" spans="1:6">
      <c r="A10838">
        <v>11142</v>
      </c>
      <c r="B10838">
        <v>512021260</v>
      </c>
      <c r="C10838" s="76">
        <v>2021</v>
      </c>
      <c r="D10838" s="76" t="s">
        <v>34</v>
      </c>
      <c r="E10838" s="76">
        <v>10</v>
      </c>
      <c r="F10838" s="76">
        <v>3</v>
      </c>
    </row>
    <row r="10839" s="76" customFormat="1" spans="1:6">
      <c r="A10839">
        <v>11153</v>
      </c>
      <c r="B10839">
        <v>512021260</v>
      </c>
      <c r="C10839" s="76">
        <v>2021</v>
      </c>
      <c r="D10839" s="76" t="s">
        <v>34</v>
      </c>
      <c r="E10839" s="76" t="s">
        <v>32</v>
      </c>
      <c r="F10839" s="76">
        <v>5</v>
      </c>
    </row>
    <row r="10840" s="76" customFormat="1" spans="1:6">
      <c r="A10840">
        <v>11138</v>
      </c>
      <c r="B10840">
        <v>512021260</v>
      </c>
      <c r="C10840" s="76">
        <v>2021</v>
      </c>
      <c r="D10840" s="76" t="s">
        <v>34</v>
      </c>
      <c r="E10840" s="76">
        <v>37</v>
      </c>
      <c r="F10840" s="76">
        <v>10.61</v>
      </c>
    </row>
    <row r="10841" s="76" customFormat="1" spans="1:6">
      <c r="A10841">
        <v>11151</v>
      </c>
      <c r="B10841">
        <v>512021260</v>
      </c>
      <c r="C10841" s="76">
        <v>2021</v>
      </c>
      <c r="D10841" s="76" t="s">
        <v>34</v>
      </c>
      <c r="E10841" s="76">
        <v>5</v>
      </c>
      <c r="F10841" s="76">
        <v>1.6</v>
      </c>
    </row>
    <row r="10842" s="76" customFormat="1" spans="1:6">
      <c r="A10842">
        <v>11154</v>
      </c>
      <c r="B10842">
        <v>512021270</v>
      </c>
      <c r="C10842" s="76">
        <v>2021</v>
      </c>
      <c r="D10842" s="76" t="s">
        <v>31</v>
      </c>
      <c r="E10842" s="76" t="s">
        <v>32</v>
      </c>
      <c r="F10842" s="76">
        <v>0.01</v>
      </c>
    </row>
    <row r="10843" s="76" customFormat="1" spans="1:6">
      <c r="A10843">
        <v>11156</v>
      </c>
      <c r="B10843">
        <v>512021270</v>
      </c>
      <c r="C10843" s="76">
        <v>2021</v>
      </c>
      <c r="D10843" s="76" t="s">
        <v>31</v>
      </c>
      <c r="E10843" s="76" t="s">
        <v>32</v>
      </c>
      <c r="F10843" s="76">
        <v>0.2</v>
      </c>
    </row>
    <row r="10844" s="76" customFormat="1" spans="1:6">
      <c r="A10844">
        <v>11158</v>
      </c>
      <c r="B10844">
        <v>522012110</v>
      </c>
      <c r="C10844">
        <v>2012</v>
      </c>
      <c r="D10844" t="s">
        <v>40</v>
      </c>
      <c r="E10844">
        <v>1</v>
      </c>
      <c r="F10844">
        <v>1</v>
      </c>
    </row>
    <row r="10845" s="76" customFormat="1" spans="1:6">
      <c r="A10845">
        <v>11157</v>
      </c>
      <c r="B10845">
        <v>522012110</v>
      </c>
      <c r="C10845">
        <v>2012</v>
      </c>
      <c r="D10845" t="s">
        <v>40</v>
      </c>
      <c r="E10845">
        <v>3</v>
      </c>
      <c r="F10845">
        <v>10.2</v>
      </c>
    </row>
    <row r="10846" s="76" customFormat="1" spans="1:6">
      <c r="A10846">
        <v>11159</v>
      </c>
      <c r="B10846">
        <v>522012211</v>
      </c>
      <c r="C10846">
        <v>2012</v>
      </c>
      <c r="D10846" t="s">
        <v>37</v>
      </c>
      <c r="E10846">
        <v>1</v>
      </c>
      <c r="F10846">
        <v>66</v>
      </c>
    </row>
    <row r="10847" s="76" customFormat="1" spans="1:6">
      <c r="A10847">
        <v>11160</v>
      </c>
      <c r="B10847">
        <v>522012211</v>
      </c>
      <c r="C10847">
        <v>2012</v>
      </c>
      <c r="D10847" t="s">
        <v>37</v>
      </c>
      <c r="E10847">
        <v>1</v>
      </c>
      <c r="F10847">
        <v>60</v>
      </c>
    </row>
    <row r="10848" s="76" customFormat="1" spans="1:6">
      <c r="A10848">
        <v>11165</v>
      </c>
      <c r="B10848">
        <v>522012260</v>
      </c>
      <c r="C10848">
        <v>2012</v>
      </c>
      <c r="D10848" t="s">
        <v>34</v>
      </c>
      <c r="E10848">
        <v>8</v>
      </c>
      <c r="F10848">
        <v>1.6</v>
      </c>
    </row>
    <row r="10849" s="76" customFormat="1" spans="1:6">
      <c r="A10849">
        <v>11164</v>
      </c>
      <c r="B10849">
        <v>522012260</v>
      </c>
      <c r="C10849">
        <v>2012</v>
      </c>
      <c r="D10849" t="s">
        <v>34</v>
      </c>
      <c r="E10849">
        <v>33</v>
      </c>
      <c r="F10849">
        <v>4.95</v>
      </c>
    </row>
    <row r="10850" s="76" customFormat="1" spans="1:6">
      <c r="A10850">
        <v>11161</v>
      </c>
      <c r="B10850">
        <v>522012260</v>
      </c>
      <c r="C10850">
        <v>2012</v>
      </c>
      <c r="D10850" t="s">
        <v>34</v>
      </c>
      <c r="E10850">
        <v>19</v>
      </c>
      <c r="F10850">
        <v>2.85</v>
      </c>
    </row>
    <row r="10851" s="76" customFormat="1" spans="1:6">
      <c r="A10851">
        <v>11163</v>
      </c>
      <c r="B10851">
        <v>522012260</v>
      </c>
      <c r="C10851">
        <v>2012</v>
      </c>
      <c r="D10851" t="s">
        <v>34</v>
      </c>
      <c r="E10851">
        <v>19</v>
      </c>
      <c r="F10851">
        <v>4.75</v>
      </c>
    </row>
    <row r="10852" s="76" customFormat="1" spans="1:6">
      <c r="A10852">
        <v>11162</v>
      </c>
      <c r="B10852">
        <v>522012260</v>
      </c>
      <c r="C10852">
        <v>2012</v>
      </c>
      <c r="D10852" t="s">
        <v>34</v>
      </c>
      <c r="E10852">
        <v>132</v>
      </c>
      <c r="F10852">
        <v>19.8</v>
      </c>
    </row>
    <row r="10853" s="76" customFormat="1" spans="1:6">
      <c r="A10853">
        <v>11168</v>
      </c>
      <c r="B10853">
        <v>522012260</v>
      </c>
      <c r="C10853">
        <v>2012</v>
      </c>
      <c r="D10853" t="s">
        <v>34</v>
      </c>
      <c r="E10853">
        <v>3</v>
      </c>
      <c r="F10853">
        <v>0.75</v>
      </c>
    </row>
    <row r="10854" s="76" customFormat="1" spans="1:6">
      <c r="A10854">
        <v>11167</v>
      </c>
      <c r="B10854">
        <v>522012260</v>
      </c>
      <c r="C10854">
        <v>2012</v>
      </c>
      <c r="D10854" t="s">
        <v>34</v>
      </c>
      <c r="E10854">
        <v>4</v>
      </c>
      <c r="F10854">
        <v>1</v>
      </c>
    </row>
    <row r="10855" s="76" customFormat="1" spans="1:6">
      <c r="A10855">
        <v>11166</v>
      </c>
      <c r="B10855">
        <v>522012260</v>
      </c>
      <c r="C10855">
        <v>2012</v>
      </c>
      <c r="D10855" t="s">
        <v>34</v>
      </c>
      <c r="E10855">
        <v>62</v>
      </c>
      <c r="F10855">
        <v>9.3</v>
      </c>
    </row>
    <row r="10856" s="76" customFormat="1" spans="1:6">
      <c r="A10856">
        <v>11170</v>
      </c>
      <c r="B10856">
        <v>522013110</v>
      </c>
      <c r="C10856">
        <v>2013</v>
      </c>
      <c r="D10856" t="s">
        <v>40</v>
      </c>
      <c r="E10856">
        <v>3</v>
      </c>
      <c r="F10856">
        <v>42</v>
      </c>
    </row>
    <row r="10857" s="76" customFormat="1" spans="1:6">
      <c r="A10857">
        <v>11171</v>
      </c>
      <c r="B10857">
        <v>522013110</v>
      </c>
      <c r="C10857">
        <v>2013</v>
      </c>
      <c r="D10857" t="s">
        <v>40</v>
      </c>
      <c r="E10857">
        <v>2</v>
      </c>
      <c r="F10857">
        <v>5</v>
      </c>
    </row>
    <row r="10858" s="76" customFormat="1" spans="1:6">
      <c r="A10858">
        <v>11169</v>
      </c>
      <c r="B10858">
        <v>522013110</v>
      </c>
      <c r="C10858">
        <v>2013</v>
      </c>
      <c r="D10858" t="s">
        <v>40</v>
      </c>
      <c r="E10858">
        <v>4</v>
      </c>
      <c r="F10858">
        <v>112</v>
      </c>
    </row>
    <row r="10859" s="76" customFormat="1" spans="1:6">
      <c r="A10859">
        <v>11173</v>
      </c>
      <c r="B10859">
        <v>522013211</v>
      </c>
      <c r="C10859">
        <v>2013</v>
      </c>
      <c r="D10859" t="s">
        <v>37</v>
      </c>
      <c r="E10859">
        <v>1</v>
      </c>
      <c r="F10859">
        <v>60</v>
      </c>
    </row>
    <row r="10860" s="76" customFormat="1" spans="1:6">
      <c r="A10860">
        <v>11174</v>
      </c>
      <c r="B10860">
        <v>522013211</v>
      </c>
      <c r="C10860">
        <v>2013</v>
      </c>
      <c r="D10860" t="s">
        <v>37</v>
      </c>
      <c r="E10860">
        <v>1</v>
      </c>
      <c r="F10860">
        <v>66</v>
      </c>
    </row>
    <row r="10861" s="76" customFormat="1" spans="1:6">
      <c r="A10861">
        <v>11175</v>
      </c>
      <c r="B10861">
        <v>522013211</v>
      </c>
      <c r="C10861">
        <v>2013</v>
      </c>
      <c r="D10861" t="s">
        <v>37</v>
      </c>
      <c r="E10861">
        <v>1</v>
      </c>
      <c r="F10861">
        <v>60</v>
      </c>
    </row>
    <row r="10862" s="76" customFormat="1" spans="1:6">
      <c r="A10862">
        <v>11172</v>
      </c>
      <c r="B10862">
        <v>522013211</v>
      </c>
      <c r="C10862">
        <v>2013</v>
      </c>
      <c r="D10862" t="s">
        <v>37</v>
      </c>
      <c r="E10862">
        <v>1</v>
      </c>
      <c r="F10862">
        <v>66</v>
      </c>
    </row>
    <row r="10863" s="76" customFormat="1" spans="1:6">
      <c r="A10863">
        <v>11176</v>
      </c>
      <c r="B10863">
        <v>522013212</v>
      </c>
      <c r="C10863">
        <v>2013</v>
      </c>
      <c r="D10863" t="s">
        <v>39</v>
      </c>
      <c r="E10863">
        <v>1</v>
      </c>
      <c r="F10863">
        <v>30</v>
      </c>
    </row>
    <row r="10864" s="76" customFormat="1" spans="1:6">
      <c r="A10864">
        <v>11181</v>
      </c>
      <c r="B10864">
        <v>522013260</v>
      </c>
      <c r="C10864">
        <v>2013</v>
      </c>
      <c r="D10864" t="s">
        <v>34</v>
      </c>
      <c r="E10864">
        <v>16</v>
      </c>
      <c r="F10864">
        <v>3.2</v>
      </c>
    </row>
    <row r="10865" s="76" customFormat="1" spans="1:6">
      <c r="A10865">
        <v>11185</v>
      </c>
      <c r="B10865">
        <v>522013260</v>
      </c>
      <c r="C10865">
        <v>2013</v>
      </c>
      <c r="D10865" t="s">
        <v>34</v>
      </c>
      <c r="E10865">
        <v>33</v>
      </c>
      <c r="F10865">
        <v>4.95</v>
      </c>
    </row>
    <row r="10866" s="76" customFormat="1" spans="1:6">
      <c r="A10866">
        <v>11180</v>
      </c>
      <c r="B10866">
        <v>522013260</v>
      </c>
      <c r="C10866">
        <v>2013</v>
      </c>
      <c r="D10866" t="s">
        <v>34</v>
      </c>
      <c r="E10866">
        <v>33</v>
      </c>
      <c r="F10866">
        <v>4.95</v>
      </c>
    </row>
    <row r="10867" s="76" customFormat="1" spans="1:6">
      <c r="A10867">
        <v>11182</v>
      </c>
      <c r="B10867">
        <v>522013260</v>
      </c>
      <c r="C10867">
        <v>2013</v>
      </c>
      <c r="D10867" t="s">
        <v>34</v>
      </c>
      <c r="E10867">
        <v>24</v>
      </c>
      <c r="F10867">
        <v>4.8</v>
      </c>
    </row>
    <row r="10868" s="76" customFormat="1" spans="1:6">
      <c r="A10868">
        <v>11179</v>
      </c>
      <c r="B10868">
        <v>522013260</v>
      </c>
      <c r="C10868">
        <v>2013</v>
      </c>
      <c r="D10868" t="s">
        <v>34</v>
      </c>
      <c r="E10868">
        <v>19</v>
      </c>
      <c r="F10868">
        <v>4.75</v>
      </c>
    </row>
    <row r="10869" s="76" customFormat="1" spans="1:6">
      <c r="A10869">
        <v>11191</v>
      </c>
      <c r="B10869">
        <v>522013260</v>
      </c>
      <c r="C10869">
        <v>2013</v>
      </c>
      <c r="D10869" t="s">
        <v>34</v>
      </c>
      <c r="E10869">
        <v>33</v>
      </c>
      <c r="F10869">
        <v>4.95</v>
      </c>
    </row>
    <row r="10870" s="76" customFormat="1" spans="1:6">
      <c r="A10870">
        <v>11189</v>
      </c>
      <c r="B10870">
        <v>522013260</v>
      </c>
      <c r="C10870">
        <v>2013</v>
      </c>
      <c r="D10870" t="s">
        <v>34</v>
      </c>
      <c r="E10870">
        <v>26</v>
      </c>
      <c r="F10870">
        <v>4.96</v>
      </c>
    </row>
    <row r="10871" s="76" customFormat="1" spans="1:6">
      <c r="A10871">
        <v>11178</v>
      </c>
      <c r="B10871">
        <v>522013260</v>
      </c>
      <c r="C10871">
        <v>2013</v>
      </c>
      <c r="D10871" t="s">
        <v>34</v>
      </c>
      <c r="E10871">
        <v>33</v>
      </c>
      <c r="F10871">
        <v>4.95</v>
      </c>
    </row>
    <row r="10872" s="76" customFormat="1" spans="1:6">
      <c r="A10872">
        <v>11177</v>
      </c>
      <c r="B10872">
        <v>522013260</v>
      </c>
      <c r="C10872">
        <v>2013</v>
      </c>
      <c r="D10872" t="s">
        <v>34</v>
      </c>
      <c r="E10872">
        <v>33</v>
      </c>
      <c r="F10872">
        <v>4.95</v>
      </c>
    </row>
    <row r="10873" s="76" customFormat="1" spans="1:6">
      <c r="A10873">
        <v>11187</v>
      </c>
      <c r="B10873">
        <v>522013260</v>
      </c>
      <c r="C10873">
        <v>2013</v>
      </c>
      <c r="D10873" t="s">
        <v>34</v>
      </c>
      <c r="E10873">
        <v>33</v>
      </c>
      <c r="F10873">
        <v>4.95</v>
      </c>
    </row>
    <row r="10874" s="76" customFormat="1" spans="1:6">
      <c r="A10874">
        <v>11188</v>
      </c>
      <c r="B10874">
        <v>522013260</v>
      </c>
      <c r="C10874">
        <v>2013</v>
      </c>
      <c r="D10874" t="s">
        <v>34</v>
      </c>
      <c r="E10874">
        <v>33</v>
      </c>
      <c r="F10874">
        <v>4.95</v>
      </c>
    </row>
    <row r="10875" s="76" customFormat="1" spans="1:6">
      <c r="A10875">
        <v>11184</v>
      </c>
      <c r="B10875">
        <v>522013260</v>
      </c>
      <c r="C10875">
        <v>2013</v>
      </c>
      <c r="D10875" t="s">
        <v>34</v>
      </c>
      <c r="E10875">
        <v>62</v>
      </c>
      <c r="F10875">
        <v>4.96</v>
      </c>
    </row>
    <row r="10876" s="76" customFormat="1" spans="1:6">
      <c r="A10876">
        <v>11196</v>
      </c>
      <c r="B10876">
        <v>522013260</v>
      </c>
      <c r="C10876">
        <v>2013</v>
      </c>
      <c r="D10876" t="s">
        <v>34</v>
      </c>
      <c r="E10876">
        <v>20</v>
      </c>
      <c r="F10876">
        <v>4</v>
      </c>
    </row>
    <row r="10877" s="76" customFormat="1" spans="1:6">
      <c r="A10877">
        <v>11194</v>
      </c>
      <c r="B10877">
        <v>522013260</v>
      </c>
      <c r="C10877">
        <v>2013</v>
      </c>
      <c r="D10877" t="s">
        <v>34</v>
      </c>
      <c r="E10877">
        <v>33</v>
      </c>
      <c r="F10877">
        <v>4.95</v>
      </c>
    </row>
    <row r="10878" s="76" customFormat="1" spans="1:6">
      <c r="A10878">
        <v>11193</v>
      </c>
      <c r="B10878">
        <v>522013260</v>
      </c>
      <c r="C10878">
        <v>2013</v>
      </c>
      <c r="D10878" t="s">
        <v>34</v>
      </c>
      <c r="E10878">
        <v>33</v>
      </c>
      <c r="F10878">
        <v>4.95</v>
      </c>
    </row>
    <row r="10879" s="76" customFormat="1" spans="1:6">
      <c r="A10879">
        <v>11183</v>
      </c>
      <c r="B10879">
        <v>522013260</v>
      </c>
      <c r="C10879">
        <v>2013</v>
      </c>
      <c r="D10879" t="s">
        <v>34</v>
      </c>
      <c r="E10879">
        <v>72</v>
      </c>
      <c r="F10879">
        <v>14.4</v>
      </c>
    </row>
    <row r="10880" s="76" customFormat="1" spans="1:6">
      <c r="A10880">
        <v>11186</v>
      </c>
      <c r="B10880">
        <v>522013260</v>
      </c>
      <c r="C10880">
        <v>2013</v>
      </c>
      <c r="D10880" t="s">
        <v>34</v>
      </c>
      <c r="E10880">
        <v>33</v>
      </c>
      <c r="F10880">
        <v>4.95</v>
      </c>
    </row>
    <row r="10881" s="76" customFormat="1" spans="1:6">
      <c r="A10881">
        <v>11195</v>
      </c>
      <c r="B10881">
        <v>522013260</v>
      </c>
      <c r="C10881">
        <v>2013</v>
      </c>
      <c r="D10881" t="s">
        <v>34</v>
      </c>
      <c r="E10881">
        <v>24</v>
      </c>
      <c r="F10881">
        <v>4.8</v>
      </c>
    </row>
    <row r="10882" s="76" customFormat="1" spans="1:6">
      <c r="A10882">
        <v>11190</v>
      </c>
      <c r="B10882">
        <v>522013260</v>
      </c>
      <c r="C10882">
        <v>2013</v>
      </c>
      <c r="D10882" t="s">
        <v>34</v>
      </c>
      <c r="E10882">
        <v>33</v>
      </c>
      <c r="F10882">
        <v>4.95</v>
      </c>
    </row>
    <row r="10883" s="76" customFormat="1" spans="1:6">
      <c r="A10883">
        <v>11192</v>
      </c>
      <c r="B10883">
        <v>522013260</v>
      </c>
      <c r="C10883">
        <v>2013</v>
      </c>
      <c r="D10883" t="s">
        <v>34</v>
      </c>
      <c r="E10883">
        <v>33</v>
      </c>
      <c r="F10883">
        <v>4.95</v>
      </c>
    </row>
    <row r="10884" s="76" customFormat="1" spans="1:6">
      <c r="A10884">
        <v>11197</v>
      </c>
      <c r="B10884">
        <v>522014110</v>
      </c>
      <c r="C10884">
        <v>2014</v>
      </c>
      <c r="D10884" t="s">
        <v>40</v>
      </c>
      <c r="E10884">
        <v>2</v>
      </c>
      <c r="F10884">
        <v>2</v>
      </c>
    </row>
    <row r="10885" s="76" customFormat="1" spans="1:6">
      <c r="A10885">
        <v>11198</v>
      </c>
      <c r="B10885">
        <v>522014110</v>
      </c>
      <c r="C10885">
        <v>2014</v>
      </c>
      <c r="D10885" t="s">
        <v>40</v>
      </c>
      <c r="E10885">
        <v>2</v>
      </c>
      <c r="F10885">
        <v>3</v>
      </c>
    </row>
    <row r="10886" s="76" customFormat="1" spans="1:6">
      <c r="A10886">
        <v>11200</v>
      </c>
      <c r="B10886">
        <v>522014110</v>
      </c>
      <c r="C10886">
        <v>2014</v>
      </c>
      <c r="D10886" t="s">
        <v>40</v>
      </c>
      <c r="E10886">
        <v>1</v>
      </c>
      <c r="F10886">
        <v>9</v>
      </c>
    </row>
    <row r="10887" s="76" customFormat="1" spans="1:6">
      <c r="A10887">
        <v>11199</v>
      </c>
      <c r="B10887">
        <v>522014110</v>
      </c>
      <c r="C10887">
        <v>2014</v>
      </c>
      <c r="D10887" t="s">
        <v>40</v>
      </c>
      <c r="E10887">
        <v>2</v>
      </c>
      <c r="F10887">
        <v>5</v>
      </c>
    </row>
    <row r="10888" s="76" customFormat="1" spans="1:6">
      <c r="A10888">
        <v>11202</v>
      </c>
      <c r="B10888">
        <v>522014211</v>
      </c>
      <c r="C10888">
        <v>2014</v>
      </c>
      <c r="D10888" t="s">
        <v>37</v>
      </c>
      <c r="E10888">
        <v>1</v>
      </c>
      <c r="F10888">
        <v>60</v>
      </c>
    </row>
    <row r="10889" s="76" customFormat="1" spans="1:6">
      <c r="A10889">
        <v>11201</v>
      </c>
      <c r="B10889">
        <v>522014211</v>
      </c>
      <c r="C10889">
        <v>2014</v>
      </c>
      <c r="D10889" t="s">
        <v>37</v>
      </c>
      <c r="E10889">
        <v>1</v>
      </c>
      <c r="F10889">
        <v>30</v>
      </c>
    </row>
    <row r="10890" s="76" customFormat="1" spans="1:6">
      <c r="A10890">
        <v>11203</v>
      </c>
      <c r="B10890">
        <v>522014211</v>
      </c>
      <c r="C10890">
        <v>2014</v>
      </c>
      <c r="D10890" t="s">
        <v>37</v>
      </c>
      <c r="E10890">
        <v>1</v>
      </c>
      <c r="F10890">
        <v>66</v>
      </c>
    </row>
    <row r="10891" s="76" customFormat="1" spans="1:6">
      <c r="A10891">
        <v>11204</v>
      </c>
      <c r="B10891">
        <v>522014222</v>
      </c>
      <c r="C10891">
        <v>2014</v>
      </c>
      <c r="D10891" t="s">
        <v>43</v>
      </c>
      <c r="E10891">
        <v>7</v>
      </c>
      <c r="F10891">
        <v>0.49</v>
      </c>
    </row>
    <row r="10892" s="76" customFormat="1" spans="1:6">
      <c r="A10892">
        <v>11205</v>
      </c>
      <c r="B10892">
        <v>522014243</v>
      </c>
      <c r="C10892">
        <v>2014</v>
      </c>
      <c r="D10892" t="s">
        <v>38</v>
      </c>
      <c r="E10892">
        <v>1</v>
      </c>
      <c r="F10892">
        <v>3</v>
      </c>
    </row>
    <row r="10893" s="76" customFormat="1" spans="1:6">
      <c r="A10893">
        <v>11213</v>
      </c>
      <c r="B10893">
        <v>522014260</v>
      </c>
      <c r="C10893">
        <v>2014</v>
      </c>
      <c r="D10893" t="s">
        <v>34</v>
      </c>
      <c r="E10893">
        <v>18</v>
      </c>
      <c r="F10893">
        <v>4.5</v>
      </c>
    </row>
    <row r="10894" s="76" customFormat="1" spans="1:6">
      <c r="A10894">
        <v>11212</v>
      </c>
      <c r="B10894">
        <v>522014260</v>
      </c>
      <c r="C10894">
        <v>2014</v>
      </c>
      <c r="D10894" t="s">
        <v>34</v>
      </c>
      <c r="E10894">
        <v>18</v>
      </c>
      <c r="F10894">
        <v>4.5</v>
      </c>
    </row>
    <row r="10895" s="76" customFormat="1" spans="1:6">
      <c r="A10895">
        <v>11206</v>
      </c>
      <c r="B10895">
        <v>522014260</v>
      </c>
      <c r="C10895">
        <v>2014</v>
      </c>
      <c r="D10895" t="s">
        <v>34</v>
      </c>
      <c r="E10895">
        <v>25</v>
      </c>
      <c r="F10895">
        <v>5</v>
      </c>
    </row>
    <row r="10896" s="76" customFormat="1" spans="1:6">
      <c r="A10896">
        <v>11211</v>
      </c>
      <c r="B10896">
        <v>522014260</v>
      </c>
      <c r="C10896">
        <v>2014</v>
      </c>
      <c r="D10896" t="s">
        <v>34</v>
      </c>
      <c r="E10896">
        <v>13</v>
      </c>
      <c r="F10896">
        <v>3.25</v>
      </c>
    </row>
    <row r="10897" s="76" customFormat="1" spans="1:6">
      <c r="A10897">
        <v>11207</v>
      </c>
      <c r="B10897">
        <v>522014260</v>
      </c>
      <c r="C10897">
        <v>2014</v>
      </c>
      <c r="D10897" t="s">
        <v>34</v>
      </c>
      <c r="E10897">
        <v>24</v>
      </c>
      <c r="F10897">
        <v>4.8</v>
      </c>
    </row>
    <row r="10898" s="76" customFormat="1" spans="1:6">
      <c r="A10898">
        <v>11210</v>
      </c>
      <c r="B10898">
        <v>522014260</v>
      </c>
      <c r="C10898">
        <v>2014</v>
      </c>
      <c r="D10898" t="s">
        <v>34</v>
      </c>
      <c r="E10898">
        <v>24</v>
      </c>
      <c r="F10898">
        <v>5</v>
      </c>
    </row>
    <row r="10899" s="76" customFormat="1" spans="1:6">
      <c r="A10899">
        <v>11208</v>
      </c>
      <c r="B10899">
        <v>522014260</v>
      </c>
      <c r="C10899">
        <v>2014</v>
      </c>
      <c r="D10899" t="s">
        <v>34</v>
      </c>
      <c r="E10899">
        <v>24</v>
      </c>
      <c r="F10899">
        <v>4.8</v>
      </c>
    </row>
    <row r="10900" s="76" customFormat="1" spans="1:6">
      <c r="A10900">
        <v>11214</v>
      </c>
      <c r="B10900">
        <v>522014260</v>
      </c>
      <c r="C10900">
        <v>2014</v>
      </c>
      <c r="D10900" t="s">
        <v>34</v>
      </c>
      <c r="E10900">
        <v>33</v>
      </c>
      <c r="F10900">
        <v>4.95</v>
      </c>
    </row>
    <row r="10901" s="76" customFormat="1" spans="1:6">
      <c r="A10901">
        <v>11209</v>
      </c>
      <c r="B10901">
        <v>522014260</v>
      </c>
      <c r="C10901">
        <v>2014</v>
      </c>
      <c r="D10901" t="s">
        <v>34</v>
      </c>
      <c r="E10901">
        <v>25</v>
      </c>
      <c r="F10901">
        <v>5</v>
      </c>
    </row>
    <row r="10902" s="76" customFormat="1" spans="1:6">
      <c r="A10902">
        <v>11215</v>
      </c>
      <c r="B10902">
        <v>522014260</v>
      </c>
      <c r="C10902">
        <v>2014</v>
      </c>
      <c r="D10902" t="s">
        <v>34</v>
      </c>
      <c r="E10902">
        <v>25</v>
      </c>
      <c r="F10902">
        <v>5</v>
      </c>
    </row>
    <row r="10903" s="76" customFormat="1" spans="1:6">
      <c r="A10903">
        <v>11217</v>
      </c>
      <c r="B10903">
        <v>522015110</v>
      </c>
      <c r="C10903">
        <v>2015</v>
      </c>
      <c r="D10903" t="s">
        <v>40</v>
      </c>
      <c r="E10903">
        <v>4</v>
      </c>
      <c r="F10903">
        <v>55.8</v>
      </c>
    </row>
    <row r="10904" s="76" customFormat="1" spans="1:6">
      <c r="A10904">
        <v>11216</v>
      </c>
      <c r="B10904">
        <v>522015110</v>
      </c>
      <c r="C10904">
        <v>2015</v>
      </c>
      <c r="D10904" t="s">
        <v>40</v>
      </c>
      <c r="E10904">
        <v>3</v>
      </c>
      <c r="F10904">
        <v>18.55</v>
      </c>
    </row>
    <row r="10905" s="76" customFormat="1" spans="1:6">
      <c r="A10905">
        <v>11218</v>
      </c>
      <c r="B10905">
        <v>522015110</v>
      </c>
      <c r="C10905">
        <v>2015</v>
      </c>
      <c r="D10905" t="s">
        <v>40</v>
      </c>
      <c r="E10905">
        <v>1</v>
      </c>
      <c r="F10905">
        <v>3</v>
      </c>
    </row>
    <row r="10906" s="76" customFormat="1" spans="1:6">
      <c r="A10906">
        <v>11220</v>
      </c>
      <c r="B10906">
        <v>522015211</v>
      </c>
      <c r="C10906">
        <v>2015</v>
      </c>
      <c r="D10906" t="s">
        <v>37</v>
      </c>
      <c r="E10906">
        <v>1</v>
      </c>
      <c r="F10906">
        <v>66</v>
      </c>
    </row>
    <row r="10907" s="76" customFormat="1" spans="1:6">
      <c r="A10907">
        <v>11219</v>
      </c>
      <c r="B10907">
        <v>522015211</v>
      </c>
      <c r="C10907">
        <v>2015</v>
      </c>
      <c r="D10907" t="s">
        <v>37</v>
      </c>
      <c r="E10907">
        <v>2</v>
      </c>
      <c r="F10907">
        <v>132</v>
      </c>
    </row>
    <row r="10908" s="76" customFormat="1" spans="1:6">
      <c r="A10908">
        <v>11235</v>
      </c>
      <c r="B10908">
        <v>522015260</v>
      </c>
      <c r="C10908">
        <v>2015</v>
      </c>
      <c r="D10908" t="s">
        <v>34</v>
      </c>
      <c r="E10908" t="s">
        <v>32</v>
      </c>
      <c r="F10908">
        <v>3</v>
      </c>
    </row>
    <row r="10909" s="76" customFormat="1" spans="1:6">
      <c r="A10909">
        <v>11240</v>
      </c>
      <c r="B10909">
        <v>522015260</v>
      </c>
      <c r="C10909">
        <v>2015</v>
      </c>
      <c r="D10909" t="s">
        <v>34</v>
      </c>
      <c r="E10909">
        <v>15</v>
      </c>
      <c r="F10909">
        <v>3</v>
      </c>
    </row>
    <row r="10910" s="76" customFormat="1" spans="1:6">
      <c r="A10910">
        <v>11227</v>
      </c>
      <c r="B10910">
        <v>522015260</v>
      </c>
      <c r="C10910">
        <v>2015</v>
      </c>
      <c r="D10910" t="s">
        <v>34</v>
      </c>
      <c r="E10910">
        <v>12</v>
      </c>
      <c r="F10910">
        <v>2.4</v>
      </c>
    </row>
    <row r="10911" s="76" customFormat="1" spans="1:6">
      <c r="A10911">
        <v>11234</v>
      </c>
      <c r="B10911">
        <v>522015260</v>
      </c>
      <c r="C10911">
        <v>2015</v>
      </c>
      <c r="D10911" t="s">
        <v>34</v>
      </c>
      <c r="E10911" t="s">
        <v>32</v>
      </c>
      <c r="F10911">
        <v>3</v>
      </c>
    </row>
    <row r="10912" s="76" customFormat="1" spans="1:6">
      <c r="A10912">
        <v>11239</v>
      </c>
      <c r="B10912">
        <v>522015260</v>
      </c>
      <c r="C10912">
        <v>2015</v>
      </c>
      <c r="D10912" t="s">
        <v>34</v>
      </c>
      <c r="E10912">
        <v>15</v>
      </c>
      <c r="F10912">
        <v>3</v>
      </c>
    </row>
    <row r="10913" s="76" customFormat="1" spans="1:6">
      <c r="A10913">
        <v>11222</v>
      </c>
      <c r="B10913">
        <v>522015260</v>
      </c>
      <c r="C10913">
        <v>2015</v>
      </c>
      <c r="D10913" t="s">
        <v>34</v>
      </c>
      <c r="E10913">
        <v>17</v>
      </c>
      <c r="F10913">
        <v>3.06</v>
      </c>
    </row>
    <row r="10914" s="76" customFormat="1" spans="1:6">
      <c r="A10914">
        <v>11232</v>
      </c>
      <c r="B10914">
        <v>522015260</v>
      </c>
      <c r="C10914">
        <v>2015</v>
      </c>
      <c r="D10914" t="s">
        <v>34</v>
      </c>
      <c r="E10914">
        <v>71</v>
      </c>
      <c r="F10914">
        <v>14.38</v>
      </c>
    </row>
    <row r="10915" s="76" customFormat="1" spans="1:6">
      <c r="A10915">
        <v>11229</v>
      </c>
      <c r="B10915">
        <v>522015260</v>
      </c>
      <c r="C10915">
        <v>2015</v>
      </c>
      <c r="D10915" t="s">
        <v>34</v>
      </c>
      <c r="E10915">
        <v>19</v>
      </c>
      <c r="F10915">
        <v>4.75</v>
      </c>
    </row>
    <row r="10916" s="76" customFormat="1" spans="1:6">
      <c r="A10916">
        <v>11226</v>
      </c>
      <c r="B10916">
        <v>522015260</v>
      </c>
      <c r="C10916">
        <v>2015</v>
      </c>
      <c r="D10916" t="s">
        <v>34</v>
      </c>
      <c r="E10916">
        <v>33</v>
      </c>
      <c r="F10916">
        <v>4.95</v>
      </c>
    </row>
    <row r="10917" s="76" customFormat="1" spans="1:6">
      <c r="A10917">
        <v>11223</v>
      </c>
      <c r="B10917">
        <v>522015260</v>
      </c>
      <c r="C10917">
        <v>2015</v>
      </c>
      <c r="D10917" t="s">
        <v>34</v>
      </c>
      <c r="E10917">
        <v>30</v>
      </c>
      <c r="F10917">
        <v>6</v>
      </c>
    </row>
    <row r="10918" s="76" customFormat="1" spans="1:6">
      <c r="A10918">
        <v>11228</v>
      </c>
      <c r="B10918">
        <v>522015260</v>
      </c>
      <c r="C10918">
        <v>2015</v>
      </c>
      <c r="D10918" t="s">
        <v>34</v>
      </c>
      <c r="E10918">
        <v>25</v>
      </c>
      <c r="F10918">
        <v>4.95</v>
      </c>
    </row>
    <row r="10919" s="76" customFormat="1" spans="1:6">
      <c r="A10919">
        <v>11230</v>
      </c>
      <c r="B10919">
        <v>522015260</v>
      </c>
      <c r="C10919">
        <v>2015</v>
      </c>
      <c r="D10919" t="s">
        <v>34</v>
      </c>
      <c r="E10919">
        <v>21</v>
      </c>
      <c r="F10919">
        <v>4.2</v>
      </c>
    </row>
    <row r="10920" s="76" customFormat="1" spans="1:6">
      <c r="A10920">
        <v>11231</v>
      </c>
      <c r="B10920">
        <v>522015260</v>
      </c>
      <c r="C10920">
        <v>2015</v>
      </c>
      <c r="D10920" t="s">
        <v>34</v>
      </c>
      <c r="E10920">
        <v>10</v>
      </c>
      <c r="F10920">
        <v>2</v>
      </c>
    </row>
    <row r="10921" s="76" customFormat="1" spans="1:6">
      <c r="A10921">
        <v>11225</v>
      </c>
      <c r="B10921">
        <v>522015260</v>
      </c>
      <c r="C10921">
        <v>2015</v>
      </c>
      <c r="D10921" t="s">
        <v>34</v>
      </c>
      <c r="E10921">
        <v>24</v>
      </c>
      <c r="F10921">
        <v>4.8</v>
      </c>
    </row>
    <row r="10922" s="76" customFormat="1" spans="1:6">
      <c r="A10922">
        <v>11233</v>
      </c>
      <c r="B10922">
        <v>522015260</v>
      </c>
      <c r="C10922">
        <v>2015</v>
      </c>
      <c r="D10922" t="s">
        <v>34</v>
      </c>
      <c r="E10922">
        <v>33</v>
      </c>
      <c r="F10922">
        <v>4.95</v>
      </c>
    </row>
    <row r="10923" s="76" customFormat="1" spans="1:6">
      <c r="A10923">
        <v>11237</v>
      </c>
      <c r="B10923">
        <v>522015260</v>
      </c>
      <c r="C10923">
        <v>2015</v>
      </c>
      <c r="D10923" t="s">
        <v>34</v>
      </c>
      <c r="E10923">
        <v>33</v>
      </c>
      <c r="F10923">
        <v>4.95</v>
      </c>
    </row>
    <row r="10924" s="76" customFormat="1" spans="1:6">
      <c r="A10924">
        <v>11224</v>
      </c>
      <c r="B10924">
        <v>522015260</v>
      </c>
      <c r="C10924">
        <v>2015</v>
      </c>
      <c r="D10924" t="s">
        <v>34</v>
      </c>
      <c r="E10924">
        <v>30</v>
      </c>
      <c r="F10924">
        <v>4.6</v>
      </c>
    </row>
    <row r="10925" s="76" customFormat="1" spans="1:6">
      <c r="A10925">
        <v>11238</v>
      </c>
      <c r="B10925">
        <v>522015260</v>
      </c>
      <c r="C10925">
        <v>2015</v>
      </c>
      <c r="D10925" t="s">
        <v>34</v>
      </c>
      <c r="E10925">
        <v>31</v>
      </c>
      <c r="F10925">
        <v>4.65</v>
      </c>
    </row>
    <row r="10926" s="76" customFormat="1" spans="1:6">
      <c r="A10926">
        <v>11236</v>
      </c>
      <c r="B10926">
        <v>522015260</v>
      </c>
      <c r="C10926">
        <v>2015</v>
      </c>
      <c r="D10926" t="s">
        <v>34</v>
      </c>
      <c r="E10926">
        <v>33</v>
      </c>
      <c r="F10926">
        <v>4.95</v>
      </c>
    </row>
    <row r="10927" s="76" customFormat="1" spans="1:6">
      <c r="A10927">
        <v>11221</v>
      </c>
      <c r="B10927">
        <v>522015260</v>
      </c>
      <c r="C10927">
        <v>2015</v>
      </c>
      <c r="D10927" t="s">
        <v>34</v>
      </c>
      <c r="E10927">
        <v>8</v>
      </c>
      <c r="F10927">
        <v>1.64</v>
      </c>
    </row>
    <row r="10928" s="76" customFormat="1" spans="1:6">
      <c r="A10928">
        <v>11241</v>
      </c>
      <c r="B10928">
        <v>522015270</v>
      </c>
      <c r="C10928">
        <v>2015</v>
      </c>
      <c r="D10928" t="s">
        <v>31</v>
      </c>
      <c r="E10928" t="s">
        <v>32</v>
      </c>
      <c r="F10928">
        <v>3</v>
      </c>
    </row>
    <row r="10929" s="76" customFormat="1" spans="1:6">
      <c r="A10929">
        <v>11242</v>
      </c>
      <c r="B10929">
        <v>522016110</v>
      </c>
      <c r="C10929" s="76">
        <v>2016</v>
      </c>
      <c r="D10929" s="76" t="s">
        <v>40</v>
      </c>
      <c r="E10929" s="76" t="s">
        <v>32</v>
      </c>
      <c r="F10929" s="76">
        <v>9</v>
      </c>
    </row>
    <row r="10930" s="76" customFormat="1" spans="1:6">
      <c r="A10930">
        <v>11245</v>
      </c>
      <c r="B10930">
        <v>522016211</v>
      </c>
      <c r="C10930" s="76">
        <v>2016</v>
      </c>
      <c r="D10930" s="76" t="s">
        <v>37</v>
      </c>
      <c r="E10930" s="76">
        <v>1</v>
      </c>
      <c r="F10930" s="76">
        <v>66</v>
      </c>
    </row>
    <row r="10931" s="76" customFormat="1" spans="1:6">
      <c r="A10931">
        <v>11243</v>
      </c>
      <c r="B10931">
        <v>522016211</v>
      </c>
      <c r="C10931" s="76">
        <v>2016</v>
      </c>
      <c r="D10931" s="76" t="s">
        <v>37</v>
      </c>
      <c r="E10931" s="76">
        <v>2</v>
      </c>
      <c r="F10931" s="76">
        <v>132</v>
      </c>
    </row>
    <row r="10932" s="76" customFormat="1" spans="1:6">
      <c r="A10932">
        <v>11244</v>
      </c>
      <c r="B10932">
        <v>522016211</v>
      </c>
      <c r="C10932" s="76">
        <v>2016</v>
      </c>
      <c r="D10932" s="76" t="s">
        <v>37</v>
      </c>
      <c r="E10932" s="76">
        <v>2</v>
      </c>
      <c r="F10932" s="76">
        <v>120</v>
      </c>
    </row>
    <row r="10933" s="76" customFormat="1" spans="1:6">
      <c r="A10933">
        <v>11246</v>
      </c>
      <c r="B10933">
        <v>522016222</v>
      </c>
      <c r="C10933" s="76">
        <v>2016</v>
      </c>
      <c r="D10933" s="76" t="s">
        <v>43</v>
      </c>
      <c r="E10933" s="76">
        <v>3</v>
      </c>
      <c r="F10933" s="76">
        <v>0.21</v>
      </c>
    </row>
    <row r="10934" s="76" customFormat="1" spans="1:6">
      <c r="A10934">
        <v>11247</v>
      </c>
      <c r="B10934">
        <v>522016260</v>
      </c>
      <c r="C10934" s="76">
        <v>2016</v>
      </c>
      <c r="D10934" s="76" t="s">
        <v>34</v>
      </c>
      <c r="E10934" s="76">
        <v>9</v>
      </c>
      <c r="F10934" s="76">
        <v>1.87</v>
      </c>
    </row>
    <row r="10935" s="76" customFormat="1" spans="1:6">
      <c r="A10935">
        <v>11252</v>
      </c>
      <c r="B10935">
        <v>522016260</v>
      </c>
      <c r="C10935" s="76">
        <v>2016</v>
      </c>
      <c r="D10935" s="76" t="s">
        <v>34</v>
      </c>
      <c r="E10935" s="76">
        <v>3</v>
      </c>
      <c r="F10935" s="76">
        <v>0.59</v>
      </c>
    </row>
    <row r="10936" s="76" customFormat="1" spans="1:6">
      <c r="A10936">
        <v>11254</v>
      </c>
      <c r="B10936">
        <v>522016260</v>
      </c>
      <c r="C10936" s="76">
        <v>2016</v>
      </c>
      <c r="D10936" s="76" t="s">
        <v>34</v>
      </c>
      <c r="E10936" s="76">
        <v>24</v>
      </c>
      <c r="F10936" s="76">
        <v>4.8</v>
      </c>
    </row>
    <row r="10937" s="76" customFormat="1" spans="1:6">
      <c r="A10937">
        <v>11249</v>
      </c>
      <c r="B10937">
        <v>522016260</v>
      </c>
      <c r="C10937" s="76">
        <v>2016</v>
      </c>
      <c r="D10937" s="76" t="s">
        <v>34</v>
      </c>
      <c r="E10937" s="76">
        <v>25</v>
      </c>
      <c r="F10937" s="76">
        <v>4.95</v>
      </c>
    </row>
    <row r="10938" s="76" customFormat="1" spans="1:6">
      <c r="A10938">
        <v>11250</v>
      </c>
      <c r="B10938">
        <v>522016260</v>
      </c>
      <c r="C10938" s="76">
        <v>2016</v>
      </c>
      <c r="D10938" s="76" t="s">
        <v>34</v>
      </c>
      <c r="E10938" s="76">
        <v>27</v>
      </c>
      <c r="F10938" s="76">
        <v>5.4</v>
      </c>
    </row>
    <row r="10939" s="76" customFormat="1" spans="1:6">
      <c r="A10939">
        <v>11253</v>
      </c>
      <c r="B10939">
        <v>522016260</v>
      </c>
      <c r="C10939" s="76">
        <v>2016</v>
      </c>
      <c r="D10939" s="76" t="s">
        <v>34</v>
      </c>
      <c r="E10939" s="76">
        <v>24</v>
      </c>
      <c r="F10939" s="76">
        <v>4.8</v>
      </c>
    </row>
    <row r="10940" s="76" customFormat="1" spans="1:6">
      <c r="A10940">
        <v>11251</v>
      </c>
      <c r="B10940">
        <v>522016260</v>
      </c>
      <c r="C10940" s="76">
        <v>2016</v>
      </c>
      <c r="D10940" s="76" t="s">
        <v>34</v>
      </c>
      <c r="E10940" s="76">
        <v>24</v>
      </c>
      <c r="F10940" s="76">
        <v>4.8</v>
      </c>
    </row>
    <row r="10941" s="76" customFormat="1" spans="1:6">
      <c r="A10941">
        <v>11248</v>
      </c>
      <c r="B10941">
        <v>522016260</v>
      </c>
      <c r="C10941" s="76">
        <v>2016</v>
      </c>
      <c r="D10941" s="76" t="s">
        <v>34</v>
      </c>
      <c r="E10941" s="76">
        <v>24</v>
      </c>
      <c r="F10941" s="76">
        <v>4.8</v>
      </c>
    </row>
    <row r="10942" s="76" customFormat="1" spans="1:6">
      <c r="A10942">
        <v>11255</v>
      </c>
      <c r="B10942">
        <v>522017110</v>
      </c>
      <c r="C10942" s="76">
        <v>2017</v>
      </c>
      <c r="D10942" s="76" t="s">
        <v>40</v>
      </c>
      <c r="E10942" s="76">
        <v>2</v>
      </c>
      <c r="F10942" s="76">
        <v>7</v>
      </c>
    </row>
    <row r="10943" s="76" customFormat="1" spans="1:6">
      <c r="A10943">
        <v>11256</v>
      </c>
      <c r="B10943">
        <v>522017110</v>
      </c>
      <c r="C10943" s="76">
        <v>2017</v>
      </c>
      <c r="D10943" s="76" t="s">
        <v>40</v>
      </c>
      <c r="E10943" s="76">
        <v>2</v>
      </c>
      <c r="F10943" s="76">
        <v>24</v>
      </c>
    </row>
    <row r="10944" s="76" customFormat="1" spans="1:6">
      <c r="A10944">
        <v>11257</v>
      </c>
      <c r="B10944">
        <v>522017260</v>
      </c>
      <c r="C10944" s="76">
        <v>2017</v>
      </c>
      <c r="D10944" s="76" t="s">
        <v>34</v>
      </c>
      <c r="E10944" s="76">
        <v>1</v>
      </c>
      <c r="F10944" s="76">
        <v>2</v>
      </c>
    </row>
    <row r="10945" s="76" customFormat="1" spans="1:6">
      <c r="A10945">
        <v>11259</v>
      </c>
      <c r="B10945">
        <v>522017260</v>
      </c>
      <c r="C10945" s="76">
        <v>2017</v>
      </c>
      <c r="D10945" s="76" t="s">
        <v>34</v>
      </c>
      <c r="E10945" s="76">
        <v>12</v>
      </c>
      <c r="F10945" s="76">
        <v>2.4</v>
      </c>
    </row>
    <row r="10946" s="76" customFormat="1" spans="1:6">
      <c r="A10946">
        <v>11260</v>
      </c>
      <c r="B10946">
        <v>522017260</v>
      </c>
      <c r="C10946" s="76">
        <v>2017</v>
      </c>
      <c r="D10946" s="76" t="s">
        <v>34</v>
      </c>
      <c r="E10946" s="76">
        <v>24</v>
      </c>
      <c r="F10946" s="76">
        <v>4.8</v>
      </c>
    </row>
    <row r="10947" s="76" customFormat="1" spans="1:6">
      <c r="A10947">
        <v>11264</v>
      </c>
      <c r="B10947">
        <v>522017260</v>
      </c>
      <c r="C10947" s="76">
        <v>2017</v>
      </c>
      <c r="D10947" s="76" t="s">
        <v>34</v>
      </c>
      <c r="E10947" s="76">
        <v>21</v>
      </c>
      <c r="F10947" s="76">
        <v>4.83</v>
      </c>
    </row>
    <row r="10948" s="76" customFormat="1" spans="1:6">
      <c r="A10948">
        <v>11262</v>
      </c>
      <c r="B10948">
        <v>522017260</v>
      </c>
      <c r="C10948" s="76">
        <v>2017</v>
      </c>
      <c r="D10948" s="76" t="s">
        <v>34</v>
      </c>
      <c r="E10948" s="76">
        <v>24</v>
      </c>
      <c r="F10948" s="76">
        <v>4.8</v>
      </c>
    </row>
    <row r="10949" s="76" customFormat="1" spans="1:6">
      <c r="A10949">
        <v>11263</v>
      </c>
      <c r="B10949">
        <v>522017260</v>
      </c>
      <c r="C10949" s="76">
        <v>2017</v>
      </c>
      <c r="D10949" s="76" t="s">
        <v>34</v>
      </c>
      <c r="E10949" s="76">
        <v>5</v>
      </c>
      <c r="F10949" s="76">
        <v>1</v>
      </c>
    </row>
    <row r="10950" s="76" customFormat="1" spans="1:6">
      <c r="A10950">
        <v>11261</v>
      </c>
      <c r="B10950">
        <v>522017260</v>
      </c>
      <c r="C10950" s="76">
        <v>2017</v>
      </c>
      <c r="D10950" s="76" t="s">
        <v>34</v>
      </c>
      <c r="E10950" s="76">
        <v>20</v>
      </c>
      <c r="F10950" s="76">
        <v>4</v>
      </c>
    </row>
    <row r="10951" s="76" customFormat="1" spans="1:6">
      <c r="A10951">
        <v>11265</v>
      </c>
      <c r="B10951">
        <v>522017260</v>
      </c>
      <c r="C10951" s="76">
        <v>2017</v>
      </c>
      <c r="D10951" s="76" t="s">
        <v>34</v>
      </c>
      <c r="E10951" s="76">
        <v>25</v>
      </c>
      <c r="F10951" s="76">
        <v>4.95</v>
      </c>
    </row>
    <row r="10952" s="76" customFormat="1" spans="1:6">
      <c r="A10952">
        <v>11258</v>
      </c>
      <c r="B10952">
        <v>522017260</v>
      </c>
      <c r="C10952" s="76">
        <v>2017</v>
      </c>
      <c r="D10952" s="76" t="s">
        <v>34</v>
      </c>
      <c r="E10952" s="76">
        <v>9</v>
      </c>
      <c r="F10952" s="76">
        <v>1.8</v>
      </c>
    </row>
    <row r="10953" s="76" customFormat="1" spans="1:6">
      <c r="A10953">
        <v>11267</v>
      </c>
      <c r="B10953">
        <v>522017270</v>
      </c>
      <c r="C10953" s="76">
        <v>2017</v>
      </c>
      <c r="D10953" s="76" t="s">
        <v>31</v>
      </c>
      <c r="E10953" s="76">
        <v>1</v>
      </c>
      <c r="F10953" s="76">
        <v>13.5</v>
      </c>
    </row>
    <row r="10954" s="76" customFormat="1" spans="1:6">
      <c r="A10954">
        <v>11266</v>
      </c>
      <c r="B10954">
        <v>522017270</v>
      </c>
      <c r="C10954" s="76">
        <v>2017</v>
      </c>
      <c r="D10954" s="76" t="s">
        <v>31</v>
      </c>
      <c r="E10954" s="76" t="s">
        <v>32</v>
      </c>
      <c r="F10954" s="76">
        <v>5</v>
      </c>
    </row>
    <row r="10955" s="76" customFormat="1" spans="1:6">
      <c r="A10955">
        <v>11271</v>
      </c>
      <c r="B10955">
        <v>522018260</v>
      </c>
      <c r="C10955" s="76">
        <v>2018</v>
      </c>
      <c r="D10955" s="76" t="s">
        <v>34</v>
      </c>
      <c r="E10955" s="76">
        <v>2</v>
      </c>
      <c r="F10955" s="76">
        <v>0.4</v>
      </c>
    </row>
    <row r="10956" s="76" customFormat="1" spans="1:6">
      <c r="A10956">
        <v>11269</v>
      </c>
      <c r="B10956">
        <v>522018260</v>
      </c>
      <c r="C10956" s="76">
        <v>2018</v>
      </c>
      <c r="D10956" s="76" t="s">
        <v>34</v>
      </c>
      <c r="E10956" s="76">
        <v>24</v>
      </c>
      <c r="F10956" s="76">
        <v>4.8</v>
      </c>
    </row>
    <row r="10957" s="76" customFormat="1" spans="1:6">
      <c r="A10957">
        <v>11268</v>
      </c>
      <c r="B10957">
        <v>522018260</v>
      </c>
      <c r="C10957" s="76">
        <v>2018</v>
      </c>
      <c r="D10957" s="76" t="s">
        <v>34</v>
      </c>
      <c r="E10957" s="76">
        <v>22</v>
      </c>
      <c r="F10957" s="76">
        <v>4.84</v>
      </c>
    </row>
    <row r="10958" s="76" customFormat="1" spans="1:6">
      <c r="A10958">
        <v>11270</v>
      </c>
      <c r="B10958">
        <v>522018260</v>
      </c>
      <c r="C10958" s="76">
        <v>2018</v>
      </c>
      <c r="D10958" s="76" t="s">
        <v>34</v>
      </c>
      <c r="E10958" s="76">
        <v>24</v>
      </c>
      <c r="F10958" s="76">
        <v>4.8</v>
      </c>
    </row>
    <row r="10959" s="76" customFormat="1" spans="1:6">
      <c r="A10959">
        <v>11273</v>
      </c>
      <c r="B10959">
        <v>522018270</v>
      </c>
      <c r="C10959" s="76">
        <v>2018</v>
      </c>
      <c r="D10959" s="76" t="s">
        <v>31</v>
      </c>
      <c r="E10959" s="76" t="s">
        <v>32</v>
      </c>
      <c r="F10959" s="76">
        <v>5</v>
      </c>
    </row>
    <row r="10960" s="76" customFormat="1" spans="1:6">
      <c r="A10960">
        <v>11274</v>
      </c>
      <c r="B10960">
        <v>522018270</v>
      </c>
      <c r="C10960" s="76">
        <v>2018</v>
      </c>
      <c r="D10960" s="76" t="s">
        <v>31</v>
      </c>
      <c r="E10960" s="76" t="s">
        <v>32</v>
      </c>
      <c r="F10960" s="76">
        <v>3</v>
      </c>
    </row>
    <row r="10961" s="76" customFormat="1" spans="1:6">
      <c r="A10961">
        <v>11272</v>
      </c>
      <c r="B10961">
        <v>522018270</v>
      </c>
      <c r="C10961" s="76">
        <v>2018</v>
      </c>
      <c r="D10961" s="76" t="s">
        <v>31</v>
      </c>
      <c r="E10961" s="76" t="s">
        <v>32</v>
      </c>
      <c r="F10961" s="76">
        <v>3</v>
      </c>
    </row>
    <row r="10962" s="76" customFormat="1" spans="1:6">
      <c r="A10962">
        <v>11275</v>
      </c>
      <c r="B10962">
        <v>522019110</v>
      </c>
      <c r="C10962" s="76">
        <v>2019</v>
      </c>
      <c r="D10962" s="76" t="s">
        <v>40</v>
      </c>
      <c r="E10962" s="76">
        <v>2</v>
      </c>
      <c r="F10962" s="76">
        <v>5.3</v>
      </c>
    </row>
    <row r="10963" s="76" customFormat="1" spans="1:6">
      <c r="A10963">
        <v>11277</v>
      </c>
      <c r="B10963">
        <v>522019211</v>
      </c>
      <c r="C10963" s="76">
        <v>2019</v>
      </c>
      <c r="D10963" s="76" t="s">
        <v>37</v>
      </c>
      <c r="E10963" s="76">
        <v>1</v>
      </c>
      <c r="F10963" s="76">
        <v>66</v>
      </c>
    </row>
    <row r="10964" s="76" customFormat="1" spans="1:6">
      <c r="A10964">
        <v>11276</v>
      </c>
      <c r="B10964">
        <v>522019211</v>
      </c>
      <c r="C10964" s="76">
        <v>2019</v>
      </c>
      <c r="D10964" s="76" t="s">
        <v>37</v>
      </c>
      <c r="E10964" s="76">
        <v>2</v>
      </c>
      <c r="F10964" s="76">
        <v>15</v>
      </c>
    </row>
    <row r="10965" s="76" customFormat="1" spans="1:6">
      <c r="A10965">
        <v>11278</v>
      </c>
      <c r="B10965">
        <v>522019242</v>
      </c>
      <c r="C10965" s="76">
        <v>2019</v>
      </c>
      <c r="D10965" s="76" t="s">
        <v>35</v>
      </c>
      <c r="E10965" s="76">
        <v>2</v>
      </c>
      <c r="F10965" s="76">
        <v>24</v>
      </c>
    </row>
    <row r="10966" s="76" customFormat="1" spans="1:6">
      <c r="A10966">
        <v>11298</v>
      </c>
      <c r="B10966">
        <v>522019260</v>
      </c>
      <c r="C10966" s="76">
        <v>2019</v>
      </c>
      <c r="D10966" s="76" t="s">
        <v>34</v>
      </c>
      <c r="E10966" s="76" t="s">
        <v>32</v>
      </c>
      <c r="F10966" s="76">
        <v>2.64</v>
      </c>
    </row>
    <row r="10967" s="76" customFormat="1" spans="1:6">
      <c r="A10967">
        <v>11279</v>
      </c>
      <c r="B10967">
        <v>522019260</v>
      </c>
      <c r="C10967" s="76">
        <v>2019</v>
      </c>
      <c r="D10967" s="76" t="s">
        <v>34</v>
      </c>
      <c r="E10967" s="76">
        <v>4</v>
      </c>
      <c r="F10967" s="76">
        <v>0.8</v>
      </c>
    </row>
    <row r="10968" s="76" customFormat="1" spans="1:6">
      <c r="A10968">
        <v>11282</v>
      </c>
      <c r="B10968">
        <v>522019260</v>
      </c>
      <c r="C10968" s="76">
        <v>2019</v>
      </c>
      <c r="D10968" s="76" t="s">
        <v>34</v>
      </c>
      <c r="E10968" s="76">
        <v>1</v>
      </c>
      <c r="F10968" s="76">
        <v>0.2</v>
      </c>
    </row>
    <row r="10969" s="76" customFormat="1" spans="1:6">
      <c r="A10969">
        <v>11280</v>
      </c>
      <c r="B10969">
        <v>522019260</v>
      </c>
      <c r="C10969" s="76">
        <v>2019</v>
      </c>
      <c r="D10969" s="76" t="s">
        <v>34</v>
      </c>
      <c r="E10969" s="76">
        <v>1</v>
      </c>
      <c r="F10969" s="76">
        <v>0.2</v>
      </c>
    </row>
    <row r="10970" s="76" customFormat="1" spans="1:6">
      <c r="A10970">
        <v>11286</v>
      </c>
      <c r="B10970">
        <v>522019260</v>
      </c>
      <c r="C10970" s="76">
        <v>2019</v>
      </c>
      <c r="D10970" s="76" t="s">
        <v>34</v>
      </c>
      <c r="E10970" s="76">
        <v>42</v>
      </c>
      <c r="F10970" s="76">
        <v>0.2</v>
      </c>
    </row>
    <row r="10971" s="76" customFormat="1" spans="1:6">
      <c r="A10971">
        <v>11288</v>
      </c>
      <c r="B10971">
        <v>522019260</v>
      </c>
      <c r="C10971" s="76">
        <v>2019</v>
      </c>
      <c r="D10971" s="76" t="s">
        <v>34</v>
      </c>
      <c r="E10971" s="76" t="s">
        <v>32</v>
      </c>
      <c r="F10971" s="76">
        <v>11.43</v>
      </c>
    </row>
    <row r="10972" s="76" customFormat="1" spans="1:6">
      <c r="A10972">
        <v>11292</v>
      </c>
      <c r="B10972">
        <v>522019260</v>
      </c>
      <c r="C10972" s="76">
        <v>2019</v>
      </c>
      <c r="D10972" s="76" t="s">
        <v>34</v>
      </c>
      <c r="E10972" s="76" t="s">
        <v>32</v>
      </c>
      <c r="F10972" s="76">
        <v>4.4</v>
      </c>
    </row>
    <row r="10973" s="76" customFormat="1" spans="1:6">
      <c r="A10973">
        <v>11283</v>
      </c>
      <c r="B10973">
        <v>522019260</v>
      </c>
      <c r="C10973" s="76">
        <v>2019</v>
      </c>
      <c r="D10973" s="76" t="s">
        <v>34</v>
      </c>
      <c r="E10973" s="76">
        <v>18</v>
      </c>
      <c r="F10973" s="76">
        <v>3.96</v>
      </c>
    </row>
    <row r="10974" s="76" customFormat="1" spans="1:6">
      <c r="A10974">
        <v>11281</v>
      </c>
      <c r="B10974">
        <v>522019260</v>
      </c>
      <c r="C10974" s="76">
        <v>2019</v>
      </c>
      <c r="D10974" s="76" t="s">
        <v>34</v>
      </c>
      <c r="E10974" s="76">
        <v>25</v>
      </c>
      <c r="F10974" s="76">
        <v>5</v>
      </c>
    </row>
    <row r="10975" s="76" customFormat="1" spans="1:6">
      <c r="A10975">
        <v>11284</v>
      </c>
      <c r="B10975">
        <v>522019260</v>
      </c>
      <c r="C10975" s="76">
        <v>2019</v>
      </c>
      <c r="D10975" s="76" t="s">
        <v>34</v>
      </c>
      <c r="E10975" s="76">
        <v>19</v>
      </c>
      <c r="F10975" s="76">
        <v>3.8</v>
      </c>
    </row>
    <row r="10976" s="76" customFormat="1" spans="1:6">
      <c r="A10976">
        <v>11285</v>
      </c>
      <c r="B10976">
        <v>522019260</v>
      </c>
      <c r="C10976" s="76">
        <v>2019</v>
      </c>
      <c r="D10976" s="76" t="s">
        <v>34</v>
      </c>
      <c r="E10976" s="76">
        <v>15</v>
      </c>
      <c r="F10976" s="76">
        <v>3.4</v>
      </c>
    </row>
    <row r="10977" s="76" customFormat="1" spans="1:6">
      <c r="A10977">
        <v>11287</v>
      </c>
      <c r="B10977">
        <v>522019260</v>
      </c>
      <c r="C10977" s="76">
        <v>2019</v>
      </c>
      <c r="D10977" s="76" t="s">
        <v>34</v>
      </c>
      <c r="E10977" s="76">
        <v>20</v>
      </c>
      <c r="F10977" s="76">
        <v>4.8</v>
      </c>
    </row>
    <row r="10978" s="76" customFormat="1" spans="1:6">
      <c r="A10978">
        <v>11302</v>
      </c>
      <c r="B10978">
        <v>522019260</v>
      </c>
      <c r="C10978" s="76">
        <v>2019</v>
      </c>
      <c r="D10978" s="76" t="s">
        <v>34</v>
      </c>
      <c r="E10978" s="76" t="s">
        <v>32</v>
      </c>
      <c r="F10978" s="76">
        <v>2.6</v>
      </c>
    </row>
    <row r="10979" s="76" customFormat="1" spans="1:6">
      <c r="A10979">
        <v>11289</v>
      </c>
      <c r="B10979">
        <v>522019260</v>
      </c>
      <c r="C10979" s="76">
        <v>2019</v>
      </c>
      <c r="D10979" s="76" t="s">
        <v>34</v>
      </c>
      <c r="E10979" s="76" t="s">
        <v>32</v>
      </c>
      <c r="F10979" s="76">
        <v>4.8</v>
      </c>
    </row>
    <row r="10980" s="76" customFormat="1" spans="1:6">
      <c r="A10980">
        <v>11293</v>
      </c>
      <c r="B10980">
        <v>522019260</v>
      </c>
      <c r="C10980" s="76">
        <v>2019</v>
      </c>
      <c r="D10980" s="76" t="s">
        <v>34</v>
      </c>
      <c r="E10980" s="76" t="s">
        <v>32</v>
      </c>
      <c r="F10980" s="76">
        <v>0.8</v>
      </c>
    </row>
    <row r="10981" s="76" customFormat="1" spans="1:6">
      <c r="A10981">
        <v>11300</v>
      </c>
      <c r="B10981">
        <v>522019260</v>
      </c>
      <c r="C10981" s="76">
        <v>2019</v>
      </c>
      <c r="D10981" s="76" t="s">
        <v>34</v>
      </c>
      <c r="E10981" s="76" t="s">
        <v>32</v>
      </c>
      <c r="F10981" s="76">
        <v>6.6</v>
      </c>
    </row>
    <row r="10982" s="76" customFormat="1" spans="1:6">
      <c r="A10982">
        <v>11295</v>
      </c>
      <c r="B10982">
        <v>522019260</v>
      </c>
      <c r="C10982" s="76">
        <v>2019</v>
      </c>
      <c r="D10982" s="76" t="s">
        <v>34</v>
      </c>
      <c r="E10982" s="76" t="s">
        <v>32</v>
      </c>
      <c r="F10982" s="76">
        <v>0.2</v>
      </c>
    </row>
    <row r="10983" s="76" customFormat="1" spans="1:6">
      <c r="A10983">
        <v>11291</v>
      </c>
      <c r="B10983">
        <v>522019260</v>
      </c>
      <c r="C10983" s="76">
        <v>2019</v>
      </c>
      <c r="D10983" s="76" t="s">
        <v>34</v>
      </c>
      <c r="E10983" s="76" t="s">
        <v>32</v>
      </c>
      <c r="F10983" s="76">
        <v>8</v>
      </c>
    </row>
    <row r="10984" s="76" customFormat="1" spans="1:6">
      <c r="A10984">
        <v>11303</v>
      </c>
      <c r="B10984">
        <v>522019260</v>
      </c>
      <c r="C10984" s="76">
        <v>2019</v>
      </c>
      <c r="D10984" s="76" t="s">
        <v>34</v>
      </c>
      <c r="E10984" s="76" t="s">
        <v>32</v>
      </c>
      <c r="F10984" s="76">
        <v>0.6</v>
      </c>
    </row>
    <row r="10985" s="76" customFormat="1" spans="1:6">
      <c r="A10985">
        <v>11297</v>
      </c>
      <c r="B10985">
        <v>522019260</v>
      </c>
      <c r="C10985" s="76">
        <v>2019</v>
      </c>
      <c r="D10985" s="76" t="s">
        <v>34</v>
      </c>
      <c r="E10985" s="76" t="s">
        <v>32</v>
      </c>
      <c r="F10985" s="76">
        <v>0.23</v>
      </c>
    </row>
    <row r="10986" s="76" customFormat="1" spans="1:6">
      <c r="A10986">
        <v>11290</v>
      </c>
      <c r="B10986">
        <v>522019260</v>
      </c>
      <c r="C10986" s="76">
        <v>2019</v>
      </c>
      <c r="D10986" s="76" t="s">
        <v>34</v>
      </c>
      <c r="E10986" s="76" t="s">
        <v>32</v>
      </c>
      <c r="F10986" s="76">
        <v>4.8</v>
      </c>
    </row>
    <row r="10987" s="76" customFormat="1" spans="1:6">
      <c r="A10987">
        <v>11299</v>
      </c>
      <c r="B10987">
        <v>522019260</v>
      </c>
      <c r="C10987" s="76">
        <v>2019</v>
      </c>
      <c r="D10987" s="76" t="s">
        <v>34</v>
      </c>
      <c r="E10987" s="76" t="s">
        <v>32</v>
      </c>
      <c r="F10987" s="76">
        <v>0.42</v>
      </c>
    </row>
    <row r="10988" s="76" customFormat="1" spans="1:6">
      <c r="A10988">
        <v>11301</v>
      </c>
      <c r="B10988">
        <v>522019260</v>
      </c>
      <c r="C10988" s="76">
        <v>2019</v>
      </c>
      <c r="D10988" s="76" t="s">
        <v>34</v>
      </c>
      <c r="E10988" s="76" t="s">
        <v>32</v>
      </c>
      <c r="F10988" s="76">
        <v>2.25</v>
      </c>
    </row>
    <row r="10989" s="76" customFormat="1" spans="1:6">
      <c r="A10989">
        <v>11294</v>
      </c>
      <c r="B10989">
        <v>522019260</v>
      </c>
      <c r="C10989" s="76">
        <v>2019</v>
      </c>
      <c r="D10989" s="76" t="s">
        <v>34</v>
      </c>
      <c r="E10989" s="76" t="s">
        <v>32</v>
      </c>
      <c r="F10989" s="76">
        <v>5</v>
      </c>
    </row>
    <row r="10990" s="76" customFormat="1" spans="1:6">
      <c r="A10990">
        <v>11296</v>
      </c>
      <c r="B10990">
        <v>522019260</v>
      </c>
      <c r="C10990" s="76">
        <v>2019</v>
      </c>
      <c r="D10990" s="76" t="s">
        <v>34</v>
      </c>
      <c r="E10990" s="76" t="s">
        <v>32</v>
      </c>
      <c r="F10990" s="76">
        <v>1</v>
      </c>
    </row>
    <row r="10991" s="76" customFormat="1" spans="1:6">
      <c r="A10991">
        <v>11312</v>
      </c>
      <c r="B10991">
        <v>522019270</v>
      </c>
      <c r="C10991" s="76">
        <v>2019</v>
      </c>
      <c r="D10991" s="76" t="s">
        <v>31</v>
      </c>
      <c r="E10991" s="76" t="s">
        <v>32</v>
      </c>
      <c r="F10991" s="76">
        <v>10</v>
      </c>
    </row>
    <row r="10992" s="76" customFormat="1" spans="1:6">
      <c r="A10992">
        <v>11313</v>
      </c>
      <c r="B10992">
        <v>522019270</v>
      </c>
      <c r="C10992" s="76">
        <v>2019</v>
      </c>
      <c r="D10992" s="76" t="s">
        <v>31</v>
      </c>
      <c r="E10992" s="76" t="s">
        <v>32</v>
      </c>
      <c r="F10992" s="76">
        <v>5</v>
      </c>
    </row>
    <row r="10993" s="76" customFormat="1" spans="1:6">
      <c r="A10993">
        <v>11315</v>
      </c>
      <c r="B10993">
        <v>522019270</v>
      </c>
      <c r="C10993" s="76">
        <v>2019</v>
      </c>
      <c r="D10993" s="76" t="s">
        <v>31</v>
      </c>
      <c r="E10993" s="76" t="s">
        <v>32</v>
      </c>
      <c r="F10993" s="76">
        <v>2</v>
      </c>
    </row>
    <row r="10994" s="76" customFormat="1" spans="1:6">
      <c r="A10994">
        <v>11316</v>
      </c>
      <c r="B10994">
        <v>522019270</v>
      </c>
      <c r="C10994" s="76">
        <v>2019</v>
      </c>
      <c r="D10994" s="76" t="s">
        <v>31</v>
      </c>
      <c r="E10994" s="76" t="s">
        <v>32</v>
      </c>
      <c r="F10994" s="76">
        <v>2</v>
      </c>
    </row>
    <row r="10995" s="76" customFormat="1" spans="1:6">
      <c r="A10995">
        <v>11305</v>
      </c>
      <c r="B10995">
        <v>522019270</v>
      </c>
      <c r="C10995" s="76">
        <v>2019</v>
      </c>
      <c r="D10995" s="76" t="s">
        <v>31</v>
      </c>
      <c r="E10995" s="76" t="s">
        <v>32</v>
      </c>
      <c r="F10995" s="76">
        <v>1.87</v>
      </c>
    </row>
    <row r="10996" s="76" customFormat="1" spans="1:6">
      <c r="A10996">
        <v>11306</v>
      </c>
      <c r="B10996">
        <v>522019270</v>
      </c>
      <c r="C10996" s="76">
        <v>2019</v>
      </c>
      <c r="D10996" s="76" t="s">
        <v>31</v>
      </c>
      <c r="E10996" s="76" t="s">
        <v>32</v>
      </c>
      <c r="F10996" s="76">
        <v>8</v>
      </c>
    </row>
    <row r="10997" s="76" customFormat="1" spans="1:6">
      <c r="A10997">
        <v>11309</v>
      </c>
      <c r="B10997">
        <v>522019270</v>
      </c>
      <c r="C10997" s="76">
        <v>2019</v>
      </c>
      <c r="D10997" s="76" t="s">
        <v>31</v>
      </c>
      <c r="E10997" s="76" t="s">
        <v>32</v>
      </c>
      <c r="F10997" s="76">
        <v>2.5</v>
      </c>
    </row>
    <row r="10998" s="76" customFormat="1" spans="1:6">
      <c r="A10998">
        <v>11310</v>
      </c>
      <c r="B10998">
        <v>522019270</v>
      </c>
      <c r="C10998" s="76">
        <v>2019</v>
      </c>
      <c r="D10998" s="76" t="s">
        <v>31</v>
      </c>
      <c r="E10998" s="76" t="s">
        <v>32</v>
      </c>
      <c r="F10998" s="76">
        <v>4</v>
      </c>
    </row>
    <row r="10999" s="76" customFormat="1" spans="1:6">
      <c r="A10999">
        <v>11308</v>
      </c>
      <c r="B10999">
        <v>522019270</v>
      </c>
      <c r="C10999" s="76">
        <v>2019</v>
      </c>
      <c r="D10999" s="76" t="s">
        <v>31</v>
      </c>
      <c r="E10999" s="76" t="s">
        <v>32</v>
      </c>
      <c r="F10999" s="76">
        <v>3</v>
      </c>
    </row>
    <row r="11000" s="76" customFormat="1" spans="1:6">
      <c r="A11000">
        <v>11307</v>
      </c>
      <c r="B11000">
        <v>522019270</v>
      </c>
      <c r="C11000" s="76">
        <v>2019</v>
      </c>
      <c r="D11000" s="76" t="s">
        <v>31</v>
      </c>
      <c r="E11000" s="76" t="s">
        <v>32</v>
      </c>
      <c r="F11000" s="76">
        <v>0.09</v>
      </c>
    </row>
    <row r="11001" s="76" customFormat="1" spans="1:6">
      <c r="A11001">
        <v>11311</v>
      </c>
      <c r="B11001">
        <v>522019270</v>
      </c>
      <c r="C11001" s="76">
        <v>2019</v>
      </c>
      <c r="D11001" s="76" t="s">
        <v>31</v>
      </c>
      <c r="E11001" s="76" t="s">
        <v>32</v>
      </c>
      <c r="F11001" s="76">
        <v>0.82</v>
      </c>
    </row>
    <row r="11002" s="76" customFormat="1" spans="1:6">
      <c r="A11002">
        <v>11304</v>
      </c>
      <c r="B11002">
        <v>522019270</v>
      </c>
      <c r="C11002" s="76">
        <v>2019</v>
      </c>
      <c r="D11002" s="76" t="s">
        <v>31</v>
      </c>
      <c r="E11002" s="76" t="s">
        <v>32</v>
      </c>
      <c r="F11002" s="76">
        <v>3</v>
      </c>
    </row>
    <row r="11003" s="76" customFormat="1" spans="1:6">
      <c r="A11003">
        <v>11314</v>
      </c>
      <c r="B11003">
        <v>522019270</v>
      </c>
      <c r="C11003" s="76">
        <v>2019</v>
      </c>
      <c r="D11003" s="76" t="s">
        <v>31</v>
      </c>
      <c r="E11003" s="76" t="s">
        <v>32</v>
      </c>
      <c r="F11003" s="76">
        <v>3</v>
      </c>
    </row>
    <row r="11004" s="76" customFormat="1" spans="1:6">
      <c r="A11004">
        <v>11317</v>
      </c>
      <c r="B11004">
        <v>522020110</v>
      </c>
      <c r="C11004" s="76">
        <v>2020</v>
      </c>
      <c r="D11004" s="76" t="s">
        <v>40</v>
      </c>
      <c r="E11004" s="76" t="s">
        <v>32</v>
      </c>
      <c r="F11004" s="76">
        <v>4.5</v>
      </c>
    </row>
    <row r="11005" s="76" customFormat="1" spans="1:6">
      <c r="A11005">
        <v>11318</v>
      </c>
      <c r="B11005">
        <v>522020110</v>
      </c>
      <c r="C11005" s="76">
        <v>2020</v>
      </c>
      <c r="D11005" s="76" t="s">
        <v>40</v>
      </c>
      <c r="E11005" s="76" t="s">
        <v>32</v>
      </c>
      <c r="F11005" s="76">
        <v>3.6</v>
      </c>
    </row>
    <row r="11006" s="76" customFormat="1" spans="1:6">
      <c r="A11006">
        <v>11319</v>
      </c>
      <c r="B11006">
        <v>522020110</v>
      </c>
      <c r="C11006" s="76">
        <v>2020</v>
      </c>
      <c r="D11006" s="76" t="s">
        <v>40</v>
      </c>
      <c r="E11006" s="76" t="s">
        <v>32</v>
      </c>
      <c r="F11006" s="76">
        <v>5</v>
      </c>
    </row>
    <row r="11007" s="76" customFormat="1" spans="1:6">
      <c r="A11007">
        <v>11320</v>
      </c>
      <c r="B11007">
        <v>522020242</v>
      </c>
      <c r="C11007" s="76">
        <v>2020</v>
      </c>
      <c r="D11007" s="76" t="s">
        <v>35</v>
      </c>
      <c r="E11007" s="76">
        <v>2</v>
      </c>
      <c r="F11007" s="76">
        <v>2.4</v>
      </c>
    </row>
    <row r="11008" s="76" customFormat="1" spans="1:6">
      <c r="A11008">
        <v>11322</v>
      </c>
      <c r="B11008">
        <v>522020242</v>
      </c>
      <c r="C11008" s="76">
        <v>2020</v>
      </c>
      <c r="D11008" s="76" t="s">
        <v>35</v>
      </c>
      <c r="E11008" s="76" t="s">
        <v>32</v>
      </c>
      <c r="F11008" s="76">
        <v>1.2</v>
      </c>
    </row>
    <row r="11009" s="76" customFormat="1" spans="1:6">
      <c r="A11009">
        <v>11321</v>
      </c>
      <c r="B11009">
        <v>522020242</v>
      </c>
      <c r="C11009" s="76">
        <v>2020</v>
      </c>
      <c r="D11009" s="76" t="s">
        <v>35</v>
      </c>
      <c r="E11009" s="76" t="s">
        <v>32</v>
      </c>
      <c r="F11009" s="76">
        <v>2.4</v>
      </c>
    </row>
    <row r="11010" s="76" customFormat="1" spans="1:6">
      <c r="A11010">
        <v>11337</v>
      </c>
      <c r="B11010">
        <v>522020260</v>
      </c>
      <c r="C11010" s="76">
        <v>2020</v>
      </c>
      <c r="D11010" s="76" t="s">
        <v>34</v>
      </c>
      <c r="E11010" s="76" t="s">
        <v>32</v>
      </c>
      <c r="F11010" s="76">
        <v>0.75</v>
      </c>
    </row>
    <row r="11011" s="76" customFormat="1" spans="1:6">
      <c r="A11011">
        <v>11352</v>
      </c>
      <c r="B11011">
        <v>522020260</v>
      </c>
      <c r="C11011" s="76">
        <v>2020</v>
      </c>
      <c r="D11011" s="76" t="s">
        <v>34</v>
      </c>
      <c r="E11011" s="76" t="s">
        <v>32</v>
      </c>
      <c r="F11011" s="76">
        <v>0.75</v>
      </c>
    </row>
    <row r="11012" s="76" customFormat="1" spans="1:6">
      <c r="A11012">
        <v>11329</v>
      </c>
      <c r="B11012">
        <v>522020260</v>
      </c>
      <c r="C11012" s="76">
        <v>2020</v>
      </c>
      <c r="D11012" s="76" t="s">
        <v>34</v>
      </c>
      <c r="E11012" s="76" t="s">
        <v>32</v>
      </c>
      <c r="F11012" s="76">
        <v>1.32</v>
      </c>
    </row>
    <row r="11013" s="76" customFormat="1" spans="1:6">
      <c r="A11013">
        <v>11349</v>
      </c>
      <c r="B11013">
        <v>522020260</v>
      </c>
      <c r="C11013" s="76">
        <v>2020</v>
      </c>
      <c r="D11013" s="76" t="s">
        <v>34</v>
      </c>
      <c r="E11013" s="76" t="s">
        <v>32</v>
      </c>
      <c r="F11013" s="76">
        <v>1.32</v>
      </c>
    </row>
    <row r="11014" s="76" customFormat="1" spans="1:6">
      <c r="A11014">
        <v>11330</v>
      </c>
      <c r="B11014">
        <v>522020260</v>
      </c>
      <c r="C11014" s="76">
        <v>2020</v>
      </c>
      <c r="D11014" s="76" t="s">
        <v>34</v>
      </c>
      <c r="E11014" s="76" t="s">
        <v>32</v>
      </c>
      <c r="F11014" s="76">
        <v>0.5</v>
      </c>
    </row>
    <row r="11015" s="76" customFormat="1" spans="1:6">
      <c r="A11015">
        <v>11350</v>
      </c>
      <c r="B11015">
        <v>522020260</v>
      </c>
      <c r="C11015" s="76">
        <v>2020</v>
      </c>
      <c r="D11015" s="76" t="s">
        <v>34</v>
      </c>
      <c r="E11015" s="76" t="s">
        <v>32</v>
      </c>
      <c r="F11015" s="76">
        <v>5</v>
      </c>
    </row>
    <row r="11016" s="76" customFormat="1" spans="1:6">
      <c r="A11016">
        <v>11324</v>
      </c>
      <c r="B11016">
        <v>522020260</v>
      </c>
      <c r="C11016" s="76">
        <v>2020</v>
      </c>
      <c r="D11016" s="76" t="s">
        <v>34</v>
      </c>
      <c r="E11016" s="76">
        <v>3</v>
      </c>
      <c r="F11016" s="76">
        <v>0.6</v>
      </c>
    </row>
    <row r="11017" s="76" customFormat="1" spans="1:6">
      <c r="A11017">
        <v>11326</v>
      </c>
      <c r="B11017">
        <v>522020260</v>
      </c>
      <c r="C11017" s="76">
        <v>2020</v>
      </c>
      <c r="D11017" s="76" t="s">
        <v>34</v>
      </c>
      <c r="E11017" s="76">
        <v>16</v>
      </c>
      <c r="F11017" s="76">
        <v>4.8</v>
      </c>
    </row>
    <row r="11018" s="76" customFormat="1" spans="1:6">
      <c r="A11018">
        <v>11325</v>
      </c>
      <c r="B11018">
        <v>522020260</v>
      </c>
      <c r="C11018" s="76">
        <v>2020</v>
      </c>
      <c r="D11018" s="76" t="s">
        <v>34</v>
      </c>
      <c r="E11018" s="76">
        <v>19</v>
      </c>
      <c r="F11018" s="76">
        <v>4.6</v>
      </c>
    </row>
    <row r="11019" s="76" customFormat="1" spans="1:6">
      <c r="A11019">
        <v>11341</v>
      </c>
      <c r="B11019">
        <v>522020260</v>
      </c>
      <c r="C11019" s="76">
        <v>2020</v>
      </c>
      <c r="D11019" s="76" t="s">
        <v>34</v>
      </c>
      <c r="E11019" s="76">
        <v>36</v>
      </c>
      <c r="F11019" s="76">
        <v>0.23</v>
      </c>
    </row>
    <row r="11020" s="76" customFormat="1" spans="1:6">
      <c r="A11020">
        <v>11331</v>
      </c>
      <c r="B11020">
        <v>522020260</v>
      </c>
      <c r="C11020" s="76">
        <v>2020</v>
      </c>
      <c r="D11020" s="76" t="s">
        <v>34</v>
      </c>
      <c r="E11020" s="76" t="s">
        <v>32</v>
      </c>
      <c r="F11020" s="76">
        <v>2.4</v>
      </c>
    </row>
    <row r="11021" s="76" customFormat="1" spans="1:6">
      <c r="A11021">
        <v>11351</v>
      </c>
      <c r="B11021">
        <v>522020260</v>
      </c>
      <c r="C11021" s="76">
        <v>2020</v>
      </c>
      <c r="D11021" s="76" t="s">
        <v>34</v>
      </c>
      <c r="E11021" s="76" t="s">
        <v>32</v>
      </c>
      <c r="F11021" s="76">
        <v>2.4</v>
      </c>
    </row>
    <row r="11022" s="76" customFormat="1" spans="1:6">
      <c r="A11022">
        <v>11340</v>
      </c>
      <c r="B11022">
        <v>522020260</v>
      </c>
      <c r="C11022" s="76">
        <v>2020</v>
      </c>
      <c r="D11022" s="76" t="s">
        <v>34</v>
      </c>
      <c r="E11022" s="76">
        <v>7</v>
      </c>
      <c r="F11022" s="76">
        <v>2.24</v>
      </c>
    </row>
    <row r="11023" s="76" customFormat="1" spans="1:6">
      <c r="A11023">
        <v>11348</v>
      </c>
      <c r="B11023">
        <v>522020260</v>
      </c>
      <c r="C11023" s="76">
        <v>2020</v>
      </c>
      <c r="D11023" s="76" t="s">
        <v>34</v>
      </c>
      <c r="E11023" s="76" t="s">
        <v>32</v>
      </c>
      <c r="F11023" s="76">
        <v>1.64</v>
      </c>
    </row>
    <row r="11024" s="76" customFormat="1" spans="1:6">
      <c r="A11024">
        <v>11358</v>
      </c>
      <c r="B11024">
        <v>522020260</v>
      </c>
      <c r="C11024" s="76">
        <v>2020</v>
      </c>
      <c r="D11024" s="76" t="s">
        <v>34</v>
      </c>
      <c r="E11024" s="76" t="s">
        <v>32</v>
      </c>
      <c r="F11024" s="76">
        <v>4.8</v>
      </c>
    </row>
    <row r="11025" s="76" customFormat="1" spans="1:6">
      <c r="A11025">
        <v>11362</v>
      </c>
      <c r="B11025">
        <v>522020260</v>
      </c>
      <c r="C11025" s="76">
        <v>2020</v>
      </c>
      <c r="D11025" s="76" t="s">
        <v>34</v>
      </c>
      <c r="E11025" s="76" t="s">
        <v>32</v>
      </c>
      <c r="F11025" s="76">
        <v>5</v>
      </c>
    </row>
    <row r="11026" s="76" customFormat="1" spans="1:6">
      <c r="A11026">
        <v>11335</v>
      </c>
      <c r="B11026">
        <v>522020260</v>
      </c>
      <c r="C11026" s="76">
        <v>2020</v>
      </c>
      <c r="D11026" s="76" t="s">
        <v>34</v>
      </c>
      <c r="E11026" s="76">
        <v>19</v>
      </c>
      <c r="F11026" s="76">
        <v>4.75</v>
      </c>
    </row>
    <row r="11027" s="76" customFormat="1" spans="1:6">
      <c r="A11027">
        <v>11334</v>
      </c>
      <c r="B11027">
        <v>522020260</v>
      </c>
      <c r="C11027" s="76">
        <v>2020</v>
      </c>
      <c r="D11027" s="76" t="s">
        <v>34</v>
      </c>
      <c r="E11027" s="76">
        <v>19</v>
      </c>
      <c r="F11027" s="76">
        <v>4.75</v>
      </c>
    </row>
    <row r="11028" s="76" customFormat="1" spans="1:6">
      <c r="A11028">
        <v>11333</v>
      </c>
      <c r="B11028">
        <v>522020260</v>
      </c>
      <c r="C11028" s="76">
        <v>2020</v>
      </c>
      <c r="D11028" s="76" t="s">
        <v>34</v>
      </c>
      <c r="E11028" s="76">
        <v>17</v>
      </c>
      <c r="F11028" s="76">
        <v>5</v>
      </c>
    </row>
    <row r="11029" s="76" customFormat="1" spans="1:6">
      <c r="A11029">
        <v>11336</v>
      </c>
      <c r="B11029">
        <v>522020260</v>
      </c>
      <c r="C11029" s="76">
        <v>2020</v>
      </c>
      <c r="D11029" s="76" t="s">
        <v>34</v>
      </c>
      <c r="E11029" s="76">
        <v>25</v>
      </c>
      <c r="F11029" s="76">
        <v>5</v>
      </c>
    </row>
    <row r="11030" s="76" customFormat="1" spans="1:6">
      <c r="A11030">
        <v>11360</v>
      </c>
      <c r="B11030">
        <v>522020260</v>
      </c>
      <c r="C11030" s="76">
        <v>2020</v>
      </c>
      <c r="D11030" s="76" t="s">
        <v>34</v>
      </c>
      <c r="E11030" s="76" t="s">
        <v>32</v>
      </c>
      <c r="F11030" s="76">
        <v>4.75</v>
      </c>
    </row>
    <row r="11031" s="76" customFormat="1" spans="1:6">
      <c r="A11031">
        <v>11344</v>
      </c>
      <c r="B11031">
        <v>522020260</v>
      </c>
      <c r="C11031" s="76">
        <v>2020</v>
      </c>
      <c r="D11031" s="76" t="s">
        <v>34</v>
      </c>
      <c r="E11031" s="76" t="s">
        <v>32</v>
      </c>
      <c r="F11031" s="76">
        <v>4.95</v>
      </c>
    </row>
    <row r="11032" s="76" customFormat="1" spans="1:6">
      <c r="A11032">
        <v>11357</v>
      </c>
      <c r="B11032">
        <v>522020260</v>
      </c>
      <c r="C11032" s="76">
        <v>2020</v>
      </c>
      <c r="D11032" s="76" t="s">
        <v>34</v>
      </c>
      <c r="E11032" s="76" t="s">
        <v>32</v>
      </c>
      <c r="F11032" s="76">
        <v>4.52</v>
      </c>
    </row>
    <row r="11033" s="76" customFormat="1" spans="1:6">
      <c r="A11033">
        <v>11338</v>
      </c>
      <c r="B11033">
        <v>522020260</v>
      </c>
      <c r="C11033" s="76">
        <v>2020</v>
      </c>
      <c r="D11033" s="76" t="s">
        <v>34</v>
      </c>
      <c r="E11033" s="76" t="s">
        <v>32</v>
      </c>
      <c r="F11033" s="76">
        <v>8.75</v>
      </c>
    </row>
    <row r="11034" s="76" customFormat="1" spans="1:6">
      <c r="A11034">
        <v>11353</v>
      </c>
      <c r="B11034">
        <v>522020260</v>
      </c>
      <c r="C11034" s="76">
        <v>2020</v>
      </c>
      <c r="D11034" s="76" t="s">
        <v>34</v>
      </c>
      <c r="E11034" s="76" t="s">
        <v>32</v>
      </c>
      <c r="F11034" s="76">
        <v>4.6</v>
      </c>
    </row>
    <row r="11035" s="76" customFormat="1" spans="1:6">
      <c r="A11035">
        <v>11346</v>
      </c>
      <c r="B11035">
        <v>522020260</v>
      </c>
      <c r="C11035" s="76">
        <v>2020</v>
      </c>
      <c r="D11035" s="76" t="s">
        <v>34</v>
      </c>
      <c r="E11035" s="76" t="s">
        <v>32</v>
      </c>
      <c r="F11035" s="76">
        <v>4.75</v>
      </c>
    </row>
    <row r="11036" s="76" customFormat="1" spans="1:6">
      <c r="A11036">
        <v>11354</v>
      </c>
      <c r="B11036">
        <v>522020260</v>
      </c>
      <c r="C11036" s="76">
        <v>2020</v>
      </c>
      <c r="D11036" s="76" t="s">
        <v>34</v>
      </c>
      <c r="E11036" s="76" t="s">
        <v>32</v>
      </c>
      <c r="F11036" s="76">
        <v>3.76</v>
      </c>
    </row>
    <row r="11037" s="76" customFormat="1" spans="1:6">
      <c r="A11037">
        <v>11332</v>
      </c>
      <c r="B11037">
        <v>522020260</v>
      </c>
      <c r="C11037" s="76">
        <v>2020</v>
      </c>
      <c r="D11037" s="76" t="s">
        <v>34</v>
      </c>
      <c r="E11037" s="76">
        <v>2</v>
      </c>
      <c r="F11037" s="76">
        <v>0.6</v>
      </c>
    </row>
    <row r="11038" s="76" customFormat="1" spans="1:6">
      <c r="A11038">
        <v>11327</v>
      </c>
      <c r="B11038">
        <v>522020260</v>
      </c>
      <c r="C11038" s="76">
        <v>2020</v>
      </c>
      <c r="D11038" s="76" t="s">
        <v>34</v>
      </c>
      <c r="E11038" s="76">
        <v>18</v>
      </c>
      <c r="F11038" s="76">
        <v>3.6</v>
      </c>
    </row>
    <row r="11039" s="76" customFormat="1" spans="1:6">
      <c r="A11039">
        <v>11355</v>
      </c>
      <c r="B11039">
        <v>522020260</v>
      </c>
      <c r="C11039" s="76">
        <v>2020</v>
      </c>
      <c r="D11039" s="76" t="s">
        <v>34</v>
      </c>
      <c r="E11039" s="76" t="s">
        <v>32</v>
      </c>
      <c r="F11039" s="76">
        <v>4</v>
      </c>
    </row>
    <row r="11040" s="76" customFormat="1" spans="1:6">
      <c r="A11040">
        <v>11363</v>
      </c>
      <c r="B11040">
        <v>522020260</v>
      </c>
      <c r="C11040" s="76">
        <v>2020</v>
      </c>
      <c r="D11040" s="76" t="s">
        <v>34</v>
      </c>
      <c r="E11040" s="76" t="s">
        <v>32</v>
      </c>
      <c r="F11040" s="76">
        <v>4</v>
      </c>
    </row>
    <row r="11041" s="76" customFormat="1" spans="1:6">
      <c r="A11041">
        <v>11328</v>
      </c>
      <c r="B11041">
        <v>522020260</v>
      </c>
      <c r="C11041" s="76">
        <v>2020</v>
      </c>
      <c r="D11041" s="76" t="s">
        <v>34</v>
      </c>
      <c r="E11041" s="76">
        <v>1</v>
      </c>
      <c r="F11041" s="76">
        <v>0.25</v>
      </c>
    </row>
    <row r="11042" s="76" customFormat="1" spans="1:6">
      <c r="A11042">
        <v>11339</v>
      </c>
      <c r="B11042">
        <v>522020260</v>
      </c>
      <c r="C11042" s="76">
        <v>2020</v>
      </c>
      <c r="D11042" s="76" t="s">
        <v>34</v>
      </c>
      <c r="E11042" s="76" t="s">
        <v>32</v>
      </c>
      <c r="F11042" s="76">
        <v>1.35</v>
      </c>
    </row>
    <row r="11043" s="76" customFormat="1" spans="1:6">
      <c r="A11043">
        <v>11323</v>
      </c>
      <c r="B11043">
        <v>522020260</v>
      </c>
      <c r="C11043" s="76">
        <v>2020</v>
      </c>
      <c r="D11043" s="76" t="s">
        <v>34</v>
      </c>
      <c r="E11043" s="76">
        <v>22</v>
      </c>
      <c r="F11043" s="76">
        <v>4.4</v>
      </c>
    </row>
    <row r="11044" s="76" customFormat="1" spans="1:6">
      <c r="A11044">
        <v>11343</v>
      </c>
      <c r="B11044">
        <v>522020260</v>
      </c>
      <c r="C11044" s="76">
        <v>2020</v>
      </c>
      <c r="D11044" s="76" t="s">
        <v>34</v>
      </c>
      <c r="E11044" s="76" t="s">
        <v>32</v>
      </c>
      <c r="F11044" s="76">
        <v>4.75</v>
      </c>
    </row>
    <row r="11045" s="76" customFormat="1" spans="1:6">
      <c r="A11045">
        <v>11361</v>
      </c>
      <c r="B11045">
        <v>522020260</v>
      </c>
      <c r="C11045" s="76">
        <v>2020</v>
      </c>
      <c r="D11045" s="76" t="s">
        <v>34</v>
      </c>
      <c r="E11045" s="76" t="s">
        <v>32</v>
      </c>
      <c r="F11045" s="76">
        <v>5</v>
      </c>
    </row>
    <row r="11046" s="76" customFormat="1" spans="1:6">
      <c r="A11046">
        <v>11345</v>
      </c>
      <c r="B11046">
        <v>522020260</v>
      </c>
      <c r="C11046" s="76">
        <v>2020</v>
      </c>
      <c r="D11046" s="76" t="s">
        <v>34</v>
      </c>
      <c r="E11046" s="76" t="s">
        <v>32</v>
      </c>
      <c r="F11046" s="76">
        <v>4.8</v>
      </c>
    </row>
    <row r="11047" s="76" customFormat="1" spans="1:6">
      <c r="A11047">
        <v>11356</v>
      </c>
      <c r="B11047">
        <v>522020260</v>
      </c>
      <c r="C11047" s="76">
        <v>2020</v>
      </c>
      <c r="D11047" s="76" t="s">
        <v>34</v>
      </c>
      <c r="E11047" s="76" t="s">
        <v>32</v>
      </c>
      <c r="F11047" s="76">
        <v>4.8</v>
      </c>
    </row>
    <row r="11048" s="76" customFormat="1" spans="1:6">
      <c r="A11048">
        <v>11359</v>
      </c>
      <c r="B11048">
        <v>522020260</v>
      </c>
      <c r="C11048" s="76">
        <v>2020</v>
      </c>
      <c r="D11048" s="76" t="s">
        <v>34</v>
      </c>
      <c r="E11048" s="76" t="s">
        <v>32</v>
      </c>
      <c r="F11048" s="76">
        <v>5</v>
      </c>
    </row>
    <row r="11049" s="76" customFormat="1" spans="1:6">
      <c r="A11049">
        <v>11347</v>
      </c>
      <c r="B11049">
        <v>522020260</v>
      </c>
      <c r="C11049" s="76">
        <v>2020</v>
      </c>
      <c r="D11049" s="76" t="s">
        <v>34</v>
      </c>
      <c r="E11049" s="76" t="s">
        <v>32</v>
      </c>
      <c r="F11049" s="76">
        <v>5</v>
      </c>
    </row>
    <row r="11050" s="76" customFormat="1" spans="1:6">
      <c r="A11050">
        <v>11342</v>
      </c>
      <c r="B11050">
        <v>522020260</v>
      </c>
      <c r="C11050" s="76">
        <v>2020</v>
      </c>
      <c r="D11050" s="76" t="s">
        <v>34</v>
      </c>
      <c r="E11050" s="76" t="s">
        <v>32</v>
      </c>
      <c r="F11050" s="76">
        <v>7.87</v>
      </c>
    </row>
    <row r="11051" s="76" customFormat="1" spans="1:6">
      <c r="A11051">
        <v>11375</v>
      </c>
      <c r="B11051">
        <v>522020270</v>
      </c>
      <c r="C11051" s="76">
        <v>2020</v>
      </c>
      <c r="D11051" s="76" t="s">
        <v>31</v>
      </c>
      <c r="E11051" s="76" t="s">
        <v>32</v>
      </c>
      <c r="F11051" s="76">
        <v>7</v>
      </c>
    </row>
    <row r="11052" s="76" customFormat="1" spans="1:6">
      <c r="A11052">
        <v>11377</v>
      </c>
      <c r="B11052">
        <v>522020270</v>
      </c>
      <c r="C11052" s="76">
        <v>2020</v>
      </c>
      <c r="D11052" s="76" t="s">
        <v>31</v>
      </c>
      <c r="E11052" s="76" t="s">
        <v>32</v>
      </c>
      <c r="F11052" s="76">
        <v>7</v>
      </c>
    </row>
    <row r="11053" s="76" customFormat="1" spans="1:6">
      <c r="A11053">
        <v>11378</v>
      </c>
      <c r="B11053">
        <v>522020270</v>
      </c>
      <c r="C11053" s="76">
        <v>2020</v>
      </c>
      <c r="D11053" s="76" t="s">
        <v>31</v>
      </c>
      <c r="E11053" s="76" t="s">
        <v>32</v>
      </c>
      <c r="F11053" s="76">
        <v>8</v>
      </c>
    </row>
    <row r="11054" s="76" customFormat="1" spans="1:6">
      <c r="A11054">
        <v>11379</v>
      </c>
      <c r="B11054">
        <v>522020270</v>
      </c>
      <c r="C11054" s="76">
        <v>2020</v>
      </c>
      <c r="D11054" s="76" t="s">
        <v>31</v>
      </c>
      <c r="E11054" s="76" t="s">
        <v>32</v>
      </c>
      <c r="F11054" s="76">
        <v>2</v>
      </c>
    </row>
    <row r="11055" s="76" customFormat="1" spans="1:6">
      <c r="A11055">
        <v>11369</v>
      </c>
      <c r="B11055">
        <v>522020270</v>
      </c>
      <c r="C11055" s="76">
        <v>2020</v>
      </c>
      <c r="D11055" s="76" t="s">
        <v>31</v>
      </c>
      <c r="E11055" s="76" t="s">
        <v>32</v>
      </c>
      <c r="F11055" s="76">
        <v>6.13</v>
      </c>
    </row>
    <row r="11056" s="76" customFormat="1" spans="1:6">
      <c r="A11056">
        <v>11367</v>
      </c>
      <c r="B11056">
        <v>522020270</v>
      </c>
      <c r="C11056" s="76">
        <v>2020</v>
      </c>
      <c r="D11056" s="76" t="s">
        <v>31</v>
      </c>
      <c r="E11056" s="76" t="s">
        <v>32</v>
      </c>
      <c r="F11056" s="76">
        <v>6</v>
      </c>
    </row>
    <row r="11057" s="76" customFormat="1" spans="1:6">
      <c r="A11057">
        <v>11368</v>
      </c>
      <c r="B11057">
        <v>522020270</v>
      </c>
      <c r="C11057" s="76">
        <v>2020</v>
      </c>
      <c r="D11057" s="76" t="s">
        <v>31</v>
      </c>
      <c r="E11057" s="76" t="s">
        <v>32</v>
      </c>
      <c r="F11057" s="76">
        <v>4</v>
      </c>
    </row>
    <row r="11058" s="76" customFormat="1" spans="1:6">
      <c r="A11058">
        <v>11366</v>
      </c>
      <c r="B11058">
        <v>522020270</v>
      </c>
      <c r="C11058" s="76">
        <v>2020</v>
      </c>
      <c r="D11058" s="76" t="s">
        <v>31</v>
      </c>
      <c r="E11058" s="76" t="s">
        <v>32</v>
      </c>
      <c r="F11058" s="76">
        <v>20</v>
      </c>
    </row>
    <row r="11059" s="76" customFormat="1" spans="1:6">
      <c r="A11059">
        <v>11374</v>
      </c>
      <c r="B11059">
        <v>522020270</v>
      </c>
      <c r="C11059" s="76">
        <v>2020</v>
      </c>
      <c r="D11059" s="76" t="s">
        <v>31</v>
      </c>
      <c r="E11059" s="76" t="s">
        <v>32</v>
      </c>
      <c r="F11059" s="76">
        <v>30</v>
      </c>
    </row>
    <row r="11060" s="76" customFormat="1" spans="1:6">
      <c r="A11060">
        <v>11371</v>
      </c>
      <c r="B11060">
        <v>522020270</v>
      </c>
      <c r="C11060" s="76">
        <v>2020</v>
      </c>
      <c r="D11060" s="76" t="s">
        <v>31</v>
      </c>
      <c r="E11060" s="76" t="s">
        <v>32</v>
      </c>
      <c r="F11060" s="76">
        <v>30</v>
      </c>
    </row>
    <row r="11061" s="76" customFormat="1" spans="1:6">
      <c r="A11061">
        <v>11372</v>
      </c>
      <c r="B11061">
        <v>522020270</v>
      </c>
      <c r="C11061" s="76">
        <v>2020</v>
      </c>
      <c r="D11061" s="76" t="s">
        <v>31</v>
      </c>
      <c r="E11061" s="76" t="s">
        <v>32</v>
      </c>
      <c r="F11061" s="76">
        <v>15</v>
      </c>
    </row>
    <row r="11062" s="76" customFormat="1" spans="1:6">
      <c r="A11062">
        <v>11380</v>
      </c>
      <c r="B11062">
        <v>522020270</v>
      </c>
      <c r="C11062" s="76">
        <v>2020</v>
      </c>
      <c r="D11062" s="76" t="s">
        <v>31</v>
      </c>
      <c r="E11062" s="76" t="s">
        <v>32</v>
      </c>
      <c r="F11062" s="76">
        <v>3</v>
      </c>
    </row>
    <row r="11063" s="76" customFormat="1" spans="1:6">
      <c r="A11063">
        <v>11382</v>
      </c>
      <c r="B11063">
        <v>522020270</v>
      </c>
      <c r="C11063" s="76">
        <v>2020</v>
      </c>
      <c r="D11063" s="76" t="s">
        <v>31</v>
      </c>
      <c r="E11063" s="76" t="s">
        <v>32</v>
      </c>
      <c r="F11063" s="76">
        <v>15</v>
      </c>
    </row>
    <row r="11064" s="76" customFormat="1" spans="1:6">
      <c r="A11064">
        <v>11387</v>
      </c>
      <c r="B11064">
        <v>522020270</v>
      </c>
      <c r="C11064" s="76">
        <v>2020</v>
      </c>
      <c r="D11064" s="76" t="s">
        <v>31</v>
      </c>
      <c r="E11064" s="76" t="s">
        <v>32</v>
      </c>
      <c r="F11064" s="76">
        <v>8</v>
      </c>
    </row>
    <row r="11065" s="76" customFormat="1" spans="1:6">
      <c r="A11065">
        <v>11376</v>
      </c>
      <c r="B11065">
        <v>522020270</v>
      </c>
      <c r="C11065" s="76">
        <v>2020</v>
      </c>
      <c r="D11065" s="76" t="s">
        <v>31</v>
      </c>
      <c r="E11065" s="76" t="s">
        <v>32</v>
      </c>
      <c r="F11065" s="76">
        <v>15</v>
      </c>
    </row>
    <row r="11066" s="76" customFormat="1" spans="1:6">
      <c r="A11066">
        <v>11381</v>
      </c>
      <c r="B11066">
        <v>522020270</v>
      </c>
      <c r="C11066" s="76">
        <v>2020</v>
      </c>
      <c r="D11066" s="76" t="s">
        <v>31</v>
      </c>
      <c r="E11066" s="76" t="s">
        <v>32</v>
      </c>
      <c r="F11066" s="76">
        <v>10</v>
      </c>
    </row>
    <row r="11067" s="76" customFormat="1" spans="1:6">
      <c r="A11067">
        <v>11373</v>
      </c>
      <c r="B11067">
        <v>522020270</v>
      </c>
      <c r="C11067" s="76">
        <v>2020</v>
      </c>
      <c r="D11067" s="76" t="s">
        <v>31</v>
      </c>
      <c r="E11067" s="76" t="s">
        <v>32</v>
      </c>
      <c r="F11067" s="76">
        <v>8</v>
      </c>
    </row>
    <row r="11068" s="76" customFormat="1" spans="1:6">
      <c r="A11068">
        <v>11390</v>
      </c>
      <c r="B11068">
        <v>522020270</v>
      </c>
      <c r="C11068" s="76">
        <v>2020</v>
      </c>
      <c r="D11068" s="76" t="s">
        <v>31</v>
      </c>
      <c r="E11068" s="76" t="s">
        <v>32</v>
      </c>
      <c r="F11068" s="76">
        <v>7</v>
      </c>
    </row>
    <row r="11069" s="76" customFormat="1" spans="1:6">
      <c r="A11069">
        <v>11386</v>
      </c>
      <c r="B11069">
        <v>522020270</v>
      </c>
      <c r="C11069" s="76">
        <v>2020</v>
      </c>
      <c r="D11069" s="76" t="s">
        <v>31</v>
      </c>
      <c r="E11069" s="76" t="s">
        <v>32</v>
      </c>
      <c r="F11069" s="76">
        <v>10</v>
      </c>
    </row>
    <row r="11070" s="76" customFormat="1" spans="1:6">
      <c r="A11070">
        <v>11370</v>
      </c>
      <c r="B11070">
        <v>522020270</v>
      </c>
      <c r="C11070" s="76">
        <v>2020</v>
      </c>
      <c r="D11070" s="76" t="s">
        <v>31</v>
      </c>
      <c r="E11070" s="76" t="s">
        <v>32</v>
      </c>
      <c r="F11070" s="76">
        <v>30</v>
      </c>
    </row>
    <row r="11071" s="76" customFormat="1" spans="1:6">
      <c r="A11071">
        <v>11388</v>
      </c>
      <c r="B11071">
        <v>522020270</v>
      </c>
      <c r="C11071" s="76">
        <v>2020</v>
      </c>
      <c r="D11071" s="76" t="s">
        <v>31</v>
      </c>
      <c r="E11071" s="76" t="s">
        <v>32</v>
      </c>
      <c r="F11071" s="76">
        <v>8</v>
      </c>
    </row>
    <row r="11072" s="76" customFormat="1" spans="1:6">
      <c r="A11072">
        <v>11383</v>
      </c>
      <c r="B11072">
        <v>522020270</v>
      </c>
      <c r="C11072" s="76">
        <v>2020</v>
      </c>
      <c r="D11072" s="76" t="s">
        <v>31</v>
      </c>
      <c r="E11072" s="76" t="s">
        <v>32</v>
      </c>
      <c r="F11072" s="76">
        <v>13</v>
      </c>
    </row>
    <row r="11073" s="76" customFormat="1" spans="1:6">
      <c r="A11073">
        <v>11385</v>
      </c>
      <c r="B11073">
        <v>522020270</v>
      </c>
      <c r="C11073" s="76">
        <v>2020</v>
      </c>
      <c r="D11073" s="76" t="s">
        <v>31</v>
      </c>
      <c r="E11073" s="76" t="s">
        <v>32</v>
      </c>
      <c r="F11073" s="76">
        <v>4</v>
      </c>
    </row>
    <row r="11074" s="76" customFormat="1" spans="1:6">
      <c r="A11074">
        <v>11365</v>
      </c>
      <c r="B11074">
        <v>522020270</v>
      </c>
      <c r="C11074" s="76">
        <v>2020</v>
      </c>
      <c r="D11074" s="76" t="s">
        <v>31</v>
      </c>
      <c r="E11074" s="76" t="s">
        <v>32</v>
      </c>
      <c r="F11074" s="76">
        <v>3</v>
      </c>
    </row>
    <row r="11075" s="76" customFormat="1" spans="1:6">
      <c r="A11075">
        <v>11364</v>
      </c>
      <c r="B11075">
        <v>522020270</v>
      </c>
      <c r="C11075" s="76">
        <v>2020</v>
      </c>
      <c r="D11075" s="76" t="s">
        <v>31</v>
      </c>
      <c r="E11075" s="76" t="s">
        <v>32</v>
      </c>
      <c r="F11075" s="76">
        <v>2.85</v>
      </c>
    </row>
    <row r="11076" s="76" customFormat="1" spans="1:6">
      <c r="A11076">
        <v>11389</v>
      </c>
      <c r="B11076">
        <v>522020270</v>
      </c>
      <c r="C11076" s="76">
        <v>2020</v>
      </c>
      <c r="D11076" s="76" t="s">
        <v>31</v>
      </c>
      <c r="E11076" s="76" t="s">
        <v>32</v>
      </c>
      <c r="F11076" s="76">
        <v>7</v>
      </c>
    </row>
    <row r="11077" s="76" customFormat="1" spans="1:6">
      <c r="A11077">
        <v>11391</v>
      </c>
      <c r="B11077">
        <v>522020270</v>
      </c>
      <c r="C11077" s="76">
        <v>2020</v>
      </c>
      <c r="D11077" s="76" t="s">
        <v>31</v>
      </c>
      <c r="E11077" s="76" t="s">
        <v>32</v>
      </c>
      <c r="F11077" s="76">
        <v>5</v>
      </c>
    </row>
    <row r="11078" s="76" customFormat="1" spans="1:6">
      <c r="A11078">
        <v>11392</v>
      </c>
      <c r="B11078">
        <v>522021110</v>
      </c>
      <c r="C11078" s="76">
        <v>2021</v>
      </c>
      <c r="D11078" s="76" t="s">
        <v>40</v>
      </c>
      <c r="E11078" s="76" t="s">
        <v>32</v>
      </c>
      <c r="F11078" s="76">
        <v>2</v>
      </c>
    </row>
    <row r="11079" s="76" customFormat="1" spans="1:6">
      <c r="A11079">
        <v>11393</v>
      </c>
      <c r="B11079">
        <v>522021221</v>
      </c>
      <c r="C11079" s="76">
        <v>2021</v>
      </c>
      <c r="D11079" s="76" t="s">
        <v>30</v>
      </c>
      <c r="E11079" s="76" t="s">
        <v>32</v>
      </c>
      <c r="F11079" s="76">
        <v>5.63</v>
      </c>
    </row>
    <row r="11080" s="76" customFormat="1" spans="1:6">
      <c r="A11080">
        <v>11397</v>
      </c>
      <c r="B11080">
        <v>522021242</v>
      </c>
      <c r="C11080" s="76">
        <v>2021</v>
      </c>
      <c r="D11080" s="76" t="s">
        <v>35</v>
      </c>
      <c r="E11080" s="76" t="s">
        <v>32</v>
      </c>
      <c r="F11080" s="76">
        <v>1.5</v>
      </c>
    </row>
    <row r="11081" s="76" customFormat="1" spans="1:6">
      <c r="A11081">
        <v>11394</v>
      </c>
      <c r="B11081">
        <v>522021242</v>
      </c>
      <c r="C11081" s="76">
        <v>2021</v>
      </c>
      <c r="D11081" s="76" t="s">
        <v>35</v>
      </c>
      <c r="E11081" s="76" t="s">
        <v>32</v>
      </c>
      <c r="F11081" s="76">
        <v>0.9</v>
      </c>
    </row>
    <row r="11082" s="76" customFormat="1" spans="1:6">
      <c r="A11082">
        <v>11398</v>
      </c>
      <c r="B11082">
        <v>522021242</v>
      </c>
      <c r="C11082" s="76">
        <v>2021</v>
      </c>
      <c r="D11082" s="76" t="s">
        <v>35</v>
      </c>
      <c r="E11082" s="76" t="s">
        <v>32</v>
      </c>
      <c r="F11082" s="76">
        <v>2.2</v>
      </c>
    </row>
    <row r="11083" s="76" customFormat="1" spans="1:6">
      <c r="A11083">
        <v>11395</v>
      </c>
      <c r="B11083">
        <v>522021242</v>
      </c>
      <c r="C11083" s="76">
        <v>2021</v>
      </c>
      <c r="D11083" s="76" t="s">
        <v>35</v>
      </c>
      <c r="E11083" s="76" t="s">
        <v>32</v>
      </c>
      <c r="F11083" s="76">
        <v>1.5</v>
      </c>
    </row>
    <row r="11084" s="76" customFormat="1" spans="1:6">
      <c r="A11084">
        <v>11396</v>
      </c>
      <c r="B11084">
        <v>522021242</v>
      </c>
      <c r="C11084" s="76">
        <v>2021</v>
      </c>
      <c r="D11084" s="76" t="s">
        <v>35</v>
      </c>
      <c r="E11084" s="76" t="s">
        <v>32</v>
      </c>
      <c r="F11084" s="76">
        <v>0.9</v>
      </c>
    </row>
    <row r="11085" s="76" customFormat="1" spans="1:6">
      <c r="A11085">
        <v>11402</v>
      </c>
      <c r="B11085">
        <v>522021260</v>
      </c>
      <c r="C11085" s="76">
        <v>2021</v>
      </c>
      <c r="D11085" s="76" t="s">
        <v>34</v>
      </c>
      <c r="E11085" s="76">
        <v>19</v>
      </c>
      <c r="F11085" s="76">
        <v>4.75</v>
      </c>
    </row>
    <row r="11086" s="76" customFormat="1" spans="1:6">
      <c r="A11086">
        <v>11399</v>
      </c>
      <c r="B11086">
        <v>522021260</v>
      </c>
      <c r="C11086" s="76">
        <v>2021</v>
      </c>
      <c r="D11086" s="76" t="s">
        <v>34</v>
      </c>
      <c r="E11086" s="76">
        <v>62</v>
      </c>
      <c r="F11086" s="76">
        <v>13.2</v>
      </c>
    </row>
    <row r="11087" s="76" customFormat="1" spans="1:6">
      <c r="A11087">
        <v>11404</v>
      </c>
      <c r="B11087">
        <v>522021260</v>
      </c>
      <c r="C11087" s="76">
        <v>2021</v>
      </c>
      <c r="D11087" s="76" t="s">
        <v>34</v>
      </c>
      <c r="E11087" s="76">
        <v>5</v>
      </c>
      <c r="F11087" s="76">
        <v>1.6</v>
      </c>
    </row>
    <row r="11088" s="76" customFormat="1" spans="1:6">
      <c r="A11088">
        <v>11401</v>
      </c>
      <c r="B11088">
        <v>522021260</v>
      </c>
      <c r="C11088" s="76">
        <v>2021</v>
      </c>
      <c r="D11088" s="76" t="s">
        <v>34</v>
      </c>
      <c r="E11088" s="76">
        <v>7</v>
      </c>
      <c r="F11088" s="76">
        <v>1.4</v>
      </c>
    </row>
    <row r="11089" s="76" customFormat="1" spans="1:6">
      <c r="A11089">
        <v>11403</v>
      </c>
      <c r="B11089">
        <v>522021260</v>
      </c>
      <c r="C11089" s="76">
        <v>2021</v>
      </c>
      <c r="D11089" s="76" t="s">
        <v>34</v>
      </c>
      <c r="E11089" s="76">
        <v>14</v>
      </c>
      <c r="F11089" s="76">
        <v>4.2</v>
      </c>
    </row>
    <row r="11090" s="76" customFormat="1" spans="1:6">
      <c r="A11090">
        <v>11400</v>
      </c>
      <c r="B11090">
        <v>522021260</v>
      </c>
      <c r="C11090" s="76">
        <v>2021</v>
      </c>
      <c r="D11090" s="76" t="s">
        <v>34</v>
      </c>
      <c r="E11090" s="76">
        <v>15</v>
      </c>
      <c r="F11090" s="76">
        <v>3.75</v>
      </c>
    </row>
    <row r="11091" s="76" customFormat="1" spans="1:6">
      <c r="A11091">
        <v>11406</v>
      </c>
      <c r="B11091">
        <v>522021270</v>
      </c>
      <c r="C11091" s="76">
        <v>2021</v>
      </c>
      <c r="D11091" s="76" t="s">
        <v>31</v>
      </c>
      <c r="E11091" s="76">
        <v>1</v>
      </c>
      <c r="F11091" s="76">
        <v>20</v>
      </c>
    </row>
    <row r="11092" s="76" customFormat="1" spans="1:6">
      <c r="A11092">
        <v>11407</v>
      </c>
      <c r="B11092">
        <v>522021270</v>
      </c>
      <c r="C11092" s="76">
        <v>2021</v>
      </c>
      <c r="D11092" s="76" t="s">
        <v>31</v>
      </c>
      <c r="E11092" s="76">
        <v>1</v>
      </c>
      <c r="F11092" s="76">
        <v>15</v>
      </c>
    </row>
    <row r="11093" s="76" customFormat="1" spans="1:6">
      <c r="A11093">
        <v>11413</v>
      </c>
      <c r="B11093">
        <v>522021270</v>
      </c>
      <c r="C11093" s="76">
        <v>2021</v>
      </c>
      <c r="D11093" s="76" t="s">
        <v>31</v>
      </c>
      <c r="E11093" s="76" t="s">
        <v>32</v>
      </c>
      <c r="F11093" s="76">
        <v>1.33</v>
      </c>
    </row>
    <row r="11094" s="76" customFormat="1" spans="1:6">
      <c r="A11094">
        <v>11415</v>
      </c>
      <c r="B11094">
        <v>522021270</v>
      </c>
      <c r="C11094" s="76">
        <v>2021</v>
      </c>
      <c r="D11094" s="76" t="s">
        <v>31</v>
      </c>
      <c r="E11094" s="76" t="s">
        <v>32</v>
      </c>
      <c r="F11094" s="76">
        <v>3.5</v>
      </c>
    </row>
    <row r="11095" s="76" customFormat="1" spans="1:6">
      <c r="A11095">
        <v>11416</v>
      </c>
      <c r="B11095">
        <v>522021270</v>
      </c>
      <c r="C11095" s="76">
        <v>2021</v>
      </c>
      <c r="D11095" s="76" t="s">
        <v>31</v>
      </c>
      <c r="E11095" s="76" t="s">
        <v>32</v>
      </c>
      <c r="F11095" s="76">
        <v>4.5</v>
      </c>
    </row>
    <row r="11096" s="76" customFormat="1" spans="1:6">
      <c r="A11096">
        <v>11414</v>
      </c>
      <c r="B11096">
        <v>522021270</v>
      </c>
      <c r="C11096" s="76">
        <v>2021</v>
      </c>
      <c r="D11096" s="76" t="s">
        <v>31</v>
      </c>
      <c r="E11096" s="76" t="s">
        <v>32</v>
      </c>
      <c r="F11096" s="76">
        <v>3.9</v>
      </c>
    </row>
    <row r="11097" s="76" customFormat="1" spans="1:6">
      <c r="A11097">
        <v>11411</v>
      </c>
      <c r="B11097">
        <v>522021270</v>
      </c>
      <c r="C11097" s="76">
        <v>2021</v>
      </c>
      <c r="D11097" s="76" t="s">
        <v>31</v>
      </c>
      <c r="E11097" s="76" t="s">
        <v>32</v>
      </c>
      <c r="F11097" s="76">
        <v>4</v>
      </c>
    </row>
    <row r="11098" s="76" customFormat="1" spans="1:6">
      <c r="A11098">
        <v>11410</v>
      </c>
      <c r="B11098">
        <v>522021270</v>
      </c>
      <c r="C11098" s="76">
        <v>2021</v>
      </c>
      <c r="D11098" s="76" t="s">
        <v>31</v>
      </c>
      <c r="E11098" s="76" t="s">
        <v>32</v>
      </c>
      <c r="F11098" s="76">
        <v>4.2</v>
      </c>
    </row>
    <row r="11099" s="76" customFormat="1" spans="1:6">
      <c r="A11099">
        <v>11409</v>
      </c>
      <c r="B11099">
        <v>522021270</v>
      </c>
      <c r="C11099" s="76">
        <v>2021</v>
      </c>
      <c r="D11099" s="76" t="s">
        <v>31</v>
      </c>
      <c r="E11099" s="76" t="s">
        <v>32</v>
      </c>
      <c r="F11099" s="76">
        <v>20</v>
      </c>
    </row>
    <row r="11100" s="76" customFormat="1" spans="1:6">
      <c r="A11100">
        <v>11412</v>
      </c>
      <c r="B11100">
        <v>522021270</v>
      </c>
      <c r="C11100" s="76">
        <v>2021</v>
      </c>
      <c r="D11100" s="76" t="s">
        <v>31</v>
      </c>
      <c r="E11100" s="76" t="s">
        <v>32</v>
      </c>
      <c r="F11100" s="76">
        <v>3.9</v>
      </c>
    </row>
    <row r="11101" s="76" customFormat="1" spans="1:6">
      <c r="A11101">
        <v>11405</v>
      </c>
      <c r="B11101">
        <v>522021270</v>
      </c>
      <c r="C11101" s="76">
        <v>2021</v>
      </c>
      <c r="D11101" s="76" t="s">
        <v>31</v>
      </c>
      <c r="E11101" s="76" t="s">
        <v>32</v>
      </c>
      <c r="F11101" s="76">
        <v>4</v>
      </c>
    </row>
    <row r="11102" s="76" customFormat="1" spans="1:6">
      <c r="A11102">
        <v>11417</v>
      </c>
      <c r="B11102">
        <v>522021270</v>
      </c>
      <c r="C11102" s="76">
        <v>2021</v>
      </c>
      <c r="D11102" s="76" t="s">
        <v>31</v>
      </c>
      <c r="E11102" s="76" t="s">
        <v>32</v>
      </c>
      <c r="F11102" s="76">
        <v>9</v>
      </c>
    </row>
    <row r="11103" s="76" customFormat="1" spans="1:6">
      <c r="A11103">
        <v>11418</v>
      </c>
      <c r="B11103">
        <v>522021270</v>
      </c>
      <c r="C11103" s="76">
        <v>2021</v>
      </c>
      <c r="D11103" s="76" t="s">
        <v>31</v>
      </c>
      <c r="E11103" s="76" t="s">
        <v>32</v>
      </c>
      <c r="F11103" s="76">
        <v>6</v>
      </c>
    </row>
    <row r="11104" s="76" customFormat="1" spans="1:6">
      <c r="A11104">
        <v>11419</v>
      </c>
      <c r="B11104">
        <v>522021270</v>
      </c>
      <c r="C11104" s="76">
        <v>2021</v>
      </c>
      <c r="D11104" s="76" t="s">
        <v>31</v>
      </c>
      <c r="E11104" s="76" t="s">
        <v>32</v>
      </c>
      <c r="F11104" s="76">
        <v>3</v>
      </c>
    </row>
    <row r="11105" s="76" customFormat="1" spans="1:6">
      <c r="A11105">
        <v>11420</v>
      </c>
      <c r="B11105">
        <v>522021270</v>
      </c>
      <c r="C11105" s="76">
        <v>2021</v>
      </c>
      <c r="D11105" s="76" t="s">
        <v>31</v>
      </c>
      <c r="E11105" s="76" t="s">
        <v>32</v>
      </c>
      <c r="F11105" s="76">
        <v>5</v>
      </c>
    </row>
    <row r="11106" s="76" customFormat="1" spans="1:6">
      <c r="A11106">
        <v>11421</v>
      </c>
      <c r="B11106">
        <v>522021270</v>
      </c>
      <c r="C11106" s="76">
        <v>2021</v>
      </c>
      <c r="D11106" s="76" t="s">
        <v>31</v>
      </c>
      <c r="E11106" s="76" t="s">
        <v>32</v>
      </c>
      <c r="F11106" s="76">
        <v>10</v>
      </c>
    </row>
    <row r="11107" s="76" customFormat="1" spans="1:6">
      <c r="A11107">
        <v>11422</v>
      </c>
      <c r="B11107">
        <v>522021270</v>
      </c>
      <c r="C11107" s="76">
        <v>2021</v>
      </c>
      <c r="D11107" s="76" t="s">
        <v>31</v>
      </c>
      <c r="E11107" s="76" t="s">
        <v>32</v>
      </c>
      <c r="F11107" s="76">
        <v>10</v>
      </c>
    </row>
    <row r="11108" s="76" customFormat="1" spans="1:6">
      <c r="A11108">
        <v>11408</v>
      </c>
      <c r="B11108">
        <v>522021270</v>
      </c>
      <c r="C11108" s="76">
        <v>2021</v>
      </c>
      <c r="D11108" s="76" t="s">
        <v>31</v>
      </c>
      <c r="E11108" s="76" t="s">
        <v>32</v>
      </c>
      <c r="F11108" s="76">
        <v>20</v>
      </c>
    </row>
    <row r="11109" s="76" customFormat="1" spans="1:6">
      <c r="A11109">
        <v>11432</v>
      </c>
      <c r="B11109">
        <v>532012110</v>
      </c>
      <c r="C11109">
        <v>2012</v>
      </c>
      <c r="D11109" t="s">
        <v>40</v>
      </c>
      <c r="E11109">
        <v>3</v>
      </c>
      <c r="F11109">
        <v>195</v>
      </c>
    </row>
    <row r="11110" s="76" customFormat="1" spans="1:6">
      <c r="A11110">
        <v>11431</v>
      </c>
      <c r="B11110">
        <v>532012110</v>
      </c>
      <c r="C11110">
        <v>2012</v>
      </c>
      <c r="D11110" t="s">
        <v>40</v>
      </c>
      <c r="E11110">
        <v>2</v>
      </c>
      <c r="F11110">
        <v>45</v>
      </c>
    </row>
    <row r="11111" s="76" customFormat="1" spans="1:6">
      <c r="A11111">
        <v>11425</v>
      </c>
      <c r="B11111">
        <v>532012110</v>
      </c>
      <c r="C11111">
        <v>2012</v>
      </c>
      <c r="D11111" t="s">
        <v>40</v>
      </c>
      <c r="E11111">
        <v>1</v>
      </c>
      <c r="F11111">
        <v>60</v>
      </c>
    </row>
    <row r="11112" s="76" customFormat="1" spans="1:6">
      <c r="A11112">
        <v>11424</v>
      </c>
      <c r="B11112">
        <v>532012110</v>
      </c>
      <c r="C11112">
        <v>2012</v>
      </c>
      <c r="D11112" t="s">
        <v>40</v>
      </c>
      <c r="E11112">
        <v>2</v>
      </c>
      <c r="F11112">
        <v>4</v>
      </c>
    </row>
    <row r="11113" s="76" customFormat="1" spans="1:6">
      <c r="A11113">
        <v>11438</v>
      </c>
      <c r="B11113">
        <v>532012110</v>
      </c>
      <c r="C11113">
        <v>2012</v>
      </c>
      <c r="D11113" t="s">
        <v>40</v>
      </c>
      <c r="E11113">
        <v>2</v>
      </c>
      <c r="F11113">
        <v>1.5</v>
      </c>
    </row>
    <row r="11114" s="76" customFormat="1" spans="1:6">
      <c r="A11114">
        <v>11427</v>
      </c>
      <c r="B11114">
        <v>532012110</v>
      </c>
      <c r="C11114">
        <v>2012</v>
      </c>
      <c r="D11114" t="s">
        <v>40</v>
      </c>
      <c r="E11114">
        <v>1</v>
      </c>
      <c r="F11114">
        <v>6</v>
      </c>
    </row>
    <row r="11115" s="76" customFormat="1" spans="1:6">
      <c r="A11115">
        <v>11428</v>
      </c>
      <c r="B11115">
        <v>532012110</v>
      </c>
      <c r="C11115">
        <v>2012</v>
      </c>
      <c r="D11115" t="s">
        <v>40</v>
      </c>
      <c r="E11115">
        <v>1</v>
      </c>
      <c r="F11115">
        <v>6</v>
      </c>
    </row>
    <row r="11116" s="76" customFormat="1" spans="1:6">
      <c r="A11116">
        <v>11426</v>
      </c>
      <c r="B11116">
        <v>532012110</v>
      </c>
      <c r="C11116">
        <v>2012</v>
      </c>
      <c r="D11116" t="s">
        <v>40</v>
      </c>
      <c r="E11116">
        <v>1</v>
      </c>
      <c r="F11116">
        <v>6</v>
      </c>
    </row>
    <row r="11117" s="76" customFormat="1" spans="1:6">
      <c r="A11117">
        <v>11430</v>
      </c>
      <c r="B11117">
        <v>532012110</v>
      </c>
      <c r="C11117">
        <v>2012</v>
      </c>
      <c r="D11117" t="s">
        <v>40</v>
      </c>
      <c r="E11117">
        <v>2</v>
      </c>
      <c r="F11117">
        <v>1</v>
      </c>
    </row>
    <row r="11118" s="76" customFormat="1" spans="1:6">
      <c r="A11118">
        <v>11429</v>
      </c>
      <c r="B11118">
        <v>532012110</v>
      </c>
      <c r="C11118">
        <v>2012</v>
      </c>
      <c r="D11118" t="s">
        <v>40</v>
      </c>
      <c r="E11118">
        <v>2</v>
      </c>
      <c r="F11118">
        <v>3</v>
      </c>
    </row>
    <row r="11119" s="76" customFormat="1" spans="1:6">
      <c r="A11119">
        <v>11436</v>
      </c>
      <c r="B11119">
        <v>532012110</v>
      </c>
      <c r="C11119">
        <v>2012</v>
      </c>
      <c r="D11119" t="s">
        <v>40</v>
      </c>
      <c r="E11119">
        <v>1</v>
      </c>
      <c r="F11119">
        <v>2</v>
      </c>
    </row>
    <row r="11120" s="76" customFormat="1" spans="1:6">
      <c r="A11120">
        <v>11437</v>
      </c>
      <c r="B11120">
        <v>532012110</v>
      </c>
      <c r="C11120">
        <v>2012</v>
      </c>
      <c r="D11120" t="s">
        <v>40</v>
      </c>
      <c r="E11120">
        <v>1</v>
      </c>
      <c r="F11120">
        <v>2</v>
      </c>
    </row>
    <row r="11121" s="76" customFormat="1" spans="1:6">
      <c r="A11121">
        <v>11423</v>
      </c>
      <c r="B11121">
        <v>532012110</v>
      </c>
      <c r="C11121">
        <v>2012</v>
      </c>
      <c r="D11121" t="s">
        <v>40</v>
      </c>
      <c r="E11121">
        <v>1</v>
      </c>
      <c r="F11121">
        <v>4.3</v>
      </c>
    </row>
    <row r="11122" s="76" customFormat="1" spans="1:6">
      <c r="A11122">
        <v>11435</v>
      </c>
      <c r="B11122">
        <v>532012110</v>
      </c>
      <c r="C11122">
        <v>2012</v>
      </c>
      <c r="D11122" t="s">
        <v>40</v>
      </c>
      <c r="E11122">
        <v>3</v>
      </c>
      <c r="F11122">
        <v>18</v>
      </c>
    </row>
    <row r="11123" s="76" customFormat="1" spans="1:6">
      <c r="A11123">
        <v>11433</v>
      </c>
      <c r="B11123">
        <v>532012110</v>
      </c>
      <c r="C11123">
        <v>2012</v>
      </c>
      <c r="D11123" t="s">
        <v>40</v>
      </c>
      <c r="E11123">
        <v>1</v>
      </c>
      <c r="F11123">
        <v>40</v>
      </c>
    </row>
    <row r="11124" s="76" customFormat="1" spans="1:6">
      <c r="A11124">
        <v>11434</v>
      </c>
      <c r="B11124">
        <v>532012110</v>
      </c>
      <c r="C11124">
        <v>2012</v>
      </c>
      <c r="D11124" t="s">
        <v>40</v>
      </c>
      <c r="E11124">
        <v>2</v>
      </c>
      <c r="F11124">
        <v>3</v>
      </c>
    </row>
    <row r="11125" s="76" customFormat="1" spans="1:6">
      <c r="A11125">
        <v>11439</v>
      </c>
      <c r="B11125">
        <v>532012211</v>
      </c>
      <c r="C11125">
        <v>2012</v>
      </c>
      <c r="D11125" t="s">
        <v>37</v>
      </c>
      <c r="E11125">
        <v>1</v>
      </c>
      <c r="F11125">
        <v>60</v>
      </c>
    </row>
    <row r="11126" s="76" customFormat="1" spans="1:6">
      <c r="A11126">
        <v>11440</v>
      </c>
      <c r="B11126">
        <v>532012211</v>
      </c>
      <c r="C11126">
        <v>2012</v>
      </c>
      <c r="D11126" t="s">
        <v>37</v>
      </c>
      <c r="E11126">
        <v>2</v>
      </c>
      <c r="F11126">
        <v>120</v>
      </c>
    </row>
    <row r="11127" s="76" customFormat="1" spans="1:6">
      <c r="A11127">
        <v>11462</v>
      </c>
      <c r="B11127">
        <v>532012260</v>
      </c>
      <c r="C11127">
        <v>2012</v>
      </c>
      <c r="D11127" t="s">
        <v>34</v>
      </c>
      <c r="E11127">
        <v>33</v>
      </c>
      <c r="F11127">
        <v>4.95</v>
      </c>
    </row>
    <row r="11128" s="76" customFormat="1" spans="1:6">
      <c r="A11128">
        <v>11467</v>
      </c>
      <c r="B11128">
        <v>532012260</v>
      </c>
      <c r="C11128">
        <v>2012</v>
      </c>
      <c r="D11128" t="s">
        <v>34</v>
      </c>
      <c r="E11128">
        <v>33</v>
      </c>
      <c r="F11128">
        <v>4.95</v>
      </c>
    </row>
    <row r="11129" s="76" customFormat="1" spans="1:6">
      <c r="A11129">
        <v>11465</v>
      </c>
      <c r="B11129">
        <v>532012260</v>
      </c>
      <c r="C11129">
        <v>2012</v>
      </c>
      <c r="D11129" t="s">
        <v>34</v>
      </c>
      <c r="E11129">
        <v>26</v>
      </c>
      <c r="F11129">
        <v>3.9</v>
      </c>
    </row>
    <row r="11130" s="76" customFormat="1" spans="1:6">
      <c r="A11130">
        <v>11464</v>
      </c>
      <c r="B11130">
        <v>532012260</v>
      </c>
      <c r="C11130">
        <v>2012</v>
      </c>
      <c r="D11130" t="s">
        <v>34</v>
      </c>
      <c r="E11130">
        <v>33</v>
      </c>
      <c r="F11130">
        <v>4.95</v>
      </c>
    </row>
    <row r="11131" s="76" customFormat="1" spans="1:6">
      <c r="A11131">
        <v>11445</v>
      </c>
      <c r="B11131">
        <v>532012260</v>
      </c>
      <c r="C11131">
        <v>2012</v>
      </c>
      <c r="D11131" t="s">
        <v>34</v>
      </c>
      <c r="E11131">
        <v>33</v>
      </c>
      <c r="F11131">
        <v>4.95</v>
      </c>
    </row>
    <row r="11132" s="76" customFormat="1" spans="1:6">
      <c r="A11132">
        <v>11461</v>
      </c>
      <c r="B11132">
        <v>532012260</v>
      </c>
      <c r="C11132">
        <v>2012</v>
      </c>
      <c r="D11132" t="s">
        <v>34</v>
      </c>
      <c r="E11132">
        <v>33</v>
      </c>
      <c r="F11132">
        <v>4.95</v>
      </c>
    </row>
    <row r="11133" s="76" customFormat="1" spans="1:6">
      <c r="A11133">
        <v>11466</v>
      </c>
      <c r="B11133">
        <v>532012260</v>
      </c>
      <c r="C11133">
        <v>2012</v>
      </c>
      <c r="D11133" t="s">
        <v>34</v>
      </c>
      <c r="E11133">
        <v>54</v>
      </c>
      <c r="F11133">
        <v>8.1</v>
      </c>
    </row>
    <row r="11134" s="76" customFormat="1" spans="1:6">
      <c r="A11134">
        <v>11454</v>
      </c>
      <c r="B11134">
        <v>532012260</v>
      </c>
      <c r="C11134">
        <v>2012</v>
      </c>
      <c r="D11134" t="s">
        <v>34</v>
      </c>
      <c r="E11134">
        <v>33</v>
      </c>
      <c r="F11134">
        <v>4.95</v>
      </c>
    </row>
    <row r="11135" s="76" customFormat="1" spans="1:6">
      <c r="A11135">
        <v>11453</v>
      </c>
      <c r="B11135">
        <v>532012260</v>
      </c>
      <c r="C11135">
        <v>2012</v>
      </c>
      <c r="D11135" t="s">
        <v>34</v>
      </c>
      <c r="E11135">
        <v>33</v>
      </c>
      <c r="F11135">
        <v>4.95</v>
      </c>
    </row>
    <row r="11136" s="76" customFormat="1" spans="1:6">
      <c r="A11136">
        <v>11458</v>
      </c>
      <c r="B11136">
        <v>532012260</v>
      </c>
      <c r="C11136">
        <v>2012</v>
      </c>
      <c r="D11136" t="s">
        <v>34</v>
      </c>
      <c r="E11136">
        <v>15</v>
      </c>
      <c r="F11136">
        <v>2.25</v>
      </c>
    </row>
    <row r="11137" s="76" customFormat="1" spans="1:6">
      <c r="A11137">
        <v>11452</v>
      </c>
      <c r="B11137">
        <v>532012260</v>
      </c>
      <c r="C11137">
        <v>2012</v>
      </c>
      <c r="D11137" t="s">
        <v>34</v>
      </c>
      <c r="E11137">
        <v>33</v>
      </c>
      <c r="F11137">
        <v>4.95</v>
      </c>
    </row>
    <row r="11138" s="76" customFormat="1" spans="1:6">
      <c r="A11138">
        <v>11446</v>
      </c>
      <c r="B11138">
        <v>532012260</v>
      </c>
      <c r="C11138">
        <v>2012</v>
      </c>
      <c r="D11138" t="s">
        <v>34</v>
      </c>
      <c r="E11138">
        <v>33</v>
      </c>
      <c r="F11138">
        <v>4.95</v>
      </c>
    </row>
    <row r="11139" s="76" customFormat="1" spans="1:6">
      <c r="A11139">
        <v>11459</v>
      </c>
      <c r="B11139">
        <v>532012260</v>
      </c>
      <c r="C11139">
        <v>2012</v>
      </c>
      <c r="D11139" t="s">
        <v>34</v>
      </c>
      <c r="E11139">
        <v>33</v>
      </c>
      <c r="F11139">
        <v>4.95</v>
      </c>
    </row>
    <row r="11140" s="76" customFormat="1" spans="1:6">
      <c r="A11140">
        <v>11441</v>
      </c>
      <c r="B11140">
        <v>532012260</v>
      </c>
      <c r="C11140">
        <v>2012</v>
      </c>
      <c r="D11140" t="s">
        <v>34</v>
      </c>
      <c r="E11140">
        <v>33</v>
      </c>
      <c r="F11140">
        <v>4.95</v>
      </c>
    </row>
    <row r="11141" s="76" customFormat="1" spans="1:6">
      <c r="A11141">
        <v>11460</v>
      </c>
      <c r="B11141">
        <v>532012260</v>
      </c>
      <c r="C11141">
        <v>2012</v>
      </c>
      <c r="D11141" t="s">
        <v>34</v>
      </c>
      <c r="E11141">
        <v>33</v>
      </c>
      <c r="F11141">
        <v>4.95</v>
      </c>
    </row>
    <row r="11142" s="76" customFormat="1" spans="1:6">
      <c r="A11142">
        <v>11447</v>
      </c>
      <c r="B11142">
        <v>532012260</v>
      </c>
      <c r="C11142">
        <v>2012</v>
      </c>
      <c r="D11142" t="s">
        <v>34</v>
      </c>
      <c r="E11142">
        <v>39</v>
      </c>
      <c r="F11142">
        <v>4.88</v>
      </c>
    </row>
    <row r="11143" s="76" customFormat="1" spans="1:6">
      <c r="A11143">
        <v>11442</v>
      </c>
      <c r="B11143">
        <v>532012260</v>
      </c>
      <c r="C11143">
        <v>2012</v>
      </c>
      <c r="D11143" t="s">
        <v>34</v>
      </c>
      <c r="E11143">
        <v>33</v>
      </c>
      <c r="F11143">
        <v>4.95</v>
      </c>
    </row>
    <row r="11144" s="76" customFormat="1" spans="1:6">
      <c r="A11144">
        <v>11455</v>
      </c>
      <c r="B11144">
        <v>532012260</v>
      </c>
      <c r="C11144">
        <v>2012</v>
      </c>
      <c r="D11144" t="s">
        <v>34</v>
      </c>
      <c r="E11144">
        <v>33</v>
      </c>
      <c r="F11144">
        <v>4.95</v>
      </c>
    </row>
    <row r="11145" s="76" customFormat="1" spans="1:6">
      <c r="A11145">
        <v>11449</v>
      </c>
      <c r="B11145">
        <v>532012260</v>
      </c>
      <c r="C11145">
        <v>2012</v>
      </c>
      <c r="D11145" t="s">
        <v>34</v>
      </c>
      <c r="E11145">
        <v>33</v>
      </c>
      <c r="F11145">
        <v>4.95</v>
      </c>
    </row>
    <row r="11146" s="76" customFormat="1" spans="1:6">
      <c r="A11146">
        <v>11443</v>
      </c>
      <c r="B11146">
        <v>532012260</v>
      </c>
      <c r="C11146">
        <v>2012</v>
      </c>
      <c r="D11146" t="s">
        <v>34</v>
      </c>
      <c r="E11146">
        <v>27</v>
      </c>
      <c r="F11146">
        <v>4.05</v>
      </c>
    </row>
    <row r="11147" s="76" customFormat="1" spans="1:6">
      <c r="A11147">
        <v>11457</v>
      </c>
      <c r="B11147">
        <v>532012260</v>
      </c>
      <c r="C11147">
        <v>2012</v>
      </c>
      <c r="D11147" t="s">
        <v>34</v>
      </c>
      <c r="E11147">
        <v>18</v>
      </c>
      <c r="F11147">
        <v>2.7</v>
      </c>
    </row>
    <row r="11148" s="76" customFormat="1" spans="1:6">
      <c r="A11148">
        <v>11450</v>
      </c>
      <c r="B11148">
        <v>532012260</v>
      </c>
      <c r="C11148">
        <v>2012</v>
      </c>
      <c r="D11148" t="s">
        <v>34</v>
      </c>
      <c r="E11148">
        <v>33</v>
      </c>
      <c r="F11148">
        <v>4.95</v>
      </c>
    </row>
    <row r="11149" s="76" customFormat="1" spans="1:6">
      <c r="A11149">
        <v>11451</v>
      </c>
      <c r="B11149">
        <v>532012260</v>
      </c>
      <c r="C11149">
        <v>2012</v>
      </c>
      <c r="D11149" t="s">
        <v>34</v>
      </c>
      <c r="E11149">
        <v>33</v>
      </c>
      <c r="F11149">
        <v>4.95</v>
      </c>
    </row>
    <row r="11150" s="76" customFormat="1" spans="1:6">
      <c r="A11150">
        <v>11448</v>
      </c>
      <c r="B11150">
        <v>532012260</v>
      </c>
      <c r="C11150">
        <v>2012</v>
      </c>
      <c r="D11150" t="s">
        <v>34</v>
      </c>
      <c r="E11150">
        <v>33</v>
      </c>
      <c r="F11150">
        <v>4.95</v>
      </c>
    </row>
    <row r="11151" s="76" customFormat="1" spans="1:6">
      <c r="A11151">
        <v>11444</v>
      </c>
      <c r="B11151">
        <v>532012260</v>
      </c>
      <c r="C11151">
        <v>2012</v>
      </c>
      <c r="D11151" t="s">
        <v>34</v>
      </c>
      <c r="E11151">
        <v>25</v>
      </c>
      <c r="F11151">
        <v>4.95</v>
      </c>
    </row>
    <row r="11152" s="76" customFormat="1" spans="1:6">
      <c r="A11152">
        <v>11456</v>
      </c>
      <c r="B11152">
        <v>532012260</v>
      </c>
      <c r="C11152">
        <v>2012</v>
      </c>
      <c r="D11152" t="s">
        <v>34</v>
      </c>
      <c r="E11152">
        <v>33</v>
      </c>
      <c r="F11152">
        <v>4.95</v>
      </c>
    </row>
    <row r="11153" s="76" customFormat="1" spans="1:6">
      <c r="A11153">
        <v>11463</v>
      </c>
      <c r="B11153">
        <v>532012260</v>
      </c>
      <c r="C11153">
        <v>2012</v>
      </c>
      <c r="D11153" t="s">
        <v>34</v>
      </c>
      <c r="E11153">
        <v>33</v>
      </c>
      <c r="F11153">
        <v>4.95</v>
      </c>
    </row>
    <row r="11154" s="76" customFormat="1" spans="1:6">
      <c r="A11154">
        <v>11468</v>
      </c>
      <c r="B11154">
        <v>532012270</v>
      </c>
      <c r="C11154">
        <v>2012</v>
      </c>
      <c r="D11154" t="s">
        <v>31</v>
      </c>
      <c r="E11154" t="s">
        <v>32</v>
      </c>
      <c r="F11154">
        <v>1</v>
      </c>
    </row>
    <row r="11155" s="76" customFormat="1" spans="1:6">
      <c r="A11155">
        <v>11479</v>
      </c>
      <c r="B11155">
        <v>532013110</v>
      </c>
      <c r="C11155">
        <v>2013</v>
      </c>
      <c r="D11155" t="s">
        <v>40</v>
      </c>
      <c r="E11155">
        <v>4</v>
      </c>
      <c r="F11155">
        <v>144</v>
      </c>
    </row>
    <row r="11156" s="76" customFormat="1" spans="1:6">
      <c r="A11156">
        <v>11481</v>
      </c>
      <c r="B11156">
        <v>532013110</v>
      </c>
      <c r="C11156">
        <v>2013</v>
      </c>
      <c r="D11156" t="s">
        <v>40</v>
      </c>
      <c r="E11156">
        <v>4</v>
      </c>
      <c r="F11156">
        <v>260</v>
      </c>
    </row>
    <row r="11157" s="76" customFormat="1" spans="1:6">
      <c r="A11157">
        <v>11489</v>
      </c>
      <c r="B11157">
        <v>532013110</v>
      </c>
      <c r="C11157">
        <v>2013</v>
      </c>
      <c r="D11157" t="s">
        <v>40</v>
      </c>
      <c r="E11157">
        <v>3</v>
      </c>
      <c r="F11157">
        <v>108</v>
      </c>
    </row>
    <row r="11158" s="76" customFormat="1" spans="1:6">
      <c r="A11158">
        <v>11477</v>
      </c>
      <c r="B11158">
        <v>532013110</v>
      </c>
      <c r="C11158">
        <v>2013</v>
      </c>
      <c r="D11158" t="s">
        <v>40</v>
      </c>
      <c r="E11158">
        <v>2</v>
      </c>
      <c r="F11158">
        <v>2</v>
      </c>
    </row>
    <row r="11159" s="76" customFormat="1" spans="1:6">
      <c r="A11159">
        <v>11475</v>
      </c>
      <c r="B11159">
        <v>532013110</v>
      </c>
      <c r="C11159">
        <v>2013</v>
      </c>
      <c r="D11159" t="s">
        <v>40</v>
      </c>
      <c r="E11159">
        <v>2</v>
      </c>
      <c r="F11159">
        <v>2</v>
      </c>
    </row>
    <row r="11160" s="76" customFormat="1" spans="1:6">
      <c r="A11160">
        <v>11490</v>
      </c>
      <c r="B11160">
        <v>532013110</v>
      </c>
      <c r="C11160">
        <v>2013</v>
      </c>
      <c r="D11160" t="s">
        <v>40</v>
      </c>
      <c r="E11160">
        <v>3</v>
      </c>
      <c r="F11160">
        <v>2.9</v>
      </c>
    </row>
    <row r="11161" s="76" customFormat="1" spans="1:6">
      <c r="A11161">
        <v>11470</v>
      </c>
      <c r="B11161">
        <v>532013110</v>
      </c>
      <c r="C11161">
        <v>2013</v>
      </c>
      <c r="D11161" t="s">
        <v>40</v>
      </c>
      <c r="E11161">
        <v>3</v>
      </c>
      <c r="F11161">
        <v>2.5</v>
      </c>
    </row>
    <row r="11162" s="76" customFormat="1" spans="1:6">
      <c r="A11162">
        <v>11472</v>
      </c>
      <c r="B11162">
        <v>532013110</v>
      </c>
      <c r="C11162">
        <v>2013</v>
      </c>
      <c r="D11162" t="s">
        <v>40</v>
      </c>
      <c r="E11162">
        <v>1</v>
      </c>
      <c r="F11162">
        <v>17.5</v>
      </c>
    </row>
    <row r="11163" s="76" customFormat="1" spans="1:6">
      <c r="A11163">
        <v>11476</v>
      </c>
      <c r="B11163">
        <v>532013110</v>
      </c>
      <c r="C11163">
        <v>2013</v>
      </c>
      <c r="D11163" t="s">
        <v>40</v>
      </c>
      <c r="E11163">
        <v>2</v>
      </c>
      <c r="F11163">
        <v>6</v>
      </c>
    </row>
    <row r="11164" s="76" customFormat="1" spans="1:6">
      <c r="A11164">
        <v>11483</v>
      </c>
      <c r="B11164">
        <v>532013110</v>
      </c>
      <c r="C11164">
        <v>2013</v>
      </c>
      <c r="D11164" t="s">
        <v>40</v>
      </c>
      <c r="E11164">
        <v>2</v>
      </c>
      <c r="F11164">
        <v>6</v>
      </c>
    </row>
    <row r="11165" s="76" customFormat="1" spans="1:6">
      <c r="A11165">
        <v>11487</v>
      </c>
      <c r="B11165">
        <v>532013110</v>
      </c>
      <c r="C11165">
        <v>2013</v>
      </c>
      <c r="D11165" t="s">
        <v>40</v>
      </c>
      <c r="E11165">
        <v>12</v>
      </c>
      <c r="F11165">
        <v>924</v>
      </c>
    </row>
    <row r="11166" s="76" customFormat="1" spans="1:6">
      <c r="A11166">
        <v>11488</v>
      </c>
      <c r="B11166">
        <v>532013110</v>
      </c>
      <c r="C11166">
        <v>2013</v>
      </c>
      <c r="D11166" t="s">
        <v>40</v>
      </c>
      <c r="E11166">
        <v>1</v>
      </c>
      <c r="F11166">
        <v>0.5</v>
      </c>
    </row>
    <row r="11167" s="76" customFormat="1" spans="1:6">
      <c r="A11167">
        <v>11473</v>
      </c>
      <c r="B11167">
        <v>532013110</v>
      </c>
      <c r="C11167">
        <v>2013</v>
      </c>
      <c r="D11167" t="s">
        <v>40</v>
      </c>
      <c r="E11167">
        <v>1</v>
      </c>
      <c r="F11167">
        <v>3</v>
      </c>
    </row>
    <row r="11168" s="76" customFormat="1" spans="1:6">
      <c r="A11168">
        <v>11478</v>
      </c>
      <c r="B11168">
        <v>532013110</v>
      </c>
      <c r="C11168">
        <v>2013</v>
      </c>
      <c r="D11168" t="s">
        <v>40</v>
      </c>
      <c r="E11168">
        <v>2</v>
      </c>
      <c r="F11168">
        <v>6.8</v>
      </c>
    </row>
    <row r="11169" s="76" customFormat="1" spans="1:6">
      <c r="A11169">
        <v>11482</v>
      </c>
      <c r="B11169">
        <v>532013110</v>
      </c>
      <c r="C11169">
        <v>2013</v>
      </c>
      <c r="D11169" t="s">
        <v>40</v>
      </c>
      <c r="E11169">
        <v>2</v>
      </c>
      <c r="F11169">
        <v>6.8</v>
      </c>
    </row>
    <row r="11170" s="76" customFormat="1" spans="1:6">
      <c r="A11170">
        <v>11471</v>
      </c>
      <c r="B11170">
        <v>532013110</v>
      </c>
      <c r="C11170">
        <v>2013</v>
      </c>
      <c r="D11170" t="s">
        <v>40</v>
      </c>
      <c r="E11170">
        <v>1</v>
      </c>
      <c r="F11170">
        <v>1.2</v>
      </c>
    </row>
    <row r="11171" s="76" customFormat="1" spans="1:6">
      <c r="A11171">
        <v>11480</v>
      </c>
      <c r="B11171">
        <v>532013110</v>
      </c>
      <c r="C11171">
        <v>2013</v>
      </c>
      <c r="D11171" t="s">
        <v>40</v>
      </c>
      <c r="E11171">
        <v>2</v>
      </c>
      <c r="F11171">
        <v>2.48</v>
      </c>
    </row>
    <row r="11172" s="76" customFormat="1" spans="1:6">
      <c r="A11172">
        <v>11474</v>
      </c>
      <c r="B11172">
        <v>532013110</v>
      </c>
      <c r="C11172">
        <v>2013</v>
      </c>
      <c r="D11172" t="s">
        <v>40</v>
      </c>
      <c r="E11172">
        <v>2</v>
      </c>
      <c r="F11172">
        <v>1.6</v>
      </c>
    </row>
    <row r="11173" s="76" customFormat="1" spans="1:6">
      <c r="A11173">
        <v>11484</v>
      </c>
      <c r="B11173">
        <v>532013110</v>
      </c>
      <c r="C11173">
        <v>2013</v>
      </c>
      <c r="D11173" t="s">
        <v>40</v>
      </c>
      <c r="E11173">
        <v>2</v>
      </c>
      <c r="F11173">
        <v>4.2</v>
      </c>
    </row>
    <row r="11174" s="76" customFormat="1" spans="1:6">
      <c r="A11174">
        <v>11469</v>
      </c>
      <c r="B11174">
        <v>532013110</v>
      </c>
      <c r="C11174">
        <v>2013</v>
      </c>
      <c r="D11174" t="s">
        <v>40</v>
      </c>
      <c r="E11174">
        <v>2</v>
      </c>
      <c r="F11174">
        <v>4.2</v>
      </c>
    </row>
    <row r="11175" s="76" customFormat="1" spans="1:6">
      <c r="A11175">
        <v>11486</v>
      </c>
      <c r="B11175">
        <v>532013110</v>
      </c>
      <c r="C11175">
        <v>2013</v>
      </c>
      <c r="D11175" t="s">
        <v>40</v>
      </c>
      <c r="E11175">
        <v>3</v>
      </c>
      <c r="F11175">
        <v>120</v>
      </c>
    </row>
    <row r="11176" s="76" customFormat="1" spans="1:6">
      <c r="A11176">
        <v>11485</v>
      </c>
      <c r="B11176">
        <v>532013110</v>
      </c>
      <c r="C11176">
        <v>2013</v>
      </c>
      <c r="D11176" t="s">
        <v>40</v>
      </c>
      <c r="E11176">
        <v>1</v>
      </c>
      <c r="F11176">
        <v>3</v>
      </c>
    </row>
    <row r="11177" s="76" customFormat="1" spans="1:6">
      <c r="A11177">
        <v>11491</v>
      </c>
      <c r="B11177">
        <v>532013242</v>
      </c>
      <c r="C11177">
        <v>2013</v>
      </c>
      <c r="D11177" t="s">
        <v>35</v>
      </c>
      <c r="E11177">
        <v>1</v>
      </c>
      <c r="F11177">
        <v>1.2</v>
      </c>
    </row>
    <row r="11178" s="76" customFormat="1" spans="1:6">
      <c r="A11178">
        <v>11492</v>
      </c>
      <c r="B11178">
        <v>532013260</v>
      </c>
      <c r="C11178">
        <v>2013</v>
      </c>
      <c r="D11178" t="s">
        <v>34</v>
      </c>
      <c r="E11178">
        <v>33</v>
      </c>
      <c r="F11178">
        <v>4.95</v>
      </c>
    </row>
    <row r="11179" s="76" customFormat="1" spans="1:6">
      <c r="A11179">
        <v>11499</v>
      </c>
      <c r="B11179">
        <v>532013260</v>
      </c>
      <c r="C11179">
        <v>2013</v>
      </c>
      <c r="D11179" t="s">
        <v>34</v>
      </c>
      <c r="E11179">
        <v>1</v>
      </c>
      <c r="F11179">
        <v>4.8</v>
      </c>
    </row>
    <row r="11180" s="76" customFormat="1" spans="1:6">
      <c r="A11180">
        <v>11503</v>
      </c>
      <c r="B11180">
        <v>532013260</v>
      </c>
      <c r="C11180">
        <v>2013</v>
      </c>
      <c r="D11180" t="s">
        <v>34</v>
      </c>
      <c r="E11180">
        <v>33</v>
      </c>
      <c r="F11180">
        <v>4.95</v>
      </c>
    </row>
    <row r="11181" s="76" customFormat="1" spans="1:6">
      <c r="A11181">
        <v>11500</v>
      </c>
      <c r="B11181">
        <v>532013260</v>
      </c>
      <c r="C11181">
        <v>2013</v>
      </c>
      <c r="D11181" t="s">
        <v>34</v>
      </c>
      <c r="E11181">
        <v>20</v>
      </c>
      <c r="F11181">
        <v>3</v>
      </c>
    </row>
    <row r="11182" s="76" customFormat="1" spans="1:6">
      <c r="A11182">
        <v>11504</v>
      </c>
      <c r="B11182">
        <v>532013260</v>
      </c>
      <c r="C11182">
        <v>2013</v>
      </c>
      <c r="D11182" t="s">
        <v>34</v>
      </c>
      <c r="E11182">
        <v>5</v>
      </c>
      <c r="F11182">
        <v>3.75</v>
      </c>
    </row>
    <row r="11183" s="76" customFormat="1" spans="1:6">
      <c r="A11183">
        <v>11506</v>
      </c>
      <c r="B11183">
        <v>532013260</v>
      </c>
      <c r="C11183">
        <v>2013</v>
      </c>
      <c r="D11183" t="s">
        <v>34</v>
      </c>
      <c r="E11183">
        <v>33</v>
      </c>
      <c r="F11183">
        <v>4.95</v>
      </c>
    </row>
    <row r="11184" s="76" customFormat="1" spans="1:6">
      <c r="A11184">
        <v>11495</v>
      </c>
      <c r="B11184">
        <v>532013260</v>
      </c>
      <c r="C11184">
        <v>2013</v>
      </c>
      <c r="D11184" t="s">
        <v>34</v>
      </c>
      <c r="E11184">
        <v>31</v>
      </c>
      <c r="F11184">
        <v>4.65</v>
      </c>
    </row>
    <row r="11185" s="76" customFormat="1" spans="1:6">
      <c r="A11185">
        <v>11502</v>
      </c>
      <c r="B11185">
        <v>532013260</v>
      </c>
      <c r="C11185">
        <v>2013</v>
      </c>
      <c r="D11185" t="s">
        <v>34</v>
      </c>
      <c r="E11185">
        <v>24</v>
      </c>
      <c r="F11185">
        <v>4.8</v>
      </c>
    </row>
    <row r="11186" s="76" customFormat="1" spans="1:6">
      <c r="A11186">
        <v>11505</v>
      </c>
      <c r="B11186">
        <v>532013260</v>
      </c>
      <c r="C11186">
        <v>2013</v>
      </c>
      <c r="D11186" t="s">
        <v>34</v>
      </c>
      <c r="E11186">
        <v>10</v>
      </c>
      <c r="F11186">
        <v>1.5</v>
      </c>
    </row>
    <row r="11187" s="76" customFormat="1" spans="1:6">
      <c r="A11187">
        <v>11496</v>
      </c>
      <c r="B11187">
        <v>532013260</v>
      </c>
      <c r="C11187">
        <v>2013</v>
      </c>
      <c r="D11187" t="s">
        <v>34</v>
      </c>
      <c r="E11187">
        <v>24</v>
      </c>
      <c r="F11187">
        <v>4.8</v>
      </c>
    </row>
    <row r="11188" s="76" customFormat="1" spans="1:6">
      <c r="A11188">
        <v>11493</v>
      </c>
      <c r="B11188">
        <v>532013260</v>
      </c>
      <c r="C11188">
        <v>2013</v>
      </c>
      <c r="D11188" t="s">
        <v>34</v>
      </c>
      <c r="E11188">
        <v>33</v>
      </c>
      <c r="F11188">
        <v>4.95</v>
      </c>
    </row>
    <row r="11189" s="76" customFormat="1" spans="1:6">
      <c r="A11189">
        <v>11497</v>
      </c>
      <c r="B11189">
        <v>532013260</v>
      </c>
      <c r="C11189">
        <v>2013</v>
      </c>
      <c r="D11189" t="s">
        <v>34</v>
      </c>
      <c r="E11189">
        <v>33</v>
      </c>
      <c r="F11189">
        <v>4.95</v>
      </c>
    </row>
    <row r="11190" s="76" customFormat="1" spans="1:6">
      <c r="A11190">
        <v>11498</v>
      </c>
      <c r="B11190">
        <v>532013260</v>
      </c>
      <c r="C11190">
        <v>2013</v>
      </c>
      <c r="D11190" t="s">
        <v>34</v>
      </c>
      <c r="E11190">
        <v>15</v>
      </c>
      <c r="F11190">
        <v>2.25</v>
      </c>
    </row>
    <row r="11191" s="76" customFormat="1" spans="1:6">
      <c r="A11191">
        <v>11494</v>
      </c>
      <c r="B11191">
        <v>532013260</v>
      </c>
      <c r="C11191">
        <v>2013</v>
      </c>
      <c r="D11191" t="s">
        <v>34</v>
      </c>
      <c r="E11191">
        <v>33</v>
      </c>
      <c r="F11191">
        <v>4.95</v>
      </c>
    </row>
    <row r="11192" s="76" customFormat="1" spans="1:6">
      <c r="A11192">
        <v>11501</v>
      </c>
      <c r="B11192">
        <v>532013260</v>
      </c>
      <c r="C11192">
        <v>2013</v>
      </c>
      <c r="D11192" t="s">
        <v>34</v>
      </c>
      <c r="E11192">
        <v>24</v>
      </c>
      <c r="F11192">
        <v>4.8</v>
      </c>
    </row>
    <row r="11193" s="76" customFormat="1" spans="1:6">
      <c r="A11193">
        <v>11510</v>
      </c>
      <c r="B11193">
        <v>532013270</v>
      </c>
      <c r="C11193">
        <v>2013</v>
      </c>
      <c r="D11193" t="s">
        <v>31</v>
      </c>
      <c r="E11193" t="s">
        <v>32</v>
      </c>
      <c r="F11193">
        <v>3</v>
      </c>
    </row>
    <row r="11194" s="76" customFormat="1" spans="1:6">
      <c r="A11194">
        <v>11511</v>
      </c>
      <c r="B11194">
        <v>532013270</v>
      </c>
      <c r="C11194">
        <v>2013</v>
      </c>
      <c r="D11194" t="s">
        <v>31</v>
      </c>
      <c r="E11194" t="s">
        <v>32</v>
      </c>
      <c r="F11194">
        <v>2</v>
      </c>
    </row>
    <row r="11195" s="76" customFormat="1" spans="1:6">
      <c r="A11195">
        <v>11509</v>
      </c>
      <c r="B11195">
        <v>532013270</v>
      </c>
      <c r="C11195">
        <v>2013</v>
      </c>
      <c r="D11195" t="s">
        <v>31</v>
      </c>
      <c r="E11195" t="s">
        <v>32</v>
      </c>
      <c r="F11195">
        <v>1.32</v>
      </c>
    </row>
    <row r="11196" s="76" customFormat="1" spans="1:6">
      <c r="A11196">
        <v>11507</v>
      </c>
      <c r="B11196">
        <v>532013270</v>
      </c>
      <c r="C11196">
        <v>2013</v>
      </c>
      <c r="D11196" t="s">
        <v>31</v>
      </c>
      <c r="E11196" t="s">
        <v>32</v>
      </c>
      <c r="F11196">
        <v>3</v>
      </c>
    </row>
    <row r="11197" s="76" customFormat="1" spans="1:6">
      <c r="A11197">
        <v>11508</v>
      </c>
      <c r="B11197">
        <v>532013270</v>
      </c>
      <c r="C11197">
        <v>2013</v>
      </c>
      <c r="D11197" t="s">
        <v>31</v>
      </c>
      <c r="E11197" t="s">
        <v>32</v>
      </c>
      <c r="F11197">
        <v>2</v>
      </c>
    </row>
    <row r="11198" s="76" customFormat="1" spans="1:6">
      <c r="A11198">
        <v>11524</v>
      </c>
      <c r="B11198">
        <v>532014110</v>
      </c>
      <c r="C11198">
        <v>2014</v>
      </c>
      <c r="D11198" t="s">
        <v>40</v>
      </c>
      <c r="E11198">
        <v>1</v>
      </c>
      <c r="F11198">
        <v>60</v>
      </c>
    </row>
    <row r="11199" s="76" customFormat="1" spans="1:6">
      <c r="A11199">
        <v>11517</v>
      </c>
      <c r="B11199">
        <v>532014110</v>
      </c>
      <c r="C11199">
        <v>2014</v>
      </c>
      <c r="D11199" t="s">
        <v>40</v>
      </c>
      <c r="E11199">
        <v>1</v>
      </c>
      <c r="F11199">
        <v>36</v>
      </c>
    </row>
    <row r="11200" s="76" customFormat="1" spans="1:6">
      <c r="A11200">
        <v>11522</v>
      </c>
      <c r="B11200">
        <v>532014110</v>
      </c>
      <c r="C11200">
        <v>2014</v>
      </c>
      <c r="D11200" t="s">
        <v>40</v>
      </c>
      <c r="E11200">
        <v>2</v>
      </c>
      <c r="F11200">
        <v>130</v>
      </c>
    </row>
    <row r="11201" s="76" customFormat="1" spans="1:6">
      <c r="A11201">
        <v>11513</v>
      </c>
      <c r="B11201">
        <v>532014110</v>
      </c>
      <c r="C11201">
        <v>2014</v>
      </c>
      <c r="D11201" t="s">
        <v>40</v>
      </c>
      <c r="E11201">
        <v>2</v>
      </c>
      <c r="F11201">
        <v>2</v>
      </c>
    </row>
    <row r="11202" s="76" customFormat="1" spans="1:6">
      <c r="A11202">
        <v>11520</v>
      </c>
      <c r="B11202">
        <v>532014110</v>
      </c>
      <c r="C11202">
        <v>2014</v>
      </c>
      <c r="D11202" t="s">
        <v>40</v>
      </c>
      <c r="E11202">
        <v>1</v>
      </c>
      <c r="F11202">
        <v>60</v>
      </c>
    </row>
    <row r="11203" s="76" customFormat="1" spans="1:6">
      <c r="A11203">
        <v>11519</v>
      </c>
      <c r="B11203">
        <v>532014110</v>
      </c>
      <c r="C11203">
        <v>2014</v>
      </c>
      <c r="D11203" t="s">
        <v>40</v>
      </c>
      <c r="E11203">
        <v>3</v>
      </c>
      <c r="F11203">
        <v>108</v>
      </c>
    </row>
    <row r="11204" s="76" customFormat="1" spans="1:6">
      <c r="A11204">
        <v>11525</v>
      </c>
      <c r="B11204">
        <v>532014110</v>
      </c>
      <c r="C11204">
        <v>2014</v>
      </c>
      <c r="D11204" t="s">
        <v>40</v>
      </c>
      <c r="E11204">
        <v>2</v>
      </c>
      <c r="F11204">
        <v>1.26</v>
      </c>
    </row>
    <row r="11205" s="76" customFormat="1" spans="1:6">
      <c r="A11205">
        <v>11512</v>
      </c>
      <c r="B11205">
        <v>532014110</v>
      </c>
      <c r="C11205">
        <v>2014</v>
      </c>
      <c r="D11205" t="s">
        <v>40</v>
      </c>
      <c r="E11205">
        <v>6</v>
      </c>
      <c r="F11205">
        <v>462</v>
      </c>
    </row>
    <row r="11206" s="76" customFormat="1" spans="1:6">
      <c r="A11206">
        <v>11515</v>
      </c>
      <c r="B11206">
        <v>532014110</v>
      </c>
      <c r="C11206">
        <v>2014</v>
      </c>
      <c r="D11206" t="s">
        <v>40</v>
      </c>
      <c r="E11206">
        <v>1</v>
      </c>
      <c r="F11206">
        <v>0.5</v>
      </c>
    </row>
    <row r="11207" s="76" customFormat="1" spans="1:6">
      <c r="A11207">
        <v>11526</v>
      </c>
      <c r="B11207">
        <v>532014110</v>
      </c>
      <c r="C11207">
        <v>2014</v>
      </c>
      <c r="D11207" t="s">
        <v>40</v>
      </c>
      <c r="E11207">
        <v>1</v>
      </c>
      <c r="F11207">
        <v>0.9</v>
      </c>
    </row>
    <row r="11208" s="76" customFormat="1" spans="1:6">
      <c r="A11208">
        <v>11516</v>
      </c>
      <c r="B11208">
        <v>532014110</v>
      </c>
      <c r="C11208">
        <v>2014</v>
      </c>
      <c r="D11208" t="s">
        <v>40</v>
      </c>
      <c r="E11208">
        <v>3</v>
      </c>
      <c r="F11208">
        <v>24</v>
      </c>
    </row>
    <row r="11209" s="76" customFormat="1" spans="1:6">
      <c r="A11209">
        <v>11518</v>
      </c>
      <c r="B11209">
        <v>532014110</v>
      </c>
      <c r="C11209">
        <v>2014</v>
      </c>
      <c r="D11209" t="s">
        <v>40</v>
      </c>
      <c r="E11209">
        <v>1</v>
      </c>
      <c r="F11209">
        <v>40</v>
      </c>
    </row>
    <row r="11210" s="76" customFormat="1" spans="1:6">
      <c r="A11210">
        <v>11523</v>
      </c>
      <c r="B11210">
        <v>532014110</v>
      </c>
      <c r="C11210">
        <v>2014</v>
      </c>
      <c r="D11210" t="s">
        <v>40</v>
      </c>
      <c r="E11210">
        <v>2</v>
      </c>
      <c r="F11210">
        <v>19</v>
      </c>
    </row>
    <row r="11211" s="76" customFormat="1" spans="1:6">
      <c r="A11211">
        <v>11521</v>
      </c>
      <c r="B11211">
        <v>532014110</v>
      </c>
      <c r="C11211">
        <v>2014</v>
      </c>
      <c r="D11211" t="s">
        <v>40</v>
      </c>
      <c r="E11211">
        <v>2</v>
      </c>
      <c r="F11211">
        <v>1.8</v>
      </c>
    </row>
    <row r="11212" s="76" customFormat="1" spans="1:6">
      <c r="A11212">
        <v>11514</v>
      </c>
      <c r="B11212">
        <v>532014110</v>
      </c>
      <c r="C11212">
        <v>2014</v>
      </c>
      <c r="D11212" t="s">
        <v>40</v>
      </c>
      <c r="E11212">
        <v>2</v>
      </c>
      <c r="F11212">
        <v>0.7</v>
      </c>
    </row>
    <row r="11213" s="76" customFormat="1" spans="1:6">
      <c r="A11213">
        <v>11553</v>
      </c>
      <c r="B11213">
        <v>532014260</v>
      </c>
      <c r="C11213">
        <v>2014</v>
      </c>
      <c r="D11213" t="s">
        <v>34</v>
      </c>
      <c r="E11213">
        <v>33</v>
      </c>
      <c r="F11213">
        <v>4.95</v>
      </c>
    </row>
    <row r="11214" s="76" customFormat="1" spans="1:6">
      <c r="A11214">
        <v>11536</v>
      </c>
      <c r="B11214">
        <v>532014260</v>
      </c>
      <c r="C11214">
        <v>2014</v>
      </c>
      <c r="D11214" t="s">
        <v>34</v>
      </c>
      <c r="E11214">
        <v>22</v>
      </c>
      <c r="F11214">
        <v>3.3</v>
      </c>
    </row>
    <row r="11215" s="76" customFormat="1" spans="1:6">
      <c r="A11215">
        <v>11532</v>
      </c>
      <c r="B11215">
        <v>532014260</v>
      </c>
      <c r="C11215">
        <v>2014</v>
      </c>
      <c r="D11215" t="s">
        <v>34</v>
      </c>
      <c r="E11215">
        <v>9</v>
      </c>
      <c r="F11215">
        <v>1.35</v>
      </c>
    </row>
    <row r="11216" s="76" customFormat="1" spans="1:6">
      <c r="A11216">
        <v>11548</v>
      </c>
      <c r="B11216">
        <v>532014260</v>
      </c>
      <c r="C11216">
        <v>2014</v>
      </c>
      <c r="D11216" t="s">
        <v>34</v>
      </c>
      <c r="E11216">
        <v>88</v>
      </c>
      <c r="F11216">
        <v>13.2</v>
      </c>
    </row>
    <row r="11217" s="76" customFormat="1" spans="1:6">
      <c r="A11217">
        <v>11551</v>
      </c>
      <c r="B11217">
        <v>532014260</v>
      </c>
      <c r="C11217">
        <v>2014</v>
      </c>
      <c r="D11217" t="s">
        <v>34</v>
      </c>
      <c r="E11217">
        <v>24</v>
      </c>
      <c r="F11217">
        <v>4.8</v>
      </c>
    </row>
    <row r="11218" s="76" customFormat="1" spans="1:6">
      <c r="A11218">
        <v>11534</v>
      </c>
      <c r="B11218">
        <v>532014260</v>
      </c>
      <c r="C11218">
        <v>2014</v>
      </c>
      <c r="D11218" t="s">
        <v>34</v>
      </c>
      <c r="E11218">
        <v>33</v>
      </c>
      <c r="F11218">
        <v>4.95</v>
      </c>
    </row>
    <row r="11219" s="76" customFormat="1" spans="1:6">
      <c r="A11219">
        <v>11527</v>
      </c>
      <c r="B11219">
        <v>532014260</v>
      </c>
      <c r="C11219">
        <v>2014</v>
      </c>
      <c r="D11219" t="s">
        <v>34</v>
      </c>
      <c r="E11219">
        <v>20</v>
      </c>
      <c r="F11219">
        <v>4</v>
      </c>
    </row>
    <row r="11220" s="76" customFormat="1" spans="1:6">
      <c r="A11220">
        <v>11535</v>
      </c>
      <c r="B11220">
        <v>532014260</v>
      </c>
      <c r="C11220">
        <v>2014</v>
      </c>
      <c r="D11220" t="s">
        <v>34</v>
      </c>
      <c r="E11220">
        <v>27</v>
      </c>
      <c r="F11220">
        <v>4.05</v>
      </c>
    </row>
    <row r="11221" s="76" customFormat="1" spans="1:6">
      <c r="A11221">
        <v>11554</v>
      </c>
      <c r="B11221">
        <v>532014260</v>
      </c>
      <c r="C11221">
        <v>2014</v>
      </c>
      <c r="D11221" t="s">
        <v>34</v>
      </c>
      <c r="E11221">
        <v>33</v>
      </c>
      <c r="F11221">
        <v>4.95</v>
      </c>
    </row>
    <row r="11222" s="76" customFormat="1" spans="1:6">
      <c r="A11222">
        <v>11552</v>
      </c>
      <c r="B11222">
        <v>532014260</v>
      </c>
      <c r="C11222">
        <v>2014</v>
      </c>
      <c r="D11222" t="s">
        <v>34</v>
      </c>
      <c r="E11222">
        <v>5</v>
      </c>
      <c r="F11222">
        <v>0.75</v>
      </c>
    </row>
    <row r="11223" s="76" customFormat="1" spans="1:6">
      <c r="A11223">
        <v>11550</v>
      </c>
      <c r="B11223">
        <v>532014260</v>
      </c>
      <c r="C11223">
        <v>2014</v>
      </c>
      <c r="D11223" t="s">
        <v>34</v>
      </c>
      <c r="E11223">
        <v>22</v>
      </c>
      <c r="F11223">
        <v>3.3</v>
      </c>
    </row>
    <row r="11224" s="76" customFormat="1" spans="1:6">
      <c r="A11224">
        <v>11547</v>
      </c>
      <c r="B11224">
        <v>532014260</v>
      </c>
      <c r="C11224">
        <v>2014</v>
      </c>
      <c r="D11224" t="s">
        <v>34</v>
      </c>
      <c r="E11224">
        <v>24</v>
      </c>
      <c r="F11224">
        <v>4.8</v>
      </c>
    </row>
    <row r="11225" s="76" customFormat="1" spans="1:6">
      <c r="A11225">
        <v>11549</v>
      </c>
      <c r="B11225">
        <v>532014260</v>
      </c>
      <c r="C11225">
        <v>2014</v>
      </c>
      <c r="D11225" t="s">
        <v>34</v>
      </c>
      <c r="E11225">
        <v>33</v>
      </c>
      <c r="F11225">
        <v>4.95</v>
      </c>
    </row>
    <row r="11226" s="76" customFormat="1" spans="1:6">
      <c r="A11226">
        <v>11555</v>
      </c>
      <c r="B11226">
        <v>532014260</v>
      </c>
      <c r="C11226">
        <v>2014</v>
      </c>
      <c r="D11226" t="s">
        <v>34</v>
      </c>
      <c r="E11226">
        <v>20</v>
      </c>
      <c r="F11226">
        <v>4</v>
      </c>
    </row>
    <row r="11227" s="76" customFormat="1" spans="1:6">
      <c r="A11227">
        <v>11537</v>
      </c>
      <c r="B11227">
        <v>532014260</v>
      </c>
      <c r="C11227">
        <v>2014</v>
      </c>
      <c r="D11227" t="s">
        <v>34</v>
      </c>
      <c r="E11227">
        <v>33</v>
      </c>
      <c r="F11227">
        <v>4.95</v>
      </c>
    </row>
    <row r="11228" s="76" customFormat="1" spans="1:6">
      <c r="A11228">
        <v>11528</v>
      </c>
      <c r="B11228">
        <v>532014260</v>
      </c>
      <c r="C11228">
        <v>2014</v>
      </c>
      <c r="D11228" t="s">
        <v>34</v>
      </c>
      <c r="E11228">
        <v>22</v>
      </c>
      <c r="F11228">
        <v>3.3</v>
      </c>
    </row>
    <row r="11229" s="76" customFormat="1" spans="1:6">
      <c r="A11229">
        <v>11529</v>
      </c>
      <c r="B11229">
        <v>532014260</v>
      </c>
      <c r="C11229">
        <v>2014</v>
      </c>
      <c r="D11229" t="s">
        <v>34</v>
      </c>
      <c r="E11229">
        <v>33</v>
      </c>
      <c r="F11229">
        <v>4.95</v>
      </c>
    </row>
    <row r="11230" s="76" customFormat="1" spans="1:6">
      <c r="A11230">
        <v>11533</v>
      </c>
      <c r="B11230">
        <v>532014260</v>
      </c>
      <c r="C11230">
        <v>2014</v>
      </c>
      <c r="D11230" t="s">
        <v>34</v>
      </c>
      <c r="E11230">
        <v>33</v>
      </c>
      <c r="F11230">
        <v>4.95</v>
      </c>
    </row>
    <row r="11231" s="76" customFormat="1" spans="1:6">
      <c r="A11231">
        <v>11539</v>
      </c>
      <c r="B11231">
        <v>532014260</v>
      </c>
      <c r="C11231">
        <v>2014</v>
      </c>
      <c r="D11231" t="s">
        <v>34</v>
      </c>
      <c r="E11231">
        <v>33</v>
      </c>
      <c r="F11231">
        <v>4.95</v>
      </c>
    </row>
    <row r="11232" s="76" customFormat="1" spans="1:6">
      <c r="A11232">
        <v>11530</v>
      </c>
      <c r="B11232">
        <v>532014260</v>
      </c>
      <c r="C11232">
        <v>2014</v>
      </c>
      <c r="D11232" t="s">
        <v>34</v>
      </c>
      <c r="E11232">
        <v>33</v>
      </c>
      <c r="F11232">
        <v>4.95</v>
      </c>
    </row>
    <row r="11233" s="76" customFormat="1" spans="1:6">
      <c r="A11233">
        <v>11538</v>
      </c>
      <c r="B11233">
        <v>532014260</v>
      </c>
      <c r="C11233">
        <v>2014</v>
      </c>
      <c r="D11233" t="s">
        <v>34</v>
      </c>
      <c r="E11233">
        <v>28</v>
      </c>
      <c r="F11233">
        <v>4.2</v>
      </c>
    </row>
    <row r="11234" s="76" customFormat="1" spans="1:6">
      <c r="A11234">
        <v>11531</v>
      </c>
      <c r="B11234">
        <v>532014260</v>
      </c>
      <c r="C11234">
        <v>2014</v>
      </c>
      <c r="D11234" t="s">
        <v>34</v>
      </c>
      <c r="E11234">
        <v>33</v>
      </c>
      <c r="F11234">
        <v>4.95</v>
      </c>
    </row>
    <row r="11235" s="76" customFormat="1" spans="1:6">
      <c r="A11235">
        <v>11540</v>
      </c>
      <c r="B11235">
        <v>532014260</v>
      </c>
      <c r="C11235">
        <v>2014</v>
      </c>
      <c r="D11235" t="s">
        <v>34</v>
      </c>
      <c r="E11235">
        <v>33</v>
      </c>
      <c r="F11235">
        <v>4.95</v>
      </c>
    </row>
    <row r="11236" s="76" customFormat="1" spans="1:6">
      <c r="A11236">
        <v>11541</v>
      </c>
      <c r="B11236">
        <v>532014260</v>
      </c>
      <c r="C11236">
        <v>2014</v>
      </c>
      <c r="D11236" t="s">
        <v>34</v>
      </c>
      <c r="E11236">
        <v>33</v>
      </c>
      <c r="F11236">
        <v>4.95</v>
      </c>
    </row>
    <row r="11237" s="76" customFormat="1" spans="1:6">
      <c r="A11237">
        <v>11542</v>
      </c>
      <c r="B11237">
        <v>532014260</v>
      </c>
      <c r="C11237">
        <v>2014</v>
      </c>
      <c r="D11237" t="s">
        <v>34</v>
      </c>
      <c r="E11237">
        <v>33</v>
      </c>
      <c r="F11237">
        <v>4.95</v>
      </c>
    </row>
    <row r="11238" s="76" customFormat="1" spans="1:6">
      <c r="A11238">
        <v>11543</v>
      </c>
      <c r="B11238">
        <v>532014260</v>
      </c>
      <c r="C11238">
        <v>2014</v>
      </c>
      <c r="D11238" t="s">
        <v>34</v>
      </c>
      <c r="E11238">
        <v>33</v>
      </c>
      <c r="F11238">
        <v>4.95</v>
      </c>
    </row>
    <row r="11239" s="76" customFormat="1" spans="1:6">
      <c r="A11239">
        <v>11544</v>
      </c>
      <c r="B11239">
        <v>532014260</v>
      </c>
      <c r="C11239">
        <v>2014</v>
      </c>
      <c r="D11239" t="s">
        <v>34</v>
      </c>
      <c r="E11239">
        <v>33</v>
      </c>
      <c r="F11239">
        <v>4.95</v>
      </c>
    </row>
    <row r="11240" s="76" customFormat="1" spans="1:6">
      <c r="A11240">
        <v>11545</v>
      </c>
      <c r="B11240">
        <v>532014260</v>
      </c>
      <c r="C11240">
        <v>2014</v>
      </c>
      <c r="D11240" t="s">
        <v>34</v>
      </c>
      <c r="E11240">
        <v>11</v>
      </c>
      <c r="F11240">
        <v>1.65</v>
      </c>
    </row>
    <row r="11241" s="76" customFormat="1" spans="1:6">
      <c r="A11241">
        <v>11546</v>
      </c>
      <c r="B11241">
        <v>532014260</v>
      </c>
      <c r="C11241">
        <v>2014</v>
      </c>
      <c r="D11241" t="s">
        <v>34</v>
      </c>
      <c r="E11241">
        <v>22</v>
      </c>
      <c r="F11241">
        <v>3.3</v>
      </c>
    </row>
    <row r="11242" s="76" customFormat="1" spans="1:6">
      <c r="A11242">
        <v>11557</v>
      </c>
      <c r="B11242">
        <v>532014270</v>
      </c>
      <c r="C11242">
        <v>2014</v>
      </c>
      <c r="D11242" t="s">
        <v>31</v>
      </c>
      <c r="E11242"/>
      <c r="F11242">
        <v>0.8</v>
      </c>
    </row>
    <row r="11243" s="76" customFormat="1" spans="1:6">
      <c r="A11243">
        <v>11558</v>
      </c>
      <c r="B11243">
        <v>532014270</v>
      </c>
      <c r="C11243">
        <v>2014</v>
      </c>
      <c r="D11243" t="s">
        <v>31</v>
      </c>
      <c r="E11243"/>
      <c r="F11243">
        <v>1.37</v>
      </c>
    </row>
    <row r="11244" s="76" customFormat="1" spans="1:6">
      <c r="A11244">
        <v>11559</v>
      </c>
      <c r="B11244">
        <v>532014270</v>
      </c>
      <c r="C11244">
        <v>2014</v>
      </c>
      <c r="D11244" t="s">
        <v>31</v>
      </c>
      <c r="E11244"/>
      <c r="F11244">
        <v>0.1</v>
      </c>
    </row>
    <row r="11245" s="76" customFormat="1" spans="1:6">
      <c r="A11245">
        <v>11556</v>
      </c>
      <c r="B11245">
        <v>532014270</v>
      </c>
      <c r="C11245">
        <v>2014</v>
      </c>
      <c r="D11245" t="s">
        <v>31</v>
      </c>
      <c r="E11245"/>
      <c r="F11245">
        <v>3</v>
      </c>
    </row>
    <row r="11246" s="76" customFormat="1" spans="1:6">
      <c r="A11246">
        <v>11566</v>
      </c>
      <c r="B11246">
        <v>532015110</v>
      </c>
      <c r="C11246">
        <v>2015</v>
      </c>
      <c r="D11246" t="s">
        <v>40</v>
      </c>
      <c r="E11246" t="s">
        <v>32</v>
      </c>
      <c r="F11246">
        <v>3</v>
      </c>
    </row>
    <row r="11247" s="76" customFormat="1" spans="1:6">
      <c r="A11247">
        <v>11569</v>
      </c>
      <c r="B11247">
        <v>532015110</v>
      </c>
      <c r="C11247">
        <v>2015</v>
      </c>
      <c r="D11247" t="s">
        <v>40</v>
      </c>
      <c r="E11247">
        <v>1</v>
      </c>
      <c r="F11247">
        <v>3</v>
      </c>
    </row>
    <row r="11248" s="76" customFormat="1" spans="1:6">
      <c r="A11248">
        <v>11565</v>
      </c>
      <c r="B11248">
        <v>532015110</v>
      </c>
      <c r="C11248">
        <v>2015</v>
      </c>
      <c r="D11248" t="s">
        <v>40</v>
      </c>
      <c r="E11248">
        <v>1</v>
      </c>
      <c r="F11248">
        <v>0.9</v>
      </c>
    </row>
    <row r="11249" s="76" customFormat="1" spans="1:6">
      <c r="A11249">
        <v>11568</v>
      </c>
      <c r="B11249">
        <v>532015110</v>
      </c>
      <c r="C11249">
        <v>2015</v>
      </c>
      <c r="D11249" t="s">
        <v>40</v>
      </c>
      <c r="E11249">
        <v>1</v>
      </c>
      <c r="F11249">
        <v>0.9</v>
      </c>
    </row>
    <row r="11250" s="76" customFormat="1" spans="1:6">
      <c r="A11250">
        <v>11561</v>
      </c>
      <c r="B11250">
        <v>532015110</v>
      </c>
      <c r="C11250">
        <v>2015</v>
      </c>
      <c r="D11250" t="s">
        <v>40</v>
      </c>
      <c r="E11250">
        <v>2</v>
      </c>
      <c r="F11250">
        <v>1.4</v>
      </c>
    </row>
    <row r="11251" s="76" customFormat="1" spans="1:6">
      <c r="A11251">
        <v>11560</v>
      </c>
      <c r="B11251">
        <v>532015110</v>
      </c>
      <c r="C11251">
        <v>2015</v>
      </c>
      <c r="D11251" t="s">
        <v>40</v>
      </c>
      <c r="E11251">
        <v>2</v>
      </c>
      <c r="F11251">
        <v>6</v>
      </c>
    </row>
    <row r="11252" s="76" customFormat="1" spans="1:6">
      <c r="A11252">
        <v>11564</v>
      </c>
      <c r="B11252">
        <v>532015110</v>
      </c>
      <c r="C11252">
        <v>2015</v>
      </c>
      <c r="D11252" t="s">
        <v>40</v>
      </c>
      <c r="E11252">
        <v>3</v>
      </c>
      <c r="F11252">
        <v>180</v>
      </c>
    </row>
    <row r="11253" s="76" customFormat="1" spans="1:6">
      <c r="A11253">
        <v>11563</v>
      </c>
      <c r="B11253">
        <v>532015110</v>
      </c>
      <c r="C11253">
        <v>2015</v>
      </c>
      <c r="D11253" t="s">
        <v>40</v>
      </c>
      <c r="E11253">
        <v>2</v>
      </c>
      <c r="F11253">
        <v>2.4</v>
      </c>
    </row>
    <row r="11254" s="76" customFormat="1" spans="1:6">
      <c r="A11254">
        <v>11567</v>
      </c>
      <c r="B11254">
        <v>532015110</v>
      </c>
      <c r="C11254">
        <v>2015</v>
      </c>
      <c r="D11254" t="s">
        <v>40</v>
      </c>
      <c r="E11254">
        <v>1</v>
      </c>
      <c r="F11254">
        <v>10</v>
      </c>
    </row>
    <row r="11255" s="76" customFormat="1" spans="1:6">
      <c r="A11255">
        <v>11562</v>
      </c>
      <c r="B11255">
        <v>532015110</v>
      </c>
      <c r="C11255">
        <v>2015</v>
      </c>
      <c r="D11255" t="s">
        <v>40</v>
      </c>
      <c r="E11255">
        <v>1</v>
      </c>
      <c r="F11255">
        <v>60</v>
      </c>
    </row>
    <row r="11256" s="76" customFormat="1" spans="1:6">
      <c r="A11256">
        <v>11588</v>
      </c>
      <c r="B11256">
        <v>532015260</v>
      </c>
      <c r="C11256">
        <v>2015</v>
      </c>
      <c r="D11256" t="s">
        <v>34</v>
      </c>
      <c r="E11256">
        <v>33</v>
      </c>
      <c r="F11256">
        <v>4.95</v>
      </c>
    </row>
    <row r="11257" s="76" customFormat="1" spans="1:6">
      <c r="A11257">
        <v>11606</v>
      </c>
      <c r="B11257">
        <v>532015260</v>
      </c>
      <c r="C11257">
        <v>2015</v>
      </c>
      <c r="D11257" t="s">
        <v>34</v>
      </c>
      <c r="E11257">
        <v>33</v>
      </c>
      <c r="F11257">
        <v>4.95</v>
      </c>
    </row>
    <row r="11258" s="76" customFormat="1" spans="1:6">
      <c r="A11258">
        <v>11607</v>
      </c>
      <c r="B11258">
        <v>532015260</v>
      </c>
      <c r="C11258">
        <v>2015</v>
      </c>
      <c r="D11258" t="s">
        <v>34</v>
      </c>
      <c r="E11258">
        <v>33</v>
      </c>
      <c r="F11258">
        <v>4.95</v>
      </c>
    </row>
    <row r="11259" s="76" customFormat="1" spans="1:6">
      <c r="A11259">
        <v>11598</v>
      </c>
      <c r="B11259">
        <v>532015260</v>
      </c>
      <c r="C11259">
        <v>2015</v>
      </c>
      <c r="D11259" t="s">
        <v>34</v>
      </c>
      <c r="E11259">
        <v>40</v>
      </c>
      <c r="F11259">
        <v>8</v>
      </c>
    </row>
    <row r="11260" s="76" customFormat="1" spans="1:6">
      <c r="A11260">
        <v>11575</v>
      </c>
      <c r="B11260">
        <v>532015260</v>
      </c>
      <c r="C11260">
        <v>2015</v>
      </c>
      <c r="D11260" t="s">
        <v>34</v>
      </c>
      <c r="E11260">
        <v>93</v>
      </c>
      <c r="F11260">
        <v>20.28</v>
      </c>
    </row>
    <row r="11261" s="76" customFormat="1" spans="1:6">
      <c r="A11261">
        <v>11576</v>
      </c>
      <c r="B11261">
        <v>532015260</v>
      </c>
      <c r="C11261">
        <v>2015</v>
      </c>
      <c r="D11261" t="s">
        <v>34</v>
      </c>
      <c r="E11261">
        <v>6</v>
      </c>
      <c r="F11261">
        <v>0.9</v>
      </c>
    </row>
    <row r="11262" s="76" customFormat="1" spans="1:6">
      <c r="A11262">
        <v>11584</v>
      </c>
      <c r="B11262">
        <v>532015260</v>
      </c>
      <c r="C11262">
        <v>2015</v>
      </c>
      <c r="D11262" t="s">
        <v>34</v>
      </c>
      <c r="E11262">
        <v>18</v>
      </c>
      <c r="F11262">
        <v>3.6</v>
      </c>
    </row>
    <row r="11263" s="76" customFormat="1" spans="1:6">
      <c r="A11263">
        <v>11593</v>
      </c>
      <c r="B11263">
        <v>532015260</v>
      </c>
      <c r="C11263">
        <v>2015</v>
      </c>
      <c r="D11263" t="s">
        <v>34</v>
      </c>
      <c r="E11263">
        <v>33</v>
      </c>
      <c r="F11263">
        <v>4.95</v>
      </c>
    </row>
    <row r="11264" s="76" customFormat="1" spans="1:6">
      <c r="A11264">
        <v>11597</v>
      </c>
      <c r="B11264">
        <v>532015260</v>
      </c>
      <c r="C11264">
        <v>2015</v>
      </c>
      <c r="D11264" t="s">
        <v>34</v>
      </c>
      <c r="E11264">
        <v>24</v>
      </c>
      <c r="F11264">
        <v>4.8</v>
      </c>
    </row>
    <row r="11265" s="76" customFormat="1" spans="1:6">
      <c r="A11265">
        <v>11592</v>
      </c>
      <c r="B11265">
        <v>532015260</v>
      </c>
      <c r="C11265">
        <v>2015</v>
      </c>
      <c r="D11265" t="s">
        <v>34</v>
      </c>
      <c r="E11265">
        <v>33</v>
      </c>
      <c r="F11265">
        <v>4.95</v>
      </c>
    </row>
    <row r="11266" s="76" customFormat="1" spans="1:6">
      <c r="A11266">
        <v>11591</v>
      </c>
      <c r="B11266">
        <v>532015260</v>
      </c>
      <c r="C11266">
        <v>2015</v>
      </c>
      <c r="D11266" t="s">
        <v>34</v>
      </c>
      <c r="E11266">
        <v>33</v>
      </c>
      <c r="F11266">
        <v>4.95</v>
      </c>
    </row>
    <row r="11267" s="76" customFormat="1" spans="1:6">
      <c r="A11267">
        <v>11595</v>
      </c>
      <c r="B11267">
        <v>532015260</v>
      </c>
      <c r="C11267">
        <v>2015</v>
      </c>
      <c r="D11267" t="s">
        <v>34</v>
      </c>
      <c r="E11267">
        <v>33</v>
      </c>
      <c r="F11267">
        <v>4.95</v>
      </c>
    </row>
    <row r="11268" s="76" customFormat="1" spans="1:6">
      <c r="A11268">
        <v>11571</v>
      </c>
      <c r="B11268">
        <v>532015260</v>
      </c>
      <c r="C11268">
        <v>2015</v>
      </c>
      <c r="D11268" t="s">
        <v>34</v>
      </c>
      <c r="E11268">
        <v>24</v>
      </c>
      <c r="F11268">
        <v>4.8</v>
      </c>
    </row>
    <row r="11269" s="76" customFormat="1" spans="1:6">
      <c r="A11269">
        <v>11594</v>
      </c>
      <c r="B11269">
        <v>532015260</v>
      </c>
      <c r="C11269">
        <v>2015</v>
      </c>
      <c r="D11269" t="s">
        <v>34</v>
      </c>
      <c r="E11269">
        <v>19</v>
      </c>
      <c r="F11269">
        <v>3.8</v>
      </c>
    </row>
    <row r="11270" s="76" customFormat="1" spans="1:6">
      <c r="A11270">
        <v>11589</v>
      </c>
      <c r="B11270">
        <v>532015260</v>
      </c>
      <c r="C11270">
        <v>2015</v>
      </c>
      <c r="D11270" t="s">
        <v>34</v>
      </c>
      <c r="E11270">
        <v>18</v>
      </c>
      <c r="F11270">
        <v>3.6</v>
      </c>
    </row>
    <row r="11271" s="76" customFormat="1" spans="1:6">
      <c r="A11271">
        <v>11608</v>
      </c>
      <c r="B11271">
        <v>532015260</v>
      </c>
      <c r="C11271">
        <v>2015</v>
      </c>
      <c r="D11271" t="s">
        <v>34</v>
      </c>
      <c r="E11271">
        <v>33</v>
      </c>
      <c r="F11271">
        <v>4.95</v>
      </c>
    </row>
    <row r="11272" s="76" customFormat="1" spans="1:6">
      <c r="A11272">
        <v>11600</v>
      </c>
      <c r="B11272">
        <v>532015260</v>
      </c>
      <c r="C11272">
        <v>2015</v>
      </c>
      <c r="D11272" t="s">
        <v>34</v>
      </c>
      <c r="E11272">
        <v>28</v>
      </c>
      <c r="F11272">
        <v>4.95</v>
      </c>
    </row>
    <row r="11273" s="76" customFormat="1" spans="1:6">
      <c r="A11273">
        <v>11585</v>
      </c>
      <c r="B11273">
        <v>532015260</v>
      </c>
      <c r="C11273">
        <v>2015</v>
      </c>
      <c r="D11273" t="s">
        <v>34</v>
      </c>
      <c r="E11273">
        <v>25</v>
      </c>
      <c r="F11273">
        <v>5</v>
      </c>
    </row>
    <row r="11274" s="76" customFormat="1" spans="1:6">
      <c r="A11274">
        <v>11579</v>
      </c>
      <c r="B11274">
        <v>532015260</v>
      </c>
      <c r="C11274">
        <v>2015</v>
      </c>
      <c r="D11274" t="s">
        <v>34</v>
      </c>
      <c r="E11274">
        <v>27</v>
      </c>
      <c r="F11274">
        <v>4.05</v>
      </c>
    </row>
    <row r="11275" s="76" customFormat="1" spans="1:6">
      <c r="A11275">
        <v>11596</v>
      </c>
      <c r="B11275">
        <v>532015260</v>
      </c>
      <c r="C11275">
        <v>2015</v>
      </c>
      <c r="D11275" t="s">
        <v>34</v>
      </c>
      <c r="E11275">
        <v>33</v>
      </c>
      <c r="F11275">
        <v>4.95</v>
      </c>
    </row>
    <row r="11276" s="76" customFormat="1" spans="1:6">
      <c r="A11276">
        <v>11601</v>
      </c>
      <c r="B11276">
        <v>532015260</v>
      </c>
      <c r="C11276">
        <v>2015</v>
      </c>
      <c r="D11276" t="s">
        <v>34</v>
      </c>
      <c r="E11276">
        <v>79</v>
      </c>
      <c r="F11276">
        <v>19.93</v>
      </c>
    </row>
    <row r="11277" s="76" customFormat="1" spans="1:6">
      <c r="A11277">
        <v>11578</v>
      </c>
      <c r="B11277">
        <v>532015260</v>
      </c>
      <c r="C11277">
        <v>2015</v>
      </c>
      <c r="D11277" t="s">
        <v>34</v>
      </c>
      <c r="E11277">
        <v>26</v>
      </c>
      <c r="F11277">
        <v>3.9</v>
      </c>
    </row>
    <row r="11278" s="76" customFormat="1" spans="1:6">
      <c r="A11278">
        <v>11602</v>
      </c>
      <c r="B11278">
        <v>532015260</v>
      </c>
      <c r="C11278">
        <v>2015</v>
      </c>
      <c r="D11278" t="s">
        <v>34</v>
      </c>
      <c r="E11278">
        <v>33</v>
      </c>
      <c r="F11278">
        <v>4.95</v>
      </c>
    </row>
    <row r="11279" s="76" customFormat="1" spans="1:6">
      <c r="A11279">
        <v>11599</v>
      </c>
      <c r="B11279">
        <v>532015260</v>
      </c>
      <c r="C11279">
        <v>2015</v>
      </c>
      <c r="D11279" t="s">
        <v>34</v>
      </c>
      <c r="E11279">
        <v>25</v>
      </c>
      <c r="F11279">
        <v>4.95</v>
      </c>
    </row>
    <row r="11280" s="76" customFormat="1" spans="1:6">
      <c r="A11280">
        <v>11603</v>
      </c>
      <c r="B11280">
        <v>532015260</v>
      </c>
      <c r="C11280">
        <v>2015</v>
      </c>
      <c r="D11280" t="s">
        <v>34</v>
      </c>
      <c r="E11280">
        <v>33</v>
      </c>
      <c r="F11280">
        <v>4.95</v>
      </c>
    </row>
    <row r="11281" s="76" customFormat="1" spans="1:6">
      <c r="A11281">
        <v>11581</v>
      </c>
      <c r="B11281">
        <v>532015260</v>
      </c>
      <c r="C11281">
        <v>2015</v>
      </c>
      <c r="D11281" t="s">
        <v>34</v>
      </c>
      <c r="E11281">
        <v>24</v>
      </c>
      <c r="F11281">
        <v>4.8</v>
      </c>
    </row>
    <row r="11282" s="76" customFormat="1" spans="1:6">
      <c r="A11282">
        <v>11590</v>
      </c>
      <c r="B11282">
        <v>532015260</v>
      </c>
      <c r="C11282">
        <v>2015</v>
      </c>
      <c r="D11282" t="s">
        <v>34</v>
      </c>
      <c r="E11282">
        <v>24</v>
      </c>
      <c r="F11282">
        <v>4.8</v>
      </c>
    </row>
    <row r="11283" s="76" customFormat="1" spans="1:6">
      <c r="A11283">
        <v>11586</v>
      </c>
      <c r="B11283">
        <v>532015260</v>
      </c>
      <c r="C11283">
        <v>2015</v>
      </c>
      <c r="D11283" t="s">
        <v>34</v>
      </c>
      <c r="E11283">
        <v>24</v>
      </c>
      <c r="F11283">
        <v>4.8</v>
      </c>
    </row>
    <row r="11284" s="76" customFormat="1" spans="1:6">
      <c r="A11284">
        <v>11573</v>
      </c>
      <c r="B11284">
        <v>532015260</v>
      </c>
      <c r="C11284">
        <v>2015</v>
      </c>
      <c r="D11284" t="s">
        <v>34</v>
      </c>
      <c r="E11284">
        <v>33</v>
      </c>
      <c r="F11284">
        <v>4.95</v>
      </c>
    </row>
    <row r="11285" s="76" customFormat="1" spans="1:6">
      <c r="A11285">
        <v>11580</v>
      </c>
      <c r="B11285">
        <v>532015260</v>
      </c>
      <c r="C11285">
        <v>2015</v>
      </c>
      <c r="D11285" t="s">
        <v>34</v>
      </c>
      <c r="E11285">
        <v>24</v>
      </c>
      <c r="F11285">
        <v>4.8</v>
      </c>
    </row>
    <row r="11286" s="76" customFormat="1" spans="1:6">
      <c r="A11286">
        <v>11582</v>
      </c>
      <c r="B11286">
        <v>532015260</v>
      </c>
      <c r="C11286">
        <v>2015</v>
      </c>
      <c r="D11286" t="s">
        <v>34</v>
      </c>
      <c r="E11286">
        <v>24</v>
      </c>
      <c r="F11286">
        <v>4.8</v>
      </c>
    </row>
    <row r="11287" s="76" customFormat="1" spans="1:6">
      <c r="A11287">
        <v>11583</v>
      </c>
      <c r="B11287">
        <v>532015260</v>
      </c>
      <c r="C11287">
        <v>2015</v>
      </c>
      <c r="D11287" t="s">
        <v>34</v>
      </c>
      <c r="E11287">
        <v>24</v>
      </c>
      <c r="F11287">
        <v>4.8</v>
      </c>
    </row>
    <row r="11288" s="76" customFormat="1" spans="1:6">
      <c r="A11288">
        <v>11604</v>
      </c>
      <c r="B11288">
        <v>532015260</v>
      </c>
      <c r="C11288">
        <v>2015</v>
      </c>
      <c r="D11288" t="s">
        <v>34</v>
      </c>
      <c r="E11288">
        <v>33</v>
      </c>
      <c r="F11288">
        <v>4.95</v>
      </c>
    </row>
    <row r="11289" s="76" customFormat="1" spans="1:6">
      <c r="A11289">
        <v>11570</v>
      </c>
      <c r="B11289">
        <v>532015260</v>
      </c>
      <c r="C11289">
        <v>2015</v>
      </c>
      <c r="D11289" t="s">
        <v>34</v>
      </c>
      <c r="E11289">
        <v>21</v>
      </c>
      <c r="F11289">
        <v>4.2</v>
      </c>
    </row>
    <row r="11290" s="76" customFormat="1" spans="1:6">
      <c r="A11290">
        <v>11574</v>
      </c>
      <c r="B11290">
        <v>532015260</v>
      </c>
      <c r="C11290">
        <v>2015</v>
      </c>
      <c r="D11290" t="s">
        <v>34</v>
      </c>
      <c r="E11290">
        <v>22</v>
      </c>
      <c r="F11290">
        <v>4.4</v>
      </c>
    </row>
    <row r="11291" s="76" customFormat="1" spans="1:6">
      <c r="A11291">
        <v>11577</v>
      </c>
      <c r="B11291">
        <v>532015260</v>
      </c>
      <c r="C11291">
        <v>2015</v>
      </c>
      <c r="D11291" t="s">
        <v>34</v>
      </c>
      <c r="E11291">
        <v>24</v>
      </c>
      <c r="F11291">
        <v>4.8</v>
      </c>
    </row>
    <row r="11292" s="76" customFormat="1" spans="1:6">
      <c r="A11292">
        <v>11572</v>
      </c>
      <c r="B11292">
        <v>532015260</v>
      </c>
      <c r="C11292">
        <v>2015</v>
      </c>
      <c r="D11292" t="s">
        <v>34</v>
      </c>
      <c r="E11292">
        <v>24</v>
      </c>
      <c r="F11292">
        <v>4.8</v>
      </c>
    </row>
    <row r="11293" s="76" customFormat="1" spans="1:6">
      <c r="A11293">
        <v>11605</v>
      </c>
      <c r="B11293">
        <v>532015260</v>
      </c>
      <c r="C11293">
        <v>2015</v>
      </c>
      <c r="D11293" t="s">
        <v>34</v>
      </c>
      <c r="E11293">
        <v>24</v>
      </c>
      <c r="F11293">
        <v>4.8</v>
      </c>
    </row>
    <row r="11294" s="76" customFormat="1" spans="1:6">
      <c r="A11294">
        <v>11587</v>
      </c>
      <c r="B11294">
        <v>532015260</v>
      </c>
      <c r="C11294">
        <v>2015</v>
      </c>
      <c r="D11294" t="s">
        <v>34</v>
      </c>
      <c r="E11294">
        <v>82</v>
      </c>
      <c r="F11294">
        <v>16.4</v>
      </c>
    </row>
    <row r="11295" s="76" customFormat="1" spans="1:6">
      <c r="A11295">
        <v>11609</v>
      </c>
      <c r="B11295">
        <v>532015270</v>
      </c>
      <c r="C11295">
        <v>2015</v>
      </c>
      <c r="D11295" t="s">
        <v>31</v>
      </c>
      <c r="E11295" t="s">
        <v>32</v>
      </c>
      <c r="F11295">
        <v>8.2</v>
      </c>
    </row>
    <row r="11296" s="76" customFormat="1" spans="1:6">
      <c r="A11296">
        <v>11615</v>
      </c>
      <c r="B11296">
        <v>532015270</v>
      </c>
      <c r="C11296">
        <v>2015</v>
      </c>
      <c r="D11296" t="s">
        <v>31</v>
      </c>
      <c r="E11296">
        <v>1</v>
      </c>
      <c r="F11296">
        <v>0.56</v>
      </c>
    </row>
    <row r="11297" s="76" customFormat="1" spans="1:6">
      <c r="A11297">
        <v>11617</v>
      </c>
      <c r="B11297">
        <v>532015270</v>
      </c>
      <c r="C11297">
        <v>2015</v>
      </c>
      <c r="D11297" t="s">
        <v>31</v>
      </c>
      <c r="E11297">
        <v>1</v>
      </c>
      <c r="F11297">
        <v>0.56</v>
      </c>
    </row>
    <row r="11298" s="76" customFormat="1" spans="1:6">
      <c r="A11298">
        <v>11613</v>
      </c>
      <c r="B11298">
        <v>532015270</v>
      </c>
      <c r="C11298">
        <v>2015</v>
      </c>
      <c r="D11298" t="s">
        <v>31</v>
      </c>
      <c r="E11298" t="s">
        <v>32</v>
      </c>
      <c r="F11298">
        <v>0.64</v>
      </c>
    </row>
    <row r="11299" s="76" customFormat="1" spans="1:6">
      <c r="A11299">
        <v>11612</v>
      </c>
      <c r="B11299">
        <v>532015270</v>
      </c>
      <c r="C11299">
        <v>2015</v>
      </c>
      <c r="D11299" t="s">
        <v>31</v>
      </c>
      <c r="E11299" t="s">
        <v>32</v>
      </c>
      <c r="F11299">
        <v>2.1</v>
      </c>
    </row>
    <row r="11300" s="76" customFormat="1" spans="1:6">
      <c r="A11300">
        <v>11616</v>
      </c>
      <c r="B11300">
        <v>532015270</v>
      </c>
      <c r="C11300">
        <v>2015</v>
      </c>
      <c r="D11300" t="s">
        <v>31</v>
      </c>
      <c r="E11300">
        <v>1</v>
      </c>
      <c r="F11300">
        <v>1.4</v>
      </c>
    </row>
    <row r="11301" s="76" customFormat="1" spans="1:6">
      <c r="A11301">
        <v>11610</v>
      </c>
      <c r="B11301">
        <v>532015270</v>
      </c>
      <c r="C11301">
        <v>2015</v>
      </c>
      <c r="D11301" t="s">
        <v>31</v>
      </c>
      <c r="E11301" t="s">
        <v>32</v>
      </c>
      <c r="F11301">
        <v>4</v>
      </c>
    </row>
    <row r="11302" s="76" customFormat="1" spans="1:6">
      <c r="A11302">
        <v>11611</v>
      </c>
      <c r="B11302">
        <v>532015270</v>
      </c>
      <c r="C11302">
        <v>2015</v>
      </c>
      <c r="D11302" t="s">
        <v>31</v>
      </c>
      <c r="E11302" t="s">
        <v>32</v>
      </c>
      <c r="F11302">
        <v>0.35</v>
      </c>
    </row>
    <row r="11303" s="76" customFormat="1" spans="1:6">
      <c r="A11303">
        <v>11614</v>
      </c>
      <c r="B11303">
        <v>532015270</v>
      </c>
      <c r="C11303">
        <v>2015</v>
      </c>
      <c r="D11303" t="s">
        <v>31</v>
      </c>
      <c r="E11303" t="s">
        <v>32</v>
      </c>
      <c r="F11303">
        <v>4</v>
      </c>
    </row>
    <row r="11304" s="76" customFormat="1" spans="1:6">
      <c r="A11304">
        <v>11619</v>
      </c>
      <c r="B11304">
        <v>532016110</v>
      </c>
      <c r="C11304" s="76">
        <v>2016</v>
      </c>
      <c r="D11304" s="76" t="s">
        <v>40</v>
      </c>
      <c r="E11304" s="76">
        <v>1</v>
      </c>
      <c r="F11304" s="76">
        <v>60</v>
      </c>
    </row>
    <row r="11305" s="76" customFormat="1" spans="1:6">
      <c r="A11305">
        <v>11618</v>
      </c>
      <c r="B11305">
        <v>532016110</v>
      </c>
      <c r="C11305" s="76">
        <v>2016</v>
      </c>
      <c r="D11305" s="76" t="s">
        <v>40</v>
      </c>
      <c r="E11305" s="76">
        <v>2</v>
      </c>
      <c r="F11305" s="76">
        <v>120</v>
      </c>
    </row>
    <row r="11306" s="76" customFormat="1" spans="1:6">
      <c r="A11306">
        <v>11625</v>
      </c>
      <c r="B11306">
        <v>532016260</v>
      </c>
      <c r="C11306" s="76">
        <v>2016</v>
      </c>
      <c r="D11306" s="76" t="s">
        <v>34</v>
      </c>
      <c r="E11306" s="76">
        <v>43</v>
      </c>
      <c r="F11306" s="76">
        <v>8.6</v>
      </c>
    </row>
    <row r="11307" s="76" customFormat="1" spans="1:6">
      <c r="A11307">
        <v>11622</v>
      </c>
      <c r="B11307">
        <v>532016260</v>
      </c>
      <c r="C11307" s="76">
        <v>2016</v>
      </c>
      <c r="D11307" s="76" t="s">
        <v>34</v>
      </c>
      <c r="E11307" s="76">
        <v>57</v>
      </c>
      <c r="F11307" s="76">
        <v>9.72</v>
      </c>
    </row>
    <row r="11308" s="76" customFormat="1" spans="1:6">
      <c r="A11308">
        <v>11620</v>
      </c>
      <c r="B11308">
        <v>532016260</v>
      </c>
      <c r="C11308" s="76">
        <v>2016</v>
      </c>
      <c r="D11308" s="76" t="s">
        <v>34</v>
      </c>
      <c r="E11308" s="76">
        <v>2</v>
      </c>
      <c r="F11308" s="76">
        <v>0.4</v>
      </c>
    </row>
    <row r="11309" s="76" customFormat="1" spans="1:6">
      <c r="A11309">
        <v>11624</v>
      </c>
      <c r="B11309">
        <v>532016260</v>
      </c>
      <c r="C11309" s="76">
        <v>2016</v>
      </c>
      <c r="D11309" s="76" t="s">
        <v>34</v>
      </c>
      <c r="E11309" s="76">
        <v>24</v>
      </c>
      <c r="F11309" s="76">
        <v>4.8</v>
      </c>
    </row>
    <row r="11310" s="76" customFormat="1" spans="1:6">
      <c r="A11310">
        <v>11632</v>
      </c>
      <c r="B11310">
        <v>532016260</v>
      </c>
      <c r="C11310" s="76">
        <v>2016</v>
      </c>
      <c r="D11310" s="76" t="s">
        <v>34</v>
      </c>
      <c r="E11310" s="76">
        <v>15</v>
      </c>
      <c r="F11310" s="76">
        <v>3</v>
      </c>
    </row>
    <row r="11311" s="76" customFormat="1" spans="1:6">
      <c r="A11311">
        <v>11623</v>
      </c>
      <c r="B11311">
        <v>532016260</v>
      </c>
      <c r="C11311" s="76">
        <v>2016</v>
      </c>
      <c r="D11311" s="76" t="s">
        <v>34</v>
      </c>
      <c r="E11311" s="76">
        <v>50</v>
      </c>
      <c r="F11311" s="76">
        <v>10</v>
      </c>
    </row>
    <row r="11312" s="76" customFormat="1" spans="1:6">
      <c r="A11312">
        <v>11631</v>
      </c>
      <c r="B11312">
        <v>532016260</v>
      </c>
      <c r="C11312" s="76">
        <v>2016</v>
      </c>
      <c r="D11312" s="76" t="s">
        <v>34</v>
      </c>
      <c r="E11312" s="76">
        <v>33</v>
      </c>
      <c r="F11312" s="76">
        <v>4.95</v>
      </c>
    </row>
    <row r="11313" s="76" customFormat="1" spans="1:6">
      <c r="A11313">
        <v>11634</v>
      </c>
      <c r="B11313">
        <v>532016260</v>
      </c>
      <c r="C11313" s="76">
        <v>2016</v>
      </c>
      <c r="D11313" s="76" t="s">
        <v>34</v>
      </c>
      <c r="E11313" s="76">
        <v>24</v>
      </c>
      <c r="F11313" s="76">
        <v>4.8</v>
      </c>
    </row>
    <row r="11314" s="76" customFormat="1" spans="1:6">
      <c r="A11314">
        <v>11621</v>
      </c>
      <c r="B11314">
        <v>532016260</v>
      </c>
      <c r="C11314" s="76">
        <v>2016</v>
      </c>
      <c r="D11314" s="76" t="s">
        <v>34</v>
      </c>
      <c r="E11314" s="76">
        <v>26</v>
      </c>
      <c r="F11314" s="76">
        <v>5.2</v>
      </c>
    </row>
    <row r="11315" s="76" customFormat="1" spans="1:6">
      <c r="A11315">
        <v>11627</v>
      </c>
      <c r="B11315">
        <v>532016260</v>
      </c>
      <c r="C11315" s="76">
        <v>2016</v>
      </c>
      <c r="D11315" s="76" t="s">
        <v>34</v>
      </c>
      <c r="E11315" s="76">
        <v>10</v>
      </c>
      <c r="F11315" s="76">
        <v>2</v>
      </c>
    </row>
    <row r="11316" s="76" customFormat="1" spans="1:6">
      <c r="A11316">
        <v>11626</v>
      </c>
      <c r="B11316">
        <v>532016260</v>
      </c>
      <c r="C11316" s="76">
        <v>2016</v>
      </c>
      <c r="D11316" s="76" t="s">
        <v>34</v>
      </c>
      <c r="E11316" s="76">
        <v>61</v>
      </c>
      <c r="F11316" s="76">
        <v>15.25</v>
      </c>
    </row>
    <row r="11317" s="76" customFormat="1" spans="1:6">
      <c r="A11317">
        <v>11630</v>
      </c>
      <c r="B11317">
        <v>532016260</v>
      </c>
      <c r="C11317" s="76">
        <v>2016</v>
      </c>
      <c r="D11317" s="76" t="s">
        <v>34</v>
      </c>
      <c r="E11317" s="76">
        <v>100</v>
      </c>
      <c r="F11317" s="76">
        <v>15</v>
      </c>
    </row>
    <row r="11318" s="76" customFormat="1" spans="1:6">
      <c r="A11318">
        <v>11628</v>
      </c>
      <c r="B11318">
        <v>532016260</v>
      </c>
      <c r="C11318" s="76">
        <v>2016</v>
      </c>
      <c r="D11318" s="76" t="s">
        <v>34</v>
      </c>
      <c r="E11318" s="76">
        <v>24</v>
      </c>
      <c r="F11318" s="76">
        <v>4.8</v>
      </c>
    </row>
    <row r="11319" s="76" customFormat="1" spans="1:6">
      <c r="A11319">
        <v>11633</v>
      </c>
      <c r="B11319">
        <v>532016260</v>
      </c>
      <c r="C11319" s="76">
        <v>2016</v>
      </c>
      <c r="D11319" s="76" t="s">
        <v>34</v>
      </c>
      <c r="E11319" s="76">
        <v>33</v>
      </c>
      <c r="F11319" s="76">
        <v>4.95</v>
      </c>
    </row>
    <row r="11320" s="76" customFormat="1" spans="1:6">
      <c r="A11320">
        <v>11629</v>
      </c>
      <c r="B11320">
        <v>532016260</v>
      </c>
      <c r="C11320" s="76">
        <v>2016</v>
      </c>
      <c r="D11320" s="76" t="s">
        <v>34</v>
      </c>
      <c r="E11320" s="76">
        <v>18</v>
      </c>
      <c r="F11320" s="76">
        <v>3.6</v>
      </c>
    </row>
    <row r="11321" s="76" customFormat="1" spans="1:6">
      <c r="A11321">
        <v>11635</v>
      </c>
      <c r="B11321">
        <v>532016270</v>
      </c>
      <c r="C11321" s="76">
        <v>2016</v>
      </c>
      <c r="D11321" s="76" t="s">
        <v>31</v>
      </c>
      <c r="E11321" s="76" t="s">
        <v>32</v>
      </c>
      <c r="F11321" s="76">
        <v>3</v>
      </c>
    </row>
    <row r="11322" s="76" customFormat="1" spans="1:6">
      <c r="A11322">
        <v>11636</v>
      </c>
      <c r="B11322">
        <v>532016270</v>
      </c>
      <c r="C11322" s="76">
        <v>2016</v>
      </c>
      <c r="D11322" s="76" t="s">
        <v>31</v>
      </c>
      <c r="E11322" s="76" t="s">
        <v>32</v>
      </c>
      <c r="F11322" s="76">
        <v>3</v>
      </c>
    </row>
    <row r="11323" s="76" customFormat="1" spans="1:6">
      <c r="A11323">
        <v>11637</v>
      </c>
      <c r="B11323">
        <v>532016270</v>
      </c>
      <c r="C11323" s="76">
        <v>2016</v>
      </c>
      <c r="D11323" s="76" t="s">
        <v>31</v>
      </c>
      <c r="E11323" s="76" t="s">
        <v>32</v>
      </c>
      <c r="F11323" s="76">
        <v>6</v>
      </c>
    </row>
    <row r="11324" s="76" customFormat="1" spans="1:6">
      <c r="A11324">
        <v>11639</v>
      </c>
      <c r="B11324">
        <v>532017110</v>
      </c>
      <c r="C11324" s="76">
        <v>2017</v>
      </c>
      <c r="D11324" s="76" t="s">
        <v>40</v>
      </c>
      <c r="E11324" s="76">
        <v>3</v>
      </c>
      <c r="F11324" s="76">
        <v>105</v>
      </c>
    </row>
    <row r="11325" s="76" customFormat="1" spans="1:6">
      <c r="A11325">
        <v>11638</v>
      </c>
      <c r="B11325">
        <v>532017110</v>
      </c>
      <c r="C11325" s="76">
        <v>2017</v>
      </c>
      <c r="D11325" s="76" t="s">
        <v>40</v>
      </c>
      <c r="E11325" s="76">
        <v>3</v>
      </c>
      <c r="F11325" s="76">
        <v>10.2</v>
      </c>
    </row>
    <row r="11326" s="76" customFormat="1" spans="1:6">
      <c r="A11326">
        <v>11645</v>
      </c>
      <c r="B11326">
        <v>532017260</v>
      </c>
      <c r="C11326" s="76">
        <v>2017</v>
      </c>
      <c r="D11326" s="76" t="s">
        <v>34</v>
      </c>
      <c r="E11326" s="76">
        <v>2</v>
      </c>
      <c r="F11326" s="76">
        <v>5</v>
      </c>
    </row>
    <row r="11327" s="76" customFormat="1" spans="1:6">
      <c r="A11327">
        <v>11651</v>
      </c>
      <c r="B11327">
        <v>532017260</v>
      </c>
      <c r="C11327" s="76">
        <v>2017</v>
      </c>
      <c r="D11327" s="76" t="s">
        <v>34</v>
      </c>
      <c r="E11327" s="76">
        <v>24</v>
      </c>
      <c r="F11327" s="76">
        <v>4.8</v>
      </c>
    </row>
    <row r="11328" s="76" customFormat="1" spans="1:6">
      <c r="A11328">
        <v>11641</v>
      </c>
      <c r="B11328">
        <v>532017260</v>
      </c>
      <c r="C11328" s="76">
        <v>2017</v>
      </c>
      <c r="D11328" s="76" t="s">
        <v>34</v>
      </c>
      <c r="E11328" s="76">
        <v>24</v>
      </c>
      <c r="F11328" s="76">
        <v>4.8</v>
      </c>
    </row>
    <row r="11329" s="76" customFormat="1" spans="1:6">
      <c r="A11329">
        <v>11650</v>
      </c>
      <c r="B11329">
        <v>532017260</v>
      </c>
      <c r="C11329" s="76">
        <v>2017</v>
      </c>
      <c r="D11329" s="76" t="s">
        <v>34</v>
      </c>
      <c r="E11329" s="76">
        <v>21</v>
      </c>
      <c r="F11329" s="76">
        <v>4.2</v>
      </c>
    </row>
    <row r="11330" s="76" customFormat="1" spans="1:6">
      <c r="A11330">
        <v>11649</v>
      </c>
      <c r="B11330">
        <v>532017260</v>
      </c>
      <c r="C11330" s="76">
        <v>2017</v>
      </c>
      <c r="D11330" s="76" t="s">
        <v>34</v>
      </c>
      <c r="E11330" s="76">
        <v>33</v>
      </c>
      <c r="F11330" s="76">
        <v>4.95</v>
      </c>
    </row>
    <row r="11331" s="76" customFormat="1" spans="1:6">
      <c r="A11331">
        <v>11644</v>
      </c>
      <c r="B11331">
        <v>532017260</v>
      </c>
      <c r="C11331" s="76">
        <v>2017</v>
      </c>
      <c r="D11331" s="76" t="s">
        <v>34</v>
      </c>
      <c r="E11331" s="76">
        <v>24</v>
      </c>
      <c r="F11331" s="76">
        <v>4.8</v>
      </c>
    </row>
    <row r="11332" s="76" customFormat="1" spans="1:6">
      <c r="A11332">
        <v>11640</v>
      </c>
      <c r="B11332">
        <v>532017260</v>
      </c>
      <c r="C11332" s="76">
        <v>2017</v>
      </c>
      <c r="D11332" s="76" t="s">
        <v>34</v>
      </c>
      <c r="E11332" s="76">
        <v>25</v>
      </c>
      <c r="F11332" s="76">
        <v>4.95</v>
      </c>
    </row>
    <row r="11333" s="76" customFormat="1" spans="1:6">
      <c r="A11333">
        <v>11648</v>
      </c>
      <c r="B11333">
        <v>532017260</v>
      </c>
      <c r="C11333" s="76">
        <v>2017</v>
      </c>
      <c r="D11333" s="76" t="s">
        <v>34</v>
      </c>
      <c r="E11333" s="76">
        <v>18</v>
      </c>
      <c r="F11333" s="76">
        <v>3.6</v>
      </c>
    </row>
    <row r="11334" s="76" customFormat="1" spans="1:6">
      <c r="A11334">
        <v>11643</v>
      </c>
      <c r="B11334">
        <v>532017260</v>
      </c>
      <c r="C11334" s="76">
        <v>2017</v>
      </c>
      <c r="D11334" s="76" t="s">
        <v>34</v>
      </c>
      <c r="E11334" s="76">
        <v>19</v>
      </c>
      <c r="F11334" s="76">
        <v>4.75</v>
      </c>
    </row>
    <row r="11335" s="76" customFormat="1" spans="1:6">
      <c r="A11335">
        <v>11642</v>
      </c>
      <c r="B11335">
        <v>532017260</v>
      </c>
      <c r="C11335" s="76">
        <v>2017</v>
      </c>
      <c r="D11335" s="76" t="s">
        <v>34</v>
      </c>
      <c r="E11335" s="76">
        <v>20</v>
      </c>
      <c r="F11335" s="76">
        <v>4.8</v>
      </c>
    </row>
    <row r="11336" s="76" customFormat="1" spans="1:6">
      <c r="A11336">
        <v>11646</v>
      </c>
      <c r="B11336">
        <v>532017260</v>
      </c>
      <c r="C11336" s="76">
        <v>2017</v>
      </c>
      <c r="D11336" s="76" t="s">
        <v>34</v>
      </c>
      <c r="E11336" s="76">
        <v>1</v>
      </c>
      <c r="F11336" s="76">
        <v>1.2</v>
      </c>
    </row>
    <row r="11337" s="76" customFormat="1" spans="1:6">
      <c r="A11337">
        <v>11647</v>
      </c>
      <c r="B11337">
        <v>532017260</v>
      </c>
      <c r="C11337" s="76">
        <v>2017</v>
      </c>
      <c r="D11337" s="76" t="s">
        <v>34</v>
      </c>
      <c r="E11337" s="76">
        <v>25</v>
      </c>
      <c r="F11337" s="76">
        <v>4.95</v>
      </c>
    </row>
    <row r="11338" s="76" customFormat="1" spans="1:6">
      <c r="A11338">
        <v>11652</v>
      </c>
      <c r="B11338">
        <v>532017270</v>
      </c>
      <c r="C11338" s="76">
        <v>2017</v>
      </c>
      <c r="D11338" s="76" t="s">
        <v>31</v>
      </c>
      <c r="E11338" s="76" t="s">
        <v>32</v>
      </c>
      <c r="F11338" s="76">
        <v>1.7</v>
      </c>
    </row>
    <row r="11339" s="76" customFormat="1" spans="1:6">
      <c r="A11339">
        <v>11653</v>
      </c>
      <c r="B11339">
        <v>532017270</v>
      </c>
      <c r="C11339" s="76">
        <v>2017</v>
      </c>
      <c r="D11339" s="76" t="s">
        <v>31</v>
      </c>
      <c r="E11339" s="76" t="s">
        <v>32</v>
      </c>
      <c r="F11339" s="76">
        <v>4</v>
      </c>
    </row>
    <row r="11340" s="76" customFormat="1" spans="1:6">
      <c r="A11340">
        <v>11657</v>
      </c>
      <c r="B11340">
        <v>532018110</v>
      </c>
      <c r="C11340" s="76">
        <v>2018</v>
      </c>
      <c r="D11340" s="76" t="s">
        <v>40</v>
      </c>
      <c r="E11340" s="76">
        <v>2</v>
      </c>
      <c r="F11340" s="76">
        <v>28</v>
      </c>
    </row>
    <row r="11341" s="76" customFormat="1" spans="1:6">
      <c r="A11341">
        <v>11658</v>
      </c>
      <c r="B11341">
        <v>532018110</v>
      </c>
      <c r="C11341" s="76">
        <v>2018</v>
      </c>
      <c r="D11341" s="76" t="s">
        <v>40</v>
      </c>
      <c r="E11341" s="76">
        <v>1</v>
      </c>
      <c r="F11341" s="76">
        <v>35</v>
      </c>
    </row>
    <row r="11342" s="76" customFormat="1" spans="1:6">
      <c r="A11342">
        <v>11659</v>
      </c>
      <c r="B11342">
        <v>532018110</v>
      </c>
      <c r="C11342" s="76">
        <v>2018</v>
      </c>
      <c r="D11342" s="76" t="s">
        <v>40</v>
      </c>
      <c r="E11342" s="76">
        <v>1</v>
      </c>
      <c r="F11342" s="76">
        <v>24.75</v>
      </c>
    </row>
    <row r="11343" s="76" customFormat="1" spans="1:6">
      <c r="A11343">
        <v>11654</v>
      </c>
      <c r="B11343">
        <v>532018110</v>
      </c>
      <c r="C11343" s="76">
        <v>2018</v>
      </c>
      <c r="D11343" s="76" t="s">
        <v>40</v>
      </c>
      <c r="E11343" s="76">
        <v>4</v>
      </c>
      <c r="F11343" s="76">
        <v>92</v>
      </c>
    </row>
    <row r="11344" s="76" customFormat="1" spans="1:6">
      <c r="A11344">
        <v>11656</v>
      </c>
      <c r="B11344">
        <v>532018110</v>
      </c>
      <c r="C11344" s="76">
        <v>2018</v>
      </c>
      <c r="D11344" s="76" t="s">
        <v>40</v>
      </c>
      <c r="E11344" s="76">
        <v>4</v>
      </c>
      <c r="F11344" s="76">
        <v>190</v>
      </c>
    </row>
    <row r="11345" s="76" customFormat="1" spans="1:6">
      <c r="A11345">
        <v>11660</v>
      </c>
      <c r="B11345">
        <v>532018110</v>
      </c>
      <c r="C11345" s="76">
        <v>2018</v>
      </c>
      <c r="D11345" s="76" t="s">
        <v>40</v>
      </c>
      <c r="E11345" s="76">
        <v>2</v>
      </c>
      <c r="F11345" s="76">
        <v>18</v>
      </c>
    </row>
    <row r="11346" s="76" customFormat="1" spans="1:6">
      <c r="A11346">
        <v>11655</v>
      </c>
      <c r="B11346">
        <v>532018110</v>
      </c>
      <c r="C11346" s="76">
        <v>2018</v>
      </c>
      <c r="D11346" s="76" t="s">
        <v>40</v>
      </c>
      <c r="E11346" s="76">
        <v>2</v>
      </c>
      <c r="F11346" s="76">
        <v>4.5</v>
      </c>
    </row>
    <row r="11347" s="76" customFormat="1" spans="1:6">
      <c r="A11347">
        <v>11661</v>
      </c>
      <c r="B11347">
        <v>532018260</v>
      </c>
      <c r="C11347" s="76">
        <v>2018</v>
      </c>
      <c r="D11347" s="76" t="s">
        <v>34</v>
      </c>
      <c r="E11347" s="76">
        <v>2</v>
      </c>
      <c r="F11347" s="76">
        <v>0.4</v>
      </c>
    </row>
    <row r="11348" s="76" customFormat="1" spans="1:6">
      <c r="A11348">
        <v>11662</v>
      </c>
      <c r="B11348">
        <v>532018270</v>
      </c>
      <c r="C11348" s="76">
        <v>2018</v>
      </c>
      <c r="D11348" s="76" t="s">
        <v>31</v>
      </c>
      <c r="E11348" s="76" t="s">
        <v>32</v>
      </c>
      <c r="F11348" s="76">
        <v>0.65</v>
      </c>
    </row>
    <row r="11349" s="76" customFormat="1" spans="1:6">
      <c r="A11349">
        <v>11663</v>
      </c>
      <c r="B11349">
        <v>532019110</v>
      </c>
      <c r="C11349" s="76">
        <v>2019</v>
      </c>
      <c r="D11349" s="76" t="s">
        <v>40</v>
      </c>
      <c r="E11349" s="76">
        <v>1</v>
      </c>
      <c r="F11349" s="76">
        <v>14</v>
      </c>
    </row>
    <row r="11350" s="76" customFormat="1" spans="1:6">
      <c r="A11350">
        <v>11664</v>
      </c>
      <c r="B11350">
        <v>532019110</v>
      </c>
      <c r="C11350" s="76">
        <v>2019</v>
      </c>
      <c r="D11350" s="76" t="s">
        <v>40</v>
      </c>
      <c r="E11350" s="76">
        <v>3</v>
      </c>
      <c r="F11350" s="76">
        <v>74.25</v>
      </c>
    </row>
    <row r="11351" s="76" customFormat="1" spans="1:6">
      <c r="A11351">
        <v>11665</v>
      </c>
      <c r="B11351">
        <v>532019110</v>
      </c>
      <c r="C11351" s="76">
        <v>2019</v>
      </c>
      <c r="D11351" s="76" t="s">
        <v>40</v>
      </c>
      <c r="E11351" s="76">
        <v>2</v>
      </c>
      <c r="F11351" s="76">
        <v>4</v>
      </c>
    </row>
    <row r="11352" s="76" customFormat="1" spans="1:6">
      <c r="A11352">
        <v>11667</v>
      </c>
      <c r="B11352">
        <v>532019260</v>
      </c>
      <c r="C11352" s="76">
        <v>2019</v>
      </c>
      <c r="D11352" s="76" t="s">
        <v>34</v>
      </c>
      <c r="E11352" s="76">
        <v>12</v>
      </c>
      <c r="F11352" s="76">
        <v>2.4</v>
      </c>
    </row>
    <row r="11353" s="76" customFormat="1" spans="1:6">
      <c r="A11353">
        <v>11666</v>
      </c>
      <c r="B11353">
        <v>532019260</v>
      </c>
      <c r="C11353" s="76">
        <v>2019</v>
      </c>
      <c r="D11353" s="76" t="s">
        <v>34</v>
      </c>
      <c r="E11353" s="76">
        <v>25</v>
      </c>
      <c r="F11353" s="76">
        <v>4.95</v>
      </c>
    </row>
    <row r="11354" s="76" customFormat="1" spans="1:6">
      <c r="A11354">
        <v>11672</v>
      </c>
      <c r="B11354">
        <v>532019270</v>
      </c>
      <c r="C11354" s="76">
        <v>2019</v>
      </c>
      <c r="D11354" s="76" t="s">
        <v>31</v>
      </c>
      <c r="E11354" s="76" t="s">
        <v>32</v>
      </c>
      <c r="F11354" s="76">
        <v>4.5</v>
      </c>
    </row>
    <row r="11355" s="76" customFormat="1" spans="1:6">
      <c r="A11355">
        <v>11671</v>
      </c>
      <c r="B11355">
        <v>532019270</v>
      </c>
      <c r="C11355" s="76">
        <v>2019</v>
      </c>
      <c r="D11355" s="76" t="s">
        <v>31</v>
      </c>
      <c r="E11355" s="76" t="s">
        <v>32</v>
      </c>
      <c r="F11355" s="76">
        <v>4</v>
      </c>
    </row>
    <row r="11356" s="76" customFormat="1" spans="1:6">
      <c r="A11356">
        <v>11669</v>
      </c>
      <c r="B11356">
        <v>532019270</v>
      </c>
      <c r="C11356" s="76">
        <v>2019</v>
      </c>
      <c r="D11356" s="76" t="s">
        <v>31</v>
      </c>
      <c r="E11356" s="76" t="s">
        <v>32</v>
      </c>
      <c r="F11356" s="76">
        <v>4</v>
      </c>
    </row>
    <row r="11357" s="76" customFormat="1" spans="1:6">
      <c r="A11357">
        <v>11670</v>
      </c>
      <c r="B11357">
        <v>532019270</v>
      </c>
      <c r="C11357" s="76">
        <v>2019</v>
      </c>
      <c r="D11357" s="76" t="s">
        <v>31</v>
      </c>
      <c r="E11357" s="76" t="s">
        <v>32</v>
      </c>
      <c r="F11357" s="76">
        <v>1.8</v>
      </c>
    </row>
    <row r="11358" s="76" customFormat="1" spans="1:6">
      <c r="A11358">
        <v>11673</v>
      </c>
      <c r="B11358">
        <v>532020110</v>
      </c>
      <c r="C11358" s="76">
        <v>2020</v>
      </c>
      <c r="D11358" s="76" t="s">
        <v>40</v>
      </c>
      <c r="E11358" s="76">
        <v>4</v>
      </c>
      <c r="F11358" s="76">
        <v>340</v>
      </c>
    </row>
    <row r="11359" s="76" customFormat="1" spans="1:6">
      <c r="A11359">
        <v>11674</v>
      </c>
      <c r="B11359">
        <v>532020242</v>
      </c>
      <c r="C11359" s="76">
        <v>2020</v>
      </c>
      <c r="D11359" s="76" t="s">
        <v>35</v>
      </c>
      <c r="E11359" s="76">
        <v>2</v>
      </c>
      <c r="F11359" s="76">
        <v>5</v>
      </c>
    </row>
    <row r="11360" s="76" customFormat="1" spans="1:6">
      <c r="A11360">
        <v>11679</v>
      </c>
      <c r="B11360">
        <v>532020260</v>
      </c>
      <c r="C11360" s="76">
        <v>2020</v>
      </c>
      <c r="D11360" s="76" t="s">
        <v>34</v>
      </c>
      <c r="E11360" s="76">
        <v>12</v>
      </c>
      <c r="F11360" s="76">
        <v>2.4</v>
      </c>
    </row>
    <row r="11361" s="76" customFormat="1" spans="1:6">
      <c r="A11361">
        <v>11678</v>
      </c>
      <c r="B11361">
        <v>532020260</v>
      </c>
      <c r="C11361" s="76">
        <v>2020</v>
      </c>
      <c r="D11361" s="76" t="s">
        <v>34</v>
      </c>
      <c r="E11361" s="76">
        <v>23</v>
      </c>
      <c r="F11361" s="76">
        <v>4.6</v>
      </c>
    </row>
    <row r="11362" s="76" customFormat="1" spans="1:6">
      <c r="A11362">
        <v>11680</v>
      </c>
      <c r="B11362">
        <v>532020260</v>
      </c>
      <c r="C11362" s="76">
        <v>2020</v>
      </c>
      <c r="D11362" s="76" t="s">
        <v>34</v>
      </c>
      <c r="E11362" s="76">
        <v>33</v>
      </c>
      <c r="F11362" s="76">
        <v>4.95</v>
      </c>
    </row>
    <row r="11363" s="76" customFormat="1" spans="1:6">
      <c r="A11363">
        <v>11675</v>
      </c>
      <c r="B11363">
        <v>532020260</v>
      </c>
      <c r="C11363" s="76">
        <v>2020</v>
      </c>
      <c r="D11363" s="76" t="s">
        <v>34</v>
      </c>
      <c r="E11363" s="76">
        <v>19</v>
      </c>
      <c r="F11363" s="76">
        <v>3.8</v>
      </c>
    </row>
    <row r="11364" s="76" customFormat="1" spans="1:6">
      <c r="A11364">
        <v>11676</v>
      </c>
      <c r="B11364">
        <v>532020260</v>
      </c>
      <c r="C11364" s="76">
        <v>2020</v>
      </c>
      <c r="D11364" s="76" t="s">
        <v>34</v>
      </c>
      <c r="E11364" s="76">
        <v>25</v>
      </c>
      <c r="F11364" s="76">
        <v>4.95</v>
      </c>
    </row>
    <row r="11365" s="76" customFormat="1" spans="1:6">
      <c r="A11365">
        <v>11677</v>
      </c>
      <c r="B11365">
        <v>532020260</v>
      </c>
      <c r="C11365" s="76">
        <v>2020</v>
      </c>
      <c r="D11365" s="76" t="s">
        <v>34</v>
      </c>
      <c r="E11365" s="76">
        <v>15</v>
      </c>
      <c r="F11365" s="76">
        <v>4.95</v>
      </c>
    </row>
    <row r="11366" s="76" customFormat="1" spans="1:6">
      <c r="A11366">
        <v>11681</v>
      </c>
      <c r="B11366">
        <v>532020270</v>
      </c>
      <c r="C11366" s="76">
        <v>2020</v>
      </c>
      <c r="D11366" s="76" t="s">
        <v>31</v>
      </c>
      <c r="E11366" s="76" t="s">
        <v>32</v>
      </c>
      <c r="F11366" s="76">
        <v>2</v>
      </c>
    </row>
    <row r="11367" s="76" customFormat="1" spans="1:6">
      <c r="A11367">
        <v>11682</v>
      </c>
      <c r="B11367">
        <v>532021110</v>
      </c>
      <c r="C11367" s="76">
        <v>2021</v>
      </c>
      <c r="D11367" s="76" t="s">
        <v>40</v>
      </c>
      <c r="E11367" s="76">
        <v>3</v>
      </c>
      <c r="F11367" s="76">
        <v>300</v>
      </c>
    </row>
    <row r="11368" s="76" customFormat="1" spans="1:6">
      <c r="A11368">
        <v>11683</v>
      </c>
      <c r="B11368">
        <v>532021110</v>
      </c>
      <c r="C11368" s="76">
        <v>2021</v>
      </c>
      <c r="D11368" s="76" t="s">
        <v>40</v>
      </c>
      <c r="E11368" s="76">
        <v>2</v>
      </c>
      <c r="F11368" s="76">
        <v>170</v>
      </c>
    </row>
    <row r="11369" s="76" customFormat="1" spans="1:6">
      <c r="A11369">
        <v>11684</v>
      </c>
      <c r="B11369">
        <v>532021242</v>
      </c>
      <c r="C11369" s="76">
        <v>2021</v>
      </c>
      <c r="D11369" s="76" t="s">
        <v>35</v>
      </c>
      <c r="E11369" s="76" t="s">
        <v>32</v>
      </c>
      <c r="F11369" s="76">
        <v>10.5</v>
      </c>
    </row>
    <row r="11370" s="76" customFormat="1" spans="1:6">
      <c r="A11370">
        <v>11685</v>
      </c>
      <c r="B11370">
        <v>532021260</v>
      </c>
      <c r="C11370" s="76">
        <v>2021</v>
      </c>
      <c r="D11370" s="76" t="s">
        <v>34</v>
      </c>
      <c r="E11370" s="76">
        <v>17</v>
      </c>
      <c r="F11370" s="76">
        <v>5</v>
      </c>
    </row>
    <row r="11371" s="76" customFormat="1" spans="1:6">
      <c r="A11371">
        <v>11687</v>
      </c>
      <c r="B11371">
        <v>532021270</v>
      </c>
      <c r="C11371" s="76">
        <v>2021</v>
      </c>
      <c r="D11371" s="76" t="s">
        <v>31</v>
      </c>
      <c r="E11371" s="76" t="s">
        <v>32</v>
      </c>
      <c r="F11371" s="76">
        <v>10</v>
      </c>
    </row>
    <row r="11372" s="76" customFormat="1" spans="1:6">
      <c r="A11372">
        <v>11688</v>
      </c>
      <c r="B11372">
        <v>532021270</v>
      </c>
      <c r="C11372" s="76">
        <v>2021</v>
      </c>
      <c r="D11372" s="76" t="s">
        <v>31</v>
      </c>
      <c r="E11372" s="76" t="s">
        <v>32</v>
      </c>
      <c r="F11372" s="76">
        <v>1.38</v>
      </c>
    </row>
    <row r="11373" s="76" customFormat="1" spans="1:6">
      <c r="A11373">
        <v>11689</v>
      </c>
      <c r="B11373">
        <v>532021270</v>
      </c>
      <c r="C11373" s="76">
        <v>2021</v>
      </c>
      <c r="D11373" s="76" t="s">
        <v>31</v>
      </c>
      <c r="E11373" s="76" t="s">
        <v>32</v>
      </c>
      <c r="F11373" s="76">
        <v>10</v>
      </c>
    </row>
    <row r="11374" s="76" customFormat="1" spans="1:6">
      <c r="A11374">
        <v>11692</v>
      </c>
      <c r="B11374">
        <v>532021270</v>
      </c>
      <c r="C11374" s="76">
        <v>2021</v>
      </c>
      <c r="D11374" s="76" t="s">
        <v>31</v>
      </c>
      <c r="E11374" s="76" t="s">
        <v>32</v>
      </c>
      <c r="F11374" s="76">
        <v>12</v>
      </c>
    </row>
    <row r="11375" s="76" customFormat="1" spans="1:6">
      <c r="A11375">
        <v>11690</v>
      </c>
      <c r="B11375">
        <v>532021270</v>
      </c>
      <c r="C11375" s="76">
        <v>2021</v>
      </c>
      <c r="D11375" s="76" t="s">
        <v>31</v>
      </c>
      <c r="E11375" s="76" t="s">
        <v>32</v>
      </c>
      <c r="F11375" s="76">
        <v>10</v>
      </c>
    </row>
    <row r="11376" s="76" customFormat="1" spans="1:6">
      <c r="A11376">
        <v>11693</v>
      </c>
      <c r="B11376">
        <v>532021270</v>
      </c>
      <c r="C11376" s="76">
        <v>2021</v>
      </c>
      <c r="D11376" s="76" t="s">
        <v>31</v>
      </c>
      <c r="E11376" s="76" t="s">
        <v>32</v>
      </c>
      <c r="F11376" s="76">
        <v>4</v>
      </c>
    </row>
    <row r="11377" s="76" customFormat="1" spans="1:6">
      <c r="A11377">
        <v>11694</v>
      </c>
      <c r="B11377">
        <v>532021270</v>
      </c>
      <c r="C11377" s="76">
        <v>2021</v>
      </c>
      <c r="D11377" s="76" t="s">
        <v>31</v>
      </c>
      <c r="E11377" s="76" t="s">
        <v>32</v>
      </c>
      <c r="F11377" s="76">
        <v>12</v>
      </c>
    </row>
    <row r="11378" s="76" customFormat="1" spans="1:6">
      <c r="A11378">
        <v>11691</v>
      </c>
      <c r="B11378">
        <v>532021270</v>
      </c>
      <c r="C11378" s="76">
        <v>2021</v>
      </c>
      <c r="D11378" s="76" t="s">
        <v>31</v>
      </c>
      <c r="E11378" s="76" t="s">
        <v>32</v>
      </c>
      <c r="F11378" s="76">
        <v>0.33</v>
      </c>
    </row>
    <row r="11379" s="76" customFormat="1" spans="1:6">
      <c r="A11379">
        <v>11686</v>
      </c>
      <c r="B11379">
        <v>532021270</v>
      </c>
      <c r="C11379" s="76">
        <v>2021</v>
      </c>
      <c r="D11379" s="76" t="s">
        <v>31</v>
      </c>
      <c r="E11379" s="76" t="s">
        <v>32</v>
      </c>
      <c r="F11379" s="76">
        <v>0.53</v>
      </c>
    </row>
    <row r="11380" s="76" customFormat="1" spans="1:6">
      <c r="A11380">
        <v>11695</v>
      </c>
      <c r="B11380">
        <v>532021270</v>
      </c>
      <c r="C11380" s="76">
        <v>2021</v>
      </c>
      <c r="D11380" s="76" t="s">
        <v>31</v>
      </c>
      <c r="E11380" s="76" t="s">
        <v>32</v>
      </c>
      <c r="F11380" s="76">
        <v>3.61</v>
      </c>
    </row>
    <row r="11381" s="76" customFormat="1" spans="1:6">
      <c r="A11381">
        <v>11696</v>
      </c>
      <c r="B11381">
        <v>542012270</v>
      </c>
      <c r="C11381">
        <v>2012</v>
      </c>
      <c r="D11381" t="s">
        <v>31</v>
      </c>
      <c r="E11381"/>
      <c r="F11381">
        <v>0.5</v>
      </c>
    </row>
    <row r="11382" s="76" customFormat="1" spans="1:6">
      <c r="A11382">
        <v>11698</v>
      </c>
      <c r="B11382">
        <v>542012270</v>
      </c>
      <c r="C11382">
        <v>2012</v>
      </c>
      <c r="D11382" t="s">
        <v>31</v>
      </c>
      <c r="E11382"/>
      <c r="F11382">
        <v>1</v>
      </c>
    </row>
    <row r="11383" s="76" customFormat="1" spans="1:6">
      <c r="A11383">
        <v>11697</v>
      </c>
      <c r="B11383">
        <v>542012270</v>
      </c>
      <c r="C11383">
        <v>2012</v>
      </c>
      <c r="D11383" t="s">
        <v>31</v>
      </c>
      <c r="E11383"/>
      <c r="F11383">
        <v>2</v>
      </c>
    </row>
    <row r="11384" s="76" customFormat="1" spans="1:6">
      <c r="A11384">
        <v>11699</v>
      </c>
      <c r="B11384">
        <v>542013260</v>
      </c>
      <c r="C11384">
        <v>2013</v>
      </c>
      <c r="D11384" t="s">
        <v>34</v>
      </c>
      <c r="E11384">
        <v>5</v>
      </c>
      <c r="F11384">
        <v>0.75</v>
      </c>
    </row>
    <row r="11385" s="76" customFormat="1" spans="1:6">
      <c r="A11385">
        <v>11700</v>
      </c>
      <c r="B11385">
        <v>542013270</v>
      </c>
      <c r="C11385">
        <v>2013</v>
      </c>
      <c r="D11385" t="s">
        <v>31</v>
      </c>
      <c r="E11385" t="s">
        <v>32</v>
      </c>
      <c r="F11385">
        <v>0.5</v>
      </c>
    </row>
    <row r="11386" s="76" customFormat="1" spans="1:6">
      <c r="A11386">
        <v>11701</v>
      </c>
      <c r="B11386">
        <v>542014110</v>
      </c>
      <c r="C11386">
        <v>2014</v>
      </c>
      <c r="D11386" t="s">
        <v>40</v>
      </c>
      <c r="E11386">
        <v>2</v>
      </c>
      <c r="F11386">
        <v>17</v>
      </c>
    </row>
    <row r="11387" s="76" customFormat="1" spans="1:6">
      <c r="A11387">
        <v>11706</v>
      </c>
      <c r="B11387">
        <v>542015110</v>
      </c>
      <c r="C11387">
        <v>2015</v>
      </c>
      <c r="D11387" t="s">
        <v>40</v>
      </c>
      <c r="E11387">
        <v>2</v>
      </c>
      <c r="F11387">
        <v>0.64</v>
      </c>
    </row>
    <row r="11388" s="76" customFormat="1" spans="1:6">
      <c r="A11388">
        <v>11702</v>
      </c>
      <c r="B11388">
        <v>542015110</v>
      </c>
      <c r="C11388">
        <v>2015</v>
      </c>
      <c r="D11388" t="s">
        <v>40</v>
      </c>
      <c r="E11388" t="s">
        <v>32</v>
      </c>
      <c r="F11388">
        <v>34</v>
      </c>
    </row>
    <row r="11389" s="76" customFormat="1" spans="1:6">
      <c r="A11389">
        <v>11714</v>
      </c>
      <c r="B11389">
        <v>542015110</v>
      </c>
      <c r="C11389">
        <v>2015</v>
      </c>
      <c r="D11389" t="s">
        <v>40</v>
      </c>
      <c r="E11389" t="s">
        <v>32</v>
      </c>
      <c r="F11389">
        <v>4</v>
      </c>
    </row>
    <row r="11390" s="76" customFormat="1" spans="1:6">
      <c r="A11390">
        <v>11703</v>
      </c>
      <c r="B11390">
        <v>542015110</v>
      </c>
      <c r="C11390">
        <v>2015</v>
      </c>
      <c r="D11390" t="s">
        <v>40</v>
      </c>
      <c r="E11390">
        <v>1</v>
      </c>
      <c r="F11390">
        <v>4</v>
      </c>
    </row>
    <row r="11391" s="76" customFormat="1" spans="1:6">
      <c r="A11391">
        <v>11713</v>
      </c>
      <c r="B11391">
        <v>542015110</v>
      </c>
      <c r="C11391">
        <v>2015</v>
      </c>
      <c r="D11391" t="s">
        <v>40</v>
      </c>
      <c r="E11391" t="s">
        <v>32</v>
      </c>
      <c r="F11391">
        <v>1</v>
      </c>
    </row>
    <row r="11392" s="76" customFormat="1" spans="1:6">
      <c r="A11392">
        <v>11705</v>
      </c>
      <c r="B11392">
        <v>542015110</v>
      </c>
      <c r="C11392">
        <v>2015</v>
      </c>
      <c r="D11392" t="s">
        <v>40</v>
      </c>
      <c r="E11392">
        <v>1</v>
      </c>
      <c r="F11392">
        <v>1</v>
      </c>
    </row>
    <row r="11393" s="76" customFormat="1" spans="1:6">
      <c r="A11393">
        <v>11711</v>
      </c>
      <c r="B11393">
        <v>542015110</v>
      </c>
      <c r="C11393">
        <v>2015</v>
      </c>
      <c r="D11393" t="s">
        <v>40</v>
      </c>
      <c r="E11393" t="s">
        <v>32</v>
      </c>
      <c r="F11393">
        <v>6</v>
      </c>
    </row>
    <row r="11394" s="76" customFormat="1" spans="1:6">
      <c r="A11394">
        <v>11708</v>
      </c>
      <c r="B11394">
        <v>542015110</v>
      </c>
      <c r="C11394">
        <v>2015</v>
      </c>
      <c r="D11394" t="s">
        <v>40</v>
      </c>
      <c r="E11394">
        <v>2</v>
      </c>
      <c r="F11394">
        <v>6</v>
      </c>
    </row>
    <row r="11395" s="76" customFormat="1" spans="1:6">
      <c r="A11395">
        <v>11710</v>
      </c>
      <c r="B11395">
        <v>542015110</v>
      </c>
      <c r="C11395">
        <v>2015</v>
      </c>
      <c r="D11395" t="s">
        <v>40</v>
      </c>
      <c r="E11395" t="s">
        <v>32</v>
      </c>
      <c r="F11395">
        <v>2.1</v>
      </c>
    </row>
    <row r="11396" s="76" customFormat="1" spans="1:6">
      <c r="A11396">
        <v>11712</v>
      </c>
      <c r="B11396">
        <v>542015110</v>
      </c>
      <c r="C11396">
        <v>2015</v>
      </c>
      <c r="D11396" t="s">
        <v>40</v>
      </c>
      <c r="E11396" t="s">
        <v>32</v>
      </c>
      <c r="F11396">
        <v>1.2</v>
      </c>
    </row>
    <row r="11397" s="76" customFormat="1" spans="1:6">
      <c r="A11397">
        <v>11707</v>
      </c>
      <c r="B11397">
        <v>542015110</v>
      </c>
      <c r="C11397">
        <v>2015</v>
      </c>
      <c r="D11397" t="s">
        <v>40</v>
      </c>
      <c r="E11397">
        <v>3</v>
      </c>
      <c r="F11397">
        <v>0.19</v>
      </c>
    </row>
    <row r="11398" s="76" customFormat="1" spans="1:6">
      <c r="A11398">
        <v>11704</v>
      </c>
      <c r="B11398">
        <v>542015110</v>
      </c>
      <c r="C11398">
        <v>2015</v>
      </c>
      <c r="D11398" t="s">
        <v>40</v>
      </c>
      <c r="E11398">
        <v>4</v>
      </c>
      <c r="F11398">
        <v>0.8</v>
      </c>
    </row>
    <row r="11399" s="76" customFormat="1" spans="1:6">
      <c r="A11399">
        <v>11709</v>
      </c>
      <c r="B11399">
        <v>542015110</v>
      </c>
      <c r="C11399">
        <v>2015</v>
      </c>
      <c r="D11399" t="s">
        <v>40</v>
      </c>
      <c r="E11399">
        <v>4</v>
      </c>
      <c r="F11399">
        <v>0.5</v>
      </c>
    </row>
    <row r="11400" s="76" customFormat="1" spans="1:6">
      <c r="A11400">
        <v>11717</v>
      </c>
      <c r="B11400">
        <v>542015270</v>
      </c>
      <c r="C11400">
        <v>2015</v>
      </c>
      <c r="D11400" t="s">
        <v>31</v>
      </c>
      <c r="E11400" t="s">
        <v>32</v>
      </c>
      <c r="F11400">
        <v>1</v>
      </c>
    </row>
    <row r="11401" s="76" customFormat="1" spans="1:6">
      <c r="A11401">
        <v>11715</v>
      </c>
      <c r="B11401">
        <v>542015270</v>
      </c>
      <c r="C11401">
        <v>2015</v>
      </c>
      <c r="D11401" t="s">
        <v>31</v>
      </c>
      <c r="E11401" t="s">
        <v>32</v>
      </c>
      <c r="F11401">
        <v>3</v>
      </c>
    </row>
    <row r="11402" s="76" customFormat="1" spans="1:6">
      <c r="A11402">
        <v>11716</v>
      </c>
      <c r="B11402">
        <v>542015270</v>
      </c>
      <c r="C11402">
        <v>2015</v>
      </c>
      <c r="D11402" t="s">
        <v>31</v>
      </c>
      <c r="E11402" t="s">
        <v>32</v>
      </c>
      <c r="F11402">
        <v>2</v>
      </c>
    </row>
    <row r="11403" s="76" customFormat="1" spans="1:6">
      <c r="A11403">
        <v>11719</v>
      </c>
      <c r="B11403">
        <v>542016110</v>
      </c>
      <c r="C11403" s="76">
        <v>2016</v>
      </c>
      <c r="D11403" s="76" t="s">
        <v>40</v>
      </c>
      <c r="E11403" s="76">
        <v>1</v>
      </c>
      <c r="F11403" s="76">
        <v>0.32</v>
      </c>
    </row>
    <row r="11404" s="76" customFormat="1" spans="1:6">
      <c r="A11404">
        <v>11724</v>
      </c>
      <c r="B11404">
        <v>542016110</v>
      </c>
      <c r="C11404" s="76">
        <v>2016</v>
      </c>
      <c r="D11404" s="76" t="s">
        <v>40</v>
      </c>
      <c r="E11404" s="76" t="s">
        <v>32</v>
      </c>
      <c r="F11404" s="76">
        <v>12</v>
      </c>
    </row>
    <row r="11405" s="76" customFormat="1" spans="1:6">
      <c r="A11405">
        <v>11718</v>
      </c>
      <c r="B11405">
        <v>542016110</v>
      </c>
      <c r="C11405" s="76">
        <v>2016</v>
      </c>
      <c r="D11405" s="76" t="s">
        <v>40</v>
      </c>
      <c r="E11405" s="76">
        <v>3</v>
      </c>
      <c r="F11405" s="76">
        <v>12</v>
      </c>
    </row>
    <row r="11406" s="76" customFormat="1" spans="1:6">
      <c r="A11406">
        <v>11723</v>
      </c>
      <c r="B11406">
        <v>542016110</v>
      </c>
      <c r="C11406" s="76">
        <v>2016</v>
      </c>
      <c r="D11406" s="76" t="s">
        <v>40</v>
      </c>
      <c r="E11406" s="76" t="s">
        <v>32</v>
      </c>
      <c r="F11406" s="76">
        <v>2</v>
      </c>
    </row>
    <row r="11407" s="76" customFormat="1" spans="1:6">
      <c r="A11407">
        <v>11720</v>
      </c>
      <c r="B11407">
        <v>542016110</v>
      </c>
      <c r="C11407" s="76">
        <v>2016</v>
      </c>
      <c r="D11407" s="76" t="s">
        <v>40</v>
      </c>
      <c r="E11407" s="76">
        <v>2</v>
      </c>
      <c r="F11407" s="76">
        <v>2</v>
      </c>
    </row>
    <row r="11408" s="76" customFormat="1" spans="1:6">
      <c r="A11408">
        <v>11722</v>
      </c>
      <c r="B11408">
        <v>542016110</v>
      </c>
      <c r="C11408" s="76">
        <v>2016</v>
      </c>
      <c r="D11408" s="76" t="s">
        <v>40</v>
      </c>
      <c r="E11408" s="76" t="s">
        <v>32</v>
      </c>
      <c r="F11408" s="76">
        <v>6</v>
      </c>
    </row>
    <row r="11409" s="76" customFormat="1" spans="1:6">
      <c r="A11409">
        <v>11721</v>
      </c>
      <c r="B11409">
        <v>542016110</v>
      </c>
      <c r="C11409" s="76">
        <v>2016</v>
      </c>
      <c r="D11409" s="76" t="s">
        <v>40</v>
      </c>
      <c r="E11409" s="76">
        <v>2</v>
      </c>
      <c r="F11409" s="76">
        <v>6</v>
      </c>
    </row>
    <row r="11410" s="76" customFormat="1" spans="1:6">
      <c r="A11410">
        <v>11726</v>
      </c>
      <c r="B11410">
        <v>542016211</v>
      </c>
      <c r="C11410" s="76">
        <v>2016</v>
      </c>
      <c r="D11410" s="76" t="s">
        <v>37</v>
      </c>
      <c r="E11410" s="76" t="s">
        <v>32</v>
      </c>
      <c r="F11410" s="76">
        <v>1.09</v>
      </c>
    </row>
    <row r="11411" s="76" customFormat="1" spans="1:6">
      <c r="A11411">
        <v>11727</v>
      </c>
      <c r="B11411">
        <v>542016241</v>
      </c>
      <c r="C11411" s="76">
        <v>2016</v>
      </c>
      <c r="D11411" s="76" t="s">
        <v>33</v>
      </c>
      <c r="E11411" s="76" t="s">
        <v>32</v>
      </c>
      <c r="F11411" s="76">
        <v>1.09</v>
      </c>
    </row>
    <row r="11412" s="76" customFormat="1" spans="1:6">
      <c r="A11412">
        <v>11735</v>
      </c>
      <c r="B11412">
        <v>542016270</v>
      </c>
      <c r="C11412" s="76">
        <v>2016</v>
      </c>
      <c r="D11412" s="76" t="s">
        <v>31</v>
      </c>
      <c r="E11412" s="76" t="s">
        <v>32</v>
      </c>
      <c r="F11412" s="76">
        <v>2</v>
      </c>
    </row>
    <row r="11413" s="76" customFormat="1" spans="1:6">
      <c r="A11413">
        <v>11731</v>
      </c>
      <c r="B11413">
        <v>542016270</v>
      </c>
      <c r="C11413" s="76">
        <v>2016</v>
      </c>
      <c r="D11413" s="76" t="s">
        <v>31</v>
      </c>
      <c r="E11413" s="76" t="s">
        <v>32</v>
      </c>
      <c r="F11413" s="76">
        <v>1</v>
      </c>
    </row>
    <row r="11414" s="76" customFormat="1" spans="1:6">
      <c r="A11414">
        <v>11734</v>
      </c>
      <c r="B11414">
        <v>542016270</v>
      </c>
      <c r="C11414" s="76">
        <v>2016</v>
      </c>
      <c r="D11414" s="76" t="s">
        <v>31</v>
      </c>
      <c r="E11414" s="76" t="s">
        <v>32</v>
      </c>
      <c r="F11414" s="76">
        <v>2</v>
      </c>
    </row>
    <row r="11415" s="76" customFormat="1" spans="1:6">
      <c r="A11415">
        <v>11736</v>
      </c>
      <c r="B11415">
        <v>542016270</v>
      </c>
      <c r="C11415" s="76">
        <v>2016</v>
      </c>
      <c r="D11415" s="76" t="s">
        <v>31</v>
      </c>
      <c r="E11415" s="76" t="s">
        <v>32</v>
      </c>
      <c r="F11415" s="76">
        <v>1.5</v>
      </c>
    </row>
    <row r="11416" s="76" customFormat="1" spans="1:6">
      <c r="A11416">
        <v>11730</v>
      </c>
      <c r="B11416">
        <v>542016270</v>
      </c>
      <c r="C11416" s="76">
        <v>2016</v>
      </c>
      <c r="D11416" s="76" t="s">
        <v>31</v>
      </c>
      <c r="E11416" s="76" t="s">
        <v>32</v>
      </c>
      <c r="F11416" s="76">
        <v>3</v>
      </c>
    </row>
    <row r="11417" s="76" customFormat="1" spans="1:6">
      <c r="A11417">
        <v>11729</v>
      </c>
      <c r="B11417">
        <v>542016270</v>
      </c>
      <c r="C11417" s="76">
        <v>2016</v>
      </c>
      <c r="D11417" s="76" t="s">
        <v>31</v>
      </c>
      <c r="E11417" s="76" t="s">
        <v>32</v>
      </c>
      <c r="F11417" s="76">
        <v>2</v>
      </c>
    </row>
    <row r="11418" s="76" customFormat="1" spans="1:6">
      <c r="A11418">
        <v>11733</v>
      </c>
      <c r="B11418">
        <v>542016270</v>
      </c>
      <c r="C11418" s="76">
        <v>2016</v>
      </c>
      <c r="D11418" s="76" t="s">
        <v>31</v>
      </c>
      <c r="E11418" s="76" t="s">
        <v>32</v>
      </c>
      <c r="F11418" s="76">
        <v>1</v>
      </c>
    </row>
    <row r="11419" s="76" customFormat="1" spans="1:6">
      <c r="A11419">
        <v>11732</v>
      </c>
      <c r="B11419">
        <v>542016270</v>
      </c>
      <c r="C11419" s="76">
        <v>2016</v>
      </c>
      <c r="D11419" s="76" t="s">
        <v>31</v>
      </c>
      <c r="E11419" s="76" t="s">
        <v>32</v>
      </c>
      <c r="F11419" s="76">
        <v>3</v>
      </c>
    </row>
    <row r="11420" s="76" customFormat="1" spans="1:6">
      <c r="A11420">
        <v>11738</v>
      </c>
      <c r="B11420">
        <v>542017110</v>
      </c>
      <c r="C11420" s="76">
        <v>2017</v>
      </c>
      <c r="D11420" s="76" t="s">
        <v>40</v>
      </c>
      <c r="E11420" s="76" t="s">
        <v>32</v>
      </c>
      <c r="F11420" s="76">
        <v>0.7</v>
      </c>
    </row>
    <row r="11421" s="76" customFormat="1" spans="1:6">
      <c r="A11421">
        <v>11737</v>
      </c>
      <c r="B11421">
        <v>542017110</v>
      </c>
      <c r="C11421" s="76">
        <v>2017</v>
      </c>
      <c r="D11421" s="76" t="s">
        <v>40</v>
      </c>
      <c r="E11421" s="76">
        <v>1</v>
      </c>
      <c r="F11421" s="76">
        <v>1.2</v>
      </c>
    </row>
    <row r="11422" s="76" customFormat="1" spans="1:6">
      <c r="A11422">
        <v>11745</v>
      </c>
      <c r="B11422">
        <v>542017270</v>
      </c>
      <c r="C11422" s="76">
        <v>2017</v>
      </c>
      <c r="D11422" s="76" t="s">
        <v>31</v>
      </c>
      <c r="E11422" s="76" t="s">
        <v>32</v>
      </c>
      <c r="F11422" s="76">
        <v>2</v>
      </c>
    </row>
    <row r="11423" s="76" customFormat="1" spans="1:6">
      <c r="A11423">
        <v>11744</v>
      </c>
      <c r="B11423">
        <v>542017270</v>
      </c>
      <c r="C11423" s="76">
        <v>2017</v>
      </c>
      <c r="D11423" s="76" t="s">
        <v>31</v>
      </c>
      <c r="E11423" s="76" t="s">
        <v>32</v>
      </c>
      <c r="F11423" s="76">
        <v>3</v>
      </c>
    </row>
    <row r="11424" s="76" customFormat="1" spans="1:6">
      <c r="A11424">
        <v>11748</v>
      </c>
      <c r="B11424">
        <v>542017270</v>
      </c>
      <c r="C11424" s="76">
        <v>2017</v>
      </c>
      <c r="D11424" s="76" t="s">
        <v>31</v>
      </c>
      <c r="E11424" s="76" t="s">
        <v>32</v>
      </c>
      <c r="F11424" s="76">
        <v>2</v>
      </c>
    </row>
    <row r="11425" s="76" customFormat="1" spans="1:6">
      <c r="A11425">
        <v>11754</v>
      </c>
      <c r="B11425">
        <v>542017270</v>
      </c>
      <c r="C11425" s="76">
        <v>2017</v>
      </c>
      <c r="D11425" s="76" t="s">
        <v>31</v>
      </c>
      <c r="E11425" s="76" t="s">
        <v>32</v>
      </c>
      <c r="F11425" s="76">
        <v>2</v>
      </c>
    </row>
    <row r="11426" s="76" customFormat="1" spans="1:6">
      <c r="A11426">
        <v>11756</v>
      </c>
      <c r="B11426">
        <v>542017270</v>
      </c>
      <c r="C11426" s="76">
        <v>2017</v>
      </c>
      <c r="D11426" s="76" t="s">
        <v>31</v>
      </c>
      <c r="E11426" s="76" t="s">
        <v>32</v>
      </c>
      <c r="F11426" s="76">
        <v>2</v>
      </c>
    </row>
    <row r="11427" s="76" customFormat="1" spans="1:6">
      <c r="A11427">
        <v>11752</v>
      </c>
      <c r="B11427">
        <v>542017270</v>
      </c>
      <c r="C11427" s="76">
        <v>2017</v>
      </c>
      <c r="D11427" s="76" t="s">
        <v>31</v>
      </c>
      <c r="E11427" s="76" t="s">
        <v>32</v>
      </c>
      <c r="F11427" s="76">
        <v>3</v>
      </c>
    </row>
    <row r="11428" s="76" customFormat="1" spans="1:6">
      <c r="A11428">
        <v>11751</v>
      </c>
      <c r="B11428">
        <v>542017270</v>
      </c>
      <c r="C11428" s="76">
        <v>2017</v>
      </c>
      <c r="D11428" s="76" t="s">
        <v>31</v>
      </c>
      <c r="E11428" s="76" t="s">
        <v>32</v>
      </c>
      <c r="F11428" s="76">
        <v>3</v>
      </c>
    </row>
    <row r="11429" s="76" customFormat="1" spans="1:6">
      <c r="A11429">
        <v>11749</v>
      </c>
      <c r="B11429">
        <v>542017270</v>
      </c>
      <c r="C11429" s="76">
        <v>2017</v>
      </c>
      <c r="D11429" s="76" t="s">
        <v>31</v>
      </c>
      <c r="E11429" s="76" t="s">
        <v>32</v>
      </c>
      <c r="F11429" s="76">
        <v>2.5</v>
      </c>
    </row>
    <row r="11430" s="76" customFormat="1" spans="1:6">
      <c r="A11430">
        <v>11739</v>
      </c>
      <c r="B11430">
        <v>542017270</v>
      </c>
      <c r="C11430" s="76">
        <v>2017</v>
      </c>
      <c r="D11430" s="76" t="s">
        <v>31</v>
      </c>
      <c r="E11430" s="76">
        <v>1</v>
      </c>
      <c r="F11430" s="76">
        <v>3</v>
      </c>
    </row>
    <row r="11431" s="76" customFormat="1" spans="1:6">
      <c r="A11431">
        <v>11741</v>
      </c>
      <c r="B11431">
        <v>542017270</v>
      </c>
      <c r="C11431" s="76">
        <v>2017</v>
      </c>
      <c r="D11431" s="76" t="s">
        <v>31</v>
      </c>
      <c r="E11431" s="76" t="s">
        <v>32</v>
      </c>
      <c r="F11431" s="76">
        <v>2</v>
      </c>
    </row>
    <row r="11432" s="76" customFormat="1" spans="1:6">
      <c r="A11432">
        <v>11747</v>
      </c>
      <c r="B11432">
        <v>542017270</v>
      </c>
      <c r="C11432" s="76">
        <v>2017</v>
      </c>
      <c r="D11432" s="76" t="s">
        <v>31</v>
      </c>
      <c r="E11432" s="76" t="s">
        <v>32</v>
      </c>
      <c r="F11432" s="76">
        <v>1.5</v>
      </c>
    </row>
    <row r="11433" s="76" customFormat="1" spans="1:6">
      <c r="A11433">
        <v>11742</v>
      </c>
      <c r="B11433">
        <v>542017270</v>
      </c>
      <c r="C11433" s="76">
        <v>2017</v>
      </c>
      <c r="D11433" s="76" t="s">
        <v>31</v>
      </c>
      <c r="E11433" s="76" t="s">
        <v>32</v>
      </c>
      <c r="F11433" s="76">
        <v>2</v>
      </c>
    </row>
    <row r="11434" s="76" customFormat="1" spans="1:6">
      <c r="A11434">
        <v>11743</v>
      </c>
      <c r="B11434">
        <v>542017270</v>
      </c>
      <c r="C11434" s="76">
        <v>2017</v>
      </c>
      <c r="D11434" s="76" t="s">
        <v>31</v>
      </c>
      <c r="E11434" s="76" t="s">
        <v>32</v>
      </c>
      <c r="F11434" s="76">
        <v>5</v>
      </c>
    </row>
    <row r="11435" s="76" customFormat="1" spans="1:6">
      <c r="A11435">
        <v>11757</v>
      </c>
      <c r="B11435">
        <v>542017270</v>
      </c>
      <c r="C11435" s="76">
        <v>2017</v>
      </c>
      <c r="D11435" s="76" t="s">
        <v>31</v>
      </c>
      <c r="E11435" s="76" t="s">
        <v>32</v>
      </c>
      <c r="F11435" s="76">
        <v>2</v>
      </c>
    </row>
    <row r="11436" s="76" customFormat="1" spans="1:6">
      <c r="A11436">
        <v>11750</v>
      </c>
      <c r="B11436">
        <v>542017270</v>
      </c>
      <c r="C11436" s="76">
        <v>2017</v>
      </c>
      <c r="D11436" s="76" t="s">
        <v>31</v>
      </c>
      <c r="E11436" s="76" t="s">
        <v>32</v>
      </c>
      <c r="F11436" s="76">
        <v>2.5</v>
      </c>
    </row>
    <row r="11437" s="76" customFormat="1" spans="1:6">
      <c r="A11437">
        <v>11740</v>
      </c>
      <c r="B11437">
        <v>542017270</v>
      </c>
      <c r="C11437" s="76">
        <v>2017</v>
      </c>
      <c r="D11437" s="76" t="s">
        <v>31</v>
      </c>
      <c r="E11437" s="76" t="s">
        <v>32</v>
      </c>
      <c r="F11437" s="76">
        <v>2</v>
      </c>
    </row>
    <row r="11438" s="76" customFormat="1" spans="1:6">
      <c r="A11438">
        <v>11755</v>
      </c>
      <c r="B11438">
        <v>542017270</v>
      </c>
      <c r="C11438" s="76">
        <v>2017</v>
      </c>
      <c r="D11438" s="76" t="s">
        <v>31</v>
      </c>
      <c r="E11438" s="76" t="s">
        <v>32</v>
      </c>
      <c r="F11438" s="76">
        <v>2</v>
      </c>
    </row>
    <row r="11439" s="76" customFormat="1" spans="1:6">
      <c r="A11439">
        <v>11746</v>
      </c>
      <c r="B11439">
        <v>542017270</v>
      </c>
      <c r="C11439" s="76">
        <v>2017</v>
      </c>
      <c r="D11439" s="76" t="s">
        <v>31</v>
      </c>
      <c r="E11439" s="76" t="s">
        <v>32</v>
      </c>
      <c r="F11439" s="76">
        <v>2</v>
      </c>
    </row>
    <row r="11440" s="76" customFormat="1" spans="1:6">
      <c r="A11440">
        <v>11753</v>
      </c>
      <c r="B11440">
        <v>542017270</v>
      </c>
      <c r="C11440" s="76">
        <v>2017</v>
      </c>
      <c r="D11440" s="76" t="s">
        <v>31</v>
      </c>
      <c r="E11440" s="76" t="s">
        <v>32</v>
      </c>
      <c r="F11440" s="76">
        <v>2</v>
      </c>
    </row>
    <row r="11441" s="76" customFormat="1" spans="1:6">
      <c r="A11441">
        <v>11758</v>
      </c>
      <c r="B11441">
        <v>542017270</v>
      </c>
      <c r="C11441" s="76">
        <v>2017</v>
      </c>
      <c r="D11441" s="76" t="s">
        <v>31</v>
      </c>
      <c r="E11441" s="76" t="s">
        <v>32</v>
      </c>
      <c r="F11441" s="76">
        <v>1</v>
      </c>
    </row>
    <row r="11442" s="76" customFormat="1" spans="1:6">
      <c r="A11442">
        <v>11760</v>
      </c>
      <c r="B11442">
        <v>542018110</v>
      </c>
      <c r="C11442" s="76">
        <v>2018</v>
      </c>
      <c r="D11442" s="76" t="s">
        <v>40</v>
      </c>
      <c r="E11442" s="76" t="s">
        <v>32</v>
      </c>
      <c r="F11442" s="76">
        <v>0.8</v>
      </c>
    </row>
    <row r="11443" s="76" customFormat="1" spans="1:6">
      <c r="A11443">
        <v>11762</v>
      </c>
      <c r="B11443">
        <v>542018270</v>
      </c>
      <c r="C11443" s="76">
        <v>2018</v>
      </c>
      <c r="D11443" s="76" t="s">
        <v>31</v>
      </c>
      <c r="E11443" s="76" t="s">
        <v>32</v>
      </c>
      <c r="F11443" s="76">
        <v>2</v>
      </c>
    </row>
    <row r="11444" s="76" customFormat="1" spans="1:6">
      <c r="A11444">
        <v>11763</v>
      </c>
      <c r="B11444">
        <v>542018270</v>
      </c>
      <c r="C11444" s="76">
        <v>2018</v>
      </c>
      <c r="D11444" s="76" t="s">
        <v>31</v>
      </c>
      <c r="E11444" s="76" t="s">
        <v>32</v>
      </c>
      <c r="F11444" s="76">
        <v>4</v>
      </c>
    </row>
    <row r="11445" s="76" customFormat="1" spans="1:6">
      <c r="A11445">
        <v>11761</v>
      </c>
      <c r="B11445">
        <v>542018270</v>
      </c>
      <c r="C11445" s="76">
        <v>2018</v>
      </c>
      <c r="D11445" s="76" t="s">
        <v>31</v>
      </c>
      <c r="E11445" s="76" t="s">
        <v>32</v>
      </c>
      <c r="F11445" s="76">
        <v>3</v>
      </c>
    </row>
    <row r="11446" s="76" customFormat="1" spans="1:6">
      <c r="A11446">
        <v>11764</v>
      </c>
      <c r="B11446">
        <v>542018270</v>
      </c>
      <c r="C11446" s="76">
        <v>2018</v>
      </c>
      <c r="D11446" s="76" t="s">
        <v>31</v>
      </c>
      <c r="E11446" s="76" t="s">
        <v>32</v>
      </c>
      <c r="F11446" s="76">
        <v>3</v>
      </c>
    </row>
    <row r="11447" s="76" customFormat="1" spans="1:6">
      <c r="A11447">
        <v>11766</v>
      </c>
      <c r="B11447">
        <v>542019110</v>
      </c>
      <c r="C11447" s="76">
        <v>2019</v>
      </c>
      <c r="D11447" s="76" t="s">
        <v>40</v>
      </c>
      <c r="E11447" s="76" t="s">
        <v>32</v>
      </c>
      <c r="F11447" s="76">
        <v>4.4</v>
      </c>
    </row>
    <row r="11448" s="76" customFormat="1" spans="1:6">
      <c r="A11448">
        <v>11767</v>
      </c>
      <c r="B11448">
        <v>542019110</v>
      </c>
      <c r="C11448" s="76">
        <v>2019</v>
      </c>
      <c r="D11448" s="76" t="s">
        <v>40</v>
      </c>
      <c r="E11448" s="76" t="s">
        <v>32</v>
      </c>
      <c r="F11448" s="76">
        <v>4.4</v>
      </c>
    </row>
    <row r="11449" s="76" customFormat="1" spans="1:6">
      <c r="A11449">
        <v>11765</v>
      </c>
      <c r="B11449">
        <v>542019110</v>
      </c>
      <c r="C11449" s="76">
        <v>2019</v>
      </c>
      <c r="D11449" s="76" t="s">
        <v>40</v>
      </c>
      <c r="E11449" s="76" t="s">
        <v>32</v>
      </c>
      <c r="F11449" s="76">
        <v>4.2</v>
      </c>
    </row>
    <row r="11450" s="76" customFormat="1" spans="1:6">
      <c r="A11450">
        <v>11772</v>
      </c>
      <c r="B11450">
        <v>542019270</v>
      </c>
      <c r="C11450" s="76">
        <v>2019</v>
      </c>
      <c r="D11450" s="76" t="s">
        <v>31</v>
      </c>
      <c r="E11450" s="76" t="s">
        <v>32</v>
      </c>
      <c r="F11450" s="76">
        <v>2</v>
      </c>
    </row>
    <row r="11451" s="76" customFormat="1" spans="1:6">
      <c r="A11451">
        <v>11773</v>
      </c>
      <c r="B11451">
        <v>542019270</v>
      </c>
      <c r="C11451" s="76">
        <v>2019</v>
      </c>
      <c r="D11451" s="76" t="s">
        <v>31</v>
      </c>
      <c r="E11451" s="76" t="s">
        <v>32</v>
      </c>
      <c r="F11451" s="76">
        <v>2</v>
      </c>
    </row>
    <row r="11452" s="76" customFormat="1" spans="1:6">
      <c r="A11452">
        <v>11774</v>
      </c>
      <c r="B11452">
        <v>542019270</v>
      </c>
      <c r="C11452" s="76">
        <v>2019</v>
      </c>
      <c r="D11452" s="76" t="s">
        <v>31</v>
      </c>
      <c r="E11452" s="76" t="s">
        <v>32</v>
      </c>
      <c r="F11452" s="76">
        <v>2</v>
      </c>
    </row>
    <row r="11453" s="76" customFormat="1" spans="1:6">
      <c r="A11453">
        <v>11771</v>
      </c>
      <c r="B11453">
        <v>542019270</v>
      </c>
      <c r="C11453" s="76">
        <v>2019</v>
      </c>
      <c r="D11453" s="76" t="s">
        <v>31</v>
      </c>
      <c r="E11453" s="76" t="s">
        <v>32</v>
      </c>
      <c r="F11453" s="76">
        <v>2</v>
      </c>
    </row>
    <row r="11454" s="76" customFormat="1" spans="1:6">
      <c r="A11454">
        <v>11775</v>
      </c>
      <c r="B11454">
        <v>542019270</v>
      </c>
      <c r="C11454" s="76">
        <v>2019</v>
      </c>
      <c r="D11454" s="76" t="s">
        <v>31</v>
      </c>
      <c r="E11454" s="76" t="s">
        <v>32</v>
      </c>
      <c r="F11454" s="76">
        <v>2</v>
      </c>
    </row>
    <row r="11455" s="76" customFormat="1" spans="1:6">
      <c r="A11455">
        <v>11770</v>
      </c>
      <c r="B11455">
        <v>542019270</v>
      </c>
      <c r="C11455" s="76">
        <v>2019</v>
      </c>
      <c r="D11455" s="76" t="s">
        <v>31</v>
      </c>
      <c r="E11455" s="76" t="s">
        <v>32</v>
      </c>
      <c r="F11455" s="76">
        <v>2</v>
      </c>
    </row>
    <row r="11456" s="76" customFormat="1" spans="1:6">
      <c r="A11456">
        <v>11777</v>
      </c>
      <c r="B11456">
        <v>542020110</v>
      </c>
      <c r="C11456" s="76">
        <v>2020</v>
      </c>
      <c r="D11456" s="76" t="s">
        <v>40</v>
      </c>
      <c r="E11456" s="76" t="s">
        <v>32</v>
      </c>
      <c r="F11456" s="76">
        <v>2.2</v>
      </c>
    </row>
    <row r="11457" s="76" customFormat="1" spans="1:6">
      <c r="A11457">
        <v>11776</v>
      </c>
      <c r="B11457">
        <v>542020110</v>
      </c>
      <c r="C11457" s="76">
        <v>2020</v>
      </c>
      <c r="D11457" s="76" t="s">
        <v>40</v>
      </c>
      <c r="E11457" s="76">
        <v>3</v>
      </c>
      <c r="F11457" s="76">
        <v>36</v>
      </c>
    </row>
    <row r="11458" s="76" customFormat="1" spans="1:6">
      <c r="A11458">
        <v>11787</v>
      </c>
      <c r="B11458">
        <v>542020270</v>
      </c>
      <c r="C11458" s="76">
        <v>2020</v>
      </c>
      <c r="D11458" s="76" t="s">
        <v>31</v>
      </c>
      <c r="E11458" s="76" t="s">
        <v>32</v>
      </c>
      <c r="F11458" s="76">
        <v>1</v>
      </c>
    </row>
    <row r="11459" s="76" customFormat="1" spans="1:6">
      <c r="A11459">
        <v>11786</v>
      </c>
      <c r="B11459">
        <v>542020270</v>
      </c>
      <c r="C11459" s="76">
        <v>2020</v>
      </c>
      <c r="D11459" s="76" t="s">
        <v>31</v>
      </c>
      <c r="E11459" s="76" t="s">
        <v>32</v>
      </c>
      <c r="F11459" s="76">
        <v>2</v>
      </c>
    </row>
    <row r="11460" s="76" customFormat="1" spans="1:6">
      <c r="A11460">
        <v>11785</v>
      </c>
      <c r="B11460">
        <v>542020270</v>
      </c>
      <c r="C11460" s="76">
        <v>2020</v>
      </c>
      <c r="D11460" s="76" t="s">
        <v>31</v>
      </c>
      <c r="E11460" s="76" t="s">
        <v>32</v>
      </c>
      <c r="F11460" s="76">
        <v>3</v>
      </c>
    </row>
    <row r="11461" s="76" customFormat="1" spans="1:6">
      <c r="A11461">
        <v>11782</v>
      </c>
      <c r="B11461">
        <v>542020270</v>
      </c>
      <c r="C11461" s="76">
        <v>2020</v>
      </c>
      <c r="D11461" s="76" t="s">
        <v>31</v>
      </c>
      <c r="E11461" s="76" t="s">
        <v>32</v>
      </c>
      <c r="F11461" s="76">
        <v>2</v>
      </c>
    </row>
    <row r="11462" s="76" customFormat="1" spans="1:6">
      <c r="A11462">
        <v>11783</v>
      </c>
      <c r="B11462">
        <v>542020270</v>
      </c>
      <c r="C11462" s="76">
        <v>2020</v>
      </c>
      <c r="D11462" s="76" t="s">
        <v>31</v>
      </c>
      <c r="E11462" s="76" t="s">
        <v>32</v>
      </c>
      <c r="F11462" s="76">
        <v>1</v>
      </c>
    </row>
    <row r="11463" s="76" customFormat="1" spans="1:6">
      <c r="A11463">
        <v>11788</v>
      </c>
      <c r="B11463">
        <v>542020270</v>
      </c>
      <c r="C11463" s="76">
        <v>2020</v>
      </c>
      <c r="D11463" s="76" t="s">
        <v>31</v>
      </c>
      <c r="E11463" s="76" t="s">
        <v>32</v>
      </c>
      <c r="F11463" s="76">
        <v>4</v>
      </c>
    </row>
    <row r="11464" s="76" customFormat="1" spans="1:6">
      <c r="A11464">
        <v>11784</v>
      </c>
      <c r="B11464">
        <v>542020270</v>
      </c>
      <c r="C11464" s="76">
        <v>2020</v>
      </c>
      <c r="D11464" s="76" t="s">
        <v>31</v>
      </c>
      <c r="E11464" s="76" t="s">
        <v>32</v>
      </c>
      <c r="F11464" s="76">
        <v>2</v>
      </c>
    </row>
    <row r="11465" s="76" customFormat="1" spans="1:6">
      <c r="A11465">
        <v>11781</v>
      </c>
      <c r="B11465">
        <v>542020270</v>
      </c>
      <c r="C11465" s="76">
        <v>2020</v>
      </c>
      <c r="D11465" s="76" t="s">
        <v>31</v>
      </c>
      <c r="E11465" s="76" t="s">
        <v>32</v>
      </c>
      <c r="F11465" s="76">
        <v>5</v>
      </c>
    </row>
    <row r="11466" s="76" customFormat="1" spans="1:6">
      <c r="A11466">
        <v>11780</v>
      </c>
      <c r="B11466">
        <v>542020270</v>
      </c>
      <c r="C11466" s="76">
        <v>2020</v>
      </c>
      <c r="D11466" s="76" t="s">
        <v>31</v>
      </c>
      <c r="E11466" s="76" t="s">
        <v>32</v>
      </c>
      <c r="F11466" s="76">
        <v>4</v>
      </c>
    </row>
    <row r="11467" s="76" customFormat="1" spans="1:6">
      <c r="A11467">
        <v>11789</v>
      </c>
      <c r="B11467">
        <v>542020270</v>
      </c>
      <c r="C11467" s="76">
        <v>2020</v>
      </c>
      <c r="D11467" s="76" t="s">
        <v>31</v>
      </c>
      <c r="E11467" s="76" t="s">
        <v>32</v>
      </c>
      <c r="F11467" s="76">
        <v>3</v>
      </c>
    </row>
    <row r="11468" s="76" customFormat="1" spans="1:6">
      <c r="A11468">
        <v>11790</v>
      </c>
      <c r="B11468">
        <v>542020283</v>
      </c>
      <c r="C11468" s="76">
        <v>2020</v>
      </c>
      <c r="D11468" s="76" t="s">
        <v>41</v>
      </c>
      <c r="E11468" s="76" t="s">
        <v>32</v>
      </c>
      <c r="F11468" s="76">
        <v>0.5</v>
      </c>
    </row>
    <row r="11469" s="76" customFormat="1" spans="1:6">
      <c r="A11469">
        <v>11795</v>
      </c>
      <c r="B11469">
        <v>542021110</v>
      </c>
      <c r="C11469" s="76">
        <v>2021</v>
      </c>
      <c r="D11469" s="76" t="s">
        <v>40</v>
      </c>
      <c r="E11469" s="76" t="s">
        <v>32</v>
      </c>
      <c r="F11469" s="76">
        <v>0.25</v>
      </c>
    </row>
    <row r="11470" s="76" customFormat="1" spans="1:6">
      <c r="A11470">
        <v>11794</v>
      </c>
      <c r="B11470">
        <v>542021110</v>
      </c>
      <c r="C11470" s="76">
        <v>2021</v>
      </c>
      <c r="D11470" s="76" t="s">
        <v>40</v>
      </c>
      <c r="E11470" s="76" t="s">
        <v>32</v>
      </c>
      <c r="F11470" s="76">
        <v>0.2</v>
      </c>
    </row>
    <row r="11471" s="76" customFormat="1" spans="1:6">
      <c r="A11471">
        <v>11792</v>
      </c>
      <c r="B11471">
        <v>542021110</v>
      </c>
      <c r="C11471" s="76">
        <v>2021</v>
      </c>
      <c r="D11471" s="76" t="s">
        <v>40</v>
      </c>
      <c r="E11471" s="76" t="s">
        <v>32</v>
      </c>
      <c r="F11471" s="76">
        <v>4.2</v>
      </c>
    </row>
    <row r="11472" s="76" customFormat="1" spans="1:6">
      <c r="A11472">
        <v>11793</v>
      </c>
      <c r="B11472">
        <v>542021110</v>
      </c>
      <c r="C11472" s="76">
        <v>2021</v>
      </c>
      <c r="D11472" s="76" t="s">
        <v>40</v>
      </c>
      <c r="E11472" s="76" t="s">
        <v>32</v>
      </c>
      <c r="F11472" s="76">
        <v>0.15</v>
      </c>
    </row>
    <row r="11473" s="76" customFormat="1" spans="1:6">
      <c r="A11473">
        <v>11791</v>
      </c>
      <c r="B11473">
        <v>542021110</v>
      </c>
      <c r="C11473" s="76">
        <v>2021</v>
      </c>
      <c r="D11473" s="76" t="s">
        <v>40</v>
      </c>
      <c r="E11473" s="76">
        <v>4</v>
      </c>
      <c r="F11473" s="76">
        <v>66</v>
      </c>
    </row>
    <row r="11474" s="76" customFormat="1" spans="1:6">
      <c r="A11474">
        <v>11796</v>
      </c>
      <c r="B11474">
        <v>542021110</v>
      </c>
      <c r="C11474" s="76">
        <v>2021</v>
      </c>
      <c r="D11474" s="76" t="s">
        <v>40</v>
      </c>
      <c r="E11474" s="76" t="s">
        <v>32</v>
      </c>
      <c r="F11474" s="76">
        <v>0.16</v>
      </c>
    </row>
    <row r="11475" s="76" customFormat="1" spans="1:6">
      <c r="A11475">
        <v>11798</v>
      </c>
      <c r="B11475">
        <v>542021260</v>
      </c>
      <c r="C11475" s="76">
        <v>2021</v>
      </c>
      <c r="D11475" s="76" t="s">
        <v>34</v>
      </c>
      <c r="E11475" s="76">
        <v>10</v>
      </c>
      <c r="F11475" s="76">
        <v>2.2</v>
      </c>
    </row>
    <row r="11476" s="76" customFormat="1" spans="1:6">
      <c r="A11476">
        <v>11800</v>
      </c>
      <c r="B11476">
        <v>542021270</v>
      </c>
      <c r="C11476" s="76">
        <v>2021</v>
      </c>
      <c r="D11476" s="76" t="s">
        <v>31</v>
      </c>
      <c r="E11476" s="76" t="s">
        <v>32</v>
      </c>
      <c r="F11476" s="76">
        <v>2.18</v>
      </c>
    </row>
    <row r="11477" s="76" customFormat="1" spans="1:6">
      <c r="A11477">
        <v>11799</v>
      </c>
      <c r="B11477">
        <v>542021270</v>
      </c>
      <c r="C11477" s="76">
        <v>2021</v>
      </c>
      <c r="D11477" s="76" t="s">
        <v>31</v>
      </c>
      <c r="E11477" s="76" t="s">
        <v>32</v>
      </c>
      <c r="F11477" s="76">
        <v>0.25</v>
      </c>
    </row>
    <row r="11478" s="76" customFormat="1" spans="1:6">
      <c r="A11478">
        <v>11801</v>
      </c>
      <c r="B11478">
        <v>612012211</v>
      </c>
      <c r="C11478">
        <v>2012</v>
      </c>
      <c r="D11478" t="s">
        <v>37</v>
      </c>
      <c r="E11478">
        <v>1</v>
      </c>
      <c r="F11478">
        <v>66</v>
      </c>
    </row>
    <row r="11479" s="76" customFormat="1" spans="1:6">
      <c r="A11479">
        <v>11806</v>
      </c>
      <c r="B11479">
        <v>612012260</v>
      </c>
      <c r="C11479">
        <v>2012</v>
      </c>
      <c r="D11479" t="s">
        <v>34</v>
      </c>
      <c r="E11479">
        <v>8</v>
      </c>
      <c r="F11479">
        <v>1.2</v>
      </c>
    </row>
    <row r="11480" s="76" customFormat="1" spans="1:6">
      <c r="A11480">
        <v>11802</v>
      </c>
      <c r="B11480">
        <v>612012260</v>
      </c>
      <c r="C11480">
        <v>2012</v>
      </c>
      <c r="D11480" t="s">
        <v>34</v>
      </c>
      <c r="E11480">
        <v>25</v>
      </c>
      <c r="F11480">
        <v>5</v>
      </c>
    </row>
    <row r="11481" s="76" customFormat="1" spans="1:6">
      <c r="A11481">
        <v>11804</v>
      </c>
      <c r="B11481">
        <v>612012260</v>
      </c>
      <c r="C11481">
        <v>2012</v>
      </c>
      <c r="D11481" t="s">
        <v>34</v>
      </c>
      <c r="E11481">
        <v>33</v>
      </c>
      <c r="F11481">
        <v>4.95</v>
      </c>
    </row>
    <row r="11482" s="76" customFormat="1" spans="1:6">
      <c r="A11482">
        <v>11807</v>
      </c>
      <c r="B11482">
        <v>612012260</v>
      </c>
      <c r="C11482">
        <v>2012</v>
      </c>
      <c r="D11482" t="s">
        <v>34</v>
      </c>
      <c r="E11482">
        <v>6</v>
      </c>
      <c r="F11482">
        <v>0.9</v>
      </c>
    </row>
    <row r="11483" s="76" customFormat="1" spans="1:6">
      <c r="A11483">
        <v>11805</v>
      </c>
      <c r="B11483">
        <v>612012260</v>
      </c>
      <c r="C11483">
        <v>2012</v>
      </c>
      <c r="D11483" t="s">
        <v>34</v>
      </c>
      <c r="E11483">
        <v>33</v>
      </c>
      <c r="F11483">
        <v>4.95</v>
      </c>
    </row>
    <row r="11484" s="76" customFormat="1" spans="1:6">
      <c r="A11484">
        <v>11803</v>
      </c>
      <c r="B11484">
        <v>612012260</v>
      </c>
      <c r="C11484">
        <v>2012</v>
      </c>
      <c r="D11484" t="s">
        <v>34</v>
      </c>
      <c r="E11484">
        <v>33</v>
      </c>
      <c r="F11484">
        <v>4.95</v>
      </c>
    </row>
    <row r="11485" s="76" customFormat="1" spans="1:6">
      <c r="A11485">
        <v>11809</v>
      </c>
      <c r="B11485">
        <v>612012270</v>
      </c>
      <c r="C11485">
        <v>2012</v>
      </c>
      <c r="D11485" t="s">
        <v>31</v>
      </c>
      <c r="E11485" t="s">
        <v>32</v>
      </c>
      <c r="F11485">
        <v>0.5</v>
      </c>
    </row>
    <row r="11486" s="76" customFormat="1" spans="1:6">
      <c r="A11486">
        <v>11808</v>
      </c>
      <c r="B11486">
        <v>612012270</v>
      </c>
      <c r="C11486">
        <v>2012</v>
      </c>
      <c r="D11486" t="s">
        <v>31</v>
      </c>
      <c r="E11486" t="s">
        <v>32</v>
      </c>
      <c r="F11486">
        <v>2</v>
      </c>
    </row>
    <row r="11487" s="76" customFormat="1" spans="1:6">
      <c r="A11487" s="78">
        <v>11810</v>
      </c>
      <c r="B11487">
        <v>612013211</v>
      </c>
      <c r="C11487" s="78">
        <v>2013</v>
      </c>
      <c r="D11487" s="78" t="s">
        <v>37</v>
      </c>
      <c r="E11487" s="78" t="s">
        <v>32</v>
      </c>
      <c r="F11487" s="78">
        <v>66</v>
      </c>
    </row>
    <row r="11488" s="76" customFormat="1" spans="1:6">
      <c r="A11488">
        <v>11818</v>
      </c>
      <c r="B11488">
        <v>612013260</v>
      </c>
      <c r="C11488">
        <v>2013</v>
      </c>
      <c r="D11488" t="s">
        <v>34</v>
      </c>
      <c r="E11488">
        <v>25</v>
      </c>
      <c r="F11488">
        <v>3.75</v>
      </c>
    </row>
    <row r="11489" s="76" customFormat="1" spans="1:6">
      <c r="A11489">
        <v>11814</v>
      </c>
      <c r="B11489">
        <v>612013260</v>
      </c>
      <c r="C11489">
        <v>2013</v>
      </c>
      <c r="D11489" t="s">
        <v>34</v>
      </c>
      <c r="E11489">
        <v>33</v>
      </c>
      <c r="F11489">
        <v>4.95</v>
      </c>
    </row>
    <row r="11490" s="76" customFormat="1" spans="1:6">
      <c r="A11490">
        <v>11811</v>
      </c>
      <c r="B11490">
        <v>612013260</v>
      </c>
      <c r="C11490">
        <v>2013</v>
      </c>
      <c r="D11490" t="s">
        <v>34</v>
      </c>
      <c r="E11490">
        <v>33</v>
      </c>
      <c r="F11490">
        <v>4.95</v>
      </c>
    </row>
    <row r="11491" s="76" customFormat="1" spans="1:6">
      <c r="A11491">
        <v>11817</v>
      </c>
      <c r="B11491">
        <v>612013260</v>
      </c>
      <c r="C11491">
        <v>2013</v>
      </c>
      <c r="D11491" t="s">
        <v>34</v>
      </c>
      <c r="E11491">
        <v>25</v>
      </c>
      <c r="F11491">
        <v>5</v>
      </c>
    </row>
    <row r="11492" s="76" customFormat="1" spans="1:6">
      <c r="A11492">
        <v>11821</v>
      </c>
      <c r="B11492">
        <v>612013260</v>
      </c>
      <c r="C11492">
        <v>2013</v>
      </c>
      <c r="D11492" t="s">
        <v>34</v>
      </c>
      <c r="E11492">
        <v>25</v>
      </c>
      <c r="F11492">
        <v>5</v>
      </c>
    </row>
    <row r="11493" s="76" customFormat="1" spans="1:6">
      <c r="A11493">
        <v>11812</v>
      </c>
      <c r="B11493">
        <v>612013260</v>
      </c>
      <c r="C11493">
        <v>2013</v>
      </c>
      <c r="D11493" t="s">
        <v>34</v>
      </c>
      <c r="E11493">
        <v>33</v>
      </c>
      <c r="F11493">
        <v>4.95</v>
      </c>
    </row>
    <row r="11494" s="76" customFormat="1" spans="1:6">
      <c r="A11494">
        <v>11815</v>
      </c>
      <c r="B11494">
        <v>612013260</v>
      </c>
      <c r="C11494">
        <v>2013</v>
      </c>
      <c r="D11494" t="s">
        <v>34</v>
      </c>
      <c r="E11494">
        <v>33</v>
      </c>
      <c r="F11494">
        <v>4.95</v>
      </c>
    </row>
    <row r="11495" s="76" customFormat="1" spans="1:6">
      <c r="A11495">
        <v>11819</v>
      </c>
      <c r="B11495">
        <v>612013260</v>
      </c>
      <c r="C11495">
        <v>2013</v>
      </c>
      <c r="D11495" t="s">
        <v>34</v>
      </c>
      <c r="E11495">
        <v>33</v>
      </c>
      <c r="F11495">
        <v>4.95</v>
      </c>
    </row>
    <row r="11496" s="76" customFormat="1" spans="1:6">
      <c r="A11496">
        <v>11813</v>
      </c>
      <c r="B11496">
        <v>612013260</v>
      </c>
      <c r="C11496">
        <v>2013</v>
      </c>
      <c r="D11496" t="s">
        <v>34</v>
      </c>
      <c r="E11496">
        <v>33</v>
      </c>
      <c r="F11496">
        <v>4.95</v>
      </c>
    </row>
    <row r="11497" s="76" customFormat="1" spans="1:6">
      <c r="A11497">
        <v>11820</v>
      </c>
      <c r="B11497">
        <v>612013260</v>
      </c>
      <c r="C11497">
        <v>2013</v>
      </c>
      <c r="D11497" t="s">
        <v>34</v>
      </c>
      <c r="E11497">
        <v>13</v>
      </c>
      <c r="F11497">
        <v>1.95</v>
      </c>
    </row>
    <row r="11498" s="76" customFormat="1" spans="1:6">
      <c r="A11498">
        <v>11816</v>
      </c>
      <c r="B11498">
        <v>612013260</v>
      </c>
      <c r="C11498">
        <v>2013</v>
      </c>
      <c r="D11498" t="s">
        <v>34</v>
      </c>
      <c r="E11498">
        <v>2</v>
      </c>
      <c r="F11498">
        <v>0.3</v>
      </c>
    </row>
    <row r="11499" s="76" customFormat="1" spans="1:6">
      <c r="A11499">
        <v>11822</v>
      </c>
      <c r="B11499">
        <v>612013270</v>
      </c>
      <c r="C11499">
        <v>2013</v>
      </c>
      <c r="D11499" t="s">
        <v>31</v>
      </c>
      <c r="E11499" t="s">
        <v>32</v>
      </c>
      <c r="F11499">
        <v>2</v>
      </c>
    </row>
    <row r="11500" s="76" customFormat="1" spans="1:6">
      <c r="A11500">
        <v>11823</v>
      </c>
      <c r="B11500">
        <v>612013270</v>
      </c>
      <c r="C11500">
        <v>2013</v>
      </c>
      <c r="D11500" t="s">
        <v>31</v>
      </c>
      <c r="E11500" t="s">
        <v>32</v>
      </c>
      <c r="F11500">
        <v>1</v>
      </c>
    </row>
    <row r="11501" s="76" customFormat="1" spans="1:6">
      <c r="A11501">
        <v>11824</v>
      </c>
      <c r="B11501">
        <v>612013270</v>
      </c>
      <c r="C11501">
        <v>2013</v>
      </c>
      <c r="D11501" t="s">
        <v>31</v>
      </c>
      <c r="E11501" t="s">
        <v>32</v>
      </c>
      <c r="F11501">
        <v>0.5</v>
      </c>
    </row>
    <row r="11502" s="76" customFormat="1" spans="1:6">
      <c r="A11502">
        <v>11825</v>
      </c>
      <c r="B11502">
        <v>612014211</v>
      </c>
      <c r="C11502">
        <v>2014</v>
      </c>
      <c r="D11502" t="s">
        <v>37</v>
      </c>
      <c r="E11502">
        <v>1</v>
      </c>
      <c r="F11502">
        <v>66</v>
      </c>
    </row>
    <row r="11503" s="76" customFormat="1" spans="1:6">
      <c r="A11503">
        <v>11831</v>
      </c>
      <c r="B11503">
        <v>612014241</v>
      </c>
      <c r="C11503">
        <v>2014</v>
      </c>
      <c r="D11503" t="s">
        <v>33</v>
      </c>
      <c r="E11503">
        <v>1</v>
      </c>
      <c r="F11503">
        <v>3</v>
      </c>
    </row>
    <row r="11504" s="76" customFormat="1" spans="1:6">
      <c r="A11504">
        <v>11829</v>
      </c>
      <c r="B11504">
        <v>612014241</v>
      </c>
      <c r="C11504">
        <v>2014</v>
      </c>
      <c r="D11504" t="s">
        <v>33</v>
      </c>
      <c r="E11504">
        <v>1</v>
      </c>
      <c r="F11504">
        <v>3</v>
      </c>
    </row>
    <row r="11505" s="76" customFormat="1" spans="1:6">
      <c r="A11505">
        <v>11832</v>
      </c>
      <c r="B11505">
        <v>612014241</v>
      </c>
      <c r="C11505">
        <v>2014</v>
      </c>
      <c r="D11505" t="s">
        <v>33</v>
      </c>
      <c r="E11505">
        <v>1</v>
      </c>
      <c r="F11505">
        <v>2.5</v>
      </c>
    </row>
    <row r="11506" s="76" customFormat="1" spans="1:6">
      <c r="A11506">
        <v>11828</v>
      </c>
      <c r="B11506">
        <v>612014241</v>
      </c>
      <c r="C11506">
        <v>2014</v>
      </c>
      <c r="D11506" t="s">
        <v>33</v>
      </c>
      <c r="E11506">
        <v>1</v>
      </c>
      <c r="F11506">
        <v>4</v>
      </c>
    </row>
    <row r="11507" s="76" customFormat="1" spans="1:6">
      <c r="A11507">
        <v>11826</v>
      </c>
      <c r="B11507">
        <v>612014241</v>
      </c>
      <c r="C11507">
        <v>2014</v>
      </c>
      <c r="D11507" t="s">
        <v>33</v>
      </c>
      <c r="E11507">
        <v>2</v>
      </c>
      <c r="F11507">
        <v>6</v>
      </c>
    </row>
    <row r="11508" s="76" customFormat="1" spans="1:6">
      <c r="A11508">
        <v>11830</v>
      </c>
      <c r="B11508">
        <v>612014241</v>
      </c>
      <c r="C11508">
        <v>2014</v>
      </c>
      <c r="D11508" t="s">
        <v>33</v>
      </c>
      <c r="E11508">
        <v>1</v>
      </c>
      <c r="F11508">
        <v>3</v>
      </c>
    </row>
    <row r="11509" s="76" customFormat="1" spans="1:6">
      <c r="A11509">
        <v>11827</v>
      </c>
      <c r="B11509">
        <v>612014241</v>
      </c>
      <c r="C11509">
        <v>2014</v>
      </c>
      <c r="D11509" t="s">
        <v>33</v>
      </c>
      <c r="E11509">
        <v>1</v>
      </c>
      <c r="F11509">
        <v>5</v>
      </c>
    </row>
    <row r="11510" s="76" customFormat="1" spans="1:6">
      <c r="A11510">
        <v>11839</v>
      </c>
      <c r="B11510">
        <v>612014260</v>
      </c>
      <c r="C11510">
        <v>2014</v>
      </c>
      <c r="D11510" t="s">
        <v>34</v>
      </c>
      <c r="E11510">
        <v>20</v>
      </c>
      <c r="F11510">
        <v>4.05</v>
      </c>
    </row>
    <row r="11511" s="76" customFormat="1" spans="1:6">
      <c r="A11511">
        <v>11834</v>
      </c>
      <c r="B11511">
        <v>612014260</v>
      </c>
      <c r="C11511">
        <v>2014</v>
      </c>
      <c r="D11511" t="s">
        <v>34</v>
      </c>
      <c r="E11511">
        <v>29</v>
      </c>
      <c r="F11511">
        <v>4.95</v>
      </c>
    </row>
    <row r="11512" s="76" customFormat="1" spans="1:6">
      <c r="A11512">
        <v>11833</v>
      </c>
      <c r="B11512">
        <v>612014260</v>
      </c>
      <c r="C11512">
        <v>2014</v>
      </c>
      <c r="D11512" t="s">
        <v>34</v>
      </c>
      <c r="E11512">
        <v>33</v>
      </c>
      <c r="F11512">
        <v>4.95</v>
      </c>
    </row>
    <row r="11513" s="76" customFormat="1" spans="1:6">
      <c r="A11513">
        <v>11838</v>
      </c>
      <c r="B11513">
        <v>612014260</v>
      </c>
      <c r="C11513">
        <v>2014</v>
      </c>
      <c r="D11513" t="s">
        <v>34</v>
      </c>
      <c r="E11513">
        <v>33</v>
      </c>
      <c r="F11513">
        <v>4.95</v>
      </c>
    </row>
    <row r="11514" s="76" customFormat="1" spans="1:6">
      <c r="A11514">
        <v>11837</v>
      </c>
      <c r="B11514">
        <v>612014260</v>
      </c>
      <c r="C11514">
        <v>2014</v>
      </c>
      <c r="D11514" t="s">
        <v>34</v>
      </c>
      <c r="E11514">
        <v>33</v>
      </c>
      <c r="F11514">
        <v>4.95</v>
      </c>
    </row>
    <row r="11515" s="76" customFormat="1" spans="1:6">
      <c r="A11515">
        <v>11835</v>
      </c>
      <c r="B11515">
        <v>612014260</v>
      </c>
      <c r="C11515">
        <v>2014</v>
      </c>
      <c r="D11515" t="s">
        <v>34</v>
      </c>
      <c r="E11515">
        <v>33</v>
      </c>
      <c r="F11515">
        <v>4.95</v>
      </c>
    </row>
    <row r="11516" s="76" customFormat="1" spans="1:6">
      <c r="A11516">
        <v>11836</v>
      </c>
      <c r="B11516">
        <v>612014260</v>
      </c>
      <c r="C11516">
        <v>2014</v>
      </c>
      <c r="D11516" t="s">
        <v>34</v>
      </c>
      <c r="E11516">
        <v>4</v>
      </c>
      <c r="F11516">
        <v>0.6</v>
      </c>
    </row>
    <row r="11517" s="76" customFormat="1" spans="1:6">
      <c r="A11517">
        <v>11841</v>
      </c>
      <c r="B11517">
        <v>612014270</v>
      </c>
      <c r="C11517">
        <v>2014</v>
      </c>
      <c r="D11517" t="s">
        <v>31</v>
      </c>
      <c r="E11517"/>
      <c r="F11517">
        <v>3</v>
      </c>
    </row>
    <row r="11518" s="76" customFormat="1" spans="1:6">
      <c r="A11518">
        <v>11840</v>
      </c>
      <c r="B11518">
        <v>612014270</v>
      </c>
      <c r="C11518">
        <v>2014</v>
      </c>
      <c r="D11518" t="s">
        <v>31</v>
      </c>
      <c r="E11518">
        <v>1</v>
      </c>
      <c r="F11518">
        <v>20</v>
      </c>
    </row>
    <row r="11519" s="76" customFormat="1" spans="1:6">
      <c r="A11519">
        <v>11842</v>
      </c>
      <c r="B11519">
        <v>612014270</v>
      </c>
      <c r="C11519">
        <v>2014</v>
      </c>
      <c r="D11519" t="s">
        <v>31</v>
      </c>
      <c r="E11519">
        <v>1</v>
      </c>
      <c r="F11519">
        <v>3</v>
      </c>
    </row>
    <row r="11520" s="76" customFormat="1" spans="1:6">
      <c r="A11520">
        <v>11843</v>
      </c>
      <c r="B11520">
        <v>612015110</v>
      </c>
      <c r="C11520">
        <v>2015</v>
      </c>
      <c r="D11520" t="s">
        <v>40</v>
      </c>
      <c r="E11520" t="s">
        <v>32</v>
      </c>
      <c r="F11520">
        <v>4.8</v>
      </c>
    </row>
    <row r="11521" s="76" customFormat="1" spans="1:6">
      <c r="A11521">
        <v>11846</v>
      </c>
      <c r="B11521">
        <v>612015110</v>
      </c>
      <c r="C11521">
        <v>2015</v>
      </c>
      <c r="D11521" t="s">
        <v>40</v>
      </c>
      <c r="E11521" t="s">
        <v>32</v>
      </c>
      <c r="F11521">
        <v>0.31</v>
      </c>
    </row>
    <row r="11522" s="76" customFormat="1" spans="1:6">
      <c r="A11522">
        <v>11847</v>
      </c>
      <c r="B11522">
        <v>612015110</v>
      </c>
      <c r="C11522">
        <v>2015</v>
      </c>
      <c r="D11522" t="s">
        <v>40</v>
      </c>
      <c r="E11522" t="s">
        <v>32</v>
      </c>
      <c r="F11522">
        <v>1.2</v>
      </c>
    </row>
    <row r="11523" s="76" customFormat="1" spans="1:6">
      <c r="A11523">
        <v>11845</v>
      </c>
      <c r="B11523">
        <v>612015110</v>
      </c>
      <c r="C11523">
        <v>2015</v>
      </c>
      <c r="D11523" t="s">
        <v>40</v>
      </c>
      <c r="E11523" t="s">
        <v>32</v>
      </c>
      <c r="F11523">
        <v>2.7</v>
      </c>
    </row>
    <row r="11524" s="76" customFormat="1" spans="1:6">
      <c r="A11524">
        <v>11844</v>
      </c>
      <c r="B11524">
        <v>612015110</v>
      </c>
      <c r="C11524">
        <v>2015</v>
      </c>
      <c r="D11524" t="s">
        <v>40</v>
      </c>
      <c r="E11524" t="s">
        <v>32</v>
      </c>
      <c r="F11524">
        <v>4</v>
      </c>
    </row>
    <row r="11525" s="76" customFormat="1" spans="1:6">
      <c r="A11525">
        <v>11852</v>
      </c>
      <c r="B11525">
        <v>612015211</v>
      </c>
      <c r="C11525">
        <v>2015</v>
      </c>
      <c r="D11525" t="s">
        <v>37</v>
      </c>
      <c r="E11525" t="s">
        <v>32</v>
      </c>
      <c r="F11525">
        <v>15</v>
      </c>
    </row>
    <row r="11526" s="76" customFormat="1" spans="1:6">
      <c r="A11526">
        <v>11853</v>
      </c>
      <c r="B11526">
        <v>612015211</v>
      </c>
      <c r="C11526">
        <v>2015</v>
      </c>
      <c r="D11526" t="s">
        <v>37</v>
      </c>
      <c r="E11526" t="s">
        <v>32</v>
      </c>
      <c r="F11526">
        <v>40</v>
      </c>
    </row>
    <row r="11527" s="76" customFormat="1" spans="1:6">
      <c r="A11527">
        <v>11854</v>
      </c>
      <c r="B11527">
        <v>612015211</v>
      </c>
      <c r="C11527">
        <v>2015</v>
      </c>
      <c r="D11527" t="s">
        <v>37</v>
      </c>
      <c r="E11527" t="s">
        <v>32</v>
      </c>
      <c r="F11527">
        <v>66</v>
      </c>
    </row>
    <row r="11528" s="76" customFormat="1" spans="1:6">
      <c r="A11528">
        <v>11849</v>
      </c>
      <c r="B11528">
        <v>612015211</v>
      </c>
      <c r="C11528">
        <v>2015</v>
      </c>
      <c r="D11528" t="s">
        <v>37</v>
      </c>
      <c r="E11528" t="s">
        <v>32</v>
      </c>
      <c r="F11528">
        <v>60</v>
      </c>
    </row>
    <row r="11529" s="76" customFormat="1" spans="1:6">
      <c r="A11529">
        <v>11850</v>
      </c>
      <c r="B11529">
        <v>612015211</v>
      </c>
      <c r="C11529">
        <v>2015</v>
      </c>
      <c r="D11529" t="s">
        <v>37</v>
      </c>
      <c r="E11529" t="s">
        <v>32</v>
      </c>
      <c r="F11529">
        <v>33</v>
      </c>
    </row>
    <row r="11530" s="76" customFormat="1" spans="1:6">
      <c r="A11530">
        <v>11848</v>
      </c>
      <c r="B11530">
        <v>612015211</v>
      </c>
      <c r="C11530">
        <v>2015</v>
      </c>
      <c r="D11530" t="s">
        <v>37</v>
      </c>
      <c r="E11530">
        <v>2</v>
      </c>
      <c r="F11530">
        <v>70</v>
      </c>
    </row>
    <row r="11531" s="76" customFormat="1" spans="1:6">
      <c r="A11531">
        <v>11851</v>
      </c>
      <c r="B11531">
        <v>612015211</v>
      </c>
      <c r="C11531">
        <v>2015</v>
      </c>
      <c r="D11531" t="s">
        <v>37</v>
      </c>
      <c r="E11531" t="s">
        <v>32</v>
      </c>
      <c r="F11531">
        <v>66</v>
      </c>
    </row>
    <row r="11532" s="76" customFormat="1" spans="1:6">
      <c r="A11532">
        <v>11860</v>
      </c>
      <c r="B11532">
        <v>612015241</v>
      </c>
      <c r="C11532">
        <v>2015</v>
      </c>
      <c r="D11532" t="s">
        <v>33</v>
      </c>
      <c r="E11532" t="s">
        <v>32</v>
      </c>
      <c r="F11532">
        <v>0.6</v>
      </c>
    </row>
    <row r="11533" s="76" customFormat="1" spans="1:6">
      <c r="A11533">
        <v>11857</v>
      </c>
      <c r="B11533">
        <v>612015241</v>
      </c>
      <c r="C11533">
        <v>2015</v>
      </c>
      <c r="D11533" t="s">
        <v>33</v>
      </c>
      <c r="E11533" t="s">
        <v>32</v>
      </c>
      <c r="F11533">
        <v>2</v>
      </c>
    </row>
    <row r="11534" s="76" customFormat="1" spans="1:6">
      <c r="A11534">
        <v>11859</v>
      </c>
      <c r="B11534">
        <v>612015241</v>
      </c>
      <c r="C11534">
        <v>2015</v>
      </c>
      <c r="D11534" t="s">
        <v>33</v>
      </c>
      <c r="E11534" t="s">
        <v>32</v>
      </c>
      <c r="F11534">
        <v>1.19</v>
      </c>
    </row>
    <row r="11535" s="76" customFormat="1" spans="1:6">
      <c r="A11535">
        <v>11861</v>
      </c>
      <c r="B11535">
        <v>612015241</v>
      </c>
      <c r="C11535">
        <v>2015</v>
      </c>
      <c r="D11535" t="s">
        <v>33</v>
      </c>
      <c r="E11535" t="s">
        <v>32</v>
      </c>
      <c r="F11535">
        <v>5</v>
      </c>
    </row>
    <row r="11536" s="76" customFormat="1" spans="1:6">
      <c r="A11536">
        <v>11858</v>
      </c>
      <c r="B11536">
        <v>612015241</v>
      </c>
      <c r="C11536">
        <v>2015</v>
      </c>
      <c r="D11536" t="s">
        <v>33</v>
      </c>
      <c r="E11536" t="s">
        <v>32</v>
      </c>
      <c r="F11536">
        <v>3</v>
      </c>
    </row>
    <row r="11537" s="76" customFormat="1" spans="1:6">
      <c r="A11537">
        <v>11856</v>
      </c>
      <c r="B11537">
        <v>612015241</v>
      </c>
      <c r="C11537">
        <v>2015</v>
      </c>
      <c r="D11537" t="s">
        <v>33</v>
      </c>
      <c r="E11537" t="s">
        <v>32</v>
      </c>
      <c r="F11537">
        <v>3</v>
      </c>
    </row>
    <row r="11538" s="76" customFormat="1" spans="1:6">
      <c r="A11538">
        <v>11855</v>
      </c>
      <c r="B11538">
        <v>612015241</v>
      </c>
      <c r="C11538">
        <v>2015</v>
      </c>
      <c r="D11538" t="s">
        <v>33</v>
      </c>
      <c r="E11538">
        <v>2</v>
      </c>
      <c r="F11538">
        <v>20</v>
      </c>
    </row>
    <row r="11539" s="76" customFormat="1" spans="1:6">
      <c r="A11539">
        <v>11868</v>
      </c>
      <c r="B11539">
        <v>612015260</v>
      </c>
      <c r="C11539">
        <v>2015</v>
      </c>
      <c r="D11539" t="s">
        <v>34</v>
      </c>
      <c r="E11539" t="s">
        <v>32</v>
      </c>
      <c r="F11539">
        <v>5</v>
      </c>
    </row>
    <row r="11540" s="76" customFormat="1" spans="1:6">
      <c r="A11540">
        <v>11863</v>
      </c>
      <c r="B11540">
        <v>612015260</v>
      </c>
      <c r="C11540">
        <v>2015</v>
      </c>
      <c r="D11540" t="s">
        <v>34</v>
      </c>
      <c r="E11540">
        <v>33</v>
      </c>
      <c r="F11540">
        <v>4.95</v>
      </c>
    </row>
    <row r="11541" s="76" customFormat="1" spans="1:6">
      <c r="A11541">
        <v>11866</v>
      </c>
      <c r="B11541">
        <v>612015260</v>
      </c>
      <c r="C11541">
        <v>2015</v>
      </c>
      <c r="D11541" t="s">
        <v>34</v>
      </c>
      <c r="E11541">
        <v>17</v>
      </c>
      <c r="F11541">
        <v>2.55</v>
      </c>
    </row>
    <row r="11542" s="76" customFormat="1" spans="1:6">
      <c r="A11542">
        <v>11865</v>
      </c>
      <c r="B11542">
        <v>612015260</v>
      </c>
      <c r="C11542">
        <v>2015</v>
      </c>
      <c r="D11542" t="s">
        <v>34</v>
      </c>
      <c r="E11542">
        <v>20</v>
      </c>
      <c r="F11542">
        <v>5</v>
      </c>
    </row>
    <row r="11543" s="76" customFormat="1" spans="1:6">
      <c r="A11543">
        <v>11862</v>
      </c>
      <c r="B11543">
        <v>612015260</v>
      </c>
      <c r="C11543">
        <v>2015</v>
      </c>
      <c r="D11543" t="s">
        <v>34</v>
      </c>
      <c r="E11543">
        <v>33</v>
      </c>
      <c r="F11543">
        <v>4.95</v>
      </c>
    </row>
    <row r="11544" s="76" customFormat="1" spans="1:6">
      <c r="A11544">
        <v>11867</v>
      </c>
      <c r="B11544">
        <v>612015260</v>
      </c>
      <c r="C11544">
        <v>2015</v>
      </c>
      <c r="D11544" t="s">
        <v>34</v>
      </c>
      <c r="E11544" t="s">
        <v>32</v>
      </c>
      <c r="F11544">
        <v>10</v>
      </c>
    </row>
    <row r="11545" s="76" customFormat="1" spans="1:6">
      <c r="A11545">
        <v>11869</v>
      </c>
      <c r="B11545">
        <v>612015260</v>
      </c>
      <c r="C11545">
        <v>2015</v>
      </c>
      <c r="D11545" t="s">
        <v>34</v>
      </c>
      <c r="E11545" t="s">
        <v>32</v>
      </c>
      <c r="F11545">
        <v>4.95</v>
      </c>
    </row>
    <row r="11546" s="76" customFormat="1" spans="1:6">
      <c r="A11546">
        <v>11864</v>
      </c>
      <c r="B11546">
        <v>612015260</v>
      </c>
      <c r="C11546">
        <v>2015</v>
      </c>
      <c r="D11546" t="s">
        <v>34</v>
      </c>
      <c r="E11546">
        <v>25</v>
      </c>
      <c r="F11546">
        <v>4.95</v>
      </c>
    </row>
    <row r="11547" s="76" customFormat="1" spans="1:6">
      <c r="A11547">
        <v>11874</v>
      </c>
      <c r="B11547">
        <v>612015270</v>
      </c>
      <c r="C11547">
        <v>2015</v>
      </c>
      <c r="D11547" t="s">
        <v>31</v>
      </c>
      <c r="E11547" t="s">
        <v>32</v>
      </c>
      <c r="F11547">
        <v>5</v>
      </c>
    </row>
    <row r="11548" s="76" customFormat="1" spans="1:6">
      <c r="A11548">
        <v>11878</v>
      </c>
      <c r="B11548">
        <v>612015270</v>
      </c>
      <c r="C11548">
        <v>2015</v>
      </c>
      <c r="D11548" t="s">
        <v>31</v>
      </c>
      <c r="E11548" t="s">
        <v>32</v>
      </c>
      <c r="F11548">
        <v>5</v>
      </c>
    </row>
    <row r="11549" s="76" customFormat="1" spans="1:6">
      <c r="A11549">
        <v>11870</v>
      </c>
      <c r="B11549">
        <v>612015270</v>
      </c>
      <c r="C11549">
        <v>2015</v>
      </c>
      <c r="D11549" t="s">
        <v>31</v>
      </c>
      <c r="E11549" t="s">
        <v>32</v>
      </c>
      <c r="F11549">
        <v>3</v>
      </c>
    </row>
    <row r="11550" s="76" customFormat="1" spans="1:6">
      <c r="A11550">
        <v>11877</v>
      </c>
      <c r="B11550">
        <v>612015270</v>
      </c>
      <c r="C11550">
        <v>2015</v>
      </c>
      <c r="D11550" t="s">
        <v>31</v>
      </c>
      <c r="E11550" t="s">
        <v>32</v>
      </c>
      <c r="F11550">
        <v>10</v>
      </c>
    </row>
    <row r="11551" s="76" customFormat="1" spans="1:6">
      <c r="A11551">
        <v>11875</v>
      </c>
      <c r="B11551">
        <v>612015270</v>
      </c>
      <c r="C11551">
        <v>2015</v>
      </c>
      <c r="D11551" t="s">
        <v>31</v>
      </c>
      <c r="E11551" t="s">
        <v>32</v>
      </c>
      <c r="F11551">
        <v>0</v>
      </c>
    </row>
    <row r="11552" s="76" customFormat="1" spans="1:6">
      <c r="A11552">
        <v>11876</v>
      </c>
      <c r="B11552">
        <v>612015270</v>
      </c>
      <c r="C11552">
        <v>2015</v>
      </c>
      <c r="D11552" t="s">
        <v>31</v>
      </c>
      <c r="E11552" t="s">
        <v>32</v>
      </c>
      <c r="F11552">
        <v>0</v>
      </c>
    </row>
    <row r="11553" s="76" customFormat="1" spans="1:6">
      <c r="A11553">
        <v>11873</v>
      </c>
      <c r="B11553">
        <v>612015270</v>
      </c>
      <c r="C11553">
        <v>2015</v>
      </c>
      <c r="D11553" t="s">
        <v>31</v>
      </c>
      <c r="E11553">
        <v>1</v>
      </c>
      <c r="F11553">
        <v>10</v>
      </c>
    </row>
    <row r="11554" s="76" customFormat="1" spans="1:6">
      <c r="A11554">
        <v>11872</v>
      </c>
      <c r="B11554">
        <v>612015270</v>
      </c>
      <c r="C11554">
        <v>2015</v>
      </c>
      <c r="D11554" t="s">
        <v>31</v>
      </c>
      <c r="E11554" t="s">
        <v>32</v>
      </c>
      <c r="F11554">
        <v>5</v>
      </c>
    </row>
    <row r="11555" s="76" customFormat="1" spans="1:6">
      <c r="A11555">
        <v>11871</v>
      </c>
      <c r="B11555">
        <v>612015270</v>
      </c>
      <c r="C11555">
        <v>2015</v>
      </c>
      <c r="D11555" t="s">
        <v>31</v>
      </c>
      <c r="E11555" t="s">
        <v>32</v>
      </c>
      <c r="F11555">
        <v>5</v>
      </c>
    </row>
    <row r="11556" s="76" customFormat="1" spans="1:6">
      <c r="A11556">
        <v>11879</v>
      </c>
      <c r="B11556">
        <v>612015270</v>
      </c>
      <c r="C11556">
        <v>2015</v>
      </c>
      <c r="D11556" t="s">
        <v>31</v>
      </c>
      <c r="E11556" t="s">
        <v>32</v>
      </c>
      <c r="F11556">
        <v>5</v>
      </c>
    </row>
    <row r="11557" s="76" customFormat="1" spans="1:6">
      <c r="A11557">
        <v>11881</v>
      </c>
      <c r="B11557">
        <v>612016110</v>
      </c>
      <c r="C11557" s="76">
        <v>2016</v>
      </c>
      <c r="D11557" s="76" t="s">
        <v>40</v>
      </c>
      <c r="E11557" s="76" t="s">
        <v>32</v>
      </c>
      <c r="F11557" s="76">
        <v>1.85</v>
      </c>
    </row>
    <row r="11558" s="76" customFormat="1" spans="1:6">
      <c r="A11558">
        <v>11884</v>
      </c>
      <c r="B11558">
        <v>612016110</v>
      </c>
      <c r="C11558" s="76">
        <v>2016</v>
      </c>
      <c r="D11558" s="76" t="s">
        <v>40</v>
      </c>
      <c r="E11558" s="76" t="s">
        <v>32</v>
      </c>
      <c r="F11558" s="76">
        <v>4</v>
      </c>
    </row>
    <row r="11559" s="76" customFormat="1" spans="1:6">
      <c r="A11559">
        <v>11882</v>
      </c>
      <c r="B11559">
        <v>612016110</v>
      </c>
      <c r="C11559" s="76">
        <v>2016</v>
      </c>
      <c r="D11559" s="76" t="s">
        <v>40</v>
      </c>
      <c r="E11559" s="76" t="s">
        <v>32</v>
      </c>
      <c r="F11559" s="76">
        <v>0.44</v>
      </c>
    </row>
    <row r="11560" s="76" customFormat="1" spans="1:6">
      <c r="A11560">
        <v>11880</v>
      </c>
      <c r="B11560">
        <v>612016110</v>
      </c>
      <c r="C11560" s="76">
        <v>2016</v>
      </c>
      <c r="D11560" s="76" t="s">
        <v>40</v>
      </c>
      <c r="E11560" s="76" t="s">
        <v>32</v>
      </c>
      <c r="F11560" s="76">
        <v>1.89</v>
      </c>
    </row>
    <row r="11561" s="76" customFormat="1" spans="1:6">
      <c r="A11561">
        <v>11883</v>
      </c>
      <c r="B11561">
        <v>612016110</v>
      </c>
      <c r="C11561" s="76">
        <v>2016</v>
      </c>
      <c r="D11561" s="76" t="s">
        <v>40</v>
      </c>
      <c r="E11561" s="76" t="s">
        <v>32</v>
      </c>
      <c r="F11561" s="76">
        <v>2.7</v>
      </c>
    </row>
    <row r="11562" s="76" customFormat="1" spans="1:6">
      <c r="A11562">
        <v>11887</v>
      </c>
      <c r="B11562">
        <v>612016211</v>
      </c>
      <c r="C11562" s="76">
        <v>2016</v>
      </c>
      <c r="D11562" s="76" t="s">
        <v>37</v>
      </c>
      <c r="E11562" s="76" t="s">
        <v>32</v>
      </c>
      <c r="F11562" s="76">
        <v>10</v>
      </c>
    </row>
    <row r="11563" s="76" customFormat="1" spans="1:6">
      <c r="A11563">
        <v>11891</v>
      </c>
      <c r="B11563">
        <v>612016211</v>
      </c>
      <c r="C11563" s="76">
        <v>2016</v>
      </c>
      <c r="D11563" s="76" t="s">
        <v>37</v>
      </c>
      <c r="E11563" s="76" t="s">
        <v>32</v>
      </c>
      <c r="F11563" s="76">
        <v>6</v>
      </c>
    </row>
    <row r="11564" s="76" customFormat="1" spans="1:6">
      <c r="A11564">
        <v>11890</v>
      </c>
      <c r="B11564">
        <v>612016211</v>
      </c>
      <c r="C11564" s="76">
        <v>2016</v>
      </c>
      <c r="D11564" s="76" t="s">
        <v>37</v>
      </c>
      <c r="E11564" s="76" t="s">
        <v>32</v>
      </c>
      <c r="F11564" s="76">
        <v>12</v>
      </c>
    </row>
    <row r="11565" s="76" customFormat="1" spans="1:6">
      <c r="A11565">
        <v>11889</v>
      </c>
      <c r="B11565">
        <v>612016211</v>
      </c>
      <c r="C11565" s="76">
        <v>2016</v>
      </c>
      <c r="D11565" s="76" t="s">
        <v>37</v>
      </c>
      <c r="E11565" s="76" t="s">
        <v>32</v>
      </c>
      <c r="F11565" s="76">
        <v>70</v>
      </c>
    </row>
    <row r="11566" s="76" customFormat="1" spans="1:6">
      <c r="A11566">
        <v>11886</v>
      </c>
      <c r="B11566">
        <v>612016211</v>
      </c>
      <c r="C11566" s="76">
        <v>2016</v>
      </c>
      <c r="D11566" s="76" t="s">
        <v>37</v>
      </c>
      <c r="E11566" s="76" t="s">
        <v>32</v>
      </c>
      <c r="F11566" s="76">
        <v>9.25</v>
      </c>
    </row>
    <row r="11567" s="76" customFormat="1" spans="1:6">
      <c r="A11567">
        <v>11888</v>
      </c>
      <c r="B11567">
        <v>612016211</v>
      </c>
      <c r="C11567" s="76">
        <v>2016</v>
      </c>
      <c r="D11567" s="76" t="s">
        <v>37</v>
      </c>
      <c r="E11567" s="76" t="s">
        <v>32</v>
      </c>
      <c r="F11567" s="76">
        <v>3</v>
      </c>
    </row>
    <row r="11568" s="76" customFormat="1" spans="1:6">
      <c r="A11568">
        <v>11902</v>
      </c>
      <c r="B11568">
        <v>612016241</v>
      </c>
      <c r="C11568" s="76">
        <v>2016</v>
      </c>
      <c r="D11568" s="76" t="s">
        <v>33</v>
      </c>
      <c r="E11568" s="76" t="s">
        <v>32</v>
      </c>
      <c r="F11568" s="76">
        <v>15</v>
      </c>
    </row>
    <row r="11569" s="76" customFormat="1" spans="1:6">
      <c r="A11569">
        <v>11892</v>
      </c>
      <c r="B11569">
        <v>612016241</v>
      </c>
      <c r="C11569" s="76">
        <v>2016</v>
      </c>
      <c r="D11569" s="76" t="s">
        <v>33</v>
      </c>
      <c r="E11569" s="76" t="s">
        <v>32</v>
      </c>
      <c r="F11569" s="76">
        <v>3</v>
      </c>
    </row>
    <row r="11570" s="76" customFormat="1" spans="1:6">
      <c r="A11570">
        <v>11893</v>
      </c>
      <c r="B11570">
        <v>612016241</v>
      </c>
      <c r="C11570" s="76">
        <v>2016</v>
      </c>
      <c r="D11570" s="76" t="s">
        <v>33</v>
      </c>
      <c r="E11570" s="76" t="s">
        <v>32</v>
      </c>
      <c r="F11570" s="76">
        <v>1.8</v>
      </c>
    </row>
    <row r="11571" s="76" customFormat="1" spans="1:6">
      <c r="A11571">
        <v>11897</v>
      </c>
      <c r="B11571">
        <v>612016241</v>
      </c>
      <c r="C11571" s="76">
        <v>2016</v>
      </c>
      <c r="D11571" s="76" t="s">
        <v>33</v>
      </c>
      <c r="E11571" s="76" t="s">
        <v>32</v>
      </c>
      <c r="F11571" s="76">
        <v>0.9</v>
      </c>
    </row>
    <row r="11572" s="76" customFormat="1" spans="1:6">
      <c r="A11572">
        <v>11898</v>
      </c>
      <c r="B11572">
        <v>612016241</v>
      </c>
      <c r="C11572" s="76">
        <v>2016</v>
      </c>
      <c r="D11572" s="76" t="s">
        <v>33</v>
      </c>
      <c r="E11572" s="76" t="s">
        <v>32</v>
      </c>
      <c r="F11572" s="76">
        <v>0.8</v>
      </c>
    </row>
    <row r="11573" s="76" customFormat="1" spans="1:6">
      <c r="A11573">
        <v>11900</v>
      </c>
      <c r="B11573">
        <v>612016241</v>
      </c>
      <c r="C11573" s="76">
        <v>2016</v>
      </c>
      <c r="D11573" s="76" t="s">
        <v>33</v>
      </c>
      <c r="E11573" s="76" t="s">
        <v>32</v>
      </c>
      <c r="F11573" s="76">
        <v>2.5</v>
      </c>
    </row>
    <row r="11574" s="76" customFormat="1" spans="1:6">
      <c r="A11574">
        <v>11894</v>
      </c>
      <c r="B11574">
        <v>612016241</v>
      </c>
      <c r="C11574" s="76">
        <v>2016</v>
      </c>
      <c r="D11574" s="76" t="s">
        <v>33</v>
      </c>
      <c r="E11574" s="76" t="s">
        <v>32</v>
      </c>
      <c r="F11574" s="76">
        <v>1.65</v>
      </c>
    </row>
    <row r="11575" s="76" customFormat="1" spans="1:6">
      <c r="A11575">
        <v>11901</v>
      </c>
      <c r="B11575">
        <v>612016241</v>
      </c>
      <c r="C11575" s="76">
        <v>2016</v>
      </c>
      <c r="D11575" s="76" t="s">
        <v>33</v>
      </c>
      <c r="E11575" s="76" t="s">
        <v>32</v>
      </c>
      <c r="F11575" s="76">
        <v>1.8</v>
      </c>
    </row>
    <row r="11576" s="76" customFormat="1" spans="1:6">
      <c r="A11576">
        <v>11903</v>
      </c>
      <c r="B11576">
        <v>612016241</v>
      </c>
      <c r="C11576" s="76">
        <v>2016</v>
      </c>
      <c r="D11576" s="76" t="s">
        <v>33</v>
      </c>
      <c r="E11576" s="76" t="s">
        <v>32</v>
      </c>
      <c r="F11576" s="76">
        <v>6</v>
      </c>
    </row>
    <row r="11577" s="76" customFormat="1" spans="1:6">
      <c r="A11577">
        <v>11899</v>
      </c>
      <c r="B11577">
        <v>612016241</v>
      </c>
      <c r="C11577" s="76">
        <v>2016</v>
      </c>
      <c r="D11577" s="76" t="s">
        <v>33</v>
      </c>
      <c r="E11577" s="76" t="s">
        <v>32</v>
      </c>
      <c r="F11577" s="76">
        <v>1.2</v>
      </c>
    </row>
    <row r="11578" s="76" customFormat="1" spans="1:6">
      <c r="A11578">
        <v>11895</v>
      </c>
      <c r="B11578">
        <v>612016241</v>
      </c>
      <c r="C11578" s="76">
        <v>2016</v>
      </c>
      <c r="D11578" s="76" t="s">
        <v>33</v>
      </c>
      <c r="E11578" s="76" t="s">
        <v>32</v>
      </c>
      <c r="F11578" s="76">
        <v>0.75</v>
      </c>
    </row>
    <row r="11579" s="76" customFormat="1" spans="1:6">
      <c r="A11579">
        <v>11896</v>
      </c>
      <c r="B11579">
        <v>612016241</v>
      </c>
      <c r="C11579" s="76">
        <v>2016</v>
      </c>
      <c r="D11579" s="76" t="s">
        <v>33</v>
      </c>
      <c r="E11579" s="76" t="s">
        <v>32</v>
      </c>
      <c r="F11579" s="76">
        <v>1.8</v>
      </c>
    </row>
    <row r="11580" s="76" customFormat="1" spans="1:6">
      <c r="A11580">
        <v>11913</v>
      </c>
      <c r="B11580">
        <v>612016260</v>
      </c>
      <c r="C11580" s="76">
        <v>2016</v>
      </c>
      <c r="D11580" s="76" t="s">
        <v>34</v>
      </c>
      <c r="E11580" s="76" t="s">
        <v>32</v>
      </c>
      <c r="F11580" s="76">
        <v>4.95</v>
      </c>
    </row>
    <row r="11581" s="76" customFormat="1" spans="1:6">
      <c r="A11581">
        <v>11919</v>
      </c>
      <c r="B11581">
        <v>612016260</v>
      </c>
      <c r="C11581" s="76">
        <v>2016</v>
      </c>
      <c r="D11581" s="76" t="s">
        <v>34</v>
      </c>
      <c r="E11581" s="76" t="s">
        <v>32</v>
      </c>
      <c r="F11581" s="76">
        <v>5</v>
      </c>
    </row>
    <row r="11582" s="76" customFormat="1" spans="1:6">
      <c r="A11582">
        <v>11907</v>
      </c>
      <c r="B11582">
        <v>612016260</v>
      </c>
      <c r="C11582" s="76">
        <v>2016</v>
      </c>
      <c r="D11582" s="76" t="s">
        <v>34</v>
      </c>
      <c r="E11582" s="76">
        <v>25</v>
      </c>
      <c r="F11582" s="76">
        <v>5</v>
      </c>
    </row>
    <row r="11583" s="76" customFormat="1" spans="1:6">
      <c r="A11583">
        <v>11908</v>
      </c>
      <c r="B11583">
        <v>612016260</v>
      </c>
      <c r="C11583" s="76">
        <v>2016</v>
      </c>
      <c r="D11583" s="76" t="s">
        <v>34</v>
      </c>
      <c r="E11583" s="76">
        <v>25</v>
      </c>
      <c r="F11583" s="76">
        <v>5</v>
      </c>
    </row>
    <row r="11584" s="76" customFormat="1" spans="1:6">
      <c r="A11584">
        <v>11914</v>
      </c>
      <c r="B11584">
        <v>612016260</v>
      </c>
      <c r="C11584" s="76">
        <v>2016</v>
      </c>
      <c r="D11584" s="76" t="s">
        <v>34</v>
      </c>
      <c r="E11584" s="76">
        <v>25</v>
      </c>
      <c r="F11584" s="76">
        <v>5</v>
      </c>
    </row>
    <row r="11585" s="76" customFormat="1" spans="1:6">
      <c r="A11585">
        <v>11909</v>
      </c>
      <c r="B11585">
        <v>612016260</v>
      </c>
      <c r="C11585" s="76">
        <v>2016</v>
      </c>
      <c r="D11585" s="76" t="s">
        <v>34</v>
      </c>
      <c r="E11585" s="76">
        <v>50</v>
      </c>
      <c r="F11585" s="76">
        <v>10</v>
      </c>
    </row>
    <row r="11586" s="76" customFormat="1" spans="1:6">
      <c r="A11586">
        <v>11915</v>
      </c>
      <c r="B11586">
        <v>612016260</v>
      </c>
      <c r="C11586" s="76">
        <v>2016</v>
      </c>
      <c r="D11586" s="76" t="s">
        <v>34</v>
      </c>
      <c r="E11586" s="76">
        <v>25</v>
      </c>
      <c r="F11586" s="76">
        <v>5</v>
      </c>
    </row>
    <row r="11587" s="76" customFormat="1" spans="1:6">
      <c r="A11587">
        <v>11910</v>
      </c>
      <c r="B11587">
        <v>612016260</v>
      </c>
      <c r="C11587" s="76">
        <v>2016</v>
      </c>
      <c r="D11587" s="76" t="s">
        <v>34</v>
      </c>
      <c r="E11587" s="76">
        <v>50</v>
      </c>
      <c r="F11587" s="76">
        <v>10</v>
      </c>
    </row>
    <row r="11588" s="76" customFormat="1" spans="1:6">
      <c r="A11588">
        <v>11911</v>
      </c>
      <c r="B11588">
        <v>612016260</v>
      </c>
      <c r="C11588" s="76">
        <v>2016</v>
      </c>
      <c r="D11588" s="76" t="s">
        <v>34</v>
      </c>
      <c r="E11588" s="76">
        <v>25</v>
      </c>
      <c r="F11588" s="76">
        <v>5</v>
      </c>
    </row>
    <row r="11589" s="76" customFormat="1" spans="1:6">
      <c r="A11589">
        <v>11912</v>
      </c>
      <c r="B11589">
        <v>612016260</v>
      </c>
      <c r="C11589" s="76">
        <v>2016</v>
      </c>
      <c r="D11589" s="76" t="s">
        <v>34</v>
      </c>
      <c r="E11589" s="76">
        <v>25</v>
      </c>
      <c r="F11589" s="76">
        <v>5</v>
      </c>
    </row>
    <row r="11590" s="76" customFormat="1" spans="1:6">
      <c r="A11590">
        <v>11916</v>
      </c>
      <c r="B11590">
        <v>612016260</v>
      </c>
      <c r="C11590" s="76">
        <v>2016</v>
      </c>
      <c r="D11590" s="76" t="s">
        <v>34</v>
      </c>
      <c r="E11590" s="76">
        <v>21</v>
      </c>
      <c r="F11590" s="76">
        <v>4.51</v>
      </c>
    </row>
    <row r="11591" s="76" customFormat="1" spans="1:6">
      <c r="A11591">
        <v>11917</v>
      </c>
      <c r="B11591">
        <v>612016260</v>
      </c>
      <c r="C11591" s="76">
        <v>2016</v>
      </c>
      <c r="D11591" s="76" t="s">
        <v>34</v>
      </c>
      <c r="E11591" s="76">
        <v>23</v>
      </c>
      <c r="F11591" s="76">
        <v>4.6</v>
      </c>
    </row>
    <row r="11592" s="76" customFormat="1" spans="1:6">
      <c r="A11592">
        <v>11905</v>
      </c>
      <c r="B11592">
        <v>612016260</v>
      </c>
      <c r="C11592" s="76">
        <v>2016</v>
      </c>
      <c r="D11592" s="76" t="s">
        <v>34</v>
      </c>
      <c r="E11592" s="76">
        <v>66</v>
      </c>
      <c r="F11592" s="76">
        <v>9.9</v>
      </c>
    </row>
    <row r="11593" s="76" customFormat="1" spans="1:6">
      <c r="A11593">
        <v>11918</v>
      </c>
      <c r="B11593">
        <v>612016260</v>
      </c>
      <c r="C11593" s="76">
        <v>2016</v>
      </c>
      <c r="D11593" s="76" t="s">
        <v>34</v>
      </c>
      <c r="E11593" s="76">
        <v>25</v>
      </c>
      <c r="F11593" s="76">
        <v>4.95</v>
      </c>
    </row>
    <row r="11594" s="76" customFormat="1" spans="1:6">
      <c r="A11594">
        <v>11920</v>
      </c>
      <c r="B11594">
        <v>612016260</v>
      </c>
      <c r="C11594" s="76">
        <v>2016</v>
      </c>
      <c r="D11594" s="76" t="s">
        <v>34</v>
      </c>
      <c r="E11594" s="76">
        <v>25</v>
      </c>
      <c r="F11594" s="76">
        <v>5</v>
      </c>
    </row>
    <row r="11595" s="76" customFormat="1" spans="1:6">
      <c r="A11595">
        <v>11906</v>
      </c>
      <c r="B11595">
        <v>612016260</v>
      </c>
      <c r="C11595" s="76">
        <v>2016</v>
      </c>
      <c r="D11595" s="76" t="s">
        <v>34</v>
      </c>
      <c r="E11595" s="76">
        <v>15</v>
      </c>
      <c r="F11595" s="76">
        <v>2.25</v>
      </c>
    </row>
    <row r="11596" s="76" customFormat="1" spans="1:6">
      <c r="A11596">
        <v>11937</v>
      </c>
      <c r="B11596">
        <v>612016270</v>
      </c>
      <c r="C11596" s="76">
        <v>2016</v>
      </c>
      <c r="D11596" s="76" t="s">
        <v>31</v>
      </c>
      <c r="E11596" s="76" t="s">
        <v>32</v>
      </c>
      <c r="F11596" s="76">
        <v>5</v>
      </c>
    </row>
    <row r="11597" s="76" customFormat="1" spans="1:6">
      <c r="A11597">
        <v>11923</v>
      </c>
      <c r="B11597">
        <v>612016270</v>
      </c>
      <c r="C11597" s="76">
        <v>2016</v>
      </c>
      <c r="D11597" s="76" t="s">
        <v>31</v>
      </c>
      <c r="E11597" s="76" t="s">
        <v>32</v>
      </c>
      <c r="F11597" s="76">
        <v>1.5</v>
      </c>
    </row>
    <row r="11598" s="76" customFormat="1" spans="1:6">
      <c r="A11598">
        <v>11930</v>
      </c>
      <c r="B11598">
        <v>612016270</v>
      </c>
      <c r="C11598" s="76">
        <v>2016</v>
      </c>
      <c r="D11598" s="76" t="s">
        <v>31</v>
      </c>
      <c r="E11598" s="76" t="s">
        <v>32</v>
      </c>
      <c r="F11598" s="76">
        <v>10</v>
      </c>
    </row>
    <row r="11599" s="76" customFormat="1" spans="1:6">
      <c r="A11599">
        <v>11964</v>
      </c>
      <c r="B11599">
        <v>612016270</v>
      </c>
      <c r="C11599" s="76">
        <v>2016</v>
      </c>
      <c r="D11599" s="76" t="s">
        <v>31</v>
      </c>
      <c r="E11599" s="76" t="s">
        <v>32</v>
      </c>
      <c r="F11599" s="76">
        <v>2</v>
      </c>
    </row>
    <row r="11600" s="76" customFormat="1" spans="1:6">
      <c r="A11600">
        <v>11959</v>
      </c>
      <c r="B11600">
        <v>612016270</v>
      </c>
      <c r="C11600" s="76">
        <v>2016</v>
      </c>
      <c r="D11600" s="76" t="s">
        <v>31</v>
      </c>
      <c r="E11600" s="76" t="s">
        <v>32</v>
      </c>
      <c r="F11600" s="76">
        <v>1.95</v>
      </c>
    </row>
    <row r="11601" s="76" customFormat="1" spans="1:6">
      <c r="A11601">
        <v>11952</v>
      </c>
      <c r="B11601">
        <v>612016270</v>
      </c>
      <c r="C11601" s="76">
        <v>2016</v>
      </c>
      <c r="D11601" s="76" t="s">
        <v>31</v>
      </c>
      <c r="E11601" s="76" t="s">
        <v>32</v>
      </c>
      <c r="F11601" s="76">
        <v>3</v>
      </c>
    </row>
    <row r="11602" s="76" customFormat="1" spans="1:6">
      <c r="A11602">
        <v>11953</v>
      </c>
      <c r="B11602">
        <v>612016270</v>
      </c>
      <c r="C11602" s="76">
        <v>2016</v>
      </c>
      <c r="D11602" s="76" t="s">
        <v>31</v>
      </c>
      <c r="E11602" s="76" t="s">
        <v>32</v>
      </c>
      <c r="F11602" s="76">
        <v>3</v>
      </c>
    </row>
    <row r="11603" s="76" customFormat="1" spans="1:6">
      <c r="A11603">
        <v>11940</v>
      </c>
      <c r="B11603">
        <v>612016270</v>
      </c>
      <c r="C11603" s="76">
        <v>2016</v>
      </c>
      <c r="D11603" s="76" t="s">
        <v>31</v>
      </c>
      <c r="E11603" s="76" t="s">
        <v>32</v>
      </c>
      <c r="F11603" s="76">
        <v>3</v>
      </c>
    </row>
    <row r="11604" s="76" customFormat="1" spans="1:6">
      <c r="A11604">
        <v>11931</v>
      </c>
      <c r="B11604">
        <v>612016270</v>
      </c>
      <c r="C11604" s="76">
        <v>2016</v>
      </c>
      <c r="D11604" s="76" t="s">
        <v>31</v>
      </c>
      <c r="E11604" s="76" t="s">
        <v>32</v>
      </c>
      <c r="F11604" s="76">
        <v>5</v>
      </c>
    </row>
    <row r="11605" s="76" customFormat="1" spans="1:6">
      <c r="A11605">
        <v>11921</v>
      </c>
      <c r="B11605">
        <v>612016270</v>
      </c>
      <c r="C11605" s="76">
        <v>2016</v>
      </c>
      <c r="D11605" s="76" t="s">
        <v>31</v>
      </c>
      <c r="E11605" s="76" t="s">
        <v>32</v>
      </c>
      <c r="F11605" s="76">
        <v>5</v>
      </c>
    </row>
    <row r="11606" s="76" customFormat="1" spans="1:6">
      <c r="A11606">
        <v>11928</v>
      </c>
      <c r="B11606">
        <v>612016270</v>
      </c>
      <c r="C11606" s="76">
        <v>2016</v>
      </c>
      <c r="D11606" s="76" t="s">
        <v>31</v>
      </c>
      <c r="E11606" s="76" t="s">
        <v>32</v>
      </c>
      <c r="F11606" s="76">
        <v>5</v>
      </c>
    </row>
    <row r="11607" s="76" customFormat="1" spans="1:6">
      <c r="A11607">
        <v>11958</v>
      </c>
      <c r="B11607">
        <v>612016270</v>
      </c>
      <c r="C11607" s="76">
        <v>2016</v>
      </c>
      <c r="D11607" s="76" t="s">
        <v>31</v>
      </c>
      <c r="E11607" s="76" t="s">
        <v>32</v>
      </c>
      <c r="F11607" s="76">
        <v>5</v>
      </c>
    </row>
    <row r="11608" s="76" customFormat="1" spans="1:6">
      <c r="A11608">
        <v>11927</v>
      </c>
      <c r="B11608">
        <v>612016270</v>
      </c>
      <c r="C11608" s="76">
        <v>2016</v>
      </c>
      <c r="D11608" s="76" t="s">
        <v>31</v>
      </c>
      <c r="E11608" s="76" t="s">
        <v>32</v>
      </c>
      <c r="F11608" s="76">
        <v>20</v>
      </c>
    </row>
    <row r="11609" s="76" customFormat="1" spans="1:6">
      <c r="A11609">
        <v>11939</v>
      </c>
      <c r="B11609">
        <v>612016270</v>
      </c>
      <c r="C11609" s="76">
        <v>2016</v>
      </c>
      <c r="D11609" s="76" t="s">
        <v>31</v>
      </c>
      <c r="E11609" s="76" t="s">
        <v>32</v>
      </c>
      <c r="F11609" s="76">
        <v>10</v>
      </c>
    </row>
    <row r="11610" s="76" customFormat="1" spans="1:6">
      <c r="A11610">
        <v>11950</v>
      </c>
      <c r="B11610">
        <v>612016270</v>
      </c>
      <c r="C11610" s="76">
        <v>2016</v>
      </c>
      <c r="D11610" s="76" t="s">
        <v>31</v>
      </c>
      <c r="E11610" s="76" t="s">
        <v>32</v>
      </c>
      <c r="F11610" s="76">
        <v>5</v>
      </c>
    </row>
    <row r="11611" s="76" customFormat="1" spans="1:6">
      <c r="A11611">
        <v>11938</v>
      </c>
      <c r="B11611">
        <v>612016270</v>
      </c>
      <c r="C11611" s="76">
        <v>2016</v>
      </c>
      <c r="D11611" s="76" t="s">
        <v>31</v>
      </c>
      <c r="E11611" s="76" t="s">
        <v>32</v>
      </c>
      <c r="F11611" s="76">
        <v>4</v>
      </c>
    </row>
    <row r="11612" s="76" customFormat="1" spans="1:6">
      <c r="A11612">
        <v>11926</v>
      </c>
      <c r="B11612">
        <v>612016270</v>
      </c>
      <c r="C11612" s="76">
        <v>2016</v>
      </c>
      <c r="D11612" s="76" t="s">
        <v>31</v>
      </c>
      <c r="E11612" s="76" t="s">
        <v>32</v>
      </c>
      <c r="F11612" s="76">
        <v>4</v>
      </c>
    </row>
    <row r="11613" s="76" customFormat="1" spans="1:6">
      <c r="A11613">
        <v>11956</v>
      </c>
      <c r="B11613">
        <v>612016270</v>
      </c>
      <c r="C11613" s="76">
        <v>2016</v>
      </c>
      <c r="D11613" s="76" t="s">
        <v>31</v>
      </c>
      <c r="E11613" s="76" t="s">
        <v>32</v>
      </c>
      <c r="F11613" s="76">
        <v>2</v>
      </c>
    </row>
    <row r="11614" s="76" customFormat="1" spans="1:6">
      <c r="A11614">
        <v>11929</v>
      </c>
      <c r="B11614">
        <v>612016270</v>
      </c>
      <c r="C11614" s="76">
        <v>2016</v>
      </c>
      <c r="D11614" s="76" t="s">
        <v>31</v>
      </c>
      <c r="E11614" s="76" t="s">
        <v>32</v>
      </c>
      <c r="F11614" s="76">
        <v>5</v>
      </c>
    </row>
    <row r="11615" s="76" customFormat="1" spans="1:6">
      <c r="A11615">
        <v>11932</v>
      </c>
      <c r="B11615">
        <v>612016270</v>
      </c>
      <c r="C11615" s="76">
        <v>2016</v>
      </c>
      <c r="D11615" s="76" t="s">
        <v>31</v>
      </c>
      <c r="E11615" s="76" t="s">
        <v>32</v>
      </c>
      <c r="F11615" s="76">
        <v>3.8</v>
      </c>
    </row>
    <row r="11616" s="76" customFormat="1" spans="1:6">
      <c r="A11616">
        <v>11925</v>
      </c>
      <c r="B11616">
        <v>612016270</v>
      </c>
      <c r="C11616" s="76">
        <v>2016</v>
      </c>
      <c r="D11616" s="76" t="s">
        <v>31</v>
      </c>
      <c r="E11616" s="76" t="s">
        <v>32</v>
      </c>
      <c r="F11616" s="76">
        <v>5</v>
      </c>
    </row>
    <row r="11617" s="76" customFormat="1" spans="1:6">
      <c r="A11617">
        <v>11922</v>
      </c>
      <c r="B11617">
        <v>612016270</v>
      </c>
      <c r="C11617" s="76">
        <v>2016</v>
      </c>
      <c r="D11617" s="76" t="s">
        <v>31</v>
      </c>
      <c r="E11617" s="76" t="s">
        <v>32</v>
      </c>
      <c r="F11617" s="76">
        <v>5</v>
      </c>
    </row>
    <row r="11618" s="76" customFormat="1" spans="1:6">
      <c r="A11618">
        <v>11943</v>
      </c>
      <c r="B11618">
        <v>612016270</v>
      </c>
      <c r="C11618" s="76">
        <v>2016</v>
      </c>
      <c r="D11618" s="76" t="s">
        <v>31</v>
      </c>
      <c r="E11618" s="76" t="s">
        <v>32</v>
      </c>
      <c r="F11618" s="76">
        <v>5</v>
      </c>
    </row>
    <row r="11619" s="76" customFormat="1" spans="1:6">
      <c r="A11619">
        <v>11946</v>
      </c>
      <c r="B11619">
        <v>612016270</v>
      </c>
      <c r="C11619" s="76">
        <v>2016</v>
      </c>
      <c r="D11619" s="76" t="s">
        <v>31</v>
      </c>
      <c r="E11619" s="76" t="s">
        <v>32</v>
      </c>
      <c r="F11619" s="76">
        <v>2</v>
      </c>
    </row>
    <row r="11620" s="76" customFormat="1" spans="1:6">
      <c r="A11620">
        <v>11948</v>
      </c>
      <c r="B11620">
        <v>612016270</v>
      </c>
      <c r="C11620" s="76">
        <v>2016</v>
      </c>
      <c r="D11620" s="76" t="s">
        <v>31</v>
      </c>
      <c r="E11620" s="76" t="s">
        <v>32</v>
      </c>
      <c r="F11620" s="76">
        <v>2</v>
      </c>
    </row>
    <row r="11621" s="76" customFormat="1" spans="1:6">
      <c r="A11621">
        <v>11949</v>
      </c>
      <c r="B11621">
        <v>612016270</v>
      </c>
      <c r="C11621" s="76">
        <v>2016</v>
      </c>
      <c r="D11621" s="76" t="s">
        <v>31</v>
      </c>
      <c r="E11621" s="76" t="s">
        <v>32</v>
      </c>
      <c r="F11621" s="76">
        <v>2</v>
      </c>
    </row>
    <row r="11622" s="76" customFormat="1" spans="1:6">
      <c r="A11622">
        <v>11955</v>
      </c>
      <c r="B11622">
        <v>612016270</v>
      </c>
      <c r="C11622" s="76">
        <v>2016</v>
      </c>
      <c r="D11622" s="76" t="s">
        <v>31</v>
      </c>
      <c r="E11622" s="76" t="s">
        <v>32</v>
      </c>
      <c r="F11622" s="76">
        <v>2</v>
      </c>
    </row>
    <row r="11623" s="76" customFormat="1" spans="1:6">
      <c r="A11623">
        <v>11954</v>
      </c>
      <c r="B11623">
        <v>612016270</v>
      </c>
      <c r="C11623" s="76">
        <v>2016</v>
      </c>
      <c r="D11623" s="76" t="s">
        <v>31</v>
      </c>
      <c r="E11623" s="76" t="s">
        <v>32</v>
      </c>
      <c r="F11623" s="76">
        <v>2</v>
      </c>
    </row>
    <row r="11624" s="76" customFormat="1" spans="1:6">
      <c r="A11624">
        <v>11947</v>
      </c>
      <c r="B11624">
        <v>612016270</v>
      </c>
      <c r="C11624" s="76">
        <v>2016</v>
      </c>
      <c r="D11624" s="76" t="s">
        <v>31</v>
      </c>
      <c r="E11624" s="76" t="s">
        <v>32</v>
      </c>
      <c r="F11624" s="76">
        <v>2</v>
      </c>
    </row>
    <row r="11625" s="76" customFormat="1" spans="1:6">
      <c r="A11625">
        <v>11957</v>
      </c>
      <c r="B11625">
        <v>612016270</v>
      </c>
      <c r="C11625" s="76">
        <v>2016</v>
      </c>
      <c r="D11625" s="76" t="s">
        <v>31</v>
      </c>
      <c r="E11625" s="76" t="s">
        <v>32</v>
      </c>
      <c r="F11625" s="76">
        <v>2</v>
      </c>
    </row>
    <row r="11626" s="76" customFormat="1" spans="1:6">
      <c r="A11626">
        <v>11942</v>
      </c>
      <c r="B11626">
        <v>612016270</v>
      </c>
      <c r="C11626" s="76">
        <v>2016</v>
      </c>
      <c r="D11626" s="76" t="s">
        <v>31</v>
      </c>
      <c r="E11626" s="76" t="s">
        <v>32</v>
      </c>
      <c r="F11626" s="76">
        <v>2</v>
      </c>
    </row>
    <row r="11627" s="76" customFormat="1" spans="1:6">
      <c r="A11627">
        <v>11944</v>
      </c>
      <c r="B11627">
        <v>612016270</v>
      </c>
      <c r="C11627" s="76">
        <v>2016</v>
      </c>
      <c r="D11627" s="76" t="s">
        <v>31</v>
      </c>
      <c r="E11627" s="76" t="s">
        <v>32</v>
      </c>
      <c r="F11627" s="76">
        <v>5</v>
      </c>
    </row>
    <row r="11628" s="76" customFormat="1" spans="1:6">
      <c r="A11628">
        <v>11951</v>
      </c>
      <c r="B11628">
        <v>612016270</v>
      </c>
      <c r="C11628" s="76">
        <v>2016</v>
      </c>
      <c r="D11628" s="76" t="s">
        <v>31</v>
      </c>
      <c r="E11628" s="76" t="s">
        <v>32</v>
      </c>
      <c r="F11628" s="76">
        <v>4</v>
      </c>
    </row>
    <row r="11629" s="76" customFormat="1" spans="1:6">
      <c r="A11629">
        <v>11945</v>
      </c>
      <c r="B11629">
        <v>612016270</v>
      </c>
      <c r="C11629" s="76">
        <v>2016</v>
      </c>
      <c r="D11629" s="76" t="s">
        <v>31</v>
      </c>
      <c r="E11629" s="76" t="s">
        <v>32</v>
      </c>
      <c r="F11629" s="76">
        <v>2</v>
      </c>
    </row>
    <row r="11630" s="76" customFormat="1" spans="1:6">
      <c r="A11630">
        <v>11936</v>
      </c>
      <c r="B11630">
        <v>612016270</v>
      </c>
      <c r="C11630" s="76">
        <v>2016</v>
      </c>
      <c r="D11630" s="76" t="s">
        <v>31</v>
      </c>
      <c r="E11630" s="76" t="s">
        <v>32</v>
      </c>
      <c r="F11630" s="76">
        <v>5</v>
      </c>
    </row>
    <row r="11631" s="76" customFormat="1" spans="1:6">
      <c r="A11631">
        <v>11963</v>
      </c>
      <c r="B11631">
        <v>612016270</v>
      </c>
      <c r="C11631" s="76">
        <v>2016</v>
      </c>
      <c r="D11631" s="76" t="s">
        <v>31</v>
      </c>
      <c r="E11631" s="76" t="s">
        <v>32</v>
      </c>
      <c r="F11631" s="76">
        <v>3</v>
      </c>
    </row>
    <row r="11632" s="76" customFormat="1" spans="1:6">
      <c r="A11632">
        <v>11924</v>
      </c>
      <c r="B11632">
        <v>612016270</v>
      </c>
      <c r="C11632" s="76">
        <v>2016</v>
      </c>
      <c r="D11632" s="76" t="s">
        <v>31</v>
      </c>
      <c r="E11632" s="76" t="s">
        <v>32</v>
      </c>
      <c r="F11632" s="76">
        <v>1.09</v>
      </c>
    </row>
    <row r="11633" s="76" customFormat="1" spans="1:6">
      <c r="A11633">
        <v>11933</v>
      </c>
      <c r="B11633">
        <v>612016270</v>
      </c>
      <c r="C11633" s="76">
        <v>2016</v>
      </c>
      <c r="D11633" s="76" t="s">
        <v>31</v>
      </c>
      <c r="E11633" s="76" t="s">
        <v>32</v>
      </c>
      <c r="F11633" s="76">
        <v>2</v>
      </c>
    </row>
    <row r="11634" s="76" customFormat="1" spans="1:6">
      <c r="A11634">
        <v>11935</v>
      </c>
      <c r="B11634">
        <v>612016270</v>
      </c>
      <c r="C11634" s="76">
        <v>2016</v>
      </c>
      <c r="D11634" s="76" t="s">
        <v>31</v>
      </c>
      <c r="E11634" s="76" t="s">
        <v>32</v>
      </c>
      <c r="F11634" s="76">
        <v>0.73</v>
      </c>
    </row>
    <row r="11635" s="76" customFormat="1" spans="1:6">
      <c r="A11635">
        <v>11962</v>
      </c>
      <c r="B11635">
        <v>612016270</v>
      </c>
      <c r="C11635" s="76">
        <v>2016</v>
      </c>
      <c r="D11635" s="76" t="s">
        <v>31</v>
      </c>
      <c r="E11635" s="76" t="s">
        <v>32</v>
      </c>
      <c r="F11635" s="76">
        <v>1.55</v>
      </c>
    </row>
    <row r="11636" s="76" customFormat="1" spans="1:6">
      <c r="A11636">
        <v>11960</v>
      </c>
      <c r="B11636">
        <v>612016270</v>
      </c>
      <c r="C11636" s="76">
        <v>2016</v>
      </c>
      <c r="D11636" s="76" t="s">
        <v>31</v>
      </c>
      <c r="E11636" s="76" t="s">
        <v>32</v>
      </c>
      <c r="F11636" s="76">
        <v>20</v>
      </c>
    </row>
    <row r="11637" s="76" customFormat="1" spans="1:6">
      <c r="A11637">
        <v>11941</v>
      </c>
      <c r="B11637">
        <v>612016270</v>
      </c>
      <c r="C11637" s="76">
        <v>2016</v>
      </c>
      <c r="D11637" s="76" t="s">
        <v>31</v>
      </c>
      <c r="E11637" s="76" t="s">
        <v>32</v>
      </c>
      <c r="F11637" s="76">
        <v>3</v>
      </c>
    </row>
    <row r="11638" s="76" customFormat="1" spans="1:6">
      <c r="A11638">
        <v>11961</v>
      </c>
      <c r="B11638">
        <v>612016270</v>
      </c>
      <c r="C11638" s="76">
        <v>2016</v>
      </c>
      <c r="D11638" s="76" t="s">
        <v>31</v>
      </c>
      <c r="E11638" s="76" t="s">
        <v>32</v>
      </c>
      <c r="F11638" s="76">
        <v>0.73</v>
      </c>
    </row>
    <row r="11639" s="76" customFormat="1" spans="1:6">
      <c r="A11639">
        <v>11934</v>
      </c>
      <c r="B11639">
        <v>612016270</v>
      </c>
      <c r="C11639" s="76">
        <v>2016</v>
      </c>
      <c r="D11639" s="76" t="s">
        <v>31</v>
      </c>
      <c r="E11639" s="76" t="s">
        <v>32</v>
      </c>
      <c r="F11639" s="76">
        <v>5</v>
      </c>
    </row>
    <row r="11640" s="76" customFormat="1" spans="1:6">
      <c r="A11640">
        <v>11969</v>
      </c>
      <c r="B11640">
        <v>612017110</v>
      </c>
      <c r="C11640" s="76">
        <v>2017</v>
      </c>
      <c r="D11640" s="76" t="s">
        <v>40</v>
      </c>
      <c r="E11640" s="76" t="s">
        <v>32</v>
      </c>
      <c r="F11640" s="76">
        <v>2.7</v>
      </c>
    </row>
    <row r="11641" s="76" customFormat="1" spans="1:6">
      <c r="A11641">
        <v>11994</v>
      </c>
      <c r="B11641">
        <v>612017110</v>
      </c>
      <c r="C11641" s="76">
        <v>2017</v>
      </c>
      <c r="D11641" s="76" t="s">
        <v>40</v>
      </c>
      <c r="E11641" s="76" t="s">
        <v>32</v>
      </c>
      <c r="F11641" s="76">
        <v>0.67</v>
      </c>
    </row>
    <row r="11642" s="76" customFormat="1" spans="1:6">
      <c r="A11642">
        <v>11983</v>
      </c>
      <c r="B11642">
        <v>612017110</v>
      </c>
      <c r="C11642" s="76">
        <v>2017</v>
      </c>
      <c r="D11642" s="76" t="s">
        <v>40</v>
      </c>
      <c r="E11642" s="76" t="s">
        <v>32</v>
      </c>
      <c r="F11642" s="76">
        <v>0.91</v>
      </c>
    </row>
    <row r="11643" s="76" customFormat="1" spans="1:6">
      <c r="A11643">
        <v>11968</v>
      </c>
      <c r="B11643">
        <v>612017110</v>
      </c>
      <c r="C11643" s="76">
        <v>2017</v>
      </c>
      <c r="D11643" s="76" t="s">
        <v>40</v>
      </c>
      <c r="E11643" s="76" t="s">
        <v>32</v>
      </c>
      <c r="F11643" s="76">
        <v>0.12</v>
      </c>
    </row>
    <row r="11644" s="76" customFormat="1" spans="1:6">
      <c r="A11644">
        <v>12000</v>
      </c>
      <c r="B11644">
        <v>612017110</v>
      </c>
      <c r="C11644" s="76">
        <v>2017</v>
      </c>
      <c r="D11644" s="76" t="s">
        <v>40</v>
      </c>
      <c r="E11644" s="76" t="s">
        <v>32</v>
      </c>
      <c r="F11644" s="76">
        <v>0.01</v>
      </c>
    </row>
    <row r="11645" s="76" customFormat="1" spans="1:6">
      <c r="A11645">
        <v>11996</v>
      </c>
      <c r="B11645">
        <v>612017110</v>
      </c>
      <c r="C11645" s="76">
        <v>2017</v>
      </c>
      <c r="D11645" s="76" t="s">
        <v>40</v>
      </c>
      <c r="E11645" s="76" t="s">
        <v>32</v>
      </c>
      <c r="F11645" s="76">
        <v>0.1</v>
      </c>
    </row>
    <row r="11646" s="76" customFormat="1" spans="1:6">
      <c r="A11646">
        <v>11973</v>
      </c>
      <c r="B11646">
        <v>612017110</v>
      </c>
      <c r="C11646" s="76">
        <v>2017</v>
      </c>
      <c r="D11646" s="76" t="s">
        <v>40</v>
      </c>
      <c r="E11646" s="76" t="s">
        <v>32</v>
      </c>
      <c r="F11646" s="76">
        <v>2.7</v>
      </c>
    </row>
    <row r="11647" s="76" customFormat="1" spans="1:6">
      <c r="A11647">
        <v>11972</v>
      </c>
      <c r="B11647">
        <v>612017110</v>
      </c>
      <c r="C11647" s="76">
        <v>2017</v>
      </c>
      <c r="D11647" s="76" t="s">
        <v>40</v>
      </c>
      <c r="E11647" s="76" t="s">
        <v>32</v>
      </c>
      <c r="F11647" s="76">
        <v>1</v>
      </c>
    </row>
    <row r="11648" s="76" customFormat="1" spans="1:6">
      <c r="A11648">
        <v>11976</v>
      </c>
      <c r="B11648">
        <v>612017110</v>
      </c>
      <c r="C11648" s="76">
        <v>2017</v>
      </c>
      <c r="D11648" s="76" t="s">
        <v>40</v>
      </c>
      <c r="E11648" s="76" t="s">
        <v>32</v>
      </c>
      <c r="F11648" s="76">
        <v>1.36</v>
      </c>
    </row>
    <row r="11649" s="76" customFormat="1" spans="1:6">
      <c r="A11649">
        <v>11970</v>
      </c>
      <c r="B11649">
        <v>612017110</v>
      </c>
      <c r="C11649" s="76">
        <v>2017</v>
      </c>
      <c r="D11649" s="76" t="s">
        <v>40</v>
      </c>
      <c r="E11649" s="76" t="s">
        <v>32</v>
      </c>
      <c r="F11649" s="76">
        <v>0.75</v>
      </c>
    </row>
    <row r="11650" s="76" customFormat="1" spans="1:6">
      <c r="A11650">
        <v>11985</v>
      </c>
      <c r="B11650">
        <v>612017110</v>
      </c>
      <c r="C11650" s="76">
        <v>2017</v>
      </c>
      <c r="D11650" s="76" t="s">
        <v>40</v>
      </c>
      <c r="E11650" s="76" t="s">
        <v>32</v>
      </c>
      <c r="F11650" s="76">
        <v>0.8</v>
      </c>
    </row>
    <row r="11651" s="76" customFormat="1" spans="1:6">
      <c r="A11651">
        <v>11998</v>
      </c>
      <c r="B11651">
        <v>612017110</v>
      </c>
      <c r="C11651" s="76">
        <v>2017</v>
      </c>
      <c r="D11651" s="76" t="s">
        <v>40</v>
      </c>
      <c r="E11651" s="76" t="s">
        <v>32</v>
      </c>
      <c r="F11651" s="76">
        <v>0.83</v>
      </c>
    </row>
    <row r="11652" s="76" customFormat="1" spans="1:6">
      <c r="A11652">
        <v>11967</v>
      </c>
      <c r="B11652">
        <v>612017110</v>
      </c>
      <c r="C11652" s="76">
        <v>2017</v>
      </c>
      <c r="D11652" s="76" t="s">
        <v>40</v>
      </c>
      <c r="E11652" s="76" t="s">
        <v>32</v>
      </c>
      <c r="F11652" s="76">
        <v>1.26</v>
      </c>
    </row>
    <row r="11653" s="76" customFormat="1" spans="1:6">
      <c r="A11653">
        <v>11980</v>
      </c>
      <c r="B11653">
        <v>612017110</v>
      </c>
      <c r="C11653" s="76">
        <v>2017</v>
      </c>
      <c r="D11653" s="76" t="s">
        <v>40</v>
      </c>
      <c r="E11653" s="76" t="s">
        <v>32</v>
      </c>
      <c r="F11653" s="76">
        <v>0.6</v>
      </c>
    </row>
    <row r="11654" s="76" customFormat="1" spans="1:6">
      <c r="A11654">
        <v>11974</v>
      </c>
      <c r="B11654">
        <v>612017110</v>
      </c>
      <c r="C11654" s="76">
        <v>2017</v>
      </c>
      <c r="D11654" s="76" t="s">
        <v>40</v>
      </c>
      <c r="E11654" s="76" t="s">
        <v>32</v>
      </c>
      <c r="F11654" s="76">
        <v>2.5</v>
      </c>
    </row>
    <row r="11655" s="76" customFormat="1" spans="1:6">
      <c r="A11655">
        <v>11982</v>
      </c>
      <c r="B11655">
        <v>612017110</v>
      </c>
      <c r="C11655" s="76">
        <v>2017</v>
      </c>
      <c r="D11655" s="76" t="s">
        <v>40</v>
      </c>
      <c r="E11655" s="76" t="s">
        <v>32</v>
      </c>
      <c r="F11655" s="76">
        <v>0.97</v>
      </c>
    </row>
    <row r="11656" s="76" customFormat="1" spans="1:6">
      <c r="A11656">
        <v>11997</v>
      </c>
      <c r="B11656">
        <v>612017110</v>
      </c>
      <c r="C11656" s="76">
        <v>2017</v>
      </c>
      <c r="D11656" s="76" t="s">
        <v>40</v>
      </c>
      <c r="E11656" s="76" t="s">
        <v>32</v>
      </c>
      <c r="F11656" s="76">
        <v>0.75</v>
      </c>
    </row>
    <row r="11657" s="76" customFormat="1" spans="1:6">
      <c r="A11657">
        <v>11984</v>
      </c>
      <c r="B11657">
        <v>612017110</v>
      </c>
      <c r="C11657" s="76">
        <v>2017</v>
      </c>
      <c r="D11657" s="76" t="s">
        <v>40</v>
      </c>
      <c r="E11657" s="76" t="s">
        <v>32</v>
      </c>
      <c r="F11657" s="76">
        <v>0.62</v>
      </c>
    </row>
    <row r="11658" s="76" customFormat="1" spans="1:6">
      <c r="A11658">
        <v>11995</v>
      </c>
      <c r="B11658">
        <v>612017110</v>
      </c>
      <c r="C11658" s="76">
        <v>2017</v>
      </c>
      <c r="D11658" s="76" t="s">
        <v>40</v>
      </c>
      <c r="E11658" s="76" t="s">
        <v>32</v>
      </c>
      <c r="F11658" s="76">
        <v>0.94</v>
      </c>
    </row>
    <row r="11659" s="76" customFormat="1" spans="1:6">
      <c r="A11659">
        <v>11979</v>
      </c>
      <c r="B11659">
        <v>612017110</v>
      </c>
      <c r="C11659" s="76">
        <v>2017</v>
      </c>
      <c r="D11659" s="76" t="s">
        <v>40</v>
      </c>
      <c r="E11659" s="76" t="s">
        <v>32</v>
      </c>
      <c r="F11659" s="76">
        <v>1.2</v>
      </c>
    </row>
    <row r="11660" s="76" customFormat="1" spans="1:6">
      <c r="A11660">
        <v>11971</v>
      </c>
      <c r="B11660">
        <v>612017110</v>
      </c>
      <c r="C11660" s="76">
        <v>2017</v>
      </c>
      <c r="D11660" s="76" t="s">
        <v>40</v>
      </c>
      <c r="E11660" s="76" t="s">
        <v>32</v>
      </c>
      <c r="F11660" s="76">
        <v>1</v>
      </c>
    </row>
    <row r="11661" s="76" customFormat="1" spans="1:6">
      <c r="A11661">
        <v>11990</v>
      </c>
      <c r="B11661">
        <v>612017110</v>
      </c>
      <c r="C11661" s="76">
        <v>2017</v>
      </c>
      <c r="D11661" s="76" t="s">
        <v>40</v>
      </c>
      <c r="E11661" s="76" t="s">
        <v>32</v>
      </c>
      <c r="F11661" s="76">
        <v>0.63</v>
      </c>
    </row>
    <row r="11662" s="76" customFormat="1" spans="1:6">
      <c r="A11662">
        <v>11981</v>
      </c>
      <c r="B11662">
        <v>612017110</v>
      </c>
      <c r="C11662" s="76">
        <v>2017</v>
      </c>
      <c r="D11662" s="76" t="s">
        <v>40</v>
      </c>
      <c r="E11662" s="76" t="s">
        <v>32</v>
      </c>
      <c r="F11662" s="76">
        <v>0.6</v>
      </c>
    </row>
    <row r="11663" s="76" customFormat="1" spans="1:6">
      <c r="A11663">
        <v>11989</v>
      </c>
      <c r="B11663">
        <v>612017110</v>
      </c>
      <c r="C11663" s="76">
        <v>2017</v>
      </c>
      <c r="D11663" s="76" t="s">
        <v>40</v>
      </c>
      <c r="E11663" s="76" t="s">
        <v>32</v>
      </c>
      <c r="F11663" s="76">
        <v>0.63</v>
      </c>
    </row>
    <row r="11664" s="76" customFormat="1" spans="1:6">
      <c r="A11664">
        <v>11987</v>
      </c>
      <c r="B11664">
        <v>612017110</v>
      </c>
      <c r="C11664" s="76">
        <v>2017</v>
      </c>
      <c r="D11664" s="76" t="s">
        <v>40</v>
      </c>
      <c r="E11664" s="76" t="s">
        <v>32</v>
      </c>
      <c r="F11664" s="76">
        <v>0.66</v>
      </c>
    </row>
    <row r="11665" s="76" customFormat="1" spans="1:6">
      <c r="A11665">
        <v>11988</v>
      </c>
      <c r="B11665">
        <v>612017110</v>
      </c>
      <c r="C11665" s="76">
        <v>2017</v>
      </c>
      <c r="D11665" s="76" t="s">
        <v>40</v>
      </c>
      <c r="E11665" s="76" t="s">
        <v>32</v>
      </c>
      <c r="F11665" s="76">
        <v>2.1</v>
      </c>
    </row>
    <row r="11666" s="76" customFormat="1" spans="1:6">
      <c r="A11666">
        <v>11992</v>
      </c>
      <c r="B11666">
        <v>612017110</v>
      </c>
      <c r="C11666" s="76">
        <v>2017</v>
      </c>
      <c r="D11666" s="76" t="s">
        <v>40</v>
      </c>
      <c r="E11666" s="76" t="s">
        <v>32</v>
      </c>
      <c r="F11666" s="76">
        <v>1.24</v>
      </c>
    </row>
    <row r="11667" s="76" customFormat="1" spans="1:6">
      <c r="A11667">
        <v>11977</v>
      </c>
      <c r="B11667">
        <v>612017110</v>
      </c>
      <c r="C11667" s="76">
        <v>2017</v>
      </c>
      <c r="D11667" s="76" t="s">
        <v>40</v>
      </c>
      <c r="E11667" s="76" t="s">
        <v>32</v>
      </c>
      <c r="F11667" s="76">
        <v>0.6</v>
      </c>
    </row>
    <row r="11668" s="76" customFormat="1" spans="1:6">
      <c r="A11668">
        <v>11975</v>
      </c>
      <c r="B11668">
        <v>612017110</v>
      </c>
      <c r="C11668" s="76">
        <v>2017</v>
      </c>
      <c r="D11668" s="76" t="s">
        <v>40</v>
      </c>
      <c r="E11668" s="76" t="s">
        <v>32</v>
      </c>
      <c r="F11668" s="76">
        <v>0.68</v>
      </c>
    </row>
    <row r="11669" s="76" customFormat="1" spans="1:6">
      <c r="A11669">
        <v>11991</v>
      </c>
      <c r="B11669">
        <v>612017110</v>
      </c>
      <c r="C11669" s="76">
        <v>2017</v>
      </c>
      <c r="D11669" s="76" t="s">
        <v>40</v>
      </c>
      <c r="E11669" s="76" t="s">
        <v>32</v>
      </c>
      <c r="F11669" s="76">
        <v>1.64</v>
      </c>
    </row>
    <row r="11670" s="76" customFormat="1" spans="1:6">
      <c r="A11670">
        <v>11986</v>
      </c>
      <c r="B11670">
        <v>612017110</v>
      </c>
      <c r="C11670" s="76">
        <v>2017</v>
      </c>
      <c r="D11670" s="76" t="s">
        <v>40</v>
      </c>
      <c r="E11670" s="76" t="s">
        <v>32</v>
      </c>
      <c r="F11670" s="76">
        <v>1</v>
      </c>
    </row>
    <row r="11671" s="76" customFormat="1" spans="1:6">
      <c r="A11671">
        <v>11978</v>
      </c>
      <c r="B11671">
        <v>612017110</v>
      </c>
      <c r="C11671" s="76">
        <v>2017</v>
      </c>
      <c r="D11671" s="76" t="s">
        <v>40</v>
      </c>
      <c r="E11671" s="76" t="s">
        <v>32</v>
      </c>
      <c r="F11671" s="76">
        <v>0.8</v>
      </c>
    </row>
    <row r="11672" s="76" customFormat="1" spans="1:6">
      <c r="A11672">
        <v>12002</v>
      </c>
      <c r="B11672">
        <v>612017110</v>
      </c>
      <c r="C11672" s="76">
        <v>2017</v>
      </c>
      <c r="D11672" s="76" t="s">
        <v>40</v>
      </c>
      <c r="E11672" s="76" t="s">
        <v>32</v>
      </c>
      <c r="F11672" s="76">
        <v>3.1</v>
      </c>
    </row>
    <row r="11673" s="76" customFormat="1" spans="1:6">
      <c r="A11673">
        <v>11966</v>
      </c>
      <c r="B11673">
        <v>612017110</v>
      </c>
      <c r="C11673" s="76">
        <v>2017</v>
      </c>
      <c r="D11673" s="76" t="s">
        <v>40</v>
      </c>
      <c r="E11673" s="76">
        <v>3</v>
      </c>
      <c r="F11673" s="76">
        <v>4</v>
      </c>
    </row>
    <row r="11674" s="76" customFormat="1" spans="1:6">
      <c r="A11674">
        <v>11999</v>
      </c>
      <c r="B11674">
        <v>612017110</v>
      </c>
      <c r="C11674" s="76">
        <v>2017</v>
      </c>
      <c r="D11674" s="76" t="s">
        <v>40</v>
      </c>
      <c r="E11674" s="76" t="s">
        <v>32</v>
      </c>
      <c r="F11674" s="76">
        <v>0.33</v>
      </c>
    </row>
    <row r="11675" s="76" customFormat="1" spans="1:6">
      <c r="A11675">
        <v>12004</v>
      </c>
      <c r="B11675">
        <v>612017110</v>
      </c>
      <c r="C11675" s="76">
        <v>2017</v>
      </c>
      <c r="D11675" s="76" t="s">
        <v>40</v>
      </c>
      <c r="E11675" s="76" t="s">
        <v>32</v>
      </c>
      <c r="F11675" s="76">
        <v>0.9</v>
      </c>
    </row>
    <row r="11676" s="76" customFormat="1" spans="1:6">
      <c r="A11676">
        <v>12001</v>
      </c>
      <c r="B11676">
        <v>612017110</v>
      </c>
      <c r="C11676" s="76">
        <v>2017</v>
      </c>
      <c r="D11676" s="76" t="s">
        <v>40</v>
      </c>
      <c r="E11676" s="76" t="s">
        <v>32</v>
      </c>
      <c r="F11676" s="76">
        <v>1</v>
      </c>
    </row>
    <row r="11677" s="76" customFormat="1" spans="1:6">
      <c r="A11677">
        <v>11993</v>
      </c>
      <c r="B11677">
        <v>612017110</v>
      </c>
      <c r="C11677" s="76">
        <v>2017</v>
      </c>
      <c r="D11677" s="76" t="s">
        <v>40</v>
      </c>
      <c r="E11677" s="76" t="s">
        <v>32</v>
      </c>
      <c r="F11677" s="76">
        <v>0.16</v>
      </c>
    </row>
    <row r="11678" s="76" customFormat="1" spans="1:6">
      <c r="A11678">
        <v>12010</v>
      </c>
      <c r="B11678">
        <v>612017211</v>
      </c>
      <c r="C11678" s="76">
        <v>2017</v>
      </c>
      <c r="D11678" s="76" t="s">
        <v>37</v>
      </c>
      <c r="E11678" s="76" t="s">
        <v>32</v>
      </c>
      <c r="F11678" s="76">
        <v>2.5</v>
      </c>
    </row>
    <row r="11679" s="76" customFormat="1" spans="1:6">
      <c r="A11679">
        <v>12005</v>
      </c>
      <c r="B11679">
        <v>612017211</v>
      </c>
      <c r="C11679" s="76">
        <v>2017</v>
      </c>
      <c r="D11679" s="76" t="s">
        <v>37</v>
      </c>
      <c r="E11679" s="76">
        <v>1</v>
      </c>
      <c r="F11679" s="76">
        <v>35</v>
      </c>
    </row>
    <row r="11680" s="76" customFormat="1" spans="1:6">
      <c r="A11680">
        <v>12006</v>
      </c>
      <c r="B11680">
        <v>612017211</v>
      </c>
      <c r="C11680" s="76">
        <v>2017</v>
      </c>
      <c r="D11680" s="76" t="s">
        <v>37</v>
      </c>
      <c r="E11680" s="76" t="s">
        <v>32</v>
      </c>
      <c r="F11680" s="76">
        <v>0.6</v>
      </c>
    </row>
    <row r="11681" s="76" customFormat="1" spans="1:6">
      <c r="A11681">
        <v>12009</v>
      </c>
      <c r="B11681">
        <v>612017211</v>
      </c>
      <c r="C11681" s="76">
        <v>2017</v>
      </c>
      <c r="D11681" s="76" t="s">
        <v>37</v>
      </c>
      <c r="E11681" s="76" t="s">
        <v>32</v>
      </c>
      <c r="F11681" s="76">
        <v>70</v>
      </c>
    </row>
    <row r="11682" s="76" customFormat="1" spans="1:6">
      <c r="A11682">
        <v>12007</v>
      </c>
      <c r="B11682">
        <v>612017211</v>
      </c>
      <c r="C11682" s="76">
        <v>2017</v>
      </c>
      <c r="D11682" s="76" t="s">
        <v>37</v>
      </c>
      <c r="E11682" s="76" t="s">
        <v>32</v>
      </c>
      <c r="F11682" s="76">
        <v>0.6</v>
      </c>
    </row>
    <row r="11683" s="76" customFormat="1" spans="1:6">
      <c r="A11683">
        <v>12008</v>
      </c>
      <c r="B11683">
        <v>612017211</v>
      </c>
      <c r="C11683" s="76">
        <v>2017</v>
      </c>
      <c r="D11683" s="76" t="s">
        <v>37</v>
      </c>
      <c r="E11683" s="76" t="s">
        <v>32</v>
      </c>
      <c r="F11683" s="76">
        <v>3</v>
      </c>
    </row>
    <row r="11684" s="76" customFormat="1" spans="1:6">
      <c r="A11684">
        <v>12011</v>
      </c>
      <c r="B11684">
        <v>612017241</v>
      </c>
      <c r="C11684" s="76">
        <v>2017</v>
      </c>
      <c r="D11684" s="76" t="s">
        <v>33</v>
      </c>
      <c r="E11684" s="76" t="s">
        <v>32</v>
      </c>
      <c r="F11684" s="76">
        <v>1.5</v>
      </c>
    </row>
    <row r="11685" s="76" customFormat="1" spans="1:6">
      <c r="A11685">
        <v>12013</v>
      </c>
      <c r="B11685">
        <v>612017241</v>
      </c>
      <c r="C11685" s="76">
        <v>2017</v>
      </c>
      <c r="D11685" s="76" t="s">
        <v>33</v>
      </c>
      <c r="E11685" s="76" t="s">
        <v>32</v>
      </c>
      <c r="F11685" s="76">
        <v>0.6</v>
      </c>
    </row>
    <row r="11686" s="76" customFormat="1" spans="1:6">
      <c r="A11686">
        <v>12016</v>
      </c>
      <c r="B11686">
        <v>612017241</v>
      </c>
      <c r="C11686" s="76">
        <v>2017</v>
      </c>
      <c r="D11686" s="76" t="s">
        <v>33</v>
      </c>
      <c r="E11686" s="76" t="s">
        <v>32</v>
      </c>
      <c r="F11686" s="76">
        <v>0.6</v>
      </c>
    </row>
    <row r="11687" s="76" customFormat="1" spans="1:6">
      <c r="A11687">
        <v>12012</v>
      </c>
      <c r="B11687">
        <v>612017241</v>
      </c>
      <c r="C11687" s="76">
        <v>2017</v>
      </c>
      <c r="D11687" s="76" t="s">
        <v>33</v>
      </c>
      <c r="E11687" s="76" t="s">
        <v>32</v>
      </c>
      <c r="F11687" s="76">
        <v>2.4</v>
      </c>
    </row>
    <row r="11688" s="76" customFormat="1" spans="1:6">
      <c r="A11688">
        <v>12015</v>
      </c>
      <c r="B11688">
        <v>612017241</v>
      </c>
      <c r="C11688" s="76">
        <v>2017</v>
      </c>
      <c r="D11688" s="76" t="s">
        <v>33</v>
      </c>
      <c r="E11688" s="76" t="s">
        <v>32</v>
      </c>
      <c r="F11688" s="76">
        <v>0.6</v>
      </c>
    </row>
    <row r="11689" s="76" customFormat="1" spans="1:6">
      <c r="A11689">
        <v>12018</v>
      </c>
      <c r="B11689">
        <v>612017241</v>
      </c>
      <c r="C11689" s="76">
        <v>2017</v>
      </c>
      <c r="D11689" s="76" t="s">
        <v>33</v>
      </c>
      <c r="E11689" s="76" t="s">
        <v>32</v>
      </c>
      <c r="F11689" s="76">
        <v>0.75</v>
      </c>
    </row>
    <row r="11690" s="76" customFormat="1" spans="1:6">
      <c r="A11690">
        <v>12014</v>
      </c>
      <c r="B11690">
        <v>612017241</v>
      </c>
      <c r="C11690" s="76">
        <v>2017</v>
      </c>
      <c r="D11690" s="76" t="s">
        <v>33</v>
      </c>
      <c r="E11690" s="76" t="s">
        <v>32</v>
      </c>
      <c r="F11690" s="76">
        <v>0.75</v>
      </c>
    </row>
    <row r="11691" s="76" customFormat="1" spans="1:6">
      <c r="A11691">
        <v>12017</v>
      </c>
      <c r="B11691">
        <v>612017241</v>
      </c>
      <c r="C11691" s="76">
        <v>2017</v>
      </c>
      <c r="D11691" s="76" t="s">
        <v>33</v>
      </c>
      <c r="E11691" s="76" t="s">
        <v>32</v>
      </c>
      <c r="F11691" s="76">
        <v>0.75</v>
      </c>
    </row>
    <row r="11692" s="76" customFormat="1" spans="1:6">
      <c r="A11692">
        <v>12020</v>
      </c>
      <c r="B11692">
        <v>612017242</v>
      </c>
      <c r="C11692" s="76">
        <v>2017</v>
      </c>
      <c r="D11692" s="76" t="s">
        <v>35</v>
      </c>
      <c r="E11692" s="76" t="s">
        <v>32</v>
      </c>
      <c r="F11692" s="76">
        <v>1.35</v>
      </c>
    </row>
    <row r="11693" s="76" customFormat="1" spans="1:6">
      <c r="A11693">
        <v>12021</v>
      </c>
      <c r="B11693">
        <v>612017243</v>
      </c>
      <c r="C11693" s="76">
        <v>2017</v>
      </c>
      <c r="D11693" s="76" t="s">
        <v>38</v>
      </c>
      <c r="E11693" s="76" t="s">
        <v>32</v>
      </c>
      <c r="F11693" s="76">
        <v>3</v>
      </c>
    </row>
    <row r="11694" s="76" customFormat="1" spans="1:6">
      <c r="A11694">
        <v>12027</v>
      </c>
      <c r="B11694">
        <v>612017260</v>
      </c>
      <c r="C11694" s="76">
        <v>2017</v>
      </c>
      <c r="D11694" s="76" t="s">
        <v>34</v>
      </c>
      <c r="E11694" s="76">
        <v>20</v>
      </c>
      <c r="F11694" s="76">
        <v>4</v>
      </c>
    </row>
    <row r="11695" s="76" customFormat="1" spans="1:6">
      <c r="A11695">
        <v>12039</v>
      </c>
      <c r="B11695">
        <v>612017260</v>
      </c>
      <c r="C11695" s="76">
        <v>2017</v>
      </c>
      <c r="D11695" s="76" t="s">
        <v>34</v>
      </c>
      <c r="E11695" s="76">
        <v>4</v>
      </c>
      <c r="F11695" s="76">
        <v>0.72</v>
      </c>
    </row>
    <row r="11696" s="76" customFormat="1" spans="1:6">
      <c r="A11696">
        <v>12038</v>
      </c>
      <c r="B11696">
        <v>612017260</v>
      </c>
      <c r="C11696" s="76">
        <v>2017</v>
      </c>
      <c r="D11696" s="76" t="s">
        <v>34</v>
      </c>
      <c r="E11696" s="76">
        <v>20</v>
      </c>
      <c r="F11696" s="76">
        <v>5</v>
      </c>
    </row>
    <row r="11697" s="76" customFormat="1" spans="1:6">
      <c r="A11697">
        <v>12031</v>
      </c>
      <c r="B11697">
        <v>612017260</v>
      </c>
      <c r="C11697" s="76">
        <v>2017</v>
      </c>
      <c r="D11697" s="76" t="s">
        <v>34</v>
      </c>
      <c r="E11697" s="76" t="s">
        <v>32</v>
      </c>
      <c r="F11697" s="76">
        <v>9.99</v>
      </c>
    </row>
    <row r="11698" s="76" customFormat="1" spans="1:6">
      <c r="A11698">
        <v>12041</v>
      </c>
      <c r="B11698">
        <v>612017260</v>
      </c>
      <c r="C11698" s="76">
        <v>2017</v>
      </c>
      <c r="D11698" s="76" t="s">
        <v>34</v>
      </c>
      <c r="E11698" s="76" t="s">
        <v>32</v>
      </c>
      <c r="F11698" s="76">
        <v>5</v>
      </c>
    </row>
    <row r="11699" s="76" customFormat="1" spans="1:6">
      <c r="A11699">
        <v>12045</v>
      </c>
      <c r="B11699">
        <v>612017260</v>
      </c>
      <c r="C11699" s="76">
        <v>2017</v>
      </c>
      <c r="D11699" s="76" t="s">
        <v>34</v>
      </c>
      <c r="E11699" s="76" t="s">
        <v>32</v>
      </c>
      <c r="F11699" s="76">
        <v>10</v>
      </c>
    </row>
    <row r="11700" s="76" customFormat="1" spans="1:6">
      <c r="A11700">
        <v>12046</v>
      </c>
      <c r="B11700">
        <v>612017260</v>
      </c>
      <c r="C11700" s="76">
        <v>2017</v>
      </c>
      <c r="D11700" s="76" t="s">
        <v>34</v>
      </c>
      <c r="E11700" s="76" t="s">
        <v>32</v>
      </c>
      <c r="F11700" s="76">
        <v>5</v>
      </c>
    </row>
    <row r="11701" s="76" customFormat="1" spans="1:6">
      <c r="A11701">
        <v>12042</v>
      </c>
      <c r="B11701">
        <v>612017260</v>
      </c>
      <c r="C11701" s="76">
        <v>2017</v>
      </c>
      <c r="D11701" s="76" t="s">
        <v>34</v>
      </c>
      <c r="E11701" s="76">
        <v>25</v>
      </c>
      <c r="F11701" s="76">
        <v>5</v>
      </c>
    </row>
    <row r="11702" s="76" customFormat="1" spans="1:6">
      <c r="A11702">
        <v>12025</v>
      </c>
      <c r="B11702">
        <v>612017260</v>
      </c>
      <c r="C11702" s="76">
        <v>2017</v>
      </c>
      <c r="D11702" s="76" t="s">
        <v>34</v>
      </c>
      <c r="E11702" s="76">
        <v>20</v>
      </c>
      <c r="F11702" s="76">
        <v>5</v>
      </c>
    </row>
    <row r="11703" s="76" customFormat="1" spans="1:6">
      <c r="A11703">
        <v>12026</v>
      </c>
      <c r="B11703">
        <v>612017260</v>
      </c>
      <c r="C11703" s="76">
        <v>2017</v>
      </c>
      <c r="D11703" s="76" t="s">
        <v>34</v>
      </c>
      <c r="E11703" s="76">
        <v>20</v>
      </c>
      <c r="F11703" s="76">
        <v>5</v>
      </c>
    </row>
    <row r="11704" s="76" customFormat="1" spans="1:6">
      <c r="A11704">
        <v>12040</v>
      </c>
      <c r="B11704">
        <v>612017260</v>
      </c>
      <c r="C11704" s="76">
        <v>2017</v>
      </c>
      <c r="D11704" s="76" t="s">
        <v>34</v>
      </c>
      <c r="E11704" s="76" t="s">
        <v>32</v>
      </c>
      <c r="F11704" s="76">
        <v>10</v>
      </c>
    </row>
    <row r="11705" s="76" customFormat="1" spans="1:6">
      <c r="A11705">
        <v>12033</v>
      </c>
      <c r="B11705">
        <v>612017260</v>
      </c>
      <c r="C11705" s="76">
        <v>2017</v>
      </c>
      <c r="D11705" s="76" t="s">
        <v>34</v>
      </c>
      <c r="E11705" s="76" t="s">
        <v>32</v>
      </c>
      <c r="F11705" s="76">
        <v>4.95</v>
      </c>
    </row>
    <row r="11706" s="76" customFormat="1" spans="1:6">
      <c r="A11706">
        <v>12034</v>
      </c>
      <c r="B11706">
        <v>612017260</v>
      </c>
      <c r="C11706" s="76">
        <v>2017</v>
      </c>
      <c r="D11706" s="76" t="s">
        <v>34</v>
      </c>
      <c r="E11706" s="76">
        <v>20</v>
      </c>
      <c r="F11706" s="76">
        <v>5</v>
      </c>
    </row>
    <row r="11707" s="76" customFormat="1" spans="1:6">
      <c r="A11707">
        <v>12035</v>
      </c>
      <c r="B11707">
        <v>612017260</v>
      </c>
      <c r="C11707" s="76">
        <v>2017</v>
      </c>
      <c r="D11707" s="76" t="s">
        <v>34</v>
      </c>
      <c r="E11707" s="76">
        <v>20</v>
      </c>
      <c r="F11707" s="76">
        <v>5</v>
      </c>
    </row>
    <row r="11708" s="76" customFormat="1" spans="1:6">
      <c r="A11708">
        <v>12022</v>
      </c>
      <c r="B11708">
        <v>612017260</v>
      </c>
      <c r="C11708" s="76">
        <v>2017</v>
      </c>
      <c r="D11708" s="76" t="s">
        <v>34</v>
      </c>
      <c r="E11708" s="76">
        <v>33</v>
      </c>
      <c r="F11708" s="76">
        <v>4.95</v>
      </c>
    </row>
    <row r="11709" s="76" customFormat="1" spans="1:6">
      <c r="A11709">
        <v>12024</v>
      </c>
      <c r="B11709">
        <v>612017260</v>
      </c>
      <c r="C11709" s="76">
        <v>2017</v>
      </c>
      <c r="D11709" s="76" t="s">
        <v>34</v>
      </c>
      <c r="E11709" s="76">
        <v>33</v>
      </c>
      <c r="F11709" s="76">
        <v>4.95</v>
      </c>
    </row>
    <row r="11710" s="76" customFormat="1" spans="1:6">
      <c r="A11710">
        <v>12043</v>
      </c>
      <c r="B11710">
        <v>612017260</v>
      </c>
      <c r="C11710" s="76">
        <v>2017</v>
      </c>
      <c r="D11710" s="76" t="s">
        <v>34</v>
      </c>
      <c r="E11710" s="76">
        <v>25</v>
      </c>
      <c r="F11710" s="76">
        <v>5</v>
      </c>
    </row>
    <row r="11711" s="76" customFormat="1" spans="1:6">
      <c r="A11711">
        <v>12044</v>
      </c>
      <c r="B11711">
        <v>612017260</v>
      </c>
      <c r="C11711" s="76">
        <v>2017</v>
      </c>
      <c r="D11711" s="76" t="s">
        <v>34</v>
      </c>
      <c r="E11711" s="76">
        <v>25</v>
      </c>
      <c r="F11711" s="76">
        <v>5</v>
      </c>
    </row>
    <row r="11712" s="76" customFormat="1" spans="1:6">
      <c r="A11712">
        <v>12023</v>
      </c>
      <c r="B11712">
        <v>612017260</v>
      </c>
      <c r="C11712" s="76">
        <v>2017</v>
      </c>
      <c r="D11712" s="76" t="s">
        <v>34</v>
      </c>
      <c r="E11712" s="76">
        <v>20</v>
      </c>
      <c r="F11712" s="76">
        <v>5</v>
      </c>
    </row>
    <row r="11713" s="76" customFormat="1" spans="1:6">
      <c r="A11713">
        <v>12036</v>
      </c>
      <c r="B11713">
        <v>612017260</v>
      </c>
      <c r="C11713" s="76">
        <v>2017</v>
      </c>
      <c r="D11713" s="76" t="s">
        <v>34</v>
      </c>
      <c r="E11713" s="76">
        <v>23</v>
      </c>
      <c r="F11713" s="76">
        <v>5</v>
      </c>
    </row>
    <row r="11714" s="76" customFormat="1" spans="1:6">
      <c r="A11714">
        <v>12037</v>
      </c>
      <c r="B11714">
        <v>612017260</v>
      </c>
      <c r="C11714" s="76">
        <v>2017</v>
      </c>
      <c r="D11714" s="76" t="s">
        <v>34</v>
      </c>
      <c r="E11714" s="76">
        <v>18</v>
      </c>
      <c r="F11714" s="76">
        <v>2.72</v>
      </c>
    </row>
    <row r="11715" s="76" customFormat="1" spans="1:6">
      <c r="A11715">
        <v>12028</v>
      </c>
      <c r="B11715">
        <v>612017260</v>
      </c>
      <c r="C11715" s="76">
        <v>2017</v>
      </c>
      <c r="D11715" s="76" t="s">
        <v>34</v>
      </c>
      <c r="E11715" s="76">
        <v>23</v>
      </c>
      <c r="F11715" s="76">
        <v>5.06</v>
      </c>
    </row>
    <row r="11716" s="76" customFormat="1" spans="1:6">
      <c r="A11716">
        <v>12030</v>
      </c>
      <c r="B11716">
        <v>612017260</v>
      </c>
      <c r="C11716" s="76">
        <v>2017</v>
      </c>
      <c r="D11716" s="76" t="s">
        <v>34</v>
      </c>
      <c r="E11716" s="76">
        <v>28</v>
      </c>
      <c r="F11716" s="76">
        <v>5.04</v>
      </c>
    </row>
    <row r="11717" s="76" customFormat="1" spans="1:6">
      <c r="A11717">
        <v>12029</v>
      </c>
      <c r="B11717">
        <v>612017260</v>
      </c>
      <c r="C11717" s="76">
        <v>2017</v>
      </c>
      <c r="D11717" s="76" t="s">
        <v>34</v>
      </c>
      <c r="E11717" s="76" t="s">
        <v>32</v>
      </c>
      <c r="F11717" s="76">
        <v>5</v>
      </c>
    </row>
    <row r="11718" s="76" customFormat="1" spans="1:6">
      <c r="A11718">
        <v>12032</v>
      </c>
      <c r="B11718">
        <v>612017260</v>
      </c>
      <c r="C11718" s="76">
        <v>2017</v>
      </c>
      <c r="D11718" s="76" t="s">
        <v>34</v>
      </c>
      <c r="E11718" s="76" t="s">
        <v>32</v>
      </c>
      <c r="F11718" s="76">
        <v>5</v>
      </c>
    </row>
    <row r="11719" s="76" customFormat="1" spans="1:6">
      <c r="A11719">
        <v>12084</v>
      </c>
      <c r="B11719">
        <v>612017270</v>
      </c>
      <c r="C11719" s="76">
        <v>2017</v>
      </c>
      <c r="D11719" s="76" t="s">
        <v>31</v>
      </c>
      <c r="E11719" s="76" t="s">
        <v>32</v>
      </c>
      <c r="F11719" s="76">
        <v>2.65</v>
      </c>
    </row>
    <row r="11720" s="76" customFormat="1" spans="1:6">
      <c r="A11720">
        <v>12047</v>
      </c>
      <c r="B11720">
        <v>612017270</v>
      </c>
      <c r="C11720" s="76">
        <v>2017</v>
      </c>
      <c r="D11720" s="76" t="s">
        <v>31</v>
      </c>
      <c r="E11720" s="76" t="s">
        <v>32</v>
      </c>
      <c r="F11720" s="76">
        <v>3.6</v>
      </c>
    </row>
    <row r="11721" s="76" customFormat="1" spans="1:6">
      <c r="A11721">
        <v>12090</v>
      </c>
      <c r="B11721">
        <v>612017270</v>
      </c>
      <c r="C11721" s="76">
        <v>2017</v>
      </c>
      <c r="D11721" s="76" t="s">
        <v>31</v>
      </c>
      <c r="E11721" s="76" t="s">
        <v>32</v>
      </c>
      <c r="F11721" s="76">
        <v>5</v>
      </c>
    </row>
    <row r="11722" s="76" customFormat="1" spans="1:6">
      <c r="A11722">
        <v>12092</v>
      </c>
      <c r="B11722">
        <v>612017270</v>
      </c>
      <c r="C11722" s="76">
        <v>2017</v>
      </c>
      <c r="D11722" s="76" t="s">
        <v>31</v>
      </c>
      <c r="E11722" s="76" t="s">
        <v>32</v>
      </c>
      <c r="F11722" s="76">
        <v>1</v>
      </c>
    </row>
    <row r="11723" s="76" customFormat="1" spans="1:6">
      <c r="A11723">
        <v>12086</v>
      </c>
      <c r="B11723">
        <v>612017270</v>
      </c>
      <c r="C11723" s="76">
        <v>2017</v>
      </c>
      <c r="D11723" s="76" t="s">
        <v>31</v>
      </c>
      <c r="E11723" s="76" t="s">
        <v>32</v>
      </c>
      <c r="F11723" s="76">
        <v>2</v>
      </c>
    </row>
    <row r="11724" s="76" customFormat="1" spans="1:6">
      <c r="A11724">
        <v>12056</v>
      </c>
      <c r="B11724">
        <v>612017270</v>
      </c>
      <c r="C11724" s="76">
        <v>2017</v>
      </c>
      <c r="D11724" s="76" t="s">
        <v>31</v>
      </c>
      <c r="E11724" s="76" t="s">
        <v>32</v>
      </c>
      <c r="F11724" s="76">
        <v>2</v>
      </c>
    </row>
    <row r="11725" s="76" customFormat="1" spans="1:6">
      <c r="A11725">
        <v>12069</v>
      </c>
      <c r="B11725">
        <v>612017270</v>
      </c>
      <c r="C11725" s="76">
        <v>2017</v>
      </c>
      <c r="D11725" s="76" t="s">
        <v>31</v>
      </c>
      <c r="E11725" s="76" t="s">
        <v>32</v>
      </c>
      <c r="F11725" s="76">
        <v>30</v>
      </c>
    </row>
    <row r="11726" s="76" customFormat="1" spans="1:6">
      <c r="A11726">
        <v>12077</v>
      </c>
      <c r="B11726">
        <v>612017270</v>
      </c>
      <c r="C11726" s="76">
        <v>2017</v>
      </c>
      <c r="D11726" s="76" t="s">
        <v>31</v>
      </c>
      <c r="E11726" s="76" t="s">
        <v>32</v>
      </c>
      <c r="F11726" s="76">
        <v>4</v>
      </c>
    </row>
    <row r="11727" s="76" customFormat="1" spans="1:6">
      <c r="A11727">
        <v>12078</v>
      </c>
      <c r="B11727">
        <v>612017270</v>
      </c>
      <c r="C11727" s="76">
        <v>2017</v>
      </c>
      <c r="D11727" s="76" t="s">
        <v>31</v>
      </c>
      <c r="E11727" s="76" t="s">
        <v>32</v>
      </c>
      <c r="F11727" s="76">
        <v>2</v>
      </c>
    </row>
    <row r="11728" s="76" customFormat="1" spans="1:6">
      <c r="A11728">
        <v>12081</v>
      </c>
      <c r="B11728">
        <v>612017270</v>
      </c>
      <c r="C11728" s="76">
        <v>2017</v>
      </c>
      <c r="D11728" s="76" t="s">
        <v>31</v>
      </c>
      <c r="E11728" s="76" t="s">
        <v>32</v>
      </c>
      <c r="F11728" s="76">
        <v>2</v>
      </c>
    </row>
    <row r="11729" s="76" customFormat="1" spans="1:6">
      <c r="A11729">
        <v>12061</v>
      </c>
      <c r="B11729">
        <v>612017270</v>
      </c>
      <c r="C11729" s="76">
        <v>2017</v>
      </c>
      <c r="D11729" s="76" t="s">
        <v>31</v>
      </c>
      <c r="E11729" s="76" t="s">
        <v>32</v>
      </c>
      <c r="F11729" s="76">
        <v>1.98</v>
      </c>
    </row>
    <row r="11730" s="76" customFormat="1" spans="1:6">
      <c r="A11730">
        <v>12093</v>
      </c>
      <c r="B11730">
        <v>612017270</v>
      </c>
      <c r="C11730" s="76">
        <v>2017</v>
      </c>
      <c r="D11730" s="76" t="s">
        <v>31</v>
      </c>
      <c r="E11730" s="76" t="s">
        <v>32</v>
      </c>
      <c r="F11730" s="76">
        <v>0.9</v>
      </c>
    </row>
    <row r="11731" s="76" customFormat="1" spans="1:6">
      <c r="A11731">
        <v>12091</v>
      </c>
      <c r="B11731">
        <v>612017270</v>
      </c>
      <c r="C11731" s="76">
        <v>2017</v>
      </c>
      <c r="D11731" s="76" t="s">
        <v>31</v>
      </c>
      <c r="E11731" s="76" t="s">
        <v>32</v>
      </c>
      <c r="F11731" s="76">
        <v>10</v>
      </c>
    </row>
    <row r="11732" s="76" customFormat="1" spans="1:6">
      <c r="A11732">
        <v>12080</v>
      </c>
      <c r="B11732">
        <v>612017270</v>
      </c>
      <c r="C11732" s="76">
        <v>2017</v>
      </c>
      <c r="D11732" s="76" t="s">
        <v>31</v>
      </c>
      <c r="E11732" s="76" t="s">
        <v>32</v>
      </c>
      <c r="F11732" s="76">
        <v>5</v>
      </c>
    </row>
    <row r="11733" s="76" customFormat="1" spans="1:6">
      <c r="A11733">
        <v>12075</v>
      </c>
      <c r="B11733">
        <v>612017270</v>
      </c>
      <c r="C11733" s="76">
        <v>2017</v>
      </c>
      <c r="D11733" s="76" t="s">
        <v>31</v>
      </c>
      <c r="E11733" s="76" t="s">
        <v>32</v>
      </c>
      <c r="F11733" s="76">
        <v>3</v>
      </c>
    </row>
    <row r="11734" s="76" customFormat="1" spans="1:6">
      <c r="A11734">
        <v>12089</v>
      </c>
      <c r="B11734">
        <v>612017270</v>
      </c>
      <c r="C11734" s="76">
        <v>2017</v>
      </c>
      <c r="D11734" s="76" t="s">
        <v>31</v>
      </c>
      <c r="E11734" s="76" t="s">
        <v>32</v>
      </c>
      <c r="F11734" s="76">
        <v>0.6</v>
      </c>
    </row>
    <row r="11735" s="76" customFormat="1" spans="1:6">
      <c r="A11735">
        <v>12076</v>
      </c>
      <c r="B11735">
        <v>612017270</v>
      </c>
      <c r="C11735" s="76">
        <v>2017</v>
      </c>
      <c r="D11735" s="76" t="s">
        <v>31</v>
      </c>
      <c r="E11735" s="76" t="s">
        <v>32</v>
      </c>
      <c r="F11735" s="76">
        <v>1.5</v>
      </c>
    </row>
    <row r="11736" s="76" customFormat="1" spans="1:6">
      <c r="A11736">
        <v>12079</v>
      </c>
      <c r="B11736">
        <v>612017270</v>
      </c>
      <c r="C11736" s="76">
        <v>2017</v>
      </c>
      <c r="D11736" s="76" t="s">
        <v>31</v>
      </c>
      <c r="E11736" s="76" t="s">
        <v>32</v>
      </c>
      <c r="F11736" s="76">
        <v>2</v>
      </c>
    </row>
    <row r="11737" s="76" customFormat="1" spans="1:6">
      <c r="A11737">
        <v>12055</v>
      </c>
      <c r="B11737">
        <v>612017270</v>
      </c>
      <c r="C11737" s="76">
        <v>2017</v>
      </c>
      <c r="D11737" s="76" t="s">
        <v>31</v>
      </c>
      <c r="E11737" s="76">
        <v>1</v>
      </c>
      <c r="F11737" s="76">
        <v>0.46</v>
      </c>
    </row>
    <row r="11738" s="76" customFormat="1" spans="1:6">
      <c r="A11738">
        <v>12053</v>
      </c>
      <c r="B11738">
        <v>612017270</v>
      </c>
      <c r="C11738" s="76">
        <v>2017</v>
      </c>
      <c r="D11738" s="76" t="s">
        <v>31</v>
      </c>
      <c r="E11738" s="76" t="s">
        <v>32</v>
      </c>
      <c r="F11738" s="76">
        <v>2.4</v>
      </c>
    </row>
    <row r="11739" s="76" customFormat="1" spans="1:6">
      <c r="A11739">
        <v>12051</v>
      </c>
      <c r="B11739">
        <v>612017270</v>
      </c>
      <c r="C11739" s="76">
        <v>2017</v>
      </c>
      <c r="D11739" s="76" t="s">
        <v>31</v>
      </c>
      <c r="E11739" s="76" t="s">
        <v>32</v>
      </c>
      <c r="F11739" s="76">
        <v>0.6</v>
      </c>
    </row>
    <row r="11740" s="76" customFormat="1" spans="1:6">
      <c r="A11740">
        <v>12050</v>
      </c>
      <c r="B11740">
        <v>612017270</v>
      </c>
      <c r="C11740" s="76">
        <v>2017</v>
      </c>
      <c r="D11740" s="76" t="s">
        <v>31</v>
      </c>
      <c r="E11740" s="76" t="s">
        <v>32</v>
      </c>
      <c r="F11740" s="76">
        <v>0.6</v>
      </c>
    </row>
    <row r="11741" s="76" customFormat="1" spans="1:6">
      <c r="A11741">
        <v>12058</v>
      </c>
      <c r="B11741">
        <v>612017270</v>
      </c>
      <c r="C11741" s="76">
        <v>2017</v>
      </c>
      <c r="D11741" s="76" t="s">
        <v>31</v>
      </c>
      <c r="E11741" s="76">
        <v>1</v>
      </c>
      <c r="F11741" s="76">
        <v>20.29</v>
      </c>
    </row>
    <row r="11742" s="76" customFormat="1" spans="1:6">
      <c r="A11742">
        <v>12052</v>
      </c>
      <c r="B11742">
        <v>612017270</v>
      </c>
      <c r="C11742" s="76">
        <v>2017</v>
      </c>
      <c r="D11742" s="76" t="s">
        <v>31</v>
      </c>
      <c r="E11742" s="76" t="s">
        <v>32</v>
      </c>
      <c r="F11742" s="76">
        <v>0.6</v>
      </c>
    </row>
    <row r="11743" s="76" customFormat="1" spans="1:6">
      <c r="A11743">
        <v>12063</v>
      </c>
      <c r="B11743">
        <v>612017270</v>
      </c>
      <c r="C11743" s="76">
        <v>2017</v>
      </c>
      <c r="D11743" s="76" t="s">
        <v>31</v>
      </c>
      <c r="E11743" s="76" t="s">
        <v>32</v>
      </c>
      <c r="F11743" s="76">
        <v>2</v>
      </c>
    </row>
    <row r="11744" s="76" customFormat="1" spans="1:6">
      <c r="A11744">
        <v>12071</v>
      </c>
      <c r="B11744">
        <v>612017270</v>
      </c>
      <c r="C11744" s="76">
        <v>2017</v>
      </c>
      <c r="D11744" s="76" t="s">
        <v>31</v>
      </c>
      <c r="E11744" s="76" t="s">
        <v>32</v>
      </c>
      <c r="F11744" s="76">
        <v>2</v>
      </c>
    </row>
    <row r="11745" s="76" customFormat="1" spans="1:6">
      <c r="A11745">
        <v>12068</v>
      </c>
      <c r="B11745">
        <v>612017270</v>
      </c>
      <c r="C11745" s="76">
        <v>2017</v>
      </c>
      <c r="D11745" s="76" t="s">
        <v>31</v>
      </c>
      <c r="E11745" s="76" t="s">
        <v>32</v>
      </c>
      <c r="F11745" s="76">
        <v>2</v>
      </c>
    </row>
    <row r="11746" s="76" customFormat="1" spans="1:6">
      <c r="A11746">
        <v>12087</v>
      </c>
      <c r="B11746">
        <v>612017270</v>
      </c>
      <c r="C11746" s="76">
        <v>2017</v>
      </c>
      <c r="D11746" s="76" t="s">
        <v>31</v>
      </c>
      <c r="E11746" s="76" t="s">
        <v>32</v>
      </c>
      <c r="F11746" s="76">
        <v>1.25</v>
      </c>
    </row>
    <row r="11747" s="76" customFormat="1" spans="1:6">
      <c r="A11747">
        <v>12054</v>
      </c>
      <c r="B11747">
        <v>612017270</v>
      </c>
      <c r="C11747" s="76">
        <v>2017</v>
      </c>
      <c r="D11747" s="76" t="s">
        <v>31</v>
      </c>
      <c r="E11747" s="76" t="s">
        <v>32</v>
      </c>
      <c r="F11747" s="76">
        <v>0.86</v>
      </c>
    </row>
    <row r="11748" s="76" customFormat="1" spans="1:6">
      <c r="A11748">
        <v>12088</v>
      </c>
      <c r="B11748">
        <v>612017270</v>
      </c>
      <c r="C11748" s="76">
        <v>2017</v>
      </c>
      <c r="D11748" s="76" t="s">
        <v>31</v>
      </c>
      <c r="E11748" s="76" t="s">
        <v>32</v>
      </c>
      <c r="F11748" s="76">
        <v>0.98</v>
      </c>
    </row>
    <row r="11749" s="76" customFormat="1" spans="1:6">
      <c r="A11749">
        <v>12083</v>
      </c>
      <c r="B11749">
        <v>612017270</v>
      </c>
      <c r="C11749" s="76">
        <v>2017</v>
      </c>
      <c r="D11749" s="76" t="s">
        <v>31</v>
      </c>
      <c r="E11749" s="76" t="s">
        <v>32</v>
      </c>
      <c r="F11749" s="76">
        <v>1.98</v>
      </c>
    </row>
    <row r="11750" s="76" customFormat="1" spans="1:6">
      <c r="A11750">
        <v>12082</v>
      </c>
      <c r="B11750">
        <v>612017270</v>
      </c>
      <c r="C11750" s="76">
        <v>2017</v>
      </c>
      <c r="D11750" s="76" t="s">
        <v>31</v>
      </c>
      <c r="E11750" s="76" t="s">
        <v>32</v>
      </c>
      <c r="F11750" s="76">
        <v>1.1</v>
      </c>
    </row>
    <row r="11751" s="76" customFormat="1" spans="1:6">
      <c r="A11751">
        <v>12073</v>
      </c>
      <c r="B11751">
        <v>612017270</v>
      </c>
      <c r="C11751" s="76">
        <v>2017</v>
      </c>
      <c r="D11751" s="76" t="s">
        <v>31</v>
      </c>
      <c r="E11751" s="76" t="s">
        <v>32</v>
      </c>
      <c r="F11751" s="76">
        <v>3</v>
      </c>
    </row>
    <row r="11752" s="76" customFormat="1" spans="1:6">
      <c r="A11752">
        <v>12085</v>
      </c>
      <c r="B11752">
        <v>612017270</v>
      </c>
      <c r="C11752" s="76">
        <v>2017</v>
      </c>
      <c r="D11752" s="76" t="s">
        <v>31</v>
      </c>
      <c r="E11752" s="76" t="s">
        <v>32</v>
      </c>
      <c r="F11752" s="76">
        <v>1</v>
      </c>
    </row>
    <row r="11753" s="76" customFormat="1" spans="1:6">
      <c r="A11753">
        <v>12060</v>
      </c>
      <c r="B11753">
        <v>612017270</v>
      </c>
      <c r="C11753" s="76">
        <v>2017</v>
      </c>
      <c r="D11753" s="76" t="s">
        <v>31</v>
      </c>
      <c r="E11753" s="76" t="s">
        <v>32</v>
      </c>
      <c r="F11753" s="76">
        <v>5</v>
      </c>
    </row>
    <row r="11754" s="76" customFormat="1" spans="1:6">
      <c r="A11754">
        <v>12065</v>
      </c>
      <c r="B11754">
        <v>612017270</v>
      </c>
      <c r="C11754" s="76">
        <v>2017</v>
      </c>
      <c r="D11754" s="76" t="s">
        <v>31</v>
      </c>
      <c r="E11754" s="76" t="s">
        <v>32</v>
      </c>
      <c r="F11754" s="76">
        <v>2</v>
      </c>
    </row>
    <row r="11755" s="76" customFormat="1" spans="1:6">
      <c r="A11755">
        <v>12059</v>
      </c>
      <c r="B11755">
        <v>612017270</v>
      </c>
      <c r="C11755" s="76">
        <v>2017</v>
      </c>
      <c r="D11755" s="76" t="s">
        <v>31</v>
      </c>
      <c r="E11755" s="76" t="s">
        <v>32</v>
      </c>
      <c r="F11755" s="76">
        <v>5</v>
      </c>
    </row>
    <row r="11756" s="76" customFormat="1" spans="1:6">
      <c r="A11756">
        <v>12067</v>
      </c>
      <c r="B11756">
        <v>612017270</v>
      </c>
      <c r="C11756" s="76">
        <v>2017</v>
      </c>
      <c r="D11756" s="76" t="s">
        <v>31</v>
      </c>
      <c r="E11756" s="76" t="s">
        <v>32</v>
      </c>
      <c r="F11756" s="76">
        <v>5</v>
      </c>
    </row>
    <row r="11757" s="76" customFormat="1" spans="1:6">
      <c r="A11757">
        <v>12066</v>
      </c>
      <c r="B11757">
        <v>612017270</v>
      </c>
      <c r="C11757" s="76">
        <v>2017</v>
      </c>
      <c r="D11757" s="76" t="s">
        <v>31</v>
      </c>
      <c r="E11757" s="76" t="s">
        <v>32</v>
      </c>
      <c r="F11757" s="76">
        <v>5</v>
      </c>
    </row>
    <row r="11758" s="76" customFormat="1" spans="1:6">
      <c r="A11758">
        <v>12048</v>
      </c>
      <c r="B11758">
        <v>612017270</v>
      </c>
      <c r="C11758" s="76">
        <v>2017</v>
      </c>
      <c r="D11758" s="76" t="s">
        <v>31</v>
      </c>
      <c r="E11758" s="76" t="s">
        <v>32</v>
      </c>
      <c r="F11758" s="76">
        <v>2</v>
      </c>
    </row>
    <row r="11759" s="76" customFormat="1" spans="1:6">
      <c r="A11759">
        <v>12049</v>
      </c>
      <c r="B11759">
        <v>612017270</v>
      </c>
      <c r="C11759" s="76">
        <v>2017</v>
      </c>
      <c r="D11759" s="76" t="s">
        <v>31</v>
      </c>
      <c r="E11759" s="76" t="s">
        <v>32</v>
      </c>
      <c r="F11759" s="76">
        <v>2</v>
      </c>
    </row>
    <row r="11760" s="76" customFormat="1" spans="1:6">
      <c r="A11760">
        <v>12057</v>
      </c>
      <c r="B11760">
        <v>612017270</v>
      </c>
      <c r="C11760" s="76">
        <v>2017</v>
      </c>
      <c r="D11760" s="76" t="s">
        <v>31</v>
      </c>
      <c r="E11760" s="76" t="s">
        <v>32</v>
      </c>
      <c r="F11760" s="76">
        <v>10</v>
      </c>
    </row>
    <row r="11761" s="76" customFormat="1" spans="1:6">
      <c r="A11761">
        <v>12074</v>
      </c>
      <c r="B11761">
        <v>612017270</v>
      </c>
      <c r="C11761" s="76">
        <v>2017</v>
      </c>
      <c r="D11761" s="76" t="s">
        <v>31</v>
      </c>
      <c r="E11761" s="76" t="s">
        <v>32</v>
      </c>
      <c r="F11761" s="76">
        <v>3</v>
      </c>
    </row>
    <row r="11762" s="76" customFormat="1" spans="1:6">
      <c r="A11762">
        <v>12072</v>
      </c>
      <c r="B11762">
        <v>612017270</v>
      </c>
      <c r="C11762" s="76">
        <v>2017</v>
      </c>
      <c r="D11762" s="76" t="s">
        <v>31</v>
      </c>
      <c r="E11762" s="76" t="s">
        <v>32</v>
      </c>
      <c r="F11762" s="76">
        <v>7</v>
      </c>
    </row>
    <row r="11763" s="76" customFormat="1" spans="1:6">
      <c r="A11763">
        <v>12070</v>
      </c>
      <c r="B11763">
        <v>612017270</v>
      </c>
      <c r="C11763" s="76">
        <v>2017</v>
      </c>
      <c r="D11763" s="76" t="s">
        <v>31</v>
      </c>
      <c r="E11763" s="76" t="s">
        <v>32</v>
      </c>
      <c r="F11763" s="76">
        <v>2</v>
      </c>
    </row>
    <row r="11764" s="76" customFormat="1" spans="1:6">
      <c r="A11764">
        <v>12062</v>
      </c>
      <c r="B11764">
        <v>612017270</v>
      </c>
      <c r="C11764" s="76">
        <v>2017</v>
      </c>
      <c r="D11764" s="76" t="s">
        <v>31</v>
      </c>
      <c r="E11764" s="76" t="s">
        <v>32</v>
      </c>
      <c r="F11764" s="76">
        <v>2</v>
      </c>
    </row>
    <row r="11765" s="76" customFormat="1" spans="1:6">
      <c r="A11765">
        <v>12095</v>
      </c>
      <c r="B11765">
        <v>612018110</v>
      </c>
      <c r="C11765" s="76">
        <v>2018</v>
      </c>
      <c r="D11765" s="76" t="s">
        <v>40</v>
      </c>
      <c r="E11765" s="76" t="s">
        <v>32</v>
      </c>
      <c r="F11765" s="76">
        <v>0.5</v>
      </c>
    </row>
    <row r="11766" s="76" customFormat="1" spans="1:6">
      <c r="A11766">
        <v>12096</v>
      </c>
      <c r="B11766">
        <v>612018110</v>
      </c>
      <c r="C11766" s="76">
        <v>2018</v>
      </c>
      <c r="D11766" s="76" t="s">
        <v>40</v>
      </c>
      <c r="E11766" s="76" t="s">
        <v>32</v>
      </c>
      <c r="F11766" s="76">
        <v>1.03</v>
      </c>
    </row>
    <row r="11767" s="76" customFormat="1" spans="1:6">
      <c r="A11767">
        <v>12102</v>
      </c>
      <c r="B11767">
        <v>612018211</v>
      </c>
      <c r="C11767" s="76">
        <v>2018</v>
      </c>
      <c r="D11767" s="76" t="s">
        <v>37</v>
      </c>
      <c r="E11767" s="76">
        <v>1</v>
      </c>
      <c r="F11767" s="76">
        <v>100</v>
      </c>
    </row>
    <row r="11768" s="76" customFormat="1" spans="1:6">
      <c r="A11768">
        <v>12097</v>
      </c>
      <c r="B11768">
        <v>612018211</v>
      </c>
      <c r="C11768" s="76">
        <v>2018</v>
      </c>
      <c r="D11768" s="76" t="s">
        <v>37</v>
      </c>
      <c r="E11768" s="76">
        <v>1</v>
      </c>
      <c r="F11768" s="76">
        <v>35</v>
      </c>
    </row>
    <row r="11769" s="76" customFormat="1" spans="1:6">
      <c r="A11769">
        <v>12100</v>
      </c>
      <c r="B11769">
        <v>612018211</v>
      </c>
      <c r="C11769" s="76">
        <v>2018</v>
      </c>
      <c r="D11769" s="76" t="s">
        <v>37</v>
      </c>
      <c r="E11769" s="76" t="s">
        <v>32</v>
      </c>
      <c r="F11769" s="76">
        <v>3</v>
      </c>
    </row>
    <row r="11770" s="76" customFormat="1" spans="1:6">
      <c r="A11770">
        <v>12098</v>
      </c>
      <c r="B11770">
        <v>612018211</v>
      </c>
      <c r="C11770" s="76">
        <v>2018</v>
      </c>
      <c r="D11770" s="76" t="s">
        <v>37</v>
      </c>
      <c r="E11770" s="76">
        <v>2</v>
      </c>
      <c r="F11770" s="76">
        <v>70</v>
      </c>
    </row>
    <row r="11771" s="76" customFormat="1" spans="1:6">
      <c r="A11771">
        <v>12101</v>
      </c>
      <c r="B11771">
        <v>612018211</v>
      </c>
      <c r="C11771" s="76">
        <v>2018</v>
      </c>
      <c r="D11771" s="76" t="s">
        <v>37</v>
      </c>
      <c r="E11771" s="76">
        <v>1</v>
      </c>
      <c r="F11771" s="76">
        <v>66</v>
      </c>
    </row>
    <row r="11772" s="76" customFormat="1" spans="1:6">
      <c r="A11772">
        <v>12099</v>
      </c>
      <c r="B11772">
        <v>612018211</v>
      </c>
      <c r="C11772" s="76">
        <v>2018</v>
      </c>
      <c r="D11772" s="76" t="s">
        <v>37</v>
      </c>
      <c r="E11772" s="76" t="s">
        <v>32</v>
      </c>
      <c r="F11772" s="76">
        <v>0.9</v>
      </c>
    </row>
    <row r="11773" s="76" customFormat="1" spans="1:6">
      <c r="A11773">
        <v>12103</v>
      </c>
      <c r="B11773">
        <v>612018211</v>
      </c>
      <c r="C11773" s="76">
        <v>2018</v>
      </c>
      <c r="D11773" s="76" t="s">
        <v>37</v>
      </c>
      <c r="E11773" s="76">
        <v>1</v>
      </c>
      <c r="F11773" s="76">
        <v>100</v>
      </c>
    </row>
    <row r="11774" s="76" customFormat="1" spans="1:6">
      <c r="A11774">
        <v>12104</v>
      </c>
      <c r="B11774">
        <v>612018241</v>
      </c>
      <c r="C11774" s="76">
        <v>2018</v>
      </c>
      <c r="D11774" s="76" t="s">
        <v>33</v>
      </c>
      <c r="E11774" s="76" t="s">
        <v>32</v>
      </c>
      <c r="F11774" s="76">
        <v>1.19</v>
      </c>
    </row>
    <row r="11775" s="76" customFormat="1" spans="1:6">
      <c r="A11775">
        <v>12107</v>
      </c>
      <c r="B11775">
        <v>612018241</v>
      </c>
      <c r="C11775" s="76">
        <v>2018</v>
      </c>
      <c r="D11775" s="76" t="s">
        <v>33</v>
      </c>
      <c r="E11775" s="76" t="s">
        <v>32</v>
      </c>
      <c r="F11775" s="76">
        <v>4</v>
      </c>
    </row>
    <row r="11776" s="76" customFormat="1" spans="1:6">
      <c r="A11776">
        <v>12105</v>
      </c>
      <c r="B11776">
        <v>612018241</v>
      </c>
      <c r="C11776" s="76">
        <v>2018</v>
      </c>
      <c r="D11776" s="76" t="s">
        <v>33</v>
      </c>
      <c r="E11776" s="76" t="s">
        <v>32</v>
      </c>
      <c r="F11776" s="76">
        <v>6.5</v>
      </c>
    </row>
    <row r="11777" s="76" customFormat="1" spans="1:6">
      <c r="A11777">
        <v>12118</v>
      </c>
      <c r="B11777">
        <v>612018260</v>
      </c>
      <c r="C11777" s="76">
        <v>2018</v>
      </c>
      <c r="D11777" s="76" t="s">
        <v>34</v>
      </c>
      <c r="E11777" s="76">
        <v>22</v>
      </c>
      <c r="F11777" s="76">
        <v>4.4</v>
      </c>
    </row>
    <row r="11778" s="76" customFormat="1" spans="1:6">
      <c r="A11778">
        <v>12109</v>
      </c>
      <c r="B11778">
        <v>612018260</v>
      </c>
      <c r="C11778" s="76">
        <v>2018</v>
      </c>
      <c r="D11778" s="76" t="s">
        <v>34</v>
      </c>
      <c r="E11778" s="76">
        <v>5</v>
      </c>
      <c r="F11778" s="76">
        <v>1</v>
      </c>
    </row>
    <row r="11779" s="76" customFormat="1" spans="1:6">
      <c r="A11779">
        <v>12112</v>
      </c>
      <c r="B11779">
        <v>612018260</v>
      </c>
      <c r="C11779" s="76">
        <v>2018</v>
      </c>
      <c r="D11779" s="76" t="s">
        <v>34</v>
      </c>
      <c r="E11779" s="76">
        <v>20</v>
      </c>
      <c r="F11779" s="76">
        <v>5</v>
      </c>
    </row>
    <row r="11780" s="76" customFormat="1" spans="1:6">
      <c r="A11780">
        <v>12116</v>
      </c>
      <c r="B11780">
        <v>612018260</v>
      </c>
      <c r="C11780" s="76">
        <v>2018</v>
      </c>
      <c r="D11780" s="76" t="s">
        <v>34</v>
      </c>
      <c r="E11780" s="76">
        <v>22</v>
      </c>
      <c r="F11780" s="76">
        <v>4.04</v>
      </c>
    </row>
    <row r="11781" s="76" customFormat="1" spans="1:6">
      <c r="A11781">
        <v>12113</v>
      </c>
      <c r="B11781">
        <v>612018260</v>
      </c>
      <c r="C11781" s="76">
        <v>2018</v>
      </c>
      <c r="D11781" s="76" t="s">
        <v>34</v>
      </c>
      <c r="E11781" s="76">
        <v>23</v>
      </c>
      <c r="F11781" s="76">
        <v>5.06</v>
      </c>
    </row>
    <row r="11782" s="76" customFormat="1" spans="1:6">
      <c r="A11782">
        <v>12108</v>
      </c>
      <c r="B11782">
        <v>612018260</v>
      </c>
      <c r="C11782" s="76">
        <v>2018</v>
      </c>
      <c r="D11782" s="76" t="s">
        <v>34</v>
      </c>
      <c r="E11782" s="76">
        <v>13</v>
      </c>
      <c r="F11782" s="76">
        <v>2.6</v>
      </c>
    </row>
    <row r="11783" s="76" customFormat="1" spans="1:6">
      <c r="A11783">
        <v>12119</v>
      </c>
      <c r="B11783">
        <v>612018260</v>
      </c>
      <c r="C11783" s="76">
        <v>2018</v>
      </c>
      <c r="D11783" s="76" t="s">
        <v>34</v>
      </c>
      <c r="E11783" s="76">
        <v>25</v>
      </c>
      <c r="F11783" s="76">
        <v>5</v>
      </c>
    </row>
    <row r="11784" s="76" customFormat="1" spans="1:6">
      <c r="A11784">
        <v>12120</v>
      </c>
      <c r="B11784">
        <v>612018260</v>
      </c>
      <c r="C11784" s="76">
        <v>2018</v>
      </c>
      <c r="D11784" s="76" t="s">
        <v>34</v>
      </c>
      <c r="E11784" s="76" t="s">
        <v>32</v>
      </c>
      <c r="F11784" s="76">
        <v>5.65</v>
      </c>
    </row>
    <row r="11785" s="76" customFormat="1" spans="1:6">
      <c r="A11785">
        <v>12121</v>
      </c>
      <c r="B11785">
        <v>612018260</v>
      </c>
      <c r="C11785" s="76">
        <v>2018</v>
      </c>
      <c r="D11785" s="76" t="s">
        <v>34</v>
      </c>
      <c r="E11785" s="76" t="s">
        <v>32</v>
      </c>
      <c r="F11785" s="76">
        <v>10</v>
      </c>
    </row>
    <row r="11786" s="76" customFormat="1" spans="1:6">
      <c r="A11786">
        <v>12110</v>
      </c>
      <c r="B11786">
        <v>612018260</v>
      </c>
      <c r="C11786" s="76">
        <v>2018</v>
      </c>
      <c r="D11786" s="76" t="s">
        <v>34</v>
      </c>
      <c r="E11786" s="76">
        <v>14</v>
      </c>
      <c r="F11786" s="76">
        <v>2.6</v>
      </c>
    </row>
    <row r="11787" s="76" customFormat="1" spans="1:6">
      <c r="A11787">
        <v>12111</v>
      </c>
      <c r="B11787">
        <v>612018260</v>
      </c>
      <c r="C11787" s="76">
        <v>2018</v>
      </c>
      <c r="D11787" s="76" t="s">
        <v>34</v>
      </c>
      <c r="E11787" s="76">
        <v>4</v>
      </c>
      <c r="F11787" s="76">
        <v>0.8</v>
      </c>
    </row>
    <row r="11788" s="76" customFormat="1" spans="1:6">
      <c r="A11788">
        <v>12114</v>
      </c>
      <c r="B11788">
        <v>612018260</v>
      </c>
      <c r="C11788" s="76">
        <v>2018</v>
      </c>
      <c r="D11788" s="76" t="s">
        <v>34</v>
      </c>
      <c r="E11788" s="76">
        <v>14</v>
      </c>
      <c r="F11788" s="76">
        <v>3.01</v>
      </c>
    </row>
    <row r="11789" s="76" customFormat="1" spans="1:6">
      <c r="A11789">
        <v>12115</v>
      </c>
      <c r="B11789">
        <v>612018260</v>
      </c>
      <c r="C11789" s="76">
        <v>2018</v>
      </c>
      <c r="D11789" s="76" t="s">
        <v>34</v>
      </c>
      <c r="E11789" s="76">
        <v>25</v>
      </c>
      <c r="F11789" s="76">
        <v>5.06</v>
      </c>
    </row>
    <row r="11790" s="76" customFormat="1" spans="1:6">
      <c r="A11790">
        <v>12117</v>
      </c>
      <c r="B11790">
        <v>612018260</v>
      </c>
      <c r="C11790" s="76">
        <v>2018</v>
      </c>
      <c r="D11790" s="76" t="s">
        <v>34</v>
      </c>
      <c r="E11790" s="76">
        <v>24</v>
      </c>
      <c r="F11790" s="76">
        <v>4.8</v>
      </c>
    </row>
    <row r="11791" s="76" customFormat="1" spans="1:6">
      <c r="A11791">
        <v>12128</v>
      </c>
      <c r="B11791">
        <v>612018270</v>
      </c>
      <c r="C11791" s="76">
        <v>2018</v>
      </c>
      <c r="D11791" s="76" t="s">
        <v>31</v>
      </c>
      <c r="E11791" s="76" t="s">
        <v>32</v>
      </c>
      <c r="F11791" s="76">
        <v>5</v>
      </c>
    </row>
    <row r="11792" s="76" customFormat="1" spans="1:6">
      <c r="A11792">
        <v>12129</v>
      </c>
      <c r="B11792">
        <v>612018270</v>
      </c>
      <c r="C11792" s="76">
        <v>2018</v>
      </c>
      <c r="D11792" s="76" t="s">
        <v>31</v>
      </c>
      <c r="E11792" s="76" t="s">
        <v>32</v>
      </c>
      <c r="F11792" s="76">
        <v>5</v>
      </c>
    </row>
    <row r="11793" s="76" customFormat="1" spans="1:6">
      <c r="A11793">
        <v>12139</v>
      </c>
      <c r="B11793">
        <v>612018270</v>
      </c>
      <c r="C11793" s="76">
        <v>2018</v>
      </c>
      <c r="D11793" s="76" t="s">
        <v>31</v>
      </c>
      <c r="E11793" s="76" t="s">
        <v>32</v>
      </c>
      <c r="F11793" s="76">
        <v>4.95</v>
      </c>
    </row>
    <row r="11794" s="76" customFormat="1" spans="1:6">
      <c r="A11794">
        <v>12123</v>
      </c>
      <c r="B11794">
        <v>612018270</v>
      </c>
      <c r="C11794" s="76">
        <v>2018</v>
      </c>
      <c r="D11794" s="76" t="s">
        <v>31</v>
      </c>
      <c r="E11794" s="76" t="s">
        <v>32</v>
      </c>
      <c r="F11794" s="76">
        <v>0.49</v>
      </c>
    </row>
    <row r="11795" s="76" customFormat="1" spans="1:6">
      <c r="A11795">
        <v>12131</v>
      </c>
      <c r="B11795">
        <v>612018270</v>
      </c>
      <c r="C11795" s="76">
        <v>2018</v>
      </c>
      <c r="D11795" s="76" t="s">
        <v>31</v>
      </c>
      <c r="E11795" s="76" t="s">
        <v>32</v>
      </c>
      <c r="F11795" s="76">
        <v>9</v>
      </c>
    </row>
    <row r="11796" s="76" customFormat="1" spans="1:6">
      <c r="A11796">
        <v>12127</v>
      </c>
      <c r="B11796">
        <v>612018270</v>
      </c>
      <c r="C11796" s="76">
        <v>2018</v>
      </c>
      <c r="D11796" s="76" t="s">
        <v>31</v>
      </c>
      <c r="E11796" s="76" t="s">
        <v>32</v>
      </c>
      <c r="F11796" s="76">
        <v>0.02</v>
      </c>
    </row>
    <row r="11797" s="76" customFormat="1" spans="1:6">
      <c r="A11797">
        <v>12143</v>
      </c>
      <c r="B11797">
        <v>612018270</v>
      </c>
      <c r="C11797" s="76">
        <v>2018</v>
      </c>
      <c r="D11797" s="76" t="s">
        <v>31</v>
      </c>
      <c r="E11797" s="76" t="s">
        <v>32</v>
      </c>
      <c r="F11797" s="76">
        <v>1.42</v>
      </c>
    </row>
    <row r="11798" s="76" customFormat="1" spans="1:6">
      <c r="A11798">
        <v>12137</v>
      </c>
      <c r="B11798">
        <v>612018270</v>
      </c>
      <c r="C11798" s="76">
        <v>2018</v>
      </c>
      <c r="D11798" s="76" t="s">
        <v>31</v>
      </c>
      <c r="E11798" s="76" t="s">
        <v>32</v>
      </c>
      <c r="F11798" s="76">
        <v>2</v>
      </c>
    </row>
    <row r="11799" s="76" customFormat="1" spans="1:6">
      <c r="A11799">
        <v>12136</v>
      </c>
      <c r="B11799">
        <v>612018270</v>
      </c>
      <c r="C11799" s="76">
        <v>2018</v>
      </c>
      <c r="D11799" s="76" t="s">
        <v>31</v>
      </c>
      <c r="E11799" s="76" t="s">
        <v>32</v>
      </c>
      <c r="F11799" s="76">
        <v>3</v>
      </c>
    </row>
    <row r="11800" s="76" customFormat="1" spans="1:6">
      <c r="A11800">
        <v>12122</v>
      </c>
      <c r="B11800">
        <v>612018270</v>
      </c>
      <c r="C11800" s="76">
        <v>2018</v>
      </c>
      <c r="D11800" s="76" t="s">
        <v>31</v>
      </c>
      <c r="E11800" s="76" t="s">
        <v>32</v>
      </c>
      <c r="F11800" s="76">
        <v>2</v>
      </c>
    </row>
    <row r="11801" s="76" customFormat="1" spans="1:6">
      <c r="A11801">
        <v>12151</v>
      </c>
      <c r="B11801">
        <v>612018270</v>
      </c>
      <c r="C11801" s="76">
        <v>2018</v>
      </c>
      <c r="D11801" s="76" t="s">
        <v>31</v>
      </c>
      <c r="E11801" s="76" t="s">
        <v>32</v>
      </c>
      <c r="F11801" s="76">
        <v>5</v>
      </c>
    </row>
    <row r="11802" s="76" customFormat="1" spans="1:6">
      <c r="A11802">
        <v>12135</v>
      </c>
      <c r="B11802">
        <v>612018270</v>
      </c>
      <c r="C11802" s="76">
        <v>2018</v>
      </c>
      <c r="D11802" s="76" t="s">
        <v>31</v>
      </c>
      <c r="E11802" s="76" t="s">
        <v>32</v>
      </c>
      <c r="F11802" s="76">
        <v>5</v>
      </c>
    </row>
    <row r="11803" s="76" customFormat="1" spans="1:6">
      <c r="A11803">
        <v>12125</v>
      </c>
      <c r="B11803">
        <v>612018270</v>
      </c>
      <c r="C11803" s="76">
        <v>2018</v>
      </c>
      <c r="D11803" s="76" t="s">
        <v>31</v>
      </c>
      <c r="E11803" s="76" t="s">
        <v>32</v>
      </c>
      <c r="F11803" s="76">
        <v>1</v>
      </c>
    </row>
    <row r="11804" s="76" customFormat="1" spans="1:6">
      <c r="A11804">
        <v>12150</v>
      </c>
      <c r="B11804">
        <v>612018270</v>
      </c>
      <c r="C11804" s="76">
        <v>2018</v>
      </c>
      <c r="D11804" s="76" t="s">
        <v>31</v>
      </c>
      <c r="E11804" s="76" t="s">
        <v>32</v>
      </c>
      <c r="F11804" s="76">
        <v>3</v>
      </c>
    </row>
    <row r="11805" s="76" customFormat="1" spans="1:6">
      <c r="A11805">
        <v>12149</v>
      </c>
      <c r="B11805">
        <v>612018270</v>
      </c>
      <c r="C11805" s="76">
        <v>2018</v>
      </c>
      <c r="D11805" s="76" t="s">
        <v>31</v>
      </c>
      <c r="E11805" s="76" t="s">
        <v>32</v>
      </c>
      <c r="F11805" s="76">
        <v>3</v>
      </c>
    </row>
    <row r="11806" s="76" customFormat="1" spans="1:6">
      <c r="A11806">
        <v>12132</v>
      </c>
      <c r="B11806">
        <v>612018270</v>
      </c>
      <c r="C11806" s="76">
        <v>2018</v>
      </c>
      <c r="D11806" s="76" t="s">
        <v>31</v>
      </c>
      <c r="E11806" s="76" t="s">
        <v>32</v>
      </c>
      <c r="F11806" s="76">
        <v>4.41</v>
      </c>
    </row>
    <row r="11807" s="76" customFormat="1" spans="1:6">
      <c r="A11807">
        <v>12141</v>
      </c>
      <c r="B11807">
        <v>612018270</v>
      </c>
      <c r="C11807" s="76">
        <v>2018</v>
      </c>
      <c r="D11807" s="76" t="s">
        <v>31</v>
      </c>
      <c r="E11807" s="76" t="s">
        <v>32</v>
      </c>
      <c r="F11807" s="76">
        <v>3</v>
      </c>
    </row>
    <row r="11808" s="76" customFormat="1" spans="1:6">
      <c r="A11808">
        <v>12142</v>
      </c>
      <c r="B11808">
        <v>612018270</v>
      </c>
      <c r="C11808" s="76">
        <v>2018</v>
      </c>
      <c r="D11808" s="76" t="s">
        <v>31</v>
      </c>
      <c r="E11808" s="76" t="s">
        <v>32</v>
      </c>
      <c r="F11808" s="76">
        <v>0.6</v>
      </c>
    </row>
    <row r="11809" s="76" customFormat="1" spans="1:6">
      <c r="A11809">
        <v>12147</v>
      </c>
      <c r="B11809">
        <v>612018270</v>
      </c>
      <c r="C11809" s="76">
        <v>2018</v>
      </c>
      <c r="D11809" s="76" t="s">
        <v>31</v>
      </c>
      <c r="E11809" s="76" t="s">
        <v>32</v>
      </c>
      <c r="F11809" s="76">
        <v>10</v>
      </c>
    </row>
    <row r="11810" s="76" customFormat="1" spans="1:6">
      <c r="A11810">
        <v>12148</v>
      </c>
      <c r="B11810">
        <v>612018270</v>
      </c>
      <c r="C11810" s="76">
        <v>2018</v>
      </c>
      <c r="D11810" s="76" t="s">
        <v>31</v>
      </c>
      <c r="E11810" s="76" t="s">
        <v>32</v>
      </c>
      <c r="F11810" s="76">
        <v>10</v>
      </c>
    </row>
    <row r="11811" s="76" customFormat="1" spans="1:6">
      <c r="A11811">
        <v>12146</v>
      </c>
      <c r="B11811">
        <v>612018270</v>
      </c>
      <c r="C11811" s="76">
        <v>2018</v>
      </c>
      <c r="D11811" s="76" t="s">
        <v>31</v>
      </c>
      <c r="E11811" s="76" t="s">
        <v>32</v>
      </c>
      <c r="F11811" s="76">
        <v>10</v>
      </c>
    </row>
    <row r="11812" s="76" customFormat="1" spans="1:6">
      <c r="A11812">
        <v>12144</v>
      </c>
      <c r="B11812">
        <v>612018270</v>
      </c>
      <c r="C11812" s="76">
        <v>2018</v>
      </c>
      <c r="D11812" s="76" t="s">
        <v>31</v>
      </c>
      <c r="E11812" s="76" t="s">
        <v>32</v>
      </c>
      <c r="F11812" s="76">
        <v>10</v>
      </c>
    </row>
    <row r="11813" s="76" customFormat="1" spans="1:6">
      <c r="A11813">
        <v>12145</v>
      </c>
      <c r="B11813">
        <v>612018270</v>
      </c>
      <c r="C11813" s="76">
        <v>2018</v>
      </c>
      <c r="D11813" s="76" t="s">
        <v>31</v>
      </c>
      <c r="E11813" s="76" t="s">
        <v>32</v>
      </c>
      <c r="F11813" s="76">
        <v>10</v>
      </c>
    </row>
    <row r="11814" s="76" customFormat="1" spans="1:6">
      <c r="A11814">
        <v>12124</v>
      </c>
      <c r="B11814">
        <v>612018270</v>
      </c>
      <c r="C11814" s="76">
        <v>2018</v>
      </c>
      <c r="D11814" s="76" t="s">
        <v>31</v>
      </c>
      <c r="E11814" s="76" t="s">
        <v>32</v>
      </c>
      <c r="F11814" s="76">
        <v>2</v>
      </c>
    </row>
    <row r="11815" s="76" customFormat="1" spans="1:6">
      <c r="A11815">
        <v>12134</v>
      </c>
      <c r="B11815">
        <v>612018270</v>
      </c>
      <c r="C11815" s="76">
        <v>2018</v>
      </c>
      <c r="D11815" s="76" t="s">
        <v>31</v>
      </c>
      <c r="E11815" s="76" t="s">
        <v>32</v>
      </c>
      <c r="F11815" s="76">
        <v>2</v>
      </c>
    </row>
    <row r="11816" s="76" customFormat="1" spans="1:6">
      <c r="A11816">
        <v>12133</v>
      </c>
      <c r="B11816">
        <v>612018270</v>
      </c>
      <c r="C11816" s="76">
        <v>2018</v>
      </c>
      <c r="D11816" s="76" t="s">
        <v>31</v>
      </c>
      <c r="E11816" s="76" t="s">
        <v>32</v>
      </c>
      <c r="F11816" s="76">
        <v>2.03</v>
      </c>
    </row>
    <row r="11817" s="76" customFormat="1" spans="1:6">
      <c r="A11817">
        <v>12126</v>
      </c>
      <c r="B11817">
        <v>612018270</v>
      </c>
      <c r="C11817" s="76">
        <v>2018</v>
      </c>
      <c r="D11817" s="76" t="s">
        <v>31</v>
      </c>
      <c r="E11817" s="76" t="s">
        <v>32</v>
      </c>
      <c r="F11817" s="76">
        <v>0.99</v>
      </c>
    </row>
    <row r="11818" s="76" customFormat="1" spans="1:6">
      <c r="A11818">
        <v>12140</v>
      </c>
      <c r="B11818">
        <v>612018270</v>
      </c>
      <c r="C11818" s="76">
        <v>2018</v>
      </c>
      <c r="D11818" s="76" t="s">
        <v>31</v>
      </c>
      <c r="E11818" s="76" t="s">
        <v>32</v>
      </c>
      <c r="F11818" s="76">
        <v>2</v>
      </c>
    </row>
    <row r="11819" s="76" customFormat="1" spans="1:6">
      <c r="A11819">
        <v>12138</v>
      </c>
      <c r="B11819">
        <v>612018270</v>
      </c>
      <c r="C11819" s="76">
        <v>2018</v>
      </c>
      <c r="D11819" s="76" t="s">
        <v>31</v>
      </c>
      <c r="E11819" s="76" t="s">
        <v>32</v>
      </c>
      <c r="F11819" s="76">
        <v>5</v>
      </c>
    </row>
    <row r="11820" s="76" customFormat="1" spans="1:6">
      <c r="A11820">
        <v>12154</v>
      </c>
      <c r="B11820">
        <v>612019110</v>
      </c>
      <c r="C11820" s="76">
        <v>2019</v>
      </c>
      <c r="D11820" s="76" t="s">
        <v>40</v>
      </c>
      <c r="E11820" s="76" t="s">
        <v>32</v>
      </c>
      <c r="F11820" s="76">
        <v>2.56</v>
      </c>
    </row>
    <row r="11821" s="76" customFormat="1" spans="1:6">
      <c r="A11821">
        <v>12155</v>
      </c>
      <c r="B11821">
        <v>612019110</v>
      </c>
      <c r="C11821" s="76">
        <v>2019</v>
      </c>
      <c r="D11821" s="76" t="s">
        <v>40</v>
      </c>
      <c r="E11821" s="76" t="s">
        <v>32</v>
      </c>
      <c r="F11821" s="76">
        <v>3.31</v>
      </c>
    </row>
    <row r="11822" s="76" customFormat="1" spans="1:6">
      <c r="A11822">
        <v>12153</v>
      </c>
      <c r="B11822">
        <v>612019110</v>
      </c>
      <c r="C11822" s="76">
        <v>2019</v>
      </c>
      <c r="D11822" s="76" t="s">
        <v>40</v>
      </c>
      <c r="E11822" s="76" t="s">
        <v>32</v>
      </c>
      <c r="F11822" s="76">
        <v>1.2</v>
      </c>
    </row>
    <row r="11823" s="76" customFormat="1" spans="1:6">
      <c r="A11823">
        <v>12152</v>
      </c>
      <c r="B11823">
        <v>612019110</v>
      </c>
      <c r="C11823" s="76">
        <v>2019</v>
      </c>
      <c r="D11823" s="76" t="s">
        <v>40</v>
      </c>
      <c r="E11823" s="76" t="s">
        <v>32</v>
      </c>
      <c r="F11823" s="76">
        <v>1.26</v>
      </c>
    </row>
    <row r="11824" s="76" customFormat="1" spans="1:6">
      <c r="A11824">
        <v>12158</v>
      </c>
      <c r="B11824">
        <v>612019211</v>
      </c>
      <c r="C11824" s="76">
        <v>2019</v>
      </c>
      <c r="D11824" s="76" t="s">
        <v>37</v>
      </c>
      <c r="E11824" s="76">
        <v>1</v>
      </c>
      <c r="F11824" s="76">
        <v>100</v>
      </c>
    </row>
    <row r="11825" s="76" customFormat="1" spans="1:6">
      <c r="A11825">
        <v>12162</v>
      </c>
      <c r="B11825">
        <v>612019211</v>
      </c>
      <c r="C11825" s="76">
        <v>2019</v>
      </c>
      <c r="D11825" s="76" t="s">
        <v>37</v>
      </c>
      <c r="E11825" s="76" t="s">
        <v>32</v>
      </c>
      <c r="F11825" s="76">
        <v>0.9</v>
      </c>
    </row>
    <row r="11826" s="76" customFormat="1" spans="1:6">
      <c r="A11826">
        <v>12157</v>
      </c>
      <c r="B11826">
        <v>612019211</v>
      </c>
      <c r="C11826" s="76">
        <v>2019</v>
      </c>
      <c r="D11826" s="76" t="s">
        <v>37</v>
      </c>
      <c r="E11826" s="76">
        <v>2</v>
      </c>
      <c r="F11826" s="76">
        <v>200</v>
      </c>
    </row>
    <row r="11827" s="76" customFormat="1" spans="1:6">
      <c r="A11827">
        <v>12160</v>
      </c>
      <c r="B11827">
        <v>612019211</v>
      </c>
      <c r="C11827" s="76">
        <v>2019</v>
      </c>
      <c r="D11827" s="76" t="s">
        <v>37</v>
      </c>
      <c r="E11827" s="76" t="s">
        <v>32</v>
      </c>
      <c r="F11827" s="76">
        <v>6</v>
      </c>
    </row>
    <row r="11828" s="76" customFormat="1" spans="1:6">
      <c r="A11828">
        <v>12161</v>
      </c>
      <c r="B11828">
        <v>612019211</v>
      </c>
      <c r="C11828" s="76">
        <v>2019</v>
      </c>
      <c r="D11828" s="76" t="s">
        <v>37</v>
      </c>
      <c r="E11828" s="76" t="s">
        <v>32</v>
      </c>
      <c r="F11828" s="76">
        <v>10</v>
      </c>
    </row>
    <row r="11829" s="76" customFormat="1" spans="1:6">
      <c r="A11829">
        <v>12159</v>
      </c>
      <c r="B11829">
        <v>612019211</v>
      </c>
      <c r="C11829" s="76">
        <v>2019</v>
      </c>
      <c r="D11829" s="76" t="s">
        <v>37</v>
      </c>
      <c r="E11829" s="76">
        <v>1</v>
      </c>
      <c r="F11829" s="76">
        <v>100</v>
      </c>
    </row>
    <row r="11830" s="76" customFormat="1" spans="1:6">
      <c r="A11830">
        <v>12163</v>
      </c>
      <c r="B11830">
        <v>612019241</v>
      </c>
      <c r="C11830" s="76">
        <v>2019</v>
      </c>
      <c r="D11830" s="76" t="s">
        <v>33</v>
      </c>
      <c r="E11830" s="76" t="s">
        <v>32</v>
      </c>
      <c r="F11830" s="76">
        <v>3</v>
      </c>
    </row>
    <row r="11831" s="76" customFormat="1" spans="1:6">
      <c r="A11831">
        <v>12165</v>
      </c>
      <c r="B11831">
        <v>612019242</v>
      </c>
      <c r="C11831" s="76">
        <v>2019</v>
      </c>
      <c r="D11831" s="76" t="s">
        <v>35</v>
      </c>
      <c r="E11831" s="76" t="s">
        <v>32</v>
      </c>
      <c r="F11831" s="76">
        <v>6</v>
      </c>
    </row>
    <row r="11832" s="76" customFormat="1" spans="1:6">
      <c r="A11832">
        <v>12166</v>
      </c>
      <c r="B11832">
        <v>612019243</v>
      </c>
      <c r="C11832" s="76">
        <v>2019</v>
      </c>
      <c r="D11832" s="76" t="s">
        <v>38</v>
      </c>
      <c r="E11832" s="76" t="s">
        <v>32</v>
      </c>
      <c r="F11832" s="76">
        <v>4</v>
      </c>
    </row>
    <row r="11833" s="76" customFormat="1" spans="1:6">
      <c r="A11833">
        <v>12179</v>
      </c>
      <c r="B11833">
        <v>612019260</v>
      </c>
      <c r="C11833" s="76">
        <v>2019</v>
      </c>
      <c r="D11833" s="76" t="s">
        <v>34</v>
      </c>
      <c r="E11833" s="76">
        <v>10</v>
      </c>
      <c r="F11833" s="76">
        <v>2</v>
      </c>
    </row>
    <row r="11834" s="76" customFormat="1" spans="1:6">
      <c r="A11834">
        <v>12167</v>
      </c>
      <c r="B11834">
        <v>612019260</v>
      </c>
      <c r="C11834" s="76">
        <v>2019</v>
      </c>
      <c r="D11834" s="76" t="s">
        <v>34</v>
      </c>
      <c r="E11834" s="76">
        <v>11</v>
      </c>
      <c r="F11834" s="76">
        <v>2.2</v>
      </c>
    </row>
    <row r="11835" s="76" customFormat="1" spans="1:6">
      <c r="A11835">
        <v>12178</v>
      </c>
      <c r="B11835">
        <v>612019260</v>
      </c>
      <c r="C11835" s="76">
        <v>2019</v>
      </c>
      <c r="D11835" s="76" t="s">
        <v>34</v>
      </c>
      <c r="E11835" s="76">
        <v>20</v>
      </c>
      <c r="F11835" s="76">
        <v>5</v>
      </c>
    </row>
    <row r="11836" s="76" customFormat="1" spans="1:6">
      <c r="A11836">
        <v>12170</v>
      </c>
      <c r="B11836">
        <v>612019260</v>
      </c>
      <c r="C11836" s="76">
        <v>2019</v>
      </c>
      <c r="D11836" s="76" t="s">
        <v>34</v>
      </c>
      <c r="E11836" s="76">
        <v>6</v>
      </c>
      <c r="F11836" s="76">
        <v>1.76</v>
      </c>
    </row>
    <row r="11837" s="76" customFormat="1" spans="1:6">
      <c r="A11837">
        <v>12182</v>
      </c>
      <c r="B11837">
        <v>612019260</v>
      </c>
      <c r="C11837" s="76">
        <v>2019</v>
      </c>
      <c r="D11837" s="76" t="s">
        <v>34</v>
      </c>
      <c r="E11837" s="76" t="s">
        <v>32</v>
      </c>
      <c r="F11837" s="76">
        <v>0.08</v>
      </c>
    </row>
    <row r="11838" s="76" customFormat="1" spans="1:6">
      <c r="A11838">
        <v>12174</v>
      </c>
      <c r="B11838">
        <v>612019260</v>
      </c>
      <c r="C11838" s="76">
        <v>2019</v>
      </c>
      <c r="D11838" s="76" t="s">
        <v>34</v>
      </c>
      <c r="E11838" s="76">
        <v>1</v>
      </c>
      <c r="F11838" s="76">
        <v>0.2</v>
      </c>
    </row>
    <row r="11839" s="76" customFormat="1" spans="1:6">
      <c r="A11839">
        <v>12184</v>
      </c>
      <c r="B11839">
        <v>612019260</v>
      </c>
      <c r="C11839" s="76">
        <v>2019</v>
      </c>
      <c r="D11839" s="76" t="s">
        <v>34</v>
      </c>
      <c r="E11839" s="76" t="s">
        <v>32</v>
      </c>
      <c r="F11839" s="76">
        <v>5</v>
      </c>
    </row>
    <row r="11840" s="76" customFormat="1" spans="1:6">
      <c r="A11840">
        <v>12187</v>
      </c>
      <c r="B11840">
        <v>612019260</v>
      </c>
      <c r="C11840" s="76">
        <v>2019</v>
      </c>
      <c r="D11840" s="76" t="s">
        <v>34</v>
      </c>
      <c r="E11840" s="76" t="s">
        <v>32</v>
      </c>
      <c r="F11840" s="76">
        <v>4.96</v>
      </c>
    </row>
    <row r="11841" s="76" customFormat="1" spans="1:6">
      <c r="A11841">
        <v>12181</v>
      </c>
      <c r="B11841">
        <v>612019260</v>
      </c>
      <c r="C11841" s="76">
        <v>2019</v>
      </c>
      <c r="D11841" s="76" t="s">
        <v>34</v>
      </c>
      <c r="E11841" s="76" t="s">
        <v>32</v>
      </c>
      <c r="F11841" s="76">
        <v>0.05</v>
      </c>
    </row>
    <row r="11842" s="76" customFormat="1" spans="1:6">
      <c r="A11842">
        <v>12188</v>
      </c>
      <c r="B11842">
        <v>612019260</v>
      </c>
      <c r="C11842" s="76">
        <v>2019</v>
      </c>
      <c r="D11842" s="76" t="s">
        <v>34</v>
      </c>
      <c r="E11842" s="76" t="s">
        <v>32</v>
      </c>
      <c r="F11842" s="76">
        <v>3</v>
      </c>
    </row>
    <row r="11843" s="76" customFormat="1" spans="1:6">
      <c r="A11843">
        <v>12183</v>
      </c>
      <c r="B11843">
        <v>612019260</v>
      </c>
      <c r="C11843" s="76">
        <v>2019</v>
      </c>
      <c r="D11843" s="76" t="s">
        <v>34</v>
      </c>
      <c r="E11843" s="76" t="s">
        <v>32</v>
      </c>
      <c r="F11843" s="76">
        <v>0.3</v>
      </c>
    </row>
    <row r="11844" s="76" customFormat="1" spans="1:6">
      <c r="A11844">
        <v>12185</v>
      </c>
      <c r="B11844">
        <v>612019260</v>
      </c>
      <c r="C11844" s="76">
        <v>2019</v>
      </c>
      <c r="D11844" s="76" t="s">
        <v>34</v>
      </c>
      <c r="E11844" s="76" t="s">
        <v>32</v>
      </c>
      <c r="F11844" s="76">
        <v>8</v>
      </c>
    </row>
    <row r="11845" s="76" customFormat="1" spans="1:6">
      <c r="A11845">
        <v>12177</v>
      </c>
      <c r="B11845">
        <v>612019260</v>
      </c>
      <c r="C11845" s="76">
        <v>2019</v>
      </c>
      <c r="D11845" s="76" t="s">
        <v>34</v>
      </c>
      <c r="E11845" s="76" t="s">
        <v>32</v>
      </c>
      <c r="F11845" s="76">
        <v>15</v>
      </c>
    </row>
    <row r="11846" s="76" customFormat="1" spans="1:6">
      <c r="A11846">
        <v>12180</v>
      </c>
      <c r="B11846">
        <v>612019260</v>
      </c>
      <c r="C11846" s="76">
        <v>2019</v>
      </c>
      <c r="D11846" s="76" t="s">
        <v>34</v>
      </c>
      <c r="E11846" s="76" t="s">
        <v>32</v>
      </c>
      <c r="F11846" s="76">
        <v>5</v>
      </c>
    </row>
    <row r="11847" s="76" customFormat="1" spans="1:6">
      <c r="A11847">
        <v>12189</v>
      </c>
      <c r="B11847">
        <v>612019260</v>
      </c>
      <c r="C11847" s="76">
        <v>2019</v>
      </c>
      <c r="D11847" s="76" t="s">
        <v>34</v>
      </c>
      <c r="E11847" s="76" t="s">
        <v>32</v>
      </c>
      <c r="F11847" s="76">
        <v>10</v>
      </c>
    </row>
    <row r="11848" s="76" customFormat="1" spans="1:6">
      <c r="A11848">
        <v>12172</v>
      </c>
      <c r="B11848">
        <v>612019260</v>
      </c>
      <c r="C11848" s="76">
        <v>2019</v>
      </c>
      <c r="D11848" s="76" t="s">
        <v>34</v>
      </c>
      <c r="E11848" s="76" t="s">
        <v>32</v>
      </c>
      <c r="F11848" s="76">
        <v>4.95</v>
      </c>
    </row>
    <row r="11849" s="76" customFormat="1" spans="1:6">
      <c r="A11849">
        <v>12186</v>
      </c>
      <c r="B11849">
        <v>612019260</v>
      </c>
      <c r="C11849" s="76">
        <v>2019</v>
      </c>
      <c r="D11849" s="76" t="s">
        <v>34</v>
      </c>
      <c r="E11849" s="76" t="s">
        <v>32</v>
      </c>
      <c r="F11849" s="76">
        <v>5</v>
      </c>
    </row>
    <row r="11850" s="76" customFormat="1" spans="1:6">
      <c r="A11850">
        <v>12171</v>
      </c>
      <c r="B11850">
        <v>612019260</v>
      </c>
      <c r="C11850" s="76">
        <v>2019</v>
      </c>
      <c r="D11850" s="76" t="s">
        <v>34</v>
      </c>
      <c r="E11850" s="76">
        <v>25</v>
      </c>
      <c r="F11850" s="76">
        <v>5</v>
      </c>
    </row>
    <row r="11851" s="76" customFormat="1" spans="1:6">
      <c r="A11851">
        <v>12173</v>
      </c>
      <c r="B11851">
        <v>612019260</v>
      </c>
      <c r="C11851" s="76">
        <v>2019</v>
      </c>
      <c r="D11851" s="76" t="s">
        <v>34</v>
      </c>
      <c r="E11851" s="76">
        <v>50</v>
      </c>
      <c r="F11851" s="76">
        <v>10</v>
      </c>
    </row>
    <row r="11852" s="76" customFormat="1" spans="1:6">
      <c r="A11852">
        <v>12168</v>
      </c>
      <c r="B11852">
        <v>612019260</v>
      </c>
      <c r="C11852" s="76">
        <v>2019</v>
      </c>
      <c r="D11852" s="76" t="s">
        <v>34</v>
      </c>
      <c r="E11852" s="76">
        <v>25</v>
      </c>
      <c r="F11852" s="76">
        <v>5</v>
      </c>
    </row>
    <row r="11853" s="76" customFormat="1" spans="1:6">
      <c r="A11853">
        <v>12169</v>
      </c>
      <c r="B11853">
        <v>612019260</v>
      </c>
      <c r="C11853" s="76">
        <v>2019</v>
      </c>
      <c r="D11853" s="76" t="s">
        <v>34</v>
      </c>
      <c r="E11853" s="76">
        <v>46</v>
      </c>
      <c r="F11853" s="76">
        <v>10</v>
      </c>
    </row>
    <row r="11854" s="76" customFormat="1" spans="1:6">
      <c r="A11854">
        <v>12175</v>
      </c>
      <c r="B11854">
        <v>612019260</v>
      </c>
      <c r="C11854" s="76">
        <v>2019</v>
      </c>
      <c r="D11854" s="76" t="s">
        <v>34</v>
      </c>
      <c r="E11854" s="76" t="s">
        <v>32</v>
      </c>
      <c r="F11854" s="76">
        <v>9.9</v>
      </c>
    </row>
    <row r="11855" s="76" customFormat="1" spans="1:6">
      <c r="A11855">
        <v>12176</v>
      </c>
      <c r="B11855">
        <v>612019260</v>
      </c>
      <c r="C11855" s="76">
        <v>2019</v>
      </c>
      <c r="D11855" s="76" t="s">
        <v>34</v>
      </c>
      <c r="E11855" s="76" t="s">
        <v>32</v>
      </c>
      <c r="F11855" s="76">
        <v>4.95</v>
      </c>
    </row>
    <row r="11856" s="76" customFormat="1" spans="1:6">
      <c r="A11856">
        <v>12209</v>
      </c>
      <c r="B11856">
        <v>612019270</v>
      </c>
      <c r="C11856" s="76">
        <v>2019</v>
      </c>
      <c r="D11856" s="76" t="s">
        <v>31</v>
      </c>
      <c r="E11856" s="76" t="s">
        <v>32</v>
      </c>
      <c r="F11856" s="76">
        <v>5</v>
      </c>
    </row>
    <row r="11857" s="76" customFormat="1" spans="1:6">
      <c r="A11857">
        <v>12206</v>
      </c>
      <c r="B11857">
        <v>612019270</v>
      </c>
      <c r="C11857" s="76">
        <v>2019</v>
      </c>
      <c r="D11857" s="76" t="s">
        <v>31</v>
      </c>
      <c r="E11857" s="76" t="s">
        <v>32</v>
      </c>
      <c r="F11857" s="76">
        <v>2</v>
      </c>
    </row>
    <row r="11858" s="76" customFormat="1" spans="1:6">
      <c r="A11858">
        <v>12205</v>
      </c>
      <c r="B11858">
        <v>612019270</v>
      </c>
      <c r="C11858" s="76">
        <v>2019</v>
      </c>
      <c r="D11858" s="76" t="s">
        <v>31</v>
      </c>
      <c r="E11858" s="76" t="s">
        <v>32</v>
      </c>
      <c r="F11858" s="76">
        <v>2</v>
      </c>
    </row>
    <row r="11859" s="76" customFormat="1" spans="1:6">
      <c r="A11859">
        <v>12201</v>
      </c>
      <c r="B11859">
        <v>612019270</v>
      </c>
      <c r="C11859" s="76">
        <v>2019</v>
      </c>
      <c r="D11859" s="76" t="s">
        <v>31</v>
      </c>
      <c r="E11859" s="76" t="s">
        <v>32</v>
      </c>
      <c r="F11859" s="76">
        <v>2</v>
      </c>
    </row>
    <row r="11860" s="76" customFormat="1" spans="1:6">
      <c r="A11860">
        <v>12191</v>
      </c>
      <c r="B11860">
        <v>612019270</v>
      </c>
      <c r="C11860" s="76">
        <v>2019</v>
      </c>
      <c r="D11860" s="76" t="s">
        <v>31</v>
      </c>
      <c r="E11860" s="76" t="s">
        <v>32</v>
      </c>
      <c r="F11860" s="76">
        <v>6.58</v>
      </c>
    </row>
    <row r="11861" s="76" customFormat="1" spans="1:6">
      <c r="A11861">
        <v>12212</v>
      </c>
      <c r="B11861">
        <v>612019270</v>
      </c>
      <c r="C11861" s="76">
        <v>2019</v>
      </c>
      <c r="D11861" s="76" t="s">
        <v>31</v>
      </c>
      <c r="E11861" s="76" t="s">
        <v>32</v>
      </c>
      <c r="F11861" s="76">
        <v>5</v>
      </c>
    </row>
    <row r="11862" s="76" customFormat="1" spans="1:6">
      <c r="A11862">
        <v>12204</v>
      </c>
      <c r="B11862">
        <v>612019270</v>
      </c>
      <c r="C11862" s="76">
        <v>2019</v>
      </c>
      <c r="D11862" s="76" t="s">
        <v>31</v>
      </c>
      <c r="E11862" s="76" t="s">
        <v>32</v>
      </c>
      <c r="F11862" s="76">
        <v>5</v>
      </c>
    </row>
    <row r="11863" s="76" customFormat="1" spans="1:6">
      <c r="A11863">
        <v>12213</v>
      </c>
      <c r="B11863">
        <v>612019270</v>
      </c>
      <c r="C11863" s="76">
        <v>2019</v>
      </c>
      <c r="D11863" s="76" t="s">
        <v>31</v>
      </c>
      <c r="E11863" s="76" t="s">
        <v>32</v>
      </c>
      <c r="F11863" s="76">
        <v>3</v>
      </c>
    </row>
    <row r="11864" s="76" customFormat="1" spans="1:6">
      <c r="A11864">
        <v>12210</v>
      </c>
      <c r="B11864">
        <v>612019270</v>
      </c>
      <c r="C11864" s="76">
        <v>2019</v>
      </c>
      <c r="D11864" s="76" t="s">
        <v>31</v>
      </c>
      <c r="E11864" s="76" t="s">
        <v>32</v>
      </c>
      <c r="F11864" s="76">
        <v>3</v>
      </c>
    </row>
    <row r="11865" s="76" customFormat="1" spans="1:6">
      <c r="A11865">
        <v>12196</v>
      </c>
      <c r="B11865">
        <v>612019270</v>
      </c>
      <c r="C11865" s="76">
        <v>2019</v>
      </c>
      <c r="D11865" s="76" t="s">
        <v>31</v>
      </c>
      <c r="E11865" s="76" t="s">
        <v>32</v>
      </c>
      <c r="F11865" s="76">
        <v>5</v>
      </c>
    </row>
    <row r="11866" s="76" customFormat="1" spans="1:6">
      <c r="A11866">
        <v>12208</v>
      </c>
      <c r="B11866">
        <v>612019270</v>
      </c>
      <c r="C11866" s="76">
        <v>2019</v>
      </c>
      <c r="D11866" s="76" t="s">
        <v>31</v>
      </c>
      <c r="E11866" s="76" t="s">
        <v>32</v>
      </c>
      <c r="F11866" s="76">
        <v>5</v>
      </c>
    </row>
    <row r="11867" s="76" customFormat="1" spans="1:6">
      <c r="A11867">
        <v>12197</v>
      </c>
      <c r="B11867">
        <v>612019270</v>
      </c>
      <c r="C11867" s="76">
        <v>2019</v>
      </c>
      <c r="D11867" s="76" t="s">
        <v>31</v>
      </c>
      <c r="E11867" s="76" t="s">
        <v>32</v>
      </c>
      <c r="F11867" s="76">
        <v>25</v>
      </c>
    </row>
    <row r="11868" s="76" customFormat="1" spans="1:6">
      <c r="A11868">
        <v>12198</v>
      </c>
      <c r="B11868">
        <v>612019270</v>
      </c>
      <c r="C11868" s="76">
        <v>2019</v>
      </c>
      <c r="D11868" s="76" t="s">
        <v>31</v>
      </c>
      <c r="E11868" s="76" t="s">
        <v>32</v>
      </c>
      <c r="F11868" s="76">
        <v>14</v>
      </c>
    </row>
    <row r="11869" s="76" customFormat="1" spans="1:6">
      <c r="A11869">
        <v>12190</v>
      </c>
      <c r="B11869">
        <v>612019270</v>
      </c>
      <c r="C11869" s="76">
        <v>2019</v>
      </c>
      <c r="D11869" s="76" t="s">
        <v>31</v>
      </c>
      <c r="E11869" s="76" t="s">
        <v>32</v>
      </c>
      <c r="F11869" s="76">
        <v>27.5</v>
      </c>
    </row>
    <row r="11870" s="76" customFormat="1" spans="1:6">
      <c r="A11870">
        <v>12199</v>
      </c>
      <c r="B11870">
        <v>612019270</v>
      </c>
      <c r="C11870" s="76">
        <v>2019</v>
      </c>
      <c r="D11870" s="76" t="s">
        <v>31</v>
      </c>
      <c r="E11870" s="76" t="s">
        <v>32</v>
      </c>
      <c r="F11870" s="76">
        <v>11</v>
      </c>
    </row>
    <row r="11871" s="76" customFormat="1" spans="1:6">
      <c r="A11871">
        <v>12192</v>
      </c>
      <c r="B11871">
        <v>612019270</v>
      </c>
      <c r="C11871" s="76">
        <v>2019</v>
      </c>
      <c r="D11871" s="76" t="s">
        <v>31</v>
      </c>
      <c r="E11871" s="76" t="s">
        <v>32</v>
      </c>
      <c r="F11871" s="76">
        <v>7.68</v>
      </c>
    </row>
    <row r="11872" s="76" customFormat="1" spans="1:6">
      <c r="A11872">
        <v>12193</v>
      </c>
      <c r="B11872">
        <v>612019270</v>
      </c>
      <c r="C11872" s="76">
        <v>2019</v>
      </c>
      <c r="D11872" s="76" t="s">
        <v>31</v>
      </c>
      <c r="E11872" s="76" t="s">
        <v>32</v>
      </c>
      <c r="F11872" s="76">
        <v>0.07</v>
      </c>
    </row>
    <row r="11873" s="76" customFormat="1" spans="1:6">
      <c r="A11873">
        <v>12211</v>
      </c>
      <c r="B11873">
        <v>612019270</v>
      </c>
      <c r="C11873" s="76">
        <v>2019</v>
      </c>
      <c r="D11873" s="76" t="s">
        <v>31</v>
      </c>
      <c r="E11873" s="76" t="s">
        <v>32</v>
      </c>
      <c r="F11873" s="76">
        <v>5</v>
      </c>
    </row>
    <row r="11874" s="76" customFormat="1" spans="1:6">
      <c r="A11874">
        <v>12207</v>
      </c>
      <c r="B11874">
        <v>612019270</v>
      </c>
      <c r="C11874" s="76">
        <v>2019</v>
      </c>
      <c r="D11874" s="76" t="s">
        <v>31</v>
      </c>
      <c r="E11874" s="76" t="s">
        <v>32</v>
      </c>
      <c r="F11874" s="76">
        <v>5</v>
      </c>
    </row>
    <row r="11875" s="76" customFormat="1" spans="1:6">
      <c r="A11875">
        <v>12200</v>
      </c>
      <c r="B11875">
        <v>612019270</v>
      </c>
      <c r="C11875" s="76">
        <v>2019</v>
      </c>
      <c r="D11875" s="76" t="s">
        <v>31</v>
      </c>
      <c r="E11875" s="76" t="s">
        <v>32</v>
      </c>
      <c r="F11875" s="76">
        <v>5</v>
      </c>
    </row>
    <row r="11876" s="76" customFormat="1" spans="1:6">
      <c r="A11876">
        <v>12203</v>
      </c>
      <c r="B11876">
        <v>612019270</v>
      </c>
      <c r="C11876" s="76">
        <v>2019</v>
      </c>
      <c r="D11876" s="76" t="s">
        <v>31</v>
      </c>
      <c r="E11876" s="76" t="s">
        <v>32</v>
      </c>
      <c r="F11876" s="76">
        <v>5</v>
      </c>
    </row>
    <row r="11877" s="76" customFormat="1" spans="1:6">
      <c r="A11877">
        <v>12202</v>
      </c>
      <c r="B11877">
        <v>612019270</v>
      </c>
      <c r="C11877" s="76">
        <v>2019</v>
      </c>
      <c r="D11877" s="76" t="s">
        <v>31</v>
      </c>
      <c r="E11877" s="76" t="s">
        <v>32</v>
      </c>
      <c r="F11877" s="76">
        <v>5</v>
      </c>
    </row>
    <row r="11878" s="76" customFormat="1" spans="1:6">
      <c r="A11878">
        <v>12195</v>
      </c>
      <c r="B11878">
        <v>612019270</v>
      </c>
      <c r="C11878" s="76">
        <v>2019</v>
      </c>
      <c r="D11878" s="76" t="s">
        <v>31</v>
      </c>
      <c r="E11878" s="76" t="s">
        <v>32</v>
      </c>
      <c r="F11878" s="76">
        <v>2</v>
      </c>
    </row>
    <row r="11879" s="76" customFormat="1" spans="1:6">
      <c r="A11879">
        <v>12225</v>
      </c>
      <c r="B11879">
        <v>612020110</v>
      </c>
      <c r="C11879" s="76">
        <v>2020</v>
      </c>
      <c r="D11879" s="76" t="s">
        <v>40</v>
      </c>
      <c r="E11879" s="76" t="s">
        <v>32</v>
      </c>
      <c r="F11879" s="76">
        <v>1.2</v>
      </c>
    </row>
    <row r="11880" s="76" customFormat="1" spans="1:6">
      <c r="A11880">
        <v>12219</v>
      </c>
      <c r="B11880">
        <v>612020110</v>
      </c>
      <c r="C11880" s="76">
        <v>2020</v>
      </c>
      <c r="D11880" s="76" t="s">
        <v>40</v>
      </c>
      <c r="E11880" s="76" t="s">
        <v>32</v>
      </c>
      <c r="F11880" s="76">
        <v>1.18</v>
      </c>
    </row>
    <row r="11881" s="76" customFormat="1" spans="1:6">
      <c r="A11881">
        <v>12216</v>
      </c>
      <c r="B11881">
        <v>612020110</v>
      </c>
      <c r="C11881" s="76">
        <v>2020</v>
      </c>
      <c r="D11881" s="76" t="s">
        <v>40</v>
      </c>
      <c r="E11881" s="76" t="s">
        <v>32</v>
      </c>
      <c r="F11881" s="76">
        <v>2.58</v>
      </c>
    </row>
    <row r="11882" s="76" customFormat="1" spans="1:6">
      <c r="A11882">
        <v>12224</v>
      </c>
      <c r="B11882">
        <v>612020110</v>
      </c>
      <c r="C11882" s="76">
        <v>2020</v>
      </c>
      <c r="D11882" s="76" t="s">
        <v>40</v>
      </c>
      <c r="E11882" s="76" t="s">
        <v>32</v>
      </c>
      <c r="F11882" s="76">
        <v>0.73</v>
      </c>
    </row>
    <row r="11883" s="76" customFormat="1" spans="1:6">
      <c r="A11883">
        <v>12228</v>
      </c>
      <c r="B11883">
        <v>612020110</v>
      </c>
      <c r="C11883" s="76">
        <v>2020</v>
      </c>
      <c r="D11883" s="76" t="s">
        <v>40</v>
      </c>
      <c r="E11883" s="76" t="s">
        <v>32</v>
      </c>
      <c r="F11883" s="76">
        <v>2.7</v>
      </c>
    </row>
    <row r="11884" s="76" customFormat="1" spans="1:6">
      <c r="A11884">
        <v>12221</v>
      </c>
      <c r="B11884">
        <v>612020110</v>
      </c>
      <c r="C11884" s="76">
        <v>2020</v>
      </c>
      <c r="D11884" s="76" t="s">
        <v>40</v>
      </c>
      <c r="E11884" s="76" t="s">
        <v>32</v>
      </c>
      <c r="F11884" s="76">
        <v>1.05</v>
      </c>
    </row>
    <row r="11885" s="76" customFormat="1" spans="1:6">
      <c r="A11885">
        <v>12215</v>
      </c>
      <c r="B11885">
        <v>612020110</v>
      </c>
      <c r="C11885" s="76">
        <v>2020</v>
      </c>
      <c r="D11885" s="76" t="s">
        <v>40</v>
      </c>
      <c r="E11885" s="76" t="s">
        <v>32</v>
      </c>
      <c r="F11885" s="76">
        <v>1.54</v>
      </c>
    </row>
    <row r="11886" s="76" customFormat="1" spans="1:6">
      <c r="A11886">
        <v>12217</v>
      </c>
      <c r="B11886">
        <v>612020110</v>
      </c>
      <c r="C11886" s="76">
        <v>2020</v>
      </c>
      <c r="D11886" s="76" t="s">
        <v>40</v>
      </c>
      <c r="E11886" s="76" t="s">
        <v>32</v>
      </c>
      <c r="F11886" s="76">
        <v>0.73</v>
      </c>
    </row>
    <row r="11887" s="76" customFormat="1" spans="1:6">
      <c r="A11887">
        <v>12220</v>
      </c>
      <c r="B11887">
        <v>612020110</v>
      </c>
      <c r="C11887" s="76">
        <v>2020</v>
      </c>
      <c r="D11887" s="76" t="s">
        <v>40</v>
      </c>
      <c r="E11887" s="76" t="s">
        <v>32</v>
      </c>
      <c r="F11887" s="76">
        <v>1.29</v>
      </c>
    </row>
    <row r="11888" s="76" customFormat="1" spans="1:6">
      <c r="A11888">
        <v>12218</v>
      </c>
      <c r="B11888">
        <v>612020110</v>
      </c>
      <c r="C11888" s="76">
        <v>2020</v>
      </c>
      <c r="D11888" s="76" t="s">
        <v>40</v>
      </c>
      <c r="E11888" s="76" t="s">
        <v>32</v>
      </c>
      <c r="F11888" s="76">
        <v>2.86</v>
      </c>
    </row>
    <row r="11889" s="76" customFormat="1" spans="1:6">
      <c r="A11889">
        <v>12227</v>
      </c>
      <c r="B11889">
        <v>612020110</v>
      </c>
      <c r="C11889" s="76">
        <v>2020</v>
      </c>
      <c r="D11889" s="76" t="s">
        <v>40</v>
      </c>
      <c r="E11889" s="76" t="s">
        <v>32</v>
      </c>
      <c r="F11889" s="76">
        <v>0.9</v>
      </c>
    </row>
    <row r="11890" s="76" customFormat="1" spans="1:6">
      <c r="A11890">
        <v>12226</v>
      </c>
      <c r="B11890">
        <v>612020110</v>
      </c>
      <c r="C11890" s="76">
        <v>2020</v>
      </c>
      <c r="D11890" s="76" t="s">
        <v>40</v>
      </c>
      <c r="E11890" s="76" t="s">
        <v>32</v>
      </c>
      <c r="F11890" s="76">
        <v>0.21</v>
      </c>
    </row>
    <row r="11891" s="76" customFormat="1" spans="1:6">
      <c r="A11891">
        <v>12223</v>
      </c>
      <c r="B11891">
        <v>612020110</v>
      </c>
      <c r="C11891" s="76">
        <v>2020</v>
      </c>
      <c r="D11891" s="76" t="s">
        <v>40</v>
      </c>
      <c r="E11891" s="76" t="s">
        <v>32</v>
      </c>
      <c r="F11891" s="76">
        <v>5.32</v>
      </c>
    </row>
    <row r="11892" s="76" customFormat="1" spans="1:6">
      <c r="A11892">
        <v>12214</v>
      </c>
      <c r="B11892">
        <v>612020110</v>
      </c>
      <c r="C11892" s="76">
        <v>2020</v>
      </c>
      <c r="D11892" s="76" t="s">
        <v>40</v>
      </c>
      <c r="E11892" s="76" t="s">
        <v>32</v>
      </c>
      <c r="F11892" s="76">
        <v>0.8</v>
      </c>
    </row>
    <row r="11893" s="76" customFormat="1" spans="1:6">
      <c r="A11893">
        <v>12222</v>
      </c>
      <c r="B11893">
        <v>612020110</v>
      </c>
      <c r="C11893" s="76">
        <v>2020</v>
      </c>
      <c r="D11893" s="76" t="s">
        <v>40</v>
      </c>
      <c r="E11893" s="76" t="s">
        <v>32</v>
      </c>
      <c r="F11893" s="76">
        <v>0.98</v>
      </c>
    </row>
    <row r="11894" s="76" customFormat="1" spans="1:6">
      <c r="A11894">
        <v>12235</v>
      </c>
      <c r="B11894">
        <v>612020211</v>
      </c>
      <c r="C11894" s="76">
        <v>2020</v>
      </c>
      <c r="D11894" s="76" t="s">
        <v>37</v>
      </c>
      <c r="E11894" s="76" t="s">
        <v>32</v>
      </c>
      <c r="F11894" s="76">
        <v>0.5</v>
      </c>
    </row>
    <row r="11895" s="76" customFormat="1" spans="1:6">
      <c r="A11895">
        <v>12234</v>
      </c>
      <c r="B11895">
        <v>612020211</v>
      </c>
      <c r="C11895" s="76">
        <v>2020</v>
      </c>
      <c r="D11895" s="76" t="s">
        <v>37</v>
      </c>
      <c r="E11895" s="76" t="s">
        <v>32</v>
      </c>
      <c r="F11895" s="76">
        <v>10</v>
      </c>
    </row>
    <row r="11896" s="76" customFormat="1" spans="1:6">
      <c r="A11896">
        <v>12232</v>
      </c>
      <c r="B11896">
        <v>612020211</v>
      </c>
      <c r="C11896" s="76">
        <v>2020</v>
      </c>
      <c r="D11896" s="76" t="s">
        <v>37</v>
      </c>
      <c r="E11896" s="76">
        <v>2</v>
      </c>
      <c r="F11896" s="76">
        <v>132</v>
      </c>
    </row>
    <row r="11897" s="76" customFormat="1" spans="1:6">
      <c r="A11897">
        <v>12230</v>
      </c>
      <c r="B11897">
        <v>612020211</v>
      </c>
      <c r="C11897" s="76">
        <v>2020</v>
      </c>
      <c r="D11897" s="76" t="s">
        <v>37</v>
      </c>
      <c r="E11897" s="76">
        <v>2</v>
      </c>
      <c r="F11897" s="76">
        <v>132</v>
      </c>
    </row>
    <row r="11898" s="76" customFormat="1" spans="1:6">
      <c r="A11898">
        <v>12237</v>
      </c>
      <c r="B11898">
        <v>612020211</v>
      </c>
      <c r="C11898" s="76">
        <v>2020</v>
      </c>
      <c r="D11898" s="76" t="s">
        <v>37</v>
      </c>
      <c r="E11898" s="76">
        <v>2</v>
      </c>
      <c r="F11898" s="76">
        <v>70</v>
      </c>
    </row>
    <row r="11899" s="76" customFormat="1" spans="1:6">
      <c r="A11899">
        <v>12236</v>
      </c>
      <c r="B11899">
        <v>612020211</v>
      </c>
      <c r="C11899" s="76">
        <v>2020</v>
      </c>
      <c r="D11899" s="76" t="s">
        <v>37</v>
      </c>
      <c r="E11899" s="76">
        <v>2</v>
      </c>
      <c r="F11899" s="76">
        <v>132</v>
      </c>
    </row>
    <row r="11900" s="76" customFormat="1" spans="1:6">
      <c r="A11900">
        <v>12233</v>
      </c>
      <c r="B11900">
        <v>612020211</v>
      </c>
      <c r="C11900" s="76">
        <v>2020</v>
      </c>
      <c r="D11900" s="76" t="s">
        <v>37</v>
      </c>
      <c r="E11900" s="76" t="s">
        <v>32</v>
      </c>
      <c r="F11900" s="76">
        <v>4</v>
      </c>
    </row>
    <row r="11901" s="76" customFormat="1" spans="1:6">
      <c r="A11901">
        <v>12238</v>
      </c>
      <c r="B11901">
        <v>612020211</v>
      </c>
      <c r="C11901" s="76">
        <v>2020</v>
      </c>
      <c r="D11901" s="76" t="s">
        <v>37</v>
      </c>
      <c r="E11901" s="76" t="s">
        <v>32</v>
      </c>
      <c r="F11901" s="76">
        <v>10</v>
      </c>
    </row>
    <row r="11902" s="76" customFormat="1" spans="1:6">
      <c r="A11902">
        <v>12231</v>
      </c>
      <c r="B11902">
        <v>612020211</v>
      </c>
      <c r="C11902" s="76">
        <v>2020</v>
      </c>
      <c r="D11902" s="76" t="s">
        <v>37</v>
      </c>
      <c r="E11902" s="76">
        <v>2</v>
      </c>
      <c r="F11902" s="76">
        <v>70</v>
      </c>
    </row>
    <row r="11903" s="76" customFormat="1" spans="1:6">
      <c r="A11903">
        <v>12239</v>
      </c>
      <c r="B11903">
        <v>612020241</v>
      </c>
      <c r="C11903" s="76">
        <v>2020</v>
      </c>
      <c r="D11903" s="76" t="s">
        <v>33</v>
      </c>
      <c r="E11903" s="76" t="s">
        <v>32</v>
      </c>
      <c r="F11903" s="76">
        <v>1.5</v>
      </c>
    </row>
    <row r="11904" s="76" customFormat="1" spans="1:6">
      <c r="A11904">
        <v>12240</v>
      </c>
      <c r="B11904">
        <v>612020241</v>
      </c>
      <c r="C11904" s="76">
        <v>2020</v>
      </c>
      <c r="D11904" s="76" t="s">
        <v>33</v>
      </c>
      <c r="E11904" s="76" t="s">
        <v>32</v>
      </c>
      <c r="F11904" s="76">
        <v>2</v>
      </c>
    </row>
    <row r="11905" s="76" customFormat="1" spans="1:6">
      <c r="A11905">
        <v>12241</v>
      </c>
      <c r="B11905">
        <v>612020241</v>
      </c>
      <c r="C11905" s="76">
        <v>2020</v>
      </c>
      <c r="D11905" s="76" t="s">
        <v>33</v>
      </c>
      <c r="E11905" s="76" t="s">
        <v>32</v>
      </c>
      <c r="F11905" s="76">
        <v>3</v>
      </c>
    </row>
    <row r="11906" s="76" customFormat="1" spans="1:6">
      <c r="A11906">
        <v>12244</v>
      </c>
      <c r="B11906">
        <v>612020242</v>
      </c>
      <c r="C11906" s="76">
        <v>2020</v>
      </c>
      <c r="D11906" s="76" t="s">
        <v>35</v>
      </c>
      <c r="E11906" s="76" t="s">
        <v>32</v>
      </c>
      <c r="F11906" s="76">
        <v>5</v>
      </c>
    </row>
    <row r="11907" s="76" customFormat="1" spans="1:6">
      <c r="A11907">
        <v>12243</v>
      </c>
      <c r="B11907">
        <v>612020242</v>
      </c>
      <c r="C11907" s="76">
        <v>2020</v>
      </c>
      <c r="D11907" s="76" t="s">
        <v>35</v>
      </c>
      <c r="E11907" s="76" t="s">
        <v>32</v>
      </c>
      <c r="F11907" s="76">
        <v>6</v>
      </c>
    </row>
    <row r="11908" s="76" customFormat="1" spans="1:6">
      <c r="A11908">
        <v>12245</v>
      </c>
      <c r="B11908">
        <v>612020242</v>
      </c>
      <c r="C11908" s="76">
        <v>2020</v>
      </c>
      <c r="D11908" s="76" t="s">
        <v>35</v>
      </c>
      <c r="E11908" s="76" t="s">
        <v>32</v>
      </c>
      <c r="F11908" s="76">
        <v>4</v>
      </c>
    </row>
    <row r="11909" s="76" customFormat="1" spans="1:6">
      <c r="A11909">
        <v>12255</v>
      </c>
      <c r="B11909">
        <v>612020260</v>
      </c>
      <c r="C11909" s="76">
        <v>2020</v>
      </c>
      <c r="D11909" s="76" t="s">
        <v>34</v>
      </c>
      <c r="E11909" s="76">
        <v>14</v>
      </c>
      <c r="F11909" s="76">
        <v>2.8</v>
      </c>
    </row>
    <row r="11910" s="76" customFormat="1" spans="1:6">
      <c r="A11910">
        <v>12271</v>
      </c>
      <c r="B11910">
        <v>612020260</v>
      </c>
      <c r="C11910" s="76">
        <v>2020</v>
      </c>
      <c r="D11910" s="76" t="s">
        <v>34</v>
      </c>
      <c r="E11910" s="76">
        <v>10</v>
      </c>
      <c r="F11910" s="76">
        <v>3</v>
      </c>
    </row>
    <row r="11911" s="76" customFormat="1" spans="1:6">
      <c r="A11911">
        <v>12270</v>
      </c>
      <c r="B11911">
        <v>612020260</v>
      </c>
      <c r="C11911" s="76">
        <v>2020</v>
      </c>
      <c r="D11911" s="76" t="s">
        <v>34</v>
      </c>
      <c r="E11911" s="76">
        <v>9</v>
      </c>
      <c r="F11911" s="76">
        <v>2.7</v>
      </c>
    </row>
    <row r="11912" s="76" customFormat="1" spans="1:6">
      <c r="A11912">
        <v>12247</v>
      </c>
      <c r="B11912">
        <v>612020260</v>
      </c>
      <c r="C11912" s="76">
        <v>2020</v>
      </c>
      <c r="D11912" s="76" t="s">
        <v>34</v>
      </c>
      <c r="E11912" s="76">
        <v>17</v>
      </c>
      <c r="F11912" s="76">
        <v>3.3</v>
      </c>
    </row>
    <row r="11913" s="76" customFormat="1" spans="1:6">
      <c r="A11913">
        <v>12304</v>
      </c>
      <c r="B11913">
        <v>612020260</v>
      </c>
      <c r="C11913" s="76">
        <v>2020</v>
      </c>
      <c r="D11913" s="76" t="s">
        <v>34</v>
      </c>
      <c r="E11913" s="76" t="s">
        <v>32</v>
      </c>
      <c r="F11913" s="76">
        <v>5</v>
      </c>
    </row>
    <row r="11914" s="76" customFormat="1" spans="1:6">
      <c r="A11914">
        <v>12274</v>
      </c>
      <c r="B11914">
        <v>612020260</v>
      </c>
      <c r="C11914" s="76">
        <v>2020</v>
      </c>
      <c r="D11914" s="76" t="s">
        <v>34</v>
      </c>
      <c r="E11914" s="76">
        <v>20</v>
      </c>
      <c r="F11914" s="76">
        <v>5</v>
      </c>
    </row>
    <row r="11915" s="76" customFormat="1" spans="1:6">
      <c r="A11915">
        <v>12276</v>
      </c>
      <c r="B11915">
        <v>612020260</v>
      </c>
      <c r="C11915" s="76">
        <v>2020</v>
      </c>
      <c r="D11915" s="76" t="s">
        <v>34</v>
      </c>
      <c r="E11915" s="76">
        <v>25</v>
      </c>
      <c r="F11915" s="76">
        <v>5</v>
      </c>
    </row>
    <row r="11916" s="76" customFormat="1" spans="1:6">
      <c r="A11916">
        <v>12272</v>
      </c>
      <c r="B11916">
        <v>612020260</v>
      </c>
      <c r="C11916" s="76">
        <v>2020</v>
      </c>
      <c r="D11916" s="76" t="s">
        <v>34</v>
      </c>
      <c r="E11916" s="76">
        <v>18</v>
      </c>
      <c r="F11916" s="76">
        <v>3.6</v>
      </c>
    </row>
    <row r="11917" s="76" customFormat="1" spans="1:6">
      <c r="A11917">
        <v>12246</v>
      </c>
      <c r="B11917">
        <v>612020260</v>
      </c>
      <c r="C11917" s="76">
        <v>2020</v>
      </c>
      <c r="D11917" s="76" t="s">
        <v>34</v>
      </c>
      <c r="E11917" s="76">
        <v>23</v>
      </c>
      <c r="F11917" s="76">
        <v>5</v>
      </c>
    </row>
    <row r="11918" s="76" customFormat="1" spans="1:6">
      <c r="A11918">
        <v>12287</v>
      </c>
      <c r="B11918">
        <v>612020260</v>
      </c>
      <c r="C11918" s="76">
        <v>2020</v>
      </c>
      <c r="D11918" s="76" t="s">
        <v>34</v>
      </c>
      <c r="E11918" s="76" t="s">
        <v>32</v>
      </c>
      <c r="F11918" s="76">
        <v>10</v>
      </c>
    </row>
    <row r="11919" s="76" customFormat="1" spans="1:6">
      <c r="A11919">
        <v>12253</v>
      </c>
      <c r="B11919">
        <v>612020260</v>
      </c>
      <c r="C11919" s="76">
        <v>2020</v>
      </c>
      <c r="D11919" s="76" t="s">
        <v>34</v>
      </c>
      <c r="E11919" s="76">
        <v>23</v>
      </c>
      <c r="F11919" s="76">
        <v>4.6</v>
      </c>
    </row>
    <row r="11920" s="76" customFormat="1" spans="1:6">
      <c r="A11920">
        <v>12249</v>
      </c>
      <c r="B11920">
        <v>612020260</v>
      </c>
      <c r="C11920" s="76">
        <v>2020</v>
      </c>
      <c r="D11920" s="76" t="s">
        <v>34</v>
      </c>
      <c r="E11920" s="76">
        <v>22</v>
      </c>
      <c r="F11920" s="76">
        <v>4.4</v>
      </c>
    </row>
    <row r="11921" s="76" customFormat="1" spans="1:6">
      <c r="A11921">
        <v>12263</v>
      </c>
      <c r="B11921">
        <v>612020260</v>
      </c>
      <c r="C11921" s="76">
        <v>2020</v>
      </c>
      <c r="D11921" s="76" t="s">
        <v>34</v>
      </c>
      <c r="E11921" s="76">
        <v>6</v>
      </c>
      <c r="F11921" s="76">
        <v>1.8</v>
      </c>
    </row>
    <row r="11922" s="76" customFormat="1" spans="1:6">
      <c r="A11922">
        <v>12261</v>
      </c>
      <c r="B11922">
        <v>612020260</v>
      </c>
      <c r="C11922" s="76">
        <v>2020</v>
      </c>
      <c r="D11922" s="76" t="s">
        <v>34</v>
      </c>
      <c r="E11922" s="76">
        <v>19</v>
      </c>
      <c r="F11922" s="76">
        <v>5.04</v>
      </c>
    </row>
    <row r="11923" s="76" customFormat="1" spans="1:6">
      <c r="A11923">
        <v>12262</v>
      </c>
      <c r="B11923">
        <v>612020260</v>
      </c>
      <c r="C11923" s="76">
        <v>2020</v>
      </c>
      <c r="D11923" s="76" t="s">
        <v>34</v>
      </c>
      <c r="E11923" s="76">
        <v>19</v>
      </c>
      <c r="F11923" s="76">
        <v>5.04</v>
      </c>
    </row>
    <row r="11924" s="76" customFormat="1" spans="1:6">
      <c r="A11924">
        <v>12268</v>
      </c>
      <c r="B11924">
        <v>612020260</v>
      </c>
      <c r="C11924" s="76">
        <v>2020</v>
      </c>
      <c r="D11924" s="76" t="s">
        <v>34</v>
      </c>
      <c r="E11924" s="76">
        <v>16</v>
      </c>
      <c r="F11924" s="76">
        <v>4.8</v>
      </c>
    </row>
    <row r="11925" s="76" customFormat="1" spans="1:6">
      <c r="A11925">
        <v>12285</v>
      </c>
      <c r="B11925">
        <v>612020260</v>
      </c>
      <c r="C11925" s="76">
        <v>2020</v>
      </c>
      <c r="D11925" s="76" t="s">
        <v>34</v>
      </c>
      <c r="E11925" s="76" t="s">
        <v>32</v>
      </c>
      <c r="F11925" s="76">
        <v>5</v>
      </c>
    </row>
    <row r="11926" s="76" customFormat="1" spans="1:6">
      <c r="A11926">
        <v>12288</v>
      </c>
      <c r="B11926">
        <v>612020260</v>
      </c>
      <c r="C11926" s="76">
        <v>2020</v>
      </c>
      <c r="D11926" s="76" t="s">
        <v>34</v>
      </c>
      <c r="E11926" s="76" t="s">
        <v>32</v>
      </c>
      <c r="F11926" s="76">
        <v>5</v>
      </c>
    </row>
    <row r="11927" s="76" customFormat="1" spans="1:6">
      <c r="A11927">
        <v>12301</v>
      </c>
      <c r="B11927">
        <v>612020260</v>
      </c>
      <c r="C11927" s="76">
        <v>2020</v>
      </c>
      <c r="D11927" s="76" t="s">
        <v>34</v>
      </c>
      <c r="E11927" s="76" t="s">
        <v>32</v>
      </c>
      <c r="F11927" s="76">
        <v>10</v>
      </c>
    </row>
    <row r="11928" s="76" customFormat="1" spans="1:6">
      <c r="A11928">
        <v>12283</v>
      </c>
      <c r="B11928">
        <v>612020260</v>
      </c>
      <c r="C11928" s="76">
        <v>2020</v>
      </c>
      <c r="D11928" s="76" t="s">
        <v>34</v>
      </c>
      <c r="E11928" s="76" t="s">
        <v>32</v>
      </c>
      <c r="F11928" s="76">
        <v>5</v>
      </c>
    </row>
    <row r="11929" s="76" customFormat="1" spans="1:6">
      <c r="A11929">
        <v>12289</v>
      </c>
      <c r="B11929">
        <v>612020260</v>
      </c>
      <c r="C11929" s="76">
        <v>2020</v>
      </c>
      <c r="D11929" s="76" t="s">
        <v>34</v>
      </c>
      <c r="E11929" s="76" t="s">
        <v>32</v>
      </c>
      <c r="F11929" s="76">
        <v>10</v>
      </c>
    </row>
    <row r="11930" s="76" customFormat="1" spans="1:6">
      <c r="A11930">
        <v>12299</v>
      </c>
      <c r="B11930">
        <v>612020260</v>
      </c>
      <c r="C11930" s="76">
        <v>2020</v>
      </c>
      <c r="D11930" s="76" t="s">
        <v>34</v>
      </c>
      <c r="E11930" s="76" t="s">
        <v>32</v>
      </c>
      <c r="F11930" s="76">
        <v>5</v>
      </c>
    </row>
    <row r="11931" s="76" customFormat="1" spans="1:6">
      <c r="A11931">
        <v>12305</v>
      </c>
      <c r="B11931">
        <v>612020260</v>
      </c>
      <c r="C11931" s="76">
        <v>2020</v>
      </c>
      <c r="D11931" s="76" t="s">
        <v>34</v>
      </c>
      <c r="E11931" s="76" t="s">
        <v>32</v>
      </c>
      <c r="F11931" s="76">
        <v>10</v>
      </c>
    </row>
    <row r="11932" s="76" customFormat="1" spans="1:6">
      <c r="A11932">
        <v>12251</v>
      </c>
      <c r="B11932">
        <v>612020260</v>
      </c>
      <c r="C11932" s="76">
        <v>2020</v>
      </c>
      <c r="D11932" s="76" t="s">
        <v>34</v>
      </c>
      <c r="E11932" s="76">
        <v>17</v>
      </c>
      <c r="F11932" s="76">
        <v>0.53</v>
      </c>
    </row>
    <row r="11933" s="76" customFormat="1" spans="1:6">
      <c r="A11933">
        <v>12295</v>
      </c>
      <c r="B11933">
        <v>612020260</v>
      </c>
      <c r="C11933" s="76">
        <v>2020</v>
      </c>
      <c r="D11933" s="76" t="s">
        <v>34</v>
      </c>
      <c r="E11933" s="76" t="s">
        <v>32</v>
      </c>
      <c r="F11933" s="76">
        <v>10</v>
      </c>
    </row>
    <row r="11934" s="76" customFormat="1" spans="1:6">
      <c r="A11934">
        <v>12300</v>
      </c>
      <c r="B11934">
        <v>612020260</v>
      </c>
      <c r="C11934" s="76">
        <v>2020</v>
      </c>
      <c r="D11934" s="76" t="s">
        <v>34</v>
      </c>
      <c r="E11934" s="76" t="s">
        <v>32</v>
      </c>
      <c r="F11934" s="76">
        <v>5</v>
      </c>
    </row>
    <row r="11935" s="76" customFormat="1" spans="1:6">
      <c r="A11935">
        <v>12280</v>
      </c>
      <c r="B11935">
        <v>612020260</v>
      </c>
      <c r="C11935" s="76">
        <v>2020</v>
      </c>
      <c r="D11935" s="76" t="s">
        <v>34</v>
      </c>
      <c r="E11935" s="76">
        <v>25</v>
      </c>
      <c r="F11935" s="76">
        <v>5</v>
      </c>
    </row>
    <row r="11936" s="76" customFormat="1" spans="1:6">
      <c r="A11936">
        <v>12273</v>
      </c>
      <c r="B11936">
        <v>612020260</v>
      </c>
      <c r="C11936" s="76">
        <v>2020</v>
      </c>
      <c r="D11936" s="76" t="s">
        <v>34</v>
      </c>
      <c r="E11936" s="76">
        <v>20</v>
      </c>
      <c r="F11936" s="76">
        <v>4.12</v>
      </c>
    </row>
    <row r="11937" s="76" customFormat="1" spans="1:6">
      <c r="A11937">
        <v>12267</v>
      </c>
      <c r="B11937">
        <v>612020260</v>
      </c>
      <c r="C11937" s="76">
        <v>2020</v>
      </c>
      <c r="D11937" s="76" t="s">
        <v>34</v>
      </c>
      <c r="E11937" s="76">
        <v>32</v>
      </c>
      <c r="F11937" s="76">
        <v>10</v>
      </c>
    </row>
    <row r="11938" s="76" customFormat="1" spans="1:6">
      <c r="A11938">
        <v>12277</v>
      </c>
      <c r="B11938">
        <v>612020260</v>
      </c>
      <c r="C11938" s="76">
        <v>2020</v>
      </c>
      <c r="D11938" s="76" t="s">
        <v>34</v>
      </c>
      <c r="E11938" s="76">
        <v>25</v>
      </c>
      <c r="F11938" s="76">
        <v>5</v>
      </c>
    </row>
    <row r="11939" s="76" customFormat="1" spans="1:6">
      <c r="A11939">
        <v>12275</v>
      </c>
      <c r="B11939">
        <v>612020260</v>
      </c>
      <c r="C11939" s="76">
        <v>2020</v>
      </c>
      <c r="D11939" s="76" t="s">
        <v>34</v>
      </c>
      <c r="E11939" s="76">
        <v>20</v>
      </c>
      <c r="F11939" s="76">
        <v>5</v>
      </c>
    </row>
    <row r="11940" s="76" customFormat="1" spans="1:6">
      <c r="A11940">
        <v>12265</v>
      </c>
      <c r="B11940">
        <v>612020260</v>
      </c>
      <c r="C11940" s="76">
        <v>2020</v>
      </c>
      <c r="D11940" s="76" t="s">
        <v>34</v>
      </c>
      <c r="E11940" s="76">
        <v>16</v>
      </c>
      <c r="F11940" s="76">
        <v>5</v>
      </c>
    </row>
    <row r="11941" s="76" customFormat="1" spans="1:6">
      <c r="A11941">
        <v>12248</v>
      </c>
      <c r="B11941">
        <v>612020260</v>
      </c>
      <c r="C11941" s="76">
        <v>2020</v>
      </c>
      <c r="D11941" s="76" t="s">
        <v>34</v>
      </c>
      <c r="E11941" s="76">
        <v>25</v>
      </c>
      <c r="F11941" s="76">
        <v>5</v>
      </c>
    </row>
    <row r="11942" s="76" customFormat="1" spans="1:6">
      <c r="A11942">
        <v>12269</v>
      </c>
      <c r="B11942">
        <v>612020260</v>
      </c>
      <c r="C11942" s="76">
        <v>2020</v>
      </c>
      <c r="D11942" s="76" t="s">
        <v>34</v>
      </c>
      <c r="E11942" s="76">
        <v>36</v>
      </c>
      <c r="F11942" s="76">
        <v>10</v>
      </c>
    </row>
    <row r="11943" s="76" customFormat="1" spans="1:6">
      <c r="A11943">
        <v>12256</v>
      </c>
      <c r="B11943">
        <v>612020260</v>
      </c>
      <c r="C11943" s="76">
        <v>2020</v>
      </c>
      <c r="D11943" s="76" t="s">
        <v>34</v>
      </c>
      <c r="E11943" s="76">
        <v>25</v>
      </c>
      <c r="F11943" s="76">
        <v>5</v>
      </c>
    </row>
    <row r="11944" s="76" customFormat="1" spans="1:6">
      <c r="A11944">
        <v>12279</v>
      </c>
      <c r="B11944">
        <v>612020260</v>
      </c>
      <c r="C11944" s="76">
        <v>2020</v>
      </c>
      <c r="D11944" s="76" t="s">
        <v>34</v>
      </c>
      <c r="E11944" s="76">
        <v>25</v>
      </c>
      <c r="F11944" s="76">
        <v>5</v>
      </c>
    </row>
    <row r="11945" s="76" customFormat="1" spans="1:6">
      <c r="A11945">
        <v>12259</v>
      </c>
      <c r="B11945">
        <v>612020260</v>
      </c>
      <c r="C11945" s="76">
        <v>2020</v>
      </c>
      <c r="D11945" s="76" t="s">
        <v>34</v>
      </c>
      <c r="E11945" s="76">
        <v>36</v>
      </c>
      <c r="F11945" s="76">
        <v>9</v>
      </c>
    </row>
    <row r="11946" s="76" customFormat="1" spans="1:6">
      <c r="A11946">
        <v>12266</v>
      </c>
      <c r="B11946">
        <v>612020260</v>
      </c>
      <c r="C11946" s="76">
        <v>2020</v>
      </c>
      <c r="D11946" s="76" t="s">
        <v>34</v>
      </c>
      <c r="E11946" s="76">
        <v>16</v>
      </c>
      <c r="F11946" s="76">
        <v>5</v>
      </c>
    </row>
    <row r="11947" s="76" customFormat="1" spans="1:6">
      <c r="A11947">
        <v>12264</v>
      </c>
      <c r="B11947">
        <v>612020260</v>
      </c>
      <c r="C11947" s="76">
        <v>2020</v>
      </c>
      <c r="D11947" s="76" t="s">
        <v>34</v>
      </c>
      <c r="E11947" s="76">
        <v>17</v>
      </c>
      <c r="F11947" s="76">
        <v>5</v>
      </c>
    </row>
    <row r="11948" s="76" customFormat="1" spans="1:6">
      <c r="A11948">
        <v>12254</v>
      </c>
      <c r="B11948">
        <v>612020260</v>
      </c>
      <c r="C11948" s="76">
        <v>2020</v>
      </c>
      <c r="D11948" s="76" t="s">
        <v>34</v>
      </c>
      <c r="E11948" s="76">
        <v>25</v>
      </c>
      <c r="F11948" s="76">
        <v>5</v>
      </c>
    </row>
    <row r="11949" s="76" customFormat="1" spans="1:6">
      <c r="A11949">
        <v>12252</v>
      </c>
      <c r="B11949">
        <v>612020260</v>
      </c>
      <c r="C11949" s="76">
        <v>2020</v>
      </c>
      <c r="D11949" s="76" t="s">
        <v>34</v>
      </c>
      <c r="E11949" s="76">
        <v>16</v>
      </c>
      <c r="F11949" s="76">
        <v>5</v>
      </c>
    </row>
    <row r="11950" s="76" customFormat="1" spans="1:6">
      <c r="A11950">
        <v>12250</v>
      </c>
      <c r="B11950">
        <v>612020260</v>
      </c>
      <c r="C11950" s="76">
        <v>2020</v>
      </c>
      <c r="D11950" s="76" t="s">
        <v>34</v>
      </c>
      <c r="E11950" s="76">
        <v>23</v>
      </c>
      <c r="F11950" s="76">
        <v>5</v>
      </c>
    </row>
    <row r="11951" s="76" customFormat="1" spans="1:6">
      <c r="A11951">
        <v>12260</v>
      </c>
      <c r="B11951">
        <v>612020260</v>
      </c>
      <c r="C11951" s="76">
        <v>2020</v>
      </c>
      <c r="D11951" s="76" t="s">
        <v>34</v>
      </c>
      <c r="E11951" s="76">
        <v>20</v>
      </c>
      <c r="F11951" s="76">
        <v>5</v>
      </c>
    </row>
    <row r="11952" s="76" customFormat="1" spans="1:6">
      <c r="A11952">
        <v>12258</v>
      </c>
      <c r="B11952">
        <v>612020260</v>
      </c>
      <c r="C11952" s="76">
        <v>2020</v>
      </c>
      <c r="D11952" s="76" t="s">
        <v>34</v>
      </c>
      <c r="E11952" s="76">
        <v>23</v>
      </c>
      <c r="F11952" s="76">
        <v>5.06</v>
      </c>
    </row>
    <row r="11953" s="76" customFormat="1" spans="1:6">
      <c r="A11953">
        <v>12292</v>
      </c>
      <c r="B11953">
        <v>612020260</v>
      </c>
      <c r="C11953" s="76">
        <v>2020</v>
      </c>
      <c r="D11953" s="76" t="s">
        <v>34</v>
      </c>
      <c r="E11953" s="76" t="s">
        <v>32</v>
      </c>
      <c r="F11953" s="76">
        <v>5</v>
      </c>
    </row>
    <row r="11954" s="76" customFormat="1" spans="1:6">
      <c r="A11954">
        <v>12286</v>
      </c>
      <c r="B11954">
        <v>612020260</v>
      </c>
      <c r="C11954" s="76">
        <v>2020</v>
      </c>
      <c r="D11954" s="76" t="s">
        <v>34</v>
      </c>
      <c r="E11954" s="76" t="s">
        <v>32</v>
      </c>
      <c r="F11954" s="76">
        <v>5</v>
      </c>
    </row>
    <row r="11955" s="76" customFormat="1" spans="1:6">
      <c r="A11955">
        <v>12284</v>
      </c>
      <c r="B11955">
        <v>612020260</v>
      </c>
      <c r="C11955" s="76">
        <v>2020</v>
      </c>
      <c r="D11955" s="76" t="s">
        <v>34</v>
      </c>
      <c r="E11955" s="76" t="s">
        <v>32</v>
      </c>
      <c r="F11955" s="76">
        <v>5</v>
      </c>
    </row>
    <row r="11956" s="76" customFormat="1" spans="1:6">
      <c r="A11956">
        <v>12278</v>
      </c>
      <c r="B11956">
        <v>612020260</v>
      </c>
      <c r="C11956" s="76">
        <v>2020</v>
      </c>
      <c r="D11956" s="76" t="s">
        <v>34</v>
      </c>
      <c r="E11956" s="76">
        <v>18</v>
      </c>
      <c r="F11956" s="76">
        <v>4.5</v>
      </c>
    </row>
    <row r="11957" s="76" customFormat="1" spans="1:6">
      <c r="A11957">
        <v>12297</v>
      </c>
      <c r="B11957">
        <v>612020260</v>
      </c>
      <c r="C11957" s="76">
        <v>2020</v>
      </c>
      <c r="D11957" s="76" t="s">
        <v>34</v>
      </c>
      <c r="E11957" s="76" t="s">
        <v>32</v>
      </c>
      <c r="F11957" s="76">
        <v>5</v>
      </c>
    </row>
    <row r="11958" s="76" customFormat="1" spans="1:6">
      <c r="A11958">
        <v>12298</v>
      </c>
      <c r="B11958">
        <v>612020260</v>
      </c>
      <c r="C11958" s="76">
        <v>2020</v>
      </c>
      <c r="D11958" s="76" t="s">
        <v>34</v>
      </c>
      <c r="E11958" s="76" t="s">
        <v>32</v>
      </c>
      <c r="F11958" s="76">
        <v>5</v>
      </c>
    </row>
    <row r="11959" s="76" customFormat="1" spans="1:6">
      <c r="A11959">
        <v>12293</v>
      </c>
      <c r="B11959">
        <v>612020260</v>
      </c>
      <c r="C11959" s="76">
        <v>2020</v>
      </c>
      <c r="D11959" s="76" t="s">
        <v>34</v>
      </c>
      <c r="E11959" s="76" t="s">
        <v>32</v>
      </c>
      <c r="F11959" s="76">
        <v>5</v>
      </c>
    </row>
    <row r="11960" s="76" customFormat="1" spans="1:6">
      <c r="A11960">
        <v>12303</v>
      </c>
      <c r="B11960">
        <v>612020260</v>
      </c>
      <c r="C11960" s="76">
        <v>2020</v>
      </c>
      <c r="D11960" s="76" t="s">
        <v>34</v>
      </c>
      <c r="E11960" s="76" t="s">
        <v>32</v>
      </c>
      <c r="F11960" s="76">
        <v>5</v>
      </c>
    </row>
    <row r="11961" s="76" customFormat="1" spans="1:6">
      <c r="A11961">
        <v>12306</v>
      </c>
      <c r="B11961">
        <v>612020260</v>
      </c>
      <c r="C11961" s="76">
        <v>2020</v>
      </c>
      <c r="D11961" s="76" t="s">
        <v>34</v>
      </c>
      <c r="E11961" s="76" t="s">
        <v>32</v>
      </c>
      <c r="F11961" s="76">
        <v>5</v>
      </c>
    </row>
    <row r="11962" s="76" customFormat="1" spans="1:6">
      <c r="A11962">
        <v>12294</v>
      </c>
      <c r="B11962">
        <v>612020260</v>
      </c>
      <c r="C11962" s="76">
        <v>2020</v>
      </c>
      <c r="D11962" s="76" t="s">
        <v>34</v>
      </c>
      <c r="E11962" s="76" t="s">
        <v>32</v>
      </c>
      <c r="F11962" s="76">
        <v>5</v>
      </c>
    </row>
    <row r="11963" s="76" customFormat="1" spans="1:6">
      <c r="A11963">
        <v>12291</v>
      </c>
      <c r="B11963">
        <v>612020260</v>
      </c>
      <c r="C11963" s="76">
        <v>2020</v>
      </c>
      <c r="D11963" s="76" t="s">
        <v>34</v>
      </c>
      <c r="E11963" s="76" t="s">
        <v>32</v>
      </c>
      <c r="F11963" s="76">
        <v>10</v>
      </c>
    </row>
    <row r="11964" s="76" customFormat="1" spans="1:6">
      <c r="A11964">
        <v>12257</v>
      </c>
      <c r="B11964">
        <v>612020260</v>
      </c>
      <c r="C11964" s="76">
        <v>2020</v>
      </c>
      <c r="D11964" s="76" t="s">
        <v>34</v>
      </c>
      <c r="E11964" s="76">
        <v>16</v>
      </c>
      <c r="F11964" s="76">
        <v>5</v>
      </c>
    </row>
    <row r="11965" s="76" customFormat="1" spans="1:6">
      <c r="A11965">
        <v>12302</v>
      </c>
      <c r="B11965">
        <v>612020260</v>
      </c>
      <c r="C11965" s="76">
        <v>2020</v>
      </c>
      <c r="D11965" s="76" t="s">
        <v>34</v>
      </c>
      <c r="E11965" s="76" t="s">
        <v>32</v>
      </c>
      <c r="F11965" s="76">
        <v>5</v>
      </c>
    </row>
    <row r="11966" s="76" customFormat="1" spans="1:6">
      <c r="A11966">
        <v>12296</v>
      </c>
      <c r="B11966">
        <v>612020260</v>
      </c>
      <c r="C11966" s="76">
        <v>2020</v>
      </c>
      <c r="D11966" s="76" t="s">
        <v>34</v>
      </c>
      <c r="E11966" s="76" t="s">
        <v>32</v>
      </c>
      <c r="F11966" s="76">
        <v>10</v>
      </c>
    </row>
    <row r="11967" s="76" customFormat="1" spans="1:6">
      <c r="A11967">
        <v>12281</v>
      </c>
      <c r="B11967">
        <v>612020260</v>
      </c>
      <c r="C11967" s="76">
        <v>2020</v>
      </c>
      <c r="D11967" s="76" t="s">
        <v>34</v>
      </c>
      <c r="E11967" s="76">
        <v>32</v>
      </c>
      <c r="F11967" s="76">
        <v>10</v>
      </c>
    </row>
    <row r="11968" s="76" customFormat="1" spans="1:6">
      <c r="A11968">
        <v>12282</v>
      </c>
      <c r="B11968">
        <v>612020260</v>
      </c>
      <c r="C11968" s="76">
        <v>2020</v>
      </c>
      <c r="D11968" s="76" t="s">
        <v>34</v>
      </c>
      <c r="E11968" s="76">
        <v>32</v>
      </c>
      <c r="F11968" s="76">
        <v>10</v>
      </c>
    </row>
    <row r="11969" s="76" customFormat="1" spans="1:6">
      <c r="A11969">
        <v>12290</v>
      </c>
      <c r="B11969">
        <v>612020260</v>
      </c>
      <c r="C11969" s="76">
        <v>2020</v>
      </c>
      <c r="D11969" s="76" t="s">
        <v>34</v>
      </c>
      <c r="E11969" s="76" t="s">
        <v>32</v>
      </c>
      <c r="F11969" s="76">
        <v>5</v>
      </c>
    </row>
    <row r="11970" s="76" customFormat="1" spans="1:6">
      <c r="A11970">
        <v>12324</v>
      </c>
      <c r="B11970">
        <v>612020270</v>
      </c>
      <c r="C11970" s="76">
        <v>2020</v>
      </c>
      <c r="D11970" s="76" t="s">
        <v>31</v>
      </c>
      <c r="E11970" s="76" t="s">
        <v>32</v>
      </c>
      <c r="F11970" s="76">
        <v>5</v>
      </c>
    </row>
    <row r="11971" s="76" customFormat="1" spans="1:6">
      <c r="A11971">
        <v>12319</v>
      </c>
      <c r="B11971">
        <v>612020270</v>
      </c>
      <c r="C11971" s="76">
        <v>2020</v>
      </c>
      <c r="D11971" s="76" t="s">
        <v>31</v>
      </c>
      <c r="E11971" s="76" t="s">
        <v>32</v>
      </c>
      <c r="F11971" s="76">
        <v>5</v>
      </c>
    </row>
    <row r="11972" s="76" customFormat="1" spans="1:6">
      <c r="A11972">
        <v>12318</v>
      </c>
      <c r="B11972">
        <v>612020270</v>
      </c>
      <c r="C11972" s="76">
        <v>2020</v>
      </c>
      <c r="D11972" s="76" t="s">
        <v>31</v>
      </c>
      <c r="E11972" s="76" t="s">
        <v>32</v>
      </c>
      <c r="F11972" s="76">
        <v>5</v>
      </c>
    </row>
    <row r="11973" s="76" customFormat="1" spans="1:6">
      <c r="A11973">
        <v>12317</v>
      </c>
      <c r="B11973">
        <v>612020270</v>
      </c>
      <c r="C11973" s="76">
        <v>2020</v>
      </c>
      <c r="D11973" s="76" t="s">
        <v>31</v>
      </c>
      <c r="E11973" s="76" t="s">
        <v>32</v>
      </c>
      <c r="F11973" s="76">
        <v>5</v>
      </c>
    </row>
    <row r="11974" s="76" customFormat="1" spans="1:6">
      <c r="A11974">
        <v>12314</v>
      </c>
      <c r="B11974">
        <v>612020270</v>
      </c>
      <c r="C11974" s="76">
        <v>2020</v>
      </c>
      <c r="D11974" s="76" t="s">
        <v>31</v>
      </c>
      <c r="E11974" s="76" t="s">
        <v>32</v>
      </c>
      <c r="F11974" s="76">
        <v>3.35</v>
      </c>
    </row>
    <row r="11975" s="76" customFormat="1" spans="1:6">
      <c r="A11975">
        <v>12315</v>
      </c>
      <c r="B11975">
        <v>612020270</v>
      </c>
      <c r="C11975" s="76">
        <v>2020</v>
      </c>
      <c r="D11975" s="76" t="s">
        <v>31</v>
      </c>
      <c r="E11975" s="76" t="s">
        <v>32</v>
      </c>
      <c r="F11975" s="76">
        <v>10</v>
      </c>
    </row>
    <row r="11976" s="76" customFormat="1" spans="1:6">
      <c r="A11976">
        <v>12316</v>
      </c>
      <c r="B11976">
        <v>612020270</v>
      </c>
      <c r="C11976" s="76">
        <v>2020</v>
      </c>
      <c r="D11976" s="76" t="s">
        <v>31</v>
      </c>
      <c r="E11976" s="76" t="s">
        <v>32</v>
      </c>
      <c r="F11976" s="76">
        <v>5</v>
      </c>
    </row>
    <row r="11977" s="76" customFormat="1" spans="1:6">
      <c r="A11977">
        <v>12308</v>
      </c>
      <c r="B11977">
        <v>612020270</v>
      </c>
      <c r="C11977" s="76">
        <v>2020</v>
      </c>
      <c r="D11977" s="76" t="s">
        <v>31</v>
      </c>
      <c r="E11977" s="76" t="s">
        <v>32</v>
      </c>
      <c r="F11977" s="76">
        <v>3</v>
      </c>
    </row>
    <row r="11978" s="76" customFormat="1" spans="1:6">
      <c r="A11978">
        <v>12309</v>
      </c>
      <c r="B11978">
        <v>612020270</v>
      </c>
      <c r="C11978" s="76">
        <v>2020</v>
      </c>
      <c r="D11978" s="76" t="s">
        <v>31</v>
      </c>
      <c r="E11978" s="76" t="s">
        <v>32</v>
      </c>
      <c r="F11978" s="76">
        <v>5</v>
      </c>
    </row>
    <row r="11979" s="76" customFormat="1" spans="1:6">
      <c r="A11979">
        <v>12311</v>
      </c>
      <c r="B11979">
        <v>612020270</v>
      </c>
      <c r="C11979" s="76">
        <v>2020</v>
      </c>
      <c r="D11979" s="76" t="s">
        <v>31</v>
      </c>
      <c r="E11979" s="76" t="s">
        <v>32</v>
      </c>
      <c r="F11979" s="76">
        <v>5</v>
      </c>
    </row>
    <row r="11980" s="76" customFormat="1" spans="1:6">
      <c r="A11980">
        <v>12321</v>
      </c>
      <c r="B11980">
        <v>612020270</v>
      </c>
      <c r="C11980" s="76">
        <v>2020</v>
      </c>
      <c r="D11980" s="76" t="s">
        <v>31</v>
      </c>
      <c r="E11980" s="76" t="s">
        <v>32</v>
      </c>
      <c r="F11980" s="76">
        <v>5</v>
      </c>
    </row>
    <row r="11981" s="76" customFormat="1" spans="1:6">
      <c r="A11981">
        <v>12307</v>
      </c>
      <c r="B11981">
        <v>612020270</v>
      </c>
      <c r="C11981" s="76">
        <v>2020</v>
      </c>
      <c r="D11981" s="76" t="s">
        <v>31</v>
      </c>
      <c r="E11981" s="76" t="s">
        <v>32</v>
      </c>
      <c r="F11981" s="76">
        <v>5</v>
      </c>
    </row>
    <row r="11982" s="76" customFormat="1" spans="1:6">
      <c r="A11982">
        <v>12323</v>
      </c>
      <c r="B11982">
        <v>612020270</v>
      </c>
      <c r="C11982" s="76">
        <v>2020</v>
      </c>
      <c r="D11982" s="76" t="s">
        <v>31</v>
      </c>
      <c r="E11982" s="76" t="s">
        <v>32</v>
      </c>
      <c r="F11982" s="76">
        <v>1</v>
      </c>
    </row>
    <row r="11983" s="76" customFormat="1" spans="1:6">
      <c r="A11983">
        <v>12325</v>
      </c>
      <c r="B11983">
        <v>612020270</v>
      </c>
      <c r="C11983" s="76">
        <v>2020</v>
      </c>
      <c r="D11983" s="76" t="s">
        <v>31</v>
      </c>
      <c r="E11983" s="76" t="s">
        <v>32</v>
      </c>
      <c r="F11983" s="76">
        <v>10</v>
      </c>
    </row>
    <row r="11984" s="76" customFormat="1" spans="1:6">
      <c r="A11984">
        <v>12320</v>
      </c>
      <c r="B11984">
        <v>612020270</v>
      </c>
      <c r="C11984" s="76">
        <v>2020</v>
      </c>
      <c r="D11984" s="76" t="s">
        <v>31</v>
      </c>
      <c r="E11984" s="76" t="s">
        <v>32</v>
      </c>
      <c r="F11984" s="76">
        <v>5</v>
      </c>
    </row>
    <row r="11985" s="76" customFormat="1" spans="1:6">
      <c r="A11985">
        <v>12327</v>
      </c>
      <c r="B11985">
        <v>612020270</v>
      </c>
      <c r="C11985" s="76">
        <v>2020</v>
      </c>
      <c r="D11985" s="76" t="s">
        <v>31</v>
      </c>
      <c r="E11985" s="76" t="s">
        <v>32</v>
      </c>
      <c r="F11985" s="76">
        <v>10</v>
      </c>
    </row>
    <row r="11986" s="76" customFormat="1" spans="1:6">
      <c r="A11986">
        <v>12310</v>
      </c>
      <c r="B11986">
        <v>612020270</v>
      </c>
      <c r="C11986" s="76">
        <v>2020</v>
      </c>
      <c r="D11986" s="76" t="s">
        <v>31</v>
      </c>
      <c r="E11986" s="76" t="s">
        <v>32</v>
      </c>
      <c r="F11986" s="76">
        <v>2.87</v>
      </c>
    </row>
    <row r="11987" s="76" customFormat="1" spans="1:6">
      <c r="A11987">
        <v>12312</v>
      </c>
      <c r="B11987">
        <v>612020270</v>
      </c>
      <c r="C11987" s="76">
        <v>2020</v>
      </c>
      <c r="D11987" s="76" t="s">
        <v>31</v>
      </c>
      <c r="E11987" s="76" t="s">
        <v>32</v>
      </c>
      <c r="F11987" s="76">
        <v>10</v>
      </c>
    </row>
    <row r="11988" s="76" customFormat="1" spans="1:6">
      <c r="A11988">
        <v>12326</v>
      </c>
      <c r="B11988">
        <v>612020270</v>
      </c>
      <c r="C11988" s="76">
        <v>2020</v>
      </c>
      <c r="D11988" s="76" t="s">
        <v>31</v>
      </c>
      <c r="E11988" s="76" t="s">
        <v>32</v>
      </c>
      <c r="F11988" s="76">
        <v>10</v>
      </c>
    </row>
    <row r="11989" s="76" customFormat="1" spans="1:6">
      <c r="A11989">
        <v>12322</v>
      </c>
      <c r="B11989">
        <v>612020270</v>
      </c>
      <c r="C11989" s="76">
        <v>2020</v>
      </c>
      <c r="D11989" s="76" t="s">
        <v>31</v>
      </c>
      <c r="E11989" s="76" t="s">
        <v>32</v>
      </c>
      <c r="F11989" s="76">
        <v>10</v>
      </c>
    </row>
    <row r="11990" s="76" customFormat="1" spans="1:6">
      <c r="A11990">
        <v>12331</v>
      </c>
      <c r="B11990">
        <v>612021110</v>
      </c>
      <c r="C11990" s="76">
        <v>2021</v>
      </c>
      <c r="D11990" s="76" t="s">
        <v>40</v>
      </c>
      <c r="E11990" s="76" t="s">
        <v>32</v>
      </c>
      <c r="F11990" s="76">
        <v>2.33</v>
      </c>
    </row>
    <row r="11991" s="76" customFormat="1" spans="1:6">
      <c r="A11991">
        <v>12328</v>
      </c>
      <c r="B11991">
        <v>612021110</v>
      </c>
      <c r="C11991" s="76">
        <v>2021</v>
      </c>
      <c r="D11991" s="76" t="s">
        <v>40</v>
      </c>
      <c r="E11991" s="76" t="s">
        <v>32</v>
      </c>
      <c r="F11991" s="76">
        <v>1</v>
      </c>
    </row>
    <row r="11992" s="76" customFormat="1" spans="1:6">
      <c r="A11992">
        <v>12330</v>
      </c>
      <c r="B11992">
        <v>612021110</v>
      </c>
      <c r="C11992" s="76">
        <v>2021</v>
      </c>
      <c r="D11992" s="76" t="s">
        <v>40</v>
      </c>
      <c r="E11992" s="76" t="s">
        <v>32</v>
      </c>
      <c r="F11992" s="76">
        <v>0.18</v>
      </c>
    </row>
    <row r="11993" s="76" customFormat="1" spans="1:6">
      <c r="A11993">
        <v>12332</v>
      </c>
      <c r="B11993">
        <v>612021110</v>
      </c>
      <c r="C11993" s="76">
        <v>2021</v>
      </c>
      <c r="D11993" s="76" t="s">
        <v>40</v>
      </c>
      <c r="E11993" s="76" t="s">
        <v>32</v>
      </c>
      <c r="F11993" s="76">
        <v>6</v>
      </c>
    </row>
    <row r="11994" s="76" customFormat="1" spans="1:6">
      <c r="A11994">
        <v>12329</v>
      </c>
      <c r="B11994">
        <v>612021110</v>
      </c>
      <c r="C11994" s="76">
        <v>2021</v>
      </c>
      <c r="D11994" s="76" t="s">
        <v>40</v>
      </c>
      <c r="E11994" s="76" t="s">
        <v>32</v>
      </c>
      <c r="F11994" s="76">
        <v>3.5</v>
      </c>
    </row>
    <row r="11995" s="76" customFormat="1" spans="1:6">
      <c r="A11995">
        <v>12333</v>
      </c>
      <c r="B11995">
        <v>612021211</v>
      </c>
      <c r="C11995" s="76">
        <v>2021</v>
      </c>
      <c r="D11995" s="76" t="s">
        <v>37</v>
      </c>
      <c r="E11995" s="76" t="s">
        <v>32</v>
      </c>
      <c r="F11995" s="76">
        <v>2.5</v>
      </c>
    </row>
    <row r="11996" s="76" customFormat="1" spans="1:6">
      <c r="A11996">
        <v>12336</v>
      </c>
      <c r="B11996">
        <v>612021241</v>
      </c>
      <c r="C11996" s="76">
        <v>2021</v>
      </c>
      <c r="D11996" s="76" t="s">
        <v>33</v>
      </c>
      <c r="E11996" s="76" t="s">
        <v>32</v>
      </c>
      <c r="F11996" s="76">
        <v>1.2</v>
      </c>
    </row>
    <row r="11997" s="76" customFormat="1" spans="1:6">
      <c r="A11997">
        <v>12334</v>
      </c>
      <c r="B11997">
        <v>612021241</v>
      </c>
      <c r="C11997" s="76">
        <v>2021</v>
      </c>
      <c r="D11997" s="76" t="s">
        <v>33</v>
      </c>
      <c r="E11997" s="76" t="s">
        <v>32</v>
      </c>
      <c r="F11997" s="76">
        <v>3</v>
      </c>
    </row>
    <row r="11998" s="76" customFormat="1" spans="1:6">
      <c r="A11998">
        <v>12335</v>
      </c>
      <c r="B11998">
        <v>612021241</v>
      </c>
      <c r="C11998" s="76">
        <v>2021</v>
      </c>
      <c r="D11998" s="76" t="s">
        <v>33</v>
      </c>
      <c r="E11998" s="76" t="s">
        <v>32</v>
      </c>
      <c r="F11998" s="76">
        <v>0.15</v>
      </c>
    </row>
    <row r="11999" s="76" customFormat="1" spans="1:6">
      <c r="A11999">
        <v>12338</v>
      </c>
      <c r="B11999">
        <v>612021242</v>
      </c>
      <c r="C11999" s="76">
        <v>2021</v>
      </c>
      <c r="D11999" s="76" t="s">
        <v>35</v>
      </c>
      <c r="E11999" s="76" t="s">
        <v>32</v>
      </c>
      <c r="F11999" s="76">
        <v>1.5</v>
      </c>
    </row>
    <row r="12000" s="76" customFormat="1" spans="1:6">
      <c r="A12000">
        <v>12340</v>
      </c>
      <c r="B12000">
        <v>612021243</v>
      </c>
      <c r="C12000" s="76">
        <v>2021</v>
      </c>
      <c r="D12000" s="76" t="s">
        <v>38</v>
      </c>
      <c r="E12000" s="76" t="s">
        <v>32</v>
      </c>
      <c r="F12000" s="76">
        <v>2.4</v>
      </c>
    </row>
    <row r="12001" s="76" customFormat="1" spans="1:6">
      <c r="A12001">
        <v>12339</v>
      </c>
      <c r="B12001">
        <v>612021243</v>
      </c>
      <c r="C12001" s="76">
        <v>2021</v>
      </c>
      <c r="D12001" s="76" t="s">
        <v>38</v>
      </c>
      <c r="E12001" s="76" t="s">
        <v>32</v>
      </c>
      <c r="F12001" s="76">
        <v>1.6</v>
      </c>
    </row>
    <row r="12002" s="76" customFormat="1" spans="1:6">
      <c r="A12002">
        <v>12347</v>
      </c>
      <c r="B12002">
        <v>612021260</v>
      </c>
      <c r="C12002" s="76">
        <v>2021</v>
      </c>
      <c r="D12002" s="76" t="s">
        <v>34</v>
      </c>
      <c r="E12002" s="76">
        <v>7</v>
      </c>
      <c r="F12002" s="76">
        <v>2.1</v>
      </c>
    </row>
    <row r="12003" s="76" customFormat="1" spans="1:6">
      <c r="A12003">
        <v>12348</v>
      </c>
      <c r="B12003">
        <v>612021260</v>
      </c>
      <c r="C12003" s="76">
        <v>2021</v>
      </c>
      <c r="D12003" s="76" t="s">
        <v>34</v>
      </c>
      <c r="E12003" s="76">
        <v>8</v>
      </c>
      <c r="F12003" s="76">
        <v>2.4</v>
      </c>
    </row>
    <row r="12004" s="76" customFormat="1" spans="1:6">
      <c r="A12004">
        <v>12360</v>
      </c>
      <c r="B12004">
        <v>612021260</v>
      </c>
      <c r="C12004" s="76">
        <v>2021</v>
      </c>
      <c r="D12004" s="76" t="s">
        <v>34</v>
      </c>
      <c r="E12004" s="76" t="s">
        <v>32</v>
      </c>
      <c r="F12004" s="76">
        <v>2</v>
      </c>
    </row>
    <row r="12005" s="76" customFormat="1" spans="1:6">
      <c r="A12005">
        <v>12357</v>
      </c>
      <c r="B12005">
        <v>612021260</v>
      </c>
      <c r="C12005" s="76">
        <v>2021</v>
      </c>
      <c r="D12005" s="76" t="s">
        <v>34</v>
      </c>
      <c r="E12005" s="76" t="s">
        <v>32</v>
      </c>
      <c r="F12005" s="76">
        <v>4</v>
      </c>
    </row>
    <row r="12006" s="76" customFormat="1" spans="1:6">
      <c r="A12006">
        <v>12359</v>
      </c>
      <c r="B12006">
        <v>612021260</v>
      </c>
      <c r="C12006" s="76">
        <v>2021</v>
      </c>
      <c r="D12006" s="76" t="s">
        <v>34</v>
      </c>
      <c r="E12006" s="76" t="s">
        <v>32</v>
      </c>
      <c r="F12006" s="76">
        <v>3</v>
      </c>
    </row>
    <row r="12007" s="76" customFormat="1" spans="1:6">
      <c r="A12007">
        <v>12368</v>
      </c>
      <c r="B12007">
        <v>612021260</v>
      </c>
      <c r="C12007" s="76">
        <v>2021</v>
      </c>
      <c r="D12007" s="76" t="s">
        <v>34</v>
      </c>
      <c r="E12007" s="76" t="s">
        <v>32</v>
      </c>
      <c r="F12007" s="76">
        <v>4.9</v>
      </c>
    </row>
    <row r="12008" s="76" customFormat="1" spans="1:6">
      <c r="A12008">
        <v>12369</v>
      </c>
      <c r="B12008">
        <v>612021260</v>
      </c>
      <c r="C12008" s="76">
        <v>2021</v>
      </c>
      <c r="D12008" s="76" t="s">
        <v>34</v>
      </c>
      <c r="E12008" s="76" t="s">
        <v>32</v>
      </c>
      <c r="F12008" s="76">
        <v>3</v>
      </c>
    </row>
    <row r="12009" s="76" customFormat="1" spans="1:6">
      <c r="A12009">
        <v>12342</v>
      </c>
      <c r="B12009">
        <v>612021260</v>
      </c>
      <c r="C12009" s="76">
        <v>2021</v>
      </c>
      <c r="D12009" s="76" t="s">
        <v>34</v>
      </c>
      <c r="E12009" s="76">
        <v>39</v>
      </c>
      <c r="F12009" s="76">
        <v>9.75</v>
      </c>
    </row>
    <row r="12010" s="76" customFormat="1" spans="1:6">
      <c r="A12010">
        <v>12345</v>
      </c>
      <c r="B12010">
        <v>612021260</v>
      </c>
      <c r="C12010" s="76">
        <v>2021</v>
      </c>
      <c r="D12010" s="76" t="s">
        <v>34</v>
      </c>
      <c r="E12010" s="76">
        <v>14</v>
      </c>
      <c r="F12010" s="76">
        <v>4.2</v>
      </c>
    </row>
    <row r="12011" s="76" customFormat="1" spans="1:6">
      <c r="A12011">
        <v>12370</v>
      </c>
      <c r="B12011">
        <v>612021260</v>
      </c>
      <c r="C12011" s="76">
        <v>2021</v>
      </c>
      <c r="D12011" s="76" t="s">
        <v>34</v>
      </c>
      <c r="E12011" s="76" t="s">
        <v>32</v>
      </c>
      <c r="F12011" s="76">
        <v>2</v>
      </c>
    </row>
    <row r="12012" s="76" customFormat="1" spans="1:6">
      <c r="A12012">
        <v>12371</v>
      </c>
      <c r="B12012">
        <v>612021260</v>
      </c>
      <c r="C12012" s="76">
        <v>2021</v>
      </c>
      <c r="D12012" s="76" t="s">
        <v>34</v>
      </c>
      <c r="E12012" s="76" t="s">
        <v>32</v>
      </c>
      <c r="F12012" s="76">
        <v>2</v>
      </c>
    </row>
    <row r="12013" s="76" customFormat="1" spans="1:6">
      <c r="A12013">
        <v>12354</v>
      </c>
      <c r="B12013">
        <v>612021260</v>
      </c>
      <c r="C12013" s="76">
        <v>2021</v>
      </c>
      <c r="D12013" s="76" t="s">
        <v>34</v>
      </c>
      <c r="E12013" s="76" t="s">
        <v>32</v>
      </c>
      <c r="F12013" s="76">
        <v>4.95</v>
      </c>
    </row>
    <row r="12014" s="76" customFormat="1" spans="1:6">
      <c r="A12014">
        <v>12341</v>
      </c>
      <c r="B12014">
        <v>612021260</v>
      </c>
      <c r="C12014" s="76">
        <v>2021</v>
      </c>
      <c r="D12014" s="76" t="s">
        <v>34</v>
      </c>
      <c r="E12014" s="76">
        <v>21</v>
      </c>
      <c r="F12014" s="76">
        <v>4.2</v>
      </c>
    </row>
    <row r="12015" s="76" customFormat="1" spans="1:6">
      <c r="A12015">
        <v>12361</v>
      </c>
      <c r="B12015">
        <v>612021260</v>
      </c>
      <c r="C12015" s="76">
        <v>2021</v>
      </c>
      <c r="D12015" s="76" t="s">
        <v>34</v>
      </c>
      <c r="E12015" s="76" t="s">
        <v>32</v>
      </c>
      <c r="F12015" s="76">
        <v>2</v>
      </c>
    </row>
    <row r="12016" s="76" customFormat="1" spans="1:6">
      <c r="A12016">
        <v>12362</v>
      </c>
      <c r="B12016">
        <v>612021260</v>
      </c>
      <c r="C12016" s="76">
        <v>2021</v>
      </c>
      <c r="D12016" s="76" t="s">
        <v>34</v>
      </c>
      <c r="E12016" s="76" t="s">
        <v>32</v>
      </c>
      <c r="F12016" s="76">
        <v>2</v>
      </c>
    </row>
    <row r="12017" s="76" customFormat="1" spans="1:6">
      <c r="A12017">
        <v>12372</v>
      </c>
      <c r="B12017">
        <v>612021260</v>
      </c>
      <c r="C12017" s="76">
        <v>2021</v>
      </c>
      <c r="D12017" s="76" t="s">
        <v>34</v>
      </c>
      <c r="E12017" s="76" t="s">
        <v>32</v>
      </c>
      <c r="F12017" s="76">
        <v>2</v>
      </c>
    </row>
    <row r="12018" s="76" customFormat="1" spans="1:6">
      <c r="A12018">
        <v>12350</v>
      </c>
      <c r="B12018">
        <v>612021260</v>
      </c>
      <c r="C12018" s="76">
        <v>2021</v>
      </c>
      <c r="D12018" s="76" t="s">
        <v>34</v>
      </c>
      <c r="E12018" s="76">
        <v>17</v>
      </c>
      <c r="F12018" s="76">
        <v>3.98</v>
      </c>
    </row>
    <row r="12019" s="76" customFormat="1" spans="1:6">
      <c r="A12019">
        <v>12343</v>
      </c>
      <c r="B12019">
        <v>612021260</v>
      </c>
      <c r="C12019" s="76">
        <v>2021</v>
      </c>
      <c r="D12019" s="76" t="s">
        <v>34</v>
      </c>
      <c r="E12019" s="76">
        <v>2</v>
      </c>
      <c r="F12019" s="76">
        <v>0.4</v>
      </c>
    </row>
    <row r="12020" s="76" customFormat="1" spans="1:6">
      <c r="A12020">
        <v>12344</v>
      </c>
      <c r="B12020">
        <v>612021260</v>
      </c>
      <c r="C12020" s="76">
        <v>2021</v>
      </c>
      <c r="D12020" s="76" t="s">
        <v>34</v>
      </c>
      <c r="E12020" s="76">
        <v>3</v>
      </c>
      <c r="F12020" s="76">
        <v>0.6</v>
      </c>
    </row>
    <row r="12021" s="76" customFormat="1" spans="1:6">
      <c r="A12021">
        <v>12355</v>
      </c>
      <c r="B12021">
        <v>612021260</v>
      </c>
      <c r="C12021" s="76">
        <v>2021</v>
      </c>
      <c r="D12021" s="76" t="s">
        <v>34</v>
      </c>
      <c r="E12021" s="76" t="s">
        <v>32</v>
      </c>
      <c r="F12021" s="76">
        <v>4</v>
      </c>
    </row>
    <row r="12022" s="76" customFormat="1" spans="1:6">
      <c r="A12022">
        <v>12373</v>
      </c>
      <c r="B12022">
        <v>612021260</v>
      </c>
      <c r="C12022" s="76">
        <v>2021</v>
      </c>
      <c r="D12022" s="76" t="s">
        <v>34</v>
      </c>
      <c r="E12022" s="76" t="s">
        <v>32</v>
      </c>
      <c r="F12022" s="76">
        <v>1</v>
      </c>
    </row>
    <row r="12023" s="76" customFormat="1" spans="1:6">
      <c r="A12023">
        <v>12374</v>
      </c>
      <c r="B12023">
        <v>612021260</v>
      </c>
      <c r="C12023" s="76">
        <v>2021</v>
      </c>
      <c r="D12023" s="76" t="s">
        <v>34</v>
      </c>
      <c r="E12023" s="76" t="s">
        <v>32</v>
      </c>
      <c r="F12023" s="76">
        <v>4</v>
      </c>
    </row>
    <row r="12024" s="76" customFormat="1" spans="1:6">
      <c r="A12024">
        <v>12375</v>
      </c>
      <c r="B12024">
        <v>612021260</v>
      </c>
      <c r="C12024" s="76">
        <v>2021</v>
      </c>
      <c r="D12024" s="76" t="s">
        <v>34</v>
      </c>
      <c r="E12024" s="76" t="s">
        <v>32</v>
      </c>
      <c r="F12024" s="76">
        <v>2</v>
      </c>
    </row>
    <row r="12025" s="76" customFormat="1" spans="1:6">
      <c r="A12025">
        <v>12363</v>
      </c>
      <c r="B12025">
        <v>612021260</v>
      </c>
      <c r="C12025" s="76">
        <v>2021</v>
      </c>
      <c r="D12025" s="76" t="s">
        <v>34</v>
      </c>
      <c r="E12025" s="76" t="s">
        <v>32</v>
      </c>
      <c r="F12025" s="76">
        <v>2</v>
      </c>
    </row>
    <row r="12026" s="76" customFormat="1" spans="1:6">
      <c r="A12026">
        <v>12376</v>
      </c>
      <c r="B12026">
        <v>612021260</v>
      </c>
      <c r="C12026" s="76">
        <v>2021</v>
      </c>
      <c r="D12026" s="76" t="s">
        <v>34</v>
      </c>
      <c r="E12026" s="76" t="s">
        <v>32</v>
      </c>
      <c r="F12026" s="76">
        <v>3</v>
      </c>
    </row>
    <row r="12027" s="76" customFormat="1" spans="1:6">
      <c r="A12027">
        <v>12377</v>
      </c>
      <c r="B12027">
        <v>612021260</v>
      </c>
      <c r="C12027" s="76">
        <v>2021</v>
      </c>
      <c r="D12027" s="76" t="s">
        <v>34</v>
      </c>
      <c r="E12027" s="76" t="s">
        <v>32</v>
      </c>
      <c r="F12027" s="76">
        <v>4</v>
      </c>
    </row>
    <row r="12028" s="76" customFormat="1" spans="1:6">
      <c r="A12028">
        <v>12378</v>
      </c>
      <c r="B12028">
        <v>612021260</v>
      </c>
      <c r="C12028" s="76">
        <v>2021</v>
      </c>
      <c r="D12028" s="76" t="s">
        <v>34</v>
      </c>
      <c r="E12028" s="76" t="s">
        <v>32</v>
      </c>
      <c r="F12028" s="76">
        <v>2</v>
      </c>
    </row>
    <row r="12029" s="76" customFormat="1" spans="1:6">
      <c r="A12029">
        <v>12346</v>
      </c>
      <c r="B12029">
        <v>612021260</v>
      </c>
      <c r="C12029" s="76">
        <v>2021</v>
      </c>
      <c r="D12029" s="76" t="s">
        <v>34</v>
      </c>
      <c r="E12029" s="76">
        <v>3</v>
      </c>
      <c r="F12029" s="76">
        <v>0.84</v>
      </c>
    </row>
    <row r="12030" s="76" customFormat="1" spans="1:6">
      <c r="A12030">
        <v>12356</v>
      </c>
      <c r="B12030">
        <v>612021260</v>
      </c>
      <c r="C12030" s="76">
        <v>2021</v>
      </c>
      <c r="D12030" s="76" t="s">
        <v>34</v>
      </c>
      <c r="E12030" s="76" t="s">
        <v>32</v>
      </c>
      <c r="F12030" s="76">
        <v>4</v>
      </c>
    </row>
    <row r="12031" s="76" customFormat="1" spans="1:6">
      <c r="A12031">
        <v>12366</v>
      </c>
      <c r="B12031">
        <v>612021260</v>
      </c>
      <c r="C12031" s="76">
        <v>2021</v>
      </c>
      <c r="D12031" s="76" t="s">
        <v>34</v>
      </c>
      <c r="E12031" s="76" t="s">
        <v>32</v>
      </c>
      <c r="F12031" s="76">
        <v>1.98</v>
      </c>
    </row>
    <row r="12032" s="76" customFormat="1" spans="1:6">
      <c r="A12032">
        <v>12358</v>
      </c>
      <c r="B12032">
        <v>612021260</v>
      </c>
      <c r="C12032" s="76">
        <v>2021</v>
      </c>
      <c r="D12032" s="76" t="s">
        <v>34</v>
      </c>
      <c r="E12032" s="76" t="s">
        <v>32</v>
      </c>
      <c r="F12032" s="76">
        <v>4</v>
      </c>
    </row>
    <row r="12033" s="76" customFormat="1" spans="1:6">
      <c r="A12033">
        <v>12365</v>
      </c>
      <c r="B12033">
        <v>612021260</v>
      </c>
      <c r="C12033" s="76">
        <v>2021</v>
      </c>
      <c r="D12033" s="76" t="s">
        <v>34</v>
      </c>
      <c r="E12033" s="76" t="s">
        <v>32</v>
      </c>
      <c r="F12033" s="76">
        <v>1.96</v>
      </c>
    </row>
    <row r="12034" s="76" customFormat="1" spans="1:6">
      <c r="A12034">
        <v>12379</v>
      </c>
      <c r="B12034">
        <v>612021260</v>
      </c>
      <c r="C12034" s="76">
        <v>2021</v>
      </c>
      <c r="D12034" s="76" t="s">
        <v>34</v>
      </c>
      <c r="E12034" s="76" t="s">
        <v>32</v>
      </c>
      <c r="F12034" s="76">
        <v>2</v>
      </c>
    </row>
    <row r="12035" s="76" customFormat="1" spans="1:6">
      <c r="A12035">
        <v>12351</v>
      </c>
      <c r="B12035">
        <v>612021260</v>
      </c>
      <c r="C12035" s="76">
        <v>2021</v>
      </c>
      <c r="D12035" s="76" t="s">
        <v>34</v>
      </c>
      <c r="E12035" s="76">
        <v>2</v>
      </c>
      <c r="F12035" s="76">
        <v>0.5</v>
      </c>
    </row>
    <row r="12036" s="76" customFormat="1" spans="1:6">
      <c r="A12036">
        <v>12349</v>
      </c>
      <c r="B12036">
        <v>612021260</v>
      </c>
      <c r="C12036" s="76">
        <v>2021</v>
      </c>
      <c r="D12036" s="76" t="s">
        <v>34</v>
      </c>
      <c r="E12036" s="76">
        <v>5</v>
      </c>
      <c r="F12036" s="76">
        <v>2</v>
      </c>
    </row>
    <row r="12037" s="76" customFormat="1" spans="1:6">
      <c r="A12037">
        <v>12380</v>
      </c>
      <c r="B12037">
        <v>612021260</v>
      </c>
      <c r="C12037" s="76">
        <v>2021</v>
      </c>
      <c r="D12037" s="76" t="s">
        <v>34</v>
      </c>
      <c r="E12037" s="76" t="s">
        <v>32</v>
      </c>
      <c r="F12037" s="76">
        <v>4</v>
      </c>
    </row>
    <row r="12038" s="76" customFormat="1" spans="1:6">
      <c r="A12038">
        <v>12367</v>
      </c>
      <c r="B12038">
        <v>612021260</v>
      </c>
      <c r="C12038" s="76">
        <v>2021</v>
      </c>
      <c r="D12038" s="76" t="s">
        <v>34</v>
      </c>
      <c r="E12038" s="76" t="s">
        <v>32</v>
      </c>
      <c r="F12038" s="76">
        <v>3</v>
      </c>
    </row>
    <row r="12039" s="76" customFormat="1" spans="1:6">
      <c r="A12039">
        <v>12364</v>
      </c>
      <c r="B12039">
        <v>612021260</v>
      </c>
      <c r="C12039" s="76">
        <v>2021</v>
      </c>
      <c r="D12039" s="76" t="s">
        <v>34</v>
      </c>
      <c r="E12039" s="76" t="s">
        <v>32</v>
      </c>
      <c r="F12039" s="76">
        <v>2</v>
      </c>
    </row>
    <row r="12040" s="76" customFormat="1" spans="1:6">
      <c r="A12040">
        <v>12381</v>
      </c>
      <c r="B12040">
        <v>612021260</v>
      </c>
      <c r="C12040" s="76">
        <v>2021</v>
      </c>
      <c r="D12040" s="76" t="s">
        <v>34</v>
      </c>
      <c r="E12040" s="76" t="s">
        <v>32</v>
      </c>
      <c r="F12040" s="76">
        <v>5</v>
      </c>
    </row>
    <row r="12041" s="76" customFormat="1" spans="1:6">
      <c r="A12041">
        <v>12382</v>
      </c>
      <c r="B12041">
        <v>612021260</v>
      </c>
      <c r="C12041" s="76">
        <v>2021</v>
      </c>
      <c r="D12041" s="76" t="s">
        <v>34</v>
      </c>
      <c r="E12041" s="76" t="s">
        <v>32</v>
      </c>
      <c r="F12041" s="76">
        <v>3</v>
      </c>
    </row>
    <row r="12042" s="76" customFormat="1" spans="1:6">
      <c r="A12042">
        <v>12383</v>
      </c>
      <c r="B12042">
        <v>612021260</v>
      </c>
      <c r="C12042" s="76">
        <v>2021</v>
      </c>
      <c r="D12042" s="76" t="s">
        <v>34</v>
      </c>
      <c r="E12042" s="76" t="s">
        <v>32</v>
      </c>
      <c r="F12042" s="76">
        <v>1.98</v>
      </c>
    </row>
    <row r="12043" s="76" customFormat="1" spans="1:6">
      <c r="A12043">
        <v>12384</v>
      </c>
      <c r="B12043">
        <v>612021260</v>
      </c>
      <c r="C12043" s="76">
        <v>2021</v>
      </c>
      <c r="D12043" s="76" t="s">
        <v>34</v>
      </c>
      <c r="E12043" s="76" t="s">
        <v>32</v>
      </c>
      <c r="F12043" s="76">
        <v>2</v>
      </c>
    </row>
    <row r="12044" s="76" customFormat="1" spans="1:6">
      <c r="A12044">
        <v>12352</v>
      </c>
      <c r="B12044">
        <v>612021260</v>
      </c>
      <c r="C12044" s="76">
        <v>2021</v>
      </c>
      <c r="D12044" s="76" t="s">
        <v>34</v>
      </c>
      <c r="E12044" s="76">
        <v>16</v>
      </c>
      <c r="F12044" s="76">
        <v>4.98</v>
      </c>
    </row>
    <row r="12045" s="76" customFormat="1" spans="1:6">
      <c r="A12045">
        <v>12353</v>
      </c>
      <c r="B12045">
        <v>612021260</v>
      </c>
      <c r="C12045" s="76">
        <v>2021</v>
      </c>
      <c r="D12045" s="76" t="s">
        <v>34</v>
      </c>
      <c r="E12045" s="76">
        <v>16</v>
      </c>
      <c r="F12045" s="76">
        <v>5.02</v>
      </c>
    </row>
    <row r="12046" s="76" customFormat="1" spans="1:6">
      <c r="A12046">
        <v>12392</v>
      </c>
      <c r="B12046">
        <v>612021270</v>
      </c>
      <c r="C12046" s="76">
        <v>2021</v>
      </c>
      <c r="D12046" s="76" t="s">
        <v>31</v>
      </c>
      <c r="E12046" s="76" t="s">
        <v>32</v>
      </c>
      <c r="F12046" s="76">
        <v>6</v>
      </c>
    </row>
    <row r="12047" s="76" customFormat="1" spans="1:6">
      <c r="A12047">
        <v>12403</v>
      </c>
      <c r="B12047">
        <v>612021270</v>
      </c>
      <c r="C12047" s="76">
        <v>2021</v>
      </c>
      <c r="D12047" s="76" t="s">
        <v>31</v>
      </c>
      <c r="E12047" s="76" t="s">
        <v>32</v>
      </c>
      <c r="F12047" s="76">
        <v>0.05</v>
      </c>
    </row>
    <row r="12048" s="76" customFormat="1" spans="1:6">
      <c r="A12048">
        <v>12396</v>
      </c>
      <c r="B12048">
        <v>612021270</v>
      </c>
      <c r="C12048" s="76">
        <v>2021</v>
      </c>
      <c r="D12048" s="76" t="s">
        <v>31</v>
      </c>
      <c r="E12048" s="76" t="s">
        <v>32</v>
      </c>
      <c r="F12048" s="76">
        <v>4</v>
      </c>
    </row>
    <row r="12049" s="76" customFormat="1" spans="1:6">
      <c r="A12049">
        <v>12394</v>
      </c>
      <c r="B12049">
        <v>612021270</v>
      </c>
      <c r="C12049" s="76">
        <v>2021</v>
      </c>
      <c r="D12049" s="76" t="s">
        <v>31</v>
      </c>
      <c r="E12049" s="76" t="s">
        <v>32</v>
      </c>
      <c r="F12049" s="76">
        <v>1.2</v>
      </c>
    </row>
    <row r="12050" s="76" customFormat="1" spans="1:6">
      <c r="A12050">
        <v>12408</v>
      </c>
      <c r="B12050">
        <v>612021270</v>
      </c>
      <c r="C12050" s="76">
        <v>2021</v>
      </c>
      <c r="D12050" s="76" t="s">
        <v>31</v>
      </c>
      <c r="E12050" s="76" t="s">
        <v>32</v>
      </c>
      <c r="F12050" s="76">
        <v>5</v>
      </c>
    </row>
    <row r="12051" s="76" customFormat="1" spans="1:6">
      <c r="A12051">
        <v>12398</v>
      </c>
      <c r="B12051">
        <v>612021270</v>
      </c>
      <c r="C12051" s="76">
        <v>2021</v>
      </c>
      <c r="D12051" s="76" t="s">
        <v>31</v>
      </c>
      <c r="E12051" s="76" t="s">
        <v>32</v>
      </c>
      <c r="F12051" s="76">
        <v>5</v>
      </c>
    </row>
    <row r="12052" s="76" customFormat="1" spans="1:6">
      <c r="A12052">
        <v>12401</v>
      </c>
      <c r="B12052">
        <v>612021270</v>
      </c>
      <c r="C12052" s="76">
        <v>2021</v>
      </c>
      <c r="D12052" s="76" t="s">
        <v>31</v>
      </c>
      <c r="E12052" s="76" t="s">
        <v>32</v>
      </c>
      <c r="F12052" s="76">
        <v>3</v>
      </c>
    </row>
    <row r="12053" s="76" customFormat="1" spans="1:6">
      <c r="A12053">
        <v>12411</v>
      </c>
      <c r="B12053">
        <v>612021270</v>
      </c>
      <c r="C12053" s="76">
        <v>2021</v>
      </c>
      <c r="D12053" s="76" t="s">
        <v>31</v>
      </c>
      <c r="E12053" s="76" t="s">
        <v>32</v>
      </c>
      <c r="F12053" s="76">
        <v>5</v>
      </c>
    </row>
    <row r="12054" s="76" customFormat="1" spans="1:6">
      <c r="A12054">
        <v>12417</v>
      </c>
      <c r="B12054">
        <v>612021270</v>
      </c>
      <c r="C12054" s="76">
        <v>2021</v>
      </c>
      <c r="D12054" s="76" t="s">
        <v>31</v>
      </c>
      <c r="E12054" s="76" t="s">
        <v>32</v>
      </c>
      <c r="F12054" s="76">
        <v>20</v>
      </c>
    </row>
    <row r="12055" s="76" customFormat="1" spans="1:6">
      <c r="A12055">
        <v>12391</v>
      </c>
      <c r="B12055">
        <v>612021270</v>
      </c>
      <c r="C12055" s="76">
        <v>2021</v>
      </c>
      <c r="D12055" s="76" t="s">
        <v>31</v>
      </c>
      <c r="E12055" s="76" t="s">
        <v>32</v>
      </c>
      <c r="F12055" s="76">
        <v>0.36</v>
      </c>
    </row>
    <row r="12056" s="76" customFormat="1" spans="1:6">
      <c r="A12056">
        <v>12410</v>
      </c>
      <c r="B12056">
        <v>612021270</v>
      </c>
      <c r="C12056" s="76">
        <v>2021</v>
      </c>
      <c r="D12056" s="76" t="s">
        <v>31</v>
      </c>
      <c r="E12056" s="76" t="s">
        <v>32</v>
      </c>
      <c r="F12056" s="76">
        <v>5</v>
      </c>
    </row>
    <row r="12057" s="76" customFormat="1" spans="1:6">
      <c r="A12057">
        <v>12402</v>
      </c>
      <c r="B12057">
        <v>612021270</v>
      </c>
      <c r="C12057" s="76">
        <v>2021</v>
      </c>
      <c r="D12057" s="76" t="s">
        <v>31</v>
      </c>
      <c r="E12057" s="76" t="s">
        <v>32</v>
      </c>
      <c r="F12057" s="76">
        <v>2.06</v>
      </c>
    </row>
    <row r="12058" s="76" customFormat="1" spans="1:6">
      <c r="A12058">
        <v>12406</v>
      </c>
      <c r="B12058">
        <v>612021270</v>
      </c>
      <c r="C12058" s="76">
        <v>2021</v>
      </c>
      <c r="D12058" s="76" t="s">
        <v>31</v>
      </c>
      <c r="E12058" s="76" t="s">
        <v>32</v>
      </c>
      <c r="F12058" s="76">
        <v>8</v>
      </c>
    </row>
    <row r="12059" s="76" customFormat="1" spans="1:6">
      <c r="A12059">
        <v>12412</v>
      </c>
      <c r="B12059">
        <v>612021270</v>
      </c>
      <c r="C12059" s="76">
        <v>2021</v>
      </c>
      <c r="D12059" s="76" t="s">
        <v>31</v>
      </c>
      <c r="E12059" s="76" t="s">
        <v>32</v>
      </c>
      <c r="F12059" s="76">
        <v>3</v>
      </c>
    </row>
    <row r="12060" s="76" customFormat="1" spans="1:6">
      <c r="A12060">
        <v>12404</v>
      </c>
      <c r="B12060">
        <v>612021270</v>
      </c>
      <c r="C12060" s="76">
        <v>2021</v>
      </c>
      <c r="D12060" s="76" t="s">
        <v>31</v>
      </c>
      <c r="E12060" s="76" t="s">
        <v>32</v>
      </c>
      <c r="F12060" s="76">
        <v>30</v>
      </c>
    </row>
    <row r="12061" s="76" customFormat="1" spans="1:6">
      <c r="A12061">
        <v>12413</v>
      </c>
      <c r="B12061">
        <v>612021270</v>
      </c>
      <c r="C12061" s="76">
        <v>2021</v>
      </c>
      <c r="D12061" s="76" t="s">
        <v>31</v>
      </c>
      <c r="E12061" s="76" t="s">
        <v>32</v>
      </c>
      <c r="F12061" s="76">
        <v>3</v>
      </c>
    </row>
    <row r="12062" s="76" customFormat="1" spans="1:6">
      <c r="A12062">
        <v>12400</v>
      </c>
      <c r="B12062">
        <v>612021270</v>
      </c>
      <c r="C12062" s="76">
        <v>2021</v>
      </c>
      <c r="D12062" s="76" t="s">
        <v>31</v>
      </c>
      <c r="E12062" s="76" t="s">
        <v>32</v>
      </c>
      <c r="F12062" s="76">
        <v>10</v>
      </c>
    </row>
    <row r="12063" s="76" customFormat="1" spans="1:6">
      <c r="A12063">
        <v>12414</v>
      </c>
      <c r="B12063">
        <v>612021270</v>
      </c>
      <c r="C12063" s="76">
        <v>2021</v>
      </c>
      <c r="D12063" s="76" t="s">
        <v>31</v>
      </c>
      <c r="E12063" s="76" t="s">
        <v>32</v>
      </c>
      <c r="F12063" s="76">
        <v>3</v>
      </c>
    </row>
    <row r="12064" s="76" customFormat="1" spans="1:6">
      <c r="A12064">
        <v>12407</v>
      </c>
      <c r="B12064">
        <v>612021270</v>
      </c>
      <c r="C12064" s="76">
        <v>2021</v>
      </c>
      <c r="D12064" s="76" t="s">
        <v>31</v>
      </c>
      <c r="E12064" s="76" t="s">
        <v>32</v>
      </c>
      <c r="F12064" s="76">
        <v>6</v>
      </c>
    </row>
    <row r="12065" s="76" customFormat="1" spans="1:6">
      <c r="A12065">
        <v>12390</v>
      </c>
      <c r="B12065">
        <v>612021270</v>
      </c>
      <c r="C12065" s="76">
        <v>2021</v>
      </c>
      <c r="D12065" s="76" t="s">
        <v>31</v>
      </c>
      <c r="E12065" s="76" t="s">
        <v>32</v>
      </c>
      <c r="F12065" s="76">
        <v>10</v>
      </c>
    </row>
    <row r="12066" s="76" customFormat="1" spans="1:6">
      <c r="A12066">
        <v>12409</v>
      </c>
      <c r="B12066">
        <v>612021270</v>
      </c>
      <c r="C12066" s="76">
        <v>2021</v>
      </c>
      <c r="D12066" s="76" t="s">
        <v>31</v>
      </c>
      <c r="E12066" s="76" t="s">
        <v>32</v>
      </c>
      <c r="F12066" s="76">
        <v>5</v>
      </c>
    </row>
    <row r="12067" s="76" customFormat="1" spans="1:6">
      <c r="A12067">
        <v>12415</v>
      </c>
      <c r="B12067">
        <v>612021270</v>
      </c>
      <c r="C12067" s="76">
        <v>2021</v>
      </c>
      <c r="D12067" s="76" t="s">
        <v>31</v>
      </c>
      <c r="E12067" s="76" t="s">
        <v>32</v>
      </c>
      <c r="F12067" s="76">
        <v>3</v>
      </c>
    </row>
    <row r="12068" s="76" customFormat="1" spans="1:6">
      <c r="A12068">
        <v>12393</v>
      </c>
      <c r="B12068">
        <v>612021270</v>
      </c>
      <c r="C12068" s="76">
        <v>2021</v>
      </c>
      <c r="D12068" s="76" t="s">
        <v>31</v>
      </c>
      <c r="E12068" s="76" t="s">
        <v>32</v>
      </c>
      <c r="F12068" s="76">
        <v>10</v>
      </c>
    </row>
    <row r="12069" s="76" customFormat="1" spans="1:6">
      <c r="A12069">
        <v>12386</v>
      </c>
      <c r="B12069">
        <v>612021270</v>
      </c>
      <c r="C12069" s="76">
        <v>2021</v>
      </c>
      <c r="D12069" s="76" t="s">
        <v>31</v>
      </c>
      <c r="E12069" s="76" t="s">
        <v>32</v>
      </c>
      <c r="F12069" s="76">
        <v>7.13</v>
      </c>
    </row>
    <row r="12070" s="76" customFormat="1" spans="1:6">
      <c r="A12070">
        <v>12395</v>
      </c>
      <c r="B12070">
        <v>612021270</v>
      </c>
      <c r="C12070" s="76">
        <v>2021</v>
      </c>
      <c r="D12070" s="76" t="s">
        <v>31</v>
      </c>
      <c r="E12070" s="76" t="s">
        <v>32</v>
      </c>
      <c r="F12070" s="76">
        <v>9.9</v>
      </c>
    </row>
    <row r="12071" s="76" customFormat="1" spans="1:6">
      <c r="A12071">
        <v>12397</v>
      </c>
      <c r="B12071">
        <v>612021270</v>
      </c>
      <c r="C12071" s="76">
        <v>2021</v>
      </c>
      <c r="D12071" s="76" t="s">
        <v>31</v>
      </c>
      <c r="E12071" s="76" t="s">
        <v>32</v>
      </c>
      <c r="F12071" s="76">
        <v>4.8</v>
      </c>
    </row>
    <row r="12072" s="76" customFormat="1" spans="1:6">
      <c r="A12072">
        <v>12388</v>
      </c>
      <c r="B12072">
        <v>612021270</v>
      </c>
      <c r="C12072" s="76">
        <v>2021</v>
      </c>
      <c r="D12072" s="76" t="s">
        <v>31</v>
      </c>
      <c r="E12072" s="76" t="s">
        <v>32</v>
      </c>
      <c r="F12072" s="76">
        <v>6.5</v>
      </c>
    </row>
    <row r="12073" s="76" customFormat="1" spans="1:6">
      <c r="A12073">
        <v>12387</v>
      </c>
      <c r="B12073">
        <v>612021270</v>
      </c>
      <c r="C12073" s="76">
        <v>2021</v>
      </c>
      <c r="D12073" s="76" t="s">
        <v>31</v>
      </c>
      <c r="E12073" s="76" t="s">
        <v>32</v>
      </c>
      <c r="F12073" s="76">
        <v>10.23</v>
      </c>
    </row>
    <row r="12074" s="76" customFormat="1" spans="1:6">
      <c r="A12074">
        <v>12416</v>
      </c>
      <c r="B12074">
        <v>612021270</v>
      </c>
      <c r="C12074" s="76">
        <v>2021</v>
      </c>
      <c r="D12074" s="76" t="s">
        <v>31</v>
      </c>
      <c r="E12074" s="76" t="s">
        <v>32</v>
      </c>
      <c r="F12074" s="76">
        <v>3</v>
      </c>
    </row>
    <row r="12075" s="76" customFormat="1" spans="1:6">
      <c r="A12075">
        <v>12399</v>
      </c>
      <c r="B12075">
        <v>612021270</v>
      </c>
      <c r="C12075" s="76">
        <v>2021</v>
      </c>
      <c r="D12075" s="76" t="s">
        <v>31</v>
      </c>
      <c r="E12075" s="76" t="s">
        <v>32</v>
      </c>
      <c r="F12075" s="76">
        <v>0.95</v>
      </c>
    </row>
    <row r="12076" s="76" customFormat="1" spans="1:6">
      <c r="A12076">
        <v>12405</v>
      </c>
      <c r="B12076">
        <v>612021270</v>
      </c>
      <c r="C12076" s="76">
        <v>2021</v>
      </c>
      <c r="D12076" s="76" t="s">
        <v>31</v>
      </c>
      <c r="E12076" s="76" t="s">
        <v>32</v>
      </c>
      <c r="F12076" s="76">
        <v>10</v>
      </c>
    </row>
    <row r="12077" s="76" customFormat="1" spans="1:6">
      <c r="A12077">
        <v>12418</v>
      </c>
      <c r="B12077">
        <v>612021270</v>
      </c>
      <c r="C12077" s="76">
        <v>2021</v>
      </c>
      <c r="D12077" s="76" t="s">
        <v>31</v>
      </c>
      <c r="E12077" s="76" t="s">
        <v>32</v>
      </c>
      <c r="F12077" s="76">
        <v>4</v>
      </c>
    </row>
    <row r="12078" s="76" customFormat="1" spans="1:6">
      <c r="A12078">
        <v>12385</v>
      </c>
      <c r="B12078">
        <v>612021270</v>
      </c>
      <c r="C12078" s="76">
        <v>2021</v>
      </c>
      <c r="D12078" s="76" t="s">
        <v>31</v>
      </c>
      <c r="E12078" s="76">
        <v>1</v>
      </c>
      <c r="F12078" s="76">
        <v>10</v>
      </c>
    </row>
    <row r="12079" s="76" customFormat="1" spans="1:6">
      <c r="A12079">
        <v>12421</v>
      </c>
      <c r="B12079">
        <v>622012110</v>
      </c>
      <c r="C12079">
        <v>2012</v>
      </c>
      <c r="D12079" t="s">
        <v>40</v>
      </c>
      <c r="E12079">
        <v>2</v>
      </c>
      <c r="F12079">
        <v>2</v>
      </c>
    </row>
    <row r="12080" s="76" customFormat="1" spans="1:6">
      <c r="A12080">
        <v>12419</v>
      </c>
      <c r="B12080">
        <v>622012110</v>
      </c>
      <c r="C12080">
        <v>2012</v>
      </c>
      <c r="D12080" t="s">
        <v>40</v>
      </c>
      <c r="E12080">
        <v>3</v>
      </c>
      <c r="F12080">
        <v>5.28</v>
      </c>
    </row>
    <row r="12081" s="76" customFormat="1" spans="1:6">
      <c r="A12081">
        <v>12423</v>
      </c>
      <c r="B12081">
        <v>622012110</v>
      </c>
      <c r="C12081">
        <v>2012</v>
      </c>
      <c r="D12081" t="s">
        <v>40</v>
      </c>
      <c r="E12081">
        <v>3</v>
      </c>
      <c r="F12081">
        <v>8.7</v>
      </c>
    </row>
    <row r="12082" s="76" customFormat="1" spans="1:6">
      <c r="A12082">
        <v>12424</v>
      </c>
      <c r="B12082">
        <v>622012110</v>
      </c>
      <c r="C12082">
        <v>2012</v>
      </c>
      <c r="D12082" t="s">
        <v>40</v>
      </c>
      <c r="E12082">
        <v>3</v>
      </c>
      <c r="F12082">
        <v>12.3</v>
      </c>
    </row>
    <row r="12083" s="76" customFormat="1" spans="1:6">
      <c r="A12083">
        <v>12422</v>
      </c>
      <c r="B12083">
        <v>622012110</v>
      </c>
      <c r="C12083">
        <v>2012</v>
      </c>
      <c r="D12083" t="s">
        <v>40</v>
      </c>
      <c r="E12083">
        <v>2</v>
      </c>
      <c r="F12083">
        <v>2.5</v>
      </c>
    </row>
    <row r="12084" s="76" customFormat="1" spans="1:6">
      <c r="A12084">
        <v>12420</v>
      </c>
      <c r="B12084">
        <v>622012110</v>
      </c>
      <c r="C12084">
        <v>2012</v>
      </c>
      <c r="D12084" t="s">
        <v>40</v>
      </c>
      <c r="E12084">
        <v>3</v>
      </c>
      <c r="F12084">
        <v>5.1</v>
      </c>
    </row>
    <row r="12085" s="76" customFormat="1" spans="1:6">
      <c r="A12085">
        <v>12426</v>
      </c>
      <c r="B12085">
        <v>622012110</v>
      </c>
      <c r="C12085">
        <v>2012</v>
      </c>
      <c r="D12085" t="s">
        <v>40</v>
      </c>
      <c r="E12085">
        <v>2</v>
      </c>
      <c r="F12085">
        <v>1.5</v>
      </c>
    </row>
    <row r="12086" s="76" customFormat="1" spans="1:6">
      <c r="A12086">
        <v>12427</v>
      </c>
      <c r="B12086">
        <v>622012110</v>
      </c>
      <c r="C12086">
        <v>2012</v>
      </c>
      <c r="D12086" t="s">
        <v>40</v>
      </c>
      <c r="E12086">
        <v>2</v>
      </c>
      <c r="F12086">
        <v>0.9</v>
      </c>
    </row>
    <row r="12087" s="76" customFormat="1" spans="1:6">
      <c r="A12087">
        <v>12425</v>
      </c>
      <c r="B12087">
        <v>622012110</v>
      </c>
      <c r="C12087">
        <v>2012</v>
      </c>
      <c r="D12087" t="s">
        <v>40</v>
      </c>
      <c r="E12087">
        <v>1</v>
      </c>
      <c r="F12087">
        <v>1.71</v>
      </c>
    </row>
    <row r="12088" s="76" customFormat="1" spans="1:6">
      <c r="A12088">
        <v>12428</v>
      </c>
      <c r="B12088">
        <v>622012211</v>
      </c>
      <c r="C12088">
        <v>2012</v>
      </c>
      <c r="D12088" t="s">
        <v>37</v>
      </c>
      <c r="E12088">
        <v>2</v>
      </c>
      <c r="F12088">
        <v>12</v>
      </c>
    </row>
    <row r="12089" s="76" customFormat="1" spans="1:6">
      <c r="A12089">
        <v>12440</v>
      </c>
      <c r="B12089">
        <v>622012260</v>
      </c>
      <c r="C12089">
        <v>2012</v>
      </c>
      <c r="D12089" t="s">
        <v>34</v>
      </c>
      <c r="E12089">
        <v>15</v>
      </c>
      <c r="F12089">
        <v>2.25</v>
      </c>
    </row>
    <row r="12090" s="76" customFormat="1" spans="1:6">
      <c r="A12090">
        <v>12441</v>
      </c>
      <c r="B12090">
        <v>622012260</v>
      </c>
      <c r="C12090">
        <v>2012</v>
      </c>
      <c r="D12090" t="s">
        <v>34</v>
      </c>
      <c r="E12090">
        <v>60</v>
      </c>
      <c r="F12090">
        <v>9</v>
      </c>
    </row>
    <row r="12091" s="76" customFormat="1" spans="1:6">
      <c r="A12091">
        <v>12435</v>
      </c>
      <c r="B12091">
        <v>622012260</v>
      </c>
      <c r="C12091">
        <v>2012</v>
      </c>
      <c r="D12091" t="s">
        <v>34</v>
      </c>
      <c r="E12091">
        <v>30</v>
      </c>
      <c r="F12091">
        <v>4.95</v>
      </c>
    </row>
    <row r="12092" s="76" customFormat="1" spans="1:6">
      <c r="A12092">
        <v>12434</v>
      </c>
      <c r="B12092">
        <v>622012260</v>
      </c>
      <c r="C12092">
        <v>2012</v>
      </c>
      <c r="D12092" t="s">
        <v>34</v>
      </c>
      <c r="E12092">
        <v>25</v>
      </c>
      <c r="F12092">
        <v>4.95</v>
      </c>
    </row>
    <row r="12093" s="76" customFormat="1" spans="1:6">
      <c r="A12093">
        <v>12430</v>
      </c>
      <c r="B12093">
        <v>622012260</v>
      </c>
      <c r="C12093">
        <v>2012</v>
      </c>
      <c r="D12093" t="s">
        <v>34</v>
      </c>
      <c r="E12093">
        <v>33</v>
      </c>
      <c r="F12093">
        <v>4.95</v>
      </c>
    </row>
    <row r="12094" s="76" customFormat="1" spans="1:6">
      <c r="A12094">
        <v>12429</v>
      </c>
      <c r="B12094">
        <v>622012260</v>
      </c>
      <c r="C12094">
        <v>2012</v>
      </c>
      <c r="D12094" t="s">
        <v>34</v>
      </c>
      <c r="E12094">
        <v>25</v>
      </c>
      <c r="F12094">
        <v>4.95</v>
      </c>
    </row>
    <row r="12095" s="76" customFormat="1" spans="1:6">
      <c r="A12095">
        <v>12431</v>
      </c>
      <c r="B12095">
        <v>622012260</v>
      </c>
      <c r="C12095">
        <v>2012</v>
      </c>
      <c r="D12095" t="s">
        <v>34</v>
      </c>
      <c r="E12095">
        <v>25</v>
      </c>
      <c r="F12095">
        <v>4.95</v>
      </c>
    </row>
    <row r="12096" s="76" customFormat="1" spans="1:6">
      <c r="A12096">
        <v>12438</v>
      </c>
      <c r="B12096">
        <v>622012260</v>
      </c>
      <c r="C12096">
        <v>2012</v>
      </c>
      <c r="D12096" t="s">
        <v>34</v>
      </c>
      <c r="E12096">
        <v>33</v>
      </c>
      <c r="F12096">
        <v>4.95</v>
      </c>
    </row>
    <row r="12097" s="76" customFormat="1" spans="1:6">
      <c r="A12097">
        <v>12437</v>
      </c>
      <c r="B12097">
        <v>622012260</v>
      </c>
      <c r="C12097">
        <v>2012</v>
      </c>
      <c r="D12097" t="s">
        <v>34</v>
      </c>
      <c r="E12097">
        <v>33</v>
      </c>
      <c r="F12097">
        <v>4.95</v>
      </c>
    </row>
    <row r="12098" s="76" customFormat="1" spans="1:6">
      <c r="A12098">
        <v>12439</v>
      </c>
      <c r="B12098">
        <v>622012260</v>
      </c>
      <c r="C12098">
        <v>2012</v>
      </c>
      <c r="D12098" t="s">
        <v>34</v>
      </c>
      <c r="E12098">
        <v>25</v>
      </c>
      <c r="F12098">
        <v>5</v>
      </c>
    </row>
    <row r="12099" s="76" customFormat="1" spans="1:6">
      <c r="A12099">
        <v>12436</v>
      </c>
      <c r="B12099">
        <v>622012260</v>
      </c>
      <c r="C12099">
        <v>2012</v>
      </c>
      <c r="D12099" t="s">
        <v>34</v>
      </c>
      <c r="E12099">
        <v>6</v>
      </c>
      <c r="F12099">
        <v>1.5</v>
      </c>
    </row>
    <row r="12100" s="76" customFormat="1" spans="1:6">
      <c r="A12100">
        <v>12432</v>
      </c>
      <c r="B12100">
        <v>622012260</v>
      </c>
      <c r="C12100">
        <v>2012</v>
      </c>
      <c r="D12100" t="s">
        <v>34</v>
      </c>
      <c r="E12100">
        <v>13</v>
      </c>
      <c r="F12100">
        <v>3.25</v>
      </c>
    </row>
    <row r="12101" s="76" customFormat="1" spans="1:6">
      <c r="A12101">
        <v>12433</v>
      </c>
      <c r="B12101">
        <v>622012260</v>
      </c>
      <c r="C12101">
        <v>2012</v>
      </c>
      <c r="D12101" t="s">
        <v>34</v>
      </c>
      <c r="E12101">
        <v>33</v>
      </c>
      <c r="F12101">
        <v>4.95</v>
      </c>
    </row>
    <row r="12102" s="76" customFormat="1" spans="1:6">
      <c r="A12102">
        <v>12443</v>
      </c>
      <c r="B12102">
        <v>622012260</v>
      </c>
      <c r="C12102">
        <v>2012</v>
      </c>
      <c r="D12102" t="s">
        <v>34</v>
      </c>
      <c r="E12102">
        <v>33</v>
      </c>
      <c r="F12102">
        <v>4.95</v>
      </c>
    </row>
    <row r="12103" s="76" customFormat="1" spans="1:6">
      <c r="A12103">
        <v>12442</v>
      </c>
      <c r="B12103">
        <v>622012260</v>
      </c>
      <c r="C12103">
        <v>2012</v>
      </c>
      <c r="D12103" t="s">
        <v>34</v>
      </c>
      <c r="E12103">
        <v>32</v>
      </c>
      <c r="F12103">
        <v>9.6</v>
      </c>
    </row>
    <row r="12104" s="76" customFormat="1" spans="1:6">
      <c r="A12104">
        <v>12446</v>
      </c>
      <c r="B12104">
        <v>622012270</v>
      </c>
      <c r="C12104">
        <v>2012</v>
      </c>
      <c r="D12104" t="s">
        <v>31</v>
      </c>
      <c r="E12104"/>
      <c r="F12104">
        <v>2</v>
      </c>
    </row>
    <row r="12105" s="76" customFormat="1" spans="1:6">
      <c r="A12105">
        <v>12445</v>
      </c>
      <c r="B12105">
        <v>622012270</v>
      </c>
      <c r="C12105">
        <v>2012</v>
      </c>
      <c r="D12105" t="s">
        <v>31</v>
      </c>
      <c r="E12105"/>
      <c r="F12105">
        <v>2</v>
      </c>
    </row>
    <row r="12106" s="76" customFormat="1" spans="1:6">
      <c r="A12106">
        <v>12452</v>
      </c>
      <c r="B12106">
        <v>622012270</v>
      </c>
      <c r="C12106">
        <v>2012</v>
      </c>
      <c r="D12106" t="s">
        <v>31</v>
      </c>
      <c r="E12106" t="s">
        <v>32</v>
      </c>
      <c r="F12106">
        <v>1.8</v>
      </c>
    </row>
    <row r="12107" s="76" customFormat="1" spans="1:6">
      <c r="A12107">
        <v>12451</v>
      </c>
      <c r="B12107">
        <v>622012270</v>
      </c>
      <c r="C12107">
        <v>2012</v>
      </c>
      <c r="D12107" t="s">
        <v>31</v>
      </c>
      <c r="E12107" t="s">
        <v>32</v>
      </c>
      <c r="F12107">
        <v>0.9</v>
      </c>
    </row>
    <row r="12108" s="76" customFormat="1" spans="1:6">
      <c r="A12108">
        <v>12448</v>
      </c>
      <c r="B12108">
        <v>622012270</v>
      </c>
      <c r="C12108">
        <v>2012</v>
      </c>
      <c r="D12108" t="s">
        <v>31</v>
      </c>
      <c r="E12108" t="s">
        <v>32</v>
      </c>
      <c r="F12108">
        <v>0.9</v>
      </c>
    </row>
    <row r="12109" s="76" customFormat="1" spans="1:6">
      <c r="A12109">
        <v>12447</v>
      </c>
      <c r="B12109">
        <v>622012270</v>
      </c>
      <c r="C12109">
        <v>2012</v>
      </c>
      <c r="D12109" t="s">
        <v>31</v>
      </c>
      <c r="E12109" t="s">
        <v>32</v>
      </c>
      <c r="F12109">
        <v>0.9</v>
      </c>
    </row>
    <row r="12110" s="76" customFormat="1" spans="1:6">
      <c r="A12110">
        <v>12450</v>
      </c>
      <c r="B12110">
        <v>622012270</v>
      </c>
      <c r="C12110">
        <v>2012</v>
      </c>
      <c r="D12110" t="s">
        <v>31</v>
      </c>
      <c r="E12110" t="s">
        <v>32</v>
      </c>
      <c r="F12110">
        <v>0.9</v>
      </c>
    </row>
    <row r="12111" s="76" customFormat="1" spans="1:6">
      <c r="A12111">
        <v>12449</v>
      </c>
      <c r="B12111">
        <v>622012270</v>
      </c>
      <c r="C12111">
        <v>2012</v>
      </c>
      <c r="D12111" t="s">
        <v>31</v>
      </c>
      <c r="E12111" t="s">
        <v>32</v>
      </c>
      <c r="F12111">
        <v>0.9</v>
      </c>
    </row>
    <row r="12112" s="76" customFormat="1" spans="1:6">
      <c r="A12112">
        <v>12460</v>
      </c>
      <c r="B12112">
        <v>622012270</v>
      </c>
      <c r="C12112">
        <v>2012</v>
      </c>
      <c r="D12112" t="s">
        <v>31</v>
      </c>
      <c r="E12112" t="s">
        <v>32</v>
      </c>
      <c r="F12112">
        <v>0.9</v>
      </c>
    </row>
    <row r="12113" s="76" customFormat="1" spans="1:6">
      <c r="A12113">
        <v>12454</v>
      </c>
      <c r="B12113">
        <v>622012270</v>
      </c>
      <c r="C12113">
        <v>2012</v>
      </c>
      <c r="D12113" t="s">
        <v>31</v>
      </c>
      <c r="E12113" t="s">
        <v>32</v>
      </c>
      <c r="F12113">
        <v>0.9</v>
      </c>
    </row>
    <row r="12114" s="76" customFormat="1" spans="1:6">
      <c r="A12114">
        <v>12453</v>
      </c>
      <c r="B12114">
        <v>622012270</v>
      </c>
      <c r="C12114">
        <v>2012</v>
      </c>
      <c r="D12114" t="s">
        <v>31</v>
      </c>
      <c r="E12114" t="s">
        <v>32</v>
      </c>
      <c r="F12114">
        <v>0.9</v>
      </c>
    </row>
    <row r="12115" s="76" customFormat="1" spans="1:6">
      <c r="A12115">
        <v>12457</v>
      </c>
      <c r="B12115">
        <v>622012270</v>
      </c>
      <c r="C12115">
        <v>2012</v>
      </c>
      <c r="D12115" t="s">
        <v>31</v>
      </c>
      <c r="E12115" t="s">
        <v>32</v>
      </c>
      <c r="F12115">
        <v>5</v>
      </c>
    </row>
    <row r="12116" s="76" customFormat="1" spans="1:6">
      <c r="A12116">
        <v>12459</v>
      </c>
      <c r="B12116">
        <v>622012270</v>
      </c>
      <c r="C12116">
        <v>2012</v>
      </c>
      <c r="D12116" t="s">
        <v>31</v>
      </c>
      <c r="E12116" t="s">
        <v>32</v>
      </c>
      <c r="F12116">
        <v>0.2</v>
      </c>
    </row>
    <row r="12117" s="76" customFormat="1" spans="1:6">
      <c r="A12117">
        <v>12444</v>
      </c>
      <c r="B12117">
        <v>622012270</v>
      </c>
      <c r="C12117">
        <v>2012</v>
      </c>
      <c r="D12117" t="s">
        <v>31</v>
      </c>
      <c r="E12117" t="s">
        <v>32</v>
      </c>
      <c r="F12117">
        <v>0.9</v>
      </c>
    </row>
    <row r="12118" s="76" customFormat="1" spans="1:6">
      <c r="A12118">
        <v>12456</v>
      </c>
      <c r="B12118">
        <v>622012270</v>
      </c>
      <c r="C12118">
        <v>2012</v>
      </c>
      <c r="D12118" t="s">
        <v>31</v>
      </c>
      <c r="E12118" t="s">
        <v>32</v>
      </c>
      <c r="F12118">
        <v>5</v>
      </c>
    </row>
    <row r="12119" s="76" customFormat="1" spans="1:6">
      <c r="A12119">
        <v>12458</v>
      </c>
      <c r="B12119">
        <v>622012270</v>
      </c>
      <c r="C12119">
        <v>2012</v>
      </c>
      <c r="D12119" t="s">
        <v>31</v>
      </c>
      <c r="E12119" t="s">
        <v>32</v>
      </c>
      <c r="F12119">
        <v>4</v>
      </c>
    </row>
    <row r="12120" s="76" customFormat="1" spans="1:6">
      <c r="A12120">
        <v>12455</v>
      </c>
      <c r="B12120">
        <v>622012270</v>
      </c>
      <c r="C12120">
        <v>2012</v>
      </c>
      <c r="D12120" t="s">
        <v>31</v>
      </c>
      <c r="E12120" t="s">
        <v>32</v>
      </c>
      <c r="F12120">
        <v>0.9</v>
      </c>
    </row>
    <row r="12121" s="76" customFormat="1" spans="1:6">
      <c r="A12121">
        <v>12462</v>
      </c>
      <c r="B12121">
        <v>622013110</v>
      </c>
      <c r="C12121">
        <v>2013</v>
      </c>
      <c r="D12121" t="s">
        <v>40</v>
      </c>
      <c r="E12121">
        <v>2</v>
      </c>
      <c r="F12121">
        <v>2.4</v>
      </c>
    </row>
    <row r="12122" s="76" customFormat="1" spans="1:6">
      <c r="A12122">
        <v>12465</v>
      </c>
      <c r="B12122">
        <v>622013110</v>
      </c>
      <c r="C12122">
        <v>2013</v>
      </c>
      <c r="D12122" t="s">
        <v>40</v>
      </c>
      <c r="E12122">
        <v>3</v>
      </c>
      <c r="F12122">
        <v>6</v>
      </c>
    </row>
    <row r="12123" s="76" customFormat="1" spans="1:6">
      <c r="A12123">
        <v>12464</v>
      </c>
      <c r="B12123">
        <v>622013110</v>
      </c>
      <c r="C12123">
        <v>2013</v>
      </c>
      <c r="D12123" t="s">
        <v>40</v>
      </c>
      <c r="E12123">
        <v>3</v>
      </c>
      <c r="F12123">
        <v>5.25</v>
      </c>
    </row>
    <row r="12124" s="76" customFormat="1" spans="1:6">
      <c r="A12124">
        <v>12463</v>
      </c>
      <c r="B12124">
        <v>622013110</v>
      </c>
      <c r="C12124">
        <v>2013</v>
      </c>
      <c r="D12124" t="s">
        <v>40</v>
      </c>
      <c r="E12124">
        <v>2</v>
      </c>
      <c r="F12124">
        <v>1.2</v>
      </c>
    </row>
    <row r="12125" s="76" customFormat="1" spans="1:6">
      <c r="A12125">
        <v>12461</v>
      </c>
      <c r="B12125">
        <v>622013110</v>
      </c>
      <c r="C12125">
        <v>2013</v>
      </c>
      <c r="D12125" t="s">
        <v>40</v>
      </c>
      <c r="E12125">
        <v>3</v>
      </c>
      <c r="F12125">
        <v>6.6</v>
      </c>
    </row>
    <row r="12126" s="76" customFormat="1" spans="1:6">
      <c r="A12126">
        <v>12466</v>
      </c>
      <c r="B12126">
        <v>622013211</v>
      </c>
      <c r="C12126">
        <v>2013</v>
      </c>
      <c r="D12126" t="s">
        <v>37</v>
      </c>
      <c r="E12126">
        <v>2</v>
      </c>
      <c r="F12126">
        <v>2.4</v>
      </c>
    </row>
    <row r="12127" s="76" customFormat="1" spans="1:6">
      <c r="A12127">
        <v>12470</v>
      </c>
      <c r="B12127">
        <v>622013241</v>
      </c>
      <c r="C12127">
        <v>2013</v>
      </c>
      <c r="D12127" t="s">
        <v>33</v>
      </c>
      <c r="E12127">
        <v>1</v>
      </c>
      <c r="F12127">
        <v>0.45</v>
      </c>
    </row>
    <row r="12128" s="76" customFormat="1" spans="1:6">
      <c r="A12128">
        <v>12476</v>
      </c>
      <c r="B12128">
        <v>622013241</v>
      </c>
      <c r="C12128">
        <v>2013</v>
      </c>
      <c r="D12128" t="s">
        <v>33</v>
      </c>
      <c r="E12128">
        <v>2</v>
      </c>
      <c r="F12128">
        <v>1.2</v>
      </c>
    </row>
    <row r="12129" s="76" customFormat="1" spans="1:6">
      <c r="A12129">
        <v>12479</v>
      </c>
      <c r="B12129">
        <v>622013241</v>
      </c>
      <c r="C12129">
        <v>2013</v>
      </c>
      <c r="D12129" t="s">
        <v>33</v>
      </c>
      <c r="E12129">
        <v>1</v>
      </c>
      <c r="F12129">
        <v>0.75</v>
      </c>
    </row>
    <row r="12130" s="76" customFormat="1" spans="1:6">
      <c r="A12130">
        <v>12471</v>
      </c>
      <c r="B12130">
        <v>622013241</v>
      </c>
      <c r="C12130">
        <v>2013</v>
      </c>
      <c r="D12130" t="s">
        <v>33</v>
      </c>
      <c r="E12130">
        <v>1</v>
      </c>
      <c r="F12130">
        <v>0.45</v>
      </c>
    </row>
    <row r="12131" s="76" customFormat="1" spans="1:6">
      <c r="A12131">
        <v>12469</v>
      </c>
      <c r="B12131">
        <v>622013241</v>
      </c>
      <c r="C12131">
        <v>2013</v>
      </c>
      <c r="D12131" t="s">
        <v>33</v>
      </c>
      <c r="E12131">
        <v>2</v>
      </c>
      <c r="F12131">
        <v>0.6</v>
      </c>
    </row>
    <row r="12132" s="76" customFormat="1" spans="1:6">
      <c r="A12132">
        <v>12477</v>
      </c>
      <c r="B12132">
        <v>622013241</v>
      </c>
      <c r="C12132">
        <v>2013</v>
      </c>
      <c r="D12132" t="s">
        <v>33</v>
      </c>
      <c r="E12132">
        <v>2</v>
      </c>
      <c r="F12132">
        <v>0.9</v>
      </c>
    </row>
    <row r="12133" s="76" customFormat="1" spans="1:6">
      <c r="A12133">
        <v>12475</v>
      </c>
      <c r="B12133">
        <v>622013241</v>
      </c>
      <c r="C12133">
        <v>2013</v>
      </c>
      <c r="D12133" t="s">
        <v>33</v>
      </c>
      <c r="E12133">
        <v>1</v>
      </c>
      <c r="F12133">
        <v>1.5</v>
      </c>
    </row>
    <row r="12134" s="76" customFormat="1" spans="1:6">
      <c r="A12134">
        <v>12467</v>
      </c>
      <c r="B12134">
        <v>622013241</v>
      </c>
      <c r="C12134">
        <v>2013</v>
      </c>
      <c r="D12134" t="s">
        <v>33</v>
      </c>
      <c r="E12134">
        <v>1</v>
      </c>
      <c r="F12134">
        <v>0.6</v>
      </c>
    </row>
    <row r="12135" s="76" customFormat="1" spans="1:6">
      <c r="A12135">
        <v>12472</v>
      </c>
      <c r="B12135">
        <v>622013241</v>
      </c>
      <c r="C12135">
        <v>2013</v>
      </c>
      <c r="D12135" t="s">
        <v>33</v>
      </c>
      <c r="E12135">
        <v>3</v>
      </c>
      <c r="F12135">
        <v>2</v>
      </c>
    </row>
    <row r="12136" s="76" customFormat="1" spans="1:6">
      <c r="A12136">
        <v>12473</v>
      </c>
      <c r="B12136">
        <v>622013241</v>
      </c>
      <c r="C12136">
        <v>2013</v>
      </c>
      <c r="D12136" t="s">
        <v>33</v>
      </c>
      <c r="E12136">
        <v>3</v>
      </c>
      <c r="F12136">
        <v>1.85</v>
      </c>
    </row>
    <row r="12137" s="76" customFormat="1" spans="1:6">
      <c r="A12137">
        <v>12468</v>
      </c>
      <c r="B12137">
        <v>622013241</v>
      </c>
      <c r="C12137">
        <v>2013</v>
      </c>
      <c r="D12137" t="s">
        <v>33</v>
      </c>
      <c r="E12137">
        <v>1</v>
      </c>
      <c r="F12137">
        <v>0.6</v>
      </c>
    </row>
    <row r="12138" s="76" customFormat="1" spans="1:6">
      <c r="A12138">
        <v>12478</v>
      </c>
      <c r="B12138">
        <v>622013241</v>
      </c>
      <c r="C12138">
        <v>2013</v>
      </c>
      <c r="D12138" t="s">
        <v>33</v>
      </c>
      <c r="E12138">
        <v>1</v>
      </c>
      <c r="F12138">
        <v>0.75</v>
      </c>
    </row>
    <row r="12139" s="76" customFormat="1" spans="1:6">
      <c r="A12139">
        <v>12474</v>
      </c>
      <c r="B12139">
        <v>622013241</v>
      </c>
      <c r="C12139">
        <v>2013</v>
      </c>
      <c r="D12139" t="s">
        <v>33</v>
      </c>
      <c r="E12139">
        <v>2</v>
      </c>
      <c r="F12139">
        <v>1.5</v>
      </c>
    </row>
    <row r="12140" s="76" customFormat="1" spans="1:6">
      <c r="A12140">
        <v>12482</v>
      </c>
      <c r="B12140">
        <v>622013260</v>
      </c>
      <c r="C12140">
        <v>2013</v>
      </c>
      <c r="D12140" t="s">
        <v>34</v>
      </c>
      <c r="E12140">
        <v>16</v>
      </c>
      <c r="F12140">
        <v>4.8</v>
      </c>
    </row>
    <row r="12141" s="76" customFormat="1" spans="1:6">
      <c r="A12141">
        <v>12481</v>
      </c>
      <c r="B12141">
        <v>622013260</v>
      </c>
      <c r="C12141">
        <v>2013</v>
      </c>
      <c r="D12141" t="s">
        <v>34</v>
      </c>
      <c r="E12141">
        <v>16</v>
      </c>
      <c r="F12141">
        <v>4.8</v>
      </c>
    </row>
    <row r="12142" s="76" customFormat="1" spans="1:6">
      <c r="A12142">
        <v>12492</v>
      </c>
      <c r="B12142">
        <v>622013260</v>
      </c>
      <c r="C12142">
        <v>2013</v>
      </c>
      <c r="D12142" t="s">
        <v>34</v>
      </c>
      <c r="E12142">
        <v>25</v>
      </c>
      <c r="F12142">
        <v>5</v>
      </c>
    </row>
    <row r="12143" s="76" customFormat="1" spans="1:6">
      <c r="A12143">
        <v>12489</v>
      </c>
      <c r="B12143">
        <v>622013260</v>
      </c>
      <c r="C12143">
        <v>2013</v>
      </c>
      <c r="D12143" t="s">
        <v>34</v>
      </c>
      <c r="E12143">
        <v>25</v>
      </c>
      <c r="F12143">
        <v>4.95</v>
      </c>
    </row>
    <row r="12144" s="76" customFormat="1" spans="1:6">
      <c r="A12144">
        <v>12490</v>
      </c>
      <c r="B12144">
        <v>622013260</v>
      </c>
      <c r="C12144">
        <v>2013</v>
      </c>
      <c r="D12144" t="s">
        <v>34</v>
      </c>
      <c r="E12144">
        <v>25</v>
      </c>
      <c r="F12144">
        <v>4.95</v>
      </c>
    </row>
    <row r="12145" s="76" customFormat="1" spans="1:6">
      <c r="A12145">
        <v>12491</v>
      </c>
      <c r="B12145">
        <v>622013260</v>
      </c>
      <c r="C12145">
        <v>2013</v>
      </c>
      <c r="D12145" t="s">
        <v>34</v>
      </c>
      <c r="E12145">
        <v>33</v>
      </c>
      <c r="F12145">
        <v>4.95</v>
      </c>
    </row>
    <row r="12146" s="76" customFormat="1" spans="1:6">
      <c r="A12146">
        <v>12483</v>
      </c>
      <c r="B12146">
        <v>622013260</v>
      </c>
      <c r="C12146">
        <v>2013</v>
      </c>
      <c r="D12146" t="s">
        <v>34</v>
      </c>
      <c r="E12146">
        <v>33</v>
      </c>
      <c r="F12146">
        <v>4.95</v>
      </c>
    </row>
    <row r="12147" s="76" customFormat="1" spans="1:6">
      <c r="A12147">
        <v>12488</v>
      </c>
      <c r="B12147">
        <v>622013260</v>
      </c>
      <c r="C12147">
        <v>2013</v>
      </c>
      <c r="D12147" t="s">
        <v>34</v>
      </c>
      <c r="E12147">
        <v>33</v>
      </c>
      <c r="F12147">
        <v>4.95</v>
      </c>
    </row>
    <row r="12148" s="76" customFormat="1" spans="1:6">
      <c r="A12148">
        <v>12487</v>
      </c>
      <c r="B12148">
        <v>622013260</v>
      </c>
      <c r="C12148">
        <v>2013</v>
      </c>
      <c r="D12148" t="s">
        <v>34</v>
      </c>
      <c r="E12148">
        <v>25</v>
      </c>
      <c r="F12148">
        <v>4.95</v>
      </c>
    </row>
    <row r="12149" s="76" customFormat="1" spans="1:6">
      <c r="A12149">
        <v>12484</v>
      </c>
      <c r="B12149">
        <v>622013260</v>
      </c>
      <c r="C12149">
        <v>2013</v>
      </c>
      <c r="D12149" t="s">
        <v>34</v>
      </c>
      <c r="E12149">
        <v>33</v>
      </c>
      <c r="F12149">
        <v>4.95</v>
      </c>
    </row>
    <row r="12150" s="76" customFormat="1" spans="1:6">
      <c r="A12150" s="78">
        <v>12480</v>
      </c>
      <c r="B12150">
        <v>622013260</v>
      </c>
      <c r="C12150" s="78">
        <v>2013</v>
      </c>
      <c r="D12150" s="78" t="s">
        <v>34</v>
      </c>
      <c r="E12150" s="78">
        <v>17</v>
      </c>
      <c r="F12150" s="78">
        <v>4.95</v>
      </c>
    </row>
    <row r="12151" s="76" customFormat="1" spans="1:6">
      <c r="A12151">
        <v>12486</v>
      </c>
      <c r="B12151">
        <v>622013260</v>
      </c>
      <c r="C12151">
        <v>2013</v>
      </c>
      <c r="D12151" t="s">
        <v>34</v>
      </c>
      <c r="E12151">
        <v>13</v>
      </c>
      <c r="F12151">
        <v>3.25</v>
      </c>
    </row>
    <row r="12152" s="76" customFormat="1" spans="1:6">
      <c r="A12152">
        <v>12485</v>
      </c>
      <c r="B12152">
        <v>622013260</v>
      </c>
      <c r="C12152">
        <v>2013</v>
      </c>
      <c r="D12152" t="s">
        <v>34</v>
      </c>
      <c r="E12152">
        <v>32</v>
      </c>
      <c r="F12152">
        <v>9.6</v>
      </c>
    </row>
    <row r="12153" s="76" customFormat="1" spans="1:6">
      <c r="A12153">
        <v>12578</v>
      </c>
      <c r="B12153">
        <v>622013270</v>
      </c>
      <c r="C12153">
        <v>2013</v>
      </c>
      <c r="D12153" t="s">
        <v>31</v>
      </c>
      <c r="E12153" t="s">
        <v>32</v>
      </c>
      <c r="F12153">
        <v>3</v>
      </c>
    </row>
    <row r="12154" s="76" customFormat="1" spans="1:6">
      <c r="A12154">
        <v>12577</v>
      </c>
      <c r="B12154">
        <v>622013270</v>
      </c>
      <c r="C12154">
        <v>2013</v>
      </c>
      <c r="D12154" t="s">
        <v>31</v>
      </c>
      <c r="E12154" t="s">
        <v>32</v>
      </c>
      <c r="F12154">
        <v>3</v>
      </c>
    </row>
    <row r="12155" s="76" customFormat="1" spans="1:6">
      <c r="A12155">
        <v>12501</v>
      </c>
      <c r="B12155">
        <v>622013270</v>
      </c>
      <c r="C12155">
        <v>2013</v>
      </c>
      <c r="D12155" t="s">
        <v>31</v>
      </c>
      <c r="E12155" t="s">
        <v>32</v>
      </c>
      <c r="F12155">
        <v>3</v>
      </c>
    </row>
    <row r="12156" s="76" customFormat="1" spans="1:6">
      <c r="A12156">
        <v>12528</v>
      </c>
      <c r="B12156">
        <v>622013270</v>
      </c>
      <c r="C12156">
        <v>2013</v>
      </c>
      <c r="D12156" t="s">
        <v>31</v>
      </c>
      <c r="E12156" t="s">
        <v>32</v>
      </c>
      <c r="F12156">
        <v>2</v>
      </c>
    </row>
    <row r="12157" s="76" customFormat="1" spans="1:6">
      <c r="A12157">
        <v>12514</v>
      </c>
      <c r="B12157">
        <v>622013270</v>
      </c>
      <c r="C12157">
        <v>2013</v>
      </c>
      <c r="D12157" t="s">
        <v>31</v>
      </c>
      <c r="E12157" t="s">
        <v>32</v>
      </c>
      <c r="F12157">
        <v>5</v>
      </c>
    </row>
    <row r="12158" s="76" customFormat="1" spans="1:6">
      <c r="A12158">
        <v>12524</v>
      </c>
      <c r="B12158">
        <v>622013270</v>
      </c>
      <c r="C12158">
        <v>2013</v>
      </c>
      <c r="D12158" t="s">
        <v>31</v>
      </c>
      <c r="E12158" t="s">
        <v>32</v>
      </c>
      <c r="F12158">
        <v>5</v>
      </c>
    </row>
    <row r="12159" s="76" customFormat="1" spans="1:6">
      <c r="A12159">
        <v>12516</v>
      </c>
      <c r="B12159">
        <v>622013270</v>
      </c>
      <c r="C12159">
        <v>2013</v>
      </c>
      <c r="D12159" t="s">
        <v>31</v>
      </c>
      <c r="E12159" t="s">
        <v>32</v>
      </c>
      <c r="F12159">
        <v>5</v>
      </c>
    </row>
    <row r="12160" s="76" customFormat="1" spans="1:6">
      <c r="A12160">
        <v>12569</v>
      </c>
      <c r="B12160">
        <v>622013270</v>
      </c>
      <c r="C12160">
        <v>2013</v>
      </c>
      <c r="D12160" t="s">
        <v>31</v>
      </c>
      <c r="E12160" t="s">
        <v>32</v>
      </c>
      <c r="F12160">
        <v>0.9</v>
      </c>
    </row>
    <row r="12161" s="76" customFormat="1" spans="1:6">
      <c r="A12161">
        <v>12533</v>
      </c>
      <c r="B12161">
        <v>622013270</v>
      </c>
      <c r="C12161">
        <v>2013</v>
      </c>
      <c r="D12161" t="s">
        <v>31</v>
      </c>
      <c r="E12161" t="s">
        <v>32</v>
      </c>
      <c r="F12161">
        <v>0.8</v>
      </c>
    </row>
    <row r="12162" s="76" customFormat="1" spans="1:6">
      <c r="A12162">
        <v>12550</v>
      </c>
      <c r="B12162">
        <v>622013270</v>
      </c>
      <c r="C12162">
        <v>2013</v>
      </c>
      <c r="D12162" t="s">
        <v>31</v>
      </c>
      <c r="E12162" t="s">
        <v>32</v>
      </c>
      <c r="F12162">
        <v>2</v>
      </c>
    </row>
    <row r="12163" s="76" customFormat="1" spans="1:6">
      <c r="A12163">
        <v>12522</v>
      </c>
      <c r="B12163">
        <v>622013270</v>
      </c>
      <c r="C12163">
        <v>2013</v>
      </c>
      <c r="D12163" t="s">
        <v>31</v>
      </c>
      <c r="E12163" t="s">
        <v>32</v>
      </c>
      <c r="F12163">
        <v>5</v>
      </c>
    </row>
    <row r="12164" s="76" customFormat="1" spans="1:6">
      <c r="A12164">
        <v>12530</v>
      </c>
      <c r="B12164">
        <v>622013270</v>
      </c>
      <c r="C12164">
        <v>2013</v>
      </c>
      <c r="D12164" t="s">
        <v>31</v>
      </c>
      <c r="E12164" t="s">
        <v>32</v>
      </c>
      <c r="F12164">
        <v>0.9</v>
      </c>
    </row>
    <row r="12165" s="76" customFormat="1" spans="1:6">
      <c r="A12165">
        <v>12540</v>
      </c>
      <c r="B12165">
        <v>622013270</v>
      </c>
      <c r="C12165">
        <v>2013</v>
      </c>
      <c r="D12165" t="s">
        <v>31</v>
      </c>
      <c r="E12165" t="s">
        <v>32</v>
      </c>
      <c r="F12165">
        <v>0.9</v>
      </c>
    </row>
    <row r="12166" s="76" customFormat="1" spans="1:6">
      <c r="A12166">
        <v>12502</v>
      </c>
      <c r="B12166">
        <v>622013270</v>
      </c>
      <c r="C12166">
        <v>2013</v>
      </c>
      <c r="D12166" t="s">
        <v>31</v>
      </c>
      <c r="E12166" t="s">
        <v>32</v>
      </c>
      <c r="F12166">
        <v>1</v>
      </c>
    </row>
    <row r="12167" s="76" customFormat="1" spans="1:6">
      <c r="A12167">
        <v>12548</v>
      </c>
      <c r="B12167">
        <v>622013270</v>
      </c>
      <c r="C12167">
        <v>2013</v>
      </c>
      <c r="D12167" t="s">
        <v>31</v>
      </c>
      <c r="E12167" t="s">
        <v>32</v>
      </c>
      <c r="F12167">
        <v>4</v>
      </c>
    </row>
    <row r="12168" s="76" customFormat="1" spans="1:6">
      <c r="A12168">
        <v>12493</v>
      </c>
      <c r="B12168">
        <v>622013270</v>
      </c>
      <c r="C12168">
        <v>2013</v>
      </c>
      <c r="D12168" t="s">
        <v>31</v>
      </c>
      <c r="E12168" t="s">
        <v>32</v>
      </c>
      <c r="F12168">
        <v>0.9</v>
      </c>
    </row>
    <row r="12169" s="76" customFormat="1" spans="1:6">
      <c r="A12169">
        <v>12545</v>
      </c>
      <c r="B12169">
        <v>622013270</v>
      </c>
      <c r="C12169">
        <v>2013</v>
      </c>
      <c r="D12169" t="s">
        <v>31</v>
      </c>
      <c r="E12169" t="s">
        <v>32</v>
      </c>
      <c r="F12169">
        <v>2.7</v>
      </c>
    </row>
    <row r="12170" s="76" customFormat="1" spans="1:6">
      <c r="A12170">
        <v>12539</v>
      </c>
      <c r="B12170">
        <v>622013270</v>
      </c>
      <c r="C12170">
        <v>2013</v>
      </c>
      <c r="D12170" t="s">
        <v>31</v>
      </c>
      <c r="E12170" t="s">
        <v>32</v>
      </c>
      <c r="F12170">
        <v>4</v>
      </c>
    </row>
    <row r="12171" s="76" customFormat="1" spans="1:6">
      <c r="A12171">
        <v>12590</v>
      </c>
      <c r="B12171">
        <v>622013270</v>
      </c>
      <c r="C12171">
        <v>2013</v>
      </c>
      <c r="D12171" t="s">
        <v>31</v>
      </c>
      <c r="E12171" t="s">
        <v>32</v>
      </c>
      <c r="F12171">
        <v>7</v>
      </c>
    </row>
    <row r="12172" s="76" customFormat="1" spans="1:6">
      <c r="A12172">
        <v>12567</v>
      </c>
      <c r="B12172">
        <v>622013270</v>
      </c>
      <c r="C12172">
        <v>2013</v>
      </c>
      <c r="D12172" t="s">
        <v>31</v>
      </c>
      <c r="E12172" t="s">
        <v>32</v>
      </c>
      <c r="F12172">
        <v>5</v>
      </c>
    </row>
    <row r="12173" s="76" customFormat="1" spans="1:6">
      <c r="A12173">
        <v>12536</v>
      </c>
      <c r="B12173">
        <v>622013270</v>
      </c>
      <c r="C12173">
        <v>2013</v>
      </c>
      <c r="D12173" t="s">
        <v>31</v>
      </c>
      <c r="E12173" t="s">
        <v>32</v>
      </c>
      <c r="F12173">
        <v>2</v>
      </c>
    </row>
    <row r="12174" s="76" customFormat="1" spans="1:6">
      <c r="A12174">
        <v>12559</v>
      </c>
      <c r="B12174">
        <v>622013270</v>
      </c>
      <c r="C12174">
        <v>2013</v>
      </c>
      <c r="D12174" t="s">
        <v>31</v>
      </c>
      <c r="E12174" t="s">
        <v>32</v>
      </c>
      <c r="F12174">
        <v>3</v>
      </c>
    </row>
    <row r="12175" s="76" customFormat="1" spans="1:6">
      <c r="A12175">
        <v>12573</v>
      </c>
      <c r="B12175">
        <v>622013270</v>
      </c>
      <c r="C12175">
        <v>2013</v>
      </c>
      <c r="D12175" t="s">
        <v>31</v>
      </c>
      <c r="E12175" t="s">
        <v>32</v>
      </c>
      <c r="F12175">
        <v>5</v>
      </c>
    </row>
    <row r="12176" s="76" customFormat="1" spans="1:6">
      <c r="A12176">
        <v>12509</v>
      </c>
      <c r="B12176">
        <v>622013270</v>
      </c>
      <c r="C12176">
        <v>2013</v>
      </c>
      <c r="D12176" t="s">
        <v>31</v>
      </c>
      <c r="E12176" t="s">
        <v>32</v>
      </c>
      <c r="F12176">
        <v>5</v>
      </c>
    </row>
    <row r="12177" s="76" customFormat="1" spans="1:6">
      <c r="A12177">
        <v>12508</v>
      </c>
      <c r="B12177">
        <v>622013270</v>
      </c>
      <c r="C12177">
        <v>2013</v>
      </c>
      <c r="D12177" t="s">
        <v>31</v>
      </c>
      <c r="E12177" t="s">
        <v>32</v>
      </c>
      <c r="F12177">
        <v>5</v>
      </c>
    </row>
    <row r="12178" s="76" customFormat="1" spans="1:6">
      <c r="A12178">
        <v>12560</v>
      </c>
      <c r="B12178">
        <v>622013270</v>
      </c>
      <c r="C12178">
        <v>2013</v>
      </c>
      <c r="D12178" t="s">
        <v>31</v>
      </c>
      <c r="E12178" t="s">
        <v>32</v>
      </c>
      <c r="F12178">
        <v>5</v>
      </c>
    </row>
    <row r="12179" s="76" customFormat="1" spans="1:6">
      <c r="A12179">
        <v>12510</v>
      </c>
      <c r="B12179">
        <v>622013270</v>
      </c>
      <c r="C12179">
        <v>2013</v>
      </c>
      <c r="D12179" t="s">
        <v>31</v>
      </c>
      <c r="E12179" t="s">
        <v>32</v>
      </c>
      <c r="F12179">
        <v>5</v>
      </c>
    </row>
    <row r="12180" s="76" customFormat="1" spans="1:6">
      <c r="A12180">
        <v>12531</v>
      </c>
      <c r="B12180">
        <v>622013270</v>
      </c>
      <c r="C12180">
        <v>2013</v>
      </c>
      <c r="D12180" t="s">
        <v>31</v>
      </c>
      <c r="E12180" t="s">
        <v>32</v>
      </c>
      <c r="F12180">
        <v>0.9</v>
      </c>
    </row>
    <row r="12181" s="76" customFormat="1" spans="1:6">
      <c r="A12181">
        <v>12592</v>
      </c>
      <c r="B12181">
        <v>622013270</v>
      </c>
      <c r="C12181">
        <v>2013</v>
      </c>
      <c r="D12181" t="s">
        <v>31</v>
      </c>
      <c r="E12181" t="s">
        <v>32</v>
      </c>
      <c r="F12181">
        <v>0.98</v>
      </c>
    </row>
    <row r="12182" s="76" customFormat="1" spans="1:6">
      <c r="A12182">
        <v>12555</v>
      </c>
      <c r="B12182">
        <v>622013270</v>
      </c>
      <c r="C12182">
        <v>2013</v>
      </c>
      <c r="D12182" t="s">
        <v>31</v>
      </c>
      <c r="E12182" t="s">
        <v>32</v>
      </c>
      <c r="F12182">
        <v>10</v>
      </c>
    </row>
    <row r="12183" s="76" customFormat="1" spans="1:6">
      <c r="A12183">
        <v>12591</v>
      </c>
      <c r="B12183">
        <v>622013270</v>
      </c>
      <c r="C12183">
        <v>2013</v>
      </c>
      <c r="D12183" t="s">
        <v>31</v>
      </c>
      <c r="E12183" t="s">
        <v>32</v>
      </c>
      <c r="F12183">
        <v>5</v>
      </c>
    </row>
    <row r="12184" s="76" customFormat="1" spans="1:6">
      <c r="A12184">
        <v>12579</v>
      </c>
      <c r="B12184">
        <v>622013270</v>
      </c>
      <c r="C12184">
        <v>2013</v>
      </c>
      <c r="D12184" t="s">
        <v>31</v>
      </c>
      <c r="E12184" t="s">
        <v>32</v>
      </c>
      <c r="F12184">
        <v>0.9</v>
      </c>
    </row>
    <row r="12185" s="76" customFormat="1" spans="1:6">
      <c r="A12185">
        <v>12538</v>
      </c>
      <c r="B12185">
        <v>622013270</v>
      </c>
      <c r="C12185">
        <v>2013</v>
      </c>
      <c r="D12185" t="s">
        <v>31</v>
      </c>
      <c r="E12185" t="s">
        <v>32</v>
      </c>
      <c r="F12185">
        <v>5</v>
      </c>
    </row>
    <row r="12186" s="76" customFormat="1" spans="1:6">
      <c r="A12186">
        <v>12537</v>
      </c>
      <c r="B12186">
        <v>622013270</v>
      </c>
      <c r="C12186">
        <v>2013</v>
      </c>
      <c r="D12186" t="s">
        <v>31</v>
      </c>
      <c r="E12186" t="s">
        <v>32</v>
      </c>
      <c r="F12186">
        <v>0.9</v>
      </c>
    </row>
    <row r="12187" s="76" customFormat="1" spans="1:6">
      <c r="A12187">
        <v>12549</v>
      </c>
      <c r="B12187">
        <v>622013270</v>
      </c>
      <c r="C12187">
        <v>2013</v>
      </c>
      <c r="D12187" t="s">
        <v>31</v>
      </c>
      <c r="E12187" t="s">
        <v>32</v>
      </c>
      <c r="F12187">
        <v>4</v>
      </c>
    </row>
    <row r="12188" s="76" customFormat="1" spans="1:6">
      <c r="A12188">
        <v>12589</v>
      </c>
      <c r="B12188">
        <v>622013270</v>
      </c>
      <c r="C12188">
        <v>2013</v>
      </c>
      <c r="D12188" t="s">
        <v>31</v>
      </c>
      <c r="E12188" t="s">
        <v>32</v>
      </c>
      <c r="F12188">
        <v>0.9</v>
      </c>
    </row>
    <row r="12189" s="76" customFormat="1" spans="1:6">
      <c r="A12189">
        <v>12511</v>
      </c>
      <c r="B12189">
        <v>622013270</v>
      </c>
      <c r="C12189">
        <v>2013</v>
      </c>
      <c r="D12189" t="s">
        <v>31</v>
      </c>
      <c r="E12189" t="s">
        <v>32</v>
      </c>
      <c r="F12189">
        <v>10</v>
      </c>
    </row>
    <row r="12190" s="76" customFormat="1" spans="1:6">
      <c r="A12190">
        <v>12570</v>
      </c>
      <c r="B12190">
        <v>622013270</v>
      </c>
      <c r="C12190">
        <v>2013</v>
      </c>
      <c r="D12190" t="s">
        <v>31</v>
      </c>
      <c r="E12190" t="s">
        <v>32</v>
      </c>
      <c r="F12190">
        <v>0.9</v>
      </c>
    </row>
    <row r="12191" s="76" customFormat="1" spans="1:6">
      <c r="A12191">
        <v>12580</v>
      </c>
      <c r="B12191">
        <v>622013270</v>
      </c>
      <c r="C12191">
        <v>2013</v>
      </c>
      <c r="D12191" t="s">
        <v>31</v>
      </c>
      <c r="E12191" t="s">
        <v>32</v>
      </c>
      <c r="F12191">
        <v>0.9</v>
      </c>
    </row>
    <row r="12192" s="76" customFormat="1" spans="1:6">
      <c r="A12192">
        <v>12499</v>
      </c>
      <c r="B12192">
        <v>622013270</v>
      </c>
      <c r="C12192">
        <v>2013</v>
      </c>
      <c r="D12192" t="s">
        <v>31</v>
      </c>
      <c r="E12192" t="s">
        <v>32</v>
      </c>
      <c r="F12192">
        <v>3</v>
      </c>
    </row>
    <row r="12193" s="76" customFormat="1" spans="1:6">
      <c r="A12193">
        <v>12520</v>
      </c>
      <c r="B12193">
        <v>622013270</v>
      </c>
      <c r="C12193">
        <v>2013</v>
      </c>
      <c r="D12193" t="s">
        <v>31</v>
      </c>
      <c r="E12193" t="s">
        <v>32</v>
      </c>
      <c r="F12193">
        <v>5</v>
      </c>
    </row>
    <row r="12194" s="76" customFormat="1" spans="1:6">
      <c r="A12194">
        <v>12513</v>
      </c>
      <c r="B12194">
        <v>622013270</v>
      </c>
      <c r="C12194">
        <v>2013</v>
      </c>
      <c r="D12194" t="s">
        <v>31</v>
      </c>
      <c r="E12194" t="s">
        <v>32</v>
      </c>
      <c r="F12194">
        <v>5</v>
      </c>
    </row>
    <row r="12195" s="76" customFormat="1" spans="1:6">
      <c r="A12195">
        <v>12556</v>
      </c>
      <c r="B12195">
        <v>622013270</v>
      </c>
      <c r="C12195">
        <v>2013</v>
      </c>
      <c r="D12195" t="s">
        <v>31</v>
      </c>
      <c r="E12195" t="s">
        <v>32</v>
      </c>
      <c r="F12195">
        <v>10</v>
      </c>
    </row>
    <row r="12196" s="76" customFormat="1" spans="1:6">
      <c r="A12196">
        <v>12575</v>
      </c>
      <c r="B12196">
        <v>622013270</v>
      </c>
      <c r="C12196">
        <v>2013</v>
      </c>
      <c r="D12196" t="s">
        <v>31</v>
      </c>
      <c r="E12196" t="s">
        <v>32</v>
      </c>
      <c r="F12196">
        <v>5</v>
      </c>
    </row>
    <row r="12197" s="76" customFormat="1" spans="1:6">
      <c r="A12197">
        <v>12506</v>
      </c>
      <c r="B12197">
        <v>622013270</v>
      </c>
      <c r="C12197">
        <v>2013</v>
      </c>
      <c r="D12197" t="s">
        <v>31</v>
      </c>
      <c r="E12197" t="s">
        <v>32</v>
      </c>
      <c r="F12197">
        <v>10</v>
      </c>
    </row>
    <row r="12198" s="76" customFormat="1" spans="1:6">
      <c r="A12198">
        <v>12504</v>
      </c>
      <c r="B12198">
        <v>622013270</v>
      </c>
      <c r="C12198">
        <v>2013</v>
      </c>
      <c r="D12198" t="s">
        <v>31</v>
      </c>
      <c r="E12198" t="s">
        <v>32</v>
      </c>
      <c r="F12198">
        <v>10</v>
      </c>
    </row>
    <row r="12199" s="76" customFormat="1" spans="1:6">
      <c r="A12199">
        <v>12546</v>
      </c>
      <c r="B12199">
        <v>622013270</v>
      </c>
      <c r="C12199">
        <v>2013</v>
      </c>
      <c r="D12199" t="s">
        <v>31</v>
      </c>
      <c r="E12199" t="s">
        <v>32</v>
      </c>
      <c r="F12199">
        <v>10</v>
      </c>
    </row>
    <row r="12200" s="76" customFormat="1" spans="1:6">
      <c r="A12200">
        <v>12551</v>
      </c>
      <c r="B12200">
        <v>622013270</v>
      </c>
      <c r="C12200">
        <v>2013</v>
      </c>
      <c r="D12200" t="s">
        <v>31</v>
      </c>
      <c r="E12200" t="s">
        <v>32</v>
      </c>
      <c r="F12200">
        <v>1.5</v>
      </c>
    </row>
    <row r="12201" s="76" customFormat="1" spans="1:6">
      <c r="A12201">
        <v>12518</v>
      </c>
      <c r="B12201">
        <v>622013270</v>
      </c>
      <c r="C12201">
        <v>2013</v>
      </c>
      <c r="D12201" t="s">
        <v>31</v>
      </c>
      <c r="E12201" t="s">
        <v>32</v>
      </c>
      <c r="F12201">
        <v>5</v>
      </c>
    </row>
    <row r="12202" s="76" customFormat="1" spans="1:6">
      <c r="A12202">
        <v>12542</v>
      </c>
      <c r="B12202">
        <v>622013270</v>
      </c>
      <c r="C12202">
        <v>2013</v>
      </c>
      <c r="D12202" t="s">
        <v>31</v>
      </c>
      <c r="E12202" t="s">
        <v>32</v>
      </c>
      <c r="F12202">
        <v>10</v>
      </c>
    </row>
    <row r="12203" s="76" customFormat="1" spans="1:6">
      <c r="A12203">
        <v>12563</v>
      </c>
      <c r="B12203">
        <v>622013270</v>
      </c>
      <c r="C12203">
        <v>2013</v>
      </c>
      <c r="D12203" t="s">
        <v>31</v>
      </c>
      <c r="E12203" t="s">
        <v>32</v>
      </c>
      <c r="F12203">
        <v>1</v>
      </c>
    </row>
    <row r="12204" s="76" customFormat="1" spans="1:6">
      <c r="A12204">
        <v>12515</v>
      </c>
      <c r="B12204">
        <v>622013270</v>
      </c>
      <c r="C12204">
        <v>2013</v>
      </c>
      <c r="D12204" t="s">
        <v>31</v>
      </c>
      <c r="E12204" t="s">
        <v>32</v>
      </c>
      <c r="F12204">
        <v>5</v>
      </c>
    </row>
    <row r="12205" s="76" customFormat="1" spans="1:6">
      <c r="A12205">
        <v>12584</v>
      </c>
      <c r="B12205">
        <v>622013270</v>
      </c>
      <c r="C12205">
        <v>2013</v>
      </c>
      <c r="D12205" t="s">
        <v>31</v>
      </c>
      <c r="E12205" t="s">
        <v>32</v>
      </c>
      <c r="F12205">
        <v>5</v>
      </c>
    </row>
    <row r="12206" s="76" customFormat="1" spans="1:6">
      <c r="A12206">
        <v>12541</v>
      </c>
      <c r="B12206">
        <v>622013270</v>
      </c>
      <c r="C12206">
        <v>2013</v>
      </c>
      <c r="D12206" t="s">
        <v>31</v>
      </c>
      <c r="E12206" t="s">
        <v>32</v>
      </c>
      <c r="F12206">
        <v>5</v>
      </c>
    </row>
    <row r="12207" s="76" customFormat="1" spans="1:6">
      <c r="A12207">
        <v>12535</v>
      </c>
      <c r="B12207">
        <v>622013270</v>
      </c>
      <c r="C12207">
        <v>2013</v>
      </c>
      <c r="D12207" t="s">
        <v>31</v>
      </c>
      <c r="E12207" t="s">
        <v>32</v>
      </c>
      <c r="F12207">
        <v>0.9</v>
      </c>
    </row>
    <row r="12208" s="76" customFormat="1" spans="1:6">
      <c r="A12208">
        <v>12512</v>
      </c>
      <c r="B12208">
        <v>622013270</v>
      </c>
      <c r="C12208">
        <v>2013</v>
      </c>
      <c r="D12208" t="s">
        <v>31</v>
      </c>
      <c r="E12208" t="s">
        <v>32</v>
      </c>
      <c r="F12208">
        <v>5.9</v>
      </c>
    </row>
    <row r="12209" s="76" customFormat="1" spans="1:6">
      <c r="A12209">
        <v>12552</v>
      </c>
      <c r="B12209">
        <v>622013270</v>
      </c>
      <c r="C12209">
        <v>2013</v>
      </c>
      <c r="D12209" t="s">
        <v>31</v>
      </c>
      <c r="E12209" t="s">
        <v>32</v>
      </c>
      <c r="F12209">
        <v>0.9</v>
      </c>
    </row>
    <row r="12210" s="76" customFormat="1" spans="1:6">
      <c r="A12210">
        <v>12532</v>
      </c>
      <c r="B12210">
        <v>622013270</v>
      </c>
      <c r="C12210">
        <v>2013</v>
      </c>
      <c r="D12210" t="s">
        <v>31</v>
      </c>
      <c r="E12210" t="s">
        <v>32</v>
      </c>
      <c r="F12210">
        <v>0.9</v>
      </c>
    </row>
    <row r="12211" s="76" customFormat="1" spans="1:6">
      <c r="A12211">
        <v>12526</v>
      </c>
      <c r="B12211">
        <v>622013270</v>
      </c>
      <c r="C12211">
        <v>2013</v>
      </c>
      <c r="D12211" t="s">
        <v>31</v>
      </c>
      <c r="E12211" t="s">
        <v>32</v>
      </c>
      <c r="F12211">
        <v>2</v>
      </c>
    </row>
    <row r="12212" s="76" customFormat="1" spans="1:6">
      <c r="A12212">
        <v>12534</v>
      </c>
      <c r="B12212">
        <v>622013270</v>
      </c>
      <c r="C12212">
        <v>2013</v>
      </c>
      <c r="D12212" t="s">
        <v>31</v>
      </c>
      <c r="E12212" t="s">
        <v>32</v>
      </c>
      <c r="F12212">
        <v>0.01</v>
      </c>
    </row>
    <row r="12213" s="76" customFormat="1" spans="1:6">
      <c r="A12213">
        <v>12564</v>
      </c>
      <c r="B12213">
        <v>622013270</v>
      </c>
      <c r="C12213">
        <v>2013</v>
      </c>
      <c r="D12213" t="s">
        <v>31</v>
      </c>
      <c r="E12213" t="s">
        <v>32</v>
      </c>
      <c r="F12213">
        <v>4</v>
      </c>
    </row>
    <row r="12214" s="76" customFormat="1" spans="1:6">
      <c r="A12214">
        <v>12585</v>
      </c>
      <c r="B12214">
        <v>622013270</v>
      </c>
      <c r="C12214">
        <v>2013</v>
      </c>
      <c r="D12214" t="s">
        <v>31</v>
      </c>
      <c r="E12214" t="s">
        <v>32</v>
      </c>
      <c r="F12214">
        <v>2</v>
      </c>
    </row>
    <row r="12215" s="76" customFormat="1" spans="1:6">
      <c r="A12215">
        <v>12574</v>
      </c>
      <c r="B12215">
        <v>622013270</v>
      </c>
      <c r="C12215">
        <v>2013</v>
      </c>
      <c r="D12215" t="s">
        <v>31</v>
      </c>
      <c r="E12215" t="s">
        <v>32</v>
      </c>
      <c r="F12215">
        <v>10</v>
      </c>
    </row>
    <row r="12216" s="76" customFormat="1" spans="1:6">
      <c r="A12216">
        <v>12503</v>
      </c>
      <c r="B12216">
        <v>622013270</v>
      </c>
      <c r="C12216">
        <v>2013</v>
      </c>
      <c r="D12216" t="s">
        <v>31</v>
      </c>
      <c r="E12216" t="s">
        <v>32</v>
      </c>
      <c r="F12216">
        <v>10</v>
      </c>
    </row>
    <row r="12217" s="76" customFormat="1" spans="1:6">
      <c r="A12217">
        <v>12527</v>
      </c>
      <c r="B12217">
        <v>622013270</v>
      </c>
      <c r="C12217">
        <v>2013</v>
      </c>
      <c r="D12217" t="s">
        <v>31</v>
      </c>
      <c r="E12217" t="s">
        <v>32</v>
      </c>
      <c r="F12217">
        <v>2</v>
      </c>
    </row>
    <row r="12218" s="76" customFormat="1" spans="1:6">
      <c r="A12218">
        <v>12571</v>
      </c>
      <c r="B12218">
        <v>622013270</v>
      </c>
      <c r="C12218">
        <v>2013</v>
      </c>
      <c r="D12218" t="s">
        <v>31</v>
      </c>
      <c r="E12218" t="s">
        <v>32</v>
      </c>
      <c r="F12218">
        <v>1.8</v>
      </c>
    </row>
    <row r="12219" s="76" customFormat="1" spans="1:6">
      <c r="A12219">
        <v>12586</v>
      </c>
      <c r="B12219">
        <v>622013270</v>
      </c>
      <c r="C12219">
        <v>2013</v>
      </c>
      <c r="D12219" t="s">
        <v>31</v>
      </c>
      <c r="E12219" t="s">
        <v>32</v>
      </c>
      <c r="F12219">
        <v>0.9</v>
      </c>
    </row>
    <row r="12220" s="76" customFormat="1" spans="1:6">
      <c r="A12220">
        <v>12544</v>
      </c>
      <c r="B12220">
        <v>622013270</v>
      </c>
      <c r="C12220">
        <v>2013</v>
      </c>
      <c r="D12220" t="s">
        <v>31</v>
      </c>
      <c r="E12220" t="s">
        <v>32</v>
      </c>
      <c r="F12220">
        <v>5</v>
      </c>
    </row>
    <row r="12221" s="76" customFormat="1" spans="1:6">
      <c r="A12221">
        <v>12529</v>
      </c>
      <c r="B12221">
        <v>622013270</v>
      </c>
      <c r="C12221">
        <v>2013</v>
      </c>
      <c r="D12221" t="s">
        <v>31</v>
      </c>
      <c r="E12221" t="s">
        <v>32</v>
      </c>
      <c r="F12221">
        <v>0.9</v>
      </c>
    </row>
    <row r="12222" s="76" customFormat="1" spans="1:6">
      <c r="A12222">
        <v>12521</v>
      </c>
      <c r="B12222">
        <v>622013270</v>
      </c>
      <c r="C12222">
        <v>2013</v>
      </c>
      <c r="D12222" t="s">
        <v>31</v>
      </c>
      <c r="E12222" t="s">
        <v>32</v>
      </c>
      <c r="F12222">
        <v>5</v>
      </c>
    </row>
    <row r="12223" s="76" customFormat="1" spans="1:6">
      <c r="A12223">
        <v>12523</v>
      </c>
      <c r="B12223">
        <v>622013270</v>
      </c>
      <c r="C12223">
        <v>2013</v>
      </c>
      <c r="D12223" t="s">
        <v>31</v>
      </c>
      <c r="E12223" t="s">
        <v>32</v>
      </c>
      <c r="F12223">
        <v>5</v>
      </c>
    </row>
    <row r="12224" s="76" customFormat="1" spans="1:6">
      <c r="A12224">
        <v>12566</v>
      </c>
      <c r="B12224">
        <v>622013270</v>
      </c>
      <c r="C12224">
        <v>2013</v>
      </c>
      <c r="D12224" t="s">
        <v>31</v>
      </c>
      <c r="E12224" t="s">
        <v>32</v>
      </c>
      <c r="F12224">
        <v>0.9</v>
      </c>
    </row>
    <row r="12225" s="76" customFormat="1" spans="1:6">
      <c r="A12225">
        <v>12498</v>
      </c>
      <c r="B12225">
        <v>622013270</v>
      </c>
      <c r="C12225">
        <v>2013</v>
      </c>
      <c r="D12225" t="s">
        <v>31</v>
      </c>
      <c r="E12225" t="s">
        <v>32</v>
      </c>
      <c r="F12225">
        <v>3</v>
      </c>
    </row>
    <row r="12226" s="76" customFormat="1" spans="1:6">
      <c r="A12226">
        <v>12562</v>
      </c>
      <c r="B12226">
        <v>622013270</v>
      </c>
      <c r="C12226">
        <v>2013</v>
      </c>
      <c r="D12226" t="s">
        <v>31</v>
      </c>
      <c r="E12226" t="s">
        <v>32</v>
      </c>
      <c r="F12226">
        <v>5</v>
      </c>
    </row>
    <row r="12227" s="76" customFormat="1" spans="1:6">
      <c r="A12227">
        <v>12495</v>
      </c>
      <c r="B12227">
        <v>622013270</v>
      </c>
      <c r="C12227">
        <v>2013</v>
      </c>
      <c r="D12227" t="s">
        <v>31</v>
      </c>
      <c r="E12227" t="s">
        <v>32</v>
      </c>
      <c r="F12227">
        <v>5</v>
      </c>
    </row>
    <row r="12228" s="76" customFormat="1" spans="1:6">
      <c r="A12228">
        <v>12525</v>
      </c>
      <c r="B12228">
        <v>622013270</v>
      </c>
      <c r="C12228">
        <v>2013</v>
      </c>
      <c r="D12228" t="s">
        <v>31</v>
      </c>
      <c r="E12228" t="s">
        <v>32</v>
      </c>
      <c r="F12228">
        <v>2</v>
      </c>
    </row>
    <row r="12229" s="76" customFormat="1" spans="1:6">
      <c r="A12229">
        <v>12568</v>
      </c>
      <c r="B12229">
        <v>622013270</v>
      </c>
      <c r="C12229">
        <v>2013</v>
      </c>
      <c r="D12229" t="s">
        <v>31</v>
      </c>
      <c r="E12229" t="s">
        <v>32</v>
      </c>
      <c r="F12229">
        <v>0.9</v>
      </c>
    </row>
    <row r="12230" s="76" customFormat="1" spans="1:6">
      <c r="A12230">
        <v>12500</v>
      </c>
      <c r="B12230">
        <v>622013270</v>
      </c>
      <c r="C12230">
        <v>2013</v>
      </c>
      <c r="D12230" t="s">
        <v>31</v>
      </c>
      <c r="E12230" t="s">
        <v>32</v>
      </c>
      <c r="F12230">
        <v>3</v>
      </c>
    </row>
    <row r="12231" s="76" customFormat="1" spans="1:6">
      <c r="A12231">
        <v>12581</v>
      </c>
      <c r="B12231">
        <v>622013270</v>
      </c>
      <c r="C12231">
        <v>2013</v>
      </c>
      <c r="D12231" t="s">
        <v>31</v>
      </c>
      <c r="E12231" t="s">
        <v>32</v>
      </c>
      <c r="F12231">
        <v>0.9</v>
      </c>
    </row>
    <row r="12232" s="76" customFormat="1" spans="1:6">
      <c r="A12232">
        <v>12582</v>
      </c>
      <c r="B12232">
        <v>622013270</v>
      </c>
      <c r="C12232">
        <v>2013</v>
      </c>
      <c r="D12232" t="s">
        <v>31</v>
      </c>
      <c r="E12232" t="s">
        <v>32</v>
      </c>
      <c r="F12232">
        <v>0.9</v>
      </c>
    </row>
    <row r="12233" s="76" customFormat="1" spans="1:6">
      <c r="A12233">
        <v>12565</v>
      </c>
      <c r="B12233">
        <v>622013270</v>
      </c>
      <c r="C12233">
        <v>2013</v>
      </c>
      <c r="D12233" t="s">
        <v>31</v>
      </c>
      <c r="E12233" t="s">
        <v>32</v>
      </c>
      <c r="F12233">
        <v>0.9</v>
      </c>
    </row>
    <row r="12234" s="76" customFormat="1" spans="1:6">
      <c r="A12234">
        <v>12543</v>
      </c>
      <c r="B12234">
        <v>622013270</v>
      </c>
      <c r="C12234">
        <v>2013</v>
      </c>
      <c r="D12234" t="s">
        <v>31</v>
      </c>
      <c r="E12234" t="s">
        <v>32</v>
      </c>
      <c r="F12234">
        <v>5</v>
      </c>
    </row>
    <row r="12235" s="76" customFormat="1" spans="1:6">
      <c r="A12235">
        <v>12505</v>
      </c>
      <c r="B12235">
        <v>622013270</v>
      </c>
      <c r="C12235">
        <v>2013</v>
      </c>
      <c r="D12235" t="s">
        <v>31</v>
      </c>
      <c r="E12235" t="s">
        <v>32</v>
      </c>
      <c r="F12235">
        <v>10</v>
      </c>
    </row>
    <row r="12236" s="76" customFormat="1" spans="1:6">
      <c r="A12236">
        <v>12497</v>
      </c>
      <c r="B12236">
        <v>622013270</v>
      </c>
      <c r="C12236">
        <v>2013</v>
      </c>
      <c r="D12236" t="s">
        <v>31</v>
      </c>
      <c r="E12236" t="s">
        <v>32</v>
      </c>
      <c r="F12236">
        <v>5</v>
      </c>
    </row>
    <row r="12237" s="76" customFormat="1" spans="1:6">
      <c r="A12237">
        <v>12583</v>
      </c>
      <c r="B12237">
        <v>622013270</v>
      </c>
      <c r="C12237">
        <v>2013</v>
      </c>
      <c r="D12237" t="s">
        <v>31</v>
      </c>
      <c r="E12237" t="s">
        <v>32</v>
      </c>
      <c r="F12237">
        <v>10</v>
      </c>
    </row>
    <row r="12238" s="76" customFormat="1" spans="1:6">
      <c r="A12238">
        <v>12587</v>
      </c>
      <c r="B12238">
        <v>622013270</v>
      </c>
      <c r="C12238">
        <v>2013</v>
      </c>
      <c r="D12238" t="s">
        <v>31</v>
      </c>
      <c r="E12238" t="s">
        <v>32</v>
      </c>
      <c r="F12238">
        <v>1</v>
      </c>
    </row>
    <row r="12239" s="76" customFormat="1" spans="1:6">
      <c r="A12239">
        <v>12547</v>
      </c>
      <c r="B12239">
        <v>622013270</v>
      </c>
      <c r="C12239">
        <v>2013</v>
      </c>
      <c r="D12239" t="s">
        <v>31</v>
      </c>
      <c r="E12239" t="s">
        <v>32</v>
      </c>
      <c r="F12239">
        <v>5</v>
      </c>
    </row>
    <row r="12240" s="76" customFormat="1" spans="1:6">
      <c r="A12240">
        <v>12557</v>
      </c>
      <c r="B12240">
        <v>622013270</v>
      </c>
      <c r="C12240">
        <v>2013</v>
      </c>
      <c r="D12240" t="s">
        <v>31</v>
      </c>
      <c r="E12240" t="s">
        <v>32</v>
      </c>
      <c r="F12240">
        <v>10</v>
      </c>
    </row>
    <row r="12241" s="76" customFormat="1" spans="1:6">
      <c r="A12241">
        <v>12519</v>
      </c>
      <c r="B12241">
        <v>622013270</v>
      </c>
      <c r="C12241">
        <v>2013</v>
      </c>
      <c r="D12241" t="s">
        <v>31</v>
      </c>
      <c r="E12241" t="s">
        <v>32</v>
      </c>
      <c r="F12241">
        <v>5</v>
      </c>
    </row>
    <row r="12242" s="76" customFormat="1" spans="1:6">
      <c r="A12242">
        <v>12588</v>
      </c>
      <c r="B12242">
        <v>622013270</v>
      </c>
      <c r="C12242">
        <v>2013</v>
      </c>
      <c r="D12242" t="s">
        <v>31</v>
      </c>
      <c r="E12242" t="s">
        <v>32</v>
      </c>
      <c r="F12242">
        <v>0.9</v>
      </c>
    </row>
    <row r="12243" s="76" customFormat="1" spans="1:6">
      <c r="A12243">
        <v>12561</v>
      </c>
      <c r="B12243">
        <v>622013270</v>
      </c>
      <c r="C12243">
        <v>2013</v>
      </c>
      <c r="D12243" t="s">
        <v>31</v>
      </c>
      <c r="E12243" t="s">
        <v>32</v>
      </c>
      <c r="F12243">
        <v>5</v>
      </c>
    </row>
    <row r="12244" s="76" customFormat="1" spans="1:6">
      <c r="A12244">
        <v>12576</v>
      </c>
      <c r="B12244">
        <v>622013270</v>
      </c>
      <c r="C12244">
        <v>2013</v>
      </c>
      <c r="D12244" t="s">
        <v>31</v>
      </c>
      <c r="E12244" t="s">
        <v>32</v>
      </c>
      <c r="F12244">
        <v>2</v>
      </c>
    </row>
    <row r="12245" s="76" customFormat="1" spans="1:6">
      <c r="A12245">
        <v>12553</v>
      </c>
      <c r="B12245">
        <v>622013270</v>
      </c>
      <c r="C12245">
        <v>2013</v>
      </c>
      <c r="D12245" t="s">
        <v>31</v>
      </c>
      <c r="E12245" t="s">
        <v>32</v>
      </c>
      <c r="F12245">
        <v>3</v>
      </c>
    </row>
    <row r="12246" s="76" customFormat="1" spans="1:6">
      <c r="A12246">
        <v>12496</v>
      </c>
      <c r="B12246">
        <v>622013270</v>
      </c>
      <c r="C12246">
        <v>2013</v>
      </c>
      <c r="D12246" t="s">
        <v>31</v>
      </c>
      <c r="E12246" t="s">
        <v>32</v>
      </c>
      <c r="F12246">
        <v>5</v>
      </c>
    </row>
    <row r="12247" s="76" customFormat="1" spans="1:6">
      <c r="A12247">
        <v>12507</v>
      </c>
      <c r="B12247">
        <v>622013270</v>
      </c>
      <c r="C12247">
        <v>2013</v>
      </c>
      <c r="D12247" t="s">
        <v>31</v>
      </c>
      <c r="E12247" t="s">
        <v>32</v>
      </c>
      <c r="F12247">
        <v>10</v>
      </c>
    </row>
    <row r="12248" s="76" customFormat="1" spans="1:6">
      <c r="A12248">
        <v>12517</v>
      </c>
      <c r="B12248">
        <v>622013270</v>
      </c>
      <c r="C12248">
        <v>2013</v>
      </c>
      <c r="D12248" t="s">
        <v>31</v>
      </c>
      <c r="E12248" t="s">
        <v>32</v>
      </c>
      <c r="F12248">
        <v>5</v>
      </c>
    </row>
    <row r="12249" s="76" customFormat="1" spans="1:6">
      <c r="A12249">
        <v>12558</v>
      </c>
      <c r="B12249">
        <v>622013270</v>
      </c>
      <c r="C12249">
        <v>2013</v>
      </c>
      <c r="D12249" t="s">
        <v>31</v>
      </c>
      <c r="E12249" t="s">
        <v>32</v>
      </c>
      <c r="F12249">
        <v>2</v>
      </c>
    </row>
    <row r="12250" s="76" customFormat="1" spans="1:6">
      <c r="A12250">
        <v>12572</v>
      </c>
      <c r="B12250">
        <v>622013270</v>
      </c>
      <c r="C12250">
        <v>2013</v>
      </c>
      <c r="D12250" t="s">
        <v>31</v>
      </c>
      <c r="E12250" t="s">
        <v>32</v>
      </c>
      <c r="F12250">
        <v>10</v>
      </c>
    </row>
    <row r="12251" s="76" customFormat="1" spans="1:6">
      <c r="A12251">
        <v>12494</v>
      </c>
      <c r="B12251">
        <v>622013270</v>
      </c>
      <c r="C12251">
        <v>2013</v>
      </c>
      <c r="D12251" t="s">
        <v>31</v>
      </c>
      <c r="E12251" t="s">
        <v>32</v>
      </c>
      <c r="F12251">
        <v>5</v>
      </c>
    </row>
    <row r="12252" s="76" customFormat="1" spans="1:6">
      <c r="A12252">
        <v>12554</v>
      </c>
      <c r="B12252">
        <v>622013270</v>
      </c>
      <c r="C12252">
        <v>2013</v>
      </c>
      <c r="D12252" t="s">
        <v>31</v>
      </c>
      <c r="E12252" t="s">
        <v>32</v>
      </c>
      <c r="F12252">
        <v>2</v>
      </c>
    </row>
    <row r="12253" s="76" customFormat="1" spans="1:6">
      <c r="A12253">
        <v>12593</v>
      </c>
      <c r="B12253">
        <v>622014110</v>
      </c>
      <c r="C12253">
        <v>2014</v>
      </c>
      <c r="D12253" t="s">
        <v>40</v>
      </c>
      <c r="E12253">
        <v>3</v>
      </c>
      <c r="F12253">
        <v>11.5</v>
      </c>
    </row>
    <row r="12254" s="76" customFormat="1" spans="1:6">
      <c r="A12254">
        <v>12595</v>
      </c>
      <c r="B12254">
        <v>622014110</v>
      </c>
      <c r="C12254">
        <v>2014</v>
      </c>
      <c r="D12254" t="s">
        <v>40</v>
      </c>
      <c r="E12254">
        <v>2</v>
      </c>
      <c r="F12254">
        <v>2</v>
      </c>
    </row>
    <row r="12255" s="76" customFormat="1" spans="1:6">
      <c r="A12255">
        <v>12596</v>
      </c>
      <c r="B12255">
        <v>622014110</v>
      </c>
      <c r="C12255">
        <v>2014</v>
      </c>
      <c r="D12255" t="s">
        <v>40</v>
      </c>
      <c r="E12255">
        <v>3</v>
      </c>
      <c r="F12255">
        <v>24</v>
      </c>
    </row>
    <row r="12256" s="76" customFormat="1" spans="1:6">
      <c r="A12256">
        <v>12598</v>
      </c>
      <c r="B12256">
        <v>622014110</v>
      </c>
      <c r="C12256">
        <v>2014</v>
      </c>
      <c r="D12256" t="s">
        <v>40</v>
      </c>
      <c r="E12256"/>
      <c r="F12256">
        <v>0.5</v>
      </c>
    </row>
    <row r="12257" s="76" customFormat="1" spans="1:6">
      <c r="A12257">
        <v>12597</v>
      </c>
      <c r="B12257">
        <v>622014110</v>
      </c>
      <c r="C12257">
        <v>2014</v>
      </c>
      <c r="D12257" t="s">
        <v>40</v>
      </c>
      <c r="E12257">
        <v>2</v>
      </c>
      <c r="F12257">
        <v>3.2</v>
      </c>
    </row>
    <row r="12258" s="76" customFormat="1" spans="1:6">
      <c r="A12258">
        <v>12594</v>
      </c>
      <c r="B12258">
        <v>622014110</v>
      </c>
      <c r="C12258">
        <v>2014</v>
      </c>
      <c r="D12258" t="s">
        <v>40</v>
      </c>
      <c r="E12258">
        <v>3</v>
      </c>
      <c r="F12258">
        <v>7.2</v>
      </c>
    </row>
    <row r="12259" s="76" customFormat="1" spans="1:6">
      <c r="A12259">
        <v>12600</v>
      </c>
      <c r="B12259">
        <v>622014211</v>
      </c>
      <c r="C12259">
        <v>2014</v>
      </c>
      <c r="D12259" t="s">
        <v>37</v>
      </c>
      <c r="E12259">
        <v>1</v>
      </c>
      <c r="F12259">
        <v>33</v>
      </c>
    </row>
    <row r="12260" s="76" customFormat="1" spans="1:6">
      <c r="A12260">
        <v>12599</v>
      </c>
      <c r="B12260">
        <v>622014211</v>
      </c>
      <c r="C12260">
        <v>2014</v>
      </c>
      <c r="D12260" t="s">
        <v>37</v>
      </c>
      <c r="E12260">
        <v>4</v>
      </c>
      <c r="F12260">
        <v>140</v>
      </c>
    </row>
    <row r="12261" s="76" customFormat="1" spans="1:6">
      <c r="A12261">
        <v>12601</v>
      </c>
      <c r="B12261">
        <v>622014211</v>
      </c>
      <c r="C12261">
        <v>2014</v>
      </c>
      <c r="D12261" t="s">
        <v>37</v>
      </c>
      <c r="E12261">
        <v>2</v>
      </c>
      <c r="F12261">
        <v>70</v>
      </c>
    </row>
    <row r="12262" s="76" customFormat="1" spans="1:6">
      <c r="A12262">
        <v>12602</v>
      </c>
      <c r="B12262">
        <v>622014241</v>
      </c>
      <c r="C12262">
        <v>2014</v>
      </c>
      <c r="D12262" t="s">
        <v>33</v>
      </c>
      <c r="E12262"/>
      <c r="F12262">
        <v>4</v>
      </c>
    </row>
    <row r="12263" s="76" customFormat="1" spans="1:6">
      <c r="A12263">
        <v>12603</v>
      </c>
      <c r="B12263">
        <v>622014241</v>
      </c>
      <c r="C12263">
        <v>2014</v>
      </c>
      <c r="D12263" t="s">
        <v>33</v>
      </c>
      <c r="E12263">
        <v>2</v>
      </c>
      <c r="F12263">
        <v>1.2</v>
      </c>
    </row>
    <row r="12264" s="76" customFormat="1" spans="1:6">
      <c r="A12264">
        <v>12604</v>
      </c>
      <c r="B12264">
        <v>622014243</v>
      </c>
      <c r="C12264">
        <v>2014</v>
      </c>
      <c r="D12264" t="s">
        <v>38</v>
      </c>
      <c r="E12264">
        <v>1</v>
      </c>
      <c r="F12264">
        <v>3</v>
      </c>
    </row>
    <row r="12265" s="76" customFormat="1" spans="1:6">
      <c r="A12265">
        <v>12615</v>
      </c>
      <c r="B12265">
        <v>622014260</v>
      </c>
      <c r="C12265">
        <v>2014</v>
      </c>
      <c r="D12265" t="s">
        <v>34</v>
      </c>
      <c r="E12265">
        <v>134</v>
      </c>
      <c r="F12265">
        <v>15</v>
      </c>
    </row>
    <row r="12266" s="76" customFormat="1" spans="1:6">
      <c r="A12266">
        <v>12611</v>
      </c>
      <c r="B12266">
        <v>622014260</v>
      </c>
      <c r="C12266">
        <v>2014</v>
      </c>
      <c r="D12266" t="s">
        <v>34</v>
      </c>
      <c r="E12266">
        <v>100</v>
      </c>
      <c r="F12266">
        <v>20</v>
      </c>
    </row>
    <row r="12267" s="76" customFormat="1" spans="1:6">
      <c r="A12267">
        <v>12624</v>
      </c>
      <c r="B12267">
        <v>622014260</v>
      </c>
      <c r="C12267">
        <v>2014</v>
      </c>
      <c r="D12267" t="s">
        <v>34</v>
      </c>
      <c r="E12267">
        <v>66</v>
      </c>
      <c r="F12267">
        <v>9.9</v>
      </c>
    </row>
    <row r="12268" s="76" customFormat="1" spans="1:6">
      <c r="A12268">
        <v>12613</v>
      </c>
      <c r="B12268">
        <v>622014260</v>
      </c>
      <c r="C12268">
        <v>2014</v>
      </c>
      <c r="D12268" t="s">
        <v>34</v>
      </c>
      <c r="E12268">
        <v>2</v>
      </c>
      <c r="F12268">
        <v>0.4</v>
      </c>
    </row>
    <row r="12269" s="76" customFormat="1" spans="1:6">
      <c r="A12269">
        <v>12617</v>
      </c>
      <c r="B12269">
        <v>622014260</v>
      </c>
      <c r="C12269">
        <v>2014</v>
      </c>
      <c r="D12269" t="s">
        <v>34</v>
      </c>
      <c r="E12269">
        <v>66</v>
      </c>
      <c r="F12269">
        <v>9.9</v>
      </c>
    </row>
    <row r="12270" s="76" customFormat="1" spans="1:6">
      <c r="A12270">
        <v>12605</v>
      </c>
      <c r="B12270">
        <v>622014260</v>
      </c>
      <c r="C12270">
        <v>2014</v>
      </c>
      <c r="D12270" t="s">
        <v>34</v>
      </c>
      <c r="E12270">
        <v>117</v>
      </c>
      <c r="F12270">
        <v>20.05</v>
      </c>
    </row>
    <row r="12271" s="76" customFormat="1" spans="1:6">
      <c r="A12271">
        <v>12610</v>
      </c>
      <c r="B12271">
        <v>622014260</v>
      </c>
      <c r="C12271">
        <v>2014</v>
      </c>
      <c r="D12271" t="s">
        <v>34</v>
      </c>
      <c r="E12271">
        <v>133</v>
      </c>
      <c r="F12271">
        <v>19.95</v>
      </c>
    </row>
    <row r="12272" s="76" customFormat="1" spans="1:6">
      <c r="A12272">
        <v>12614</v>
      </c>
      <c r="B12272">
        <v>622014260</v>
      </c>
      <c r="C12272">
        <v>2014</v>
      </c>
      <c r="D12272" t="s">
        <v>34</v>
      </c>
      <c r="E12272">
        <v>240</v>
      </c>
      <c r="F12272">
        <v>40</v>
      </c>
    </row>
    <row r="12273" s="76" customFormat="1" spans="1:6">
      <c r="A12273">
        <v>12606</v>
      </c>
      <c r="B12273">
        <v>622014260</v>
      </c>
      <c r="C12273">
        <v>2014</v>
      </c>
      <c r="D12273" t="s">
        <v>34</v>
      </c>
      <c r="E12273">
        <v>19</v>
      </c>
      <c r="F12273">
        <v>4.75</v>
      </c>
    </row>
    <row r="12274" s="76" customFormat="1" spans="1:6">
      <c r="A12274">
        <v>12609</v>
      </c>
      <c r="B12274">
        <v>622014260</v>
      </c>
      <c r="C12274">
        <v>2014</v>
      </c>
      <c r="D12274" t="s">
        <v>34</v>
      </c>
      <c r="E12274">
        <v>19</v>
      </c>
      <c r="F12274">
        <v>4.75</v>
      </c>
    </row>
    <row r="12275" s="76" customFormat="1" spans="1:6">
      <c r="A12275">
        <v>12619</v>
      </c>
      <c r="B12275">
        <v>622014260</v>
      </c>
      <c r="C12275">
        <v>2014</v>
      </c>
      <c r="D12275" t="s">
        <v>34</v>
      </c>
      <c r="E12275">
        <v>33</v>
      </c>
      <c r="F12275">
        <v>4.95</v>
      </c>
    </row>
    <row r="12276" s="76" customFormat="1" spans="1:6">
      <c r="A12276">
        <v>12620</v>
      </c>
      <c r="B12276">
        <v>622014260</v>
      </c>
      <c r="C12276">
        <v>2014</v>
      </c>
      <c r="D12276" t="s">
        <v>34</v>
      </c>
      <c r="E12276">
        <v>33</v>
      </c>
      <c r="F12276">
        <v>4.95</v>
      </c>
    </row>
    <row r="12277" s="76" customFormat="1" spans="1:6">
      <c r="A12277">
        <v>12625</v>
      </c>
      <c r="B12277">
        <v>622014260</v>
      </c>
      <c r="C12277">
        <v>2014</v>
      </c>
      <c r="D12277" t="s">
        <v>34</v>
      </c>
      <c r="E12277">
        <v>25</v>
      </c>
      <c r="F12277">
        <v>4.95</v>
      </c>
    </row>
    <row r="12278" s="76" customFormat="1" spans="1:6">
      <c r="A12278">
        <v>12626</v>
      </c>
      <c r="B12278">
        <v>622014260</v>
      </c>
      <c r="C12278">
        <v>2014</v>
      </c>
      <c r="D12278" t="s">
        <v>34</v>
      </c>
      <c r="E12278">
        <v>25</v>
      </c>
      <c r="F12278">
        <v>4.95</v>
      </c>
    </row>
    <row r="12279" s="76" customFormat="1" spans="1:6">
      <c r="A12279">
        <v>12623</v>
      </c>
      <c r="B12279">
        <v>622014260</v>
      </c>
      <c r="C12279">
        <v>2014</v>
      </c>
      <c r="D12279" t="s">
        <v>34</v>
      </c>
      <c r="E12279">
        <v>25</v>
      </c>
      <c r="F12279">
        <v>4.95</v>
      </c>
    </row>
    <row r="12280" s="76" customFormat="1" spans="1:6">
      <c r="A12280">
        <v>12621</v>
      </c>
      <c r="B12280">
        <v>622014260</v>
      </c>
      <c r="C12280">
        <v>2014</v>
      </c>
      <c r="D12280" t="s">
        <v>34</v>
      </c>
      <c r="E12280">
        <v>25</v>
      </c>
      <c r="F12280">
        <v>4.95</v>
      </c>
    </row>
    <row r="12281" s="76" customFormat="1" spans="1:6">
      <c r="A12281">
        <v>12622</v>
      </c>
      <c r="B12281">
        <v>622014260</v>
      </c>
      <c r="C12281">
        <v>2014</v>
      </c>
      <c r="D12281" t="s">
        <v>34</v>
      </c>
      <c r="E12281">
        <v>99</v>
      </c>
      <c r="F12281">
        <v>14.85</v>
      </c>
    </row>
    <row r="12282" s="76" customFormat="1" spans="1:6">
      <c r="A12282">
        <v>12618</v>
      </c>
      <c r="B12282">
        <v>622014260</v>
      </c>
      <c r="C12282">
        <v>2014</v>
      </c>
      <c r="D12282" t="s">
        <v>34</v>
      </c>
      <c r="E12282">
        <v>200</v>
      </c>
      <c r="F12282">
        <v>40</v>
      </c>
    </row>
    <row r="12283" s="76" customFormat="1" spans="1:6">
      <c r="A12283">
        <v>12612</v>
      </c>
      <c r="B12283">
        <v>622014260</v>
      </c>
      <c r="C12283">
        <v>2014</v>
      </c>
      <c r="D12283" t="s">
        <v>34</v>
      </c>
      <c r="E12283">
        <v>200</v>
      </c>
      <c r="F12283">
        <v>40</v>
      </c>
    </row>
    <row r="12284" s="76" customFormat="1" spans="1:6">
      <c r="A12284">
        <v>12616</v>
      </c>
      <c r="B12284">
        <v>622014260</v>
      </c>
      <c r="C12284">
        <v>2014</v>
      </c>
      <c r="D12284" t="s">
        <v>34</v>
      </c>
      <c r="E12284">
        <v>25</v>
      </c>
      <c r="F12284">
        <v>5</v>
      </c>
    </row>
    <row r="12285" s="76" customFormat="1" spans="1:6">
      <c r="A12285">
        <v>12607</v>
      </c>
      <c r="B12285">
        <v>622014260</v>
      </c>
      <c r="C12285">
        <v>2014</v>
      </c>
      <c r="D12285" t="s">
        <v>34</v>
      </c>
      <c r="E12285">
        <v>24</v>
      </c>
      <c r="F12285">
        <v>4.8</v>
      </c>
    </row>
    <row r="12286" s="76" customFormat="1" spans="1:6">
      <c r="A12286">
        <v>12628</v>
      </c>
      <c r="B12286">
        <v>622014260</v>
      </c>
      <c r="C12286">
        <v>2014</v>
      </c>
      <c r="D12286" t="s">
        <v>34</v>
      </c>
      <c r="E12286">
        <v>24</v>
      </c>
      <c r="F12286">
        <v>4.8</v>
      </c>
    </row>
    <row r="12287" s="76" customFormat="1" spans="1:6">
      <c r="A12287">
        <v>12627</v>
      </c>
      <c r="B12287">
        <v>622014260</v>
      </c>
      <c r="C12287">
        <v>2014</v>
      </c>
      <c r="D12287" t="s">
        <v>34</v>
      </c>
      <c r="E12287">
        <v>24</v>
      </c>
      <c r="F12287">
        <v>4.8</v>
      </c>
    </row>
    <row r="12288" s="76" customFormat="1" spans="1:6">
      <c r="A12288">
        <v>12608</v>
      </c>
      <c r="B12288">
        <v>622014260</v>
      </c>
      <c r="C12288">
        <v>2014</v>
      </c>
      <c r="D12288" t="s">
        <v>34</v>
      </c>
      <c r="E12288">
        <v>117</v>
      </c>
      <c r="F12288">
        <v>20.05</v>
      </c>
    </row>
    <row r="12289" s="76" customFormat="1" spans="1:6">
      <c r="A12289">
        <v>12645</v>
      </c>
      <c r="B12289">
        <v>622014270</v>
      </c>
      <c r="C12289">
        <v>2014</v>
      </c>
      <c r="D12289" t="s">
        <v>31</v>
      </c>
      <c r="E12289">
        <v>1</v>
      </c>
      <c r="F12289">
        <v>0.44</v>
      </c>
    </row>
    <row r="12290" s="76" customFormat="1" spans="1:6">
      <c r="A12290">
        <v>12646</v>
      </c>
      <c r="B12290">
        <v>622014270</v>
      </c>
      <c r="C12290">
        <v>2014</v>
      </c>
      <c r="D12290" t="s">
        <v>31</v>
      </c>
      <c r="E12290">
        <v>1</v>
      </c>
      <c r="F12290">
        <v>0.18</v>
      </c>
    </row>
    <row r="12291" s="76" customFormat="1" spans="1:6">
      <c r="A12291">
        <v>12632</v>
      </c>
      <c r="B12291">
        <v>622014270</v>
      </c>
      <c r="C12291">
        <v>2014</v>
      </c>
      <c r="D12291" t="s">
        <v>31</v>
      </c>
      <c r="E12291">
        <v>1</v>
      </c>
      <c r="F12291">
        <v>10</v>
      </c>
    </row>
    <row r="12292" s="76" customFormat="1" spans="1:6">
      <c r="A12292">
        <v>12639</v>
      </c>
      <c r="B12292">
        <v>622014270</v>
      </c>
      <c r="C12292">
        <v>2014</v>
      </c>
      <c r="D12292" t="s">
        <v>31</v>
      </c>
      <c r="E12292">
        <v>1</v>
      </c>
      <c r="F12292">
        <v>4.9</v>
      </c>
    </row>
    <row r="12293" s="76" customFormat="1" spans="1:6">
      <c r="A12293">
        <v>12634</v>
      </c>
      <c r="B12293">
        <v>622014270</v>
      </c>
      <c r="C12293">
        <v>2014</v>
      </c>
      <c r="D12293" t="s">
        <v>31</v>
      </c>
      <c r="E12293"/>
      <c r="F12293">
        <v>4</v>
      </c>
    </row>
    <row r="12294" s="76" customFormat="1" spans="1:6">
      <c r="A12294">
        <v>12644</v>
      </c>
      <c r="B12294">
        <v>622014270</v>
      </c>
      <c r="C12294">
        <v>2014</v>
      </c>
      <c r="D12294" t="s">
        <v>31</v>
      </c>
      <c r="E12294">
        <v>1</v>
      </c>
      <c r="F12294">
        <v>1</v>
      </c>
    </row>
    <row r="12295" s="76" customFormat="1" spans="1:6">
      <c r="A12295">
        <v>12643</v>
      </c>
      <c r="B12295">
        <v>622014270</v>
      </c>
      <c r="C12295">
        <v>2014</v>
      </c>
      <c r="D12295" t="s">
        <v>31</v>
      </c>
      <c r="E12295">
        <v>1</v>
      </c>
      <c r="F12295">
        <v>1.5</v>
      </c>
    </row>
    <row r="12296" s="76" customFormat="1" spans="1:6">
      <c r="A12296">
        <v>12629</v>
      </c>
      <c r="B12296">
        <v>622014270</v>
      </c>
      <c r="C12296">
        <v>2014</v>
      </c>
      <c r="D12296" t="s">
        <v>31</v>
      </c>
      <c r="E12296">
        <v>1</v>
      </c>
      <c r="F12296">
        <v>10</v>
      </c>
    </row>
    <row r="12297" s="76" customFormat="1" spans="1:6">
      <c r="A12297">
        <v>12636</v>
      </c>
      <c r="B12297">
        <v>622014270</v>
      </c>
      <c r="C12297">
        <v>2014</v>
      </c>
      <c r="D12297" t="s">
        <v>31</v>
      </c>
      <c r="E12297">
        <v>1</v>
      </c>
      <c r="F12297">
        <v>5</v>
      </c>
    </row>
    <row r="12298" s="76" customFormat="1" spans="1:6">
      <c r="A12298">
        <v>12630</v>
      </c>
      <c r="B12298">
        <v>622014270</v>
      </c>
      <c r="C12298">
        <v>2014</v>
      </c>
      <c r="D12298" t="s">
        <v>31</v>
      </c>
      <c r="E12298">
        <v>1</v>
      </c>
      <c r="F12298">
        <v>10</v>
      </c>
    </row>
    <row r="12299" s="76" customFormat="1" spans="1:6">
      <c r="A12299">
        <v>12641</v>
      </c>
      <c r="B12299">
        <v>622014270</v>
      </c>
      <c r="C12299">
        <v>2014</v>
      </c>
      <c r="D12299" t="s">
        <v>31</v>
      </c>
      <c r="E12299">
        <v>1</v>
      </c>
      <c r="F12299">
        <v>2.5</v>
      </c>
    </row>
    <row r="12300" s="76" customFormat="1" spans="1:6">
      <c r="A12300">
        <v>12631</v>
      </c>
      <c r="B12300">
        <v>622014270</v>
      </c>
      <c r="C12300">
        <v>2014</v>
      </c>
      <c r="D12300" t="s">
        <v>31</v>
      </c>
      <c r="E12300">
        <v>1</v>
      </c>
      <c r="F12300">
        <v>10</v>
      </c>
    </row>
    <row r="12301" s="76" customFormat="1" spans="1:6">
      <c r="A12301">
        <v>12638</v>
      </c>
      <c r="B12301">
        <v>622014270</v>
      </c>
      <c r="C12301">
        <v>2014</v>
      </c>
      <c r="D12301" t="s">
        <v>31</v>
      </c>
      <c r="E12301">
        <v>1</v>
      </c>
      <c r="F12301">
        <v>4.95</v>
      </c>
    </row>
    <row r="12302" s="76" customFormat="1" spans="1:6">
      <c r="A12302">
        <v>12635</v>
      </c>
      <c r="B12302">
        <v>622014270</v>
      </c>
      <c r="C12302">
        <v>2014</v>
      </c>
      <c r="D12302" t="s">
        <v>31</v>
      </c>
      <c r="E12302">
        <v>1</v>
      </c>
      <c r="F12302">
        <v>5</v>
      </c>
    </row>
    <row r="12303" s="76" customFormat="1" spans="1:6">
      <c r="A12303">
        <v>12640</v>
      </c>
      <c r="B12303">
        <v>622014270</v>
      </c>
      <c r="C12303">
        <v>2014</v>
      </c>
      <c r="D12303" t="s">
        <v>31</v>
      </c>
      <c r="E12303">
        <v>1</v>
      </c>
      <c r="F12303">
        <v>4</v>
      </c>
    </row>
    <row r="12304" s="76" customFormat="1" spans="1:6">
      <c r="A12304">
        <v>12642</v>
      </c>
      <c r="B12304">
        <v>622014270</v>
      </c>
      <c r="C12304">
        <v>2014</v>
      </c>
      <c r="D12304" t="s">
        <v>31</v>
      </c>
      <c r="E12304">
        <v>1</v>
      </c>
      <c r="F12304">
        <v>2</v>
      </c>
    </row>
    <row r="12305" s="76" customFormat="1" spans="1:6">
      <c r="A12305">
        <v>12637</v>
      </c>
      <c r="B12305">
        <v>622014270</v>
      </c>
      <c r="C12305">
        <v>2014</v>
      </c>
      <c r="D12305" t="s">
        <v>31</v>
      </c>
      <c r="E12305">
        <v>1</v>
      </c>
      <c r="F12305">
        <v>4.95</v>
      </c>
    </row>
    <row r="12306" s="76" customFormat="1" spans="1:6">
      <c r="A12306">
        <v>12633</v>
      </c>
      <c r="B12306">
        <v>622014270</v>
      </c>
      <c r="C12306">
        <v>2014</v>
      </c>
      <c r="D12306" t="s">
        <v>31</v>
      </c>
      <c r="E12306">
        <v>1</v>
      </c>
      <c r="F12306">
        <v>7</v>
      </c>
    </row>
    <row r="12307" s="76" customFormat="1" spans="1:6">
      <c r="A12307">
        <v>12666</v>
      </c>
      <c r="B12307">
        <v>622015110</v>
      </c>
      <c r="C12307">
        <v>2015</v>
      </c>
      <c r="D12307" t="s">
        <v>40</v>
      </c>
      <c r="E12307" t="s">
        <v>32</v>
      </c>
      <c r="F12307">
        <v>3.15</v>
      </c>
    </row>
    <row r="12308" s="76" customFormat="1" spans="1:6">
      <c r="A12308">
        <v>12654</v>
      </c>
      <c r="B12308">
        <v>622015110</v>
      </c>
      <c r="C12308">
        <v>2015</v>
      </c>
      <c r="D12308" t="s">
        <v>40</v>
      </c>
      <c r="E12308">
        <v>1</v>
      </c>
      <c r="F12308">
        <v>0.55</v>
      </c>
    </row>
    <row r="12309" s="76" customFormat="1" spans="1:6">
      <c r="A12309">
        <v>12662</v>
      </c>
      <c r="B12309">
        <v>622015110</v>
      </c>
      <c r="C12309">
        <v>2015</v>
      </c>
      <c r="D12309" t="s">
        <v>40</v>
      </c>
      <c r="E12309" t="s">
        <v>32</v>
      </c>
      <c r="F12309">
        <v>1.52</v>
      </c>
    </row>
    <row r="12310" s="76" customFormat="1" spans="1:6">
      <c r="A12310">
        <v>12657</v>
      </c>
      <c r="B12310">
        <v>622015110</v>
      </c>
      <c r="C12310">
        <v>2015</v>
      </c>
      <c r="D12310" t="s">
        <v>40</v>
      </c>
      <c r="E12310" t="s">
        <v>32</v>
      </c>
      <c r="F12310">
        <v>2.1</v>
      </c>
    </row>
    <row r="12311" s="76" customFormat="1" spans="1:6">
      <c r="A12311">
        <v>12667</v>
      </c>
      <c r="B12311">
        <v>622015110</v>
      </c>
      <c r="C12311">
        <v>2015</v>
      </c>
      <c r="D12311" t="s">
        <v>40</v>
      </c>
      <c r="E12311" t="s">
        <v>32</v>
      </c>
      <c r="F12311">
        <v>2.4</v>
      </c>
    </row>
    <row r="12312" s="76" customFormat="1" spans="1:6">
      <c r="A12312">
        <v>12664</v>
      </c>
      <c r="B12312">
        <v>622015110</v>
      </c>
      <c r="C12312">
        <v>2015</v>
      </c>
      <c r="D12312" t="s">
        <v>40</v>
      </c>
      <c r="E12312" t="s">
        <v>32</v>
      </c>
      <c r="F12312">
        <v>0.96</v>
      </c>
    </row>
    <row r="12313" s="76" customFormat="1" spans="1:6">
      <c r="A12313">
        <v>12649</v>
      </c>
      <c r="B12313">
        <v>622015110</v>
      </c>
      <c r="C12313">
        <v>2015</v>
      </c>
      <c r="D12313" t="s">
        <v>40</v>
      </c>
      <c r="E12313">
        <v>1</v>
      </c>
      <c r="F12313">
        <v>0.6</v>
      </c>
    </row>
    <row r="12314" s="76" customFormat="1" spans="1:6">
      <c r="A12314">
        <v>12665</v>
      </c>
      <c r="B12314">
        <v>622015110</v>
      </c>
      <c r="C12314">
        <v>2015</v>
      </c>
      <c r="D12314" t="s">
        <v>40</v>
      </c>
      <c r="E12314" t="s">
        <v>32</v>
      </c>
      <c r="F12314">
        <v>1.26</v>
      </c>
    </row>
    <row r="12315" s="76" customFormat="1" spans="1:6">
      <c r="A12315">
        <v>12653</v>
      </c>
      <c r="B12315">
        <v>622015110</v>
      </c>
      <c r="C12315">
        <v>2015</v>
      </c>
      <c r="D12315" t="s">
        <v>40</v>
      </c>
      <c r="E12315">
        <v>1</v>
      </c>
      <c r="F12315">
        <v>0.3</v>
      </c>
    </row>
    <row r="12316" s="76" customFormat="1" spans="1:6">
      <c r="A12316">
        <v>12652</v>
      </c>
      <c r="B12316">
        <v>622015110</v>
      </c>
      <c r="C12316">
        <v>2015</v>
      </c>
      <c r="D12316" t="s">
        <v>40</v>
      </c>
      <c r="E12316">
        <v>1</v>
      </c>
      <c r="F12316">
        <v>0.53</v>
      </c>
    </row>
    <row r="12317" s="76" customFormat="1" spans="1:6">
      <c r="A12317">
        <v>12650</v>
      </c>
      <c r="B12317">
        <v>622015110</v>
      </c>
      <c r="C12317">
        <v>2015</v>
      </c>
      <c r="D12317" t="s">
        <v>40</v>
      </c>
      <c r="E12317">
        <v>1</v>
      </c>
      <c r="F12317">
        <v>0.1</v>
      </c>
    </row>
    <row r="12318" s="76" customFormat="1" spans="1:6">
      <c r="A12318">
        <v>12647</v>
      </c>
      <c r="B12318">
        <v>622015110</v>
      </c>
      <c r="C12318">
        <v>2015</v>
      </c>
      <c r="D12318" t="s">
        <v>40</v>
      </c>
      <c r="E12318">
        <v>1</v>
      </c>
      <c r="F12318">
        <v>1.7</v>
      </c>
    </row>
    <row r="12319" s="76" customFormat="1" spans="1:6">
      <c r="A12319">
        <v>12660</v>
      </c>
      <c r="B12319">
        <v>622015110</v>
      </c>
      <c r="C12319">
        <v>2015</v>
      </c>
      <c r="D12319" t="s">
        <v>40</v>
      </c>
      <c r="E12319" t="s">
        <v>32</v>
      </c>
      <c r="F12319">
        <v>0.77</v>
      </c>
    </row>
    <row r="12320" s="76" customFormat="1" spans="1:6">
      <c r="A12320">
        <v>12656</v>
      </c>
      <c r="B12320">
        <v>622015110</v>
      </c>
      <c r="C12320">
        <v>2015</v>
      </c>
      <c r="D12320" t="s">
        <v>40</v>
      </c>
      <c r="E12320" t="s">
        <v>32</v>
      </c>
      <c r="F12320">
        <v>0.96</v>
      </c>
    </row>
    <row r="12321" s="76" customFormat="1" spans="1:6">
      <c r="A12321">
        <v>12655</v>
      </c>
      <c r="B12321">
        <v>622015110</v>
      </c>
      <c r="C12321">
        <v>2015</v>
      </c>
      <c r="D12321" t="s">
        <v>40</v>
      </c>
      <c r="E12321">
        <v>1</v>
      </c>
      <c r="F12321">
        <v>0.58</v>
      </c>
    </row>
    <row r="12322" s="76" customFormat="1" spans="1:6">
      <c r="A12322">
        <v>12651</v>
      </c>
      <c r="B12322">
        <v>622015110</v>
      </c>
      <c r="C12322">
        <v>2015</v>
      </c>
      <c r="D12322" t="s">
        <v>40</v>
      </c>
      <c r="E12322">
        <v>1</v>
      </c>
      <c r="F12322">
        <v>1</v>
      </c>
    </row>
    <row r="12323" s="76" customFormat="1" spans="1:6">
      <c r="A12323">
        <v>12661</v>
      </c>
      <c r="B12323">
        <v>622015110</v>
      </c>
      <c r="C12323">
        <v>2015</v>
      </c>
      <c r="D12323" t="s">
        <v>40</v>
      </c>
      <c r="E12323" t="s">
        <v>32</v>
      </c>
      <c r="F12323">
        <v>1.26</v>
      </c>
    </row>
    <row r="12324" s="76" customFormat="1" spans="1:6">
      <c r="A12324">
        <v>12659</v>
      </c>
      <c r="B12324">
        <v>622015110</v>
      </c>
      <c r="C12324">
        <v>2015</v>
      </c>
      <c r="D12324" t="s">
        <v>40</v>
      </c>
      <c r="E12324" t="s">
        <v>32</v>
      </c>
      <c r="F12324">
        <v>1.5</v>
      </c>
    </row>
    <row r="12325" s="76" customFormat="1" spans="1:6">
      <c r="A12325">
        <v>12658</v>
      </c>
      <c r="B12325">
        <v>622015110</v>
      </c>
      <c r="C12325">
        <v>2015</v>
      </c>
      <c r="D12325" t="s">
        <v>40</v>
      </c>
      <c r="E12325" t="s">
        <v>32</v>
      </c>
      <c r="F12325">
        <v>1.42</v>
      </c>
    </row>
    <row r="12326" s="76" customFormat="1" spans="1:6">
      <c r="A12326">
        <v>12663</v>
      </c>
      <c r="B12326">
        <v>622015110</v>
      </c>
      <c r="C12326">
        <v>2015</v>
      </c>
      <c r="D12326" t="s">
        <v>40</v>
      </c>
      <c r="E12326" t="s">
        <v>32</v>
      </c>
      <c r="F12326">
        <v>0.64</v>
      </c>
    </row>
    <row r="12327" s="76" customFormat="1" spans="1:6">
      <c r="A12327">
        <v>12648</v>
      </c>
      <c r="B12327">
        <v>622015110</v>
      </c>
      <c r="C12327">
        <v>2015</v>
      </c>
      <c r="D12327" t="s">
        <v>40</v>
      </c>
      <c r="E12327">
        <v>1</v>
      </c>
      <c r="F12327">
        <v>1</v>
      </c>
    </row>
    <row r="12328" s="76" customFormat="1" spans="1:6">
      <c r="A12328">
        <v>12675</v>
      </c>
      <c r="B12328">
        <v>622015241</v>
      </c>
      <c r="C12328">
        <v>2015</v>
      </c>
      <c r="D12328" t="s">
        <v>33</v>
      </c>
      <c r="E12328" t="s">
        <v>32</v>
      </c>
      <c r="F12328">
        <v>70</v>
      </c>
    </row>
    <row r="12329" s="76" customFormat="1" spans="1:6">
      <c r="A12329">
        <v>12670</v>
      </c>
      <c r="B12329">
        <v>622015241</v>
      </c>
      <c r="C12329">
        <v>2015</v>
      </c>
      <c r="D12329" t="s">
        <v>33</v>
      </c>
      <c r="E12329" t="s">
        <v>32</v>
      </c>
      <c r="F12329">
        <v>0.4</v>
      </c>
    </row>
    <row r="12330" s="76" customFormat="1" spans="1:6">
      <c r="A12330">
        <v>12669</v>
      </c>
      <c r="B12330">
        <v>622015241</v>
      </c>
      <c r="C12330">
        <v>2015</v>
      </c>
      <c r="D12330" t="s">
        <v>33</v>
      </c>
      <c r="E12330" t="s">
        <v>32</v>
      </c>
      <c r="F12330">
        <v>0.9</v>
      </c>
    </row>
    <row r="12331" s="76" customFormat="1" spans="1:6">
      <c r="A12331">
        <v>12673</v>
      </c>
      <c r="B12331">
        <v>622015241</v>
      </c>
      <c r="C12331">
        <v>2015</v>
      </c>
      <c r="D12331" t="s">
        <v>33</v>
      </c>
      <c r="E12331" t="s">
        <v>32</v>
      </c>
      <c r="F12331">
        <v>0.6</v>
      </c>
    </row>
    <row r="12332" s="76" customFormat="1" spans="1:6">
      <c r="A12332">
        <v>12672</v>
      </c>
      <c r="B12332">
        <v>622015241</v>
      </c>
      <c r="C12332">
        <v>2015</v>
      </c>
      <c r="D12332" t="s">
        <v>33</v>
      </c>
      <c r="E12332" t="s">
        <v>32</v>
      </c>
      <c r="F12332">
        <v>0.9</v>
      </c>
    </row>
    <row r="12333" s="76" customFormat="1" spans="1:6">
      <c r="A12333">
        <v>12668</v>
      </c>
      <c r="B12333">
        <v>622015241</v>
      </c>
      <c r="C12333">
        <v>2015</v>
      </c>
      <c r="D12333" t="s">
        <v>33</v>
      </c>
      <c r="E12333" t="s">
        <v>32</v>
      </c>
      <c r="F12333">
        <v>0.9</v>
      </c>
    </row>
    <row r="12334" s="76" customFormat="1" spans="1:6">
      <c r="A12334">
        <v>12671</v>
      </c>
      <c r="B12334">
        <v>622015241</v>
      </c>
      <c r="C12334">
        <v>2015</v>
      </c>
      <c r="D12334" t="s">
        <v>33</v>
      </c>
      <c r="E12334" t="s">
        <v>32</v>
      </c>
      <c r="F12334">
        <v>0.9</v>
      </c>
    </row>
    <row r="12335" s="76" customFormat="1" spans="1:6">
      <c r="A12335">
        <v>12674</v>
      </c>
      <c r="B12335">
        <v>622015241</v>
      </c>
      <c r="C12335">
        <v>2015</v>
      </c>
      <c r="D12335" t="s">
        <v>33</v>
      </c>
      <c r="E12335" t="s">
        <v>32</v>
      </c>
      <c r="F12335">
        <v>0.75</v>
      </c>
    </row>
    <row r="12336" s="76" customFormat="1" spans="1:6">
      <c r="A12336">
        <v>12681</v>
      </c>
      <c r="B12336">
        <v>622015260</v>
      </c>
      <c r="C12336">
        <v>2015</v>
      </c>
      <c r="D12336" t="s">
        <v>34</v>
      </c>
      <c r="E12336">
        <v>34</v>
      </c>
      <c r="F12336">
        <v>5.1</v>
      </c>
    </row>
    <row r="12337" s="76" customFormat="1" spans="1:6">
      <c r="A12337">
        <v>12676</v>
      </c>
      <c r="B12337">
        <v>622015260</v>
      </c>
      <c r="C12337">
        <v>2015</v>
      </c>
      <c r="D12337" t="s">
        <v>34</v>
      </c>
      <c r="E12337">
        <v>100</v>
      </c>
      <c r="F12337">
        <v>20</v>
      </c>
    </row>
    <row r="12338" s="76" customFormat="1" spans="1:6">
      <c r="A12338">
        <v>12683</v>
      </c>
      <c r="B12338">
        <v>622015260</v>
      </c>
      <c r="C12338">
        <v>2015</v>
      </c>
      <c r="D12338" t="s">
        <v>34</v>
      </c>
      <c r="E12338">
        <v>68</v>
      </c>
      <c r="F12338">
        <v>10.2</v>
      </c>
    </row>
    <row r="12339" s="76" customFormat="1" spans="1:6">
      <c r="A12339">
        <v>12680</v>
      </c>
      <c r="B12339">
        <v>622015260</v>
      </c>
      <c r="C12339">
        <v>2015</v>
      </c>
      <c r="D12339" t="s">
        <v>34</v>
      </c>
      <c r="E12339">
        <v>23</v>
      </c>
      <c r="F12339">
        <v>4.55</v>
      </c>
    </row>
    <row r="12340" s="76" customFormat="1" spans="1:6">
      <c r="A12340">
        <v>12688</v>
      </c>
      <c r="B12340">
        <v>622015260</v>
      </c>
      <c r="C12340">
        <v>2015</v>
      </c>
      <c r="D12340" t="s">
        <v>34</v>
      </c>
      <c r="E12340">
        <v>168</v>
      </c>
      <c r="F12340">
        <v>30.3</v>
      </c>
    </row>
    <row r="12341" s="76" customFormat="1" spans="1:6">
      <c r="A12341">
        <v>12682</v>
      </c>
      <c r="B12341">
        <v>622015260</v>
      </c>
      <c r="C12341">
        <v>2015</v>
      </c>
      <c r="D12341" t="s">
        <v>34</v>
      </c>
      <c r="E12341">
        <v>25</v>
      </c>
      <c r="F12341">
        <v>4.95</v>
      </c>
    </row>
    <row r="12342" s="76" customFormat="1" spans="1:6">
      <c r="A12342">
        <v>12679</v>
      </c>
      <c r="B12342">
        <v>622015260</v>
      </c>
      <c r="C12342">
        <v>2015</v>
      </c>
      <c r="D12342" t="s">
        <v>34</v>
      </c>
      <c r="E12342">
        <v>200</v>
      </c>
      <c r="F12342">
        <v>40</v>
      </c>
    </row>
    <row r="12343" s="76" customFormat="1" spans="1:6">
      <c r="A12343">
        <v>12698</v>
      </c>
      <c r="B12343">
        <v>622015260</v>
      </c>
      <c r="C12343">
        <v>2015</v>
      </c>
      <c r="D12343" t="s">
        <v>34</v>
      </c>
      <c r="E12343" t="s">
        <v>32</v>
      </c>
      <c r="F12343">
        <v>4.95</v>
      </c>
    </row>
    <row r="12344" s="76" customFormat="1" spans="1:6">
      <c r="A12344">
        <v>12685</v>
      </c>
      <c r="B12344">
        <v>622015260</v>
      </c>
      <c r="C12344">
        <v>2015</v>
      </c>
      <c r="D12344" t="s">
        <v>34</v>
      </c>
      <c r="E12344">
        <v>33</v>
      </c>
      <c r="F12344">
        <v>4.95</v>
      </c>
    </row>
    <row r="12345" s="76" customFormat="1" spans="1:6">
      <c r="A12345">
        <v>12686</v>
      </c>
      <c r="B12345">
        <v>622015260</v>
      </c>
      <c r="C12345">
        <v>2015</v>
      </c>
      <c r="D12345" t="s">
        <v>34</v>
      </c>
      <c r="E12345">
        <v>33</v>
      </c>
      <c r="F12345">
        <v>4.95</v>
      </c>
    </row>
    <row r="12346" s="76" customFormat="1" spans="1:6">
      <c r="A12346">
        <v>12687</v>
      </c>
      <c r="B12346">
        <v>622015260</v>
      </c>
      <c r="C12346">
        <v>2015</v>
      </c>
      <c r="D12346" t="s">
        <v>34</v>
      </c>
      <c r="E12346">
        <v>33</v>
      </c>
      <c r="F12346">
        <v>4.95</v>
      </c>
    </row>
    <row r="12347" s="76" customFormat="1" spans="1:6">
      <c r="A12347">
        <v>12691</v>
      </c>
      <c r="B12347">
        <v>622015260</v>
      </c>
      <c r="C12347">
        <v>2015</v>
      </c>
      <c r="D12347" t="s">
        <v>34</v>
      </c>
      <c r="E12347">
        <v>33</v>
      </c>
      <c r="F12347">
        <v>4.95</v>
      </c>
    </row>
    <row r="12348" s="76" customFormat="1" spans="1:6">
      <c r="A12348">
        <v>12692</v>
      </c>
      <c r="B12348">
        <v>622015260</v>
      </c>
      <c r="C12348">
        <v>2015</v>
      </c>
      <c r="D12348" t="s">
        <v>34</v>
      </c>
      <c r="E12348">
        <v>33</v>
      </c>
      <c r="F12348">
        <v>4.95</v>
      </c>
    </row>
    <row r="12349" s="76" customFormat="1" spans="1:6">
      <c r="A12349">
        <v>12677</v>
      </c>
      <c r="B12349">
        <v>622015260</v>
      </c>
      <c r="C12349">
        <v>2015</v>
      </c>
      <c r="D12349" t="s">
        <v>34</v>
      </c>
      <c r="E12349">
        <v>24</v>
      </c>
      <c r="F12349">
        <v>4.8</v>
      </c>
    </row>
    <row r="12350" s="76" customFormat="1" spans="1:6">
      <c r="A12350">
        <v>12678</v>
      </c>
      <c r="B12350">
        <v>622015260</v>
      </c>
      <c r="C12350">
        <v>2015</v>
      </c>
      <c r="D12350" t="s">
        <v>34</v>
      </c>
      <c r="E12350">
        <v>96</v>
      </c>
      <c r="F12350">
        <v>19.2</v>
      </c>
    </row>
    <row r="12351" s="76" customFormat="1" spans="1:6">
      <c r="A12351">
        <v>12690</v>
      </c>
      <c r="B12351">
        <v>622015260</v>
      </c>
      <c r="C12351">
        <v>2015</v>
      </c>
      <c r="D12351" t="s">
        <v>34</v>
      </c>
      <c r="E12351">
        <v>25</v>
      </c>
      <c r="F12351">
        <v>5</v>
      </c>
    </row>
    <row r="12352" s="76" customFormat="1" spans="1:6">
      <c r="A12352">
        <v>12689</v>
      </c>
      <c r="B12352">
        <v>622015260</v>
      </c>
      <c r="C12352">
        <v>2015</v>
      </c>
      <c r="D12352" t="s">
        <v>34</v>
      </c>
      <c r="E12352">
        <v>33</v>
      </c>
      <c r="F12352">
        <v>4.95</v>
      </c>
    </row>
    <row r="12353" s="76" customFormat="1" spans="1:6">
      <c r="A12353">
        <v>12695</v>
      </c>
      <c r="B12353">
        <v>622015260</v>
      </c>
      <c r="C12353">
        <v>2015</v>
      </c>
      <c r="D12353" t="s">
        <v>34</v>
      </c>
      <c r="E12353">
        <v>134</v>
      </c>
      <c r="F12353">
        <v>20.1</v>
      </c>
    </row>
    <row r="12354" s="76" customFormat="1" spans="1:6">
      <c r="A12354">
        <v>12699</v>
      </c>
      <c r="B12354">
        <v>622015260</v>
      </c>
      <c r="C12354">
        <v>2015</v>
      </c>
      <c r="D12354" t="s">
        <v>34</v>
      </c>
      <c r="E12354" t="s">
        <v>32</v>
      </c>
      <c r="F12354">
        <v>5</v>
      </c>
    </row>
    <row r="12355" s="76" customFormat="1" spans="1:6">
      <c r="A12355">
        <v>12694</v>
      </c>
      <c r="B12355">
        <v>622015260</v>
      </c>
      <c r="C12355">
        <v>2015</v>
      </c>
      <c r="D12355" t="s">
        <v>34</v>
      </c>
      <c r="E12355">
        <v>1</v>
      </c>
      <c r="F12355">
        <v>4.95</v>
      </c>
    </row>
    <row r="12356" s="76" customFormat="1" spans="1:6">
      <c r="A12356">
        <v>12701</v>
      </c>
      <c r="B12356">
        <v>622015260</v>
      </c>
      <c r="C12356">
        <v>2015</v>
      </c>
      <c r="D12356" t="s">
        <v>34</v>
      </c>
      <c r="E12356" t="s">
        <v>32</v>
      </c>
      <c r="F12356">
        <v>4.95</v>
      </c>
    </row>
    <row r="12357" s="76" customFormat="1" spans="1:6">
      <c r="A12357">
        <v>12700</v>
      </c>
      <c r="B12357">
        <v>622015260</v>
      </c>
      <c r="C12357">
        <v>2015</v>
      </c>
      <c r="D12357" t="s">
        <v>34</v>
      </c>
      <c r="E12357" t="s">
        <v>32</v>
      </c>
      <c r="F12357">
        <v>4.95</v>
      </c>
    </row>
    <row r="12358" s="76" customFormat="1" spans="1:6">
      <c r="A12358">
        <v>12693</v>
      </c>
      <c r="B12358">
        <v>622015260</v>
      </c>
      <c r="C12358">
        <v>2015</v>
      </c>
      <c r="D12358" t="s">
        <v>34</v>
      </c>
      <c r="E12358">
        <v>1</v>
      </c>
      <c r="F12358">
        <v>30</v>
      </c>
    </row>
    <row r="12359" s="76" customFormat="1" spans="1:6">
      <c r="A12359">
        <v>12684</v>
      </c>
      <c r="B12359">
        <v>622015260</v>
      </c>
      <c r="C12359">
        <v>2015</v>
      </c>
      <c r="D12359" t="s">
        <v>34</v>
      </c>
      <c r="E12359">
        <v>33</v>
      </c>
      <c r="F12359">
        <v>4.95</v>
      </c>
    </row>
    <row r="12360" s="76" customFormat="1" spans="1:6">
      <c r="A12360">
        <v>12696</v>
      </c>
      <c r="B12360">
        <v>622015260</v>
      </c>
      <c r="C12360">
        <v>2015</v>
      </c>
      <c r="D12360" t="s">
        <v>34</v>
      </c>
      <c r="E12360" t="s">
        <v>32</v>
      </c>
      <c r="F12360">
        <v>5</v>
      </c>
    </row>
    <row r="12361" s="76" customFormat="1" spans="1:6">
      <c r="A12361">
        <v>12697</v>
      </c>
      <c r="B12361">
        <v>622015260</v>
      </c>
      <c r="C12361">
        <v>2015</v>
      </c>
      <c r="D12361" t="s">
        <v>34</v>
      </c>
      <c r="E12361" t="s">
        <v>32</v>
      </c>
      <c r="F12361">
        <v>5</v>
      </c>
    </row>
    <row r="12362" s="76" customFormat="1" spans="1:6">
      <c r="A12362">
        <v>12715</v>
      </c>
      <c r="B12362">
        <v>622015270</v>
      </c>
      <c r="C12362">
        <v>2015</v>
      </c>
      <c r="D12362" t="s">
        <v>31</v>
      </c>
      <c r="E12362">
        <v>1</v>
      </c>
      <c r="F12362">
        <v>1.21</v>
      </c>
    </row>
    <row r="12363" s="76" customFormat="1" spans="1:6">
      <c r="A12363">
        <v>12722</v>
      </c>
      <c r="B12363">
        <v>622015270</v>
      </c>
      <c r="C12363">
        <v>2015</v>
      </c>
      <c r="D12363" t="s">
        <v>31</v>
      </c>
      <c r="E12363" t="s">
        <v>32</v>
      </c>
      <c r="F12363">
        <v>2</v>
      </c>
    </row>
    <row r="12364" s="76" customFormat="1" spans="1:6">
      <c r="A12364">
        <v>12729</v>
      </c>
      <c r="B12364">
        <v>622015270</v>
      </c>
      <c r="C12364">
        <v>2015</v>
      </c>
      <c r="D12364" t="s">
        <v>31</v>
      </c>
      <c r="E12364" t="s">
        <v>32</v>
      </c>
      <c r="F12364">
        <v>2</v>
      </c>
    </row>
    <row r="12365" s="76" customFormat="1" spans="1:6">
      <c r="A12365">
        <v>12704</v>
      </c>
      <c r="B12365">
        <v>622015270</v>
      </c>
      <c r="C12365">
        <v>2015</v>
      </c>
      <c r="D12365" t="s">
        <v>31</v>
      </c>
      <c r="E12365" t="s">
        <v>32</v>
      </c>
      <c r="F12365">
        <v>5</v>
      </c>
    </row>
    <row r="12366" s="76" customFormat="1" spans="1:6">
      <c r="A12366">
        <v>12720</v>
      </c>
      <c r="B12366">
        <v>622015270</v>
      </c>
      <c r="C12366">
        <v>2015</v>
      </c>
      <c r="D12366" t="s">
        <v>31</v>
      </c>
      <c r="E12366" t="s">
        <v>32</v>
      </c>
      <c r="F12366">
        <v>1.2</v>
      </c>
    </row>
    <row r="12367" s="76" customFormat="1" spans="1:6">
      <c r="A12367">
        <v>12717</v>
      </c>
      <c r="B12367">
        <v>622015270</v>
      </c>
      <c r="C12367">
        <v>2015</v>
      </c>
      <c r="D12367" t="s">
        <v>31</v>
      </c>
      <c r="E12367">
        <v>1</v>
      </c>
      <c r="F12367">
        <v>1</v>
      </c>
    </row>
    <row r="12368" s="76" customFormat="1" spans="1:6">
      <c r="A12368">
        <v>12703</v>
      </c>
      <c r="B12368">
        <v>622015270</v>
      </c>
      <c r="C12368">
        <v>2015</v>
      </c>
      <c r="D12368" t="s">
        <v>31</v>
      </c>
      <c r="E12368">
        <v>50</v>
      </c>
      <c r="F12368">
        <v>5</v>
      </c>
    </row>
    <row r="12369" s="76" customFormat="1" spans="1:6">
      <c r="A12369">
        <v>12702</v>
      </c>
      <c r="B12369">
        <v>622015270</v>
      </c>
      <c r="C12369">
        <v>2015</v>
      </c>
      <c r="D12369" t="s">
        <v>31</v>
      </c>
      <c r="E12369">
        <v>9</v>
      </c>
      <c r="F12369">
        <v>0.9</v>
      </c>
    </row>
    <row r="12370" s="76" customFormat="1" spans="1:6">
      <c r="A12370">
        <v>12721</v>
      </c>
      <c r="B12370">
        <v>622015270</v>
      </c>
      <c r="C12370">
        <v>2015</v>
      </c>
      <c r="D12370" t="s">
        <v>31</v>
      </c>
      <c r="E12370" t="s">
        <v>32</v>
      </c>
      <c r="F12370">
        <v>2</v>
      </c>
    </row>
    <row r="12371" s="76" customFormat="1" spans="1:6">
      <c r="A12371">
        <v>12705</v>
      </c>
      <c r="B12371">
        <v>622015270</v>
      </c>
      <c r="C12371">
        <v>2015</v>
      </c>
      <c r="D12371" t="s">
        <v>31</v>
      </c>
      <c r="E12371">
        <v>1</v>
      </c>
      <c r="F12371">
        <v>2.5</v>
      </c>
    </row>
    <row r="12372" s="76" customFormat="1" spans="1:6">
      <c r="A12372">
        <v>12712</v>
      </c>
      <c r="B12372">
        <v>622015270</v>
      </c>
      <c r="C12372">
        <v>2015</v>
      </c>
      <c r="D12372" t="s">
        <v>31</v>
      </c>
      <c r="E12372">
        <v>1</v>
      </c>
      <c r="F12372">
        <v>2</v>
      </c>
    </row>
    <row r="12373" s="76" customFormat="1" spans="1:6">
      <c r="A12373">
        <v>12710</v>
      </c>
      <c r="B12373">
        <v>622015270</v>
      </c>
      <c r="C12373">
        <v>2015</v>
      </c>
      <c r="D12373" t="s">
        <v>31</v>
      </c>
      <c r="E12373">
        <v>1</v>
      </c>
      <c r="F12373">
        <v>4</v>
      </c>
    </row>
    <row r="12374" s="76" customFormat="1" spans="1:6">
      <c r="A12374">
        <v>12713</v>
      </c>
      <c r="B12374">
        <v>622015270</v>
      </c>
      <c r="C12374">
        <v>2015</v>
      </c>
      <c r="D12374" t="s">
        <v>31</v>
      </c>
      <c r="E12374">
        <v>1</v>
      </c>
      <c r="F12374">
        <v>10</v>
      </c>
    </row>
    <row r="12375" s="76" customFormat="1" spans="1:6">
      <c r="A12375">
        <v>12709</v>
      </c>
      <c r="B12375">
        <v>622015270</v>
      </c>
      <c r="C12375">
        <v>2015</v>
      </c>
      <c r="D12375" t="s">
        <v>31</v>
      </c>
      <c r="E12375">
        <v>1</v>
      </c>
      <c r="F12375">
        <v>5</v>
      </c>
    </row>
    <row r="12376" s="76" customFormat="1" spans="1:6">
      <c r="A12376">
        <v>12711</v>
      </c>
      <c r="B12376">
        <v>622015270</v>
      </c>
      <c r="C12376">
        <v>2015</v>
      </c>
      <c r="D12376" t="s">
        <v>31</v>
      </c>
      <c r="E12376">
        <v>1</v>
      </c>
      <c r="F12376">
        <v>3</v>
      </c>
    </row>
    <row r="12377" s="76" customFormat="1" spans="1:6">
      <c r="A12377">
        <v>12716</v>
      </c>
      <c r="B12377">
        <v>622015270</v>
      </c>
      <c r="C12377">
        <v>2015</v>
      </c>
      <c r="D12377" t="s">
        <v>31</v>
      </c>
      <c r="E12377">
        <v>1</v>
      </c>
      <c r="F12377">
        <v>10</v>
      </c>
    </row>
    <row r="12378" s="76" customFormat="1" spans="1:6">
      <c r="A12378">
        <v>12718</v>
      </c>
      <c r="B12378">
        <v>622015270</v>
      </c>
      <c r="C12378">
        <v>2015</v>
      </c>
      <c r="D12378" t="s">
        <v>31</v>
      </c>
      <c r="E12378">
        <v>1</v>
      </c>
      <c r="F12378">
        <v>0.9</v>
      </c>
    </row>
    <row r="12379" s="76" customFormat="1" spans="1:6">
      <c r="A12379">
        <v>12723</v>
      </c>
      <c r="B12379">
        <v>622015270</v>
      </c>
      <c r="C12379">
        <v>2015</v>
      </c>
      <c r="D12379" t="s">
        <v>31</v>
      </c>
      <c r="E12379" t="s">
        <v>32</v>
      </c>
      <c r="F12379">
        <v>4.95</v>
      </c>
    </row>
    <row r="12380" s="76" customFormat="1" spans="1:6">
      <c r="A12380">
        <v>12726</v>
      </c>
      <c r="B12380">
        <v>622015270</v>
      </c>
      <c r="C12380">
        <v>2015</v>
      </c>
      <c r="D12380" t="s">
        <v>31</v>
      </c>
      <c r="E12380" t="s">
        <v>32</v>
      </c>
      <c r="F12380">
        <v>2</v>
      </c>
    </row>
    <row r="12381" s="76" customFormat="1" spans="1:6">
      <c r="A12381">
        <v>12725</v>
      </c>
      <c r="B12381">
        <v>622015270</v>
      </c>
      <c r="C12381">
        <v>2015</v>
      </c>
      <c r="D12381" t="s">
        <v>31</v>
      </c>
      <c r="E12381" t="s">
        <v>32</v>
      </c>
      <c r="F12381">
        <v>2</v>
      </c>
    </row>
    <row r="12382" s="76" customFormat="1" spans="1:6">
      <c r="A12382">
        <v>12727</v>
      </c>
      <c r="B12382">
        <v>622015270</v>
      </c>
      <c r="C12382">
        <v>2015</v>
      </c>
      <c r="D12382" t="s">
        <v>31</v>
      </c>
      <c r="E12382" t="s">
        <v>32</v>
      </c>
      <c r="F12382">
        <v>6</v>
      </c>
    </row>
    <row r="12383" s="76" customFormat="1" spans="1:6">
      <c r="A12383">
        <v>12719</v>
      </c>
      <c r="B12383">
        <v>622015270</v>
      </c>
      <c r="C12383">
        <v>2015</v>
      </c>
      <c r="D12383" t="s">
        <v>31</v>
      </c>
      <c r="E12383" t="s">
        <v>32</v>
      </c>
      <c r="F12383">
        <v>30</v>
      </c>
    </row>
    <row r="12384" s="76" customFormat="1" spans="1:6">
      <c r="A12384">
        <v>12707</v>
      </c>
      <c r="B12384">
        <v>622015270</v>
      </c>
      <c r="C12384">
        <v>2015</v>
      </c>
      <c r="D12384" t="s">
        <v>31</v>
      </c>
      <c r="E12384">
        <v>1</v>
      </c>
      <c r="F12384">
        <v>5</v>
      </c>
    </row>
    <row r="12385" s="76" customFormat="1" spans="1:6">
      <c r="A12385">
        <v>12706</v>
      </c>
      <c r="B12385">
        <v>622015270</v>
      </c>
      <c r="C12385">
        <v>2015</v>
      </c>
      <c r="D12385" t="s">
        <v>31</v>
      </c>
      <c r="E12385">
        <v>1</v>
      </c>
      <c r="F12385">
        <v>5</v>
      </c>
    </row>
    <row r="12386" s="76" customFormat="1" spans="1:6">
      <c r="A12386">
        <v>12708</v>
      </c>
      <c r="B12386">
        <v>622015270</v>
      </c>
      <c r="C12386">
        <v>2015</v>
      </c>
      <c r="D12386" t="s">
        <v>31</v>
      </c>
      <c r="E12386">
        <v>1</v>
      </c>
      <c r="F12386">
        <v>5</v>
      </c>
    </row>
    <row r="12387" s="76" customFormat="1" spans="1:6">
      <c r="A12387">
        <v>12714</v>
      </c>
      <c r="B12387">
        <v>622015270</v>
      </c>
      <c r="C12387">
        <v>2015</v>
      </c>
      <c r="D12387" t="s">
        <v>31</v>
      </c>
      <c r="E12387">
        <v>1</v>
      </c>
      <c r="F12387">
        <v>5.9</v>
      </c>
    </row>
    <row r="12388" s="76" customFormat="1" spans="1:6">
      <c r="A12388">
        <v>12724</v>
      </c>
      <c r="B12388">
        <v>622015270</v>
      </c>
      <c r="C12388">
        <v>2015</v>
      </c>
      <c r="D12388" t="s">
        <v>31</v>
      </c>
      <c r="E12388" t="s">
        <v>32</v>
      </c>
      <c r="F12388">
        <v>3</v>
      </c>
    </row>
    <row r="12389" s="76" customFormat="1" spans="1:6">
      <c r="A12389">
        <v>12728</v>
      </c>
      <c r="B12389">
        <v>622015270</v>
      </c>
      <c r="C12389">
        <v>2015</v>
      </c>
      <c r="D12389" t="s">
        <v>31</v>
      </c>
      <c r="E12389" t="s">
        <v>32</v>
      </c>
      <c r="F12389">
        <v>3</v>
      </c>
    </row>
    <row r="12390" s="76" customFormat="1" spans="1:6">
      <c r="A12390">
        <v>12731</v>
      </c>
      <c r="B12390">
        <v>622016110</v>
      </c>
      <c r="C12390" s="76">
        <v>2016</v>
      </c>
      <c r="D12390" s="76" t="s">
        <v>40</v>
      </c>
      <c r="E12390" s="76" t="s">
        <v>32</v>
      </c>
      <c r="F12390" s="76">
        <v>0.15</v>
      </c>
    </row>
    <row r="12391" s="76" customFormat="1" spans="1:6">
      <c r="A12391">
        <v>12732</v>
      </c>
      <c r="B12391">
        <v>622016110</v>
      </c>
      <c r="C12391" s="76">
        <v>2016</v>
      </c>
      <c r="D12391" s="76" t="s">
        <v>40</v>
      </c>
      <c r="E12391" s="76" t="s">
        <v>32</v>
      </c>
      <c r="F12391" s="76">
        <v>8.1</v>
      </c>
    </row>
    <row r="12392" s="76" customFormat="1" spans="1:6">
      <c r="A12392">
        <v>12730</v>
      </c>
      <c r="B12392">
        <v>622016110</v>
      </c>
      <c r="C12392" s="76">
        <v>2016</v>
      </c>
      <c r="D12392" s="76" t="s">
        <v>40</v>
      </c>
      <c r="E12392" s="76" t="s">
        <v>32</v>
      </c>
      <c r="F12392" s="76">
        <v>1</v>
      </c>
    </row>
    <row r="12393" s="76" customFormat="1" spans="1:6">
      <c r="A12393">
        <v>12733</v>
      </c>
      <c r="B12393">
        <v>622016211</v>
      </c>
      <c r="C12393" s="76">
        <v>2016</v>
      </c>
      <c r="D12393" s="76" t="s">
        <v>37</v>
      </c>
      <c r="E12393" s="76">
        <v>1</v>
      </c>
      <c r="F12393" s="76">
        <v>33</v>
      </c>
    </row>
    <row r="12394" s="76" customFormat="1" spans="1:6">
      <c r="A12394">
        <v>12734</v>
      </c>
      <c r="B12394">
        <v>622016241</v>
      </c>
      <c r="C12394" s="76">
        <v>2016</v>
      </c>
      <c r="D12394" s="76" t="s">
        <v>33</v>
      </c>
      <c r="E12394" s="76" t="s">
        <v>32</v>
      </c>
      <c r="F12394" s="76">
        <v>0.86</v>
      </c>
    </row>
    <row r="12395" s="76" customFormat="1" spans="1:6">
      <c r="A12395">
        <v>12735</v>
      </c>
      <c r="B12395">
        <v>622016241</v>
      </c>
      <c r="C12395" s="76">
        <v>2016</v>
      </c>
      <c r="D12395" s="76" t="s">
        <v>33</v>
      </c>
      <c r="E12395" s="76" t="s">
        <v>32</v>
      </c>
      <c r="F12395" s="76">
        <v>1.35</v>
      </c>
    </row>
    <row r="12396" s="76" customFormat="1" spans="1:6">
      <c r="A12396">
        <v>12736</v>
      </c>
      <c r="B12396">
        <v>622016242</v>
      </c>
      <c r="C12396" s="76">
        <v>2016</v>
      </c>
      <c r="D12396" s="76" t="s">
        <v>35</v>
      </c>
      <c r="E12396" s="76" t="s">
        <v>32</v>
      </c>
      <c r="F12396" s="76">
        <v>1.2</v>
      </c>
    </row>
    <row r="12397" s="76" customFormat="1" spans="1:6">
      <c r="A12397">
        <v>12737</v>
      </c>
      <c r="B12397">
        <v>622016242</v>
      </c>
      <c r="C12397" s="76">
        <v>2016</v>
      </c>
      <c r="D12397" s="76" t="s">
        <v>35</v>
      </c>
      <c r="E12397" s="76" t="s">
        <v>32</v>
      </c>
      <c r="F12397" s="76">
        <v>4</v>
      </c>
    </row>
    <row r="12398" s="76" customFormat="1" spans="1:6">
      <c r="A12398">
        <v>12738</v>
      </c>
      <c r="B12398">
        <v>622016260</v>
      </c>
      <c r="C12398" s="76">
        <v>2016</v>
      </c>
      <c r="D12398" s="76" t="s">
        <v>34</v>
      </c>
      <c r="E12398" s="76" t="s">
        <v>32</v>
      </c>
      <c r="F12398" s="76">
        <v>4.95</v>
      </c>
    </row>
    <row r="12399" s="76" customFormat="1" spans="1:6">
      <c r="A12399">
        <v>12739</v>
      </c>
      <c r="B12399">
        <v>622016260</v>
      </c>
      <c r="C12399" s="76">
        <v>2016</v>
      </c>
      <c r="D12399" s="76" t="s">
        <v>34</v>
      </c>
      <c r="E12399" s="76" t="s">
        <v>32</v>
      </c>
      <c r="F12399" s="76">
        <v>4.95</v>
      </c>
    </row>
    <row r="12400" s="76" customFormat="1" spans="1:6">
      <c r="A12400">
        <v>12741</v>
      </c>
      <c r="B12400">
        <v>622016260</v>
      </c>
      <c r="C12400" s="76">
        <v>2016</v>
      </c>
      <c r="D12400" s="76" t="s">
        <v>34</v>
      </c>
      <c r="E12400" s="76" t="s">
        <v>32</v>
      </c>
      <c r="F12400" s="76">
        <v>4.95</v>
      </c>
    </row>
    <row r="12401" s="76" customFormat="1" spans="1:6">
      <c r="A12401">
        <v>12740</v>
      </c>
      <c r="B12401">
        <v>622016260</v>
      </c>
      <c r="C12401" s="76">
        <v>2016</v>
      </c>
      <c r="D12401" s="76" t="s">
        <v>34</v>
      </c>
      <c r="E12401" s="76" t="s">
        <v>32</v>
      </c>
      <c r="F12401" s="76">
        <v>10.12</v>
      </c>
    </row>
    <row r="12402" s="76" customFormat="1" spans="1:6">
      <c r="A12402">
        <v>12764</v>
      </c>
      <c r="B12402">
        <v>622016270</v>
      </c>
      <c r="C12402" s="76">
        <v>2016</v>
      </c>
      <c r="D12402" s="76" t="s">
        <v>31</v>
      </c>
      <c r="E12402" s="76" t="s">
        <v>32</v>
      </c>
      <c r="F12402" s="76">
        <v>3.05</v>
      </c>
    </row>
    <row r="12403" s="76" customFormat="1" spans="1:6">
      <c r="A12403">
        <v>12765</v>
      </c>
      <c r="B12403">
        <v>622016270</v>
      </c>
      <c r="C12403" s="76">
        <v>2016</v>
      </c>
      <c r="D12403" s="76" t="s">
        <v>31</v>
      </c>
      <c r="E12403" s="76" t="s">
        <v>32</v>
      </c>
      <c r="F12403" s="76">
        <v>1.8</v>
      </c>
    </row>
    <row r="12404" s="76" customFormat="1" spans="1:6">
      <c r="A12404">
        <v>12763</v>
      </c>
      <c r="B12404">
        <v>622016270</v>
      </c>
      <c r="C12404" s="76">
        <v>2016</v>
      </c>
      <c r="D12404" s="76" t="s">
        <v>31</v>
      </c>
      <c r="E12404" s="76" t="s">
        <v>32</v>
      </c>
      <c r="F12404" s="76">
        <v>2</v>
      </c>
    </row>
    <row r="12405" s="76" customFormat="1" spans="1:6">
      <c r="A12405">
        <v>12762</v>
      </c>
      <c r="B12405">
        <v>622016270</v>
      </c>
      <c r="C12405" s="76">
        <v>2016</v>
      </c>
      <c r="D12405" s="76" t="s">
        <v>31</v>
      </c>
      <c r="E12405" s="76" t="s">
        <v>32</v>
      </c>
      <c r="F12405" s="76">
        <v>2</v>
      </c>
    </row>
    <row r="12406" s="76" customFormat="1" spans="1:6">
      <c r="A12406">
        <v>12745</v>
      </c>
      <c r="B12406">
        <v>622016270</v>
      </c>
      <c r="C12406" s="76">
        <v>2016</v>
      </c>
      <c r="D12406" s="76" t="s">
        <v>31</v>
      </c>
      <c r="E12406" s="76" t="s">
        <v>32</v>
      </c>
      <c r="F12406" s="76">
        <v>0.47</v>
      </c>
    </row>
    <row r="12407" s="76" customFormat="1" spans="1:6">
      <c r="A12407">
        <v>12743</v>
      </c>
      <c r="B12407">
        <v>622016270</v>
      </c>
      <c r="C12407" s="76">
        <v>2016</v>
      </c>
      <c r="D12407" s="76" t="s">
        <v>31</v>
      </c>
      <c r="E12407" s="76" t="s">
        <v>32</v>
      </c>
      <c r="F12407" s="76">
        <v>5</v>
      </c>
    </row>
    <row r="12408" s="76" customFormat="1" spans="1:6">
      <c r="A12408">
        <v>12750</v>
      </c>
      <c r="B12408">
        <v>622016270</v>
      </c>
      <c r="C12408" s="76">
        <v>2016</v>
      </c>
      <c r="D12408" s="76" t="s">
        <v>31</v>
      </c>
      <c r="E12408" s="76" t="s">
        <v>32</v>
      </c>
      <c r="F12408" s="76">
        <v>5</v>
      </c>
    </row>
    <row r="12409" s="76" customFormat="1" spans="1:6">
      <c r="A12409">
        <v>12751</v>
      </c>
      <c r="B12409">
        <v>622016270</v>
      </c>
      <c r="C12409" s="76">
        <v>2016</v>
      </c>
      <c r="D12409" s="76" t="s">
        <v>31</v>
      </c>
      <c r="E12409" s="76" t="s">
        <v>32</v>
      </c>
      <c r="F12409" s="76">
        <v>2</v>
      </c>
    </row>
    <row r="12410" s="76" customFormat="1" spans="1:6">
      <c r="A12410">
        <v>12752</v>
      </c>
      <c r="B12410">
        <v>622016270</v>
      </c>
      <c r="C12410" s="76">
        <v>2016</v>
      </c>
      <c r="D12410" s="76" t="s">
        <v>31</v>
      </c>
      <c r="E12410" s="76" t="s">
        <v>32</v>
      </c>
      <c r="F12410" s="76">
        <v>5</v>
      </c>
    </row>
    <row r="12411" s="76" customFormat="1" spans="1:6">
      <c r="A12411">
        <v>12749</v>
      </c>
      <c r="B12411">
        <v>622016270</v>
      </c>
      <c r="C12411" s="76">
        <v>2016</v>
      </c>
      <c r="D12411" s="76" t="s">
        <v>31</v>
      </c>
      <c r="E12411" s="76" t="s">
        <v>32</v>
      </c>
      <c r="F12411" s="76">
        <v>3</v>
      </c>
    </row>
    <row r="12412" s="76" customFormat="1" spans="1:6">
      <c r="A12412">
        <v>12768</v>
      </c>
      <c r="B12412">
        <v>622016270</v>
      </c>
      <c r="C12412" s="76">
        <v>2016</v>
      </c>
      <c r="D12412" s="76" t="s">
        <v>31</v>
      </c>
      <c r="E12412" s="76" t="s">
        <v>32</v>
      </c>
      <c r="F12412" s="76">
        <v>2.5</v>
      </c>
    </row>
    <row r="12413" s="76" customFormat="1" spans="1:6">
      <c r="A12413">
        <v>12766</v>
      </c>
      <c r="B12413">
        <v>622016270</v>
      </c>
      <c r="C12413" s="76">
        <v>2016</v>
      </c>
      <c r="D12413" s="76" t="s">
        <v>31</v>
      </c>
      <c r="E12413" s="76" t="s">
        <v>32</v>
      </c>
      <c r="F12413" s="76">
        <v>10</v>
      </c>
    </row>
    <row r="12414" s="76" customFormat="1" spans="1:6">
      <c r="A12414">
        <v>12744</v>
      </c>
      <c r="B12414">
        <v>622016270</v>
      </c>
      <c r="C12414" s="76">
        <v>2016</v>
      </c>
      <c r="D12414" s="76" t="s">
        <v>31</v>
      </c>
      <c r="E12414" s="76" t="s">
        <v>32</v>
      </c>
      <c r="F12414" s="76">
        <v>5</v>
      </c>
    </row>
    <row r="12415" s="76" customFormat="1" spans="1:6">
      <c r="A12415">
        <v>12761</v>
      </c>
      <c r="B12415">
        <v>622016270</v>
      </c>
      <c r="C12415" s="76">
        <v>2016</v>
      </c>
      <c r="D12415" s="76" t="s">
        <v>31</v>
      </c>
      <c r="E12415" s="76" t="s">
        <v>32</v>
      </c>
      <c r="F12415" s="76">
        <v>2</v>
      </c>
    </row>
    <row r="12416" s="76" customFormat="1" spans="1:6">
      <c r="A12416">
        <v>12772</v>
      </c>
      <c r="B12416">
        <v>622016270</v>
      </c>
      <c r="C12416" s="76">
        <v>2016</v>
      </c>
      <c r="D12416" s="76" t="s">
        <v>31</v>
      </c>
      <c r="E12416" s="76" t="s">
        <v>32</v>
      </c>
      <c r="F12416" s="76">
        <v>1</v>
      </c>
    </row>
    <row r="12417" s="76" customFormat="1" spans="1:6">
      <c r="A12417">
        <v>12756</v>
      </c>
      <c r="B12417">
        <v>622016270</v>
      </c>
      <c r="C12417" s="76">
        <v>2016</v>
      </c>
      <c r="D12417" s="76" t="s">
        <v>31</v>
      </c>
      <c r="E12417" s="76" t="s">
        <v>32</v>
      </c>
      <c r="F12417" s="76">
        <v>0.03</v>
      </c>
    </row>
    <row r="12418" s="76" customFormat="1" spans="1:6">
      <c r="A12418">
        <v>12757</v>
      </c>
      <c r="B12418">
        <v>622016270</v>
      </c>
      <c r="C12418" s="76">
        <v>2016</v>
      </c>
      <c r="D12418" s="76" t="s">
        <v>31</v>
      </c>
      <c r="E12418" s="76" t="s">
        <v>32</v>
      </c>
      <c r="F12418" s="76">
        <v>0.1</v>
      </c>
    </row>
    <row r="12419" s="76" customFormat="1" spans="1:6">
      <c r="A12419">
        <v>12755</v>
      </c>
      <c r="B12419">
        <v>622016270</v>
      </c>
      <c r="C12419" s="76">
        <v>2016</v>
      </c>
      <c r="D12419" s="76" t="s">
        <v>31</v>
      </c>
      <c r="E12419" s="76" t="s">
        <v>32</v>
      </c>
      <c r="F12419" s="76">
        <v>5</v>
      </c>
    </row>
    <row r="12420" s="76" customFormat="1" spans="1:6">
      <c r="A12420">
        <v>12759</v>
      </c>
      <c r="B12420">
        <v>622016270</v>
      </c>
      <c r="C12420" s="76">
        <v>2016</v>
      </c>
      <c r="D12420" s="76" t="s">
        <v>31</v>
      </c>
      <c r="E12420" s="76" t="s">
        <v>32</v>
      </c>
      <c r="F12420" s="76">
        <v>1.5</v>
      </c>
    </row>
    <row r="12421" s="76" customFormat="1" spans="1:6">
      <c r="A12421">
        <v>12758</v>
      </c>
      <c r="B12421">
        <v>622016270</v>
      </c>
      <c r="C12421" s="76">
        <v>2016</v>
      </c>
      <c r="D12421" s="76" t="s">
        <v>31</v>
      </c>
      <c r="E12421" s="76" t="s">
        <v>32</v>
      </c>
      <c r="F12421" s="76">
        <v>2</v>
      </c>
    </row>
    <row r="12422" s="76" customFormat="1" spans="1:6">
      <c r="A12422">
        <v>12760</v>
      </c>
      <c r="B12422">
        <v>622016270</v>
      </c>
      <c r="C12422" s="76">
        <v>2016</v>
      </c>
      <c r="D12422" s="76" t="s">
        <v>31</v>
      </c>
      <c r="E12422" s="76" t="s">
        <v>32</v>
      </c>
      <c r="F12422" s="76">
        <v>2</v>
      </c>
    </row>
    <row r="12423" s="76" customFormat="1" spans="1:6">
      <c r="A12423">
        <v>12754</v>
      </c>
      <c r="B12423">
        <v>622016270</v>
      </c>
      <c r="C12423" s="76">
        <v>2016</v>
      </c>
      <c r="D12423" s="76" t="s">
        <v>31</v>
      </c>
      <c r="E12423" s="76" t="s">
        <v>32</v>
      </c>
      <c r="F12423" s="76">
        <v>1</v>
      </c>
    </row>
    <row r="12424" s="76" customFormat="1" spans="1:6">
      <c r="A12424">
        <v>12753</v>
      </c>
      <c r="B12424">
        <v>622016270</v>
      </c>
      <c r="C12424" s="76">
        <v>2016</v>
      </c>
      <c r="D12424" s="76" t="s">
        <v>31</v>
      </c>
      <c r="E12424" s="76" t="s">
        <v>32</v>
      </c>
      <c r="F12424" s="76">
        <v>2</v>
      </c>
    </row>
    <row r="12425" s="76" customFormat="1" spans="1:6">
      <c r="A12425">
        <v>12770</v>
      </c>
      <c r="B12425">
        <v>622016270</v>
      </c>
      <c r="C12425" s="76">
        <v>2016</v>
      </c>
      <c r="D12425" s="76" t="s">
        <v>31</v>
      </c>
      <c r="E12425" s="76" t="s">
        <v>32</v>
      </c>
      <c r="F12425" s="76">
        <v>1</v>
      </c>
    </row>
    <row r="12426" s="76" customFormat="1" spans="1:6">
      <c r="A12426">
        <v>12769</v>
      </c>
      <c r="B12426">
        <v>622016270</v>
      </c>
      <c r="C12426" s="76">
        <v>2016</v>
      </c>
      <c r="D12426" s="76" t="s">
        <v>31</v>
      </c>
      <c r="E12426" s="76" t="s">
        <v>32</v>
      </c>
      <c r="F12426" s="76">
        <v>1</v>
      </c>
    </row>
    <row r="12427" s="76" customFormat="1" spans="1:6">
      <c r="A12427">
        <v>12771</v>
      </c>
      <c r="B12427">
        <v>622016270</v>
      </c>
      <c r="C12427" s="76">
        <v>2016</v>
      </c>
      <c r="D12427" s="76" t="s">
        <v>31</v>
      </c>
      <c r="E12427" s="76" t="s">
        <v>32</v>
      </c>
      <c r="F12427" s="76">
        <v>0.9</v>
      </c>
    </row>
    <row r="12428" s="76" customFormat="1" spans="1:6">
      <c r="A12428">
        <v>12767</v>
      </c>
      <c r="B12428">
        <v>622016270</v>
      </c>
      <c r="C12428" s="76">
        <v>2016</v>
      </c>
      <c r="D12428" s="76" t="s">
        <v>31</v>
      </c>
      <c r="E12428" s="76" t="s">
        <v>32</v>
      </c>
      <c r="F12428" s="76">
        <v>0.9</v>
      </c>
    </row>
    <row r="12429" s="76" customFormat="1" spans="1:6">
      <c r="A12429">
        <v>12742</v>
      </c>
      <c r="B12429">
        <v>622016270</v>
      </c>
      <c r="C12429" s="76">
        <v>2016</v>
      </c>
      <c r="D12429" s="76" t="s">
        <v>31</v>
      </c>
      <c r="E12429" s="76" t="s">
        <v>32</v>
      </c>
      <c r="F12429" s="76">
        <v>3</v>
      </c>
    </row>
    <row r="12430" s="76" customFormat="1" spans="1:6">
      <c r="A12430">
        <v>12748</v>
      </c>
      <c r="B12430">
        <v>622016270</v>
      </c>
      <c r="C12430" s="76">
        <v>2016</v>
      </c>
      <c r="D12430" s="76" t="s">
        <v>31</v>
      </c>
      <c r="E12430" s="76" t="s">
        <v>32</v>
      </c>
      <c r="F12430" s="76">
        <v>0.6</v>
      </c>
    </row>
    <row r="12431" s="76" customFormat="1" spans="1:6">
      <c r="A12431">
        <v>12746</v>
      </c>
      <c r="B12431">
        <v>622016270</v>
      </c>
      <c r="C12431" s="76">
        <v>2016</v>
      </c>
      <c r="D12431" s="76" t="s">
        <v>31</v>
      </c>
      <c r="E12431" s="76" t="s">
        <v>32</v>
      </c>
      <c r="F12431" s="76">
        <v>3</v>
      </c>
    </row>
    <row r="12432" s="76" customFormat="1" spans="1:6">
      <c r="A12432">
        <v>12747</v>
      </c>
      <c r="B12432">
        <v>622016270</v>
      </c>
      <c r="C12432" s="76">
        <v>2016</v>
      </c>
      <c r="D12432" s="76" t="s">
        <v>31</v>
      </c>
      <c r="E12432" s="76" t="s">
        <v>32</v>
      </c>
      <c r="F12432" s="76">
        <v>0.6</v>
      </c>
    </row>
    <row r="12433" s="76" customFormat="1" spans="1:6">
      <c r="A12433">
        <v>12775</v>
      </c>
      <c r="B12433">
        <v>622017110</v>
      </c>
      <c r="C12433" s="76">
        <v>2017</v>
      </c>
      <c r="D12433" s="76" t="s">
        <v>40</v>
      </c>
      <c r="E12433" s="76" t="s">
        <v>32</v>
      </c>
      <c r="F12433" s="76">
        <v>2.25</v>
      </c>
    </row>
    <row r="12434" s="76" customFormat="1" spans="1:6">
      <c r="A12434">
        <v>12776</v>
      </c>
      <c r="B12434">
        <v>622017110</v>
      </c>
      <c r="C12434" s="76">
        <v>2017</v>
      </c>
      <c r="D12434" s="76" t="s">
        <v>40</v>
      </c>
      <c r="E12434" s="76" t="s">
        <v>32</v>
      </c>
      <c r="F12434" s="76">
        <v>1.3</v>
      </c>
    </row>
    <row r="12435" s="76" customFormat="1" spans="1:6">
      <c r="A12435">
        <v>12774</v>
      </c>
      <c r="B12435">
        <v>622017110</v>
      </c>
      <c r="C12435" s="76">
        <v>2017</v>
      </c>
      <c r="D12435" s="76" t="s">
        <v>40</v>
      </c>
      <c r="E12435" s="76" t="s">
        <v>32</v>
      </c>
      <c r="F12435" s="76">
        <v>3.6</v>
      </c>
    </row>
    <row r="12436" s="76" customFormat="1" spans="1:6">
      <c r="A12436">
        <v>12778</v>
      </c>
      <c r="B12436">
        <v>622017211</v>
      </c>
      <c r="C12436" s="76">
        <v>2017</v>
      </c>
      <c r="D12436" s="76" t="s">
        <v>37</v>
      </c>
      <c r="E12436" s="76">
        <v>1</v>
      </c>
      <c r="F12436" s="76">
        <v>33</v>
      </c>
    </row>
    <row r="12437" s="76" customFormat="1" spans="1:6">
      <c r="A12437">
        <v>12779</v>
      </c>
      <c r="B12437">
        <v>622017211</v>
      </c>
      <c r="C12437" s="76">
        <v>2017</v>
      </c>
      <c r="D12437" s="76" t="s">
        <v>37</v>
      </c>
      <c r="E12437" s="76" t="s">
        <v>32</v>
      </c>
      <c r="F12437" s="76">
        <v>0.7</v>
      </c>
    </row>
    <row r="12438" s="76" customFormat="1" spans="1:6">
      <c r="A12438">
        <v>12777</v>
      </c>
      <c r="B12438">
        <v>622017211</v>
      </c>
      <c r="C12438" s="76">
        <v>2017</v>
      </c>
      <c r="D12438" s="76" t="s">
        <v>37</v>
      </c>
      <c r="E12438" s="76">
        <v>2</v>
      </c>
      <c r="F12438" s="76">
        <v>70</v>
      </c>
    </row>
    <row r="12439" s="76" customFormat="1" spans="1:6">
      <c r="A12439">
        <v>12781</v>
      </c>
      <c r="B12439">
        <v>622017241</v>
      </c>
      <c r="C12439" s="76">
        <v>2017</v>
      </c>
      <c r="D12439" s="76" t="s">
        <v>33</v>
      </c>
      <c r="E12439" s="76" t="s">
        <v>32</v>
      </c>
      <c r="F12439" s="76">
        <v>1.65</v>
      </c>
    </row>
    <row r="12440" s="76" customFormat="1" spans="1:6">
      <c r="A12440">
        <v>12782</v>
      </c>
      <c r="B12440">
        <v>622017241</v>
      </c>
      <c r="C12440" s="76">
        <v>2017</v>
      </c>
      <c r="D12440" s="76" t="s">
        <v>33</v>
      </c>
      <c r="E12440" s="76" t="s">
        <v>32</v>
      </c>
      <c r="F12440" s="76">
        <v>0.3</v>
      </c>
    </row>
    <row r="12441" s="76" customFormat="1" spans="1:6">
      <c r="A12441">
        <v>12780</v>
      </c>
      <c r="B12441">
        <v>622017241</v>
      </c>
      <c r="C12441" s="76">
        <v>2017</v>
      </c>
      <c r="D12441" s="76" t="s">
        <v>33</v>
      </c>
      <c r="E12441" s="76" t="s">
        <v>32</v>
      </c>
      <c r="F12441" s="76">
        <v>4.65</v>
      </c>
    </row>
    <row r="12442" s="76" customFormat="1" spans="1:6">
      <c r="A12442">
        <v>12783</v>
      </c>
      <c r="B12442">
        <v>622017241</v>
      </c>
      <c r="C12442" s="76">
        <v>2017</v>
      </c>
      <c r="D12442" s="76" t="s">
        <v>33</v>
      </c>
      <c r="E12442" s="76" t="s">
        <v>32</v>
      </c>
      <c r="F12442" s="76">
        <v>1.5</v>
      </c>
    </row>
    <row r="12443" s="76" customFormat="1" spans="1:6">
      <c r="A12443">
        <v>12784</v>
      </c>
      <c r="B12443">
        <v>622017242</v>
      </c>
      <c r="C12443" s="76">
        <v>2017</v>
      </c>
      <c r="D12443" s="76" t="s">
        <v>35</v>
      </c>
      <c r="E12443" s="76" t="s">
        <v>32</v>
      </c>
      <c r="F12443" s="76">
        <v>0.6</v>
      </c>
    </row>
    <row r="12444" s="76" customFormat="1" spans="1:6">
      <c r="A12444">
        <v>12785</v>
      </c>
      <c r="B12444">
        <v>622017260</v>
      </c>
      <c r="C12444" s="76">
        <v>2017</v>
      </c>
      <c r="D12444" s="76" t="s">
        <v>34</v>
      </c>
      <c r="E12444" s="76" t="s">
        <v>32</v>
      </c>
      <c r="F12444" s="76">
        <v>4.95</v>
      </c>
    </row>
    <row r="12445" s="76" customFormat="1" spans="1:6">
      <c r="A12445">
        <v>12827</v>
      </c>
      <c r="B12445">
        <v>622017270</v>
      </c>
      <c r="C12445" s="76">
        <v>2017</v>
      </c>
      <c r="D12445" s="76" t="s">
        <v>31</v>
      </c>
      <c r="E12445" s="76" t="s">
        <v>32</v>
      </c>
      <c r="F12445" s="76">
        <v>0.35</v>
      </c>
    </row>
    <row r="12446" s="76" customFormat="1" spans="1:6">
      <c r="A12446">
        <v>12790</v>
      </c>
      <c r="B12446">
        <v>622017270</v>
      </c>
      <c r="C12446" s="76">
        <v>2017</v>
      </c>
      <c r="D12446" s="76" t="s">
        <v>31</v>
      </c>
      <c r="E12446" s="76" t="s">
        <v>32</v>
      </c>
      <c r="F12446" s="76">
        <v>2.5</v>
      </c>
    </row>
    <row r="12447" s="76" customFormat="1" spans="1:6">
      <c r="A12447" s="78">
        <v>12816</v>
      </c>
      <c r="B12447">
        <v>622017270</v>
      </c>
      <c r="C12447" s="77">
        <v>2017</v>
      </c>
      <c r="D12447" s="77" t="s">
        <v>31</v>
      </c>
      <c r="E12447" s="77" t="s">
        <v>32</v>
      </c>
      <c r="F12447" s="77">
        <v>2</v>
      </c>
    </row>
    <row r="12448" s="76" customFormat="1" spans="1:6">
      <c r="A12448" s="78">
        <v>12817</v>
      </c>
      <c r="B12448">
        <v>622017270</v>
      </c>
      <c r="C12448" s="77">
        <v>2017</v>
      </c>
      <c r="D12448" s="77" t="s">
        <v>31</v>
      </c>
      <c r="E12448" s="77" t="s">
        <v>32</v>
      </c>
      <c r="F12448" s="77">
        <v>2</v>
      </c>
    </row>
    <row r="12449" s="76" customFormat="1" spans="1:6">
      <c r="A12449">
        <v>12821</v>
      </c>
      <c r="B12449">
        <v>622017270</v>
      </c>
      <c r="C12449" s="76">
        <v>2017</v>
      </c>
      <c r="D12449" s="76" t="s">
        <v>31</v>
      </c>
      <c r="E12449" s="76" t="s">
        <v>32</v>
      </c>
      <c r="F12449" s="76">
        <v>4</v>
      </c>
    </row>
    <row r="12450" s="76" customFormat="1" spans="1:6">
      <c r="A12450">
        <v>12830</v>
      </c>
      <c r="B12450">
        <v>622017270</v>
      </c>
      <c r="C12450" s="76">
        <v>2017</v>
      </c>
      <c r="D12450" s="76" t="s">
        <v>31</v>
      </c>
      <c r="E12450" s="76" t="s">
        <v>32</v>
      </c>
      <c r="F12450" s="76">
        <v>2</v>
      </c>
    </row>
    <row r="12451" s="76" customFormat="1" spans="1:6">
      <c r="A12451">
        <v>12818</v>
      </c>
      <c r="B12451">
        <v>622017270</v>
      </c>
      <c r="C12451" s="76">
        <v>2017</v>
      </c>
      <c r="D12451" s="76" t="s">
        <v>31</v>
      </c>
      <c r="E12451" s="76" t="s">
        <v>32</v>
      </c>
      <c r="F12451" s="76">
        <v>2</v>
      </c>
    </row>
    <row r="12452" s="76" customFormat="1" spans="1:6">
      <c r="A12452">
        <v>12824</v>
      </c>
      <c r="B12452">
        <v>622017270</v>
      </c>
      <c r="C12452" s="76">
        <v>2017</v>
      </c>
      <c r="D12452" s="76" t="s">
        <v>31</v>
      </c>
      <c r="E12452" s="76" t="s">
        <v>32</v>
      </c>
      <c r="F12452" s="76">
        <v>3</v>
      </c>
    </row>
    <row r="12453" s="76" customFormat="1" spans="1:6">
      <c r="A12453">
        <v>12825</v>
      </c>
      <c r="B12453">
        <v>622017270</v>
      </c>
      <c r="C12453" s="76">
        <v>2017</v>
      </c>
      <c r="D12453" s="76" t="s">
        <v>31</v>
      </c>
      <c r="E12453" s="76" t="s">
        <v>32</v>
      </c>
      <c r="F12453" s="76">
        <v>1.5</v>
      </c>
    </row>
    <row r="12454" s="76" customFormat="1" spans="1:6">
      <c r="A12454">
        <v>12815</v>
      </c>
      <c r="B12454">
        <v>622017270</v>
      </c>
      <c r="C12454" s="76">
        <v>2017</v>
      </c>
      <c r="D12454" s="76" t="s">
        <v>31</v>
      </c>
      <c r="E12454" s="76" t="s">
        <v>32</v>
      </c>
      <c r="F12454" s="76">
        <v>2</v>
      </c>
    </row>
    <row r="12455" s="76" customFormat="1" spans="1:6">
      <c r="A12455">
        <v>12814</v>
      </c>
      <c r="B12455">
        <v>622017270</v>
      </c>
      <c r="C12455" s="76">
        <v>2017</v>
      </c>
      <c r="D12455" s="76" t="s">
        <v>31</v>
      </c>
      <c r="E12455" s="76" t="s">
        <v>32</v>
      </c>
      <c r="F12455" s="76">
        <v>8</v>
      </c>
    </row>
    <row r="12456" s="76" customFormat="1" spans="1:6">
      <c r="A12456">
        <v>12803</v>
      </c>
      <c r="B12456">
        <v>622017270</v>
      </c>
      <c r="C12456" s="76">
        <v>2017</v>
      </c>
      <c r="D12456" s="76" t="s">
        <v>31</v>
      </c>
      <c r="E12456" s="76" t="s">
        <v>32</v>
      </c>
      <c r="F12456" s="76">
        <v>2</v>
      </c>
    </row>
    <row r="12457" s="76" customFormat="1" spans="1:6">
      <c r="A12457">
        <v>12804</v>
      </c>
      <c r="B12457">
        <v>622017270</v>
      </c>
      <c r="C12457" s="76">
        <v>2017</v>
      </c>
      <c r="D12457" s="76" t="s">
        <v>31</v>
      </c>
      <c r="E12457" s="76" t="s">
        <v>32</v>
      </c>
      <c r="F12457" s="76">
        <v>2</v>
      </c>
    </row>
    <row r="12458" s="76" customFormat="1" spans="1:6">
      <c r="A12458">
        <v>12802</v>
      </c>
      <c r="B12458">
        <v>622017270</v>
      </c>
      <c r="C12458" s="76">
        <v>2017</v>
      </c>
      <c r="D12458" s="76" t="s">
        <v>31</v>
      </c>
      <c r="E12458" s="76" t="s">
        <v>32</v>
      </c>
      <c r="F12458" s="76">
        <v>3</v>
      </c>
    </row>
    <row r="12459" s="76" customFormat="1" spans="1:6">
      <c r="A12459">
        <v>12805</v>
      </c>
      <c r="B12459">
        <v>622017270</v>
      </c>
      <c r="C12459" s="76">
        <v>2017</v>
      </c>
      <c r="D12459" s="76" t="s">
        <v>31</v>
      </c>
      <c r="E12459" s="76" t="s">
        <v>32</v>
      </c>
      <c r="F12459" s="76">
        <v>1</v>
      </c>
    </row>
    <row r="12460" s="76" customFormat="1" spans="1:6">
      <c r="A12460">
        <v>12800</v>
      </c>
      <c r="B12460">
        <v>622017270</v>
      </c>
      <c r="C12460" s="76">
        <v>2017</v>
      </c>
      <c r="D12460" s="76" t="s">
        <v>31</v>
      </c>
      <c r="E12460" s="76" t="s">
        <v>32</v>
      </c>
      <c r="F12460" s="76">
        <v>2</v>
      </c>
    </row>
    <row r="12461" s="76" customFormat="1" spans="1:6">
      <c r="A12461">
        <v>12801</v>
      </c>
      <c r="B12461">
        <v>622017270</v>
      </c>
      <c r="C12461" s="76">
        <v>2017</v>
      </c>
      <c r="D12461" s="76" t="s">
        <v>31</v>
      </c>
      <c r="E12461" s="76" t="s">
        <v>32</v>
      </c>
      <c r="F12461" s="76">
        <v>0.7</v>
      </c>
    </row>
    <row r="12462" s="76" customFormat="1" spans="1:6">
      <c r="A12462">
        <v>12809</v>
      </c>
      <c r="B12462">
        <v>622017270</v>
      </c>
      <c r="C12462" s="76">
        <v>2017</v>
      </c>
      <c r="D12462" s="76" t="s">
        <v>31</v>
      </c>
      <c r="E12462" s="76" t="s">
        <v>32</v>
      </c>
      <c r="F12462" s="76">
        <v>0.8</v>
      </c>
    </row>
    <row r="12463" s="76" customFormat="1" spans="1:6">
      <c r="A12463">
        <v>12808</v>
      </c>
      <c r="B12463">
        <v>622017270</v>
      </c>
      <c r="C12463" s="76">
        <v>2017</v>
      </c>
      <c r="D12463" s="76" t="s">
        <v>31</v>
      </c>
      <c r="E12463" s="76" t="s">
        <v>32</v>
      </c>
      <c r="F12463" s="76">
        <v>0.9</v>
      </c>
    </row>
    <row r="12464" s="76" customFormat="1" spans="1:6">
      <c r="A12464">
        <v>12829</v>
      </c>
      <c r="B12464">
        <v>622017270</v>
      </c>
      <c r="C12464" s="76">
        <v>2017</v>
      </c>
      <c r="D12464" s="76" t="s">
        <v>31</v>
      </c>
      <c r="E12464" s="76" t="s">
        <v>32</v>
      </c>
      <c r="F12464" s="76">
        <v>1.1</v>
      </c>
    </row>
    <row r="12465" s="76" customFormat="1" spans="1:6">
      <c r="A12465">
        <v>12812</v>
      </c>
      <c r="B12465">
        <v>622017270</v>
      </c>
      <c r="C12465" s="76">
        <v>2017</v>
      </c>
      <c r="D12465" s="76" t="s">
        <v>31</v>
      </c>
      <c r="E12465" s="76" t="s">
        <v>32</v>
      </c>
      <c r="F12465" s="76">
        <v>3</v>
      </c>
    </row>
    <row r="12466" s="76" customFormat="1" spans="1:6">
      <c r="A12466">
        <v>12813</v>
      </c>
      <c r="B12466">
        <v>622017270</v>
      </c>
      <c r="C12466" s="76">
        <v>2017</v>
      </c>
      <c r="D12466" s="76" t="s">
        <v>31</v>
      </c>
      <c r="E12466" s="76" t="s">
        <v>32</v>
      </c>
      <c r="F12466" s="76">
        <v>2</v>
      </c>
    </row>
    <row r="12467" s="76" customFormat="1" spans="1:6">
      <c r="A12467">
        <v>12811</v>
      </c>
      <c r="B12467">
        <v>622017270</v>
      </c>
      <c r="C12467" s="76">
        <v>2017</v>
      </c>
      <c r="D12467" s="76" t="s">
        <v>31</v>
      </c>
      <c r="E12467" s="76" t="s">
        <v>32</v>
      </c>
      <c r="F12467" s="76">
        <v>8</v>
      </c>
    </row>
    <row r="12468" s="76" customFormat="1" spans="1:6">
      <c r="A12468">
        <v>12810</v>
      </c>
      <c r="B12468">
        <v>622017270</v>
      </c>
      <c r="C12468" s="76">
        <v>2017</v>
      </c>
      <c r="D12468" s="76" t="s">
        <v>31</v>
      </c>
      <c r="E12468" s="76" t="s">
        <v>32</v>
      </c>
      <c r="F12468" s="76">
        <v>0.5</v>
      </c>
    </row>
    <row r="12469" s="76" customFormat="1" spans="1:6">
      <c r="A12469">
        <v>12798</v>
      </c>
      <c r="B12469">
        <v>622017270</v>
      </c>
      <c r="C12469" s="76">
        <v>2017</v>
      </c>
      <c r="D12469" s="76" t="s">
        <v>31</v>
      </c>
      <c r="E12469" s="76" t="s">
        <v>32</v>
      </c>
      <c r="F12469" s="76">
        <v>1</v>
      </c>
    </row>
    <row r="12470" s="76" customFormat="1" spans="1:6">
      <c r="A12470">
        <v>12794</v>
      </c>
      <c r="B12470">
        <v>622017270</v>
      </c>
      <c r="C12470" s="76">
        <v>2017</v>
      </c>
      <c r="D12470" s="76" t="s">
        <v>31</v>
      </c>
      <c r="E12470" s="76" t="s">
        <v>32</v>
      </c>
      <c r="F12470" s="76">
        <v>1</v>
      </c>
    </row>
    <row r="12471" s="76" customFormat="1" spans="1:6">
      <c r="A12471">
        <v>12796</v>
      </c>
      <c r="B12471">
        <v>622017270</v>
      </c>
      <c r="C12471" s="76">
        <v>2017</v>
      </c>
      <c r="D12471" s="76" t="s">
        <v>31</v>
      </c>
      <c r="E12471" s="76" t="s">
        <v>32</v>
      </c>
      <c r="F12471" s="76">
        <v>2</v>
      </c>
    </row>
    <row r="12472" s="76" customFormat="1" spans="1:6">
      <c r="A12472">
        <v>12807</v>
      </c>
      <c r="B12472">
        <v>622017270</v>
      </c>
      <c r="C12472" s="76">
        <v>2017</v>
      </c>
      <c r="D12472" s="76" t="s">
        <v>31</v>
      </c>
      <c r="E12472" s="76" t="s">
        <v>32</v>
      </c>
      <c r="F12472" s="76">
        <v>0.5</v>
      </c>
    </row>
    <row r="12473" s="76" customFormat="1" spans="1:6">
      <c r="A12473">
        <v>12806</v>
      </c>
      <c r="B12473">
        <v>622017270</v>
      </c>
      <c r="C12473" s="76">
        <v>2017</v>
      </c>
      <c r="D12473" s="76" t="s">
        <v>31</v>
      </c>
      <c r="E12473" s="76" t="s">
        <v>32</v>
      </c>
      <c r="F12473" s="76">
        <v>0.4</v>
      </c>
    </row>
    <row r="12474" s="76" customFormat="1" spans="1:6">
      <c r="A12474">
        <v>12795</v>
      </c>
      <c r="B12474">
        <v>622017270</v>
      </c>
      <c r="C12474" s="76">
        <v>2017</v>
      </c>
      <c r="D12474" s="76" t="s">
        <v>31</v>
      </c>
      <c r="E12474" s="76" t="s">
        <v>32</v>
      </c>
      <c r="F12474" s="76">
        <v>1</v>
      </c>
    </row>
    <row r="12475" s="76" customFormat="1" spans="1:6">
      <c r="A12475">
        <v>12797</v>
      </c>
      <c r="B12475">
        <v>622017270</v>
      </c>
      <c r="C12475" s="76">
        <v>2017</v>
      </c>
      <c r="D12475" s="76" t="s">
        <v>31</v>
      </c>
      <c r="E12475" s="76" t="s">
        <v>32</v>
      </c>
      <c r="F12475" s="76">
        <v>2</v>
      </c>
    </row>
    <row r="12476" s="76" customFormat="1" spans="1:6">
      <c r="A12476">
        <v>12823</v>
      </c>
      <c r="B12476">
        <v>622017270</v>
      </c>
      <c r="C12476" s="76">
        <v>2017</v>
      </c>
      <c r="D12476" s="76" t="s">
        <v>31</v>
      </c>
      <c r="E12476" s="76" t="s">
        <v>32</v>
      </c>
      <c r="F12476" s="76">
        <v>2</v>
      </c>
    </row>
    <row r="12477" s="76" customFormat="1" spans="1:6">
      <c r="A12477">
        <v>12820</v>
      </c>
      <c r="B12477">
        <v>622017270</v>
      </c>
      <c r="C12477" s="76">
        <v>2017</v>
      </c>
      <c r="D12477" s="76" t="s">
        <v>31</v>
      </c>
      <c r="E12477" s="76" t="s">
        <v>32</v>
      </c>
      <c r="F12477" s="76">
        <v>1</v>
      </c>
    </row>
    <row r="12478" s="76" customFormat="1" spans="1:6">
      <c r="A12478">
        <v>12787</v>
      </c>
      <c r="B12478">
        <v>622017270</v>
      </c>
      <c r="C12478" s="76">
        <v>2017</v>
      </c>
      <c r="D12478" s="76" t="s">
        <v>31</v>
      </c>
      <c r="E12478" s="76" t="s">
        <v>32</v>
      </c>
      <c r="F12478" s="76">
        <v>1.5</v>
      </c>
    </row>
    <row r="12479" s="76" customFormat="1" spans="1:6">
      <c r="A12479">
        <v>12788</v>
      </c>
      <c r="B12479">
        <v>622017270</v>
      </c>
      <c r="C12479" s="76">
        <v>2017</v>
      </c>
      <c r="D12479" s="76" t="s">
        <v>31</v>
      </c>
      <c r="E12479" s="76" t="s">
        <v>32</v>
      </c>
      <c r="F12479" s="76">
        <v>2</v>
      </c>
    </row>
    <row r="12480" s="76" customFormat="1" spans="1:6">
      <c r="A12480">
        <v>12789</v>
      </c>
      <c r="B12480">
        <v>622017270</v>
      </c>
      <c r="C12480" s="76">
        <v>2017</v>
      </c>
      <c r="D12480" s="76" t="s">
        <v>31</v>
      </c>
      <c r="E12480" s="76" t="s">
        <v>32</v>
      </c>
      <c r="F12480" s="76">
        <v>1.5</v>
      </c>
    </row>
    <row r="12481" s="76" customFormat="1" spans="1:6">
      <c r="A12481">
        <v>12826</v>
      </c>
      <c r="B12481">
        <v>622017270</v>
      </c>
      <c r="C12481" s="76">
        <v>2017</v>
      </c>
      <c r="D12481" s="76" t="s">
        <v>31</v>
      </c>
      <c r="E12481" s="76" t="s">
        <v>32</v>
      </c>
      <c r="F12481" s="76">
        <v>2</v>
      </c>
    </row>
    <row r="12482" s="76" customFormat="1" spans="1:6">
      <c r="A12482">
        <v>12819</v>
      </c>
      <c r="B12482">
        <v>622017270</v>
      </c>
      <c r="C12482" s="76">
        <v>2017</v>
      </c>
      <c r="D12482" s="76" t="s">
        <v>31</v>
      </c>
      <c r="E12482" s="76" t="s">
        <v>32</v>
      </c>
      <c r="F12482" s="76">
        <v>2</v>
      </c>
    </row>
    <row r="12483" s="76" customFormat="1" spans="1:6">
      <c r="A12483">
        <v>12786</v>
      </c>
      <c r="B12483">
        <v>622017270</v>
      </c>
      <c r="C12483" s="76">
        <v>2017</v>
      </c>
      <c r="D12483" s="76" t="s">
        <v>31</v>
      </c>
      <c r="E12483" s="76" t="s">
        <v>32</v>
      </c>
      <c r="F12483" s="76">
        <v>3</v>
      </c>
    </row>
    <row r="12484" s="76" customFormat="1" spans="1:6">
      <c r="A12484">
        <v>12828</v>
      </c>
      <c r="B12484">
        <v>622017270</v>
      </c>
      <c r="C12484" s="76">
        <v>2017</v>
      </c>
      <c r="D12484" s="76" t="s">
        <v>31</v>
      </c>
      <c r="E12484" s="76" t="s">
        <v>32</v>
      </c>
      <c r="F12484" s="76">
        <v>2</v>
      </c>
    </row>
    <row r="12485" s="76" customFormat="1" spans="1:6">
      <c r="A12485">
        <v>12822</v>
      </c>
      <c r="B12485">
        <v>622017270</v>
      </c>
      <c r="C12485" s="76">
        <v>2017</v>
      </c>
      <c r="D12485" s="76" t="s">
        <v>31</v>
      </c>
      <c r="E12485" s="76" t="s">
        <v>32</v>
      </c>
      <c r="F12485" s="76">
        <v>2</v>
      </c>
    </row>
    <row r="12486" s="76" customFormat="1" spans="1:6">
      <c r="A12486">
        <v>12791</v>
      </c>
      <c r="B12486">
        <v>622017270</v>
      </c>
      <c r="C12486" s="76">
        <v>2017</v>
      </c>
      <c r="D12486" s="76" t="s">
        <v>31</v>
      </c>
      <c r="E12486" s="76" t="s">
        <v>32</v>
      </c>
      <c r="F12486" s="76">
        <v>2</v>
      </c>
    </row>
    <row r="12487" s="76" customFormat="1" spans="1:6">
      <c r="A12487">
        <v>12792</v>
      </c>
      <c r="B12487">
        <v>622017270</v>
      </c>
      <c r="C12487" s="76">
        <v>2017</v>
      </c>
      <c r="D12487" s="76" t="s">
        <v>31</v>
      </c>
      <c r="E12487" s="76" t="s">
        <v>32</v>
      </c>
      <c r="F12487" s="76">
        <v>2</v>
      </c>
    </row>
    <row r="12488" s="76" customFormat="1" spans="1:6">
      <c r="A12488">
        <v>12799</v>
      </c>
      <c r="B12488">
        <v>622017270</v>
      </c>
      <c r="C12488" s="76">
        <v>2017</v>
      </c>
      <c r="D12488" s="76" t="s">
        <v>31</v>
      </c>
      <c r="E12488" s="76" t="s">
        <v>32</v>
      </c>
      <c r="F12488" s="76">
        <v>2.5</v>
      </c>
    </row>
    <row r="12489" s="76" customFormat="1" spans="1:6">
      <c r="A12489">
        <v>12836</v>
      </c>
      <c r="B12489">
        <v>622018110</v>
      </c>
      <c r="C12489" s="76">
        <v>2018</v>
      </c>
      <c r="D12489" s="76" t="s">
        <v>40</v>
      </c>
      <c r="E12489" s="76" t="s">
        <v>32</v>
      </c>
      <c r="F12489" s="76">
        <v>30</v>
      </c>
    </row>
    <row r="12490" s="76" customFormat="1" spans="1:6">
      <c r="A12490">
        <v>12835</v>
      </c>
      <c r="B12490">
        <v>622018110</v>
      </c>
      <c r="C12490" s="76">
        <v>2018</v>
      </c>
      <c r="D12490" s="76" t="s">
        <v>40</v>
      </c>
      <c r="E12490" s="76" t="s">
        <v>32</v>
      </c>
      <c r="F12490" s="76">
        <v>3.75</v>
      </c>
    </row>
    <row r="12491" s="76" customFormat="1" spans="1:6">
      <c r="A12491">
        <v>12832</v>
      </c>
      <c r="B12491">
        <v>622018110</v>
      </c>
      <c r="C12491" s="76">
        <v>2018</v>
      </c>
      <c r="D12491" s="76" t="s">
        <v>40</v>
      </c>
      <c r="E12491" s="76" t="s">
        <v>32</v>
      </c>
      <c r="F12491" s="76">
        <v>2</v>
      </c>
    </row>
    <row r="12492" s="76" customFormat="1" spans="1:6">
      <c r="A12492">
        <v>12837</v>
      </c>
      <c r="B12492">
        <v>622018110</v>
      </c>
      <c r="C12492" s="76">
        <v>2018</v>
      </c>
      <c r="D12492" s="76" t="s">
        <v>40</v>
      </c>
      <c r="E12492" s="76" t="s">
        <v>32</v>
      </c>
      <c r="F12492" s="76">
        <v>1</v>
      </c>
    </row>
    <row r="12493" s="76" customFormat="1" spans="1:6">
      <c r="A12493">
        <v>12833</v>
      </c>
      <c r="B12493">
        <v>622018110</v>
      </c>
      <c r="C12493" s="76">
        <v>2018</v>
      </c>
      <c r="D12493" s="76" t="s">
        <v>40</v>
      </c>
      <c r="E12493" s="76" t="s">
        <v>32</v>
      </c>
      <c r="F12493" s="76">
        <v>1.8</v>
      </c>
    </row>
    <row r="12494" s="76" customFormat="1" spans="1:6">
      <c r="A12494">
        <v>12831</v>
      </c>
      <c r="B12494">
        <v>622018110</v>
      </c>
      <c r="C12494" s="76">
        <v>2018</v>
      </c>
      <c r="D12494" s="76" t="s">
        <v>40</v>
      </c>
      <c r="E12494" s="76" t="s">
        <v>32</v>
      </c>
      <c r="F12494" s="76">
        <v>2</v>
      </c>
    </row>
    <row r="12495" s="76" customFormat="1" spans="1:6">
      <c r="A12495">
        <v>12838</v>
      </c>
      <c r="B12495">
        <v>622018211</v>
      </c>
      <c r="C12495" s="76">
        <v>2018</v>
      </c>
      <c r="D12495" s="76" t="s">
        <v>37</v>
      </c>
      <c r="E12495" s="76" t="s">
        <v>32</v>
      </c>
      <c r="F12495" s="76">
        <v>1.2</v>
      </c>
    </row>
    <row r="12496" s="76" customFormat="1" spans="1:6">
      <c r="A12496">
        <v>12839</v>
      </c>
      <c r="B12496">
        <v>622018241</v>
      </c>
      <c r="C12496" s="76">
        <v>2018</v>
      </c>
      <c r="D12496" s="76" t="s">
        <v>33</v>
      </c>
      <c r="E12496" s="76" t="s">
        <v>32</v>
      </c>
      <c r="F12496" s="76">
        <v>2</v>
      </c>
    </row>
    <row r="12497" s="76" customFormat="1" spans="1:6">
      <c r="A12497">
        <v>12840</v>
      </c>
      <c r="B12497">
        <v>622018242</v>
      </c>
      <c r="C12497" s="76">
        <v>2018</v>
      </c>
      <c r="D12497" s="76" t="s">
        <v>35</v>
      </c>
      <c r="E12497" s="76" t="s">
        <v>32</v>
      </c>
      <c r="F12497" s="76">
        <v>1.2</v>
      </c>
    </row>
    <row r="12498" s="76" customFormat="1" spans="1:6">
      <c r="A12498">
        <v>12845</v>
      </c>
      <c r="B12498">
        <v>622018270</v>
      </c>
      <c r="C12498" s="76">
        <v>2018</v>
      </c>
      <c r="D12498" s="76" t="s">
        <v>31</v>
      </c>
      <c r="E12498" s="76" t="s">
        <v>32</v>
      </c>
      <c r="F12498" s="76">
        <v>3.6</v>
      </c>
    </row>
    <row r="12499" s="76" customFormat="1" spans="1:6">
      <c r="A12499">
        <v>12844</v>
      </c>
      <c r="B12499">
        <v>622018270</v>
      </c>
      <c r="C12499" s="76">
        <v>2018</v>
      </c>
      <c r="D12499" s="76" t="s">
        <v>31</v>
      </c>
      <c r="E12499" s="76" t="s">
        <v>32</v>
      </c>
      <c r="F12499" s="76">
        <v>3</v>
      </c>
    </row>
    <row r="12500" s="76" customFormat="1" spans="1:6">
      <c r="A12500">
        <v>12846</v>
      </c>
      <c r="B12500">
        <v>622018270</v>
      </c>
      <c r="C12500" s="76">
        <v>2018</v>
      </c>
      <c r="D12500" s="76" t="s">
        <v>31</v>
      </c>
      <c r="E12500" s="76" t="s">
        <v>32</v>
      </c>
      <c r="F12500" s="76">
        <v>10</v>
      </c>
    </row>
    <row r="12501" s="76" customFormat="1" spans="1:6">
      <c r="A12501">
        <v>12842</v>
      </c>
      <c r="B12501">
        <v>622018270</v>
      </c>
      <c r="C12501" s="76">
        <v>2018</v>
      </c>
      <c r="D12501" s="76" t="s">
        <v>31</v>
      </c>
      <c r="E12501" s="76" t="s">
        <v>32</v>
      </c>
      <c r="F12501" s="76">
        <v>3</v>
      </c>
    </row>
    <row r="12502" s="76" customFormat="1" spans="1:6">
      <c r="A12502">
        <v>12843</v>
      </c>
      <c r="B12502">
        <v>622018270</v>
      </c>
      <c r="C12502" s="76">
        <v>2018</v>
      </c>
      <c r="D12502" s="76" t="s">
        <v>31</v>
      </c>
      <c r="E12502" s="76" t="s">
        <v>32</v>
      </c>
      <c r="F12502" s="76">
        <v>8</v>
      </c>
    </row>
    <row r="12503" s="76" customFormat="1" spans="1:6">
      <c r="A12503">
        <v>12847</v>
      </c>
      <c r="B12503">
        <v>622019110</v>
      </c>
      <c r="C12503" s="76">
        <v>2019</v>
      </c>
      <c r="D12503" s="76" t="s">
        <v>40</v>
      </c>
      <c r="E12503" s="76" t="s">
        <v>32</v>
      </c>
      <c r="F12503" s="76">
        <v>1.5</v>
      </c>
    </row>
    <row r="12504" s="76" customFormat="1" spans="1:6">
      <c r="A12504">
        <v>12851</v>
      </c>
      <c r="B12504">
        <v>622019260</v>
      </c>
      <c r="C12504" s="76">
        <v>2019</v>
      </c>
      <c r="D12504" s="76" t="s">
        <v>34</v>
      </c>
      <c r="E12504" s="76" t="s">
        <v>32</v>
      </c>
      <c r="F12504" s="76">
        <v>5</v>
      </c>
    </row>
    <row r="12505" s="76" customFormat="1" spans="1:6">
      <c r="A12505">
        <v>12849</v>
      </c>
      <c r="B12505">
        <v>622019260</v>
      </c>
      <c r="C12505" s="76">
        <v>2019</v>
      </c>
      <c r="D12505" s="76" t="s">
        <v>34</v>
      </c>
      <c r="E12505" s="76">
        <v>25</v>
      </c>
      <c r="F12505" s="76">
        <v>2</v>
      </c>
    </row>
    <row r="12506" s="76" customFormat="1" spans="1:6">
      <c r="A12506">
        <v>12850</v>
      </c>
      <c r="B12506">
        <v>622019260</v>
      </c>
      <c r="C12506" s="76">
        <v>2019</v>
      </c>
      <c r="D12506" s="76" t="s">
        <v>34</v>
      </c>
      <c r="E12506" s="76">
        <v>23</v>
      </c>
      <c r="F12506" s="76">
        <v>5</v>
      </c>
    </row>
    <row r="12507" s="76" customFormat="1" spans="1:6">
      <c r="A12507">
        <v>12860</v>
      </c>
      <c r="B12507">
        <v>622019270</v>
      </c>
      <c r="C12507" s="76">
        <v>2019</v>
      </c>
      <c r="D12507" s="76" t="s">
        <v>31</v>
      </c>
      <c r="E12507" s="76" t="s">
        <v>32</v>
      </c>
      <c r="F12507" s="76">
        <v>2.9</v>
      </c>
    </row>
    <row r="12508" s="76" customFormat="1" spans="1:6">
      <c r="A12508">
        <v>12861</v>
      </c>
      <c r="B12508">
        <v>622019270</v>
      </c>
      <c r="C12508" s="76">
        <v>2019</v>
      </c>
      <c r="D12508" s="76" t="s">
        <v>31</v>
      </c>
      <c r="E12508" s="76" t="s">
        <v>32</v>
      </c>
      <c r="F12508" s="76">
        <v>4.14</v>
      </c>
    </row>
    <row r="12509" s="76" customFormat="1" spans="1:6">
      <c r="A12509">
        <v>12857</v>
      </c>
      <c r="B12509">
        <v>622019270</v>
      </c>
      <c r="C12509" s="76">
        <v>2019</v>
      </c>
      <c r="D12509" s="76" t="s">
        <v>31</v>
      </c>
      <c r="E12509" s="76" t="s">
        <v>32</v>
      </c>
      <c r="F12509" s="76">
        <v>1.43</v>
      </c>
    </row>
    <row r="12510" s="76" customFormat="1" spans="1:6">
      <c r="A12510">
        <v>12852</v>
      </c>
      <c r="B12510">
        <v>622019270</v>
      </c>
      <c r="C12510" s="76">
        <v>2019</v>
      </c>
      <c r="D12510" s="76" t="s">
        <v>31</v>
      </c>
      <c r="E12510" s="76" t="s">
        <v>32</v>
      </c>
      <c r="F12510" s="76">
        <v>6</v>
      </c>
    </row>
    <row r="12511" s="76" customFormat="1" spans="1:6">
      <c r="A12511">
        <v>12865</v>
      </c>
      <c r="B12511">
        <v>622019270</v>
      </c>
      <c r="C12511" s="76">
        <v>2019</v>
      </c>
      <c r="D12511" s="76" t="s">
        <v>31</v>
      </c>
      <c r="E12511" s="76" t="s">
        <v>32</v>
      </c>
      <c r="F12511" s="76">
        <v>5</v>
      </c>
    </row>
    <row r="12512" s="76" customFormat="1" spans="1:6">
      <c r="A12512">
        <v>12854</v>
      </c>
      <c r="B12512">
        <v>622019270</v>
      </c>
      <c r="C12512" s="76">
        <v>2019</v>
      </c>
      <c r="D12512" s="76" t="s">
        <v>31</v>
      </c>
      <c r="E12512" s="76" t="s">
        <v>32</v>
      </c>
      <c r="F12512" s="76">
        <v>6</v>
      </c>
    </row>
    <row r="12513" s="76" customFormat="1" spans="1:6">
      <c r="A12513">
        <v>12855</v>
      </c>
      <c r="B12513">
        <v>622019270</v>
      </c>
      <c r="C12513" s="76">
        <v>2019</v>
      </c>
      <c r="D12513" s="76" t="s">
        <v>31</v>
      </c>
      <c r="E12513" s="76" t="s">
        <v>32</v>
      </c>
      <c r="F12513" s="76">
        <v>2</v>
      </c>
    </row>
    <row r="12514" s="76" customFormat="1" spans="1:6">
      <c r="A12514">
        <v>12859</v>
      </c>
      <c r="B12514">
        <v>622019270</v>
      </c>
      <c r="C12514" s="76">
        <v>2019</v>
      </c>
      <c r="D12514" s="76" t="s">
        <v>31</v>
      </c>
      <c r="E12514" s="76" t="s">
        <v>32</v>
      </c>
      <c r="F12514" s="76">
        <v>6</v>
      </c>
    </row>
    <row r="12515" s="76" customFormat="1" spans="1:6">
      <c r="A12515">
        <v>12863</v>
      </c>
      <c r="B12515">
        <v>622019270</v>
      </c>
      <c r="C12515" s="76">
        <v>2019</v>
      </c>
      <c r="D12515" s="76" t="s">
        <v>31</v>
      </c>
      <c r="E12515" s="76" t="s">
        <v>32</v>
      </c>
      <c r="F12515" s="76">
        <v>14.3</v>
      </c>
    </row>
    <row r="12516" s="76" customFormat="1" spans="1:6">
      <c r="A12516">
        <v>12862</v>
      </c>
      <c r="B12516">
        <v>622019270</v>
      </c>
      <c r="C12516" s="76">
        <v>2019</v>
      </c>
      <c r="D12516" s="76" t="s">
        <v>31</v>
      </c>
      <c r="E12516" s="76" t="s">
        <v>32</v>
      </c>
      <c r="F12516" s="76">
        <v>2.08</v>
      </c>
    </row>
    <row r="12517" s="76" customFormat="1" spans="1:6">
      <c r="A12517">
        <v>12856</v>
      </c>
      <c r="B12517">
        <v>622019270</v>
      </c>
      <c r="C12517" s="76">
        <v>2019</v>
      </c>
      <c r="D12517" s="76" t="s">
        <v>31</v>
      </c>
      <c r="E12517" s="76" t="s">
        <v>32</v>
      </c>
      <c r="F12517" s="76">
        <v>1</v>
      </c>
    </row>
    <row r="12518" s="76" customFormat="1" spans="1:6">
      <c r="A12518">
        <v>12858</v>
      </c>
      <c r="B12518">
        <v>622019270</v>
      </c>
      <c r="C12518" s="76">
        <v>2019</v>
      </c>
      <c r="D12518" s="76" t="s">
        <v>31</v>
      </c>
      <c r="E12518" s="76" t="s">
        <v>32</v>
      </c>
      <c r="F12518" s="76">
        <v>4.88</v>
      </c>
    </row>
    <row r="12519" s="76" customFormat="1" spans="1:6">
      <c r="A12519">
        <v>12864</v>
      </c>
      <c r="B12519">
        <v>622019270</v>
      </c>
      <c r="C12519" s="76">
        <v>2019</v>
      </c>
      <c r="D12519" s="76" t="s">
        <v>31</v>
      </c>
      <c r="E12519" s="76" t="s">
        <v>32</v>
      </c>
      <c r="F12519" s="76">
        <v>3</v>
      </c>
    </row>
    <row r="12520" s="76" customFormat="1" spans="1:6">
      <c r="A12520">
        <v>12867</v>
      </c>
      <c r="B12520">
        <v>622020110</v>
      </c>
      <c r="C12520" s="76">
        <v>2020</v>
      </c>
      <c r="D12520" s="76" t="s">
        <v>40</v>
      </c>
      <c r="E12520" s="76" t="s">
        <v>32</v>
      </c>
      <c r="F12520" s="76">
        <v>1.5</v>
      </c>
    </row>
    <row r="12521" s="76" customFormat="1" spans="1:6">
      <c r="A12521">
        <v>12866</v>
      </c>
      <c r="B12521">
        <v>622020110</v>
      </c>
      <c r="C12521" s="76">
        <v>2020</v>
      </c>
      <c r="D12521" s="76" t="s">
        <v>40</v>
      </c>
      <c r="E12521" s="76" t="s">
        <v>32</v>
      </c>
      <c r="F12521" s="76">
        <v>1</v>
      </c>
    </row>
    <row r="12522" s="76" customFormat="1" spans="1:6">
      <c r="A12522">
        <v>12869</v>
      </c>
      <c r="B12522">
        <v>622020211</v>
      </c>
      <c r="C12522" s="76">
        <v>2020</v>
      </c>
      <c r="D12522" s="76" t="s">
        <v>37</v>
      </c>
      <c r="E12522" s="76">
        <v>2</v>
      </c>
      <c r="F12522" s="76">
        <v>200</v>
      </c>
    </row>
    <row r="12523" s="76" customFormat="1" spans="1:6">
      <c r="A12523">
        <v>12870</v>
      </c>
      <c r="B12523">
        <v>622020242</v>
      </c>
      <c r="C12523" s="76">
        <v>2020</v>
      </c>
      <c r="D12523" s="76" t="s">
        <v>35</v>
      </c>
      <c r="E12523" s="76" t="s">
        <v>32</v>
      </c>
      <c r="F12523" s="76">
        <v>1.2</v>
      </c>
    </row>
    <row r="12524" s="76" customFormat="1" spans="1:6">
      <c r="A12524">
        <v>12871</v>
      </c>
      <c r="B12524">
        <v>622020243</v>
      </c>
      <c r="C12524" s="76">
        <v>2020</v>
      </c>
      <c r="D12524" s="76" t="s">
        <v>38</v>
      </c>
      <c r="E12524" s="76" t="s">
        <v>32</v>
      </c>
      <c r="F12524" s="76">
        <v>3</v>
      </c>
    </row>
    <row r="12525" s="76" customFormat="1" spans="1:6">
      <c r="A12525">
        <v>12874</v>
      </c>
      <c r="B12525">
        <v>622020260</v>
      </c>
      <c r="C12525" s="76">
        <v>2020</v>
      </c>
      <c r="D12525" s="76" t="s">
        <v>34</v>
      </c>
      <c r="E12525" s="76" t="s">
        <v>32</v>
      </c>
      <c r="F12525" s="76">
        <v>15</v>
      </c>
    </row>
    <row r="12526" s="76" customFormat="1" spans="1:6">
      <c r="A12526">
        <v>12873</v>
      </c>
      <c r="B12526">
        <v>622020260</v>
      </c>
      <c r="C12526" s="76">
        <v>2020</v>
      </c>
      <c r="D12526" s="76" t="s">
        <v>34</v>
      </c>
      <c r="E12526" s="76">
        <v>24</v>
      </c>
      <c r="F12526" s="76">
        <v>6</v>
      </c>
    </row>
    <row r="12527" s="76" customFormat="1" spans="1:6">
      <c r="A12527">
        <v>12878</v>
      </c>
      <c r="B12527">
        <v>622020260</v>
      </c>
      <c r="C12527" s="76">
        <v>2020</v>
      </c>
      <c r="D12527" s="76" t="s">
        <v>34</v>
      </c>
      <c r="E12527" s="76" t="s">
        <v>32</v>
      </c>
      <c r="F12527" s="76">
        <v>20</v>
      </c>
    </row>
    <row r="12528" s="76" customFormat="1" spans="1:6">
      <c r="A12528">
        <v>12875</v>
      </c>
      <c r="B12528">
        <v>622020260</v>
      </c>
      <c r="C12528" s="76">
        <v>2020</v>
      </c>
      <c r="D12528" s="76" t="s">
        <v>34</v>
      </c>
      <c r="E12528" s="76">
        <v>16</v>
      </c>
      <c r="F12528" s="76">
        <v>5</v>
      </c>
    </row>
    <row r="12529" s="76" customFormat="1" spans="1:6">
      <c r="A12529">
        <v>12876</v>
      </c>
      <c r="B12529">
        <v>622020260</v>
      </c>
      <c r="C12529" s="76">
        <v>2020</v>
      </c>
      <c r="D12529" s="76" t="s">
        <v>34</v>
      </c>
      <c r="E12529" s="76">
        <v>16</v>
      </c>
      <c r="F12529" s="76">
        <v>5</v>
      </c>
    </row>
    <row r="12530" s="76" customFormat="1" spans="1:6">
      <c r="A12530">
        <v>12877</v>
      </c>
      <c r="B12530">
        <v>622020260</v>
      </c>
      <c r="C12530" s="76">
        <v>2020</v>
      </c>
      <c r="D12530" s="76" t="s">
        <v>34</v>
      </c>
      <c r="E12530" s="76">
        <v>16</v>
      </c>
      <c r="F12530" s="76">
        <v>5</v>
      </c>
    </row>
    <row r="12531" s="76" customFormat="1" spans="1:6">
      <c r="A12531">
        <v>12872</v>
      </c>
      <c r="B12531">
        <v>622020260</v>
      </c>
      <c r="C12531" s="76">
        <v>2020</v>
      </c>
      <c r="D12531" s="76" t="s">
        <v>34</v>
      </c>
      <c r="E12531" s="76">
        <v>31</v>
      </c>
      <c r="F12531" s="76">
        <v>20</v>
      </c>
    </row>
    <row r="12532" s="76" customFormat="1" spans="1:6">
      <c r="A12532">
        <v>12881</v>
      </c>
      <c r="B12532">
        <v>622020270</v>
      </c>
      <c r="C12532" s="76">
        <v>2020</v>
      </c>
      <c r="D12532" s="76" t="s">
        <v>31</v>
      </c>
      <c r="E12532" s="76" t="s">
        <v>32</v>
      </c>
      <c r="F12532" s="76">
        <v>2.6</v>
      </c>
    </row>
    <row r="12533" s="76" customFormat="1" spans="1:6">
      <c r="A12533">
        <v>12886</v>
      </c>
      <c r="B12533">
        <v>622020270</v>
      </c>
      <c r="C12533" s="76">
        <v>2020</v>
      </c>
      <c r="D12533" s="76" t="s">
        <v>31</v>
      </c>
      <c r="E12533" s="76" t="s">
        <v>32</v>
      </c>
      <c r="F12533" s="76">
        <v>2</v>
      </c>
    </row>
    <row r="12534" s="76" customFormat="1" spans="1:6">
      <c r="A12534">
        <v>12887</v>
      </c>
      <c r="B12534">
        <v>622020270</v>
      </c>
      <c r="C12534" s="76">
        <v>2020</v>
      </c>
      <c r="D12534" s="76" t="s">
        <v>31</v>
      </c>
      <c r="E12534" s="76" t="s">
        <v>32</v>
      </c>
      <c r="F12534" s="76">
        <v>3</v>
      </c>
    </row>
    <row r="12535" s="76" customFormat="1" spans="1:6">
      <c r="A12535">
        <v>12890</v>
      </c>
      <c r="B12535">
        <v>622020270</v>
      </c>
      <c r="C12535" s="76">
        <v>2020</v>
      </c>
      <c r="D12535" s="76" t="s">
        <v>31</v>
      </c>
      <c r="E12535" s="76" t="s">
        <v>32</v>
      </c>
      <c r="F12535" s="76">
        <v>8.36</v>
      </c>
    </row>
    <row r="12536" s="76" customFormat="1" spans="1:6">
      <c r="A12536">
        <v>12883</v>
      </c>
      <c r="B12536">
        <v>622020270</v>
      </c>
      <c r="C12536" s="76">
        <v>2020</v>
      </c>
      <c r="D12536" s="76" t="s">
        <v>31</v>
      </c>
      <c r="E12536" s="76" t="s">
        <v>32</v>
      </c>
      <c r="F12536" s="76">
        <v>6.01</v>
      </c>
    </row>
    <row r="12537" s="76" customFormat="1" spans="1:6">
      <c r="A12537">
        <v>12885</v>
      </c>
      <c r="B12537">
        <v>622020270</v>
      </c>
      <c r="C12537" s="76">
        <v>2020</v>
      </c>
      <c r="D12537" s="76" t="s">
        <v>31</v>
      </c>
      <c r="E12537" s="76" t="s">
        <v>32</v>
      </c>
      <c r="F12537" s="76">
        <v>3</v>
      </c>
    </row>
    <row r="12538" s="76" customFormat="1" spans="1:6">
      <c r="A12538">
        <v>12884</v>
      </c>
      <c r="B12538">
        <v>622020270</v>
      </c>
      <c r="C12538" s="76">
        <v>2020</v>
      </c>
      <c r="D12538" s="76" t="s">
        <v>31</v>
      </c>
      <c r="E12538" s="76" t="s">
        <v>32</v>
      </c>
      <c r="F12538" s="76">
        <v>3.56</v>
      </c>
    </row>
    <row r="12539" s="76" customFormat="1" spans="1:6">
      <c r="A12539">
        <v>12879</v>
      </c>
      <c r="B12539">
        <v>622020270</v>
      </c>
      <c r="C12539" s="76">
        <v>2020</v>
      </c>
      <c r="D12539" s="76" t="s">
        <v>31</v>
      </c>
      <c r="E12539" s="76" t="s">
        <v>32</v>
      </c>
      <c r="F12539" s="76">
        <v>8.9</v>
      </c>
    </row>
    <row r="12540" s="76" customFormat="1" spans="1:6">
      <c r="A12540">
        <v>12880</v>
      </c>
      <c r="B12540">
        <v>622020270</v>
      </c>
      <c r="C12540" s="76">
        <v>2020</v>
      </c>
      <c r="D12540" s="76" t="s">
        <v>31</v>
      </c>
      <c r="E12540" s="76" t="s">
        <v>32</v>
      </c>
      <c r="F12540" s="76">
        <v>1.4</v>
      </c>
    </row>
    <row r="12541" s="76" customFormat="1" spans="1:6">
      <c r="A12541">
        <v>12889</v>
      </c>
      <c r="B12541">
        <v>622020270</v>
      </c>
      <c r="C12541" s="76">
        <v>2020</v>
      </c>
      <c r="D12541" s="76" t="s">
        <v>31</v>
      </c>
      <c r="E12541" s="76" t="s">
        <v>32</v>
      </c>
      <c r="F12541" s="76">
        <v>4.9</v>
      </c>
    </row>
    <row r="12542" s="76" customFormat="1" spans="1:6">
      <c r="A12542">
        <v>12891</v>
      </c>
      <c r="B12542">
        <v>622020270</v>
      </c>
      <c r="C12542" s="76">
        <v>2020</v>
      </c>
      <c r="D12542" s="76" t="s">
        <v>31</v>
      </c>
      <c r="E12542" s="76" t="s">
        <v>32</v>
      </c>
      <c r="F12542" s="76">
        <v>3</v>
      </c>
    </row>
    <row r="12543" s="76" customFormat="1" spans="1:6">
      <c r="A12543">
        <v>12888</v>
      </c>
      <c r="B12543">
        <v>622020270</v>
      </c>
      <c r="C12543" s="76">
        <v>2020</v>
      </c>
      <c r="D12543" s="76" t="s">
        <v>31</v>
      </c>
      <c r="E12543" s="76" t="s">
        <v>32</v>
      </c>
      <c r="F12543" s="76">
        <v>7.4</v>
      </c>
    </row>
    <row r="12544" s="76" customFormat="1" spans="1:6">
      <c r="A12544">
        <v>12894</v>
      </c>
      <c r="B12544">
        <v>622021110</v>
      </c>
      <c r="C12544" s="76">
        <v>2021</v>
      </c>
      <c r="D12544" s="76" t="s">
        <v>40</v>
      </c>
      <c r="E12544" s="76" t="s">
        <v>32</v>
      </c>
      <c r="F12544" s="76">
        <v>1.5</v>
      </c>
    </row>
    <row r="12545" s="76" customFormat="1" spans="1:6">
      <c r="A12545">
        <v>12896</v>
      </c>
      <c r="B12545">
        <v>622021110</v>
      </c>
      <c r="C12545" s="76">
        <v>2021</v>
      </c>
      <c r="D12545" s="76" t="s">
        <v>40</v>
      </c>
      <c r="E12545" s="76" t="s">
        <v>32</v>
      </c>
      <c r="F12545" s="76">
        <v>5.2</v>
      </c>
    </row>
    <row r="12546" s="76" customFormat="1" spans="1:6">
      <c r="A12546">
        <v>12893</v>
      </c>
      <c r="B12546">
        <v>622021110</v>
      </c>
      <c r="C12546" s="76">
        <v>2021</v>
      </c>
      <c r="D12546" s="76" t="s">
        <v>40</v>
      </c>
      <c r="E12546" s="76" t="s">
        <v>32</v>
      </c>
      <c r="F12546" s="76">
        <v>2.86</v>
      </c>
    </row>
    <row r="12547" s="76" customFormat="1" spans="1:6">
      <c r="A12547">
        <v>12895</v>
      </c>
      <c r="B12547">
        <v>622021110</v>
      </c>
      <c r="C12547" s="76">
        <v>2021</v>
      </c>
      <c r="D12547" s="76" t="s">
        <v>40</v>
      </c>
      <c r="E12547" s="76" t="s">
        <v>32</v>
      </c>
      <c r="F12547" s="76">
        <v>0.2</v>
      </c>
    </row>
    <row r="12548" s="76" customFormat="1" spans="1:6">
      <c r="A12548">
        <v>12892</v>
      </c>
      <c r="B12548">
        <v>622021110</v>
      </c>
      <c r="C12548" s="76">
        <v>2021</v>
      </c>
      <c r="D12548" s="76" t="s">
        <v>40</v>
      </c>
      <c r="E12548" s="76">
        <v>3</v>
      </c>
      <c r="F12548" s="76">
        <v>5.2</v>
      </c>
    </row>
    <row r="12549" s="76" customFormat="1" spans="1:6">
      <c r="A12549">
        <v>12897</v>
      </c>
      <c r="B12549">
        <v>622021241</v>
      </c>
      <c r="C12549" s="76">
        <v>2021</v>
      </c>
      <c r="D12549" s="76" t="s">
        <v>33</v>
      </c>
      <c r="E12549" s="76" t="s">
        <v>32</v>
      </c>
      <c r="F12549" s="76">
        <v>0.9</v>
      </c>
    </row>
    <row r="12550" s="76" customFormat="1" spans="1:6">
      <c r="A12550">
        <v>12899</v>
      </c>
      <c r="B12550">
        <v>622021242</v>
      </c>
      <c r="C12550" s="76">
        <v>2021</v>
      </c>
      <c r="D12550" s="76" t="s">
        <v>35</v>
      </c>
      <c r="E12550" s="76" t="s">
        <v>32</v>
      </c>
      <c r="F12550" s="76">
        <v>0.9</v>
      </c>
    </row>
    <row r="12551" s="76" customFormat="1" spans="1:6">
      <c r="A12551">
        <v>12900</v>
      </c>
      <c r="B12551">
        <v>622021242</v>
      </c>
      <c r="C12551" s="76">
        <v>2021</v>
      </c>
      <c r="D12551" s="76" t="s">
        <v>35</v>
      </c>
      <c r="E12551" s="76" t="s">
        <v>32</v>
      </c>
      <c r="F12551" s="76">
        <v>1.2</v>
      </c>
    </row>
    <row r="12552" s="76" customFormat="1" spans="1:6">
      <c r="A12552">
        <v>12902</v>
      </c>
      <c r="B12552">
        <v>622021242</v>
      </c>
      <c r="C12552" s="76">
        <v>2021</v>
      </c>
      <c r="D12552" s="76" t="s">
        <v>35</v>
      </c>
      <c r="E12552" s="76" t="s">
        <v>32</v>
      </c>
      <c r="F12552" s="76">
        <v>1.5</v>
      </c>
    </row>
    <row r="12553" s="76" customFormat="1" spans="1:6">
      <c r="A12553">
        <v>12898</v>
      </c>
      <c r="B12553">
        <v>622021242</v>
      </c>
      <c r="C12553" s="76">
        <v>2021</v>
      </c>
      <c r="D12553" s="76" t="s">
        <v>35</v>
      </c>
      <c r="E12553" s="76" t="s">
        <v>32</v>
      </c>
      <c r="F12553" s="76">
        <v>1.8</v>
      </c>
    </row>
    <row r="12554" s="76" customFormat="1" spans="1:6">
      <c r="A12554">
        <v>12901</v>
      </c>
      <c r="B12554">
        <v>622021242</v>
      </c>
      <c r="C12554" s="76">
        <v>2021</v>
      </c>
      <c r="D12554" s="76" t="s">
        <v>35</v>
      </c>
      <c r="E12554" s="76" t="s">
        <v>32</v>
      </c>
      <c r="F12554" s="76">
        <v>0.6</v>
      </c>
    </row>
    <row r="12555" s="76" customFormat="1" spans="1:6">
      <c r="A12555">
        <v>12903</v>
      </c>
      <c r="B12555">
        <v>622021260</v>
      </c>
      <c r="C12555" s="76">
        <v>2021</v>
      </c>
      <c r="D12555" s="76" t="s">
        <v>34</v>
      </c>
      <c r="E12555" s="76">
        <v>59</v>
      </c>
      <c r="F12555" s="76">
        <v>20</v>
      </c>
    </row>
    <row r="12556" s="76" customFormat="1" spans="1:6">
      <c r="A12556">
        <v>12909</v>
      </c>
      <c r="B12556">
        <v>622021260</v>
      </c>
      <c r="C12556" s="76">
        <v>2021</v>
      </c>
      <c r="D12556" s="76" t="s">
        <v>34</v>
      </c>
      <c r="E12556" s="76">
        <v>13</v>
      </c>
      <c r="F12556" s="76">
        <v>4.68</v>
      </c>
    </row>
    <row r="12557" s="76" customFormat="1" spans="1:6">
      <c r="A12557">
        <v>12948</v>
      </c>
      <c r="B12557">
        <v>622021260</v>
      </c>
      <c r="C12557" s="76">
        <v>2021</v>
      </c>
      <c r="D12557" s="76" t="s">
        <v>34</v>
      </c>
      <c r="E12557" s="76" t="s">
        <v>32</v>
      </c>
      <c r="F12557" s="76">
        <v>2.5</v>
      </c>
    </row>
    <row r="12558" s="76" customFormat="1" spans="1:6">
      <c r="A12558">
        <v>12934</v>
      </c>
      <c r="B12558">
        <v>622021260</v>
      </c>
      <c r="C12558" s="76">
        <v>2021</v>
      </c>
      <c r="D12558" s="76" t="s">
        <v>34</v>
      </c>
      <c r="E12558" s="76" t="s">
        <v>32</v>
      </c>
      <c r="F12558" s="76">
        <v>10</v>
      </c>
    </row>
    <row r="12559" s="76" customFormat="1" spans="1:6">
      <c r="A12559">
        <v>12933</v>
      </c>
      <c r="B12559">
        <v>622021260</v>
      </c>
      <c r="C12559" s="76">
        <v>2021</v>
      </c>
      <c r="D12559" s="76" t="s">
        <v>34</v>
      </c>
      <c r="E12559" s="76" t="s">
        <v>32</v>
      </c>
      <c r="F12559" s="76">
        <v>10</v>
      </c>
    </row>
    <row r="12560" s="76" customFormat="1" spans="1:6">
      <c r="A12560">
        <v>12923</v>
      </c>
      <c r="B12560">
        <v>622021260</v>
      </c>
      <c r="C12560" s="76">
        <v>2021</v>
      </c>
      <c r="D12560" s="76" t="s">
        <v>34</v>
      </c>
      <c r="E12560" s="76" t="s">
        <v>32</v>
      </c>
      <c r="F12560" s="76">
        <v>15</v>
      </c>
    </row>
    <row r="12561" s="76" customFormat="1" spans="1:6">
      <c r="A12561">
        <v>12922</v>
      </c>
      <c r="B12561">
        <v>622021260</v>
      </c>
      <c r="C12561" s="76">
        <v>2021</v>
      </c>
      <c r="D12561" s="76" t="s">
        <v>34</v>
      </c>
      <c r="E12561" s="76" t="s">
        <v>32</v>
      </c>
      <c r="F12561" s="76">
        <v>10</v>
      </c>
    </row>
    <row r="12562" s="76" customFormat="1" spans="1:6">
      <c r="A12562">
        <v>12920</v>
      </c>
      <c r="B12562">
        <v>622021260</v>
      </c>
      <c r="C12562" s="76">
        <v>2021</v>
      </c>
      <c r="D12562" s="76" t="s">
        <v>34</v>
      </c>
      <c r="E12562" s="76" t="s">
        <v>32</v>
      </c>
      <c r="F12562" s="76">
        <v>5</v>
      </c>
    </row>
    <row r="12563" s="76" customFormat="1" spans="1:6">
      <c r="A12563">
        <v>12932</v>
      </c>
      <c r="B12563">
        <v>622021260</v>
      </c>
      <c r="C12563" s="76">
        <v>2021</v>
      </c>
      <c r="D12563" s="76" t="s">
        <v>34</v>
      </c>
      <c r="E12563" s="76" t="s">
        <v>32</v>
      </c>
      <c r="F12563" s="76">
        <v>10</v>
      </c>
    </row>
    <row r="12564" s="76" customFormat="1" spans="1:6">
      <c r="A12564">
        <v>12924</v>
      </c>
      <c r="B12564">
        <v>622021260</v>
      </c>
      <c r="C12564" s="76">
        <v>2021</v>
      </c>
      <c r="D12564" s="76" t="s">
        <v>34</v>
      </c>
      <c r="E12564" s="76" t="s">
        <v>32</v>
      </c>
      <c r="F12564" s="76">
        <v>10</v>
      </c>
    </row>
    <row r="12565" s="76" customFormat="1" spans="1:6">
      <c r="A12565">
        <v>12921</v>
      </c>
      <c r="B12565">
        <v>622021260</v>
      </c>
      <c r="C12565" s="76">
        <v>2021</v>
      </c>
      <c r="D12565" s="76" t="s">
        <v>34</v>
      </c>
      <c r="E12565" s="76" t="s">
        <v>32</v>
      </c>
      <c r="F12565" s="76">
        <v>5</v>
      </c>
    </row>
    <row r="12566" s="76" customFormat="1" spans="1:6">
      <c r="A12566">
        <v>12907</v>
      </c>
      <c r="B12566">
        <v>622021260</v>
      </c>
      <c r="C12566" s="76">
        <v>2021</v>
      </c>
      <c r="D12566" s="76" t="s">
        <v>34</v>
      </c>
      <c r="E12566" s="76">
        <v>61</v>
      </c>
      <c r="F12566" s="76">
        <v>20</v>
      </c>
    </row>
    <row r="12567" s="76" customFormat="1" spans="1:6">
      <c r="A12567">
        <v>12905</v>
      </c>
      <c r="B12567">
        <v>622021260</v>
      </c>
      <c r="C12567" s="76">
        <v>2021</v>
      </c>
      <c r="D12567" s="76" t="s">
        <v>34</v>
      </c>
      <c r="E12567" s="76">
        <v>11</v>
      </c>
      <c r="F12567" s="76">
        <v>5</v>
      </c>
    </row>
    <row r="12568" s="76" customFormat="1" spans="1:6">
      <c r="A12568">
        <v>12926</v>
      </c>
      <c r="B12568">
        <v>622021260</v>
      </c>
      <c r="C12568" s="76">
        <v>2021</v>
      </c>
      <c r="D12568" s="76" t="s">
        <v>34</v>
      </c>
      <c r="E12568" s="76" t="s">
        <v>32</v>
      </c>
      <c r="F12568" s="76">
        <v>10</v>
      </c>
    </row>
    <row r="12569" s="76" customFormat="1" spans="1:6">
      <c r="A12569">
        <v>12904</v>
      </c>
      <c r="B12569">
        <v>622021260</v>
      </c>
      <c r="C12569" s="76">
        <v>2021</v>
      </c>
      <c r="D12569" s="76" t="s">
        <v>34</v>
      </c>
      <c r="E12569" s="76">
        <v>60</v>
      </c>
      <c r="F12569" s="76">
        <v>20</v>
      </c>
    </row>
    <row r="12570" s="76" customFormat="1" spans="1:6">
      <c r="A12570">
        <v>12912</v>
      </c>
      <c r="B12570">
        <v>622021260</v>
      </c>
      <c r="C12570" s="76">
        <v>2021</v>
      </c>
      <c r="D12570" s="76" t="s">
        <v>34</v>
      </c>
      <c r="E12570" s="76">
        <v>14</v>
      </c>
      <c r="F12570" s="76">
        <v>5</v>
      </c>
    </row>
    <row r="12571" s="76" customFormat="1" spans="1:6">
      <c r="A12571">
        <v>12925</v>
      </c>
      <c r="B12571">
        <v>622021260</v>
      </c>
      <c r="C12571" s="76">
        <v>2021</v>
      </c>
      <c r="D12571" s="76" t="s">
        <v>34</v>
      </c>
      <c r="E12571" s="76">
        <v>22</v>
      </c>
      <c r="F12571" s="76">
        <v>10</v>
      </c>
    </row>
    <row r="12572" s="76" customFormat="1" spans="1:6">
      <c r="A12572">
        <v>12916</v>
      </c>
      <c r="B12572">
        <v>622021260</v>
      </c>
      <c r="C12572" s="76">
        <v>2021</v>
      </c>
      <c r="D12572" s="76" t="s">
        <v>34</v>
      </c>
      <c r="E12572" s="76">
        <v>17</v>
      </c>
      <c r="F12572" s="76">
        <v>5.1</v>
      </c>
    </row>
    <row r="12573" s="76" customFormat="1" spans="1:6">
      <c r="A12573">
        <v>12914</v>
      </c>
      <c r="B12573">
        <v>622021260</v>
      </c>
      <c r="C12573" s="76">
        <v>2021</v>
      </c>
      <c r="D12573" s="76" t="s">
        <v>34</v>
      </c>
      <c r="E12573" s="76">
        <v>17</v>
      </c>
      <c r="F12573" s="76">
        <v>5.1</v>
      </c>
    </row>
    <row r="12574" s="76" customFormat="1" spans="1:6">
      <c r="A12574">
        <v>12915</v>
      </c>
      <c r="B12574">
        <v>622021260</v>
      </c>
      <c r="C12574" s="76">
        <v>2021</v>
      </c>
      <c r="D12574" s="76" t="s">
        <v>34</v>
      </c>
      <c r="E12574" s="76">
        <v>17</v>
      </c>
      <c r="F12574" s="76">
        <v>5.1</v>
      </c>
    </row>
    <row r="12575" s="76" customFormat="1" spans="1:6">
      <c r="A12575">
        <v>12911</v>
      </c>
      <c r="B12575">
        <v>622021260</v>
      </c>
      <c r="C12575" s="76">
        <v>2021</v>
      </c>
      <c r="D12575" s="76" t="s">
        <v>34</v>
      </c>
      <c r="E12575" s="76">
        <v>17</v>
      </c>
      <c r="F12575" s="76">
        <v>6.03</v>
      </c>
    </row>
    <row r="12576" s="76" customFormat="1" spans="1:6">
      <c r="A12576">
        <v>12919</v>
      </c>
      <c r="B12576">
        <v>622021260</v>
      </c>
      <c r="C12576" s="76">
        <v>2021</v>
      </c>
      <c r="D12576" s="76" t="s">
        <v>34</v>
      </c>
      <c r="E12576" s="76" t="s">
        <v>32</v>
      </c>
      <c r="F12576" s="76">
        <v>10</v>
      </c>
    </row>
    <row r="12577" s="76" customFormat="1" spans="1:6">
      <c r="A12577">
        <v>12947</v>
      </c>
      <c r="B12577">
        <v>622021260</v>
      </c>
      <c r="C12577" s="76">
        <v>2021</v>
      </c>
      <c r="D12577" s="76" t="s">
        <v>34</v>
      </c>
      <c r="E12577" s="76" t="s">
        <v>32</v>
      </c>
      <c r="F12577" s="76">
        <v>1.8</v>
      </c>
    </row>
    <row r="12578" s="76" customFormat="1" spans="1:6">
      <c r="A12578">
        <v>12937</v>
      </c>
      <c r="B12578">
        <v>622021260</v>
      </c>
      <c r="C12578" s="76">
        <v>2021</v>
      </c>
      <c r="D12578" s="76" t="s">
        <v>34</v>
      </c>
      <c r="E12578" s="76" t="s">
        <v>32</v>
      </c>
      <c r="F12578" s="76">
        <v>1</v>
      </c>
    </row>
    <row r="12579" s="76" customFormat="1" spans="1:6">
      <c r="A12579">
        <v>12936</v>
      </c>
      <c r="B12579">
        <v>622021260</v>
      </c>
      <c r="C12579" s="76">
        <v>2021</v>
      </c>
      <c r="D12579" s="76" t="s">
        <v>34</v>
      </c>
      <c r="E12579" s="76" t="s">
        <v>32</v>
      </c>
      <c r="F12579" s="76">
        <v>1</v>
      </c>
    </row>
    <row r="12580" s="76" customFormat="1" spans="1:6">
      <c r="A12580">
        <v>12940</v>
      </c>
      <c r="B12580">
        <v>622021260</v>
      </c>
      <c r="C12580" s="76">
        <v>2021</v>
      </c>
      <c r="D12580" s="76" t="s">
        <v>34</v>
      </c>
      <c r="E12580" s="76" t="s">
        <v>32</v>
      </c>
      <c r="F12580" s="76">
        <v>2.5</v>
      </c>
    </row>
    <row r="12581" s="76" customFormat="1" spans="1:6">
      <c r="A12581">
        <v>12939</v>
      </c>
      <c r="B12581">
        <v>622021260</v>
      </c>
      <c r="C12581" s="76">
        <v>2021</v>
      </c>
      <c r="D12581" s="76" t="s">
        <v>34</v>
      </c>
      <c r="E12581" s="76" t="s">
        <v>32</v>
      </c>
      <c r="F12581" s="76">
        <v>2.5</v>
      </c>
    </row>
    <row r="12582" s="76" customFormat="1" spans="1:6">
      <c r="A12582">
        <v>12943</v>
      </c>
      <c r="B12582">
        <v>622021260</v>
      </c>
      <c r="C12582" s="76">
        <v>2021</v>
      </c>
      <c r="D12582" s="76" t="s">
        <v>34</v>
      </c>
      <c r="E12582" s="76" t="s">
        <v>32</v>
      </c>
      <c r="F12582" s="76">
        <v>2.5</v>
      </c>
    </row>
    <row r="12583" s="76" customFormat="1" spans="1:6">
      <c r="A12583">
        <v>12941</v>
      </c>
      <c r="B12583">
        <v>622021260</v>
      </c>
      <c r="C12583" s="76">
        <v>2021</v>
      </c>
      <c r="D12583" s="76" t="s">
        <v>34</v>
      </c>
      <c r="E12583" s="76" t="s">
        <v>32</v>
      </c>
      <c r="F12583" s="76">
        <v>2.5</v>
      </c>
    </row>
    <row r="12584" s="76" customFormat="1" spans="1:6">
      <c r="A12584">
        <v>12942</v>
      </c>
      <c r="B12584">
        <v>622021260</v>
      </c>
      <c r="C12584" s="76">
        <v>2021</v>
      </c>
      <c r="D12584" s="76" t="s">
        <v>34</v>
      </c>
      <c r="E12584" s="76" t="s">
        <v>32</v>
      </c>
      <c r="F12584" s="76">
        <v>2.5</v>
      </c>
    </row>
    <row r="12585" s="76" customFormat="1" spans="1:6">
      <c r="A12585">
        <v>12913</v>
      </c>
      <c r="B12585">
        <v>622021260</v>
      </c>
      <c r="C12585" s="76">
        <v>2021</v>
      </c>
      <c r="D12585" s="76" t="s">
        <v>34</v>
      </c>
      <c r="E12585" s="76">
        <v>36</v>
      </c>
      <c r="F12585" s="76">
        <v>10.08</v>
      </c>
    </row>
    <row r="12586" s="76" customFormat="1" spans="1:6">
      <c r="A12586">
        <v>12927</v>
      </c>
      <c r="B12586">
        <v>622021260</v>
      </c>
      <c r="C12586" s="76">
        <v>2021</v>
      </c>
      <c r="D12586" s="76" t="s">
        <v>34</v>
      </c>
      <c r="E12586" s="76" t="s">
        <v>32</v>
      </c>
      <c r="F12586" s="76">
        <v>5.4</v>
      </c>
    </row>
    <row r="12587" s="76" customFormat="1" spans="1:6">
      <c r="A12587">
        <v>12906</v>
      </c>
      <c r="B12587">
        <v>622021260</v>
      </c>
      <c r="C12587" s="76">
        <v>2021</v>
      </c>
      <c r="D12587" s="76" t="s">
        <v>34</v>
      </c>
      <c r="E12587" s="76">
        <v>29</v>
      </c>
      <c r="F12587" s="76">
        <v>10.08</v>
      </c>
    </row>
    <row r="12588" s="76" customFormat="1" spans="1:6">
      <c r="A12588">
        <v>12908</v>
      </c>
      <c r="B12588">
        <v>622021260</v>
      </c>
      <c r="C12588" s="76">
        <v>2021</v>
      </c>
      <c r="D12588" s="76" t="s">
        <v>34</v>
      </c>
      <c r="E12588" s="76">
        <v>1</v>
      </c>
      <c r="F12588" s="76">
        <v>0.45</v>
      </c>
    </row>
    <row r="12589" s="76" customFormat="1" spans="1:6">
      <c r="A12589">
        <v>12910</v>
      </c>
      <c r="B12589">
        <v>622021260</v>
      </c>
      <c r="C12589" s="76">
        <v>2021</v>
      </c>
      <c r="D12589" s="76" t="s">
        <v>34</v>
      </c>
      <c r="E12589" s="76">
        <v>42</v>
      </c>
      <c r="F12589" s="76">
        <v>15</v>
      </c>
    </row>
    <row r="12590" s="76" customFormat="1" spans="1:6">
      <c r="A12590">
        <v>12930</v>
      </c>
      <c r="B12590">
        <v>622021260</v>
      </c>
      <c r="C12590" s="76">
        <v>2021</v>
      </c>
      <c r="D12590" s="76" t="s">
        <v>34</v>
      </c>
      <c r="E12590" s="76" t="s">
        <v>32</v>
      </c>
      <c r="F12590" s="76">
        <v>20</v>
      </c>
    </row>
    <row r="12591" s="76" customFormat="1" spans="1:6">
      <c r="A12591">
        <v>12945</v>
      </c>
      <c r="B12591">
        <v>622021260</v>
      </c>
      <c r="C12591" s="76">
        <v>2021</v>
      </c>
      <c r="D12591" s="76" t="s">
        <v>34</v>
      </c>
      <c r="E12591" s="76" t="s">
        <v>32</v>
      </c>
      <c r="F12591" s="76">
        <v>4.52</v>
      </c>
    </row>
    <row r="12592" s="76" customFormat="1" spans="1:6">
      <c r="A12592">
        <v>12929</v>
      </c>
      <c r="B12592">
        <v>622021260</v>
      </c>
      <c r="C12592" s="76">
        <v>2021</v>
      </c>
      <c r="D12592" s="76" t="s">
        <v>34</v>
      </c>
      <c r="E12592" s="76" t="s">
        <v>32</v>
      </c>
      <c r="F12592" s="76">
        <v>10</v>
      </c>
    </row>
    <row r="12593" s="76" customFormat="1" spans="1:6">
      <c r="A12593">
        <v>12938</v>
      </c>
      <c r="B12593">
        <v>622021260</v>
      </c>
      <c r="C12593" s="76">
        <v>2021</v>
      </c>
      <c r="D12593" s="76" t="s">
        <v>34</v>
      </c>
      <c r="E12593" s="76" t="s">
        <v>32</v>
      </c>
      <c r="F12593" s="76">
        <v>4</v>
      </c>
    </row>
    <row r="12594" s="76" customFormat="1" spans="1:6">
      <c r="A12594">
        <v>12918</v>
      </c>
      <c r="B12594">
        <v>622021260</v>
      </c>
      <c r="C12594" s="76">
        <v>2021</v>
      </c>
      <c r="D12594" s="76" t="s">
        <v>34</v>
      </c>
      <c r="E12594" s="76">
        <v>13</v>
      </c>
      <c r="F12594" s="76">
        <v>4.5</v>
      </c>
    </row>
    <row r="12595" s="76" customFormat="1" spans="1:6">
      <c r="A12595">
        <v>12946</v>
      </c>
      <c r="B12595">
        <v>622021260</v>
      </c>
      <c r="C12595" s="76">
        <v>2021</v>
      </c>
      <c r="D12595" s="76" t="s">
        <v>34</v>
      </c>
      <c r="E12595" s="76" t="s">
        <v>32</v>
      </c>
      <c r="F12595" s="76">
        <v>5</v>
      </c>
    </row>
    <row r="12596" s="76" customFormat="1" spans="1:6">
      <c r="A12596">
        <v>12931</v>
      </c>
      <c r="B12596">
        <v>622021260</v>
      </c>
      <c r="C12596" s="76">
        <v>2021</v>
      </c>
      <c r="D12596" s="76" t="s">
        <v>34</v>
      </c>
      <c r="E12596" s="76" t="s">
        <v>32</v>
      </c>
      <c r="F12596" s="76">
        <v>10</v>
      </c>
    </row>
    <row r="12597" s="76" customFormat="1" spans="1:6">
      <c r="A12597">
        <v>12935</v>
      </c>
      <c r="B12597">
        <v>622021260</v>
      </c>
      <c r="C12597" s="76">
        <v>2021</v>
      </c>
      <c r="D12597" s="76" t="s">
        <v>34</v>
      </c>
      <c r="E12597" s="76" t="s">
        <v>32</v>
      </c>
      <c r="F12597" s="76">
        <v>5</v>
      </c>
    </row>
    <row r="12598" s="76" customFormat="1" spans="1:6">
      <c r="A12598">
        <v>12944</v>
      </c>
      <c r="B12598">
        <v>622021260</v>
      </c>
      <c r="C12598" s="76">
        <v>2021</v>
      </c>
      <c r="D12598" s="76" t="s">
        <v>34</v>
      </c>
      <c r="E12598" s="76" t="s">
        <v>32</v>
      </c>
      <c r="F12598" s="76">
        <v>2.5</v>
      </c>
    </row>
    <row r="12599" s="76" customFormat="1" spans="1:6">
      <c r="A12599">
        <v>12917</v>
      </c>
      <c r="B12599">
        <v>622021260</v>
      </c>
      <c r="C12599" s="76">
        <v>2021</v>
      </c>
      <c r="D12599" s="76" t="s">
        <v>34</v>
      </c>
      <c r="E12599" s="76" t="s">
        <v>32</v>
      </c>
      <c r="F12599" s="76">
        <v>20</v>
      </c>
    </row>
    <row r="12600" s="76" customFormat="1" spans="1:6">
      <c r="A12600">
        <v>12928</v>
      </c>
      <c r="B12600">
        <v>622021260</v>
      </c>
      <c r="C12600" s="76">
        <v>2021</v>
      </c>
      <c r="D12600" s="76" t="s">
        <v>34</v>
      </c>
      <c r="E12600" s="76" t="s">
        <v>32</v>
      </c>
      <c r="F12600" s="76">
        <v>5</v>
      </c>
    </row>
    <row r="12601" s="76" customFormat="1" spans="1:6">
      <c r="A12601">
        <v>12953</v>
      </c>
      <c r="B12601">
        <v>622021270</v>
      </c>
      <c r="C12601" s="76">
        <v>2021</v>
      </c>
      <c r="D12601" s="76" t="s">
        <v>31</v>
      </c>
      <c r="E12601" s="76" t="s">
        <v>32</v>
      </c>
      <c r="F12601" s="76">
        <v>10</v>
      </c>
    </row>
    <row r="12602" s="76" customFormat="1" spans="1:6">
      <c r="A12602">
        <v>12961</v>
      </c>
      <c r="B12602">
        <v>622021270</v>
      </c>
      <c r="C12602" s="76">
        <v>2021</v>
      </c>
      <c r="D12602" s="76" t="s">
        <v>31</v>
      </c>
      <c r="E12602" s="76" t="s">
        <v>32</v>
      </c>
      <c r="F12602" s="76">
        <v>5</v>
      </c>
    </row>
    <row r="12603" s="76" customFormat="1" spans="1:6">
      <c r="A12603">
        <v>12956</v>
      </c>
      <c r="B12603">
        <v>622021270</v>
      </c>
      <c r="C12603" s="76">
        <v>2021</v>
      </c>
      <c r="D12603" s="76" t="s">
        <v>31</v>
      </c>
      <c r="E12603" s="76" t="s">
        <v>32</v>
      </c>
      <c r="F12603" s="76">
        <v>1.4</v>
      </c>
    </row>
    <row r="12604" s="76" customFormat="1" spans="1:6">
      <c r="A12604">
        <v>12955</v>
      </c>
      <c r="B12604">
        <v>622021270</v>
      </c>
      <c r="C12604" s="76">
        <v>2021</v>
      </c>
      <c r="D12604" s="76" t="s">
        <v>31</v>
      </c>
      <c r="E12604" s="76" t="s">
        <v>32</v>
      </c>
      <c r="F12604" s="76">
        <v>5</v>
      </c>
    </row>
    <row r="12605" s="76" customFormat="1" spans="1:6">
      <c r="A12605">
        <v>12964</v>
      </c>
      <c r="B12605">
        <v>622021270</v>
      </c>
      <c r="C12605" s="76">
        <v>2021</v>
      </c>
      <c r="D12605" s="76" t="s">
        <v>31</v>
      </c>
      <c r="E12605" s="76" t="s">
        <v>32</v>
      </c>
      <c r="F12605" s="76">
        <v>5</v>
      </c>
    </row>
    <row r="12606" s="76" customFormat="1" spans="1:6">
      <c r="A12606">
        <v>12962</v>
      </c>
      <c r="B12606">
        <v>622021270</v>
      </c>
      <c r="C12606" s="76">
        <v>2021</v>
      </c>
      <c r="D12606" s="76" t="s">
        <v>31</v>
      </c>
      <c r="E12606" s="76" t="s">
        <v>32</v>
      </c>
      <c r="F12606" s="76">
        <v>4</v>
      </c>
    </row>
    <row r="12607" s="76" customFormat="1" spans="1:6">
      <c r="A12607">
        <v>12949</v>
      </c>
      <c r="B12607">
        <v>622021270</v>
      </c>
      <c r="C12607" s="76">
        <v>2021</v>
      </c>
      <c r="D12607" s="76" t="s">
        <v>31</v>
      </c>
      <c r="E12607" s="76">
        <v>1</v>
      </c>
      <c r="F12607" s="76">
        <v>7</v>
      </c>
    </row>
    <row r="12608" s="76" customFormat="1" spans="1:6">
      <c r="A12608">
        <v>12950</v>
      </c>
      <c r="B12608">
        <v>622021270</v>
      </c>
      <c r="C12608" s="76">
        <v>2021</v>
      </c>
      <c r="D12608" s="76" t="s">
        <v>31</v>
      </c>
      <c r="E12608" s="76">
        <v>1</v>
      </c>
      <c r="F12608" s="76">
        <v>2.5</v>
      </c>
    </row>
    <row r="12609" s="76" customFormat="1" spans="1:6">
      <c r="A12609">
        <v>12957</v>
      </c>
      <c r="B12609">
        <v>622021270</v>
      </c>
      <c r="C12609" s="76">
        <v>2021</v>
      </c>
      <c r="D12609" s="76" t="s">
        <v>31</v>
      </c>
      <c r="E12609" s="76" t="s">
        <v>32</v>
      </c>
      <c r="F12609" s="76">
        <v>10</v>
      </c>
    </row>
    <row r="12610" s="76" customFormat="1" spans="1:6">
      <c r="A12610">
        <v>12952</v>
      </c>
      <c r="B12610">
        <v>622021270</v>
      </c>
      <c r="C12610" s="76">
        <v>2021</v>
      </c>
      <c r="D12610" s="76" t="s">
        <v>31</v>
      </c>
      <c r="E12610" s="76" t="s">
        <v>32</v>
      </c>
      <c r="F12610" s="76">
        <v>10</v>
      </c>
    </row>
    <row r="12611" s="76" customFormat="1" spans="1:6">
      <c r="A12611">
        <v>12960</v>
      </c>
      <c r="B12611">
        <v>622021270</v>
      </c>
      <c r="C12611" s="76">
        <v>2021</v>
      </c>
      <c r="D12611" s="76" t="s">
        <v>31</v>
      </c>
      <c r="E12611" s="76" t="s">
        <v>32</v>
      </c>
      <c r="F12611" s="76">
        <v>3.6</v>
      </c>
    </row>
    <row r="12612" s="76" customFormat="1" spans="1:6">
      <c r="A12612">
        <v>12959</v>
      </c>
      <c r="B12612">
        <v>622021270</v>
      </c>
      <c r="C12612" s="76">
        <v>2021</v>
      </c>
      <c r="D12612" s="76" t="s">
        <v>31</v>
      </c>
      <c r="E12612" s="76" t="s">
        <v>32</v>
      </c>
      <c r="F12612" s="76">
        <v>4</v>
      </c>
    </row>
    <row r="12613" s="76" customFormat="1" spans="1:6">
      <c r="A12613">
        <v>12958</v>
      </c>
      <c r="B12613">
        <v>622021270</v>
      </c>
      <c r="C12613" s="76">
        <v>2021</v>
      </c>
      <c r="D12613" s="76" t="s">
        <v>31</v>
      </c>
      <c r="E12613" s="76" t="s">
        <v>32</v>
      </c>
      <c r="F12613" s="76">
        <v>4</v>
      </c>
    </row>
    <row r="12614" s="76" customFormat="1" spans="1:6">
      <c r="A12614">
        <v>12967</v>
      </c>
      <c r="B12614">
        <v>622021270</v>
      </c>
      <c r="C12614" s="76">
        <v>2021</v>
      </c>
      <c r="D12614" s="76" t="s">
        <v>31</v>
      </c>
      <c r="E12614" s="76" t="s">
        <v>32</v>
      </c>
      <c r="F12614" s="76">
        <v>5</v>
      </c>
    </row>
    <row r="12615" s="76" customFormat="1" spans="1:6">
      <c r="A12615">
        <v>12951</v>
      </c>
      <c r="B12615">
        <v>622021270</v>
      </c>
      <c r="C12615" s="76">
        <v>2021</v>
      </c>
      <c r="D12615" s="76" t="s">
        <v>31</v>
      </c>
      <c r="E12615" s="76" t="s">
        <v>32</v>
      </c>
      <c r="F12615" s="76">
        <v>9.95</v>
      </c>
    </row>
    <row r="12616" s="76" customFormat="1" spans="1:6">
      <c r="A12616">
        <v>12965</v>
      </c>
      <c r="B12616">
        <v>622021270</v>
      </c>
      <c r="C12616" s="76">
        <v>2021</v>
      </c>
      <c r="D12616" s="76" t="s">
        <v>31</v>
      </c>
      <c r="E12616" s="76" t="s">
        <v>32</v>
      </c>
      <c r="F12616" s="76">
        <v>2</v>
      </c>
    </row>
    <row r="12617" s="76" customFormat="1" spans="1:6">
      <c r="A12617">
        <v>12963</v>
      </c>
      <c r="B12617">
        <v>622021270</v>
      </c>
      <c r="C12617" s="76">
        <v>2021</v>
      </c>
      <c r="D12617" s="76" t="s">
        <v>31</v>
      </c>
      <c r="E12617" s="76" t="s">
        <v>32</v>
      </c>
      <c r="F12617" s="76">
        <v>13</v>
      </c>
    </row>
    <row r="12618" s="76" customFormat="1" spans="1:6">
      <c r="A12618">
        <v>12971</v>
      </c>
      <c r="B12618">
        <v>622021270</v>
      </c>
      <c r="C12618" s="76">
        <v>2021</v>
      </c>
      <c r="D12618" s="76" t="s">
        <v>31</v>
      </c>
      <c r="E12618" s="76" t="s">
        <v>32</v>
      </c>
      <c r="F12618" s="76">
        <v>5.5</v>
      </c>
    </row>
    <row r="12619" s="76" customFormat="1" spans="1:6">
      <c r="A12619">
        <v>12969</v>
      </c>
      <c r="B12619">
        <v>622021270</v>
      </c>
      <c r="C12619" s="76">
        <v>2021</v>
      </c>
      <c r="D12619" s="76" t="s">
        <v>31</v>
      </c>
      <c r="E12619" s="76" t="s">
        <v>32</v>
      </c>
      <c r="F12619" s="76">
        <v>5</v>
      </c>
    </row>
    <row r="12620" s="76" customFormat="1" spans="1:6">
      <c r="A12620">
        <v>12970</v>
      </c>
      <c r="B12620">
        <v>622021270</v>
      </c>
      <c r="C12620" s="76">
        <v>2021</v>
      </c>
      <c r="D12620" s="76" t="s">
        <v>31</v>
      </c>
      <c r="E12620" s="76" t="s">
        <v>32</v>
      </c>
      <c r="F12620" s="76">
        <v>7</v>
      </c>
    </row>
    <row r="12621" s="76" customFormat="1" spans="1:6">
      <c r="A12621">
        <v>12972</v>
      </c>
      <c r="B12621">
        <v>622021270</v>
      </c>
      <c r="C12621" s="76">
        <v>2021</v>
      </c>
      <c r="D12621" s="76" t="s">
        <v>31</v>
      </c>
      <c r="E12621" s="76" t="s">
        <v>32</v>
      </c>
      <c r="F12621" s="76">
        <v>5</v>
      </c>
    </row>
    <row r="12622" s="76" customFormat="1" spans="1:6">
      <c r="A12622">
        <v>12954</v>
      </c>
      <c r="B12622">
        <v>622021270</v>
      </c>
      <c r="C12622" s="76">
        <v>2021</v>
      </c>
      <c r="D12622" s="76" t="s">
        <v>31</v>
      </c>
      <c r="E12622" s="76" t="s">
        <v>32</v>
      </c>
      <c r="F12622" s="76">
        <v>5</v>
      </c>
    </row>
    <row r="12623" s="76" customFormat="1" spans="1:6">
      <c r="A12623">
        <v>12966</v>
      </c>
      <c r="B12623">
        <v>622021270</v>
      </c>
      <c r="C12623" s="76">
        <v>2021</v>
      </c>
      <c r="D12623" s="76" t="s">
        <v>31</v>
      </c>
      <c r="E12623" s="76" t="s">
        <v>32</v>
      </c>
      <c r="F12623" s="76">
        <v>3</v>
      </c>
    </row>
    <row r="12624" s="76" customFormat="1" spans="1:6">
      <c r="A12624">
        <v>12973</v>
      </c>
      <c r="B12624">
        <v>622021270</v>
      </c>
      <c r="C12624" s="76">
        <v>2021</v>
      </c>
      <c r="D12624" s="76" t="s">
        <v>31</v>
      </c>
      <c r="E12624" s="76" t="s">
        <v>32</v>
      </c>
      <c r="F12624" s="76">
        <v>6.25</v>
      </c>
    </row>
    <row r="12625" s="76" customFormat="1" spans="1:6">
      <c r="A12625">
        <v>12974</v>
      </c>
      <c r="B12625">
        <v>622021270</v>
      </c>
      <c r="C12625" s="76">
        <v>2021</v>
      </c>
      <c r="D12625" s="76" t="s">
        <v>31</v>
      </c>
      <c r="E12625" s="76" t="s">
        <v>32</v>
      </c>
      <c r="F12625" s="76">
        <v>6.25</v>
      </c>
    </row>
    <row r="12626" s="76" customFormat="1" spans="1:6">
      <c r="A12626">
        <v>12968</v>
      </c>
      <c r="B12626">
        <v>622021270</v>
      </c>
      <c r="C12626" s="76">
        <v>2021</v>
      </c>
      <c r="D12626" s="76" t="s">
        <v>31</v>
      </c>
      <c r="E12626" s="76" t="s">
        <v>32</v>
      </c>
      <c r="F12626" s="76">
        <v>20</v>
      </c>
    </row>
    <row r="12627" s="76" customFormat="1" spans="1:6">
      <c r="A12627">
        <v>12975</v>
      </c>
      <c r="B12627">
        <v>622021283</v>
      </c>
      <c r="C12627" s="76">
        <v>2021</v>
      </c>
      <c r="D12627" s="76" t="s">
        <v>41</v>
      </c>
      <c r="E12627" s="76" t="s">
        <v>32</v>
      </c>
      <c r="F12627" s="76">
        <v>6</v>
      </c>
    </row>
    <row r="12628" s="76" customFormat="1" spans="1:6">
      <c r="A12628">
        <v>12977</v>
      </c>
      <c r="B12628">
        <v>632012110</v>
      </c>
      <c r="C12628">
        <v>2012</v>
      </c>
      <c r="D12628" t="s">
        <v>40</v>
      </c>
      <c r="E12628">
        <v>1</v>
      </c>
      <c r="F12628">
        <v>0.85</v>
      </c>
    </row>
    <row r="12629" s="76" customFormat="1" spans="1:6">
      <c r="A12629">
        <v>12976</v>
      </c>
      <c r="B12629">
        <v>632012110</v>
      </c>
      <c r="C12629">
        <v>2012</v>
      </c>
      <c r="D12629" t="s">
        <v>40</v>
      </c>
      <c r="E12629" t="s">
        <v>32</v>
      </c>
      <c r="F12629">
        <v>3.15</v>
      </c>
    </row>
    <row r="12630" s="76" customFormat="1" spans="1:6">
      <c r="A12630">
        <v>12978</v>
      </c>
      <c r="B12630">
        <v>632012260</v>
      </c>
      <c r="C12630">
        <v>2012</v>
      </c>
      <c r="D12630" t="s">
        <v>34</v>
      </c>
      <c r="E12630">
        <v>1</v>
      </c>
      <c r="F12630">
        <v>0.2</v>
      </c>
    </row>
    <row r="12631" s="76" customFormat="1" spans="1:6">
      <c r="A12631">
        <v>12985</v>
      </c>
      <c r="B12631">
        <v>632012270</v>
      </c>
      <c r="C12631">
        <v>2012</v>
      </c>
      <c r="D12631" t="s">
        <v>31</v>
      </c>
      <c r="E12631" t="s">
        <v>32</v>
      </c>
      <c r="F12631">
        <v>2</v>
      </c>
    </row>
    <row r="12632" s="76" customFormat="1" spans="1:6">
      <c r="A12632">
        <v>12984</v>
      </c>
      <c r="B12632">
        <v>632012270</v>
      </c>
      <c r="C12632">
        <v>2012</v>
      </c>
      <c r="D12632" t="s">
        <v>31</v>
      </c>
      <c r="E12632" t="s">
        <v>32</v>
      </c>
      <c r="F12632">
        <v>2</v>
      </c>
    </row>
    <row r="12633" s="76" customFormat="1" spans="1:6">
      <c r="A12633">
        <v>12989</v>
      </c>
      <c r="B12633">
        <v>632012270</v>
      </c>
      <c r="C12633">
        <v>2012</v>
      </c>
      <c r="D12633" t="s">
        <v>31</v>
      </c>
      <c r="E12633" t="s">
        <v>32</v>
      </c>
      <c r="F12633">
        <v>2</v>
      </c>
    </row>
    <row r="12634" s="76" customFormat="1" spans="1:6">
      <c r="A12634">
        <v>12980</v>
      </c>
      <c r="B12634">
        <v>632012270</v>
      </c>
      <c r="C12634">
        <v>2012</v>
      </c>
      <c r="D12634" t="s">
        <v>31</v>
      </c>
      <c r="E12634" t="s">
        <v>32</v>
      </c>
      <c r="F12634">
        <v>2</v>
      </c>
    </row>
    <row r="12635" s="76" customFormat="1" spans="1:6">
      <c r="A12635">
        <v>12979</v>
      </c>
      <c r="B12635">
        <v>632012270</v>
      </c>
      <c r="C12635">
        <v>2012</v>
      </c>
      <c r="D12635" t="s">
        <v>31</v>
      </c>
      <c r="E12635" t="s">
        <v>32</v>
      </c>
      <c r="F12635">
        <v>2</v>
      </c>
    </row>
    <row r="12636" s="76" customFormat="1" spans="1:6">
      <c r="A12636">
        <v>12983</v>
      </c>
      <c r="B12636">
        <v>632012270</v>
      </c>
      <c r="C12636">
        <v>2012</v>
      </c>
      <c r="D12636" t="s">
        <v>31</v>
      </c>
      <c r="E12636" t="s">
        <v>32</v>
      </c>
      <c r="F12636">
        <v>2</v>
      </c>
    </row>
    <row r="12637" s="76" customFormat="1" spans="1:6">
      <c r="A12637">
        <v>12981</v>
      </c>
      <c r="B12637">
        <v>632012270</v>
      </c>
      <c r="C12637">
        <v>2012</v>
      </c>
      <c r="D12637" t="s">
        <v>31</v>
      </c>
      <c r="E12637" t="s">
        <v>32</v>
      </c>
      <c r="F12637">
        <v>1.2</v>
      </c>
    </row>
    <row r="12638" s="76" customFormat="1" spans="1:6">
      <c r="A12638">
        <v>12987</v>
      </c>
      <c r="B12638">
        <v>632012270</v>
      </c>
      <c r="C12638">
        <v>2012</v>
      </c>
      <c r="D12638" t="s">
        <v>31</v>
      </c>
      <c r="E12638" t="s">
        <v>32</v>
      </c>
      <c r="F12638">
        <v>3</v>
      </c>
    </row>
    <row r="12639" s="76" customFormat="1" spans="1:6">
      <c r="A12639">
        <v>12988</v>
      </c>
      <c r="B12639">
        <v>632012270</v>
      </c>
      <c r="C12639">
        <v>2012</v>
      </c>
      <c r="D12639" t="s">
        <v>31</v>
      </c>
      <c r="E12639" t="s">
        <v>32</v>
      </c>
      <c r="F12639">
        <v>2</v>
      </c>
    </row>
    <row r="12640" s="76" customFormat="1" spans="1:6">
      <c r="A12640">
        <v>12982</v>
      </c>
      <c r="B12640">
        <v>632012270</v>
      </c>
      <c r="C12640">
        <v>2012</v>
      </c>
      <c r="D12640" t="s">
        <v>31</v>
      </c>
      <c r="E12640" t="s">
        <v>32</v>
      </c>
      <c r="F12640">
        <v>3</v>
      </c>
    </row>
    <row r="12641" s="76" customFormat="1" spans="1:6">
      <c r="A12641">
        <v>12986</v>
      </c>
      <c r="B12641">
        <v>632012270</v>
      </c>
      <c r="C12641">
        <v>2012</v>
      </c>
      <c r="D12641" t="s">
        <v>31</v>
      </c>
      <c r="E12641" t="s">
        <v>32</v>
      </c>
      <c r="F12641">
        <v>2</v>
      </c>
    </row>
    <row r="12642" s="76" customFormat="1" spans="1:6">
      <c r="A12642">
        <v>12990</v>
      </c>
      <c r="B12642">
        <v>632013110</v>
      </c>
      <c r="C12642">
        <v>2013</v>
      </c>
      <c r="D12642" t="s">
        <v>40</v>
      </c>
      <c r="E12642">
        <v>1</v>
      </c>
      <c r="F12642">
        <v>0.2</v>
      </c>
    </row>
    <row r="12643" s="76" customFormat="1" spans="1:6">
      <c r="A12643">
        <v>12992</v>
      </c>
      <c r="B12643">
        <v>632013110</v>
      </c>
      <c r="C12643">
        <v>2013</v>
      </c>
      <c r="D12643" t="s">
        <v>40</v>
      </c>
      <c r="E12643">
        <v>1</v>
      </c>
      <c r="F12643">
        <v>13.5</v>
      </c>
    </row>
    <row r="12644" s="76" customFormat="1" spans="1:6">
      <c r="A12644">
        <v>12991</v>
      </c>
      <c r="B12644">
        <v>632013110</v>
      </c>
      <c r="C12644">
        <v>2013</v>
      </c>
      <c r="D12644" t="s">
        <v>40</v>
      </c>
      <c r="E12644">
        <v>1</v>
      </c>
      <c r="F12644">
        <v>2.4</v>
      </c>
    </row>
    <row r="12645" s="76" customFormat="1" spans="1:6">
      <c r="A12645">
        <v>12993</v>
      </c>
      <c r="B12645">
        <v>632013211</v>
      </c>
      <c r="C12645">
        <v>2013</v>
      </c>
      <c r="D12645" t="s">
        <v>37</v>
      </c>
      <c r="E12645">
        <v>2</v>
      </c>
      <c r="F12645">
        <v>4.15</v>
      </c>
    </row>
    <row r="12646" s="76" customFormat="1" spans="1:6">
      <c r="A12646">
        <v>12994</v>
      </c>
      <c r="B12646">
        <v>632013242</v>
      </c>
      <c r="C12646">
        <v>2013</v>
      </c>
      <c r="D12646" t="s">
        <v>35</v>
      </c>
      <c r="E12646">
        <v>2</v>
      </c>
      <c r="F12646">
        <v>0.1</v>
      </c>
    </row>
    <row r="12647" s="76" customFormat="1" spans="1:6">
      <c r="A12647">
        <v>12999</v>
      </c>
      <c r="B12647">
        <v>632013260</v>
      </c>
      <c r="C12647">
        <v>2013</v>
      </c>
      <c r="D12647" t="s">
        <v>34</v>
      </c>
      <c r="E12647" t="s">
        <v>32</v>
      </c>
      <c r="F12647">
        <v>2</v>
      </c>
    </row>
    <row r="12648" s="76" customFormat="1" spans="1:6">
      <c r="A12648">
        <v>12997</v>
      </c>
      <c r="B12648">
        <v>632013260</v>
      </c>
      <c r="C12648">
        <v>2013</v>
      </c>
      <c r="D12648" t="s">
        <v>34</v>
      </c>
      <c r="E12648" t="s">
        <v>32</v>
      </c>
      <c r="F12648">
        <v>0.45</v>
      </c>
    </row>
    <row r="12649" s="76" customFormat="1" spans="1:6">
      <c r="A12649">
        <v>12998</v>
      </c>
      <c r="B12649">
        <v>632013260</v>
      </c>
      <c r="C12649">
        <v>2013</v>
      </c>
      <c r="D12649" t="s">
        <v>34</v>
      </c>
      <c r="E12649" t="s">
        <v>32</v>
      </c>
      <c r="F12649">
        <v>1</v>
      </c>
    </row>
    <row r="12650" s="76" customFormat="1" spans="1:6">
      <c r="A12650">
        <v>12995</v>
      </c>
      <c r="B12650">
        <v>632013260</v>
      </c>
      <c r="C12650">
        <v>2013</v>
      </c>
      <c r="D12650" t="s">
        <v>34</v>
      </c>
      <c r="E12650">
        <v>28</v>
      </c>
      <c r="F12650">
        <v>4.75</v>
      </c>
    </row>
    <row r="12651" s="76" customFormat="1" spans="1:6">
      <c r="A12651">
        <v>12996</v>
      </c>
      <c r="B12651">
        <v>632013260</v>
      </c>
      <c r="C12651">
        <v>2013</v>
      </c>
      <c r="D12651" t="s">
        <v>34</v>
      </c>
      <c r="E12651">
        <v>33</v>
      </c>
      <c r="F12651">
        <v>4.95</v>
      </c>
    </row>
    <row r="12652" s="76" customFormat="1" spans="1:6">
      <c r="A12652">
        <v>13064</v>
      </c>
      <c r="B12652">
        <v>632013270</v>
      </c>
      <c r="C12652">
        <v>2013</v>
      </c>
      <c r="D12652" t="s">
        <v>31</v>
      </c>
      <c r="E12652" t="s">
        <v>32</v>
      </c>
      <c r="F12652">
        <v>1</v>
      </c>
    </row>
    <row r="12653" s="76" customFormat="1" spans="1:6">
      <c r="A12653">
        <v>13025</v>
      </c>
      <c r="B12653">
        <v>632013270</v>
      </c>
      <c r="C12653">
        <v>2013</v>
      </c>
      <c r="D12653" t="s">
        <v>31</v>
      </c>
      <c r="E12653" t="s">
        <v>32</v>
      </c>
      <c r="F12653">
        <v>2</v>
      </c>
    </row>
    <row r="12654" s="76" customFormat="1" spans="1:6">
      <c r="A12654">
        <v>13046</v>
      </c>
      <c r="B12654">
        <v>632013270</v>
      </c>
      <c r="C12654">
        <v>2013</v>
      </c>
      <c r="D12654" t="s">
        <v>31</v>
      </c>
      <c r="E12654" t="s">
        <v>32</v>
      </c>
      <c r="F12654">
        <v>2</v>
      </c>
    </row>
    <row r="12655" s="76" customFormat="1" spans="1:6">
      <c r="A12655">
        <v>13020</v>
      </c>
      <c r="B12655">
        <v>632013270</v>
      </c>
      <c r="C12655">
        <v>2013</v>
      </c>
      <c r="D12655" t="s">
        <v>31</v>
      </c>
      <c r="E12655" t="s">
        <v>32</v>
      </c>
      <c r="F12655">
        <v>2</v>
      </c>
    </row>
    <row r="12656" s="76" customFormat="1" spans="1:6">
      <c r="A12656">
        <v>13008</v>
      </c>
      <c r="B12656">
        <v>632013270</v>
      </c>
      <c r="C12656">
        <v>2013</v>
      </c>
      <c r="D12656" t="s">
        <v>31</v>
      </c>
      <c r="E12656" t="s">
        <v>32</v>
      </c>
      <c r="F12656">
        <v>1</v>
      </c>
    </row>
    <row r="12657" s="76" customFormat="1" spans="1:6">
      <c r="A12657">
        <v>13017</v>
      </c>
      <c r="B12657">
        <v>632013270</v>
      </c>
      <c r="C12657">
        <v>2013</v>
      </c>
      <c r="D12657" t="s">
        <v>31</v>
      </c>
      <c r="E12657" t="s">
        <v>32</v>
      </c>
      <c r="F12657">
        <v>2</v>
      </c>
    </row>
    <row r="12658" s="76" customFormat="1" spans="1:6">
      <c r="A12658">
        <v>13072</v>
      </c>
      <c r="B12658">
        <v>632013270</v>
      </c>
      <c r="C12658">
        <v>2013</v>
      </c>
      <c r="D12658" t="s">
        <v>31</v>
      </c>
      <c r="E12658" t="s">
        <v>32</v>
      </c>
      <c r="F12658">
        <v>2</v>
      </c>
    </row>
    <row r="12659" s="76" customFormat="1" spans="1:6">
      <c r="A12659">
        <v>13043</v>
      </c>
      <c r="B12659">
        <v>632013270</v>
      </c>
      <c r="C12659">
        <v>2013</v>
      </c>
      <c r="D12659" t="s">
        <v>31</v>
      </c>
      <c r="E12659" t="s">
        <v>32</v>
      </c>
      <c r="F12659">
        <v>2</v>
      </c>
    </row>
    <row r="12660" s="76" customFormat="1" spans="1:6">
      <c r="A12660">
        <v>13062</v>
      </c>
      <c r="B12660">
        <v>632013270</v>
      </c>
      <c r="C12660">
        <v>2013</v>
      </c>
      <c r="D12660" t="s">
        <v>31</v>
      </c>
      <c r="E12660" t="s">
        <v>32</v>
      </c>
      <c r="F12660">
        <v>2</v>
      </c>
    </row>
    <row r="12661" s="76" customFormat="1" spans="1:6">
      <c r="A12661">
        <v>13063</v>
      </c>
      <c r="B12661">
        <v>632013270</v>
      </c>
      <c r="C12661">
        <v>2013</v>
      </c>
      <c r="D12661" t="s">
        <v>31</v>
      </c>
      <c r="E12661" t="s">
        <v>32</v>
      </c>
      <c r="F12661">
        <v>2</v>
      </c>
    </row>
    <row r="12662" s="76" customFormat="1" spans="1:6">
      <c r="A12662">
        <v>13024</v>
      </c>
      <c r="B12662">
        <v>632013270</v>
      </c>
      <c r="C12662">
        <v>2013</v>
      </c>
      <c r="D12662" t="s">
        <v>31</v>
      </c>
      <c r="E12662" t="s">
        <v>32</v>
      </c>
      <c r="F12662">
        <v>2</v>
      </c>
    </row>
    <row r="12663" s="76" customFormat="1" spans="1:6">
      <c r="A12663">
        <v>13009</v>
      </c>
      <c r="B12663">
        <v>632013270</v>
      </c>
      <c r="C12663">
        <v>2013</v>
      </c>
      <c r="D12663" t="s">
        <v>31</v>
      </c>
      <c r="E12663" t="s">
        <v>32</v>
      </c>
      <c r="F12663">
        <v>1</v>
      </c>
    </row>
    <row r="12664" s="76" customFormat="1" spans="1:6">
      <c r="A12664">
        <v>13006</v>
      </c>
      <c r="B12664">
        <v>632013270</v>
      </c>
      <c r="C12664">
        <v>2013</v>
      </c>
      <c r="D12664" t="s">
        <v>31</v>
      </c>
      <c r="E12664" t="s">
        <v>32</v>
      </c>
      <c r="F12664">
        <v>1</v>
      </c>
    </row>
    <row r="12665" s="76" customFormat="1" spans="1:6">
      <c r="A12665">
        <v>13015</v>
      </c>
      <c r="B12665">
        <v>632013270</v>
      </c>
      <c r="C12665">
        <v>2013</v>
      </c>
      <c r="D12665" t="s">
        <v>31</v>
      </c>
      <c r="E12665" t="s">
        <v>32</v>
      </c>
      <c r="F12665">
        <v>2</v>
      </c>
    </row>
    <row r="12666" s="76" customFormat="1" spans="1:6">
      <c r="A12666">
        <v>13022</v>
      </c>
      <c r="B12666">
        <v>632013270</v>
      </c>
      <c r="C12666">
        <v>2013</v>
      </c>
      <c r="D12666" t="s">
        <v>31</v>
      </c>
      <c r="E12666" t="s">
        <v>32</v>
      </c>
      <c r="F12666">
        <v>2</v>
      </c>
    </row>
    <row r="12667" s="76" customFormat="1" spans="1:6">
      <c r="A12667">
        <v>13069</v>
      </c>
      <c r="B12667">
        <v>632013270</v>
      </c>
      <c r="C12667">
        <v>2013</v>
      </c>
      <c r="D12667" t="s">
        <v>31</v>
      </c>
      <c r="E12667" t="s">
        <v>32</v>
      </c>
      <c r="F12667">
        <v>0.3</v>
      </c>
    </row>
    <row r="12668" s="76" customFormat="1" spans="1:6">
      <c r="A12668">
        <v>13029</v>
      </c>
      <c r="B12668">
        <v>632013270</v>
      </c>
      <c r="C12668">
        <v>2013</v>
      </c>
      <c r="D12668" t="s">
        <v>31</v>
      </c>
      <c r="E12668" t="s">
        <v>32</v>
      </c>
      <c r="F12668">
        <v>1</v>
      </c>
    </row>
    <row r="12669" s="76" customFormat="1" spans="1:6">
      <c r="A12669">
        <v>13055</v>
      </c>
      <c r="B12669">
        <v>632013270</v>
      </c>
      <c r="C12669">
        <v>2013</v>
      </c>
      <c r="D12669" t="s">
        <v>31</v>
      </c>
      <c r="E12669" t="s">
        <v>32</v>
      </c>
      <c r="F12669">
        <v>1</v>
      </c>
    </row>
    <row r="12670" s="76" customFormat="1" spans="1:6">
      <c r="A12670">
        <v>13044</v>
      </c>
      <c r="B12670">
        <v>632013270</v>
      </c>
      <c r="C12670">
        <v>2013</v>
      </c>
      <c r="D12670" t="s">
        <v>31</v>
      </c>
      <c r="E12670" t="s">
        <v>32</v>
      </c>
      <c r="F12670">
        <v>2</v>
      </c>
    </row>
    <row r="12671" s="76" customFormat="1" spans="1:6">
      <c r="A12671">
        <v>13003</v>
      </c>
      <c r="B12671">
        <v>632013270</v>
      </c>
      <c r="C12671">
        <v>2013</v>
      </c>
      <c r="D12671" t="s">
        <v>31</v>
      </c>
      <c r="E12671" t="s">
        <v>32</v>
      </c>
      <c r="F12671">
        <v>3</v>
      </c>
    </row>
    <row r="12672" s="76" customFormat="1" spans="1:6">
      <c r="A12672">
        <v>13047</v>
      </c>
      <c r="B12672">
        <v>632013270</v>
      </c>
      <c r="C12672">
        <v>2013</v>
      </c>
      <c r="D12672" t="s">
        <v>31</v>
      </c>
      <c r="E12672" t="s">
        <v>32</v>
      </c>
      <c r="F12672">
        <v>2</v>
      </c>
    </row>
    <row r="12673" s="76" customFormat="1" spans="1:6">
      <c r="A12673">
        <v>13004</v>
      </c>
      <c r="B12673">
        <v>632013270</v>
      </c>
      <c r="C12673">
        <v>2013</v>
      </c>
      <c r="D12673" t="s">
        <v>31</v>
      </c>
      <c r="E12673" t="s">
        <v>32</v>
      </c>
      <c r="F12673">
        <v>3</v>
      </c>
    </row>
    <row r="12674" s="76" customFormat="1" spans="1:6">
      <c r="A12674">
        <v>13038</v>
      </c>
      <c r="B12674">
        <v>632013270</v>
      </c>
      <c r="C12674">
        <v>2013</v>
      </c>
      <c r="D12674" t="s">
        <v>31</v>
      </c>
      <c r="E12674" t="s">
        <v>32</v>
      </c>
      <c r="F12674">
        <v>5</v>
      </c>
    </row>
    <row r="12675" s="76" customFormat="1" spans="1:6">
      <c r="A12675">
        <v>13067</v>
      </c>
      <c r="B12675">
        <v>632013270</v>
      </c>
      <c r="C12675">
        <v>2013</v>
      </c>
      <c r="D12675" t="s">
        <v>31</v>
      </c>
      <c r="E12675" t="s">
        <v>32</v>
      </c>
      <c r="F12675">
        <v>2</v>
      </c>
    </row>
    <row r="12676" s="76" customFormat="1" spans="1:6">
      <c r="A12676">
        <v>13068</v>
      </c>
      <c r="B12676">
        <v>632013270</v>
      </c>
      <c r="C12676">
        <v>2013</v>
      </c>
      <c r="D12676" t="s">
        <v>31</v>
      </c>
      <c r="E12676" t="s">
        <v>32</v>
      </c>
      <c r="F12676">
        <v>1</v>
      </c>
    </row>
    <row r="12677" s="76" customFormat="1" spans="1:6">
      <c r="A12677">
        <v>13000</v>
      </c>
      <c r="B12677">
        <v>632013270</v>
      </c>
      <c r="C12677">
        <v>2013</v>
      </c>
      <c r="D12677" t="s">
        <v>31</v>
      </c>
      <c r="E12677" t="s">
        <v>32</v>
      </c>
      <c r="F12677">
        <v>1</v>
      </c>
    </row>
    <row r="12678" s="76" customFormat="1" spans="1:6">
      <c r="A12678">
        <v>13065</v>
      </c>
      <c r="B12678">
        <v>632013270</v>
      </c>
      <c r="C12678">
        <v>2013</v>
      </c>
      <c r="D12678" t="s">
        <v>31</v>
      </c>
      <c r="E12678" t="s">
        <v>32</v>
      </c>
      <c r="F12678">
        <v>2</v>
      </c>
    </row>
    <row r="12679" s="76" customFormat="1" spans="1:6">
      <c r="A12679">
        <v>13018</v>
      </c>
      <c r="B12679">
        <v>632013270</v>
      </c>
      <c r="C12679">
        <v>2013</v>
      </c>
      <c r="D12679" t="s">
        <v>31</v>
      </c>
      <c r="E12679" t="s">
        <v>32</v>
      </c>
      <c r="F12679">
        <v>2</v>
      </c>
    </row>
    <row r="12680" s="76" customFormat="1" spans="1:6">
      <c r="A12680">
        <v>13052</v>
      </c>
      <c r="B12680">
        <v>632013270</v>
      </c>
      <c r="C12680">
        <v>2013</v>
      </c>
      <c r="D12680" t="s">
        <v>31</v>
      </c>
      <c r="E12680" t="s">
        <v>32</v>
      </c>
      <c r="F12680">
        <v>2</v>
      </c>
    </row>
    <row r="12681" s="76" customFormat="1" spans="1:6">
      <c r="A12681">
        <v>13027</v>
      </c>
      <c r="B12681">
        <v>632013270</v>
      </c>
      <c r="C12681">
        <v>2013</v>
      </c>
      <c r="D12681" t="s">
        <v>31</v>
      </c>
      <c r="E12681" t="s">
        <v>32</v>
      </c>
      <c r="F12681">
        <v>2</v>
      </c>
    </row>
    <row r="12682" s="76" customFormat="1" spans="1:6">
      <c r="A12682">
        <v>13031</v>
      </c>
      <c r="B12682">
        <v>632013270</v>
      </c>
      <c r="C12682">
        <v>2013</v>
      </c>
      <c r="D12682" t="s">
        <v>31</v>
      </c>
      <c r="E12682" t="s">
        <v>32</v>
      </c>
      <c r="F12682">
        <v>0.5</v>
      </c>
    </row>
    <row r="12683" s="76" customFormat="1" spans="1:6">
      <c r="A12683">
        <v>13051</v>
      </c>
      <c r="B12683">
        <v>632013270</v>
      </c>
      <c r="C12683">
        <v>2013</v>
      </c>
      <c r="D12683" t="s">
        <v>31</v>
      </c>
      <c r="E12683" t="s">
        <v>32</v>
      </c>
      <c r="F12683">
        <v>2</v>
      </c>
    </row>
    <row r="12684" s="76" customFormat="1" spans="1:6">
      <c r="A12684">
        <v>13028</v>
      </c>
      <c r="B12684">
        <v>632013270</v>
      </c>
      <c r="C12684">
        <v>2013</v>
      </c>
      <c r="D12684" t="s">
        <v>31</v>
      </c>
      <c r="E12684" t="s">
        <v>32</v>
      </c>
      <c r="F12684">
        <v>2</v>
      </c>
    </row>
    <row r="12685" s="76" customFormat="1" spans="1:6">
      <c r="A12685">
        <v>13058</v>
      </c>
      <c r="B12685">
        <v>632013270</v>
      </c>
      <c r="C12685">
        <v>2013</v>
      </c>
      <c r="D12685" t="s">
        <v>31</v>
      </c>
      <c r="E12685" t="s">
        <v>32</v>
      </c>
      <c r="F12685">
        <v>3</v>
      </c>
    </row>
    <row r="12686" s="76" customFormat="1" spans="1:6">
      <c r="A12686">
        <v>13030</v>
      </c>
      <c r="B12686">
        <v>632013270</v>
      </c>
      <c r="C12686">
        <v>2013</v>
      </c>
      <c r="D12686" t="s">
        <v>31</v>
      </c>
      <c r="E12686" t="s">
        <v>32</v>
      </c>
      <c r="F12686">
        <v>1</v>
      </c>
    </row>
    <row r="12687" s="76" customFormat="1" spans="1:6">
      <c r="A12687">
        <v>13034</v>
      </c>
      <c r="B12687">
        <v>632013270</v>
      </c>
      <c r="C12687">
        <v>2013</v>
      </c>
      <c r="D12687" t="s">
        <v>31</v>
      </c>
      <c r="E12687" t="s">
        <v>32</v>
      </c>
      <c r="F12687">
        <v>2</v>
      </c>
    </row>
    <row r="12688" s="76" customFormat="1" spans="1:6">
      <c r="A12688">
        <v>13036</v>
      </c>
      <c r="B12688">
        <v>632013270</v>
      </c>
      <c r="C12688">
        <v>2013</v>
      </c>
      <c r="D12688" t="s">
        <v>31</v>
      </c>
      <c r="E12688" t="s">
        <v>32</v>
      </c>
      <c r="F12688">
        <v>2</v>
      </c>
    </row>
    <row r="12689" s="76" customFormat="1" spans="1:6">
      <c r="A12689">
        <v>13080</v>
      </c>
      <c r="B12689">
        <v>632013270</v>
      </c>
      <c r="C12689">
        <v>2013</v>
      </c>
      <c r="D12689" t="s">
        <v>31</v>
      </c>
      <c r="E12689" t="s">
        <v>32</v>
      </c>
      <c r="F12689">
        <v>1</v>
      </c>
    </row>
    <row r="12690" s="76" customFormat="1" spans="1:6">
      <c r="A12690">
        <v>13057</v>
      </c>
      <c r="B12690">
        <v>632013270</v>
      </c>
      <c r="C12690">
        <v>2013</v>
      </c>
      <c r="D12690" t="s">
        <v>31</v>
      </c>
      <c r="E12690" t="s">
        <v>32</v>
      </c>
      <c r="F12690">
        <v>1</v>
      </c>
    </row>
    <row r="12691" s="76" customFormat="1" spans="1:6">
      <c r="A12691">
        <v>13035</v>
      </c>
      <c r="B12691">
        <v>632013270</v>
      </c>
      <c r="C12691">
        <v>2013</v>
      </c>
      <c r="D12691" t="s">
        <v>31</v>
      </c>
      <c r="E12691" t="s">
        <v>32</v>
      </c>
      <c r="F12691">
        <v>2</v>
      </c>
    </row>
    <row r="12692" s="76" customFormat="1" spans="1:6">
      <c r="A12692">
        <v>13075</v>
      </c>
      <c r="B12692">
        <v>632013270</v>
      </c>
      <c r="C12692">
        <v>2013</v>
      </c>
      <c r="D12692" t="s">
        <v>31</v>
      </c>
      <c r="E12692" t="s">
        <v>32</v>
      </c>
      <c r="F12692">
        <v>2</v>
      </c>
    </row>
    <row r="12693" s="76" customFormat="1" spans="1:6">
      <c r="A12693">
        <v>13079</v>
      </c>
      <c r="B12693">
        <v>632013270</v>
      </c>
      <c r="C12693">
        <v>2013</v>
      </c>
      <c r="D12693" t="s">
        <v>31</v>
      </c>
      <c r="E12693" t="s">
        <v>32</v>
      </c>
      <c r="F12693">
        <v>4</v>
      </c>
    </row>
    <row r="12694" s="76" customFormat="1" spans="1:6">
      <c r="A12694">
        <v>13071</v>
      </c>
      <c r="B12694">
        <v>632013270</v>
      </c>
      <c r="C12694">
        <v>2013</v>
      </c>
      <c r="D12694" t="s">
        <v>31</v>
      </c>
      <c r="E12694" t="s">
        <v>32</v>
      </c>
      <c r="F12694">
        <v>6.2</v>
      </c>
    </row>
    <row r="12695" s="76" customFormat="1" spans="1:6">
      <c r="A12695">
        <v>13037</v>
      </c>
      <c r="B12695">
        <v>632013270</v>
      </c>
      <c r="C12695">
        <v>2013</v>
      </c>
      <c r="D12695" t="s">
        <v>31</v>
      </c>
      <c r="E12695" t="s">
        <v>32</v>
      </c>
      <c r="F12695">
        <v>2</v>
      </c>
    </row>
    <row r="12696" s="76" customFormat="1" spans="1:6">
      <c r="A12696">
        <v>13011</v>
      </c>
      <c r="B12696">
        <v>632013270</v>
      </c>
      <c r="C12696">
        <v>2013</v>
      </c>
      <c r="D12696" t="s">
        <v>31</v>
      </c>
      <c r="E12696" t="s">
        <v>32</v>
      </c>
      <c r="F12696">
        <v>5</v>
      </c>
    </row>
    <row r="12697" s="76" customFormat="1" spans="1:6">
      <c r="A12697">
        <v>13032</v>
      </c>
      <c r="B12697">
        <v>632013270</v>
      </c>
      <c r="C12697">
        <v>2013</v>
      </c>
      <c r="D12697" t="s">
        <v>31</v>
      </c>
      <c r="E12697" t="s">
        <v>32</v>
      </c>
      <c r="F12697">
        <v>2</v>
      </c>
    </row>
    <row r="12698" s="76" customFormat="1" spans="1:6">
      <c r="A12698">
        <v>13041</v>
      </c>
      <c r="B12698">
        <v>632013270</v>
      </c>
      <c r="C12698">
        <v>2013</v>
      </c>
      <c r="D12698" t="s">
        <v>31</v>
      </c>
      <c r="E12698" t="s">
        <v>32</v>
      </c>
      <c r="F12698">
        <v>3</v>
      </c>
    </row>
    <row r="12699" s="76" customFormat="1" spans="1:6">
      <c r="A12699">
        <v>13010</v>
      </c>
      <c r="B12699">
        <v>632013270</v>
      </c>
      <c r="C12699">
        <v>2013</v>
      </c>
      <c r="D12699" t="s">
        <v>31</v>
      </c>
      <c r="E12699" t="s">
        <v>32</v>
      </c>
      <c r="F12699">
        <v>5</v>
      </c>
    </row>
    <row r="12700" s="76" customFormat="1" spans="1:6">
      <c r="A12700">
        <v>13014</v>
      </c>
      <c r="B12700">
        <v>632013270</v>
      </c>
      <c r="C12700">
        <v>2013</v>
      </c>
      <c r="D12700" t="s">
        <v>31</v>
      </c>
      <c r="E12700" t="s">
        <v>32</v>
      </c>
      <c r="F12700">
        <v>1</v>
      </c>
    </row>
    <row r="12701" s="76" customFormat="1" spans="1:6">
      <c r="A12701">
        <v>13077</v>
      </c>
      <c r="B12701">
        <v>632013270</v>
      </c>
      <c r="C12701">
        <v>2013</v>
      </c>
      <c r="D12701" t="s">
        <v>31</v>
      </c>
      <c r="E12701" t="s">
        <v>32</v>
      </c>
      <c r="F12701">
        <v>1</v>
      </c>
    </row>
    <row r="12702" s="76" customFormat="1" spans="1:6">
      <c r="A12702">
        <v>13033</v>
      </c>
      <c r="B12702">
        <v>632013270</v>
      </c>
      <c r="C12702">
        <v>2013</v>
      </c>
      <c r="D12702" t="s">
        <v>31</v>
      </c>
      <c r="E12702" t="s">
        <v>32</v>
      </c>
      <c r="F12702">
        <v>2</v>
      </c>
    </row>
    <row r="12703" s="76" customFormat="1" spans="1:6">
      <c r="A12703">
        <v>13076</v>
      </c>
      <c r="B12703">
        <v>632013270</v>
      </c>
      <c r="C12703">
        <v>2013</v>
      </c>
      <c r="D12703" t="s">
        <v>31</v>
      </c>
      <c r="E12703" t="s">
        <v>32</v>
      </c>
      <c r="F12703">
        <v>1</v>
      </c>
    </row>
    <row r="12704" s="76" customFormat="1" spans="1:6">
      <c r="A12704">
        <v>13042</v>
      </c>
      <c r="B12704">
        <v>632013270</v>
      </c>
      <c r="C12704">
        <v>2013</v>
      </c>
      <c r="D12704" t="s">
        <v>31</v>
      </c>
      <c r="E12704" t="s">
        <v>32</v>
      </c>
      <c r="F12704">
        <v>1</v>
      </c>
    </row>
    <row r="12705" s="76" customFormat="1" spans="1:6">
      <c r="A12705">
        <v>13053</v>
      </c>
      <c r="B12705">
        <v>632013270</v>
      </c>
      <c r="C12705">
        <v>2013</v>
      </c>
      <c r="D12705" t="s">
        <v>31</v>
      </c>
      <c r="E12705" t="s">
        <v>32</v>
      </c>
      <c r="F12705">
        <v>1</v>
      </c>
    </row>
    <row r="12706" s="76" customFormat="1" spans="1:6">
      <c r="A12706">
        <v>13073</v>
      </c>
      <c r="B12706">
        <v>632013270</v>
      </c>
      <c r="C12706">
        <v>2013</v>
      </c>
      <c r="D12706" t="s">
        <v>31</v>
      </c>
      <c r="E12706" t="s">
        <v>32</v>
      </c>
      <c r="F12706">
        <v>2</v>
      </c>
    </row>
    <row r="12707" s="76" customFormat="1" spans="1:6">
      <c r="A12707">
        <v>13074</v>
      </c>
      <c r="B12707">
        <v>632013270</v>
      </c>
      <c r="C12707">
        <v>2013</v>
      </c>
      <c r="D12707" t="s">
        <v>31</v>
      </c>
      <c r="E12707" t="s">
        <v>32</v>
      </c>
      <c r="F12707">
        <v>2</v>
      </c>
    </row>
    <row r="12708" s="76" customFormat="1" spans="1:6">
      <c r="A12708">
        <v>13048</v>
      </c>
      <c r="B12708">
        <v>632013270</v>
      </c>
      <c r="C12708">
        <v>2013</v>
      </c>
      <c r="D12708" t="s">
        <v>31</v>
      </c>
      <c r="E12708" t="s">
        <v>32</v>
      </c>
      <c r="F12708">
        <v>2</v>
      </c>
    </row>
    <row r="12709" s="76" customFormat="1" spans="1:6">
      <c r="A12709">
        <v>13078</v>
      </c>
      <c r="B12709">
        <v>632013270</v>
      </c>
      <c r="C12709">
        <v>2013</v>
      </c>
      <c r="D12709" t="s">
        <v>31</v>
      </c>
      <c r="E12709" t="s">
        <v>32</v>
      </c>
      <c r="F12709">
        <v>32</v>
      </c>
    </row>
    <row r="12710" s="76" customFormat="1" spans="1:6">
      <c r="A12710">
        <v>13012</v>
      </c>
      <c r="B12710">
        <v>632013270</v>
      </c>
      <c r="C12710">
        <v>2013</v>
      </c>
      <c r="D12710" t="s">
        <v>31</v>
      </c>
      <c r="E12710" t="s">
        <v>32</v>
      </c>
      <c r="F12710">
        <v>6</v>
      </c>
    </row>
    <row r="12711" s="76" customFormat="1" spans="1:6">
      <c r="A12711">
        <v>13081</v>
      </c>
      <c r="B12711">
        <v>632013270</v>
      </c>
      <c r="C12711">
        <v>2013</v>
      </c>
      <c r="D12711" t="s">
        <v>31</v>
      </c>
      <c r="E12711" t="s">
        <v>32</v>
      </c>
      <c r="F12711">
        <v>4</v>
      </c>
    </row>
    <row r="12712" s="76" customFormat="1" spans="1:6">
      <c r="A12712">
        <v>13005</v>
      </c>
      <c r="B12712">
        <v>632013270</v>
      </c>
      <c r="C12712">
        <v>2013</v>
      </c>
      <c r="D12712" t="s">
        <v>31</v>
      </c>
      <c r="E12712" t="s">
        <v>32</v>
      </c>
      <c r="F12712">
        <v>3</v>
      </c>
    </row>
    <row r="12713" s="76" customFormat="1" spans="1:6">
      <c r="A12713">
        <v>13013</v>
      </c>
      <c r="B12713">
        <v>632013270</v>
      </c>
      <c r="C12713">
        <v>2013</v>
      </c>
      <c r="D12713" t="s">
        <v>31</v>
      </c>
      <c r="E12713" t="s">
        <v>32</v>
      </c>
      <c r="F12713">
        <v>1</v>
      </c>
    </row>
    <row r="12714" s="76" customFormat="1" spans="1:6">
      <c r="A12714">
        <v>13045</v>
      </c>
      <c r="B12714">
        <v>632013270</v>
      </c>
      <c r="C12714">
        <v>2013</v>
      </c>
      <c r="D12714" t="s">
        <v>31</v>
      </c>
      <c r="E12714" t="s">
        <v>32</v>
      </c>
      <c r="F12714">
        <v>1</v>
      </c>
    </row>
    <row r="12715" s="76" customFormat="1" spans="1:6">
      <c r="A12715">
        <v>13060</v>
      </c>
      <c r="B12715">
        <v>632013270</v>
      </c>
      <c r="C12715">
        <v>2013</v>
      </c>
      <c r="D12715" t="s">
        <v>31</v>
      </c>
      <c r="E12715" t="s">
        <v>32</v>
      </c>
      <c r="F12715">
        <v>2</v>
      </c>
    </row>
    <row r="12716" s="76" customFormat="1" spans="1:6">
      <c r="A12716">
        <v>13026</v>
      </c>
      <c r="B12716">
        <v>632013270</v>
      </c>
      <c r="C12716">
        <v>2013</v>
      </c>
      <c r="D12716" t="s">
        <v>31</v>
      </c>
      <c r="E12716" t="s">
        <v>32</v>
      </c>
      <c r="F12716">
        <v>2</v>
      </c>
    </row>
    <row r="12717" s="76" customFormat="1" spans="1:6">
      <c r="A12717">
        <v>13050</v>
      </c>
      <c r="B12717">
        <v>632013270</v>
      </c>
      <c r="C12717">
        <v>2013</v>
      </c>
      <c r="D12717" t="s">
        <v>31</v>
      </c>
      <c r="E12717" t="s">
        <v>32</v>
      </c>
      <c r="F12717">
        <v>4.7</v>
      </c>
    </row>
    <row r="12718" s="76" customFormat="1" spans="1:6">
      <c r="A12718">
        <v>13039</v>
      </c>
      <c r="B12718">
        <v>632013270</v>
      </c>
      <c r="C12718">
        <v>2013</v>
      </c>
      <c r="D12718" t="s">
        <v>31</v>
      </c>
      <c r="E12718" t="s">
        <v>32</v>
      </c>
      <c r="F12718">
        <v>5</v>
      </c>
    </row>
    <row r="12719" s="76" customFormat="1" spans="1:6">
      <c r="A12719">
        <v>13066</v>
      </c>
      <c r="B12719">
        <v>632013270</v>
      </c>
      <c r="C12719">
        <v>2013</v>
      </c>
      <c r="D12719" t="s">
        <v>31</v>
      </c>
      <c r="E12719" t="s">
        <v>32</v>
      </c>
      <c r="F12719">
        <v>3</v>
      </c>
    </row>
    <row r="12720" s="76" customFormat="1" spans="1:6">
      <c r="A12720">
        <v>13061</v>
      </c>
      <c r="B12720">
        <v>632013270</v>
      </c>
      <c r="C12720">
        <v>2013</v>
      </c>
      <c r="D12720" t="s">
        <v>31</v>
      </c>
      <c r="E12720" t="s">
        <v>32</v>
      </c>
      <c r="F12720">
        <v>2</v>
      </c>
    </row>
    <row r="12721" s="76" customFormat="1" spans="1:6">
      <c r="A12721">
        <v>13002</v>
      </c>
      <c r="B12721">
        <v>632013270</v>
      </c>
      <c r="C12721">
        <v>2013</v>
      </c>
      <c r="D12721" t="s">
        <v>31</v>
      </c>
      <c r="E12721" t="s">
        <v>32</v>
      </c>
      <c r="F12721">
        <v>5</v>
      </c>
    </row>
    <row r="12722" s="76" customFormat="1" spans="1:6">
      <c r="A12722">
        <v>13016</v>
      </c>
      <c r="B12722">
        <v>632013270</v>
      </c>
      <c r="C12722">
        <v>2013</v>
      </c>
      <c r="D12722" t="s">
        <v>31</v>
      </c>
      <c r="E12722" t="s">
        <v>32</v>
      </c>
      <c r="F12722">
        <v>2</v>
      </c>
    </row>
    <row r="12723" s="76" customFormat="1" spans="1:6">
      <c r="A12723">
        <v>13023</v>
      </c>
      <c r="B12723">
        <v>632013270</v>
      </c>
      <c r="C12723">
        <v>2013</v>
      </c>
      <c r="D12723" t="s">
        <v>31</v>
      </c>
      <c r="E12723" t="s">
        <v>32</v>
      </c>
      <c r="F12723">
        <v>2</v>
      </c>
    </row>
    <row r="12724" s="76" customFormat="1" spans="1:6">
      <c r="A12724">
        <v>13021</v>
      </c>
      <c r="B12724">
        <v>632013270</v>
      </c>
      <c r="C12724">
        <v>2013</v>
      </c>
      <c r="D12724" t="s">
        <v>31</v>
      </c>
      <c r="E12724" t="s">
        <v>32</v>
      </c>
      <c r="F12724">
        <v>2</v>
      </c>
    </row>
    <row r="12725" s="76" customFormat="1" spans="1:6">
      <c r="A12725">
        <v>13040</v>
      </c>
      <c r="B12725">
        <v>632013270</v>
      </c>
      <c r="C12725">
        <v>2013</v>
      </c>
      <c r="D12725" t="s">
        <v>31</v>
      </c>
      <c r="E12725" t="s">
        <v>32</v>
      </c>
      <c r="F12725">
        <v>2</v>
      </c>
    </row>
    <row r="12726" s="76" customFormat="1" spans="1:6">
      <c r="A12726">
        <v>13019</v>
      </c>
      <c r="B12726">
        <v>632013270</v>
      </c>
      <c r="C12726">
        <v>2013</v>
      </c>
      <c r="D12726" t="s">
        <v>31</v>
      </c>
      <c r="E12726" t="s">
        <v>32</v>
      </c>
      <c r="F12726">
        <v>2</v>
      </c>
    </row>
    <row r="12727" s="76" customFormat="1" spans="1:6">
      <c r="A12727">
        <v>13054</v>
      </c>
      <c r="B12727">
        <v>632013270</v>
      </c>
      <c r="C12727">
        <v>2013</v>
      </c>
      <c r="D12727" t="s">
        <v>31</v>
      </c>
      <c r="E12727" t="s">
        <v>32</v>
      </c>
      <c r="F12727">
        <v>1</v>
      </c>
    </row>
    <row r="12728" s="76" customFormat="1" spans="1:6">
      <c r="A12728">
        <v>13070</v>
      </c>
      <c r="B12728">
        <v>632013270</v>
      </c>
      <c r="C12728">
        <v>2013</v>
      </c>
      <c r="D12728" t="s">
        <v>31</v>
      </c>
      <c r="E12728" t="s">
        <v>32</v>
      </c>
      <c r="F12728">
        <v>0.7</v>
      </c>
    </row>
    <row r="12729" s="76" customFormat="1" spans="1:6">
      <c r="A12729">
        <v>13059</v>
      </c>
      <c r="B12729">
        <v>632013270</v>
      </c>
      <c r="C12729">
        <v>2013</v>
      </c>
      <c r="D12729" t="s">
        <v>31</v>
      </c>
      <c r="E12729" t="s">
        <v>32</v>
      </c>
      <c r="F12729">
        <v>3</v>
      </c>
    </row>
    <row r="12730" s="76" customFormat="1" spans="1:6">
      <c r="A12730">
        <v>13049</v>
      </c>
      <c r="B12730">
        <v>632013270</v>
      </c>
      <c r="C12730">
        <v>2013</v>
      </c>
      <c r="D12730" t="s">
        <v>31</v>
      </c>
      <c r="E12730" t="s">
        <v>32</v>
      </c>
      <c r="F12730">
        <v>1</v>
      </c>
    </row>
    <row r="12731" s="76" customFormat="1" spans="1:6">
      <c r="A12731">
        <v>13007</v>
      </c>
      <c r="B12731">
        <v>632013270</v>
      </c>
      <c r="C12731">
        <v>2013</v>
      </c>
      <c r="D12731" t="s">
        <v>31</v>
      </c>
      <c r="E12731" t="s">
        <v>32</v>
      </c>
      <c r="F12731">
        <v>1</v>
      </c>
    </row>
    <row r="12732" s="76" customFormat="1" spans="1:6">
      <c r="A12732">
        <v>13001</v>
      </c>
      <c r="B12732">
        <v>632013270</v>
      </c>
      <c r="C12732">
        <v>2013</v>
      </c>
      <c r="D12732" t="s">
        <v>31</v>
      </c>
      <c r="E12732" t="s">
        <v>32</v>
      </c>
      <c r="F12732">
        <v>5</v>
      </c>
    </row>
    <row r="12733" s="76" customFormat="1" spans="1:6">
      <c r="A12733">
        <v>13056</v>
      </c>
      <c r="B12733">
        <v>632013270</v>
      </c>
      <c r="C12733">
        <v>2013</v>
      </c>
      <c r="D12733" t="s">
        <v>31</v>
      </c>
      <c r="E12733" t="s">
        <v>32</v>
      </c>
      <c r="F12733">
        <v>1</v>
      </c>
    </row>
    <row r="12734" s="76" customFormat="1" spans="1:6">
      <c r="A12734">
        <v>13092</v>
      </c>
      <c r="B12734">
        <v>632014110</v>
      </c>
      <c r="C12734">
        <v>2014</v>
      </c>
      <c r="D12734" t="s">
        <v>40</v>
      </c>
      <c r="E12734">
        <v>1</v>
      </c>
      <c r="F12734">
        <v>0.8</v>
      </c>
    </row>
    <row r="12735" s="76" customFormat="1" spans="1:6">
      <c r="A12735">
        <v>13085</v>
      </c>
      <c r="B12735">
        <v>632014110</v>
      </c>
      <c r="C12735">
        <v>2014</v>
      </c>
      <c r="D12735" t="s">
        <v>40</v>
      </c>
      <c r="E12735">
        <v>1</v>
      </c>
      <c r="F12735">
        <v>2.46</v>
      </c>
    </row>
    <row r="12736" s="76" customFormat="1" spans="1:6">
      <c r="A12736">
        <v>13088</v>
      </c>
      <c r="B12736">
        <v>632014110</v>
      </c>
      <c r="C12736">
        <v>2014</v>
      </c>
      <c r="D12736" t="s">
        <v>40</v>
      </c>
      <c r="E12736">
        <v>1</v>
      </c>
      <c r="F12736">
        <v>1.45</v>
      </c>
    </row>
    <row r="12737" s="76" customFormat="1" spans="1:6">
      <c r="A12737">
        <v>13087</v>
      </c>
      <c r="B12737">
        <v>632014110</v>
      </c>
      <c r="C12737">
        <v>2014</v>
      </c>
      <c r="D12737" t="s">
        <v>40</v>
      </c>
      <c r="E12737">
        <v>1</v>
      </c>
      <c r="F12737">
        <v>1.51</v>
      </c>
    </row>
    <row r="12738" s="76" customFormat="1" spans="1:6">
      <c r="A12738">
        <v>13086</v>
      </c>
      <c r="B12738">
        <v>632014110</v>
      </c>
      <c r="C12738">
        <v>2014</v>
      </c>
      <c r="D12738" t="s">
        <v>40</v>
      </c>
      <c r="E12738">
        <v>1</v>
      </c>
      <c r="F12738">
        <v>1.6</v>
      </c>
    </row>
    <row r="12739" s="76" customFormat="1" spans="1:6">
      <c r="A12739">
        <v>13090</v>
      </c>
      <c r="B12739">
        <v>632014110</v>
      </c>
      <c r="C12739">
        <v>2014</v>
      </c>
      <c r="D12739" t="s">
        <v>40</v>
      </c>
      <c r="E12739">
        <v>1</v>
      </c>
      <c r="F12739">
        <v>1.2</v>
      </c>
    </row>
    <row r="12740" s="76" customFormat="1" spans="1:6">
      <c r="A12740">
        <v>13089</v>
      </c>
      <c r="B12740">
        <v>632014110</v>
      </c>
      <c r="C12740">
        <v>2014</v>
      </c>
      <c r="D12740" t="s">
        <v>40</v>
      </c>
      <c r="E12740">
        <v>1</v>
      </c>
      <c r="F12740">
        <v>1.25</v>
      </c>
    </row>
    <row r="12741" s="76" customFormat="1" spans="1:6">
      <c r="A12741">
        <v>13084</v>
      </c>
      <c r="B12741">
        <v>632014110</v>
      </c>
      <c r="C12741">
        <v>2014</v>
      </c>
      <c r="D12741" t="s">
        <v>40</v>
      </c>
      <c r="E12741">
        <v>1</v>
      </c>
      <c r="F12741">
        <v>3</v>
      </c>
    </row>
    <row r="12742" s="76" customFormat="1" spans="1:6">
      <c r="A12742">
        <v>13091</v>
      </c>
      <c r="B12742">
        <v>632014110</v>
      </c>
      <c r="C12742">
        <v>2014</v>
      </c>
      <c r="D12742" t="s">
        <v>40</v>
      </c>
      <c r="E12742">
        <v>1</v>
      </c>
      <c r="F12742">
        <v>1</v>
      </c>
    </row>
    <row r="12743" s="76" customFormat="1" spans="1:6">
      <c r="A12743">
        <v>13083</v>
      </c>
      <c r="B12743">
        <v>632014110</v>
      </c>
      <c r="C12743">
        <v>2014</v>
      </c>
      <c r="D12743" t="s">
        <v>40</v>
      </c>
      <c r="E12743">
        <v>1</v>
      </c>
      <c r="F12743">
        <v>5</v>
      </c>
    </row>
    <row r="12744" s="76" customFormat="1" spans="1:6">
      <c r="A12744">
        <v>13082</v>
      </c>
      <c r="B12744">
        <v>632014110</v>
      </c>
      <c r="C12744">
        <v>2014</v>
      </c>
      <c r="D12744" t="s">
        <v>40</v>
      </c>
      <c r="E12744">
        <v>3</v>
      </c>
      <c r="F12744">
        <v>8.7</v>
      </c>
    </row>
    <row r="12745" s="76" customFormat="1" spans="1:6">
      <c r="A12745">
        <v>13093</v>
      </c>
      <c r="B12745">
        <v>632014110</v>
      </c>
      <c r="C12745">
        <v>2014</v>
      </c>
      <c r="D12745" t="s">
        <v>40</v>
      </c>
      <c r="E12745">
        <v>1</v>
      </c>
      <c r="F12745">
        <v>0.8</v>
      </c>
    </row>
    <row r="12746" s="76" customFormat="1" spans="1:6">
      <c r="A12746">
        <v>13094</v>
      </c>
      <c r="B12746">
        <v>632014110</v>
      </c>
      <c r="C12746">
        <v>2014</v>
      </c>
      <c r="D12746" t="s">
        <v>40</v>
      </c>
      <c r="E12746">
        <v>1</v>
      </c>
      <c r="F12746">
        <v>0.75</v>
      </c>
    </row>
    <row r="12747" s="76" customFormat="1" spans="1:6">
      <c r="A12747">
        <v>13095</v>
      </c>
      <c r="B12747">
        <v>632014110</v>
      </c>
      <c r="C12747">
        <v>2014</v>
      </c>
      <c r="D12747" t="s">
        <v>40</v>
      </c>
      <c r="E12747">
        <v>1</v>
      </c>
      <c r="F12747">
        <v>0.72</v>
      </c>
    </row>
    <row r="12748" s="76" customFormat="1" spans="1:6">
      <c r="A12748">
        <v>13097</v>
      </c>
      <c r="B12748">
        <v>632014241</v>
      </c>
      <c r="C12748">
        <v>2014</v>
      </c>
      <c r="D12748" t="s">
        <v>33</v>
      </c>
      <c r="E12748">
        <v>1</v>
      </c>
      <c r="F12748">
        <v>3</v>
      </c>
    </row>
    <row r="12749" s="76" customFormat="1" spans="1:6">
      <c r="A12749">
        <v>13096</v>
      </c>
      <c r="B12749">
        <v>632014241</v>
      </c>
      <c r="C12749">
        <v>2014</v>
      </c>
      <c r="D12749" t="s">
        <v>33</v>
      </c>
      <c r="E12749">
        <v>1</v>
      </c>
      <c r="F12749">
        <v>4</v>
      </c>
    </row>
    <row r="12750" s="76" customFormat="1" spans="1:6">
      <c r="A12750">
        <v>13101</v>
      </c>
      <c r="B12750">
        <v>632014260</v>
      </c>
      <c r="C12750">
        <v>2014</v>
      </c>
      <c r="D12750" t="s">
        <v>34</v>
      </c>
      <c r="E12750">
        <v>1</v>
      </c>
      <c r="F12750">
        <v>2.95</v>
      </c>
    </row>
    <row r="12751" s="76" customFormat="1" spans="1:6">
      <c r="A12751">
        <v>13099</v>
      </c>
      <c r="B12751">
        <v>632014260</v>
      </c>
      <c r="C12751">
        <v>2014</v>
      </c>
      <c r="D12751" t="s">
        <v>34</v>
      </c>
      <c r="E12751">
        <v>1</v>
      </c>
      <c r="F12751">
        <v>4.95</v>
      </c>
    </row>
    <row r="12752" s="76" customFormat="1" spans="1:6">
      <c r="A12752">
        <v>13100</v>
      </c>
      <c r="B12752">
        <v>632014260</v>
      </c>
      <c r="C12752">
        <v>2014</v>
      </c>
      <c r="D12752" t="s">
        <v>34</v>
      </c>
      <c r="E12752">
        <v>1</v>
      </c>
      <c r="F12752">
        <v>4.95</v>
      </c>
    </row>
    <row r="12753" s="76" customFormat="1" spans="1:6">
      <c r="A12753">
        <v>13098</v>
      </c>
      <c r="B12753">
        <v>632014260</v>
      </c>
      <c r="C12753">
        <v>2014</v>
      </c>
      <c r="D12753" t="s">
        <v>34</v>
      </c>
      <c r="E12753">
        <v>33</v>
      </c>
      <c r="F12753">
        <v>4.95</v>
      </c>
    </row>
    <row r="12754" s="76" customFormat="1" spans="1:6">
      <c r="A12754">
        <v>13114</v>
      </c>
      <c r="B12754">
        <v>632014270</v>
      </c>
      <c r="C12754">
        <v>2014</v>
      </c>
      <c r="D12754" t="s">
        <v>31</v>
      </c>
      <c r="E12754">
        <v>1</v>
      </c>
      <c r="F12754">
        <v>5</v>
      </c>
    </row>
    <row r="12755" s="76" customFormat="1" spans="1:6">
      <c r="A12755">
        <v>13117</v>
      </c>
      <c r="B12755">
        <v>632014270</v>
      </c>
      <c r="C12755">
        <v>2014</v>
      </c>
      <c r="D12755" t="s">
        <v>31</v>
      </c>
      <c r="E12755">
        <v>1</v>
      </c>
      <c r="F12755">
        <v>3</v>
      </c>
    </row>
    <row r="12756" s="76" customFormat="1" spans="1:6">
      <c r="A12756">
        <v>13118</v>
      </c>
      <c r="B12756">
        <v>632014270</v>
      </c>
      <c r="C12756">
        <v>2014</v>
      </c>
      <c r="D12756" t="s">
        <v>31</v>
      </c>
      <c r="E12756">
        <v>1</v>
      </c>
      <c r="F12756">
        <v>2</v>
      </c>
    </row>
    <row r="12757" s="76" customFormat="1" spans="1:6">
      <c r="A12757">
        <v>13120</v>
      </c>
      <c r="B12757">
        <v>632014270</v>
      </c>
      <c r="C12757">
        <v>2014</v>
      </c>
      <c r="D12757" t="s">
        <v>31</v>
      </c>
      <c r="E12757">
        <v>1</v>
      </c>
      <c r="F12757">
        <v>1</v>
      </c>
    </row>
    <row r="12758" s="76" customFormat="1" spans="1:6">
      <c r="A12758">
        <v>13102</v>
      </c>
      <c r="B12758">
        <v>632014270</v>
      </c>
      <c r="C12758">
        <v>2014</v>
      </c>
      <c r="D12758" t="s">
        <v>31</v>
      </c>
      <c r="E12758"/>
      <c r="F12758">
        <v>6.5</v>
      </c>
    </row>
    <row r="12759" s="76" customFormat="1" spans="1:6">
      <c r="A12759">
        <v>13106</v>
      </c>
      <c r="B12759">
        <v>632014270</v>
      </c>
      <c r="C12759">
        <v>2014</v>
      </c>
      <c r="D12759" t="s">
        <v>31</v>
      </c>
      <c r="E12759"/>
      <c r="F12759">
        <v>1.2</v>
      </c>
    </row>
    <row r="12760" s="76" customFormat="1" spans="1:6">
      <c r="A12760">
        <v>13105</v>
      </c>
      <c r="B12760">
        <v>632014270</v>
      </c>
      <c r="C12760">
        <v>2014</v>
      </c>
      <c r="D12760" t="s">
        <v>31</v>
      </c>
      <c r="E12760"/>
      <c r="F12760">
        <v>0.62</v>
      </c>
    </row>
    <row r="12761" s="76" customFormat="1" spans="1:6">
      <c r="A12761">
        <v>13104</v>
      </c>
      <c r="B12761">
        <v>632014270</v>
      </c>
      <c r="C12761">
        <v>2014</v>
      </c>
      <c r="D12761" t="s">
        <v>31</v>
      </c>
      <c r="E12761">
        <v>1</v>
      </c>
      <c r="F12761">
        <v>2</v>
      </c>
    </row>
    <row r="12762" s="76" customFormat="1" spans="1:6">
      <c r="A12762">
        <v>13116</v>
      </c>
      <c r="B12762">
        <v>632014270</v>
      </c>
      <c r="C12762">
        <v>2014</v>
      </c>
      <c r="D12762" t="s">
        <v>31</v>
      </c>
      <c r="E12762">
        <v>1</v>
      </c>
      <c r="F12762">
        <v>3</v>
      </c>
    </row>
    <row r="12763" s="76" customFormat="1" spans="1:6">
      <c r="A12763">
        <v>13124</v>
      </c>
      <c r="B12763">
        <v>632014270</v>
      </c>
      <c r="C12763">
        <v>2014</v>
      </c>
      <c r="D12763" t="s">
        <v>31</v>
      </c>
      <c r="E12763">
        <v>1</v>
      </c>
      <c r="F12763">
        <v>1</v>
      </c>
    </row>
    <row r="12764" s="76" customFormat="1" spans="1:6">
      <c r="A12764">
        <v>13115</v>
      </c>
      <c r="B12764">
        <v>632014270</v>
      </c>
      <c r="C12764">
        <v>2014</v>
      </c>
      <c r="D12764" t="s">
        <v>31</v>
      </c>
      <c r="E12764">
        <v>1</v>
      </c>
      <c r="F12764">
        <v>4</v>
      </c>
    </row>
    <row r="12765" s="76" customFormat="1" spans="1:6">
      <c r="A12765">
        <v>13121</v>
      </c>
      <c r="B12765">
        <v>632014270</v>
      </c>
      <c r="C12765">
        <v>2014</v>
      </c>
      <c r="D12765" t="s">
        <v>31</v>
      </c>
      <c r="E12765">
        <v>1</v>
      </c>
      <c r="F12765">
        <v>1</v>
      </c>
    </row>
    <row r="12766" s="76" customFormat="1" spans="1:6">
      <c r="A12766">
        <v>13119</v>
      </c>
      <c r="B12766">
        <v>632014270</v>
      </c>
      <c r="C12766">
        <v>2014</v>
      </c>
      <c r="D12766" t="s">
        <v>31</v>
      </c>
      <c r="E12766">
        <v>1</v>
      </c>
      <c r="F12766">
        <v>1.2</v>
      </c>
    </row>
    <row r="12767" s="76" customFormat="1" spans="1:6">
      <c r="A12767">
        <v>13111</v>
      </c>
      <c r="B12767">
        <v>632014270</v>
      </c>
      <c r="C12767">
        <v>2014</v>
      </c>
      <c r="D12767" t="s">
        <v>31</v>
      </c>
      <c r="E12767"/>
      <c r="F12767">
        <v>1.2</v>
      </c>
    </row>
    <row r="12768" s="76" customFormat="1" spans="1:6">
      <c r="A12768">
        <v>13110</v>
      </c>
      <c r="B12768">
        <v>632014270</v>
      </c>
      <c r="C12768">
        <v>2014</v>
      </c>
      <c r="D12768" t="s">
        <v>31</v>
      </c>
      <c r="E12768">
        <v>1</v>
      </c>
      <c r="F12768">
        <v>8</v>
      </c>
    </row>
    <row r="12769" s="76" customFormat="1" spans="1:6">
      <c r="A12769">
        <v>13103</v>
      </c>
      <c r="B12769">
        <v>632014270</v>
      </c>
      <c r="C12769">
        <v>2014</v>
      </c>
      <c r="D12769" t="s">
        <v>31</v>
      </c>
      <c r="E12769">
        <v>1</v>
      </c>
      <c r="F12769">
        <v>2</v>
      </c>
    </row>
    <row r="12770" s="76" customFormat="1" spans="1:6">
      <c r="A12770">
        <v>13125</v>
      </c>
      <c r="B12770">
        <v>632014270</v>
      </c>
      <c r="C12770">
        <v>2014</v>
      </c>
      <c r="D12770" t="s">
        <v>31</v>
      </c>
      <c r="E12770">
        <v>1</v>
      </c>
      <c r="F12770">
        <v>0.84</v>
      </c>
    </row>
    <row r="12771" s="76" customFormat="1" spans="1:6">
      <c r="A12771">
        <v>13108</v>
      </c>
      <c r="B12771">
        <v>632014270</v>
      </c>
      <c r="C12771">
        <v>2014</v>
      </c>
      <c r="D12771" t="s">
        <v>31</v>
      </c>
      <c r="E12771"/>
      <c r="F12771">
        <v>5</v>
      </c>
    </row>
    <row r="12772" s="76" customFormat="1" spans="1:6">
      <c r="A12772">
        <v>13109</v>
      </c>
      <c r="B12772">
        <v>632014270</v>
      </c>
      <c r="C12772">
        <v>2014</v>
      </c>
      <c r="D12772" t="s">
        <v>31</v>
      </c>
      <c r="E12772"/>
      <c r="F12772">
        <v>3</v>
      </c>
    </row>
    <row r="12773" s="76" customFormat="1" spans="1:6">
      <c r="A12773">
        <v>13122</v>
      </c>
      <c r="B12773">
        <v>632014270</v>
      </c>
      <c r="C12773">
        <v>2014</v>
      </c>
      <c r="D12773" t="s">
        <v>31</v>
      </c>
      <c r="E12773">
        <v>1</v>
      </c>
      <c r="F12773">
        <v>1</v>
      </c>
    </row>
    <row r="12774" s="76" customFormat="1" spans="1:6">
      <c r="A12774">
        <v>13113</v>
      </c>
      <c r="B12774">
        <v>632014270</v>
      </c>
      <c r="C12774">
        <v>2014</v>
      </c>
      <c r="D12774" t="s">
        <v>31</v>
      </c>
      <c r="E12774"/>
      <c r="F12774">
        <v>30</v>
      </c>
    </row>
    <row r="12775" s="76" customFormat="1" spans="1:6">
      <c r="A12775">
        <v>13123</v>
      </c>
      <c r="B12775">
        <v>632014270</v>
      </c>
      <c r="C12775">
        <v>2014</v>
      </c>
      <c r="D12775" t="s">
        <v>31</v>
      </c>
      <c r="E12775">
        <v>1</v>
      </c>
      <c r="F12775">
        <v>1</v>
      </c>
    </row>
    <row r="12776" s="76" customFormat="1" spans="1:6">
      <c r="A12776">
        <v>13112</v>
      </c>
      <c r="B12776">
        <v>632014270</v>
      </c>
      <c r="C12776">
        <v>2014</v>
      </c>
      <c r="D12776" t="s">
        <v>31</v>
      </c>
      <c r="E12776"/>
      <c r="F12776">
        <v>1.6</v>
      </c>
    </row>
    <row r="12777" s="76" customFormat="1" spans="1:6">
      <c r="A12777">
        <v>13107</v>
      </c>
      <c r="B12777">
        <v>632014270</v>
      </c>
      <c r="C12777">
        <v>2014</v>
      </c>
      <c r="D12777" t="s">
        <v>31</v>
      </c>
      <c r="E12777">
        <v>1</v>
      </c>
      <c r="F12777">
        <v>9</v>
      </c>
    </row>
    <row r="12778" s="76" customFormat="1" spans="1:6">
      <c r="A12778">
        <v>13127</v>
      </c>
      <c r="B12778">
        <v>632015110</v>
      </c>
      <c r="C12778">
        <v>2015</v>
      </c>
      <c r="D12778" t="s">
        <v>40</v>
      </c>
      <c r="E12778" t="s">
        <v>32</v>
      </c>
      <c r="F12778">
        <v>2</v>
      </c>
    </row>
    <row r="12779" s="76" customFormat="1" spans="1:6">
      <c r="A12779">
        <v>13126</v>
      </c>
      <c r="B12779">
        <v>632015110</v>
      </c>
      <c r="C12779">
        <v>2015</v>
      </c>
      <c r="D12779" t="s">
        <v>40</v>
      </c>
      <c r="E12779" t="s">
        <v>32</v>
      </c>
      <c r="F12779">
        <v>0.1</v>
      </c>
    </row>
    <row r="12780" s="76" customFormat="1" spans="1:6">
      <c r="A12780">
        <v>13128</v>
      </c>
      <c r="B12780">
        <v>632015110</v>
      </c>
      <c r="C12780">
        <v>2015</v>
      </c>
      <c r="D12780" t="s">
        <v>40</v>
      </c>
      <c r="E12780" t="s">
        <v>32</v>
      </c>
      <c r="F12780">
        <v>26</v>
      </c>
    </row>
    <row r="12781" s="76" customFormat="1" spans="1:6">
      <c r="A12781">
        <v>13130</v>
      </c>
      <c r="B12781">
        <v>632015211</v>
      </c>
      <c r="C12781">
        <v>2015</v>
      </c>
      <c r="D12781" t="s">
        <v>37</v>
      </c>
      <c r="E12781">
        <v>1</v>
      </c>
      <c r="F12781">
        <v>35</v>
      </c>
    </row>
    <row r="12782" s="76" customFormat="1" spans="1:6">
      <c r="A12782">
        <v>13129</v>
      </c>
      <c r="B12782">
        <v>632015211</v>
      </c>
      <c r="C12782">
        <v>2015</v>
      </c>
      <c r="D12782" t="s">
        <v>37</v>
      </c>
      <c r="E12782">
        <v>1</v>
      </c>
      <c r="F12782">
        <v>66</v>
      </c>
    </row>
    <row r="12783" s="76" customFormat="1" spans="1:6">
      <c r="A12783">
        <v>13131</v>
      </c>
      <c r="B12783">
        <v>632015242</v>
      </c>
      <c r="C12783">
        <v>2015</v>
      </c>
      <c r="D12783" t="s">
        <v>35</v>
      </c>
      <c r="E12783">
        <v>1</v>
      </c>
      <c r="F12783">
        <v>0.25</v>
      </c>
    </row>
    <row r="12784" s="76" customFormat="1" spans="1:6">
      <c r="A12784">
        <v>13132</v>
      </c>
      <c r="B12784">
        <v>632015260</v>
      </c>
      <c r="C12784">
        <v>2015</v>
      </c>
      <c r="D12784" t="s">
        <v>34</v>
      </c>
      <c r="E12784">
        <v>33</v>
      </c>
      <c r="F12784">
        <v>4.95</v>
      </c>
    </row>
    <row r="12785" s="76" customFormat="1" spans="1:6">
      <c r="A12785">
        <v>13136</v>
      </c>
      <c r="B12785">
        <v>632015260</v>
      </c>
      <c r="C12785">
        <v>2015</v>
      </c>
      <c r="D12785" t="s">
        <v>34</v>
      </c>
      <c r="E12785" t="s">
        <v>32</v>
      </c>
      <c r="F12785">
        <v>4.95</v>
      </c>
    </row>
    <row r="12786" s="76" customFormat="1" spans="1:6">
      <c r="A12786">
        <v>13135</v>
      </c>
      <c r="B12786">
        <v>632015260</v>
      </c>
      <c r="C12786">
        <v>2015</v>
      </c>
      <c r="D12786" t="s">
        <v>34</v>
      </c>
      <c r="E12786" t="s">
        <v>32</v>
      </c>
      <c r="F12786">
        <v>4.95</v>
      </c>
    </row>
    <row r="12787" s="76" customFormat="1" spans="1:6">
      <c r="A12787">
        <v>13134</v>
      </c>
      <c r="B12787">
        <v>632015260</v>
      </c>
      <c r="C12787">
        <v>2015</v>
      </c>
      <c r="D12787" t="s">
        <v>34</v>
      </c>
      <c r="E12787" t="s">
        <v>32</v>
      </c>
      <c r="F12787">
        <v>4.95</v>
      </c>
    </row>
    <row r="12788" s="76" customFormat="1" spans="1:6">
      <c r="A12788">
        <v>13133</v>
      </c>
      <c r="B12788">
        <v>632015260</v>
      </c>
      <c r="C12788">
        <v>2015</v>
      </c>
      <c r="D12788" t="s">
        <v>34</v>
      </c>
      <c r="E12788">
        <v>33</v>
      </c>
      <c r="F12788">
        <v>4.95</v>
      </c>
    </row>
    <row r="12789" s="76" customFormat="1" spans="1:6">
      <c r="A12789">
        <v>13165</v>
      </c>
      <c r="B12789">
        <v>632015270</v>
      </c>
      <c r="C12789">
        <v>2015</v>
      </c>
      <c r="D12789" t="s">
        <v>31</v>
      </c>
      <c r="E12789" t="s">
        <v>32</v>
      </c>
      <c r="F12789">
        <v>3</v>
      </c>
    </row>
    <row r="12790" s="76" customFormat="1" spans="1:6">
      <c r="A12790">
        <v>13169</v>
      </c>
      <c r="B12790">
        <v>632015270</v>
      </c>
      <c r="C12790">
        <v>2015</v>
      </c>
      <c r="D12790" t="s">
        <v>31</v>
      </c>
      <c r="E12790" t="s">
        <v>32</v>
      </c>
      <c r="F12790">
        <v>3</v>
      </c>
    </row>
    <row r="12791" s="76" customFormat="1" spans="1:6">
      <c r="A12791">
        <v>13155</v>
      </c>
      <c r="B12791">
        <v>632015270</v>
      </c>
      <c r="C12791">
        <v>2015</v>
      </c>
      <c r="D12791" t="s">
        <v>31</v>
      </c>
      <c r="E12791" t="s">
        <v>32</v>
      </c>
      <c r="F12791">
        <v>1</v>
      </c>
    </row>
    <row r="12792" s="76" customFormat="1" spans="1:6">
      <c r="A12792">
        <v>13151</v>
      </c>
      <c r="B12792">
        <v>632015270</v>
      </c>
      <c r="C12792">
        <v>2015</v>
      </c>
      <c r="D12792" t="s">
        <v>31</v>
      </c>
      <c r="E12792" t="s">
        <v>32</v>
      </c>
      <c r="F12792">
        <v>1</v>
      </c>
    </row>
    <row r="12793" s="76" customFormat="1" spans="1:6">
      <c r="A12793">
        <v>13137</v>
      </c>
      <c r="B12793">
        <v>632015270</v>
      </c>
      <c r="C12793">
        <v>2015</v>
      </c>
      <c r="D12793" t="s">
        <v>31</v>
      </c>
      <c r="E12793" t="s">
        <v>32</v>
      </c>
      <c r="F12793">
        <v>4.5</v>
      </c>
    </row>
    <row r="12794" s="76" customFormat="1" spans="1:6">
      <c r="A12794">
        <v>13141</v>
      </c>
      <c r="B12794">
        <v>632015270</v>
      </c>
      <c r="C12794">
        <v>2015</v>
      </c>
      <c r="D12794" t="s">
        <v>31</v>
      </c>
      <c r="E12794" t="s">
        <v>32</v>
      </c>
      <c r="F12794">
        <v>2</v>
      </c>
    </row>
    <row r="12795" s="76" customFormat="1" spans="1:6">
      <c r="A12795">
        <v>13143</v>
      </c>
      <c r="B12795">
        <v>632015270</v>
      </c>
      <c r="C12795">
        <v>2015</v>
      </c>
      <c r="D12795" t="s">
        <v>31</v>
      </c>
      <c r="E12795" t="s">
        <v>32</v>
      </c>
      <c r="F12795">
        <v>6</v>
      </c>
    </row>
    <row r="12796" s="76" customFormat="1" spans="1:6">
      <c r="A12796">
        <v>13161</v>
      </c>
      <c r="B12796">
        <v>632015270</v>
      </c>
      <c r="C12796">
        <v>2015</v>
      </c>
      <c r="D12796" t="s">
        <v>31</v>
      </c>
      <c r="E12796" t="s">
        <v>32</v>
      </c>
      <c r="F12796">
        <v>1</v>
      </c>
    </row>
    <row r="12797" s="76" customFormat="1" spans="1:6">
      <c r="A12797">
        <v>13138</v>
      </c>
      <c r="B12797">
        <v>632015270</v>
      </c>
      <c r="C12797">
        <v>2015</v>
      </c>
      <c r="D12797" t="s">
        <v>31</v>
      </c>
      <c r="E12797">
        <v>1</v>
      </c>
      <c r="F12797">
        <v>1</v>
      </c>
    </row>
    <row r="12798" s="76" customFormat="1" spans="1:6">
      <c r="A12798">
        <v>13153</v>
      </c>
      <c r="B12798">
        <v>632015270</v>
      </c>
      <c r="C12798">
        <v>2015</v>
      </c>
      <c r="D12798" t="s">
        <v>31</v>
      </c>
      <c r="E12798" t="s">
        <v>32</v>
      </c>
      <c r="F12798">
        <v>1</v>
      </c>
    </row>
    <row r="12799" s="76" customFormat="1" spans="1:6">
      <c r="A12799">
        <v>13154</v>
      </c>
      <c r="B12799">
        <v>632015270</v>
      </c>
      <c r="C12799">
        <v>2015</v>
      </c>
      <c r="D12799" t="s">
        <v>31</v>
      </c>
      <c r="E12799" t="s">
        <v>32</v>
      </c>
      <c r="F12799">
        <v>2</v>
      </c>
    </row>
    <row r="12800" s="76" customFormat="1" spans="1:6">
      <c r="A12800">
        <v>13150</v>
      </c>
      <c r="B12800">
        <v>632015270</v>
      </c>
      <c r="C12800">
        <v>2015</v>
      </c>
      <c r="D12800" t="s">
        <v>31</v>
      </c>
      <c r="E12800" t="s">
        <v>32</v>
      </c>
      <c r="F12800">
        <v>1</v>
      </c>
    </row>
    <row r="12801" s="76" customFormat="1" spans="1:6">
      <c r="A12801">
        <v>13166</v>
      </c>
      <c r="B12801">
        <v>632015270</v>
      </c>
      <c r="C12801">
        <v>2015</v>
      </c>
      <c r="D12801" t="s">
        <v>31</v>
      </c>
      <c r="E12801" t="s">
        <v>32</v>
      </c>
      <c r="F12801">
        <v>6</v>
      </c>
    </row>
    <row r="12802" s="76" customFormat="1" spans="1:6">
      <c r="A12802">
        <v>13163</v>
      </c>
      <c r="B12802">
        <v>632015270</v>
      </c>
      <c r="C12802">
        <v>2015</v>
      </c>
      <c r="D12802" t="s">
        <v>31</v>
      </c>
      <c r="E12802" t="s">
        <v>32</v>
      </c>
      <c r="F12802">
        <v>1</v>
      </c>
    </row>
    <row r="12803" s="76" customFormat="1" spans="1:6">
      <c r="A12803">
        <v>13152</v>
      </c>
      <c r="B12803">
        <v>632015270</v>
      </c>
      <c r="C12803">
        <v>2015</v>
      </c>
      <c r="D12803" t="s">
        <v>31</v>
      </c>
      <c r="E12803" t="s">
        <v>32</v>
      </c>
      <c r="F12803">
        <v>2</v>
      </c>
    </row>
    <row r="12804" s="76" customFormat="1" spans="1:6">
      <c r="A12804">
        <v>13149</v>
      </c>
      <c r="B12804">
        <v>632015270</v>
      </c>
      <c r="C12804">
        <v>2015</v>
      </c>
      <c r="D12804" t="s">
        <v>31</v>
      </c>
      <c r="E12804">
        <v>1</v>
      </c>
      <c r="F12804">
        <v>6.58</v>
      </c>
    </row>
    <row r="12805" s="76" customFormat="1" spans="1:6">
      <c r="A12805">
        <v>13164</v>
      </c>
      <c r="B12805">
        <v>632015270</v>
      </c>
      <c r="C12805">
        <v>2015</v>
      </c>
      <c r="D12805" t="s">
        <v>31</v>
      </c>
      <c r="E12805" t="s">
        <v>32</v>
      </c>
      <c r="F12805">
        <v>2</v>
      </c>
    </row>
    <row r="12806" s="76" customFormat="1" spans="1:6">
      <c r="A12806">
        <v>13167</v>
      </c>
      <c r="B12806">
        <v>632015270</v>
      </c>
      <c r="C12806">
        <v>2015</v>
      </c>
      <c r="D12806" t="s">
        <v>31</v>
      </c>
      <c r="E12806" t="s">
        <v>32</v>
      </c>
      <c r="F12806">
        <v>5</v>
      </c>
    </row>
    <row r="12807" s="76" customFormat="1" spans="1:6">
      <c r="A12807">
        <v>13160</v>
      </c>
      <c r="B12807">
        <v>632015270</v>
      </c>
      <c r="C12807">
        <v>2015</v>
      </c>
      <c r="D12807" t="s">
        <v>31</v>
      </c>
      <c r="E12807" t="s">
        <v>32</v>
      </c>
      <c r="F12807">
        <v>1</v>
      </c>
    </row>
    <row r="12808" s="76" customFormat="1" spans="1:6">
      <c r="A12808">
        <v>13139</v>
      </c>
      <c r="B12808">
        <v>632015270</v>
      </c>
      <c r="C12808">
        <v>2015</v>
      </c>
      <c r="D12808" t="s">
        <v>31</v>
      </c>
      <c r="E12808" t="s">
        <v>32</v>
      </c>
      <c r="F12808">
        <v>5</v>
      </c>
    </row>
    <row r="12809" s="76" customFormat="1" spans="1:6">
      <c r="A12809">
        <v>13142</v>
      </c>
      <c r="B12809">
        <v>632015270</v>
      </c>
      <c r="C12809">
        <v>2015</v>
      </c>
      <c r="D12809" t="s">
        <v>31</v>
      </c>
      <c r="E12809" t="s">
        <v>32</v>
      </c>
      <c r="F12809">
        <v>1</v>
      </c>
    </row>
    <row r="12810" s="76" customFormat="1" spans="1:6">
      <c r="A12810">
        <v>13144</v>
      </c>
      <c r="B12810">
        <v>632015270</v>
      </c>
      <c r="C12810">
        <v>2015</v>
      </c>
      <c r="D12810" t="s">
        <v>31</v>
      </c>
      <c r="E12810" t="s">
        <v>32</v>
      </c>
      <c r="F12810">
        <v>15</v>
      </c>
    </row>
    <row r="12811" s="76" customFormat="1" spans="1:6">
      <c r="A12811">
        <v>13146</v>
      </c>
      <c r="B12811">
        <v>632015270</v>
      </c>
      <c r="C12811">
        <v>2015</v>
      </c>
      <c r="D12811" t="s">
        <v>31</v>
      </c>
      <c r="E12811" t="s">
        <v>32</v>
      </c>
      <c r="F12811">
        <v>5</v>
      </c>
    </row>
    <row r="12812" s="76" customFormat="1" spans="1:6">
      <c r="A12812">
        <v>13140</v>
      </c>
      <c r="B12812">
        <v>632015270</v>
      </c>
      <c r="C12812">
        <v>2015</v>
      </c>
      <c r="D12812" t="s">
        <v>31</v>
      </c>
      <c r="E12812"/>
      <c r="F12812">
        <v>1</v>
      </c>
    </row>
    <row r="12813" s="76" customFormat="1" spans="1:6">
      <c r="A12813">
        <v>13147</v>
      </c>
      <c r="B12813">
        <v>632015270</v>
      </c>
      <c r="C12813">
        <v>2015</v>
      </c>
      <c r="D12813" t="s">
        <v>31</v>
      </c>
      <c r="E12813">
        <v>1</v>
      </c>
      <c r="F12813">
        <v>6</v>
      </c>
    </row>
    <row r="12814" s="76" customFormat="1" spans="1:6">
      <c r="A12814">
        <v>13157</v>
      </c>
      <c r="B12814">
        <v>632015270</v>
      </c>
      <c r="C12814">
        <v>2015</v>
      </c>
      <c r="D12814" t="s">
        <v>31</v>
      </c>
      <c r="E12814" t="s">
        <v>32</v>
      </c>
      <c r="F12814">
        <v>1</v>
      </c>
    </row>
    <row r="12815" s="76" customFormat="1" spans="1:6">
      <c r="A12815">
        <v>13156</v>
      </c>
      <c r="B12815">
        <v>632015270</v>
      </c>
      <c r="C12815">
        <v>2015</v>
      </c>
      <c r="D12815" t="s">
        <v>31</v>
      </c>
      <c r="E12815" t="s">
        <v>32</v>
      </c>
      <c r="F12815">
        <v>1</v>
      </c>
    </row>
    <row r="12816" s="76" customFormat="1" spans="1:6">
      <c r="A12816">
        <v>13145</v>
      </c>
      <c r="B12816">
        <v>632015270</v>
      </c>
      <c r="C12816">
        <v>2015</v>
      </c>
      <c r="D12816" t="s">
        <v>31</v>
      </c>
      <c r="E12816" t="s">
        <v>32</v>
      </c>
      <c r="F12816">
        <v>23</v>
      </c>
    </row>
    <row r="12817" s="76" customFormat="1" spans="1:6">
      <c r="A12817">
        <v>13159</v>
      </c>
      <c r="B12817">
        <v>632015270</v>
      </c>
      <c r="C12817">
        <v>2015</v>
      </c>
      <c r="D12817" t="s">
        <v>31</v>
      </c>
      <c r="E12817" t="s">
        <v>32</v>
      </c>
      <c r="F12817">
        <v>1</v>
      </c>
    </row>
    <row r="12818" s="76" customFormat="1" spans="1:6">
      <c r="A12818">
        <v>13162</v>
      </c>
      <c r="B12818">
        <v>632015270</v>
      </c>
      <c r="C12818">
        <v>2015</v>
      </c>
      <c r="D12818" t="s">
        <v>31</v>
      </c>
      <c r="E12818" t="s">
        <v>32</v>
      </c>
      <c r="F12818">
        <v>2</v>
      </c>
    </row>
    <row r="12819" s="76" customFormat="1" spans="1:6">
      <c r="A12819">
        <v>13172</v>
      </c>
      <c r="B12819">
        <v>632015270</v>
      </c>
      <c r="C12819">
        <v>2015</v>
      </c>
      <c r="D12819" t="s">
        <v>31</v>
      </c>
      <c r="E12819" t="s">
        <v>32</v>
      </c>
      <c r="F12819">
        <v>2.1</v>
      </c>
    </row>
    <row r="12820" s="76" customFormat="1" spans="1:6">
      <c r="A12820">
        <v>13171</v>
      </c>
      <c r="B12820">
        <v>632015270</v>
      </c>
      <c r="C12820">
        <v>2015</v>
      </c>
      <c r="D12820" t="s">
        <v>31</v>
      </c>
      <c r="E12820" t="s">
        <v>32</v>
      </c>
      <c r="F12820">
        <v>5</v>
      </c>
    </row>
    <row r="12821" s="76" customFormat="1" spans="1:6">
      <c r="A12821">
        <v>13168</v>
      </c>
      <c r="B12821">
        <v>632015270</v>
      </c>
      <c r="C12821">
        <v>2015</v>
      </c>
      <c r="D12821" t="s">
        <v>31</v>
      </c>
      <c r="E12821" t="s">
        <v>32</v>
      </c>
      <c r="F12821">
        <v>4</v>
      </c>
    </row>
    <row r="12822" s="76" customFormat="1" spans="1:6">
      <c r="A12822">
        <v>13148</v>
      </c>
      <c r="B12822">
        <v>632015270</v>
      </c>
      <c r="C12822">
        <v>2015</v>
      </c>
      <c r="D12822" t="s">
        <v>31</v>
      </c>
      <c r="E12822">
        <v>1</v>
      </c>
      <c r="F12822">
        <v>0.62</v>
      </c>
    </row>
    <row r="12823" s="76" customFormat="1" spans="1:6">
      <c r="A12823">
        <v>13170</v>
      </c>
      <c r="B12823">
        <v>632015270</v>
      </c>
      <c r="C12823">
        <v>2015</v>
      </c>
      <c r="D12823" t="s">
        <v>31</v>
      </c>
      <c r="E12823" t="s">
        <v>32</v>
      </c>
      <c r="F12823">
        <v>3</v>
      </c>
    </row>
    <row r="12824" s="76" customFormat="1" spans="1:6">
      <c r="A12824">
        <v>13158</v>
      </c>
      <c r="B12824">
        <v>632015270</v>
      </c>
      <c r="C12824">
        <v>2015</v>
      </c>
      <c r="D12824" t="s">
        <v>31</v>
      </c>
      <c r="E12824" t="s">
        <v>32</v>
      </c>
      <c r="F12824">
        <v>5</v>
      </c>
    </row>
    <row r="12825" s="76" customFormat="1" spans="1:6">
      <c r="A12825">
        <v>13173</v>
      </c>
      <c r="B12825">
        <v>632016110</v>
      </c>
      <c r="C12825" s="76">
        <v>2016</v>
      </c>
      <c r="D12825" s="76" t="s">
        <v>40</v>
      </c>
      <c r="E12825" s="76" t="s">
        <v>32</v>
      </c>
      <c r="F12825" s="76">
        <v>9</v>
      </c>
    </row>
    <row r="12826" s="76" customFormat="1" spans="1:6">
      <c r="A12826">
        <v>13176</v>
      </c>
      <c r="B12826">
        <v>632016110</v>
      </c>
      <c r="C12826" s="76">
        <v>2016</v>
      </c>
      <c r="D12826" s="76" t="s">
        <v>40</v>
      </c>
      <c r="E12826" s="76" t="s">
        <v>32</v>
      </c>
      <c r="F12826" s="76">
        <v>2</v>
      </c>
    </row>
    <row r="12827" s="76" customFormat="1" spans="1:6">
      <c r="A12827">
        <v>13174</v>
      </c>
      <c r="B12827">
        <v>632016110</v>
      </c>
      <c r="C12827" s="76">
        <v>2016</v>
      </c>
      <c r="D12827" s="76" t="s">
        <v>40</v>
      </c>
      <c r="E12827" s="76" t="s">
        <v>32</v>
      </c>
      <c r="F12827" s="76">
        <v>2</v>
      </c>
    </row>
    <row r="12828" s="76" customFormat="1" spans="1:6">
      <c r="A12828">
        <v>13178</v>
      </c>
      <c r="B12828">
        <v>632016110</v>
      </c>
      <c r="C12828" s="76">
        <v>2016</v>
      </c>
      <c r="D12828" s="76" t="s">
        <v>40</v>
      </c>
      <c r="E12828" s="76" t="s">
        <v>32</v>
      </c>
      <c r="F12828" s="76">
        <v>14.2</v>
      </c>
    </row>
    <row r="12829" s="76" customFormat="1" spans="1:6">
      <c r="A12829">
        <v>13177</v>
      </c>
      <c r="B12829">
        <v>632016110</v>
      </c>
      <c r="C12829" s="76">
        <v>2016</v>
      </c>
      <c r="D12829" s="76" t="s">
        <v>40</v>
      </c>
      <c r="E12829" s="76" t="s">
        <v>32</v>
      </c>
      <c r="F12829" s="76">
        <v>10</v>
      </c>
    </row>
    <row r="12830" s="76" customFormat="1" spans="1:6">
      <c r="A12830">
        <v>13175</v>
      </c>
      <c r="B12830">
        <v>632016110</v>
      </c>
      <c r="C12830" s="76">
        <v>2016</v>
      </c>
      <c r="D12830" s="76" t="s">
        <v>40</v>
      </c>
      <c r="E12830" s="76" t="s">
        <v>32</v>
      </c>
      <c r="F12830" s="76">
        <v>8</v>
      </c>
    </row>
    <row r="12831" s="76" customFormat="1" spans="1:6">
      <c r="A12831">
        <v>13181</v>
      </c>
      <c r="B12831">
        <v>632016211</v>
      </c>
      <c r="C12831" s="76">
        <v>2016</v>
      </c>
      <c r="D12831" s="76" t="s">
        <v>37</v>
      </c>
      <c r="E12831" s="76">
        <v>1</v>
      </c>
      <c r="F12831" s="76">
        <v>35</v>
      </c>
    </row>
    <row r="12832" s="76" customFormat="1" spans="1:6">
      <c r="A12832">
        <v>13180</v>
      </c>
      <c r="B12832">
        <v>632016211</v>
      </c>
      <c r="C12832" s="76">
        <v>2016</v>
      </c>
      <c r="D12832" s="76" t="s">
        <v>37</v>
      </c>
      <c r="E12832" s="76">
        <v>1</v>
      </c>
      <c r="F12832" s="76">
        <v>66</v>
      </c>
    </row>
    <row r="12833" s="76" customFormat="1" spans="1:6">
      <c r="A12833">
        <v>13183</v>
      </c>
      <c r="B12833">
        <v>632016241</v>
      </c>
      <c r="C12833" s="76">
        <v>2016</v>
      </c>
      <c r="D12833" s="76" t="s">
        <v>33</v>
      </c>
      <c r="E12833" s="76" t="s">
        <v>32</v>
      </c>
      <c r="F12833" s="76">
        <v>10.5</v>
      </c>
    </row>
    <row r="12834" s="76" customFormat="1" spans="1:6">
      <c r="A12834">
        <v>13182</v>
      </c>
      <c r="B12834">
        <v>632016241</v>
      </c>
      <c r="C12834" s="76">
        <v>2016</v>
      </c>
      <c r="D12834" s="76" t="s">
        <v>33</v>
      </c>
      <c r="E12834" s="76" t="s">
        <v>32</v>
      </c>
      <c r="F12834" s="76">
        <v>0.75</v>
      </c>
    </row>
    <row r="12835" s="76" customFormat="1" spans="1:6">
      <c r="A12835">
        <v>13190</v>
      </c>
      <c r="B12835">
        <v>632016260</v>
      </c>
      <c r="C12835" s="76">
        <v>2016</v>
      </c>
      <c r="D12835" s="76" t="s">
        <v>34</v>
      </c>
      <c r="E12835" s="76" t="s">
        <v>32</v>
      </c>
      <c r="F12835" s="76">
        <v>4.95</v>
      </c>
    </row>
    <row r="12836" s="76" customFormat="1" spans="1:6">
      <c r="A12836">
        <v>13189</v>
      </c>
      <c r="B12836">
        <v>632016260</v>
      </c>
      <c r="C12836" s="76">
        <v>2016</v>
      </c>
      <c r="D12836" s="76" t="s">
        <v>34</v>
      </c>
      <c r="E12836" s="76" t="s">
        <v>32</v>
      </c>
      <c r="F12836" s="76">
        <v>4.95</v>
      </c>
    </row>
    <row r="12837" s="76" customFormat="1" spans="1:6">
      <c r="A12837">
        <v>13188</v>
      </c>
      <c r="B12837">
        <v>632016260</v>
      </c>
      <c r="C12837" s="76">
        <v>2016</v>
      </c>
      <c r="D12837" s="76" t="s">
        <v>34</v>
      </c>
      <c r="E12837" s="76" t="s">
        <v>32</v>
      </c>
      <c r="F12837" s="76">
        <v>2</v>
      </c>
    </row>
    <row r="12838" s="76" customFormat="1" spans="1:6">
      <c r="A12838">
        <v>13191</v>
      </c>
      <c r="B12838">
        <v>632016260</v>
      </c>
      <c r="C12838" s="76">
        <v>2016</v>
      </c>
      <c r="D12838" s="76" t="s">
        <v>34</v>
      </c>
      <c r="E12838" s="76" t="s">
        <v>32</v>
      </c>
      <c r="F12838" s="76">
        <v>5</v>
      </c>
    </row>
    <row r="12839" s="76" customFormat="1" spans="1:6">
      <c r="A12839">
        <v>13187</v>
      </c>
      <c r="B12839">
        <v>632016260</v>
      </c>
      <c r="C12839" s="76">
        <v>2016</v>
      </c>
      <c r="D12839" s="76" t="s">
        <v>34</v>
      </c>
      <c r="E12839" s="76" t="s">
        <v>32</v>
      </c>
      <c r="F12839" s="76">
        <v>4.95</v>
      </c>
    </row>
    <row r="12840" s="76" customFormat="1" spans="1:6">
      <c r="A12840">
        <v>13186</v>
      </c>
      <c r="B12840">
        <v>632016260</v>
      </c>
      <c r="C12840" s="76">
        <v>2016</v>
      </c>
      <c r="D12840" s="76" t="s">
        <v>34</v>
      </c>
      <c r="E12840" s="76">
        <v>15</v>
      </c>
      <c r="F12840" s="76">
        <v>3</v>
      </c>
    </row>
    <row r="12841" s="76" customFormat="1" spans="1:6">
      <c r="A12841">
        <v>13185</v>
      </c>
      <c r="B12841">
        <v>632016260</v>
      </c>
      <c r="C12841" s="76">
        <v>2016</v>
      </c>
      <c r="D12841" s="76" t="s">
        <v>34</v>
      </c>
      <c r="E12841" s="76">
        <v>20</v>
      </c>
      <c r="F12841" s="76">
        <v>5</v>
      </c>
    </row>
    <row r="12842" s="76" customFormat="1" spans="1:6">
      <c r="A12842">
        <v>13228</v>
      </c>
      <c r="B12842">
        <v>632016270</v>
      </c>
      <c r="C12842" s="76">
        <v>2016</v>
      </c>
      <c r="D12842" s="76" t="s">
        <v>31</v>
      </c>
      <c r="E12842" s="76" t="s">
        <v>32</v>
      </c>
      <c r="F12842" s="76">
        <v>5</v>
      </c>
    </row>
    <row r="12843" s="76" customFormat="1" spans="1:6">
      <c r="A12843">
        <v>13208</v>
      </c>
      <c r="B12843">
        <v>632016270</v>
      </c>
      <c r="C12843" s="76">
        <v>2016</v>
      </c>
      <c r="D12843" s="76" t="s">
        <v>31</v>
      </c>
      <c r="E12843" s="76" t="s">
        <v>32</v>
      </c>
      <c r="F12843" s="76">
        <v>1</v>
      </c>
    </row>
    <row r="12844" s="76" customFormat="1" spans="1:6">
      <c r="A12844">
        <v>13210</v>
      </c>
      <c r="B12844">
        <v>632016270</v>
      </c>
      <c r="C12844" s="76">
        <v>2016</v>
      </c>
      <c r="D12844" s="76" t="s">
        <v>31</v>
      </c>
      <c r="E12844" s="76" t="s">
        <v>32</v>
      </c>
      <c r="F12844" s="76">
        <v>1</v>
      </c>
    </row>
    <row r="12845" s="76" customFormat="1" spans="1:6">
      <c r="A12845">
        <v>13221</v>
      </c>
      <c r="B12845">
        <v>632016270</v>
      </c>
      <c r="C12845" s="76">
        <v>2016</v>
      </c>
      <c r="D12845" s="76" t="s">
        <v>31</v>
      </c>
      <c r="E12845" s="76" t="s">
        <v>32</v>
      </c>
      <c r="F12845" s="76">
        <v>1</v>
      </c>
    </row>
    <row r="12846" s="76" customFormat="1" spans="1:6">
      <c r="A12846">
        <v>13241</v>
      </c>
      <c r="B12846">
        <v>632016270</v>
      </c>
      <c r="C12846" s="76">
        <v>2016</v>
      </c>
      <c r="D12846" s="76" t="s">
        <v>31</v>
      </c>
      <c r="E12846" s="76" t="s">
        <v>32</v>
      </c>
      <c r="F12846" s="76">
        <v>1</v>
      </c>
    </row>
    <row r="12847" s="76" customFormat="1" spans="1:6">
      <c r="A12847">
        <v>13238</v>
      </c>
      <c r="B12847">
        <v>632016270</v>
      </c>
      <c r="C12847" s="76">
        <v>2016</v>
      </c>
      <c r="D12847" s="76" t="s">
        <v>31</v>
      </c>
      <c r="E12847" s="76" t="s">
        <v>32</v>
      </c>
      <c r="F12847" s="76">
        <v>2</v>
      </c>
    </row>
    <row r="12848" s="76" customFormat="1" spans="1:6">
      <c r="A12848">
        <v>13235</v>
      </c>
      <c r="B12848">
        <v>632016270</v>
      </c>
      <c r="C12848" s="76">
        <v>2016</v>
      </c>
      <c r="D12848" s="76" t="s">
        <v>31</v>
      </c>
      <c r="E12848" s="76" t="s">
        <v>32</v>
      </c>
      <c r="F12848" s="76">
        <v>2</v>
      </c>
    </row>
    <row r="12849" s="76" customFormat="1" spans="1:6">
      <c r="A12849">
        <v>13237</v>
      </c>
      <c r="B12849">
        <v>632016270</v>
      </c>
      <c r="C12849" s="76">
        <v>2016</v>
      </c>
      <c r="D12849" s="76" t="s">
        <v>31</v>
      </c>
      <c r="E12849" s="76" t="s">
        <v>32</v>
      </c>
      <c r="F12849" s="76">
        <v>2</v>
      </c>
    </row>
    <row r="12850" s="76" customFormat="1" spans="1:6">
      <c r="A12850">
        <v>13204</v>
      </c>
      <c r="B12850">
        <v>632016270</v>
      </c>
      <c r="C12850" s="76">
        <v>2016</v>
      </c>
      <c r="D12850" s="76" t="s">
        <v>31</v>
      </c>
      <c r="E12850" s="76" t="s">
        <v>32</v>
      </c>
      <c r="F12850" s="76">
        <v>2.2</v>
      </c>
    </row>
    <row r="12851" s="76" customFormat="1" spans="1:6">
      <c r="A12851">
        <v>13227</v>
      </c>
      <c r="B12851">
        <v>632016270</v>
      </c>
      <c r="C12851" s="76">
        <v>2016</v>
      </c>
      <c r="D12851" s="76" t="s">
        <v>31</v>
      </c>
      <c r="E12851" s="76" t="s">
        <v>32</v>
      </c>
      <c r="F12851" s="76">
        <v>1</v>
      </c>
    </row>
    <row r="12852" s="76" customFormat="1" spans="1:6">
      <c r="A12852">
        <v>13217</v>
      </c>
      <c r="B12852">
        <v>632016270</v>
      </c>
      <c r="C12852" s="76">
        <v>2016</v>
      </c>
      <c r="D12852" s="76" t="s">
        <v>31</v>
      </c>
      <c r="E12852" s="76" t="s">
        <v>32</v>
      </c>
      <c r="F12852" s="76">
        <v>1</v>
      </c>
    </row>
    <row r="12853" s="76" customFormat="1" spans="1:6">
      <c r="A12853">
        <v>13218</v>
      </c>
      <c r="B12853">
        <v>632016270</v>
      </c>
      <c r="C12853" s="76">
        <v>2016</v>
      </c>
      <c r="D12853" s="76" t="s">
        <v>31</v>
      </c>
      <c r="E12853" s="76" t="s">
        <v>32</v>
      </c>
      <c r="F12853" s="76">
        <v>1</v>
      </c>
    </row>
    <row r="12854" s="76" customFormat="1" spans="1:6">
      <c r="A12854">
        <v>13216</v>
      </c>
      <c r="B12854">
        <v>632016270</v>
      </c>
      <c r="C12854" s="76">
        <v>2016</v>
      </c>
      <c r="D12854" s="76" t="s">
        <v>31</v>
      </c>
      <c r="E12854" s="76" t="s">
        <v>32</v>
      </c>
      <c r="F12854" s="76">
        <v>2</v>
      </c>
    </row>
    <row r="12855" s="76" customFormat="1" spans="1:6">
      <c r="A12855">
        <v>13219</v>
      </c>
      <c r="B12855">
        <v>632016270</v>
      </c>
      <c r="C12855" s="76">
        <v>2016</v>
      </c>
      <c r="D12855" s="76" t="s">
        <v>31</v>
      </c>
      <c r="E12855" s="76" t="s">
        <v>32</v>
      </c>
      <c r="F12855" s="76">
        <v>1</v>
      </c>
    </row>
    <row r="12856" s="76" customFormat="1" spans="1:6">
      <c r="A12856">
        <v>13195</v>
      </c>
      <c r="B12856">
        <v>632016270</v>
      </c>
      <c r="C12856" s="76">
        <v>2016</v>
      </c>
      <c r="D12856" s="76" t="s">
        <v>31</v>
      </c>
      <c r="E12856" s="76" t="s">
        <v>32</v>
      </c>
      <c r="F12856" s="76">
        <v>3</v>
      </c>
    </row>
    <row r="12857" s="76" customFormat="1" spans="1:6">
      <c r="A12857">
        <v>13214</v>
      </c>
      <c r="B12857">
        <v>632016270</v>
      </c>
      <c r="C12857" s="76">
        <v>2016</v>
      </c>
      <c r="D12857" s="76" t="s">
        <v>31</v>
      </c>
      <c r="E12857" s="76" t="s">
        <v>32</v>
      </c>
      <c r="F12857" s="76">
        <v>2</v>
      </c>
    </row>
    <row r="12858" s="76" customFormat="1" spans="1:6">
      <c r="A12858">
        <v>13215</v>
      </c>
      <c r="B12858">
        <v>632016270</v>
      </c>
      <c r="C12858" s="76">
        <v>2016</v>
      </c>
      <c r="D12858" s="76" t="s">
        <v>31</v>
      </c>
      <c r="E12858" s="76" t="s">
        <v>32</v>
      </c>
      <c r="F12858" s="76">
        <v>1</v>
      </c>
    </row>
    <row r="12859" s="76" customFormat="1" spans="1:6">
      <c r="A12859">
        <v>13212</v>
      </c>
      <c r="B12859">
        <v>632016270</v>
      </c>
      <c r="C12859" s="76">
        <v>2016</v>
      </c>
      <c r="D12859" s="76" t="s">
        <v>31</v>
      </c>
      <c r="E12859" s="76" t="s">
        <v>32</v>
      </c>
      <c r="F12859" s="76">
        <v>1</v>
      </c>
    </row>
    <row r="12860" s="76" customFormat="1" spans="1:6">
      <c r="A12860">
        <v>13211</v>
      </c>
      <c r="B12860">
        <v>632016270</v>
      </c>
      <c r="C12860" s="76">
        <v>2016</v>
      </c>
      <c r="D12860" s="76" t="s">
        <v>31</v>
      </c>
      <c r="E12860" s="76" t="s">
        <v>32</v>
      </c>
      <c r="F12860" s="76">
        <v>5</v>
      </c>
    </row>
    <row r="12861" s="76" customFormat="1" spans="1:6">
      <c r="A12861">
        <v>13209</v>
      </c>
      <c r="B12861">
        <v>632016270</v>
      </c>
      <c r="C12861" s="76">
        <v>2016</v>
      </c>
      <c r="D12861" s="76" t="s">
        <v>31</v>
      </c>
      <c r="E12861" s="76" t="s">
        <v>32</v>
      </c>
      <c r="F12861" s="76">
        <v>1</v>
      </c>
    </row>
    <row r="12862" s="76" customFormat="1" spans="1:6">
      <c r="A12862">
        <v>13234</v>
      </c>
      <c r="B12862">
        <v>632016270</v>
      </c>
      <c r="C12862" s="76">
        <v>2016</v>
      </c>
      <c r="D12862" s="76" t="s">
        <v>31</v>
      </c>
      <c r="E12862" s="76" t="s">
        <v>32</v>
      </c>
      <c r="F12862" s="76">
        <v>2</v>
      </c>
    </row>
    <row r="12863" s="76" customFormat="1" spans="1:6">
      <c r="A12863">
        <v>13222</v>
      </c>
      <c r="B12863">
        <v>632016270</v>
      </c>
      <c r="C12863" s="76">
        <v>2016</v>
      </c>
      <c r="D12863" s="76" t="s">
        <v>31</v>
      </c>
      <c r="E12863" s="76" t="s">
        <v>32</v>
      </c>
      <c r="F12863" s="76">
        <v>10</v>
      </c>
    </row>
    <row r="12864" s="76" customFormat="1" spans="1:6">
      <c r="A12864">
        <v>13213</v>
      </c>
      <c r="B12864">
        <v>632016270</v>
      </c>
      <c r="C12864" s="76">
        <v>2016</v>
      </c>
      <c r="D12864" s="76" t="s">
        <v>31</v>
      </c>
      <c r="E12864" s="76" t="s">
        <v>32</v>
      </c>
      <c r="F12864" s="76">
        <v>20</v>
      </c>
    </row>
    <row r="12865" s="76" customFormat="1" spans="1:6">
      <c r="A12865">
        <v>13225</v>
      </c>
      <c r="B12865">
        <v>632016270</v>
      </c>
      <c r="C12865" s="76">
        <v>2016</v>
      </c>
      <c r="D12865" s="76" t="s">
        <v>31</v>
      </c>
      <c r="E12865" s="76" t="s">
        <v>32</v>
      </c>
      <c r="F12865" s="76">
        <v>1</v>
      </c>
    </row>
    <row r="12866" s="76" customFormat="1" spans="1:6">
      <c r="A12866">
        <v>13232</v>
      </c>
      <c r="B12866">
        <v>632016270</v>
      </c>
      <c r="C12866" s="76">
        <v>2016</v>
      </c>
      <c r="D12866" s="76" t="s">
        <v>31</v>
      </c>
      <c r="E12866" s="76" t="s">
        <v>32</v>
      </c>
      <c r="F12866" s="76">
        <v>2</v>
      </c>
    </row>
    <row r="12867" s="76" customFormat="1" spans="1:6">
      <c r="A12867">
        <v>13223</v>
      </c>
      <c r="B12867">
        <v>632016270</v>
      </c>
      <c r="C12867" s="76">
        <v>2016</v>
      </c>
      <c r="D12867" s="76" t="s">
        <v>31</v>
      </c>
      <c r="E12867" s="76" t="s">
        <v>32</v>
      </c>
      <c r="F12867" s="76">
        <v>1</v>
      </c>
    </row>
    <row r="12868" s="76" customFormat="1" spans="1:6">
      <c r="A12868">
        <v>13220</v>
      </c>
      <c r="B12868">
        <v>632016270</v>
      </c>
      <c r="C12868" s="76">
        <v>2016</v>
      </c>
      <c r="D12868" s="76" t="s">
        <v>31</v>
      </c>
      <c r="E12868" s="76" t="s">
        <v>32</v>
      </c>
      <c r="F12868" s="76">
        <v>2</v>
      </c>
    </row>
    <row r="12869" s="76" customFormat="1" spans="1:6">
      <c r="A12869">
        <v>13207</v>
      </c>
      <c r="B12869">
        <v>632016270</v>
      </c>
      <c r="C12869" s="76">
        <v>2016</v>
      </c>
      <c r="D12869" s="76" t="s">
        <v>31</v>
      </c>
      <c r="E12869" s="76" t="s">
        <v>32</v>
      </c>
      <c r="F12869" s="76">
        <v>2</v>
      </c>
    </row>
    <row r="12870" s="76" customFormat="1" spans="1:6">
      <c r="A12870">
        <v>13205</v>
      </c>
      <c r="B12870">
        <v>632016270</v>
      </c>
      <c r="C12870" s="76">
        <v>2016</v>
      </c>
      <c r="D12870" s="76" t="s">
        <v>31</v>
      </c>
      <c r="E12870" s="76" t="s">
        <v>32</v>
      </c>
      <c r="F12870" s="76">
        <v>2</v>
      </c>
    </row>
    <row r="12871" s="76" customFormat="1" spans="1:6">
      <c r="A12871">
        <v>13199</v>
      </c>
      <c r="B12871">
        <v>632016270</v>
      </c>
      <c r="C12871" s="76">
        <v>2016</v>
      </c>
      <c r="D12871" s="76" t="s">
        <v>31</v>
      </c>
      <c r="E12871" s="76" t="s">
        <v>32</v>
      </c>
      <c r="F12871" s="76">
        <v>5</v>
      </c>
    </row>
    <row r="12872" s="76" customFormat="1" spans="1:6">
      <c r="A12872">
        <v>13193</v>
      </c>
      <c r="B12872">
        <v>632016270</v>
      </c>
      <c r="C12872" s="76">
        <v>2016</v>
      </c>
      <c r="D12872" s="76" t="s">
        <v>31</v>
      </c>
      <c r="E12872" s="76">
        <v>1</v>
      </c>
      <c r="F12872" s="76">
        <v>5</v>
      </c>
    </row>
    <row r="12873" s="76" customFormat="1" spans="1:6">
      <c r="A12873">
        <v>13194</v>
      </c>
      <c r="B12873">
        <v>632016270</v>
      </c>
      <c r="C12873" s="76">
        <v>2016</v>
      </c>
      <c r="D12873" s="76" t="s">
        <v>31</v>
      </c>
      <c r="E12873" s="76" t="s">
        <v>32</v>
      </c>
      <c r="F12873" s="76">
        <v>5</v>
      </c>
    </row>
    <row r="12874" s="76" customFormat="1" spans="1:6">
      <c r="A12874">
        <v>13197</v>
      </c>
      <c r="B12874">
        <v>632016270</v>
      </c>
      <c r="C12874" s="76">
        <v>2016</v>
      </c>
      <c r="D12874" s="76" t="s">
        <v>31</v>
      </c>
      <c r="E12874" s="76" t="s">
        <v>32</v>
      </c>
      <c r="F12874" s="76">
        <v>1</v>
      </c>
    </row>
    <row r="12875" s="76" customFormat="1" spans="1:6">
      <c r="A12875">
        <v>13201</v>
      </c>
      <c r="B12875">
        <v>632016270</v>
      </c>
      <c r="C12875" s="76">
        <v>2016</v>
      </c>
      <c r="D12875" s="76" t="s">
        <v>31</v>
      </c>
      <c r="E12875" s="76" t="s">
        <v>32</v>
      </c>
      <c r="F12875" s="76">
        <v>2.5</v>
      </c>
    </row>
    <row r="12876" s="76" customFormat="1" spans="1:6">
      <c r="A12876">
        <v>13202</v>
      </c>
      <c r="B12876">
        <v>632016270</v>
      </c>
      <c r="C12876" s="76">
        <v>2016</v>
      </c>
      <c r="D12876" s="76" t="s">
        <v>31</v>
      </c>
      <c r="E12876" s="76" t="s">
        <v>32</v>
      </c>
      <c r="F12876" s="76">
        <v>2.5</v>
      </c>
    </row>
    <row r="12877" s="76" customFormat="1" spans="1:6">
      <c r="A12877">
        <v>13192</v>
      </c>
      <c r="B12877">
        <v>632016270</v>
      </c>
      <c r="C12877" s="76">
        <v>2016</v>
      </c>
      <c r="D12877" s="76" t="s">
        <v>31</v>
      </c>
      <c r="E12877" s="76" t="s">
        <v>32</v>
      </c>
      <c r="F12877" s="76">
        <v>1</v>
      </c>
    </row>
    <row r="12878" s="76" customFormat="1" spans="1:6">
      <c r="A12878">
        <v>13196</v>
      </c>
      <c r="B12878">
        <v>632016270</v>
      </c>
      <c r="C12878" s="76">
        <v>2016</v>
      </c>
      <c r="D12878" s="76" t="s">
        <v>31</v>
      </c>
      <c r="E12878" s="76" t="s">
        <v>32</v>
      </c>
      <c r="F12878" s="76">
        <v>2</v>
      </c>
    </row>
    <row r="12879" s="76" customFormat="1" spans="1:6">
      <c r="A12879">
        <v>13200</v>
      </c>
      <c r="B12879">
        <v>632016270</v>
      </c>
      <c r="C12879" s="76">
        <v>2016</v>
      </c>
      <c r="D12879" s="76" t="s">
        <v>31</v>
      </c>
      <c r="E12879" s="76" t="s">
        <v>32</v>
      </c>
      <c r="F12879" s="76">
        <v>1</v>
      </c>
    </row>
    <row r="12880" s="76" customFormat="1" spans="1:6">
      <c r="A12880">
        <v>13206</v>
      </c>
      <c r="B12880">
        <v>632016270</v>
      </c>
      <c r="C12880" s="76">
        <v>2016</v>
      </c>
      <c r="D12880" s="76" t="s">
        <v>31</v>
      </c>
      <c r="E12880" s="76" t="s">
        <v>32</v>
      </c>
      <c r="F12880" s="76">
        <v>1</v>
      </c>
    </row>
    <row r="12881" s="76" customFormat="1" spans="1:6">
      <c r="A12881">
        <v>13239</v>
      </c>
      <c r="B12881">
        <v>632016270</v>
      </c>
      <c r="C12881" s="76">
        <v>2016</v>
      </c>
      <c r="D12881" s="76" t="s">
        <v>31</v>
      </c>
      <c r="E12881" s="76" t="s">
        <v>32</v>
      </c>
      <c r="F12881" s="76">
        <v>3</v>
      </c>
    </row>
    <row r="12882" s="76" customFormat="1" spans="1:6">
      <c r="A12882">
        <v>13236</v>
      </c>
      <c r="B12882">
        <v>632016270</v>
      </c>
      <c r="C12882" s="76">
        <v>2016</v>
      </c>
      <c r="D12882" s="76" t="s">
        <v>31</v>
      </c>
      <c r="E12882" s="76" t="s">
        <v>32</v>
      </c>
      <c r="F12882" s="76">
        <v>2</v>
      </c>
    </row>
    <row r="12883" s="76" customFormat="1" spans="1:6">
      <c r="A12883">
        <v>13240</v>
      </c>
      <c r="B12883">
        <v>632016270</v>
      </c>
      <c r="C12883" s="76">
        <v>2016</v>
      </c>
      <c r="D12883" s="76" t="s">
        <v>31</v>
      </c>
      <c r="E12883" s="76" t="s">
        <v>32</v>
      </c>
      <c r="F12883" s="76">
        <v>2</v>
      </c>
    </row>
    <row r="12884" s="76" customFormat="1" spans="1:6">
      <c r="A12884">
        <v>13203</v>
      </c>
      <c r="B12884">
        <v>632016270</v>
      </c>
      <c r="C12884" s="76">
        <v>2016</v>
      </c>
      <c r="D12884" s="76" t="s">
        <v>31</v>
      </c>
      <c r="E12884" s="76" t="s">
        <v>32</v>
      </c>
      <c r="F12884" s="76">
        <v>2</v>
      </c>
    </row>
    <row r="12885" s="76" customFormat="1" spans="1:6">
      <c r="A12885">
        <v>13229</v>
      </c>
      <c r="B12885">
        <v>632016270</v>
      </c>
      <c r="C12885" s="76">
        <v>2016</v>
      </c>
      <c r="D12885" s="76" t="s">
        <v>31</v>
      </c>
      <c r="E12885" s="76" t="s">
        <v>32</v>
      </c>
      <c r="F12885" s="76">
        <v>2</v>
      </c>
    </row>
    <row r="12886" s="76" customFormat="1" spans="1:6">
      <c r="A12886">
        <v>13226</v>
      </c>
      <c r="B12886">
        <v>632016270</v>
      </c>
      <c r="C12886" s="76">
        <v>2016</v>
      </c>
      <c r="D12886" s="76" t="s">
        <v>31</v>
      </c>
      <c r="E12886" s="76" t="s">
        <v>32</v>
      </c>
      <c r="F12886" s="76">
        <v>2</v>
      </c>
    </row>
    <row r="12887" s="76" customFormat="1" spans="1:6">
      <c r="A12887">
        <v>13242</v>
      </c>
      <c r="B12887">
        <v>632016270</v>
      </c>
      <c r="C12887" s="76">
        <v>2016</v>
      </c>
      <c r="D12887" s="76" t="s">
        <v>31</v>
      </c>
      <c r="E12887" s="76" t="s">
        <v>32</v>
      </c>
      <c r="F12887" s="76">
        <v>2</v>
      </c>
    </row>
    <row r="12888" s="76" customFormat="1" spans="1:6">
      <c r="A12888">
        <v>13231</v>
      </c>
      <c r="B12888">
        <v>632016270</v>
      </c>
      <c r="C12888" s="76">
        <v>2016</v>
      </c>
      <c r="D12888" s="76" t="s">
        <v>31</v>
      </c>
      <c r="E12888" s="76" t="s">
        <v>32</v>
      </c>
      <c r="F12888" s="76">
        <v>3</v>
      </c>
    </row>
    <row r="12889" s="76" customFormat="1" spans="1:6">
      <c r="A12889">
        <v>13230</v>
      </c>
      <c r="B12889">
        <v>632016270</v>
      </c>
      <c r="C12889" s="76">
        <v>2016</v>
      </c>
      <c r="D12889" s="76" t="s">
        <v>31</v>
      </c>
      <c r="E12889" s="76" t="s">
        <v>32</v>
      </c>
      <c r="F12889" s="76">
        <v>3</v>
      </c>
    </row>
    <row r="12890" s="76" customFormat="1" spans="1:6">
      <c r="A12890">
        <v>13198</v>
      </c>
      <c r="B12890">
        <v>632016270</v>
      </c>
      <c r="C12890" s="76">
        <v>2016</v>
      </c>
      <c r="D12890" s="76" t="s">
        <v>31</v>
      </c>
      <c r="E12890" s="76" t="s">
        <v>32</v>
      </c>
      <c r="F12890" s="76">
        <v>3</v>
      </c>
    </row>
    <row r="12891" s="76" customFormat="1" spans="1:6">
      <c r="A12891">
        <v>13233</v>
      </c>
      <c r="B12891">
        <v>632016270</v>
      </c>
      <c r="C12891" s="76">
        <v>2016</v>
      </c>
      <c r="D12891" s="76" t="s">
        <v>31</v>
      </c>
      <c r="E12891" s="76" t="s">
        <v>32</v>
      </c>
      <c r="F12891" s="76">
        <v>1</v>
      </c>
    </row>
    <row r="12892" s="76" customFormat="1" spans="1:6">
      <c r="A12892">
        <v>13224</v>
      </c>
      <c r="B12892">
        <v>632016270</v>
      </c>
      <c r="C12892" s="76">
        <v>2016</v>
      </c>
      <c r="D12892" s="76" t="s">
        <v>31</v>
      </c>
      <c r="E12892" s="76" t="s">
        <v>32</v>
      </c>
      <c r="F12892" s="76">
        <v>1</v>
      </c>
    </row>
    <row r="12893" s="76" customFormat="1" spans="1:6">
      <c r="A12893">
        <v>13245</v>
      </c>
      <c r="B12893">
        <v>632017110</v>
      </c>
      <c r="C12893" s="76">
        <v>2017</v>
      </c>
      <c r="D12893" s="76" t="s">
        <v>40</v>
      </c>
      <c r="E12893" s="76" t="s">
        <v>32</v>
      </c>
      <c r="F12893" s="76">
        <v>2.1</v>
      </c>
    </row>
    <row r="12894" s="76" customFormat="1" spans="1:6">
      <c r="A12894">
        <v>13246</v>
      </c>
      <c r="B12894">
        <v>632017110</v>
      </c>
      <c r="C12894" s="76">
        <v>2017</v>
      </c>
      <c r="D12894" s="76" t="s">
        <v>40</v>
      </c>
      <c r="E12894" s="76" t="s">
        <v>32</v>
      </c>
      <c r="F12894" s="76">
        <v>0.8</v>
      </c>
    </row>
    <row r="12895" s="76" customFormat="1" spans="1:6">
      <c r="A12895">
        <v>13244</v>
      </c>
      <c r="B12895">
        <v>632017110</v>
      </c>
      <c r="C12895" s="76">
        <v>2017</v>
      </c>
      <c r="D12895" s="76" t="s">
        <v>40</v>
      </c>
      <c r="E12895" s="76" t="s">
        <v>32</v>
      </c>
      <c r="F12895" s="76">
        <v>1.2</v>
      </c>
    </row>
    <row r="12896" s="76" customFormat="1" spans="1:6">
      <c r="A12896">
        <v>13247</v>
      </c>
      <c r="B12896">
        <v>632017211</v>
      </c>
      <c r="C12896" s="76">
        <v>2017</v>
      </c>
      <c r="D12896" s="76" t="s">
        <v>37</v>
      </c>
      <c r="E12896" s="76" t="s">
        <v>32</v>
      </c>
      <c r="F12896" s="76">
        <v>27</v>
      </c>
    </row>
    <row r="12897" s="76" customFormat="1" spans="1:6">
      <c r="A12897">
        <v>13266</v>
      </c>
      <c r="B12897">
        <v>632017260</v>
      </c>
      <c r="C12897" s="76">
        <v>2017</v>
      </c>
      <c r="D12897" s="76" t="s">
        <v>34</v>
      </c>
      <c r="E12897" s="76" t="s">
        <v>32</v>
      </c>
      <c r="F12897" s="76">
        <v>1.05</v>
      </c>
    </row>
    <row r="12898" s="76" customFormat="1" spans="1:6">
      <c r="A12898">
        <v>13257</v>
      </c>
      <c r="B12898">
        <v>632017260</v>
      </c>
      <c r="C12898" s="76">
        <v>2017</v>
      </c>
      <c r="D12898" s="76" t="s">
        <v>34</v>
      </c>
      <c r="E12898" s="76" t="s">
        <v>32</v>
      </c>
      <c r="F12898" s="76">
        <v>5</v>
      </c>
    </row>
    <row r="12899" s="76" customFormat="1" spans="1:6">
      <c r="A12899">
        <v>13259</v>
      </c>
      <c r="B12899">
        <v>632017260</v>
      </c>
      <c r="C12899" s="76">
        <v>2017</v>
      </c>
      <c r="D12899" s="76" t="s">
        <v>34</v>
      </c>
      <c r="E12899" s="76" t="s">
        <v>32</v>
      </c>
      <c r="F12899" s="76">
        <v>4.95</v>
      </c>
    </row>
    <row r="12900" s="76" customFormat="1" spans="1:6">
      <c r="A12900">
        <v>13254</v>
      </c>
      <c r="B12900">
        <v>632017260</v>
      </c>
      <c r="C12900" s="76">
        <v>2017</v>
      </c>
      <c r="D12900" s="76" t="s">
        <v>34</v>
      </c>
      <c r="E12900" s="76" t="s">
        <v>32</v>
      </c>
      <c r="F12900" s="76">
        <v>5</v>
      </c>
    </row>
    <row r="12901" s="76" customFormat="1" spans="1:6">
      <c r="A12901">
        <v>13251</v>
      </c>
      <c r="B12901">
        <v>632017260</v>
      </c>
      <c r="C12901" s="76">
        <v>2017</v>
      </c>
      <c r="D12901" s="76" t="s">
        <v>34</v>
      </c>
      <c r="E12901" s="76">
        <v>25</v>
      </c>
      <c r="F12901" s="76">
        <v>4.95</v>
      </c>
    </row>
    <row r="12902" s="76" customFormat="1" spans="1:6">
      <c r="A12902">
        <v>13250</v>
      </c>
      <c r="B12902">
        <v>632017260</v>
      </c>
      <c r="C12902" s="76">
        <v>2017</v>
      </c>
      <c r="D12902" s="76" t="s">
        <v>34</v>
      </c>
      <c r="E12902" s="76">
        <v>33</v>
      </c>
      <c r="F12902" s="76">
        <v>4.95</v>
      </c>
    </row>
    <row r="12903" s="76" customFormat="1" spans="1:6">
      <c r="A12903">
        <v>13249</v>
      </c>
      <c r="B12903">
        <v>632017260</v>
      </c>
      <c r="C12903" s="76">
        <v>2017</v>
      </c>
      <c r="D12903" s="76" t="s">
        <v>34</v>
      </c>
      <c r="E12903" s="76">
        <v>1</v>
      </c>
      <c r="F12903" s="76">
        <v>4.95</v>
      </c>
    </row>
    <row r="12904" s="76" customFormat="1" spans="1:6">
      <c r="A12904">
        <v>13261</v>
      </c>
      <c r="B12904">
        <v>632017260</v>
      </c>
      <c r="C12904" s="76">
        <v>2017</v>
      </c>
      <c r="D12904" s="76" t="s">
        <v>34</v>
      </c>
      <c r="E12904" s="76" t="s">
        <v>32</v>
      </c>
      <c r="F12904" s="76">
        <v>9.95</v>
      </c>
    </row>
    <row r="12905" s="76" customFormat="1" spans="1:6">
      <c r="A12905">
        <v>13262</v>
      </c>
      <c r="B12905">
        <v>632017260</v>
      </c>
      <c r="C12905" s="76">
        <v>2017</v>
      </c>
      <c r="D12905" s="76" t="s">
        <v>34</v>
      </c>
      <c r="E12905" s="76" t="s">
        <v>32</v>
      </c>
      <c r="F12905" s="76">
        <v>5</v>
      </c>
    </row>
    <row r="12906" s="76" customFormat="1" spans="1:6">
      <c r="A12906">
        <v>13255</v>
      </c>
      <c r="B12906">
        <v>632017260</v>
      </c>
      <c r="C12906" s="76">
        <v>2017</v>
      </c>
      <c r="D12906" s="76" t="s">
        <v>34</v>
      </c>
      <c r="E12906" s="76" t="s">
        <v>32</v>
      </c>
      <c r="F12906" s="76">
        <v>4.95</v>
      </c>
    </row>
    <row r="12907" s="76" customFormat="1" spans="1:6">
      <c r="A12907">
        <v>13263</v>
      </c>
      <c r="B12907">
        <v>632017260</v>
      </c>
      <c r="C12907" s="76">
        <v>2017</v>
      </c>
      <c r="D12907" s="76" t="s">
        <v>34</v>
      </c>
      <c r="E12907" s="76" t="s">
        <v>32</v>
      </c>
      <c r="F12907" s="76">
        <v>4.95</v>
      </c>
    </row>
    <row r="12908" s="76" customFormat="1" spans="1:6">
      <c r="A12908">
        <v>13252</v>
      </c>
      <c r="B12908">
        <v>632017260</v>
      </c>
      <c r="C12908" s="76">
        <v>2017</v>
      </c>
      <c r="D12908" s="76" t="s">
        <v>34</v>
      </c>
      <c r="E12908" s="76" t="s">
        <v>32</v>
      </c>
      <c r="F12908" s="76">
        <v>0.03</v>
      </c>
    </row>
    <row r="12909" s="76" customFormat="1" spans="1:6">
      <c r="A12909">
        <v>13256</v>
      </c>
      <c r="B12909">
        <v>632017260</v>
      </c>
      <c r="C12909" s="76">
        <v>2017</v>
      </c>
      <c r="D12909" s="76" t="s">
        <v>34</v>
      </c>
      <c r="E12909" s="76" t="s">
        <v>32</v>
      </c>
      <c r="F12909" s="76">
        <v>9.9</v>
      </c>
    </row>
    <row r="12910" s="76" customFormat="1" spans="1:6">
      <c r="A12910">
        <v>13264</v>
      </c>
      <c r="B12910">
        <v>632017260</v>
      </c>
      <c r="C12910" s="76">
        <v>2017</v>
      </c>
      <c r="D12910" s="76" t="s">
        <v>34</v>
      </c>
      <c r="E12910" s="76" t="s">
        <v>32</v>
      </c>
      <c r="F12910" s="76">
        <v>4.95</v>
      </c>
    </row>
    <row r="12911" s="76" customFormat="1" spans="1:6">
      <c r="A12911">
        <v>13248</v>
      </c>
      <c r="B12911">
        <v>632017260</v>
      </c>
      <c r="C12911" s="76">
        <v>2017</v>
      </c>
      <c r="D12911" s="76" t="s">
        <v>34</v>
      </c>
      <c r="E12911" s="76">
        <v>1</v>
      </c>
      <c r="F12911" s="76">
        <v>4.95</v>
      </c>
    </row>
    <row r="12912" s="76" customFormat="1" spans="1:6">
      <c r="A12912">
        <v>13253</v>
      </c>
      <c r="B12912">
        <v>632017260</v>
      </c>
      <c r="C12912" s="76">
        <v>2017</v>
      </c>
      <c r="D12912" s="76" t="s">
        <v>34</v>
      </c>
      <c r="E12912" s="76">
        <v>25</v>
      </c>
      <c r="F12912" s="76">
        <v>5</v>
      </c>
    </row>
    <row r="12913" s="76" customFormat="1" spans="1:6">
      <c r="A12913">
        <v>13260</v>
      </c>
      <c r="B12913">
        <v>632017260</v>
      </c>
      <c r="C12913" s="76">
        <v>2017</v>
      </c>
      <c r="D12913" s="76" t="s">
        <v>34</v>
      </c>
      <c r="E12913" s="76" t="s">
        <v>32</v>
      </c>
      <c r="F12913" s="76">
        <v>5</v>
      </c>
    </row>
    <row r="12914" s="76" customFormat="1" spans="1:6">
      <c r="A12914">
        <v>13265</v>
      </c>
      <c r="B12914">
        <v>632017260</v>
      </c>
      <c r="C12914" s="76">
        <v>2017</v>
      </c>
      <c r="D12914" s="76" t="s">
        <v>34</v>
      </c>
      <c r="E12914" s="76" t="s">
        <v>32</v>
      </c>
      <c r="F12914" s="76">
        <v>4.95</v>
      </c>
    </row>
    <row r="12915" s="76" customFormat="1" spans="1:6">
      <c r="A12915">
        <v>13298</v>
      </c>
      <c r="B12915">
        <v>632017270</v>
      </c>
      <c r="C12915" s="76">
        <v>2017</v>
      </c>
      <c r="D12915" s="76" t="s">
        <v>31</v>
      </c>
      <c r="E12915" s="76" t="s">
        <v>32</v>
      </c>
      <c r="F12915" s="76">
        <v>5</v>
      </c>
    </row>
    <row r="12916" s="76" customFormat="1" spans="1:6">
      <c r="A12916">
        <v>13297</v>
      </c>
      <c r="B12916">
        <v>632017270</v>
      </c>
      <c r="C12916" s="76">
        <v>2017</v>
      </c>
      <c r="D12916" s="76" t="s">
        <v>31</v>
      </c>
      <c r="E12916" s="76" t="s">
        <v>32</v>
      </c>
      <c r="F12916" s="76">
        <v>9</v>
      </c>
    </row>
    <row r="12917" s="76" customFormat="1" spans="1:6">
      <c r="A12917">
        <v>13295</v>
      </c>
      <c r="B12917">
        <v>632017270</v>
      </c>
      <c r="C12917" s="76">
        <v>2017</v>
      </c>
      <c r="D12917" s="76" t="s">
        <v>31</v>
      </c>
      <c r="E12917" s="76" t="s">
        <v>32</v>
      </c>
      <c r="F12917" s="76">
        <v>0.5</v>
      </c>
    </row>
    <row r="12918" s="76" customFormat="1" spans="1:6">
      <c r="A12918">
        <v>13289</v>
      </c>
      <c r="B12918">
        <v>632017270</v>
      </c>
      <c r="C12918" s="76">
        <v>2017</v>
      </c>
      <c r="D12918" s="76" t="s">
        <v>31</v>
      </c>
      <c r="E12918" s="76" t="s">
        <v>32</v>
      </c>
      <c r="F12918" s="76">
        <v>1</v>
      </c>
    </row>
    <row r="12919" s="76" customFormat="1" spans="1:6">
      <c r="A12919">
        <v>13287</v>
      </c>
      <c r="B12919">
        <v>632017270</v>
      </c>
      <c r="C12919" s="76">
        <v>2017</v>
      </c>
      <c r="D12919" s="76" t="s">
        <v>31</v>
      </c>
      <c r="E12919" s="76" t="s">
        <v>32</v>
      </c>
      <c r="F12919" s="76">
        <v>1</v>
      </c>
    </row>
    <row r="12920" s="76" customFormat="1" spans="1:6">
      <c r="A12920">
        <v>13269</v>
      </c>
      <c r="B12920">
        <v>632017270</v>
      </c>
      <c r="C12920" s="76">
        <v>2017</v>
      </c>
      <c r="D12920" s="76" t="s">
        <v>31</v>
      </c>
      <c r="E12920" s="76" t="s">
        <v>32</v>
      </c>
      <c r="F12920" s="76">
        <v>5</v>
      </c>
    </row>
    <row r="12921" s="76" customFormat="1" spans="1:6">
      <c r="A12921">
        <v>13282</v>
      </c>
      <c r="B12921">
        <v>632017270</v>
      </c>
      <c r="C12921" s="76">
        <v>2017</v>
      </c>
      <c r="D12921" s="76" t="s">
        <v>31</v>
      </c>
      <c r="E12921" s="76" t="s">
        <v>32</v>
      </c>
      <c r="F12921" s="76">
        <v>1</v>
      </c>
    </row>
    <row r="12922" s="76" customFormat="1" spans="1:6">
      <c r="A12922">
        <v>13296</v>
      </c>
      <c r="B12922">
        <v>632017270</v>
      </c>
      <c r="C12922" s="76">
        <v>2017</v>
      </c>
      <c r="D12922" s="76" t="s">
        <v>31</v>
      </c>
      <c r="E12922" s="76" t="s">
        <v>32</v>
      </c>
      <c r="F12922" s="76">
        <v>2</v>
      </c>
    </row>
    <row r="12923" s="76" customFormat="1" spans="1:6">
      <c r="A12923">
        <v>13286</v>
      </c>
      <c r="B12923">
        <v>632017270</v>
      </c>
      <c r="C12923" s="76">
        <v>2017</v>
      </c>
      <c r="D12923" s="76" t="s">
        <v>31</v>
      </c>
      <c r="E12923" s="76" t="s">
        <v>32</v>
      </c>
      <c r="F12923" s="76">
        <v>1</v>
      </c>
    </row>
    <row r="12924" s="76" customFormat="1" spans="1:6">
      <c r="A12924">
        <v>13277</v>
      </c>
      <c r="B12924">
        <v>632017270</v>
      </c>
      <c r="C12924" s="76">
        <v>2017</v>
      </c>
      <c r="D12924" s="76" t="s">
        <v>31</v>
      </c>
      <c r="E12924" s="76" t="s">
        <v>32</v>
      </c>
      <c r="F12924" s="76">
        <v>1</v>
      </c>
    </row>
    <row r="12925" s="76" customFormat="1" spans="1:6">
      <c r="A12925">
        <v>13293</v>
      </c>
      <c r="B12925">
        <v>632017270</v>
      </c>
      <c r="C12925" s="76">
        <v>2017</v>
      </c>
      <c r="D12925" s="76" t="s">
        <v>31</v>
      </c>
      <c r="E12925" s="76" t="s">
        <v>32</v>
      </c>
      <c r="F12925" s="76">
        <v>2</v>
      </c>
    </row>
    <row r="12926" s="76" customFormat="1" spans="1:6">
      <c r="A12926">
        <v>13278</v>
      </c>
      <c r="B12926">
        <v>632017270</v>
      </c>
      <c r="C12926" s="76">
        <v>2017</v>
      </c>
      <c r="D12926" s="76" t="s">
        <v>31</v>
      </c>
      <c r="E12926" s="76" t="s">
        <v>32</v>
      </c>
      <c r="F12926" s="76">
        <v>9</v>
      </c>
    </row>
    <row r="12927" s="76" customFormat="1" spans="1:6">
      <c r="A12927">
        <v>13292</v>
      </c>
      <c r="B12927">
        <v>632017270</v>
      </c>
      <c r="C12927" s="76">
        <v>2017</v>
      </c>
      <c r="D12927" s="76" t="s">
        <v>31</v>
      </c>
      <c r="E12927" s="76" t="s">
        <v>32</v>
      </c>
      <c r="F12927" s="76">
        <v>10</v>
      </c>
    </row>
    <row r="12928" s="76" customFormat="1" spans="1:6">
      <c r="A12928">
        <v>13281</v>
      </c>
      <c r="B12928">
        <v>632017270</v>
      </c>
      <c r="C12928" s="76">
        <v>2017</v>
      </c>
      <c r="D12928" s="76" t="s">
        <v>31</v>
      </c>
      <c r="E12928" s="76" t="s">
        <v>32</v>
      </c>
      <c r="F12928" s="76">
        <v>1</v>
      </c>
    </row>
    <row r="12929" s="76" customFormat="1" spans="1:6">
      <c r="A12929">
        <v>13280</v>
      </c>
      <c r="B12929">
        <v>632017270</v>
      </c>
      <c r="C12929" s="76">
        <v>2017</v>
      </c>
      <c r="D12929" s="76" t="s">
        <v>31</v>
      </c>
      <c r="E12929" s="76" t="s">
        <v>32</v>
      </c>
      <c r="F12929" s="76">
        <v>1.5</v>
      </c>
    </row>
    <row r="12930" s="76" customFormat="1" spans="1:6">
      <c r="A12930">
        <v>13285</v>
      </c>
      <c r="B12930">
        <v>632017270</v>
      </c>
      <c r="C12930" s="76">
        <v>2017</v>
      </c>
      <c r="D12930" s="76" t="s">
        <v>31</v>
      </c>
      <c r="E12930" s="76" t="s">
        <v>32</v>
      </c>
      <c r="F12930" s="76">
        <v>3</v>
      </c>
    </row>
    <row r="12931" s="76" customFormat="1" spans="1:6">
      <c r="A12931">
        <v>13276</v>
      </c>
      <c r="B12931">
        <v>632017270</v>
      </c>
      <c r="C12931" s="76">
        <v>2017</v>
      </c>
      <c r="D12931" s="76" t="s">
        <v>31</v>
      </c>
      <c r="E12931" s="76" t="s">
        <v>32</v>
      </c>
      <c r="F12931" s="76">
        <v>2</v>
      </c>
    </row>
    <row r="12932" s="76" customFormat="1" spans="1:6">
      <c r="A12932">
        <v>13288</v>
      </c>
      <c r="B12932">
        <v>632017270</v>
      </c>
      <c r="C12932" s="76">
        <v>2017</v>
      </c>
      <c r="D12932" s="76" t="s">
        <v>31</v>
      </c>
      <c r="E12932" s="76" t="s">
        <v>32</v>
      </c>
      <c r="F12932" s="76">
        <v>2.5</v>
      </c>
    </row>
    <row r="12933" s="76" customFormat="1" spans="1:6">
      <c r="A12933">
        <v>13273</v>
      </c>
      <c r="B12933">
        <v>632017270</v>
      </c>
      <c r="C12933" s="76">
        <v>2017</v>
      </c>
      <c r="D12933" s="76" t="s">
        <v>31</v>
      </c>
      <c r="E12933" s="76" t="s">
        <v>32</v>
      </c>
      <c r="F12933" s="76">
        <v>2</v>
      </c>
    </row>
    <row r="12934" s="76" customFormat="1" spans="1:6">
      <c r="A12934">
        <v>13294</v>
      </c>
      <c r="B12934">
        <v>632017270</v>
      </c>
      <c r="C12934" s="76">
        <v>2017</v>
      </c>
      <c r="D12934" s="76" t="s">
        <v>31</v>
      </c>
      <c r="E12934" s="76" t="s">
        <v>32</v>
      </c>
      <c r="F12934" s="76">
        <v>2</v>
      </c>
    </row>
    <row r="12935" s="76" customFormat="1" spans="1:6">
      <c r="A12935">
        <v>13279</v>
      </c>
      <c r="B12935">
        <v>632017270</v>
      </c>
      <c r="C12935" s="76">
        <v>2017</v>
      </c>
      <c r="D12935" s="76" t="s">
        <v>31</v>
      </c>
      <c r="E12935" s="76" t="s">
        <v>32</v>
      </c>
      <c r="F12935" s="76">
        <v>1</v>
      </c>
    </row>
    <row r="12936" s="76" customFormat="1" spans="1:6">
      <c r="A12936">
        <v>13290</v>
      </c>
      <c r="B12936">
        <v>632017270</v>
      </c>
      <c r="C12936" s="76">
        <v>2017</v>
      </c>
      <c r="D12936" s="76" t="s">
        <v>31</v>
      </c>
      <c r="E12936" s="76" t="s">
        <v>32</v>
      </c>
      <c r="F12936" s="76">
        <v>5</v>
      </c>
    </row>
    <row r="12937" s="76" customFormat="1" spans="1:6">
      <c r="A12937">
        <v>13271</v>
      </c>
      <c r="B12937">
        <v>632017270</v>
      </c>
      <c r="C12937" s="76">
        <v>2017</v>
      </c>
      <c r="D12937" s="76" t="s">
        <v>31</v>
      </c>
      <c r="E12937" s="76" t="s">
        <v>32</v>
      </c>
      <c r="F12937" s="76">
        <v>1</v>
      </c>
    </row>
    <row r="12938" s="76" customFormat="1" spans="1:6">
      <c r="A12938">
        <v>13272</v>
      </c>
      <c r="B12938">
        <v>632017270</v>
      </c>
      <c r="C12938" s="76">
        <v>2017</v>
      </c>
      <c r="D12938" s="76" t="s">
        <v>31</v>
      </c>
      <c r="E12938" s="76" t="s">
        <v>32</v>
      </c>
      <c r="F12938" s="76">
        <v>1</v>
      </c>
    </row>
    <row r="12939" s="76" customFormat="1" spans="1:6">
      <c r="A12939">
        <v>13267</v>
      </c>
      <c r="B12939">
        <v>632017270</v>
      </c>
      <c r="C12939" s="76">
        <v>2017</v>
      </c>
      <c r="D12939" s="76" t="s">
        <v>31</v>
      </c>
      <c r="E12939" s="76" t="s">
        <v>32</v>
      </c>
      <c r="F12939" s="76">
        <v>1</v>
      </c>
    </row>
    <row r="12940" s="76" customFormat="1" spans="1:6">
      <c r="A12940">
        <v>13268</v>
      </c>
      <c r="B12940">
        <v>632017270</v>
      </c>
      <c r="C12940" s="76">
        <v>2017</v>
      </c>
      <c r="D12940" s="76" t="s">
        <v>31</v>
      </c>
      <c r="E12940" s="76" t="s">
        <v>32</v>
      </c>
      <c r="F12940" s="76">
        <v>1</v>
      </c>
    </row>
    <row r="12941" s="76" customFormat="1" spans="1:6">
      <c r="A12941">
        <v>13270</v>
      </c>
      <c r="B12941">
        <v>632017270</v>
      </c>
      <c r="C12941" s="76">
        <v>2017</v>
      </c>
      <c r="D12941" s="76" t="s">
        <v>31</v>
      </c>
      <c r="E12941" s="76" t="s">
        <v>32</v>
      </c>
      <c r="F12941" s="76">
        <v>1.5</v>
      </c>
    </row>
    <row r="12942" s="76" customFormat="1" spans="1:6">
      <c r="A12942">
        <v>13284</v>
      </c>
      <c r="B12942">
        <v>632017270</v>
      </c>
      <c r="C12942" s="76">
        <v>2017</v>
      </c>
      <c r="D12942" s="76" t="s">
        <v>31</v>
      </c>
      <c r="E12942" s="76" t="s">
        <v>32</v>
      </c>
      <c r="F12942" s="76">
        <v>2</v>
      </c>
    </row>
    <row r="12943" s="76" customFormat="1" spans="1:6">
      <c r="A12943">
        <v>13283</v>
      </c>
      <c r="B12943">
        <v>632017270</v>
      </c>
      <c r="C12943" s="76">
        <v>2017</v>
      </c>
      <c r="D12943" s="76" t="s">
        <v>31</v>
      </c>
      <c r="E12943" s="76" t="s">
        <v>32</v>
      </c>
      <c r="F12943" s="76">
        <v>1</v>
      </c>
    </row>
    <row r="12944" s="76" customFormat="1" spans="1:6">
      <c r="A12944">
        <v>13274</v>
      </c>
      <c r="B12944">
        <v>632017270</v>
      </c>
      <c r="C12944" s="76">
        <v>2017</v>
      </c>
      <c r="D12944" s="76" t="s">
        <v>31</v>
      </c>
      <c r="E12944" s="76" t="s">
        <v>32</v>
      </c>
      <c r="F12944" s="76">
        <v>2</v>
      </c>
    </row>
    <row r="12945" s="76" customFormat="1" spans="1:6">
      <c r="A12945">
        <v>13291</v>
      </c>
      <c r="B12945">
        <v>632017270</v>
      </c>
      <c r="C12945" s="76">
        <v>2017</v>
      </c>
      <c r="D12945" s="76" t="s">
        <v>31</v>
      </c>
      <c r="E12945" s="76" t="s">
        <v>32</v>
      </c>
      <c r="F12945" s="76">
        <v>2</v>
      </c>
    </row>
    <row r="12946" s="76" customFormat="1" spans="1:6">
      <c r="A12946">
        <v>13299</v>
      </c>
      <c r="B12946">
        <v>632018110</v>
      </c>
      <c r="C12946" s="76">
        <v>2018</v>
      </c>
      <c r="D12946" s="76" t="s">
        <v>40</v>
      </c>
      <c r="E12946" s="76">
        <v>1</v>
      </c>
      <c r="F12946" s="76">
        <v>1</v>
      </c>
    </row>
    <row r="12947" s="76" customFormat="1" spans="1:6">
      <c r="A12947">
        <v>13302</v>
      </c>
      <c r="B12947">
        <v>632018260</v>
      </c>
      <c r="C12947" s="76">
        <v>2018</v>
      </c>
      <c r="D12947" s="76" t="s">
        <v>34</v>
      </c>
      <c r="E12947" s="76" t="s">
        <v>32</v>
      </c>
      <c r="F12947" s="76">
        <v>5</v>
      </c>
    </row>
    <row r="12948" s="76" customFormat="1" spans="1:6">
      <c r="A12948">
        <v>13312</v>
      </c>
      <c r="B12948">
        <v>632018260</v>
      </c>
      <c r="C12948" s="76">
        <v>2018</v>
      </c>
      <c r="D12948" s="76" t="s">
        <v>34</v>
      </c>
      <c r="E12948" s="76" t="s">
        <v>32</v>
      </c>
      <c r="F12948" s="76">
        <v>4.95</v>
      </c>
    </row>
    <row r="12949" s="76" customFormat="1" spans="1:6">
      <c r="A12949">
        <v>13306</v>
      </c>
      <c r="B12949">
        <v>632018260</v>
      </c>
      <c r="C12949" s="76">
        <v>2018</v>
      </c>
      <c r="D12949" s="76" t="s">
        <v>34</v>
      </c>
      <c r="E12949" s="76" t="s">
        <v>32</v>
      </c>
      <c r="F12949" s="76">
        <v>10.1</v>
      </c>
    </row>
    <row r="12950" s="76" customFormat="1" spans="1:6">
      <c r="A12950">
        <v>13309</v>
      </c>
      <c r="B12950">
        <v>632018260</v>
      </c>
      <c r="C12950" s="76">
        <v>2018</v>
      </c>
      <c r="D12950" s="76" t="s">
        <v>34</v>
      </c>
      <c r="E12950" s="76" t="s">
        <v>32</v>
      </c>
      <c r="F12950" s="76">
        <v>4.96</v>
      </c>
    </row>
    <row r="12951" s="76" customFormat="1" spans="1:6">
      <c r="A12951">
        <v>13308</v>
      </c>
      <c r="B12951">
        <v>632018260</v>
      </c>
      <c r="C12951" s="76">
        <v>2018</v>
      </c>
      <c r="D12951" s="76" t="s">
        <v>34</v>
      </c>
      <c r="E12951" s="76" t="s">
        <v>32</v>
      </c>
      <c r="F12951" s="76">
        <v>10</v>
      </c>
    </row>
    <row r="12952" s="76" customFormat="1" spans="1:6">
      <c r="A12952">
        <v>13305</v>
      </c>
      <c r="B12952">
        <v>632018260</v>
      </c>
      <c r="C12952" s="76">
        <v>2018</v>
      </c>
      <c r="D12952" s="76" t="s">
        <v>34</v>
      </c>
      <c r="E12952" s="76" t="s">
        <v>32</v>
      </c>
      <c r="F12952" s="76">
        <v>5</v>
      </c>
    </row>
    <row r="12953" s="76" customFormat="1" spans="1:6">
      <c r="A12953">
        <v>13303</v>
      </c>
      <c r="B12953">
        <v>632018260</v>
      </c>
      <c r="C12953" s="76">
        <v>2018</v>
      </c>
      <c r="D12953" s="76" t="s">
        <v>34</v>
      </c>
      <c r="E12953" s="76" t="s">
        <v>32</v>
      </c>
      <c r="F12953" s="76">
        <v>40</v>
      </c>
    </row>
    <row r="12954" s="76" customFormat="1" spans="1:6">
      <c r="A12954">
        <v>13307</v>
      </c>
      <c r="B12954">
        <v>632018260</v>
      </c>
      <c r="C12954" s="76">
        <v>2018</v>
      </c>
      <c r="D12954" s="76" t="s">
        <v>34</v>
      </c>
      <c r="E12954" s="76" t="s">
        <v>32</v>
      </c>
      <c r="F12954" s="76">
        <v>5</v>
      </c>
    </row>
    <row r="12955" s="76" customFormat="1" spans="1:6">
      <c r="A12955">
        <v>13301</v>
      </c>
      <c r="B12955">
        <v>632018260</v>
      </c>
      <c r="C12955" s="76">
        <v>2018</v>
      </c>
      <c r="D12955" s="76" t="s">
        <v>34</v>
      </c>
      <c r="E12955" s="76">
        <v>25</v>
      </c>
      <c r="F12955" s="76">
        <v>5</v>
      </c>
    </row>
    <row r="12956" s="76" customFormat="1" spans="1:6">
      <c r="A12956">
        <v>13300</v>
      </c>
      <c r="B12956">
        <v>632018260</v>
      </c>
      <c r="C12956" s="76">
        <v>2018</v>
      </c>
      <c r="D12956" s="76" t="s">
        <v>34</v>
      </c>
      <c r="E12956" s="76">
        <v>10</v>
      </c>
      <c r="F12956" s="76">
        <v>2</v>
      </c>
    </row>
    <row r="12957" s="76" customFormat="1" spans="1:6">
      <c r="A12957">
        <v>13304</v>
      </c>
      <c r="B12957">
        <v>632018260</v>
      </c>
      <c r="C12957" s="76">
        <v>2018</v>
      </c>
      <c r="D12957" s="76" t="s">
        <v>34</v>
      </c>
      <c r="E12957" s="76" t="s">
        <v>32</v>
      </c>
      <c r="F12957" s="76">
        <v>4.95</v>
      </c>
    </row>
    <row r="12958" s="76" customFormat="1" spans="1:6">
      <c r="A12958">
        <v>13310</v>
      </c>
      <c r="B12958">
        <v>632018260</v>
      </c>
      <c r="C12958" s="76">
        <v>2018</v>
      </c>
      <c r="D12958" s="76" t="s">
        <v>34</v>
      </c>
      <c r="E12958" s="76" t="s">
        <v>32</v>
      </c>
      <c r="F12958" s="76">
        <v>4.95</v>
      </c>
    </row>
    <row r="12959" s="76" customFormat="1" spans="1:6">
      <c r="A12959">
        <v>13311</v>
      </c>
      <c r="B12959">
        <v>632018260</v>
      </c>
      <c r="C12959" s="76">
        <v>2018</v>
      </c>
      <c r="D12959" s="76" t="s">
        <v>34</v>
      </c>
      <c r="E12959" s="76" t="s">
        <v>32</v>
      </c>
      <c r="F12959" s="76">
        <v>10</v>
      </c>
    </row>
    <row r="12960" s="76" customFormat="1" spans="1:6">
      <c r="A12960">
        <v>13317</v>
      </c>
      <c r="B12960">
        <v>632018270</v>
      </c>
      <c r="C12960" s="76">
        <v>2018</v>
      </c>
      <c r="D12960" s="76" t="s">
        <v>31</v>
      </c>
      <c r="E12960" s="76" t="s">
        <v>32</v>
      </c>
      <c r="F12960" s="76">
        <v>25</v>
      </c>
    </row>
    <row r="12961" s="76" customFormat="1" spans="1:6">
      <c r="A12961">
        <v>13315</v>
      </c>
      <c r="B12961">
        <v>632018270</v>
      </c>
      <c r="C12961" s="76">
        <v>2018</v>
      </c>
      <c r="D12961" s="76" t="s">
        <v>31</v>
      </c>
      <c r="E12961" s="76" t="s">
        <v>32</v>
      </c>
      <c r="F12961" s="76">
        <v>10</v>
      </c>
    </row>
    <row r="12962" s="76" customFormat="1" spans="1:6">
      <c r="A12962">
        <v>13313</v>
      </c>
      <c r="B12962">
        <v>632018270</v>
      </c>
      <c r="C12962" s="76">
        <v>2018</v>
      </c>
      <c r="D12962" s="76" t="s">
        <v>31</v>
      </c>
      <c r="E12962" s="76" t="s">
        <v>32</v>
      </c>
      <c r="F12962" s="76">
        <v>5</v>
      </c>
    </row>
    <row r="12963" s="76" customFormat="1" spans="1:6">
      <c r="A12963">
        <v>13318</v>
      </c>
      <c r="B12963">
        <v>632018270</v>
      </c>
      <c r="C12963" s="76">
        <v>2018</v>
      </c>
      <c r="D12963" s="76" t="s">
        <v>31</v>
      </c>
      <c r="E12963" s="76" t="s">
        <v>32</v>
      </c>
      <c r="F12963" s="76">
        <v>100</v>
      </c>
    </row>
    <row r="12964" s="76" customFormat="1" spans="1:6">
      <c r="A12964">
        <v>13325</v>
      </c>
      <c r="B12964">
        <v>632018270</v>
      </c>
      <c r="C12964" s="76">
        <v>2018</v>
      </c>
      <c r="D12964" s="76" t="s">
        <v>31</v>
      </c>
      <c r="E12964" s="76" t="s">
        <v>32</v>
      </c>
      <c r="F12964" s="76">
        <v>10</v>
      </c>
    </row>
    <row r="12965" s="76" customFormat="1" spans="1:6">
      <c r="A12965">
        <v>13323</v>
      </c>
      <c r="B12965">
        <v>632018270</v>
      </c>
      <c r="C12965" s="76">
        <v>2018</v>
      </c>
      <c r="D12965" s="76" t="s">
        <v>31</v>
      </c>
      <c r="E12965" s="76" t="s">
        <v>32</v>
      </c>
      <c r="F12965" s="76">
        <v>5</v>
      </c>
    </row>
    <row r="12966" s="76" customFormat="1" spans="1:6">
      <c r="A12966">
        <v>13322</v>
      </c>
      <c r="B12966">
        <v>632018270</v>
      </c>
      <c r="C12966" s="76">
        <v>2018</v>
      </c>
      <c r="D12966" s="76" t="s">
        <v>31</v>
      </c>
      <c r="E12966" s="76" t="s">
        <v>32</v>
      </c>
      <c r="F12966" s="76">
        <v>2</v>
      </c>
    </row>
    <row r="12967" s="76" customFormat="1" spans="1:6">
      <c r="A12967">
        <v>13320</v>
      </c>
      <c r="B12967">
        <v>632018270</v>
      </c>
      <c r="C12967" s="76">
        <v>2018</v>
      </c>
      <c r="D12967" s="76" t="s">
        <v>31</v>
      </c>
      <c r="E12967" s="76" t="s">
        <v>32</v>
      </c>
      <c r="F12967" s="76">
        <v>20</v>
      </c>
    </row>
    <row r="12968" s="76" customFormat="1" spans="1:6">
      <c r="A12968">
        <v>13314</v>
      </c>
      <c r="B12968">
        <v>632018270</v>
      </c>
      <c r="C12968" s="76">
        <v>2018</v>
      </c>
      <c r="D12968" s="76" t="s">
        <v>31</v>
      </c>
      <c r="E12968" s="76" t="s">
        <v>32</v>
      </c>
      <c r="F12968" s="76">
        <v>2</v>
      </c>
    </row>
    <row r="12969" s="76" customFormat="1" spans="1:6">
      <c r="A12969">
        <v>13319</v>
      </c>
      <c r="B12969">
        <v>632018270</v>
      </c>
      <c r="C12969" s="76">
        <v>2018</v>
      </c>
      <c r="D12969" s="76" t="s">
        <v>31</v>
      </c>
      <c r="E12969" s="76" t="s">
        <v>32</v>
      </c>
      <c r="F12969" s="76">
        <v>10</v>
      </c>
    </row>
    <row r="12970" s="76" customFormat="1" spans="1:6">
      <c r="A12970">
        <v>13316</v>
      </c>
      <c r="B12970">
        <v>632018270</v>
      </c>
      <c r="C12970" s="76">
        <v>2018</v>
      </c>
      <c r="D12970" s="76" t="s">
        <v>31</v>
      </c>
      <c r="E12970" s="76" t="s">
        <v>32</v>
      </c>
      <c r="F12970" s="76">
        <v>1.5</v>
      </c>
    </row>
    <row r="12971" s="76" customFormat="1" spans="1:6">
      <c r="A12971">
        <v>13324</v>
      </c>
      <c r="B12971">
        <v>632018270</v>
      </c>
      <c r="C12971" s="76">
        <v>2018</v>
      </c>
      <c r="D12971" s="76" t="s">
        <v>31</v>
      </c>
      <c r="E12971" s="76" t="s">
        <v>32</v>
      </c>
      <c r="F12971" s="76">
        <v>2</v>
      </c>
    </row>
    <row r="12972" s="76" customFormat="1" spans="1:6">
      <c r="A12972">
        <v>13326</v>
      </c>
      <c r="B12972">
        <v>632018270</v>
      </c>
      <c r="C12972" s="76">
        <v>2018</v>
      </c>
      <c r="D12972" s="76" t="s">
        <v>31</v>
      </c>
      <c r="E12972" s="76" t="s">
        <v>32</v>
      </c>
      <c r="F12972" s="76">
        <v>5</v>
      </c>
    </row>
    <row r="12973" s="76" customFormat="1" spans="1:6">
      <c r="A12973">
        <v>13336</v>
      </c>
      <c r="B12973">
        <v>632019260</v>
      </c>
      <c r="C12973" s="76">
        <v>2019</v>
      </c>
      <c r="D12973" s="76" t="s">
        <v>34</v>
      </c>
      <c r="E12973" s="76">
        <v>12</v>
      </c>
      <c r="F12973" s="76">
        <v>2.3</v>
      </c>
    </row>
    <row r="12974" s="76" customFormat="1" spans="1:6">
      <c r="A12974">
        <v>13340</v>
      </c>
      <c r="B12974">
        <v>632019260</v>
      </c>
      <c r="C12974" s="76">
        <v>2019</v>
      </c>
      <c r="D12974" s="76" t="s">
        <v>34</v>
      </c>
      <c r="E12974" s="76" t="s">
        <v>32</v>
      </c>
      <c r="F12974" s="76">
        <v>5</v>
      </c>
    </row>
    <row r="12975" s="76" customFormat="1" spans="1:6">
      <c r="A12975">
        <v>13351</v>
      </c>
      <c r="B12975">
        <v>632019260</v>
      </c>
      <c r="C12975" s="76">
        <v>2019</v>
      </c>
      <c r="D12975" s="76" t="s">
        <v>34</v>
      </c>
      <c r="E12975" s="76" t="s">
        <v>32</v>
      </c>
      <c r="F12975" s="76">
        <v>4.95</v>
      </c>
    </row>
    <row r="12976" s="76" customFormat="1" spans="1:6">
      <c r="A12976">
        <v>13352</v>
      </c>
      <c r="B12976">
        <v>632019260</v>
      </c>
      <c r="C12976" s="76">
        <v>2019</v>
      </c>
      <c r="D12976" s="76" t="s">
        <v>34</v>
      </c>
      <c r="E12976" s="76" t="s">
        <v>32</v>
      </c>
      <c r="F12976" s="76">
        <v>5</v>
      </c>
    </row>
    <row r="12977" s="76" customFormat="1" spans="1:6">
      <c r="A12977">
        <v>13337</v>
      </c>
      <c r="B12977">
        <v>632019260</v>
      </c>
      <c r="C12977" s="76">
        <v>2019</v>
      </c>
      <c r="D12977" s="76" t="s">
        <v>34</v>
      </c>
      <c r="E12977" s="76" t="s">
        <v>32</v>
      </c>
      <c r="F12977" s="76">
        <v>10</v>
      </c>
    </row>
    <row r="12978" s="76" customFormat="1" spans="1:6">
      <c r="A12978">
        <v>13345</v>
      </c>
      <c r="B12978">
        <v>632019260</v>
      </c>
      <c r="C12978" s="76">
        <v>2019</v>
      </c>
      <c r="D12978" s="76" t="s">
        <v>34</v>
      </c>
      <c r="E12978" s="76" t="s">
        <v>32</v>
      </c>
      <c r="F12978" s="76">
        <v>5</v>
      </c>
    </row>
    <row r="12979" s="76" customFormat="1" spans="1:6">
      <c r="A12979">
        <v>13328</v>
      </c>
      <c r="B12979">
        <v>632019260</v>
      </c>
      <c r="C12979" s="76">
        <v>2019</v>
      </c>
      <c r="D12979" s="76" t="s">
        <v>34</v>
      </c>
      <c r="E12979" s="76">
        <v>22</v>
      </c>
      <c r="F12979" s="76">
        <v>5</v>
      </c>
    </row>
    <row r="12980" s="76" customFormat="1" spans="1:6">
      <c r="A12980">
        <v>13344</v>
      </c>
      <c r="B12980">
        <v>632019260</v>
      </c>
      <c r="C12980" s="76">
        <v>2019</v>
      </c>
      <c r="D12980" s="76" t="s">
        <v>34</v>
      </c>
      <c r="E12980" s="76" t="s">
        <v>32</v>
      </c>
      <c r="F12980" s="76">
        <v>5</v>
      </c>
    </row>
    <row r="12981" s="76" customFormat="1" spans="1:6">
      <c r="A12981">
        <v>13329</v>
      </c>
      <c r="B12981">
        <v>632019260</v>
      </c>
      <c r="C12981" s="76">
        <v>2019</v>
      </c>
      <c r="D12981" s="76" t="s">
        <v>34</v>
      </c>
      <c r="E12981" s="76">
        <v>22</v>
      </c>
      <c r="F12981" s="76">
        <v>5</v>
      </c>
    </row>
    <row r="12982" s="76" customFormat="1" spans="1:6">
      <c r="A12982">
        <v>13330</v>
      </c>
      <c r="B12982">
        <v>632019260</v>
      </c>
      <c r="C12982" s="76">
        <v>2019</v>
      </c>
      <c r="D12982" s="76" t="s">
        <v>34</v>
      </c>
      <c r="E12982" s="76">
        <v>22</v>
      </c>
      <c r="F12982" s="76">
        <v>5</v>
      </c>
    </row>
    <row r="12983" s="76" customFormat="1" spans="1:6">
      <c r="A12983">
        <v>13343</v>
      </c>
      <c r="B12983">
        <v>632019260</v>
      </c>
      <c r="C12983" s="76">
        <v>2019</v>
      </c>
      <c r="D12983" s="76" t="s">
        <v>34</v>
      </c>
      <c r="E12983" s="76" t="s">
        <v>32</v>
      </c>
      <c r="F12983" s="76">
        <v>5</v>
      </c>
    </row>
    <row r="12984" s="76" customFormat="1" spans="1:6">
      <c r="A12984">
        <v>13350</v>
      </c>
      <c r="B12984">
        <v>632019260</v>
      </c>
      <c r="C12984" s="76">
        <v>2019</v>
      </c>
      <c r="D12984" s="76" t="s">
        <v>34</v>
      </c>
      <c r="E12984" s="76" t="s">
        <v>32</v>
      </c>
      <c r="F12984" s="76">
        <v>20</v>
      </c>
    </row>
    <row r="12985" s="76" customFormat="1" spans="1:6">
      <c r="A12985">
        <v>13349</v>
      </c>
      <c r="B12985">
        <v>632019260</v>
      </c>
      <c r="C12985" s="76">
        <v>2019</v>
      </c>
      <c r="D12985" s="76" t="s">
        <v>34</v>
      </c>
      <c r="E12985" s="76" t="s">
        <v>32</v>
      </c>
      <c r="F12985" s="76">
        <v>45</v>
      </c>
    </row>
    <row r="12986" s="76" customFormat="1" spans="1:6">
      <c r="A12986">
        <v>13347</v>
      </c>
      <c r="B12986">
        <v>632019260</v>
      </c>
      <c r="C12986" s="76">
        <v>2019</v>
      </c>
      <c r="D12986" s="76" t="s">
        <v>34</v>
      </c>
      <c r="E12986" s="76" t="s">
        <v>32</v>
      </c>
      <c r="F12986" s="76">
        <v>5</v>
      </c>
    </row>
    <row r="12987" s="76" customFormat="1" spans="1:6">
      <c r="A12987">
        <v>13342</v>
      </c>
      <c r="B12987">
        <v>632019260</v>
      </c>
      <c r="C12987" s="76">
        <v>2019</v>
      </c>
      <c r="D12987" s="76" t="s">
        <v>34</v>
      </c>
      <c r="E12987" s="76" t="s">
        <v>32</v>
      </c>
      <c r="F12987" s="76">
        <v>10</v>
      </c>
    </row>
    <row r="12988" s="76" customFormat="1" spans="1:6">
      <c r="A12988">
        <v>13339</v>
      </c>
      <c r="B12988">
        <v>632019260</v>
      </c>
      <c r="C12988" s="76">
        <v>2019</v>
      </c>
      <c r="D12988" s="76" t="s">
        <v>34</v>
      </c>
      <c r="E12988" s="76" t="s">
        <v>32</v>
      </c>
      <c r="F12988" s="76">
        <v>10</v>
      </c>
    </row>
    <row r="12989" s="76" customFormat="1" spans="1:6">
      <c r="A12989">
        <v>13348</v>
      </c>
      <c r="B12989">
        <v>632019260</v>
      </c>
      <c r="C12989" s="76">
        <v>2019</v>
      </c>
      <c r="D12989" s="76" t="s">
        <v>34</v>
      </c>
      <c r="E12989" s="76">
        <v>25</v>
      </c>
      <c r="F12989" s="76">
        <v>5</v>
      </c>
    </row>
    <row r="12990" s="76" customFormat="1" spans="1:6">
      <c r="A12990">
        <v>13346</v>
      </c>
      <c r="B12990">
        <v>632019260</v>
      </c>
      <c r="C12990" s="76">
        <v>2019</v>
      </c>
      <c r="D12990" s="76" t="s">
        <v>34</v>
      </c>
      <c r="E12990" s="76">
        <v>25</v>
      </c>
      <c r="F12990" s="76">
        <v>5</v>
      </c>
    </row>
    <row r="12991" s="76" customFormat="1" spans="1:6">
      <c r="A12991">
        <v>13333</v>
      </c>
      <c r="B12991">
        <v>632019260</v>
      </c>
      <c r="C12991" s="76">
        <v>2019</v>
      </c>
      <c r="D12991" s="76" t="s">
        <v>34</v>
      </c>
      <c r="E12991" s="76">
        <v>25</v>
      </c>
      <c r="F12991" s="76">
        <v>5</v>
      </c>
    </row>
    <row r="12992" s="76" customFormat="1" spans="1:6">
      <c r="A12992">
        <v>13335</v>
      </c>
      <c r="B12992">
        <v>632019260</v>
      </c>
      <c r="C12992" s="76">
        <v>2019</v>
      </c>
      <c r="D12992" s="76" t="s">
        <v>34</v>
      </c>
      <c r="E12992" s="76">
        <v>23</v>
      </c>
      <c r="F12992" s="76">
        <v>5</v>
      </c>
    </row>
    <row r="12993" s="76" customFormat="1" spans="1:6">
      <c r="A12993">
        <v>13331</v>
      </c>
      <c r="B12993">
        <v>632019260</v>
      </c>
      <c r="C12993" s="76">
        <v>2019</v>
      </c>
      <c r="D12993" s="76" t="s">
        <v>34</v>
      </c>
      <c r="E12993" s="76">
        <v>25</v>
      </c>
      <c r="F12993" s="76">
        <v>4.95</v>
      </c>
    </row>
    <row r="12994" s="76" customFormat="1" spans="1:6">
      <c r="A12994">
        <v>13332</v>
      </c>
      <c r="B12994">
        <v>632019260</v>
      </c>
      <c r="C12994" s="76">
        <v>2019</v>
      </c>
      <c r="D12994" s="76" t="s">
        <v>34</v>
      </c>
      <c r="E12994" s="76">
        <v>25</v>
      </c>
      <c r="F12994" s="76">
        <v>5</v>
      </c>
    </row>
    <row r="12995" s="76" customFormat="1" spans="1:6">
      <c r="A12995">
        <v>13334</v>
      </c>
      <c r="B12995">
        <v>632019260</v>
      </c>
      <c r="C12995" s="76">
        <v>2019</v>
      </c>
      <c r="D12995" s="76" t="s">
        <v>34</v>
      </c>
      <c r="E12995" s="76">
        <v>40</v>
      </c>
      <c r="F12995" s="76">
        <v>8</v>
      </c>
    </row>
    <row r="12996" s="76" customFormat="1" spans="1:6">
      <c r="A12996">
        <v>13338</v>
      </c>
      <c r="B12996">
        <v>632019260</v>
      </c>
      <c r="C12996" s="76">
        <v>2019</v>
      </c>
      <c r="D12996" s="76" t="s">
        <v>34</v>
      </c>
      <c r="E12996" s="76" t="s">
        <v>32</v>
      </c>
      <c r="F12996" s="76">
        <v>5</v>
      </c>
    </row>
    <row r="12997" s="76" customFormat="1" spans="1:6">
      <c r="A12997">
        <v>13341</v>
      </c>
      <c r="B12997">
        <v>632019260</v>
      </c>
      <c r="C12997" s="76">
        <v>2019</v>
      </c>
      <c r="D12997" s="76" t="s">
        <v>34</v>
      </c>
      <c r="E12997" s="76" t="s">
        <v>32</v>
      </c>
      <c r="F12997" s="76">
        <v>5</v>
      </c>
    </row>
    <row r="12998" s="76" customFormat="1" spans="1:6">
      <c r="A12998">
        <v>13353</v>
      </c>
      <c r="B12998">
        <v>632019270</v>
      </c>
      <c r="C12998" s="76">
        <v>2019</v>
      </c>
      <c r="D12998" s="76" t="s">
        <v>31</v>
      </c>
      <c r="E12998" s="76" t="s">
        <v>32</v>
      </c>
      <c r="F12998" s="76">
        <v>25</v>
      </c>
    </row>
    <row r="12999" s="76" customFormat="1" spans="1:6">
      <c r="A12999">
        <v>13360</v>
      </c>
      <c r="B12999">
        <v>632019270</v>
      </c>
      <c r="C12999" s="76">
        <v>2019</v>
      </c>
      <c r="D12999" s="76" t="s">
        <v>31</v>
      </c>
      <c r="E12999" s="76" t="s">
        <v>32</v>
      </c>
      <c r="F12999" s="76">
        <v>1.07</v>
      </c>
    </row>
    <row r="13000" s="76" customFormat="1" spans="1:6">
      <c r="A13000">
        <v>13365</v>
      </c>
      <c r="B13000">
        <v>632019270</v>
      </c>
      <c r="C13000" s="76">
        <v>2019</v>
      </c>
      <c r="D13000" s="76" t="s">
        <v>31</v>
      </c>
      <c r="E13000" s="76" t="s">
        <v>32</v>
      </c>
      <c r="F13000" s="76">
        <v>10</v>
      </c>
    </row>
    <row r="13001" s="76" customFormat="1" spans="1:6">
      <c r="A13001">
        <v>13364</v>
      </c>
      <c r="B13001">
        <v>632019270</v>
      </c>
      <c r="C13001" s="76">
        <v>2019</v>
      </c>
      <c r="D13001" s="76" t="s">
        <v>31</v>
      </c>
      <c r="E13001" s="76" t="s">
        <v>32</v>
      </c>
      <c r="F13001" s="76">
        <v>10</v>
      </c>
    </row>
    <row r="13002" s="76" customFormat="1" spans="1:6">
      <c r="A13002">
        <v>13363</v>
      </c>
      <c r="B13002">
        <v>632019270</v>
      </c>
      <c r="C13002" s="76">
        <v>2019</v>
      </c>
      <c r="D13002" s="76" t="s">
        <v>31</v>
      </c>
      <c r="E13002" s="76" t="s">
        <v>32</v>
      </c>
      <c r="F13002" s="76">
        <v>10</v>
      </c>
    </row>
    <row r="13003" s="76" customFormat="1" spans="1:6">
      <c r="A13003">
        <v>13361</v>
      </c>
      <c r="B13003">
        <v>632019270</v>
      </c>
      <c r="C13003" s="76">
        <v>2019</v>
      </c>
      <c r="D13003" s="76" t="s">
        <v>31</v>
      </c>
      <c r="E13003" s="76" t="s">
        <v>32</v>
      </c>
      <c r="F13003" s="76">
        <v>10</v>
      </c>
    </row>
    <row r="13004" s="76" customFormat="1" spans="1:6">
      <c r="A13004">
        <v>13362</v>
      </c>
      <c r="B13004">
        <v>632019270</v>
      </c>
      <c r="C13004" s="76">
        <v>2019</v>
      </c>
      <c r="D13004" s="76" t="s">
        <v>31</v>
      </c>
      <c r="E13004" s="76" t="s">
        <v>32</v>
      </c>
      <c r="F13004" s="76">
        <v>10</v>
      </c>
    </row>
    <row r="13005" s="76" customFormat="1" spans="1:6">
      <c r="A13005">
        <v>13370</v>
      </c>
      <c r="B13005">
        <v>632019270</v>
      </c>
      <c r="C13005" s="76">
        <v>2019</v>
      </c>
      <c r="D13005" s="76" t="s">
        <v>31</v>
      </c>
      <c r="E13005" s="76" t="s">
        <v>32</v>
      </c>
      <c r="F13005" s="76">
        <v>3.87</v>
      </c>
    </row>
    <row r="13006" s="76" customFormat="1" spans="1:6">
      <c r="A13006">
        <v>13367</v>
      </c>
      <c r="B13006">
        <v>632019270</v>
      </c>
      <c r="C13006" s="76">
        <v>2019</v>
      </c>
      <c r="D13006" s="76" t="s">
        <v>31</v>
      </c>
      <c r="E13006" s="76" t="s">
        <v>32</v>
      </c>
      <c r="F13006" s="76">
        <v>2.37</v>
      </c>
    </row>
    <row r="13007" s="76" customFormat="1" spans="1:6">
      <c r="A13007">
        <v>13357</v>
      </c>
      <c r="B13007">
        <v>632019270</v>
      </c>
      <c r="C13007" s="76">
        <v>2019</v>
      </c>
      <c r="D13007" s="76" t="s">
        <v>31</v>
      </c>
      <c r="E13007" s="76" t="s">
        <v>32</v>
      </c>
      <c r="F13007" s="76">
        <v>10</v>
      </c>
    </row>
    <row r="13008" s="76" customFormat="1" spans="1:6">
      <c r="A13008">
        <v>13358</v>
      </c>
      <c r="B13008">
        <v>632019270</v>
      </c>
      <c r="C13008" s="76">
        <v>2019</v>
      </c>
      <c r="D13008" s="76" t="s">
        <v>31</v>
      </c>
      <c r="E13008" s="76" t="s">
        <v>32</v>
      </c>
      <c r="F13008" s="76">
        <v>10</v>
      </c>
    </row>
    <row r="13009" s="76" customFormat="1" spans="1:6">
      <c r="A13009">
        <v>13356</v>
      </c>
      <c r="B13009">
        <v>632019270</v>
      </c>
      <c r="C13009" s="76">
        <v>2019</v>
      </c>
      <c r="D13009" s="76" t="s">
        <v>31</v>
      </c>
      <c r="E13009" s="76" t="s">
        <v>32</v>
      </c>
      <c r="F13009" s="76">
        <v>5</v>
      </c>
    </row>
    <row r="13010" s="76" customFormat="1" spans="1:6">
      <c r="A13010">
        <v>13369</v>
      </c>
      <c r="B13010">
        <v>632019270</v>
      </c>
      <c r="C13010" s="76">
        <v>2019</v>
      </c>
      <c r="D13010" s="76" t="s">
        <v>31</v>
      </c>
      <c r="E13010" s="76" t="s">
        <v>32</v>
      </c>
      <c r="F13010" s="76">
        <v>1.75</v>
      </c>
    </row>
    <row r="13011" s="76" customFormat="1" spans="1:6">
      <c r="A13011">
        <v>13368</v>
      </c>
      <c r="B13011">
        <v>632019270</v>
      </c>
      <c r="C13011" s="76">
        <v>2019</v>
      </c>
      <c r="D13011" s="76" t="s">
        <v>31</v>
      </c>
      <c r="E13011" s="76" t="s">
        <v>32</v>
      </c>
      <c r="F13011" s="76">
        <v>1.39</v>
      </c>
    </row>
    <row r="13012" s="76" customFormat="1" spans="1:6">
      <c r="A13012">
        <v>13359</v>
      </c>
      <c r="B13012">
        <v>632019270</v>
      </c>
      <c r="C13012" s="76">
        <v>2019</v>
      </c>
      <c r="D13012" s="76" t="s">
        <v>31</v>
      </c>
      <c r="E13012" s="76" t="s">
        <v>32</v>
      </c>
      <c r="F13012" s="76">
        <v>10</v>
      </c>
    </row>
    <row r="13013" s="76" customFormat="1" spans="1:6">
      <c r="A13013">
        <v>13355</v>
      </c>
      <c r="B13013">
        <v>632019270</v>
      </c>
      <c r="C13013" s="76">
        <v>2019</v>
      </c>
      <c r="D13013" s="76" t="s">
        <v>31</v>
      </c>
      <c r="E13013" s="76" t="s">
        <v>32</v>
      </c>
      <c r="F13013" s="76">
        <v>5.05</v>
      </c>
    </row>
    <row r="13014" s="76" customFormat="1" spans="1:6">
      <c r="A13014">
        <v>13371</v>
      </c>
      <c r="B13014">
        <v>632019270</v>
      </c>
      <c r="C13014" s="76">
        <v>2019</v>
      </c>
      <c r="D13014" s="76" t="s">
        <v>31</v>
      </c>
      <c r="E13014" s="76" t="s">
        <v>32</v>
      </c>
      <c r="F13014" s="76">
        <v>3.41</v>
      </c>
    </row>
    <row r="13015" s="76" customFormat="1" spans="1:6">
      <c r="A13015">
        <v>13372</v>
      </c>
      <c r="B13015">
        <v>632019270</v>
      </c>
      <c r="C13015" s="76">
        <v>2019</v>
      </c>
      <c r="D13015" s="76" t="s">
        <v>31</v>
      </c>
      <c r="E13015" s="76" t="s">
        <v>32</v>
      </c>
      <c r="F13015" s="76">
        <v>5</v>
      </c>
    </row>
    <row r="13016" s="76" customFormat="1" spans="1:6">
      <c r="A13016">
        <v>13366</v>
      </c>
      <c r="B13016">
        <v>632019270</v>
      </c>
      <c r="C13016" s="76">
        <v>2019</v>
      </c>
      <c r="D13016" s="76" t="s">
        <v>31</v>
      </c>
      <c r="E13016" s="76" t="s">
        <v>32</v>
      </c>
      <c r="F13016" s="76">
        <v>0.6</v>
      </c>
    </row>
    <row r="13017" s="76" customFormat="1" spans="1:6">
      <c r="A13017">
        <v>13373</v>
      </c>
      <c r="B13017">
        <v>632019270</v>
      </c>
      <c r="C13017" s="76">
        <v>2019</v>
      </c>
      <c r="D13017" s="76" t="s">
        <v>31</v>
      </c>
      <c r="E13017" s="76" t="s">
        <v>32</v>
      </c>
      <c r="F13017" s="76">
        <v>5</v>
      </c>
    </row>
    <row r="13018" s="76" customFormat="1" spans="1:6">
      <c r="A13018">
        <v>13388</v>
      </c>
      <c r="B13018">
        <v>632020260</v>
      </c>
      <c r="C13018" s="76">
        <v>2020</v>
      </c>
      <c r="D13018" s="76" t="s">
        <v>34</v>
      </c>
      <c r="E13018" s="76">
        <v>13</v>
      </c>
      <c r="F13018" s="76">
        <v>2.7</v>
      </c>
    </row>
    <row r="13019" s="76" customFormat="1" spans="1:6">
      <c r="A13019">
        <v>13418</v>
      </c>
      <c r="B13019">
        <v>632020260</v>
      </c>
      <c r="C13019" s="76">
        <v>2020</v>
      </c>
      <c r="D13019" s="76" t="s">
        <v>34</v>
      </c>
      <c r="E13019" s="76" t="s">
        <v>32</v>
      </c>
      <c r="F13019" s="76">
        <v>10</v>
      </c>
    </row>
    <row r="13020" s="76" customFormat="1" spans="1:6">
      <c r="A13020">
        <v>13404</v>
      </c>
      <c r="B13020">
        <v>632020260</v>
      </c>
      <c r="C13020" s="76">
        <v>2020</v>
      </c>
      <c r="D13020" s="76" t="s">
        <v>34</v>
      </c>
      <c r="E13020" s="76" t="s">
        <v>32</v>
      </c>
      <c r="F13020" s="76">
        <v>15</v>
      </c>
    </row>
    <row r="13021" s="76" customFormat="1" spans="1:6">
      <c r="A13021">
        <v>13417</v>
      </c>
      <c r="B13021">
        <v>632020260</v>
      </c>
      <c r="C13021" s="76">
        <v>2020</v>
      </c>
      <c r="D13021" s="76" t="s">
        <v>34</v>
      </c>
      <c r="E13021" s="76" t="s">
        <v>32</v>
      </c>
      <c r="F13021" s="76">
        <v>10</v>
      </c>
    </row>
    <row r="13022" s="76" customFormat="1" spans="1:6">
      <c r="A13022">
        <v>13399</v>
      </c>
      <c r="B13022">
        <v>632020260</v>
      </c>
      <c r="C13022" s="76">
        <v>2020</v>
      </c>
      <c r="D13022" s="76" t="s">
        <v>34</v>
      </c>
      <c r="E13022" s="76" t="s">
        <v>32</v>
      </c>
      <c r="F13022" s="76">
        <v>5</v>
      </c>
    </row>
    <row r="13023" s="76" customFormat="1" spans="1:6">
      <c r="A13023">
        <v>13424</v>
      </c>
      <c r="B13023">
        <v>632020260</v>
      </c>
      <c r="C13023" s="76">
        <v>2020</v>
      </c>
      <c r="D13023" s="76" t="s">
        <v>34</v>
      </c>
      <c r="E13023" s="76" t="s">
        <v>32</v>
      </c>
      <c r="F13023" s="76">
        <v>5</v>
      </c>
    </row>
    <row r="13024" s="76" customFormat="1" spans="1:6">
      <c r="A13024">
        <v>13425</v>
      </c>
      <c r="B13024">
        <v>632020260</v>
      </c>
      <c r="C13024" s="76">
        <v>2020</v>
      </c>
      <c r="D13024" s="76" t="s">
        <v>34</v>
      </c>
      <c r="E13024" s="76" t="s">
        <v>32</v>
      </c>
      <c r="F13024" s="76">
        <v>5</v>
      </c>
    </row>
    <row r="13025" s="76" customFormat="1" spans="1:6">
      <c r="A13025">
        <v>13414</v>
      </c>
      <c r="B13025">
        <v>632020260</v>
      </c>
      <c r="C13025" s="76">
        <v>2020</v>
      </c>
      <c r="D13025" s="76" t="s">
        <v>34</v>
      </c>
      <c r="E13025" s="76" t="s">
        <v>32</v>
      </c>
      <c r="F13025" s="76">
        <v>5</v>
      </c>
    </row>
    <row r="13026" s="76" customFormat="1" spans="1:6">
      <c r="A13026">
        <v>13397</v>
      </c>
      <c r="B13026">
        <v>632020260</v>
      </c>
      <c r="C13026" s="76">
        <v>2020</v>
      </c>
      <c r="D13026" s="76" t="s">
        <v>34</v>
      </c>
      <c r="E13026" s="76" t="s">
        <v>32</v>
      </c>
      <c r="F13026" s="76">
        <v>10</v>
      </c>
    </row>
    <row r="13027" s="76" customFormat="1" spans="1:6">
      <c r="A13027">
        <v>13376</v>
      </c>
      <c r="B13027">
        <v>632020260</v>
      </c>
      <c r="C13027" s="76">
        <v>2020</v>
      </c>
      <c r="D13027" s="76" t="s">
        <v>34</v>
      </c>
      <c r="E13027" s="76">
        <v>22</v>
      </c>
      <c r="F13027" s="76">
        <v>5</v>
      </c>
    </row>
    <row r="13028" s="76" customFormat="1" spans="1:6">
      <c r="A13028">
        <v>13400</v>
      </c>
      <c r="B13028">
        <v>632020260</v>
      </c>
      <c r="C13028" s="76">
        <v>2020</v>
      </c>
      <c r="D13028" s="76" t="s">
        <v>34</v>
      </c>
      <c r="E13028" s="76" t="s">
        <v>32</v>
      </c>
      <c r="F13028" s="76">
        <v>30</v>
      </c>
    </row>
    <row r="13029" s="76" customFormat="1" spans="1:6">
      <c r="A13029">
        <v>13419</v>
      </c>
      <c r="B13029">
        <v>632020260</v>
      </c>
      <c r="C13029" s="76">
        <v>2020</v>
      </c>
      <c r="D13029" s="76" t="s">
        <v>34</v>
      </c>
      <c r="E13029" s="76" t="s">
        <v>32</v>
      </c>
      <c r="F13029" s="76">
        <v>5</v>
      </c>
    </row>
    <row r="13030" s="76" customFormat="1" spans="1:6">
      <c r="A13030">
        <v>13398</v>
      </c>
      <c r="B13030">
        <v>632020260</v>
      </c>
      <c r="C13030" s="76">
        <v>2020</v>
      </c>
      <c r="D13030" s="76" t="s">
        <v>34</v>
      </c>
      <c r="E13030" s="76" t="s">
        <v>32</v>
      </c>
      <c r="F13030" s="76">
        <v>10</v>
      </c>
    </row>
    <row r="13031" s="76" customFormat="1" spans="1:6">
      <c r="A13031">
        <v>13413</v>
      </c>
      <c r="B13031">
        <v>632020260</v>
      </c>
      <c r="C13031" s="76">
        <v>2020</v>
      </c>
      <c r="D13031" s="76" t="s">
        <v>34</v>
      </c>
      <c r="E13031" s="76" t="s">
        <v>32</v>
      </c>
      <c r="F13031" s="76">
        <v>5</v>
      </c>
    </row>
    <row r="13032" s="76" customFormat="1" spans="1:6">
      <c r="A13032">
        <v>13410</v>
      </c>
      <c r="B13032">
        <v>632020260</v>
      </c>
      <c r="C13032" s="76">
        <v>2020</v>
      </c>
      <c r="D13032" s="76" t="s">
        <v>34</v>
      </c>
      <c r="E13032" s="76" t="s">
        <v>32</v>
      </c>
      <c r="F13032" s="76">
        <v>5</v>
      </c>
    </row>
    <row r="13033" s="76" customFormat="1" spans="1:6">
      <c r="A13033">
        <v>13378</v>
      </c>
      <c r="B13033">
        <v>632020260</v>
      </c>
      <c r="C13033" s="76">
        <v>2020</v>
      </c>
      <c r="D13033" s="76" t="s">
        <v>34</v>
      </c>
      <c r="E13033" s="76">
        <v>25</v>
      </c>
      <c r="F13033" s="76">
        <v>5</v>
      </c>
    </row>
    <row r="13034" s="76" customFormat="1" spans="1:6">
      <c r="A13034">
        <v>13383</v>
      </c>
      <c r="B13034">
        <v>632020260</v>
      </c>
      <c r="C13034" s="76">
        <v>2020</v>
      </c>
      <c r="D13034" s="76" t="s">
        <v>34</v>
      </c>
      <c r="E13034" s="76">
        <v>40</v>
      </c>
      <c r="F13034" s="76">
        <v>10</v>
      </c>
    </row>
    <row r="13035" s="76" customFormat="1" spans="1:6">
      <c r="A13035">
        <v>13384</v>
      </c>
      <c r="B13035">
        <v>632020260</v>
      </c>
      <c r="C13035" s="76">
        <v>2020</v>
      </c>
      <c r="D13035" s="76" t="s">
        <v>34</v>
      </c>
      <c r="E13035" s="76">
        <v>20</v>
      </c>
      <c r="F13035" s="76">
        <v>5</v>
      </c>
    </row>
    <row r="13036" s="76" customFormat="1" spans="1:6">
      <c r="A13036">
        <v>13385</v>
      </c>
      <c r="B13036">
        <v>632020260</v>
      </c>
      <c r="C13036" s="76">
        <v>2020</v>
      </c>
      <c r="D13036" s="76" t="s">
        <v>34</v>
      </c>
      <c r="E13036" s="76">
        <v>20</v>
      </c>
      <c r="F13036" s="76">
        <v>5</v>
      </c>
    </row>
    <row r="13037" s="76" customFormat="1" spans="1:6">
      <c r="A13037">
        <v>13411</v>
      </c>
      <c r="B13037">
        <v>632020260</v>
      </c>
      <c r="C13037" s="76">
        <v>2020</v>
      </c>
      <c r="D13037" s="76" t="s">
        <v>34</v>
      </c>
      <c r="E13037" s="76" t="s">
        <v>32</v>
      </c>
      <c r="F13037" s="76">
        <v>5</v>
      </c>
    </row>
    <row r="13038" s="76" customFormat="1" spans="1:6">
      <c r="A13038">
        <v>13415</v>
      </c>
      <c r="B13038">
        <v>632020260</v>
      </c>
      <c r="C13038" s="76">
        <v>2020</v>
      </c>
      <c r="D13038" s="76" t="s">
        <v>34</v>
      </c>
      <c r="E13038" s="76" t="s">
        <v>32</v>
      </c>
      <c r="F13038" s="76">
        <v>5</v>
      </c>
    </row>
    <row r="13039" s="76" customFormat="1" spans="1:6">
      <c r="A13039">
        <v>13403</v>
      </c>
      <c r="B13039">
        <v>632020260</v>
      </c>
      <c r="C13039" s="76">
        <v>2020</v>
      </c>
      <c r="D13039" s="76" t="s">
        <v>34</v>
      </c>
      <c r="E13039" s="76" t="s">
        <v>32</v>
      </c>
      <c r="F13039" s="76">
        <v>30</v>
      </c>
    </row>
    <row r="13040" s="76" customFormat="1" spans="1:6">
      <c r="A13040">
        <v>13402</v>
      </c>
      <c r="B13040">
        <v>632020260</v>
      </c>
      <c r="C13040" s="76">
        <v>2020</v>
      </c>
      <c r="D13040" s="76" t="s">
        <v>34</v>
      </c>
      <c r="E13040" s="76" t="s">
        <v>32</v>
      </c>
      <c r="F13040" s="76">
        <v>5</v>
      </c>
    </row>
    <row r="13041" s="76" customFormat="1" spans="1:6">
      <c r="A13041">
        <v>13422</v>
      </c>
      <c r="B13041">
        <v>632020260</v>
      </c>
      <c r="C13041" s="76">
        <v>2020</v>
      </c>
      <c r="D13041" s="76" t="s">
        <v>34</v>
      </c>
      <c r="E13041" s="76" t="s">
        <v>32</v>
      </c>
      <c r="F13041" s="76">
        <v>5</v>
      </c>
    </row>
    <row r="13042" s="76" customFormat="1" spans="1:6">
      <c r="A13042">
        <v>13389</v>
      </c>
      <c r="B13042">
        <v>632020260</v>
      </c>
      <c r="C13042" s="76">
        <v>2020</v>
      </c>
      <c r="D13042" s="76" t="s">
        <v>34</v>
      </c>
      <c r="E13042" s="76">
        <v>50</v>
      </c>
      <c r="F13042" s="76">
        <v>10</v>
      </c>
    </row>
    <row r="13043" s="76" customFormat="1" spans="1:6">
      <c r="A13043">
        <v>13406</v>
      </c>
      <c r="B13043">
        <v>632020260</v>
      </c>
      <c r="C13043" s="76">
        <v>2020</v>
      </c>
      <c r="D13043" s="76" t="s">
        <v>34</v>
      </c>
      <c r="E13043" s="76" t="s">
        <v>32</v>
      </c>
      <c r="F13043" s="76">
        <v>10</v>
      </c>
    </row>
    <row r="13044" s="76" customFormat="1" spans="1:6">
      <c r="A13044">
        <v>13407</v>
      </c>
      <c r="B13044">
        <v>632020260</v>
      </c>
      <c r="C13044" s="76">
        <v>2020</v>
      </c>
      <c r="D13044" s="76" t="s">
        <v>34</v>
      </c>
      <c r="E13044" s="76" t="s">
        <v>32</v>
      </c>
      <c r="F13044" s="76">
        <v>10</v>
      </c>
    </row>
    <row r="13045" s="76" customFormat="1" spans="1:6">
      <c r="A13045">
        <v>13382</v>
      </c>
      <c r="B13045">
        <v>632020260</v>
      </c>
      <c r="C13045" s="76">
        <v>2020</v>
      </c>
      <c r="D13045" s="76" t="s">
        <v>34</v>
      </c>
      <c r="E13045" s="76">
        <v>40</v>
      </c>
      <c r="F13045" s="76">
        <v>10</v>
      </c>
    </row>
    <row r="13046" s="76" customFormat="1" spans="1:6">
      <c r="A13046">
        <v>13421</v>
      </c>
      <c r="B13046">
        <v>632020260</v>
      </c>
      <c r="C13046" s="76">
        <v>2020</v>
      </c>
      <c r="D13046" s="76" t="s">
        <v>34</v>
      </c>
      <c r="E13046" s="76" t="s">
        <v>32</v>
      </c>
      <c r="F13046" s="76">
        <v>5</v>
      </c>
    </row>
    <row r="13047" s="76" customFormat="1" spans="1:6">
      <c r="A13047">
        <v>13423</v>
      </c>
      <c r="B13047">
        <v>632020260</v>
      </c>
      <c r="C13047" s="76">
        <v>2020</v>
      </c>
      <c r="D13047" s="76" t="s">
        <v>34</v>
      </c>
      <c r="E13047" s="76" t="s">
        <v>32</v>
      </c>
      <c r="F13047" s="76">
        <v>5</v>
      </c>
    </row>
    <row r="13048" s="76" customFormat="1" spans="1:6">
      <c r="A13048">
        <v>13405</v>
      </c>
      <c r="B13048">
        <v>632020260</v>
      </c>
      <c r="C13048" s="76">
        <v>2020</v>
      </c>
      <c r="D13048" s="76" t="s">
        <v>34</v>
      </c>
      <c r="E13048" s="76" t="s">
        <v>32</v>
      </c>
      <c r="F13048" s="76">
        <v>5</v>
      </c>
    </row>
    <row r="13049" s="76" customFormat="1" spans="1:6">
      <c r="A13049">
        <v>13387</v>
      </c>
      <c r="B13049">
        <v>632020260</v>
      </c>
      <c r="C13049" s="76">
        <v>2020</v>
      </c>
      <c r="D13049" s="76" t="s">
        <v>34</v>
      </c>
      <c r="E13049" s="76">
        <v>20</v>
      </c>
      <c r="F13049" s="76">
        <v>5</v>
      </c>
    </row>
    <row r="13050" s="76" customFormat="1" spans="1:6">
      <c r="A13050">
        <v>13392</v>
      </c>
      <c r="B13050">
        <v>632020260</v>
      </c>
      <c r="C13050" s="76">
        <v>2020</v>
      </c>
      <c r="D13050" s="76" t="s">
        <v>34</v>
      </c>
      <c r="E13050" s="76">
        <v>19</v>
      </c>
      <c r="F13050" s="76">
        <v>4.95</v>
      </c>
    </row>
    <row r="13051" s="76" customFormat="1" spans="1:6">
      <c r="A13051">
        <v>13386</v>
      </c>
      <c r="B13051">
        <v>632020260</v>
      </c>
      <c r="C13051" s="76">
        <v>2020</v>
      </c>
      <c r="D13051" s="76" t="s">
        <v>34</v>
      </c>
      <c r="E13051" s="76">
        <v>40</v>
      </c>
      <c r="F13051" s="76">
        <v>10</v>
      </c>
    </row>
    <row r="13052" s="76" customFormat="1" spans="1:6">
      <c r="A13052">
        <v>13390</v>
      </c>
      <c r="B13052">
        <v>632020260</v>
      </c>
      <c r="C13052" s="76">
        <v>2020</v>
      </c>
      <c r="D13052" s="76" t="s">
        <v>34</v>
      </c>
      <c r="E13052" s="76">
        <v>20</v>
      </c>
      <c r="F13052" s="76">
        <v>5</v>
      </c>
    </row>
    <row r="13053" s="76" customFormat="1" spans="1:6">
      <c r="A13053">
        <v>13391</v>
      </c>
      <c r="B13053">
        <v>632020260</v>
      </c>
      <c r="C13053" s="76">
        <v>2020</v>
      </c>
      <c r="D13053" s="76" t="s">
        <v>34</v>
      </c>
      <c r="E13053" s="76">
        <v>16</v>
      </c>
      <c r="F13053" s="76">
        <v>5</v>
      </c>
    </row>
    <row r="13054" s="76" customFormat="1" spans="1:6">
      <c r="A13054">
        <v>13393</v>
      </c>
      <c r="B13054">
        <v>632020260</v>
      </c>
      <c r="C13054" s="76">
        <v>2020</v>
      </c>
      <c r="D13054" s="76" t="s">
        <v>34</v>
      </c>
      <c r="E13054" s="76">
        <v>38</v>
      </c>
      <c r="F13054" s="76">
        <v>10</v>
      </c>
    </row>
    <row r="13055" s="76" customFormat="1" spans="1:6">
      <c r="A13055">
        <v>13380</v>
      </c>
      <c r="B13055">
        <v>632020260</v>
      </c>
      <c r="C13055" s="76">
        <v>2020</v>
      </c>
      <c r="D13055" s="76" t="s">
        <v>34</v>
      </c>
      <c r="E13055" s="76">
        <v>40</v>
      </c>
      <c r="F13055" s="76">
        <v>10</v>
      </c>
    </row>
    <row r="13056" s="76" customFormat="1" spans="1:6">
      <c r="A13056">
        <v>13394</v>
      </c>
      <c r="B13056">
        <v>632020260</v>
      </c>
      <c r="C13056" s="76">
        <v>2020</v>
      </c>
      <c r="D13056" s="76" t="s">
        <v>34</v>
      </c>
      <c r="E13056" s="76">
        <v>19</v>
      </c>
      <c r="F13056" s="76">
        <v>5</v>
      </c>
    </row>
    <row r="13057" s="76" customFormat="1" spans="1:6">
      <c r="A13057">
        <v>13395</v>
      </c>
      <c r="B13057">
        <v>632020260</v>
      </c>
      <c r="C13057" s="76">
        <v>2020</v>
      </c>
      <c r="D13057" s="76" t="s">
        <v>34</v>
      </c>
      <c r="E13057" s="76">
        <v>19</v>
      </c>
      <c r="F13057" s="76">
        <v>5</v>
      </c>
    </row>
    <row r="13058" s="76" customFormat="1" spans="1:6">
      <c r="A13058">
        <v>13381</v>
      </c>
      <c r="B13058">
        <v>632020260</v>
      </c>
      <c r="C13058" s="76">
        <v>2020</v>
      </c>
      <c r="D13058" s="76" t="s">
        <v>34</v>
      </c>
      <c r="E13058" s="76">
        <v>25</v>
      </c>
      <c r="F13058" s="76">
        <v>5</v>
      </c>
    </row>
    <row r="13059" s="76" customFormat="1" spans="1:6">
      <c r="A13059">
        <v>13379</v>
      </c>
      <c r="B13059">
        <v>632020260</v>
      </c>
      <c r="C13059" s="76">
        <v>2020</v>
      </c>
      <c r="D13059" s="76" t="s">
        <v>34</v>
      </c>
      <c r="E13059" s="76">
        <v>23</v>
      </c>
      <c r="F13059" s="76">
        <v>5</v>
      </c>
    </row>
    <row r="13060" s="76" customFormat="1" spans="1:6">
      <c r="A13060">
        <v>13420</v>
      </c>
      <c r="B13060">
        <v>632020260</v>
      </c>
      <c r="C13060" s="76">
        <v>2020</v>
      </c>
      <c r="D13060" s="76" t="s">
        <v>34</v>
      </c>
      <c r="E13060" s="76" t="s">
        <v>32</v>
      </c>
      <c r="F13060" s="76">
        <v>5</v>
      </c>
    </row>
    <row r="13061" s="76" customFormat="1" spans="1:6">
      <c r="A13061">
        <v>13377</v>
      </c>
      <c r="B13061">
        <v>632020260</v>
      </c>
      <c r="C13061" s="76">
        <v>2020</v>
      </c>
      <c r="D13061" s="76" t="s">
        <v>34</v>
      </c>
      <c r="E13061" s="76">
        <v>50</v>
      </c>
      <c r="F13061" s="76">
        <v>20</v>
      </c>
    </row>
    <row r="13062" s="76" customFormat="1" spans="1:6">
      <c r="A13062">
        <v>13409</v>
      </c>
      <c r="B13062">
        <v>632020260</v>
      </c>
      <c r="C13062" s="76">
        <v>2020</v>
      </c>
      <c r="D13062" s="76" t="s">
        <v>34</v>
      </c>
      <c r="E13062" s="76" t="s">
        <v>32</v>
      </c>
      <c r="F13062" s="76">
        <v>5</v>
      </c>
    </row>
    <row r="13063" s="76" customFormat="1" spans="1:6">
      <c r="A13063">
        <v>13408</v>
      </c>
      <c r="B13063">
        <v>632020260</v>
      </c>
      <c r="C13063" s="76">
        <v>2020</v>
      </c>
      <c r="D13063" s="76" t="s">
        <v>34</v>
      </c>
      <c r="E13063" s="76" t="s">
        <v>32</v>
      </c>
      <c r="F13063" s="76">
        <v>1</v>
      </c>
    </row>
    <row r="13064" s="76" customFormat="1" spans="1:6">
      <c r="A13064">
        <v>13416</v>
      </c>
      <c r="B13064">
        <v>632020260</v>
      </c>
      <c r="C13064" s="76">
        <v>2020</v>
      </c>
      <c r="D13064" s="76" t="s">
        <v>34</v>
      </c>
      <c r="E13064" s="76" t="s">
        <v>32</v>
      </c>
      <c r="F13064" s="76">
        <v>5</v>
      </c>
    </row>
    <row r="13065" s="76" customFormat="1" spans="1:6">
      <c r="A13065">
        <v>13401</v>
      </c>
      <c r="B13065">
        <v>632020260</v>
      </c>
      <c r="C13065" s="76">
        <v>2020</v>
      </c>
      <c r="D13065" s="76" t="s">
        <v>34</v>
      </c>
      <c r="E13065" s="76" t="s">
        <v>32</v>
      </c>
      <c r="F13065" s="76">
        <v>5</v>
      </c>
    </row>
    <row r="13066" s="76" customFormat="1" spans="1:6">
      <c r="A13066">
        <v>13412</v>
      </c>
      <c r="B13066">
        <v>632020260</v>
      </c>
      <c r="C13066" s="76">
        <v>2020</v>
      </c>
      <c r="D13066" s="76" t="s">
        <v>34</v>
      </c>
      <c r="E13066" s="76" t="s">
        <v>32</v>
      </c>
      <c r="F13066" s="76">
        <v>5</v>
      </c>
    </row>
    <row r="13067" s="76" customFormat="1" spans="1:6">
      <c r="A13067">
        <v>13396</v>
      </c>
      <c r="B13067">
        <v>632020260</v>
      </c>
      <c r="C13067" s="76">
        <v>2020</v>
      </c>
      <c r="D13067" s="76" t="s">
        <v>34</v>
      </c>
      <c r="E13067" s="76" t="s">
        <v>32</v>
      </c>
      <c r="F13067" s="76">
        <v>5</v>
      </c>
    </row>
    <row r="13068" s="76" customFormat="1" spans="1:6">
      <c r="A13068">
        <v>13452</v>
      </c>
      <c r="B13068">
        <v>632020270</v>
      </c>
      <c r="C13068" s="76">
        <v>2020</v>
      </c>
      <c r="D13068" s="76" t="s">
        <v>31</v>
      </c>
      <c r="E13068" s="76" t="s">
        <v>32</v>
      </c>
      <c r="F13068" s="76">
        <v>10</v>
      </c>
    </row>
    <row r="13069" s="76" customFormat="1" spans="1:6">
      <c r="A13069">
        <v>13446</v>
      </c>
      <c r="B13069">
        <v>632020270</v>
      </c>
      <c r="C13069" s="76">
        <v>2020</v>
      </c>
      <c r="D13069" s="76" t="s">
        <v>31</v>
      </c>
      <c r="E13069" s="76" t="s">
        <v>32</v>
      </c>
      <c r="F13069" s="76">
        <v>10</v>
      </c>
    </row>
    <row r="13070" s="76" customFormat="1" spans="1:6">
      <c r="A13070">
        <v>13451</v>
      </c>
      <c r="B13070">
        <v>632020270</v>
      </c>
      <c r="C13070" s="76">
        <v>2020</v>
      </c>
      <c r="D13070" s="76" t="s">
        <v>31</v>
      </c>
      <c r="E13070" s="76" t="s">
        <v>32</v>
      </c>
      <c r="F13070" s="76">
        <v>10</v>
      </c>
    </row>
    <row r="13071" s="76" customFormat="1" spans="1:6">
      <c r="A13071">
        <v>13427</v>
      </c>
      <c r="B13071">
        <v>632020270</v>
      </c>
      <c r="C13071" s="76">
        <v>2020</v>
      </c>
      <c r="D13071" s="76" t="s">
        <v>31</v>
      </c>
      <c r="E13071" s="76" t="s">
        <v>32</v>
      </c>
      <c r="F13071" s="76">
        <v>10</v>
      </c>
    </row>
    <row r="13072" s="76" customFormat="1" spans="1:6">
      <c r="A13072">
        <v>13429</v>
      </c>
      <c r="B13072">
        <v>632020270</v>
      </c>
      <c r="C13072" s="76">
        <v>2020</v>
      </c>
      <c r="D13072" s="76" t="s">
        <v>31</v>
      </c>
      <c r="E13072" s="76" t="s">
        <v>32</v>
      </c>
      <c r="F13072" s="76">
        <v>10</v>
      </c>
    </row>
    <row r="13073" s="76" customFormat="1" spans="1:6">
      <c r="A13073">
        <v>13443</v>
      </c>
      <c r="B13073">
        <v>632020270</v>
      </c>
      <c r="C13073" s="76">
        <v>2020</v>
      </c>
      <c r="D13073" s="76" t="s">
        <v>31</v>
      </c>
      <c r="E13073" s="76" t="s">
        <v>32</v>
      </c>
      <c r="F13073" s="76">
        <v>10</v>
      </c>
    </row>
    <row r="13074" s="76" customFormat="1" spans="1:6">
      <c r="A13074">
        <v>13442</v>
      </c>
      <c r="B13074">
        <v>632020270</v>
      </c>
      <c r="C13074" s="76">
        <v>2020</v>
      </c>
      <c r="D13074" s="76" t="s">
        <v>31</v>
      </c>
      <c r="E13074" s="76" t="s">
        <v>32</v>
      </c>
      <c r="F13074" s="76">
        <v>10</v>
      </c>
    </row>
    <row r="13075" s="76" customFormat="1" spans="1:6">
      <c r="A13075">
        <v>13438</v>
      </c>
      <c r="B13075">
        <v>632020270</v>
      </c>
      <c r="C13075" s="76">
        <v>2020</v>
      </c>
      <c r="D13075" s="76" t="s">
        <v>31</v>
      </c>
      <c r="E13075" s="76" t="s">
        <v>32</v>
      </c>
      <c r="F13075" s="76">
        <v>50</v>
      </c>
    </row>
    <row r="13076" s="76" customFormat="1" spans="1:6">
      <c r="A13076">
        <v>13440</v>
      </c>
      <c r="B13076">
        <v>632020270</v>
      </c>
      <c r="C13076" s="76">
        <v>2020</v>
      </c>
      <c r="D13076" s="76" t="s">
        <v>31</v>
      </c>
      <c r="E13076" s="76" t="s">
        <v>32</v>
      </c>
      <c r="F13076" s="76">
        <v>10</v>
      </c>
    </row>
    <row r="13077" s="76" customFormat="1" spans="1:6">
      <c r="A13077">
        <v>13441</v>
      </c>
      <c r="B13077">
        <v>632020270</v>
      </c>
      <c r="C13077" s="76">
        <v>2020</v>
      </c>
      <c r="D13077" s="76" t="s">
        <v>31</v>
      </c>
      <c r="E13077" s="76" t="s">
        <v>32</v>
      </c>
      <c r="F13077" s="76">
        <v>10</v>
      </c>
    </row>
    <row r="13078" s="76" customFormat="1" spans="1:6">
      <c r="A13078">
        <v>13439</v>
      </c>
      <c r="B13078">
        <v>632020270</v>
      </c>
      <c r="C13078" s="76">
        <v>2020</v>
      </c>
      <c r="D13078" s="76" t="s">
        <v>31</v>
      </c>
      <c r="E13078" s="76" t="s">
        <v>32</v>
      </c>
      <c r="F13078" s="76">
        <v>50</v>
      </c>
    </row>
    <row r="13079" s="76" customFormat="1" spans="1:6">
      <c r="A13079">
        <v>13436</v>
      </c>
      <c r="B13079">
        <v>632020270</v>
      </c>
      <c r="C13079" s="76">
        <v>2020</v>
      </c>
      <c r="D13079" s="76" t="s">
        <v>31</v>
      </c>
      <c r="E13079" s="76" t="s">
        <v>32</v>
      </c>
      <c r="F13079" s="76">
        <v>10</v>
      </c>
    </row>
    <row r="13080" s="76" customFormat="1" spans="1:6">
      <c r="A13080">
        <v>13437</v>
      </c>
      <c r="B13080">
        <v>632020270</v>
      </c>
      <c r="C13080" s="76">
        <v>2020</v>
      </c>
      <c r="D13080" s="76" t="s">
        <v>31</v>
      </c>
      <c r="E13080" s="76" t="s">
        <v>32</v>
      </c>
      <c r="F13080" s="76">
        <v>10</v>
      </c>
    </row>
    <row r="13081" s="76" customFormat="1" spans="1:6">
      <c r="A13081">
        <v>13435</v>
      </c>
      <c r="B13081">
        <v>632020270</v>
      </c>
      <c r="C13081" s="76">
        <v>2020</v>
      </c>
      <c r="D13081" s="76" t="s">
        <v>31</v>
      </c>
      <c r="E13081" s="76" t="s">
        <v>32</v>
      </c>
      <c r="F13081" s="76">
        <v>100</v>
      </c>
    </row>
    <row r="13082" s="76" customFormat="1" spans="1:6">
      <c r="A13082">
        <v>13444</v>
      </c>
      <c r="B13082">
        <v>632020270</v>
      </c>
      <c r="C13082" s="76">
        <v>2020</v>
      </c>
      <c r="D13082" s="76" t="s">
        <v>31</v>
      </c>
      <c r="E13082" s="76" t="s">
        <v>32</v>
      </c>
      <c r="F13082" s="76">
        <v>10</v>
      </c>
    </row>
    <row r="13083" s="76" customFormat="1" spans="1:6">
      <c r="A13083">
        <v>13445</v>
      </c>
      <c r="B13083">
        <v>632020270</v>
      </c>
      <c r="C13083" s="76">
        <v>2020</v>
      </c>
      <c r="D13083" s="76" t="s">
        <v>31</v>
      </c>
      <c r="E13083" s="76" t="s">
        <v>32</v>
      </c>
      <c r="F13083" s="76">
        <v>10</v>
      </c>
    </row>
    <row r="13084" s="76" customFormat="1" spans="1:6">
      <c r="A13084">
        <v>13448</v>
      </c>
      <c r="B13084">
        <v>632020270</v>
      </c>
      <c r="C13084" s="76">
        <v>2020</v>
      </c>
      <c r="D13084" s="76" t="s">
        <v>31</v>
      </c>
      <c r="E13084" s="76" t="s">
        <v>32</v>
      </c>
      <c r="F13084" s="76">
        <v>10</v>
      </c>
    </row>
    <row r="13085" s="76" customFormat="1" spans="1:6">
      <c r="A13085">
        <v>13449</v>
      </c>
      <c r="B13085">
        <v>632020270</v>
      </c>
      <c r="C13085" s="76">
        <v>2020</v>
      </c>
      <c r="D13085" s="76" t="s">
        <v>31</v>
      </c>
      <c r="E13085" s="76" t="s">
        <v>32</v>
      </c>
      <c r="F13085" s="76">
        <v>10</v>
      </c>
    </row>
    <row r="13086" s="76" customFormat="1" spans="1:6">
      <c r="A13086">
        <v>13450</v>
      </c>
      <c r="B13086">
        <v>632020270</v>
      </c>
      <c r="C13086" s="76">
        <v>2020</v>
      </c>
      <c r="D13086" s="76" t="s">
        <v>31</v>
      </c>
      <c r="E13086" s="76" t="s">
        <v>32</v>
      </c>
      <c r="F13086" s="76">
        <v>10</v>
      </c>
    </row>
    <row r="13087" s="76" customFormat="1" spans="1:6">
      <c r="A13087">
        <v>13426</v>
      </c>
      <c r="B13087">
        <v>632020270</v>
      </c>
      <c r="C13087" s="76">
        <v>2020</v>
      </c>
      <c r="D13087" s="76" t="s">
        <v>31</v>
      </c>
      <c r="E13087" s="76" t="s">
        <v>32</v>
      </c>
      <c r="F13087" s="76">
        <v>10</v>
      </c>
    </row>
    <row r="13088" s="76" customFormat="1" spans="1:6">
      <c r="A13088">
        <v>13432</v>
      </c>
      <c r="B13088">
        <v>632020270</v>
      </c>
      <c r="C13088" s="76">
        <v>2020</v>
      </c>
      <c r="D13088" s="76" t="s">
        <v>31</v>
      </c>
      <c r="E13088" s="76" t="s">
        <v>32</v>
      </c>
      <c r="F13088" s="76">
        <v>10</v>
      </c>
    </row>
    <row r="13089" s="76" customFormat="1" spans="1:6">
      <c r="A13089">
        <v>13430</v>
      </c>
      <c r="B13089">
        <v>632020270</v>
      </c>
      <c r="C13089" s="76">
        <v>2020</v>
      </c>
      <c r="D13089" s="76" t="s">
        <v>31</v>
      </c>
      <c r="E13089" s="76" t="s">
        <v>32</v>
      </c>
      <c r="F13089" s="76">
        <v>9</v>
      </c>
    </row>
    <row r="13090" s="76" customFormat="1" spans="1:6">
      <c r="A13090">
        <v>13433</v>
      </c>
      <c r="B13090">
        <v>632020270</v>
      </c>
      <c r="C13090" s="76">
        <v>2020</v>
      </c>
      <c r="D13090" s="76" t="s">
        <v>31</v>
      </c>
      <c r="E13090" s="76" t="s">
        <v>32</v>
      </c>
      <c r="F13090" s="76">
        <v>10</v>
      </c>
    </row>
    <row r="13091" s="76" customFormat="1" spans="1:6">
      <c r="A13091">
        <v>13434</v>
      </c>
      <c r="B13091">
        <v>632020270</v>
      </c>
      <c r="C13091" s="76">
        <v>2020</v>
      </c>
      <c r="D13091" s="76" t="s">
        <v>31</v>
      </c>
      <c r="E13091" s="76" t="s">
        <v>32</v>
      </c>
      <c r="F13091" s="76">
        <v>10</v>
      </c>
    </row>
    <row r="13092" s="76" customFormat="1" spans="1:6">
      <c r="A13092">
        <v>13431</v>
      </c>
      <c r="B13092">
        <v>632020270</v>
      </c>
      <c r="C13092" s="76">
        <v>2020</v>
      </c>
      <c r="D13092" s="76" t="s">
        <v>31</v>
      </c>
      <c r="E13092" s="76" t="s">
        <v>32</v>
      </c>
      <c r="F13092" s="76">
        <v>10</v>
      </c>
    </row>
    <row r="13093" s="76" customFormat="1" spans="1:6">
      <c r="A13093">
        <v>13428</v>
      </c>
      <c r="B13093">
        <v>632020270</v>
      </c>
      <c r="C13093" s="76">
        <v>2020</v>
      </c>
      <c r="D13093" s="76" t="s">
        <v>31</v>
      </c>
      <c r="E13093" s="76" t="s">
        <v>32</v>
      </c>
      <c r="F13093" s="76">
        <v>18</v>
      </c>
    </row>
    <row r="13094" s="76" customFormat="1" spans="1:6">
      <c r="A13094">
        <v>13453</v>
      </c>
      <c r="B13094">
        <v>632020270</v>
      </c>
      <c r="C13094" s="76">
        <v>2020</v>
      </c>
      <c r="D13094" s="76" t="s">
        <v>31</v>
      </c>
      <c r="E13094" s="76" t="s">
        <v>32</v>
      </c>
      <c r="F13094" s="76">
        <v>10</v>
      </c>
    </row>
    <row r="13095" s="76" customFormat="1" spans="1:6">
      <c r="A13095">
        <v>13447</v>
      </c>
      <c r="B13095">
        <v>632020270</v>
      </c>
      <c r="C13095" s="76">
        <v>2020</v>
      </c>
      <c r="D13095" s="76" t="s">
        <v>31</v>
      </c>
      <c r="E13095" s="76" t="s">
        <v>32</v>
      </c>
      <c r="F13095" s="76">
        <v>10</v>
      </c>
    </row>
    <row r="13096" s="76" customFormat="1" spans="1:6">
      <c r="A13096">
        <v>13467</v>
      </c>
      <c r="B13096">
        <v>632021260</v>
      </c>
      <c r="C13096" s="76">
        <v>2021</v>
      </c>
      <c r="D13096" s="76" t="s">
        <v>34</v>
      </c>
      <c r="E13096" s="76" t="s">
        <v>32</v>
      </c>
      <c r="F13096" s="76">
        <v>4.45</v>
      </c>
    </row>
    <row r="13097" s="76" customFormat="1" spans="1:6">
      <c r="A13097">
        <v>13468</v>
      </c>
      <c r="B13097">
        <v>632021260</v>
      </c>
      <c r="C13097" s="76">
        <v>2021</v>
      </c>
      <c r="D13097" s="76" t="s">
        <v>34</v>
      </c>
      <c r="E13097" s="76" t="s">
        <v>32</v>
      </c>
      <c r="F13097" s="76">
        <v>3</v>
      </c>
    </row>
    <row r="13098" s="76" customFormat="1" spans="1:6">
      <c r="A13098">
        <v>13456</v>
      </c>
      <c r="B13098">
        <v>632021260</v>
      </c>
      <c r="C13098" s="76">
        <v>2021</v>
      </c>
      <c r="D13098" s="76" t="s">
        <v>34</v>
      </c>
      <c r="E13098" s="76">
        <v>22</v>
      </c>
      <c r="F13098" s="76">
        <v>5</v>
      </c>
    </row>
    <row r="13099" s="76" customFormat="1" spans="1:6">
      <c r="A13099">
        <v>13457</v>
      </c>
      <c r="B13099">
        <v>632021260</v>
      </c>
      <c r="C13099" s="76">
        <v>2021</v>
      </c>
      <c r="D13099" s="76" t="s">
        <v>34</v>
      </c>
      <c r="E13099" s="76">
        <v>20</v>
      </c>
      <c r="F13099" s="76">
        <v>5</v>
      </c>
    </row>
    <row r="13100" s="76" customFormat="1" spans="1:6">
      <c r="A13100">
        <v>13465</v>
      </c>
      <c r="B13100">
        <v>632021260</v>
      </c>
      <c r="C13100" s="76">
        <v>2021</v>
      </c>
      <c r="D13100" s="76" t="s">
        <v>34</v>
      </c>
      <c r="E13100" s="76" t="s">
        <v>32</v>
      </c>
      <c r="F13100" s="76">
        <v>5</v>
      </c>
    </row>
    <row r="13101" s="76" customFormat="1" spans="1:6">
      <c r="A13101">
        <v>13458</v>
      </c>
      <c r="B13101">
        <v>632021260</v>
      </c>
      <c r="C13101" s="76">
        <v>2021</v>
      </c>
      <c r="D13101" s="76" t="s">
        <v>34</v>
      </c>
      <c r="E13101" s="76">
        <v>7</v>
      </c>
      <c r="F13101" s="76">
        <v>2.31</v>
      </c>
    </row>
    <row r="13102" s="76" customFormat="1" spans="1:6">
      <c r="A13102">
        <v>13464</v>
      </c>
      <c r="B13102">
        <v>632021260</v>
      </c>
      <c r="C13102" s="76">
        <v>2021</v>
      </c>
      <c r="D13102" s="76" t="s">
        <v>34</v>
      </c>
      <c r="E13102" s="76">
        <v>4</v>
      </c>
      <c r="F13102" s="76">
        <v>1.5</v>
      </c>
    </row>
    <row r="13103" s="76" customFormat="1" spans="1:6">
      <c r="A13103">
        <v>13459</v>
      </c>
      <c r="B13103">
        <v>632021260</v>
      </c>
      <c r="C13103" s="76">
        <v>2021</v>
      </c>
      <c r="D13103" s="76" t="s">
        <v>34</v>
      </c>
      <c r="E13103" s="76">
        <v>12</v>
      </c>
      <c r="F13103" s="76">
        <v>4.32</v>
      </c>
    </row>
    <row r="13104" s="76" customFormat="1" spans="1:6">
      <c r="A13104">
        <v>13462</v>
      </c>
      <c r="B13104">
        <v>632021260</v>
      </c>
      <c r="C13104" s="76">
        <v>2021</v>
      </c>
      <c r="D13104" s="76" t="s">
        <v>34</v>
      </c>
      <c r="E13104" s="76">
        <v>14</v>
      </c>
      <c r="F13104" s="76">
        <v>5</v>
      </c>
    </row>
    <row r="13105" s="76" customFormat="1" spans="1:6">
      <c r="A13105">
        <v>13461</v>
      </c>
      <c r="B13105">
        <v>632021260</v>
      </c>
      <c r="C13105" s="76">
        <v>2021</v>
      </c>
      <c r="D13105" s="76" t="s">
        <v>34</v>
      </c>
      <c r="E13105" s="76">
        <v>5</v>
      </c>
      <c r="F13105" s="76">
        <v>1.5</v>
      </c>
    </row>
    <row r="13106" s="76" customFormat="1" spans="1:6">
      <c r="A13106">
        <v>13460</v>
      </c>
      <c r="B13106">
        <v>632021260</v>
      </c>
      <c r="C13106" s="76">
        <v>2021</v>
      </c>
      <c r="D13106" s="76" t="s">
        <v>34</v>
      </c>
      <c r="E13106" s="76">
        <v>3</v>
      </c>
      <c r="F13106" s="76">
        <v>0.99</v>
      </c>
    </row>
    <row r="13107" s="76" customFormat="1" spans="1:6">
      <c r="A13107">
        <v>13463</v>
      </c>
      <c r="B13107">
        <v>632021260</v>
      </c>
      <c r="C13107" s="76">
        <v>2021</v>
      </c>
      <c r="D13107" s="76" t="s">
        <v>34</v>
      </c>
      <c r="E13107" s="76">
        <v>33</v>
      </c>
      <c r="F13107" s="76">
        <v>9.9</v>
      </c>
    </row>
    <row r="13108" s="76" customFormat="1" spans="1:6">
      <c r="A13108">
        <v>13466</v>
      </c>
      <c r="B13108">
        <v>632021260</v>
      </c>
      <c r="C13108" s="76">
        <v>2021</v>
      </c>
      <c r="D13108" s="76" t="s">
        <v>34</v>
      </c>
      <c r="E13108" s="76" t="s">
        <v>32</v>
      </c>
      <c r="F13108" s="76">
        <v>5</v>
      </c>
    </row>
    <row r="13109" s="76" customFormat="1" spans="1:6">
      <c r="A13109">
        <v>13476</v>
      </c>
      <c r="B13109">
        <v>632021270</v>
      </c>
      <c r="C13109" s="76">
        <v>2021</v>
      </c>
      <c r="D13109" s="76" t="s">
        <v>31</v>
      </c>
      <c r="E13109" s="76" t="s">
        <v>32</v>
      </c>
      <c r="F13109" s="76">
        <v>20</v>
      </c>
    </row>
    <row r="13110" s="76" customFormat="1" spans="1:6">
      <c r="A13110">
        <v>13469</v>
      </c>
      <c r="B13110">
        <v>632021270</v>
      </c>
      <c r="C13110" s="76">
        <v>2021</v>
      </c>
      <c r="D13110" s="76" t="s">
        <v>31</v>
      </c>
      <c r="E13110" s="76" t="s">
        <v>32</v>
      </c>
      <c r="F13110" s="76">
        <v>10</v>
      </c>
    </row>
    <row r="13111" s="76" customFormat="1" spans="1:6">
      <c r="A13111">
        <v>13477</v>
      </c>
      <c r="B13111">
        <v>632021270</v>
      </c>
      <c r="C13111" s="76">
        <v>2021</v>
      </c>
      <c r="D13111" s="76" t="s">
        <v>31</v>
      </c>
      <c r="E13111" s="76" t="s">
        <v>32</v>
      </c>
      <c r="F13111" s="76">
        <v>10</v>
      </c>
    </row>
    <row r="13112" s="76" customFormat="1" spans="1:6">
      <c r="A13112">
        <v>13475</v>
      </c>
      <c r="B13112">
        <v>632021270</v>
      </c>
      <c r="C13112" s="76">
        <v>2021</v>
      </c>
      <c r="D13112" s="76" t="s">
        <v>31</v>
      </c>
      <c r="E13112" s="76" t="s">
        <v>32</v>
      </c>
      <c r="F13112" s="76">
        <v>5</v>
      </c>
    </row>
    <row r="13113" s="76" customFormat="1" spans="1:6">
      <c r="A13113">
        <v>13473</v>
      </c>
      <c r="B13113">
        <v>632021270</v>
      </c>
      <c r="C13113" s="76">
        <v>2021</v>
      </c>
      <c r="D13113" s="76" t="s">
        <v>31</v>
      </c>
      <c r="E13113" s="76" t="s">
        <v>32</v>
      </c>
      <c r="F13113" s="76">
        <v>5</v>
      </c>
    </row>
    <row r="13114" s="76" customFormat="1" spans="1:6">
      <c r="A13114">
        <v>13474</v>
      </c>
      <c r="B13114">
        <v>632021270</v>
      </c>
      <c r="C13114" s="76">
        <v>2021</v>
      </c>
      <c r="D13114" s="76" t="s">
        <v>31</v>
      </c>
      <c r="E13114" s="76" t="s">
        <v>32</v>
      </c>
      <c r="F13114" s="76">
        <v>10</v>
      </c>
    </row>
    <row r="13115" s="76" customFormat="1" spans="1:6">
      <c r="A13115">
        <v>13472</v>
      </c>
      <c r="B13115">
        <v>632021270</v>
      </c>
      <c r="C13115" s="76">
        <v>2021</v>
      </c>
      <c r="D13115" s="76" t="s">
        <v>31</v>
      </c>
      <c r="E13115" s="76" t="s">
        <v>32</v>
      </c>
      <c r="F13115" s="76">
        <v>1</v>
      </c>
    </row>
    <row r="13116" s="76" customFormat="1" spans="1:6">
      <c r="A13116">
        <v>13470</v>
      </c>
      <c r="B13116">
        <v>632021270</v>
      </c>
      <c r="C13116" s="76">
        <v>2021</v>
      </c>
      <c r="D13116" s="76" t="s">
        <v>31</v>
      </c>
      <c r="E13116" s="76" t="s">
        <v>32</v>
      </c>
      <c r="F13116" s="76">
        <v>1</v>
      </c>
    </row>
    <row r="13117" s="76" customFormat="1" spans="1:6">
      <c r="A13117">
        <v>13471</v>
      </c>
      <c r="B13117">
        <v>632021270</v>
      </c>
      <c r="C13117" s="76">
        <v>2021</v>
      </c>
      <c r="D13117" s="76" t="s">
        <v>31</v>
      </c>
      <c r="E13117" s="76" t="s">
        <v>32</v>
      </c>
      <c r="F13117" s="76">
        <v>1</v>
      </c>
    </row>
    <row r="13118" s="76" customFormat="1" spans="1:6">
      <c r="A13118">
        <v>13484</v>
      </c>
      <c r="B13118">
        <v>642012260</v>
      </c>
      <c r="C13118">
        <v>2012</v>
      </c>
      <c r="D13118" t="s">
        <v>34</v>
      </c>
      <c r="E13118">
        <v>47</v>
      </c>
      <c r="F13118">
        <v>4.7</v>
      </c>
    </row>
    <row r="13119" s="76" customFormat="1" spans="1:6">
      <c r="A13119">
        <v>13483</v>
      </c>
      <c r="B13119">
        <v>642012260</v>
      </c>
      <c r="C13119">
        <v>2012</v>
      </c>
      <c r="D13119" t="s">
        <v>34</v>
      </c>
      <c r="E13119">
        <v>47</v>
      </c>
      <c r="F13119">
        <v>4.7</v>
      </c>
    </row>
    <row r="13120" s="76" customFormat="1" spans="1:6">
      <c r="A13120">
        <v>13490</v>
      </c>
      <c r="B13120">
        <v>642012260</v>
      </c>
      <c r="C13120">
        <v>2012</v>
      </c>
      <c r="D13120" t="s">
        <v>34</v>
      </c>
      <c r="E13120">
        <v>27</v>
      </c>
      <c r="F13120">
        <v>4.05</v>
      </c>
    </row>
    <row r="13121" s="76" customFormat="1" spans="1:6">
      <c r="A13121">
        <v>13494</v>
      </c>
      <c r="B13121">
        <v>642012260</v>
      </c>
      <c r="C13121">
        <v>2012</v>
      </c>
      <c r="D13121" t="s">
        <v>34</v>
      </c>
      <c r="E13121">
        <v>25</v>
      </c>
      <c r="F13121">
        <v>4.94</v>
      </c>
    </row>
    <row r="13122" s="76" customFormat="1" spans="1:6">
      <c r="A13122">
        <v>13492</v>
      </c>
      <c r="B13122">
        <v>642012260</v>
      </c>
      <c r="C13122">
        <v>2012</v>
      </c>
      <c r="D13122" t="s">
        <v>34</v>
      </c>
      <c r="E13122">
        <v>95</v>
      </c>
      <c r="F13122">
        <v>9.8</v>
      </c>
    </row>
    <row r="13123" s="76" customFormat="1" spans="1:6">
      <c r="A13123">
        <v>13487</v>
      </c>
      <c r="B13123">
        <v>642012260</v>
      </c>
      <c r="C13123">
        <v>2012</v>
      </c>
      <c r="D13123" t="s">
        <v>34</v>
      </c>
      <c r="E13123">
        <v>33</v>
      </c>
      <c r="F13123">
        <v>4.95</v>
      </c>
    </row>
    <row r="13124" s="76" customFormat="1" spans="1:6">
      <c r="A13124">
        <v>13486</v>
      </c>
      <c r="B13124">
        <v>642012260</v>
      </c>
      <c r="C13124">
        <v>2012</v>
      </c>
      <c r="D13124" t="s">
        <v>34</v>
      </c>
      <c r="E13124">
        <v>33</v>
      </c>
      <c r="F13124">
        <v>4.95</v>
      </c>
    </row>
    <row r="13125" s="76" customFormat="1" spans="1:6">
      <c r="A13125">
        <v>13485</v>
      </c>
      <c r="B13125">
        <v>642012260</v>
      </c>
      <c r="C13125">
        <v>2012</v>
      </c>
      <c r="D13125" t="s">
        <v>34</v>
      </c>
      <c r="E13125">
        <v>33</v>
      </c>
      <c r="F13125">
        <v>4.95</v>
      </c>
    </row>
    <row r="13126" s="76" customFormat="1" spans="1:6">
      <c r="A13126">
        <v>13488</v>
      </c>
      <c r="B13126">
        <v>642012260</v>
      </c>
      <c r="C13126">
        <v>2012</v>
      </c>
      <c r="D13126" t="s">
        <v>34</v>
      </c>
      <c r="E13126">
        <v>25</v>
      </c>
      <c r="F13126">
        <v>5</v>
      </c>
    </row>
    <row r="13127" s="76" customFormat="1" spans="1:6">
      <c r="A13127">
        <v>13479</v>
      </c>
      <c r="B13127">
        <v>642012260</v>
      </c>
      <c r="C13127">
        <v>2012</v>
      </c>
      <c r="D13127" t="s">
        <v>34</v>
      </c>
      <c r="E13127">
        <v>33</v>
      </c>
      <c r="F13127">
        <v>4.95</v>
      </c>
    </row>
    <row r="13128" s="76" customFormat="1" spans="1:6">
      <c r="A13128">
        <v>13480</v>
      </c>
      <c r="B13128">
        <v>642012260</v>
      </c>
      <c r="C13128">
        <v>2012</v>
      </c>
      <c r="D13128" t="s">
        <v>34</v>
      </c>
      <c r="E13128">
        <v>33</v>
      </c>
      <c r="F13128">
        <v>4.95</v>
      </c>
    </row>
    <row r="13129" s="76" customFormat="1" spans="1:6">
      <c r="A13129">
        <v>13489</v>
      </c>
      <c r="B13129">
        <v>642012260</v>
      </c>
      <c r="C13129">
        <v>2012</v>
      </c>
      <c r="D13129" t="s">
        <v>34</v>
      </c>
      <c r="E13129">
        <v>24</v>
      </c>
      <c r="F13129">
        <v>4.8</v>
      </c>
    </row>
    <row r="13130" s="76" customFormat="1" spans="1:6">
      <c r="A13130">
        <v>13481</v>
      </c>
      <c r="B13130">
        <v>642012260</v>
      </c>
      <c r="C13130">
        <v>2012</v>
      </c>
      <c r="D13130" t="s">
        <v>34</v>
      </c>
      <c r="E13130">
        <v>33</v>
      </c>
      <c r="F13130">
        <v>4.95</v>
      </c>
    </row>
    <row r="13131" s="76" customFormat="1" spans="1:6">
      <c r="A13131">
        <v>13482</v>
      </c>
      <c r="B13131">
        <v>642012260</v>
      </c>
      <c r="C13131">
        <v>2012</v>
      </c>
      <c r="D13131" t="s">
        <v>34</v>
      </c>
      <c r="E13131">
        <v>33</v>
      </c>
      <c r="F13131">
        <v>4.95</v>
      </c>
    </row>
    <row r="13132" s="76" customFormat="1" spans="1:6">
      <c r="A13132">
        <v>13478</v>
      </c>
      <c r="B13132">
        <v>642012260</v>
      </c>
      <c r="C13132">
        <v>2012</v>
      </c>
      <c r="D13132" t="s">
        <v>34</v>
      </c>
      <c r="E13132">
        <v>33</v>
      </c>
      <c r="F13132">
        <v>4.95</v>
      </c>
    </row>
    <row r="13133" s="76" customFormat="1" spans="1:6">
      <c r="A13133">
        <v>13491</v>
      </c>
      <c r="B13133">
        <v>642012260</v>
      </c>
      <c r="C13133">
        <v>2012</v>
      </c>
      <c r="D13133" t="s">
        <v>34</v>
      </c>
      <c r="E13133">
        <v>66</v>
      </c>
      <c r="F13133">
        <v>9.9</v>
      </c>
    </row>
    <row r="13134" s="76" customFormat="1" spans="1:6">
      <c r="A13134">
        <v>13493</v>
      </c>
      <c r="B13134">
        <v>642012260</v>
      </c>
      <c r="C13134">
        <v>2012</v>
      </c>
      <c r="D13134" t="s">
        <v>34</v>
      </c>
      <c r="E13134">
        <v>33</v>
      </c>
      <c r="F13134">
        <v>4.95</v>
      </c>
    </row>
    <row r="13135" s="76" customFormat="1" spans="1:6">
      <c r="A13135">
        <v>13495</v>
      </c>
      <c r="B13135">
        <v>642012270</v>
      </c>
      <c r="C13135">
        <v>2012</v>
      </c>
      <c r="D13135" t="s">
        <v>31</v>
      </c>
      <c r="E13135" t="s">
        <v>32</v>
      </c>
      <c r="F13135">
        <v>2</v>
      </c>
    </row>
    <row r="13136" s="76" customFormat="1" spans="1:6">
      <c r="A13136">
        <v>13496</v>
      </c>
      <c r="B13136">
        <v>642012270</v>
      </c>
      <c r="C13136">
        <v>2012</v>
      </c>
      <c r="D13136" t="s">
        <v>31</v>
      </c>
      <c r="E13136" t="s">
        <v>32</v>
      </c>
      <c r="F13136">
        <v>1</v>
      </c>
    </row>
    <row r="13137" s="76" customFormat="1" spans="1:6">
      <c r="A13137">
        <v>13497</v>
      </c>
      <c r="B13137">
        <v>642013211</v>
      </c>
      <c r="C13137">
        <v>2013</v>
      </c>
      <c r="D13137" t="s">
        <v>37</v>
      </c>
      <c r="E13137" t="s">
        <v>32</v>
      </c>
      <c r="F13137">
        <v>6</v>
      </c>
    </row>
    <row r="13138" s="76" customFormat="1" spans="1:6">
      <c r="A13138">
        <v>13498</v>
      </c>
      <c r="B13138">
        <v>642013211</v>
      </c>
      <c r="C13138">
        <v>2013</v>
      </c>
      <c r="D13138" t="s">
        <v>37</v>
      </c>
      <c r="E13138">
        <v>2</v>
      </c>
      <c r="F13138">
        <v>66</v>
      </c>
    </row>
    <row r="13139" s="76" customFormat="1" spans="1:6">
      <c r="A13139">
        <v>13501</v>
      </c>
      <c r="B13139">
        <v>642013260</v>
      </c>
      <c r="C13139">
        <v>2013</v>
      </c>
      <c r="D13139" t="s">
        <v>34</v>
      </c>
      <c r="E13139">
        <v>33</v>
      </c>
      <c r="F13139">
        <v>4.95</v>
      </c>
    </row>
    <row r="13140" s="76" customFormat="1" spans="1:6">
      <c r="A13140">
        <v>13502</v>
      </c>
      <c r="B13140">
        <v>642013260</v>
      </c>
      <c r="C13140">
        <v>2013</v>
      </c>
      <c r="D13140" t="s">
        <v>34</v>
      </c>
      <c r="E13140">
        <v>33</v>
      </c>
      <c r="F13140">
        <v>4.95</v>
      </c>
    </row>
    <row r="13141" s="76" customFormat="1" spans="1:6">
      <c r="A13141">
        <v>13503</v>
      </c>
      <c r="B13141">
        <v>642013260</v>
      </c>
      <c r="C13141">
        <v>2013</v>
      </c>
      <c r="D13141" t="s">
        <v>34</v>
      </c>
      <c r="E13141">
        <v>25</v>
      </c>
      <c r="F13141">
        <v>4.95</v>
      </c>
    </row>
    <row r="13142" s="76" customFormat="1" spans="1:6">
      <c r="A13142">
        <v>13504</v>
      </c>
      <c r="B13142">
        <v>642013260</v>
      </c>
      <c r="C13142">
        <v>2013</v>
      </c>
      <c r="D13142" t="s">
        <v>34</v>
      </c>
      <c r="E13142">
        <v>25</v>
      </c>
      <c r="F13142">
        <v>4.95</v>
      </c>
    </row>
    <row r="13143" s="76" customFormat="1" spans="1:6">
      <c r="A13143">
        <v>13508</v>
      </c>
      <c r="B13143">
        <v>642013260</v>
      </c>
      <c r="C13143">
        <v>2013</v>
      </c>
      <c r="D13143" t="s">
        <v>34</v>
      </c>
      <c r="E13143">
        <v>33</v>
      </c>
      <c r="F13143">
        <v>4.95</v>
      </c>
    </row>
    <row r="13144" s="76" customFormat="1" spans="1:6">
      <c r="A13144">
        <v>13507</v>
      </c>
      <c r="B13144">
        <v>642013260</v>
      </c>
      <c r="C13144">
        <v>2013</v>
      </c>
      <c r="D13144" t="s">
        <v>34</v>
      </c>
      <c r="E13144">
        <v>33</v>
      </c>
      <c r="F13144">
        <v>4.95</v>
      </c>
    </row>
    <row r="13145" s="76" customFormat="1" spans="1:6">
      <c r="A13145">
        <v>13500</v>
      </c>
      <c r="B13145">
        <v>642013260</v>
      </c>
      <c r="C13145">
        <v>2013</v>
      </c>
      <c r="D13145" t="s">
        <v>34</v>
      </c>
      <c r="E13145">
        <v>33</v>
      </c>
      <c r="F13145">
        <v>4.95</v>
      </c>
    </row>
    <row r="13146" s="76" customFormat="1" spans="1:6">
      <c r="A13146">
        <v>13499</v>
      </c>
      <c r="B13146">
        <v>642013260</v>
      </c>
      <c r="C13146">
        <v>2013</v>
      </c>
      <c r="D13146" t="s">
        <v>34</v>
      </c>
      <c r="E13146">
        <v>33</v>
      </c>
      <c r="F13146">
        <v>4.95</v>
      </c>
    </row>
    <row r="13147" s="76" customFormat="1" spans="1:6">
      <c r="A13147">
        <v>13506</v>
      </c>
      <c r="B13147">
        <v>642013260</v>
      </c>
      <c r="C13147">
        <v>2013</v>
      </c>
      <c r="D13147" t="s">
        <v>34</v>
      </c>
      <c r="E13147">
        <v>50</v>
      </c>
      <c r="F13147">
        <v>7.5</v>
      </c>
    </row>
    <row r="13148" s="76" customFormat="1" spans="1:6">
      <c r="A13148">
        <v>13505</v>
      </c>
      <c r="B13148">
        <v>642013260</v>
      </c>
      <c r="C13148">
        <v>2013</v>
      </c>
      <c r="D13148" t="s">
        <v>34</v>
      </c>
      <c r="E13148">
        <v>66</v>
      </c>
      <c r="F13148">
        <v>9.9</v>
      </c>
    </row>
    <row r="13149" s="76" customFormat="1" spans="1:6">
      <c r="A13149">
        <v>13509</v>
      </c>
      <c r="B13149">
        <v>642013260</v>
      </c>
      <c r="C13149">
        <v>2013</v>
      </c>
      <c r="D13149" t="s">
        <v>34</v>
      </c>
      <c r="E13149">
        <v>24</v>
      </c>
      <c r="F13149">
        <v>2.7</v>
      </c>
    </row>
    <row r="13150" s="76" customFormat="1" spans="1:6">
      <c r="A13150">
        <v>13514</v>
      </c>
      <c r="B13150">
        <v>642013270</v>
      </c>
      <c r="C13150">
        <v>2013</v>
      </c>
      <c r="D13150" t="s">
        <v>31</v>
      </c>
      <c r="E13150" t="s">
        <v>32</v>
      </c>
      <c r="F13150">
        <v>3</v>
      </c>
    </row>
    <row r="13151" s="76" customFormat="1" spans="1:6">
      <c r="A13151">
        <v>13535</v>
      </c>
      <c r="B13151">
        <v>642013270</v>
      </c>
      <c r="C13151">
        <v>2013</v>
      </c>
      <c r="D13151" t="s">
        <v>31</v>
      </c>
      <c r="E13151" t="s">
        <v>32</v>
      </c>
      <c r="F13151">
        <v>3</v>
      </c>
    </row>
    <row r="13152" s="76" customFormat="1" spans="1:6">
      <c r="A13152">
        <v>13547</v>
      </c>
      <c r="B13152">
        <v>642013270</v>
      </c>
      <c r="C13152">
        <v>2013</v>
      </c>
      <c r="D13152" t="s">
        <v>31</v>
      </c>
      <c r="E13152" t="s">
        <v>32</v>
      </c>
      <c r="F13152">
        <v>3</v>
      </c>
    </row>
    <row r="13153" s="76" customFormat="1" spans="1:6">
      <c r="A13153">
        <v>13521</v>
      </c>
      <c r="B13153">
        <v>642013270</v>
      </c>
      <c r="C13153">
        <v>2013</v>
      </c>
      <c r="D13153" t="s">
        <v>31</v>
      </c>
      <c r="E13153" t="s">
        <v>32</v>
      </c>
      <c r="F13153">
        <v>3</v>
      </c>
    </row>
    <row r="13154" s="76" customFormat="1" spans="1:6">
      <c r="A13154">
        <v>13534</v>
      </c>
      <c r="B13154">
        <v>642013270</v>
      </c>
      <c r="C13154">
        <v>2013</v>
      </c>
      <c r="D13154" t="s">
        <v>31</v>
      </c>
      <c r="E13154" t="s">
        <v>32</v>
      </c>
      <c r="F13154">
        <v>2</v>
      </c>
    </row>
    <row r="13155" s="76" customFormat="1" spans="1:6">
      <c r="A13155">
        <v>13541</v>
      </c>
      <c r="B13155">
        <v>642013270</v>
      </c>
      <c r="C13155">
        <v>2013</v>
      </c>
      <c r="D13155" t="s">
        <v>31</v>
      </c>
      <c r="E13155" t="s">
        <v>32</v>
      </c>
      <c r="F13155">
        <v>1</v>
      </c>
    </row>
    <row r="13156" s="76" customFormat="1" spans="1:6">
      <c r="A13156">
        <v>13546</v>
      </c>
      <c r="B13156">
        <v>642013270</v>
      </c>
      <c r="C13156">
        <v>2013</v>
      </c>
      <c r="D13156" t="s">
        <v>31</v>
      </c>
      <c r="E13156" t="s">
        <v>32</v>
      </c>
      <c r="F13156">
        <v>4</v>
      </c>
    </row>
    <row r="13157" s="76" customFormat="1" spans="1:6">
      <c r="A13157">
        <v>13542</v>
      </c>
      <c r="B13157">
        <v>642013270</v>
      </c>
      <c r="C13157">
        <v>2013</v>
      </c>
      <c r="D13157" t="s">
        <v>31</v>
      </c>
      <c r="E13157" t="s">
        <v>32</v>
      </c>
      <c r="F13157">
        <v>2</v>
      </c>
    </row>
    <row r="13158" s="76" customFormat="1" spans="1:6">
      <c r="A13158">
        <v>13531</v>
      </c>
      <c r="B13158">
        <v>642013270</v>
      </c>
      <c r="C13158">
        <v>2013</v>
      </c>
      <c r="D13158" t="s">
        <v>31</v>
      </c>
      <c r="E13158" t="s">
        <v>32</v>
      </c>
      <c r="F13158">
        <v>3</v>
      </c>
    </row>
    <row r="13159" s="76" customFormat="1" spans="1:6">
      <c r="A13159">
        <v>13530</v>
      </c>
      <c r="B13159">
        <v>642013270</v>
      </c>
      <c r="C13159">
        <v>2013</v>
      </c>
      <c r="D13159" t="s">
        <v>31</v>
      </c>
      <c r="E13159" t="s">
        <v>32</v>
      </c>
      <c r="F13159">
        <v>1</v>
      </c>
    </row>
    <row r="13160" s="76" customFormat="1" spans="1:6">
      <c r="A13160">
        <v>13532</v>
      </c>
      <c r="B13160">
        <v>642013270</v>
      </c>
      <c r="C13160">
        <v>2013</v>
      </c>
      <c r="D13160" t="s">
        <v>31</v>
      </c>
      <c r="E13160" t="s">
        <v>32</v>
      </c>
      <c r="F13160">
        <v>1</v>
      </c>
    </row>
    <row r="13161" s="76" customFormat="1" spans="1:6">
      <c r="A13161">
        <v>13522</v>
      </c>
      <c r="B13161">
        <v>642013270</v>
      </c>
      <c r="C13161">
        <v>2013</v>
      </c>
      <c r="D13161" t="s">
        <v>31</v>
      </c>
      <c r="E13161" t="s">
        <v>32</v>
      </c>
      <c r="F13161">
        <v>4</v>
      </c>
    </row>
    <row r="13162" s="76" customFormat="1" spans="1:6">
      <c r="A13162">
        <v>13533</v>
      </c>
      <c r="B13162">
        <v>642013270</v>
      </c>
      <c r="C13162">
        <v>2013</v>
      </c>
      <c r="D13162" t="s">
        <v>31</v>
      </c>
      <c r="E13162" t="s">
        <v>32</v>
      </c>
      <c r="F13162">
        <v>1</v>
      </c>
    </row>
    <row r="13163" s="76" customFormat="1" spans="1:6">
      <c r="A13163">
        <v>13518</v>
      </c>
      <c r="B13163">
        <v>642013270</v>
      </c>
      <c r="C13163">
        <v>2013</v>
      </c>
      <c r="D13163" t="s">
        <v>31</v>
      </c>
      <c r="E13163" t="s">
        <v>32</v>
      </c>
      <c r="F13163">
        <v>3</v>
      </c>
    </row>
    <row r="13164" s="76" customFormat="1" spans="1:6">
      <c r="A13164">
        <v>13545</v>
      </c>
      <c r="B13164">
        <v>642013270</v>
      </c>
      <c r="C13164">
        <v>2013</v>
      </c>
      <c r="D13164" t="s">
        <v>31</v>
      </c>
      <c r="E13164" t="s">
        <v>32</v>
      </c>
      <c r="F13164">
        <v>2</v>
      </c>
    </row>
    <row r="13165" s="76" customFormat="1" spans="1:6">
      <c r="A13165">
        <v>13549</v>
      </c>
      <c r="B13165">
        <v>642013270</v>
      </c>
      <c r="C13165">
        <v>2013</v>
      </c>
      <c r="D13165" t="s">
        <v>31</v>
      </c>
      <c r="E13165" t="s">
        <v>32</v>
      </c>
      <c r="F13165">
        <v>2</v>
      </c>
    </row>
    <row r="13166" s="76" customFormat="1" spans="1:6">
      <c r="A13166">
        <v>13550</v>
      </c>
      <c r="B13166">
        <v>642013270</v>
      </c>
      <c r="C13166">
        <v>2013</v>
      </c>
      <c r="D13166" t="s">
        <v>31</v>
      </c>
      <c r="E13166" t="s">
        <v>32</v>
      </c>
      <c r="F13166">
        <v>1</v>
      </c>
    </row>
    <row r="13167" s="76" customFormat="1" spans="1:6">
      <c r="A13167">
        <v>13525</v>
      </c>
      <c r="B13167">
        <v>642013270</v>
      </c>
      <c r="C13167">
        <v>2013</v>
      </c>
      <c r="D13167" t="s">
        <v>31</v>
      </c>
      <c r="E13167" t="s">
        <v>32</v>
      </c>
      <c r="F13167">
        <v>2</v>
      </c>
    </row>
    <row r="13168" s="76" customFormat="1" spans="1:6">
      <c r="A13168">
        <v>13513</v>
      </c>
      <c r="B13168">
        <v>642013270</v>
      </c>
      <c r="C13168">
        <v>2013</v>
      </c>
      <c r="D13168" t="s">
        <v>31</v>
      </c>
      <c r="E13168" t="s">
        <v>32</v>
      </c>
      <c r="F13168">
        <v>3</v>
      </c>
    </row>
    <row r="13169" s="76" customFormat="1" spans="1:6">
      <c r="A13169">
        <v>13529</v>
      </c>
      <c r="B13169">
        <v>642013270</v>
      </c>
      <c r="C13169">
        <v>2013</v>
      </c>
      <c r="D13169" t="s">
        <v>31</v>
      </c>
      <c r="E13169" t="s">
        <v>32</v>
      </c>
      <c r="F13169">
        <v>2</v>
      </c>
    </row>
    <row r="13170" s="76" customFormat="1" spans="1:6">
      <c r="A13170">
        <v>13511</v>
      </c>
      <c r="B13170">
        <v>642013270</v>
      </c>
      <c r="C13170">
        <v>2013</v>
      </c>
      <c r="D13170" t="s">
        <v>31</v>
      </c>
      <c r="E13170" t="s">
        <v>32</v>
      </c>
      <c r="F13170">
        <v>3</v>
      </c>
    </row>
    <row r="13171" s="76" customFormat="1" spans="1:6">
      <c r="A13171">
        <v>13519</v>
      </c>
      <c r="B13171">
        <v>642013270</v>
      </c>
      <c r="C13171">
        <v>2013</v>
      </c>
      <c r="D13171" t="s">
        <v>31</v>
      </c>
      <c r="E13171" t="s">
        <v>32</v>
      </c>
      <c r="F13171">
        <v>1</v>
      </c>
    </row>
    <row r="13172" s="76" customFormat="1" spans="1:6">
      <c r="A13172">
        <v>13512</v>
      </c>
      <c r="B13172">
        <v>642013270</v>
      </c>
      <c r="C13172">
        <v>2013</v>
      </c>
      <c r="D13172" t="s">
        <v>31</v>
      </c>
      <c r="E13172" t="s">
        <v>32</v>
      </c>
      <c r="F13172">
        <v>3</v>
      </c>
    </row>
    <row r="13173" s="76" customFormat="1" spans="1:6">
      <c r="A13173">
        <v>13548</v>
      </c>
      <c r="B13173">
        <v>642013270</v>
      </c>
      <c r="C13173">
        <v>2013</v>
      </c>
      <c r="D13173" t="s">
        <v>31</v>
      </c>
      <c r="E13173" t="s">
        <v>32</v>
      </c>
      <c r="F13173">
        <v>2</v>
      </c>
    </row>
    <row r="13174" s="76" customFormat="1" spans="1:6">
      <c r="A13174">
        <v>13538</v>
      </c>
      <c r="B13174">
        <v>642013270</v>
      </c>
      <c r="C13174">
        <v>2013</v>
      </c>
      <c r="D13174" t="s">
        <v>31</v>
      </c>
      <c r="E13174" t="s">
        <v>32</v>
      </c>
      <c r="F13174">
        <v>2</v>
      </c>
    </row>
    <row r="13175" s="76" customFormat="1" spans="1:6">
      <c r="A13175">
        <v>13544</v>
      </c>
      <c r="B13175">
        <v>642013270</v>
      </c>
      <c r="C13175">
        <v>2013</v>
      </c>
      <c r="D13175" t="s">
        <v>31</v>
      </c>
      <c r="E13175" t="s">
        <v>32</v>
      </c>
      <c r="F13175">
        <v>1</v>
      </c>
    </row>
    <row r="13176" s="76" customFormat="1" spans="1:6">
      <c r="A13176">
        <v>13539</v>
      </c>
      <c r="B13176">
        <v>642013270</v>
      </c>
      <c r="C13176">
        <v>2013</v>
      </c>
      <c r="D13176" t="s">
        <v>31</v>
      </c>
      <c r="E13176" t="s">
        <v>32</v>
      </c>
      <c r="F13176">
        <v>1</v>
      </c>
    </row>
    <row r="13177" s="76" customFormat="1" spans="1:6">
      <c r="A13177">
        <v>13517</v>
      </c>
      <c r="B13177">
        <v>642013270</v>
      </c>
      <c r="C13177">
        <v>2013</v>
      </c>
      <c r="D13177" t="s">
        <v>31</v>
      </c>
      <c r="E13177" t="s">
        <v>32</v>
      </c>
      <c r="F13177">
        <v>3</v>
      </c>
    </row>
    <row r="13178" s="76" customFormat="1" spans="1:6">
      <c r="A13178">
        <v>13537</v>
      </c>
      <c r="B13178">
        <v>642013270</v>
      </c>
      <c r="C13178">
        <v>2013</v>
      </c>
      <c r="D13178" t="s">
        <v>31</v>
      </c>
      <c r="E13178" t="s">
        <v>32</v>
      </c>
      <c r="F13178">
        <v>3</v>
      </c>
    </row>
    <row r="13179" s="76" customFormat="1" spans="1:6">
      <c r="A13179">
        <v>13520</v>
      </c>
      <c r="B13179">
        <v>642013270</v>
      </c>
      <c r="C13179">
        <v>2013</v>
      </c>
      <c r="D13179" t="s">
        <v>31</v>
      </c>
      <c r="E13179" t="s">
        <v>32</v>
      </c>
      <c r="F13179">
        <v>1</v>
      </c>
    </row>
    <row r="13180" s="76" customFormat="1" spans="1:6">
      <c r="A13180">
        <v>13510</v>
      </c>
      <c r="B13180">
        <v>642013270</v>
      </c>
      <c r="C13180">
        <v>2013</v>
      </c>
      <c r="D13180" t="s">
        <v>31</v>
      </c>
      <c r="E13180" t="s">
        <v>32</v>
      </c>
      <c r="F13180">
        <v>5</v>
      </c>
    </row>
    <row r="13181" s="76" customFormat="1" spans="1:6">
      <c r="A13181">
        <v>13524</v>
      </c>
      <c r="B13181">
        <v>642013270</v>
      </c>
      <c r="C13181">
        <v>2013</v>
      </c>
      <c r="D13181" t="s">
        <v>31</v>
      </c>
      <c r="E13181" t="s">
        <v>32</v>
      </c>
      <c r="F13181">
        <v>10</v>
      </c>
    </row>
    <row r="13182" s="76" customFormat="1" spans="1:6">
      <c r="A13182">
        <v>13523</v>
      </c>
      <c r="B13182">
        <v>642013270</v>
      </c>
      <c r="C13182">
        <v>2013</v>
      </c>
      <c r="D13182" t="s">
        <v>31</v>
      </c>
      <c r="E13182" t="s">
        <v>32</v>
      </c>
      <c r="F13182">
        <v>10</v>
      </c>
    </row>
    <row r="13183" s="76" customFormat="1" spans="1:6">
      <c r="A13183">
        <v>13540</v>
      </c>
      <c r="B13183">
        <v>642013270</v>
      </c>
      <c r="C13183">
        <v>2013</v>
      </c>
      <c r="D13183" t="s">
        <v>31</v>
      </c>
      <c r="E13183" t="s">
        <v>32</v>
      </c>
      <c r="F13183">
        <v>3</v>
      </c>
    </row>
    <row r="13184" s="76" customFormat="1" spans="1:6">
      <c r="A13184">
        <v>13515</v>
      </c>
      <c r="B13184">
        <v>642013270</v>
      </c>
      <c r="C13184">
        <v>2013</v>
      </c>
      <c r="D13184" t="s">
        <v>31</v>
      </c>
      <c r="E13184" t="s">
        <v>32</v>
      </c>
      <c r="F13184">
        <v>3</v>
      </c>
    </row>
    <row r="13185" s="76" customFormat="1" spans="1:6">
      <c r="A13185">
        <v>13528</v>
      </c>
      <c r="B13185">
        <v>642013270</v>
      </c>
      <c r="C13185">
        <v>2013</v>
      </c>
      <c r="D13185" t="s">
        <v>31</v>
      </c>
      <c r="E13185" t="s">
        <v>32</v>
      </c>
      <c r="F13185">
        <v>2</v>
      </c>
    </row>
    <row r="13186" s="76" customFormat="1" spans="1:6">
      <c r="A13186">
        <v>13526</v>
      </c>
      <c r="B13186">
        <v>642013270</v>
      </c>
      <c r="C13186">
        <v>2013</v>
      </c>
      <c r="D13186" t="s">
        <v>31</v>
      </c>
      <c r="E13186" t="s">
        <v>32</v>
      </c>
      <c r="F13186">
        <v>2</v>
      </c>
    </row>
    <row r="13187" s="76" customFormat="1" spans="1:6">
      <c r="A13187">
        <v>13516</v>
      </c>
      <c r="B13187">
        <v>642013270</v>
      </c>
      <c r="C13187">
        <v>2013</v>
      </c>
      <c r="D13187" t="s">
        <v>31</v>
      </c>
      <c r="E13187" t="s">
        <v>32</v>
      </c>
      <c r="F13187">
        <v>3</v>
      </c>
    </row>
    <row r="13188" s="76" customFormat="1" spans="1:6">
      <c r="A13188">
        <v>13527</v>
      </c>
      <c r="B13188">
        <v>642013270</v>
      </c>
      <c r="C13188">
        <v>2013</v>
      </c>
      <c r="D13188" t="s">
        <v>31</v>
      </c>
      <c r="E13188" t="s">
        <v>32</v>
      </c>
      <c r="F13188">
        <v>2</v>
      </c>
    </row>
    <row r="13189" s="76" customFormat="1" spans="1:6">
      <c r="A13189">
        <v>13536</v>
      </c>
      <c r="B13189">
        <v>642013270</v>
      </c>
      <c r="C13189">
        <v>2013</v>
      </c>
      <c r="D13189" t="s">
        <v>31</v>
      </c>
      <c r="E13189" t="s">
        <v>32</v>
      </c>
      <c r="F13189">
        <v>1</v>
      </c>
    </row>
    <row r="13190" s="76" customFormat="1" spans="1:6">
      <c r="A13190">
        <v>13543</v>
      </c>
      <c r="B13190">
        <v>642013270</v>
      </c>
      <c r="C13190">
        <v>2013</v>
      </c>
      <c r="D13190" t="s">
        <v>31</v>
      </c>
      <c r="E13190" t="s">
        <v>32</v>
      </c>
      <c r="F13190">
        <v>2</v>
      </c>
    </row>
    <row r="13191" s="76" customFormat="1" spans="1:6">
      <c r="A13191">
        <v>13552</v>
      </c>
      <c r="B13191">
        <v>642014211</v>
      </c>
      <c r="C13191">
        <v>2014</v>
      </c>
      <c r="D13191" t="s">
        <v>37</v>
      </c>
      <c r="E13191">
        <v>1</v>
      </c>
      <c r="F13191">
        <v>18</v>
      </c>
    </row>
    <row r="13192" s="76" customFormat="1" spans="1:6">
      <c r="A13192">
        <v>13551</v>
      </c>
      <c r="B13192">
        <v>642014211</v>
      </c>
      <c r="C13192">
        <v>2014</v>
      </c>
      <c r="D13192" t="s">
        <v>37</v>
      </c>
      <c r="E13192">
        <v>1</v>
      </c>
      <c r="F13192">
        <v>18</v>
      </c>
    </row>
    <row r="13193" s="76" customFormat="1" spans="1:6">
      <c r="A13193">
        <v>13554</v>
      </c>
      <c r="B13193">
        <v>642014211</v>
      </c>
      <c r="C13193">
        <v>2014</v>
      </c>
      <c r="D13193" t="s">
        <v>37</v>
      </c>
      <c r="E13193">
        <v>1</v>
      </c>
      <c r="F13193">
        <v>10</v>
      </c>
    </row>
    <row r="13194" s="76" customFormat="1" spans="1:6">
      <c r="A13194">
        <v>13553</v>
      </c>
      <c r="B13194">
        <v>642014211</v>
      </c>
      <c r="C13194">
        <v>2014</v>
      </c>
      <c r="D13194" t="s">
        <v>37</v>
      </c>
      <c r="E13194">
        <v>1</v>
      </c>
      <c r="F13194">
        <v>10</v>
      </c>
    </row>
    <row r="13195" s="76" customFormat="1" spans="1:6">
      <c r="A13195">
        <v>13583</v>
      </c>
      <c r="B13195">
        <v>642014260</v>
      </c>
      <c r="C13195">
        <v>2014</v>
      </c>
      <c r="D13195" t="s">
        <v>34</v>
      </c>
      <c r="E13195">
        <v>33</v>
      </c>
      <c r="F13195">
        <v>4.95</v>
      </c>
    </row>
    <row r="13196" s="76" customFormat="1" spans="1:6">
      <c r="A13196">
        <v>13571</v>
      </c>
      <c r="B13196">
        <v>642014260</v>
      </c>
      <c r="C13196">
        <v>2014</v>
      </c>
      <c r="D13196" t="s">
        <v>34</v>
      </c>
      <c r="E13196">
        <v>33</v>
      </c>
      <c r="F13196">
        <v>4.95</v>
      </c>
    </row>
    <row r="13197" s="76" customFormat="1" spans="1:6">
      <c r="A13197">
        <v>13573</v>
      </c>
      <c r="B13197">
        <v>642014260</v>
      </c>
      <c r="C13197">
        <v>2014</v>
      </c>
      <c r="D13197" t="s">
        <v>34</v>
      </c>
      <c r="E13197">
        <v>33</v>
      </c>
      <c r="F13197">
        <v>4.95</v>
      </c>
    </row>
    <row r="13198" s="76" customFormat="1" spans="1:6">
      <c r="A13198">
        <v>13582</v>
      </c>
      <c r="B13198">
        <v>642014260</v>
      </c>
      <c r="C13198">
        <v>2014</v>
      </c>
      <c r="D13198" t="s">
        <v>34</v>
      </c>
      <c r="E13198">
        <v>33</v>
      </c>
      <c r="F13198">
        <v>4.95</v>
      </c>
    </row>
    <row r="13199" s="76" customFormat="1" spans="1:6">
      <c r="A13199">
        <v>13560</v>
      </c>
      <c r="B13199">
        <v>642014260</v>
      </c>
      <c r="C13199">
        <v>2014</v>
      </c>
      <c r="D13199" t="s">
        <v>34</v>
      </c>
      <c r="E13199">
        <v>65</v>
      </c>
      <c r="F13199">
        <v>9.85</v>
      </c>
    </row>
    <row r="13200" s="76" customFormat="1" spans="1:6">
      <c r="A13200">
        <v>13581</v>
      </c>
      <c r="B13200">
        <v>642014260</v>
      </c>
      <c r="C13200">
        <v>2014</v>
      </c>
      <c r="D13200" t="s">
        <v>34</v>
      </c>
      <c r="E13200">
        <v>33</v>
      </c>
      <c r="F13200">
        <v>4.95</v>
      </c>
    </row>
    <row r="13201" s="76" customFormat="1" spans="1:6">
      <c r="A13201">
        <v>13585</v>
      </c>
      <c r="B13201">
        <v>642014260</v>
      </c>
      <c r="C13201">
        <v>2014</v>
      </c>
      <c r="D13201" t="s">
        <v>34</v>
      </c>
      <c r="E13201">
        <v>22</v>
      </c>
      <c r="F13201">
        <v>4.94</v>
      </c>
    </row>
    <row r="13202" s="76" customFormat="1" spans="1:6">
      <c r="A13202">
        <v>13558</v>
      </c>
      <c r="B13202">
        <v>642014260</v>
      </c>
      <c r="C13202">
        <v>2014</v>
      </c>
      <c r="D13202" t="s">
        <v>34</v>
      </c>
      <c r="E13202">
        <v>50</v>
      </c>
      <c r="F13202">
        <v>9.88</v>
      </c>
    </row>
    <row r="13203" s="76" customFormat="1" spans="1:6">
      <c r="A13203">
        <v>13578</v>
      </c>
      <c r="B13203">
        <v>642014260</v>
      </c>
      <c r="C13203">
        <v>2014</v>
      </c>
      <c r="D13203" t="s">
        <v>34</v>
      </c>
      <c r="E13203">
        <v>18</v>
      </c>
      <c r="F13203">
        <v>2.7</v>
      </c>
    </row>
    <row r="13204" s="76" customFormat="1" spans="1:6">
      <c r="A13204">
        <v>13577</v>
      </c>
      <c r="B13204">
        <v>642014260</v>
      </c>
      <c r="C13204">
        <v>2014</v>
      </c>
      <c r="D13204" t="s">
        <v>34</v>
      </c>
      <c r="E13204">
        <v>33</v>
      </c>
      <c r="F13204">
        <v>4.95</v>
      </c>
    </row>
    <row r="13205" s="76" customFormat="1" spans="1:6">
      <c r="A13205">
        <v>13576</v>
      </c>
      <c r="B13205">
        <v>642014260</v>
      </c>
      <c r="C13205">
        <v>2014</v>
      </c>
      <c r="D13205" t="s">
        <v>34</v>
      </c>
      <c r="E13205">
        <v>33</v>
      </c>
      <c r="F13205">
        <v>4.95</v>
      </c>
    </row>
    <row r="13206" s="76" customFormat="1" spans="1:6">
      <c r="A13206">
        <v>13572</v>
      </c>
      <c r="B13206">
        <v>642014260</v>
      </c>
      <c r="C13206">
        <v>2014</v>
      </c>
      <c r="D13206" t="s">
        <v>34</v>
      </c>
      <c r="E13206">
        <v>22</v>
      </c>
      <c r="F13206">
        <v>3.3</v>
      </c>
    </row>
    <row r="13207" s="76" customFormat="1" spans="1:6">
      <c r="A13207">
        <v>13574</v>
      </c>
      <c r="B13207">
        <v>642014260</v>
      </c>
      <c r="C13207">
        <v>2014</v>
      </c>
      <c r="D13207" t="s">
        <v>34</v>
      </c>
      <c r="E13207">
        <v>25</v>
      </c>
      <c r="F13207">
        <v>5</v>
      </c>
    </row>
    <row r="13208" s="76" customFormat="1" spans="1:6">
      <c r="A13208">
        <v>13569</v>
      </c>
      <c r="B13208">
        <v>642014260</v>
      </c>
      <c r="C13208">
        <v>2014</v>
      </c>
      <c r="D13208" t="s">
        <v>34</v>
      </c>
      <c r="E13208">
        <v>33</v>
      </c>
      <c r="F13208">
        <v>4.95</v>
      </c>
    </row>
    <row r="13209" s="76" customFormat="1" spans="1:6">
      <c r="A13209">
        <v>13566</v>
      </c>
      <c r="B13209">
        <v>642014260</v>
      </c>
      <c r="C13209">
        <v>2014</v>
      </c>
      <c r="D13209" t="s">
        <v>34</v>
      </c>
      <c r="E13209">
        <v>33</v>
      </c>
      <c r="F13209">
        <v>4.95</v>
      </c>
    </row>
    <row r="13210" s="76" customFormat="1" spans="1:6">
      <c r="A13210">
        <v>13559</v>
      </c>
      <c r="B13210">
        <v>642014260</v>
      </c>
      <c r="C13210">
        <v>2014</v>
      </c>
      <c r="D13210" t="s">
        <v>34</v>
      </c>
      <c r="E13210">
        <v>33</v>
      </c>
      <c r="F13210">
        <v>4.95</v>
      </c>
    </row>
    <row r="13211" s="76" customFormat="1" spans="1:6">
      <c r="A13211">
        <v>13555</v>
      </c>
      <c r="B13211">
        <v>642014260</v>
      </c>
      <c r="C13211">
        <v>2014</v>
      </c>
      <c r="D13211" t="s">
        <v>34</v>
      </c>
      <c r="E13211">
        <v>33</v>
      </c>
      <c r="F13211">
        <v>4.95</v>
      </c>
    </row>
    <row r="13212" s="76" customFormat="1" spans="1:6">
      <c r="A13212">
        <v>13575</v>
      </c>
      <c r="B13212">
        <v>642014260</v>
      </c>
      <c r="C13212">
        <v>2014</v>
      </c>
      <c r="D13212" t="s">
        <v>34</v>
      </c>
      <c r="E13212">
        <v>25</v>
      </c>
      <c r="F13212">
        <v>5</v>
      </c>
    </row>
    <row r="13213" s="76" customFormat="1" spans="1:6">
      <c r="A13213">
        <v>13570</v>
      </c>
      <c r="B13213">
        <v>642014260</v>
      </c>
      <c r="C13213">
        <v>2014</v>
      </c>
      <c r="D13213" t="s">
        <v>34</v>
      </c>
      <c r="E13213">
        <v>33</v>
      </c>
      <c r="F13213">
        <v>4.95</v>
      </c>
    </row>
    <row r="13214" s="76" customFormat="1" spans="1:6">
      <c r="A13214">
        <v>13562</v>
      </c>
      <c r="B13214">
        <v>642014260</v>
      </c>
      <c r="C13214">
        <v>2014</v>
      </c>
      <c r="D13214" t="s">
        <v>34</v>
      </c>
      <c r="E13214">
        <v>33</v>
      </c>
      <c r="F13214">
        <v>4.95</v>
      </c>
    </row>
    <row r="13215" s="76" customFormat="1" spans="1:6">
      <c r="A13215">
        <v>13564</v>
      </c>
      <c r="B13215">
        <v>642014260</v>
      </c>
      <c r="C13215">
        <v>2014</v>
      </c>
      <c r="D13215" t="s">
        <v>34</v>
      </c>
      <c r="E13215">
        <v>33</v>
      </c>
      <c r="F13215">
        <v>4.95</v>
      </c>
    </row>
    <row r="13216" s="76" customFormat="1" spans="1:6">
      <c r="A13216">
        <v>13563</v>
      </c>
      <c r="B13216">
        <v>642014260</v>
      </c>
      <c r="C13216">
        <v>2014</v>
      </c>
      <c r="D13216" t="s">
        <v>34</v>
      </c>
      <c r="E13216">
        <v>33</v>
      </c>
      <c r="F13216">
        <v>4.95</v>
      </c>
    </row>
    <row r="13217" s="76" customFormat="1" spans="1:6">
      <c r="A13217">
        <v>13565</v>
      </c>
      <c r="B13217">
        <v>642014260</v>
      </c>
      <c r="C13217">
        <v>2014</v>
      </c>
      <c r="D13217" t="s">
        <v>34</v>
      </c>
      <c r="E13217">
        <v>33</v>
      </c>
      <c r="F13217">
        <v>4.95</v>
      </c>
    </row>
    <row r="13218" s="76" customFormat="1" spans="1:6">
      <c r="A13218">
        <v>13561</v>
      </c>
      <c r="B13218">
        <v>642014260</v>
      </c>
      <c r="C13218">
        <v>2014</v>
      </c>
      <c r="D13218" t="s">
        <v>34</v>
      </c>
      <c r="E13218">
        <v>33</v>
      </c>
      <c r="F13218">
        <v>4.95</v>
      </c>
    </row>
    <row r="13219" s="76" customFormat="1" spans="1:6">
      <c r="A13219">
        <v>13567</v>
      </c>
      <c r="B13219">
        <v>642014260</v>
      </c>
      <c r="C13219">
        <v>2014</v>
      </c>
      <c r="D13219" t="s">
        <v>34</v>
      </c>
      <c r="E13219">
        <v>25</v>
      </c>
      <c r="F13219">
        <v>5</v>
      </c>
    </row>
    <row r="13220" s="76" customFormat="1" spans="1:6">
      <c r="A13220">
        <v>13568</v>
      </c>
      <c r="B13220">
        <v>642014260</v>
      </c>
      <c r="C13220">
        <v>2014</v>
      </c>
      <c r="D13220" t="s">
        <v>34</v>
      </c>
      <c r="E13220">
        <v>25</v>
      </c>
      <c r="F13220">
        <v>5</v>
      </c>
    </row>
    <row r="13221" s="76" customFormat="1" spans="1:6">
      <c r="A13221">
        <v>13557</v>
      </c>
      <c r="B13221">
        <v>642014260</v>
      </c>
      <c r="C13221">
        <v>2014</v>
      </c>
      <c r="D13221" t="s">
        <v>34</v>
      </c>
      <c r="E13221">
        <v>33</v>
      </c>
      <c r="F13221">
        <v>4.95</v>
      </c>
    </row>
    <row r="13222" s="76" customFormat="1" spans="1:6">
      <c r="A13222">
        <v>13580</v>
      </c>
      <c r="B13222">
        <v>642014260</v>
      </c>
      <c r="C13222">
        <v>2014</v>
      </c>
      <c r="D13222" t="s">
        <v>34</v>
      </c>
      <c r="E13222">
        <v>49</v>
      </c>
      <c r="F13222">
        <v>4.95</v>
      </c>
    </row>
    <row r="13223" s="76" customFormat="1" spans="1:6">
      <c r="A13223">
        <v>13586</v>
      </c>
      <c r="B13223">
        <v>642014260</v>
      </c>
      <c r="C13223">
        <v>2014</v>
      </c>
      <c r="D13223" t="s">
        <v>34</v>
      </c>
      <c r="E13223">
        <v>24</v>
      </c>
      <c r="F13223">
        <v>4.8</v>
      </c>
    </row>
    <row r="13224" s="76" customFormat="1" spans="1:6">
      <c r="A13224">
        <v>13556</v>
      </c>
      <c r="B13224">
        <v>642014260</v>
      </c>
      <c r="C13224">
        <v>2014</v>
      </c>
      <c r="D13224" t="s">
        <v>34</v>
      </c>
      <c r="E13224">
        <v>47</v>
      </c>
      <c r="F13224">
        <v>9.9</v>
      </c>
    </row>
    <row r="13225" s="76" customFormat="1" spans="1:6">
      <c r="A13225">
        <v>13584</v>
      </c>
      <c r="B13225">
        <v>642014260</v>
      </c>
      <c r="C13225">
        <v>2014</v>
      </c>
      <c r="D13225" t="s">
        <v>34</v>
      </c>
      <c r="E13225">
        <v>33</v>
      </c>
      <c r="F13225">
        <v>4.95</v>
      </c>
    </row>
    <row r="13226" s="76" customFormat="1" spans="1:6">
      <c r="A13226">
        <v>13579</v>
      </c>
      <c r="B13226">
        <v>642014260</v>
      </c>
      <c r="C13226">
        <v>2014</v>
      </c>
      <c r="D13226" t="s">
        <v>34</v>
      </c>
      <c r="E13226">
        <v>33</v>
      </c>
      <c r="F13226">
        <v>4.95</v>
      </c>
    </row>
    <row r="13227" s="76" customFormat="1" spans="1:6">
      <c r="A13227">
        <v>13596</v>
      </c>
      <c r="B13227">
        <v>642014270</v>
      </c>
      <c r="C13227">
        <v>2014</v>
      </c>
      <c r="D13227" t="s">
        <v>31</v>
      </c>
      <c r="E13227">
        <v>1</v>
      </c>
      <c r="F13227">
        <v>1.3</v>
      </c>
    </row>
    <row r="13228" s="76" customFormat="1" spans="1:6">
      <c r="A13228">
        <v>13588</v>
      </c>
      <c r="B13228">
        <v>642014270</v>
      </c>
      <c r="C13228">
        <v>2014</v>
      </c>
      <c r="D13228" t="s">
        <v>31</v>
      </c>
      <c r="E13228"/>
      <c r="F13228">
        <v>2</v>
      </c>
    </row>
    <row r="13229" s="76" customFormat="1" spans="1:6">
      <c r="A13229">
        <v>13589</v>
      </c>
      <c r="B13229">
        <v>642014270</v>
      </c>
      <c r="C13229">
        <v>2014</v>
      </c>
      <c r="D13229" t="s">
        <v>31</v>
      </c>
      <c r="E13229"/>
      <c r="F13229">
        <v>2</v>
      </c>
    </row>
    <row r="13230" s="76" customFormat="1" spans="1:6">
      <c r="A13230">
        <v>13591</v>
      </c>
      <c r="B13230">
        <v>642014270</v>
      </c>
      <c r="C13230">
        <v>2014</v>
      </c>
      <c r="D13230" t="s">
        <v>31</v>
      </c>
      <c r="E13230"/>
      <c r="F13230">
        <v>3</v>
      </c>
    </row>
    <row r="13231" s="76" customFormat="1" spans="1:6">
      <c r="A13231">
        <v>13590</v>
      </c>
      <c r="B13231">
        <v>642014270</v>
      </c>
      <c r="C13231">
        <v>2014</v>
      </c>
      <c r="D13231" t="s">
        <v>31</v>
      </c>
      <c r="E13231"/>
      <c r="F13231">
        <v>2</v>
      </c>
    </row>
    <row r="13232" s="76" customFormat="1" spans="1:6">
      <c r="A13232">
        <v>13592</v>
      </c>
      <c r="B13232">
        <v>642014270</v>
      </c>
      <c r="C13232">
        <v>2014</v>
      </c>
      <c r="D13232" t="s">
        <v>31</v>
      </c>
      <c r="E13232"/>
      <c r="F13232">
        <v>2</v>
      </c>
    </row>
    <row r="13233" s="76" customFormat="1" spans="1:6">
      <c r="A13233">
        <v>13593</v>
      </c>
      <c r="B13233">
        <v>642014270</v>
      </c>
      <c r="C13233">
        <v>2014</v>
      </c>
      <c r="D13233" t="s">
        <v>31</v>
      </c>
      <c r="E13233">
        <v>1</v>
      </c>
      <c r="F13233">
        <v>3</v>
      </c>
    </row>
    <row r="13234" s="76" customFormat="1" spans="1:6">
      <c r="A13234">
        <v>13594</v>
      </c>
      <c r="B13234">
        <v>642014270</v>
      </c>
      <c r="C13234">
        <v>2014</v>
      </c>
      <c r="D13234" t="s">
        <v>31</v>
      </c>
      <c r="E13234">
        <v>1</v>
      </c>
      <c r="F13234">
        <v>3</v>
      </c>
    </row>
    <row r="13235" s="76" customFormat="1" spans="1:6">
      <c r="A13235">
        <v>13595</v>
      </c>
      <c r="B13235">
        <v>642014270</v>
      </c>
      <c r="C13235">
        <v>2014</v>
      </c>
      <c r="D13235" t="s">
        <v>31</v>
      </c>
      <c r="E13235">
        <v>1</v>
      </c>
      <c r="F13235">
        <v>2</v>
      </c>
    </row>
    <row r="13236" s="76" customFormat="1" spans="1:6">
      <c r="A13236">
        <v>13587</v>
      </c>
      <c r="B13236">
        <v>642014270</v>
      </c>
      <c r="C13236">
        <v>2014</v>
      </c>
      <c r="D13236" t="s">
        <v>31</v>
      </c>
      <c r="E13236"/>
      <c r="F13236">
        <v>1.1</v>
      </c>
    </row>
    <row r="13237" s="76" customFormat="1" spans="1:6">
      <c r="A13237">
        <v>13597</v>
      </c>
      <c r="B13237">
        <v>642015211</v>
      </c>
      <c r="C13237">
        <v>2015</v>
      </c>
      <c r="D13237" t="s">
        <v>37</v>
      </c>
      <c r="E13237">
        <v>2</v>
      </c>
      <c r="F13237">
        <v>70</v>
      </c>
    </row>
    <row r="13238" s="76" customFormat="1" spans="1:6">
      <c r="A13238">
        <v>13598</v>
      </c>
      <c r="B13238">
        <v>642015211</v>
      </c>
      <c r="C13238">
        <v>2015</v>
      </c>
      <c r="D13238" t="s">
        <v>37</v>
      </c>
      <c r="E13238" t="s">
        <v>32</v>
      </c>
      <c r="F13238">
        <v>48</v>
      </c>
    </row>
    <row r="13239" s="76" customFormat="1" spans="1:6">
      <c r="A13239">
        <v>13603</v>
      </c>
      <c r="B13239">
        <v>642015241</v>
      </c>
      <c r="C13239">
        <v>2015</v>
      </c>
      <c r="D13239" t="s">
        <v>33</v>
      </c>
      <c r="E13239" t="s">
        <v>32</v>
      </c>
      <c r="F13239">
        <v>2.1</v>
      </c>
    </row>
    <row r="13240" s="76" customFormat="1" spans="1:6">
      <c r="A13240">
        <v>13599</v>
      </c>
      <c r="B13240">
        <v>642015241</v>
      </c>
      <c r="C13240">
        <v>2015</v>
      </c>
      <c r="D13240" t="s">
        <v>33</v>
      </c>
      <c r="E13240" t="s">
        <v>32</v>
      </c>
      <c r="F13240">
        <v>1.8</v>
      </c>
    </row>
    <row r="13241" s="76" customFormat="1" spans="1:6">
      <c r="A13241">
        <v>13608</v>
      </c>
      <c r="B13241">
        <v>642015241</v>
      </c>
      <c r="C13241">
        <v>2015</v>
      </c>
      <c r="D13241" t="s">
        <v>33</v>
      </c>
      <c r="E13241" t="s">
        <v>32</v>
      </c>
      <c r="F13241">
        <v>5</v>
      </c>
    </row>
    <row r="13242" s="76" customFormat="1" spans="1:6">
      <c r="A13242">
        <v>13622</v>
      </c>
      <c r="B13242">
        <v>642015241</v>
      </c>
      <c r="C13242">
        <v>2015</v>
      </c>
      <c r="D13242" t="s">
        <v>33</v>
      </c>
      <c r="E13242" t="s">
        <v>32</v>
      </c>
      <c r="F13242">
        <v>0.7</v>
      </c>
    </row>
    <row r="13243" s="76" customFormat="1" spans="1:6">
      <c r="A13243">
        <v>13607</v>
      </c>
      <c r="B13243">
        <v>642015241</v>
      </c>
      <c r="C13243">
        <v>2015</v>
      </c>
      <c r="D13243" t="s">
        <v>33</v>
      </c>
      <c r="E13243" t="s">
        <v>32</v>
      </c>
      <c r="F13243">
        <v>0.6</v>
      </c>
    </row>
    <row r="13244" s="76" customFormat="1" spans="1:6">
      <c r="A13244">
        <v>13605</v>
      </c>
      <c r="B13244">
        <v>642015241</v>
      </c>
      <c r="C13244">
        <v>2015</v>
      </c>
      <c r="D13244" t="s">
        <v>33</v>
      </c>
      <c r="E13244" t="s">
        <v>32</v>
      </c>
      <c r="F13244">
        <v>1.2</v>
      </c>
    </row>
    <row r="13245" s="76" customFormat="1" spans="1:6">
      <c r="A13245">
        <v>13617</v>
      </c>
      <c r="B13245">
        <v>642015241</v>
      </c>
      <c r="C13245">
        <v>2015</v>
      </c>
      <c r="D13245" t="s">
        <v>33</v>
      </c>
      <c r="E13245" t="s">
        <v>32</v>
      </c>
      <c r="F13245">
        <v>0.6</v>
      </c>
    </row>
    <row r="13246" s="76" customFormat="1" spans="1:6">
      <c r="A13246">
        <v>13616</v>
      </c>
      <c r="B13246">
        <v>642015241</v>
      </c>
      <c r="C13246">
        <v>2015</v>
      </c>
      <c r="D13246" t="s">
        <v>33</v>
      </c>
      <c r="E13246" t="s">
        <v>32</v>
      </c>
      <c r="F13246">
        <v>3.6</v>
      </c>
    </row>
    <row r="13247" s="76" customFormat="1" spans="1:6">
      <c r="A13247">
        <v>13612</v>
      </c>
      <c r="B13247">
        <v>642015241</v>
      </c>
      <c r="C13247">
        <v>2015</v>
      </c>
      <c r="D13247" t="s">
        <v>33</v>
      </c>
      <c r="E13247" t="s">
        <v>32</v>
      </c>
      <c r="F13247">
        <v>3</v>
      </c>
    </row>
    <row r="13248" s="76" customFormat="1" spans="1:6">
      <c r="A13248">
        <v>13621</v>
      </c>
      <c r="B13248">
        <v>642015241</v>
      </c>
      <c r="C13248">
        <v>2015</v>
      </c>
      <c r="D13248" t="s">
        <v>33</v>
      </c>
      <c r="E13248" t="s">
        <v>32</v>
      </c>
      <c r="F13248">
        <v>12</v>
      </c>
    </row>
    <row r="13249" s="76" customFormat="1" spans="1:6">
      <c r="A13249">
        <v>13609</v>
      </c>
      <c r="B13249">
        <v>642015241</v>
      </c>
      <c r="C13249">
        <v>2015</v>
      </c>
      <c r="D13249" t="s">
        <v>33</v>
      </c>
      <c r="E13249" t="s">
        <v>32</v>
      </c>
      <c r="F13249">
        <v>1.2</v>
      </c>
    </row>
    <row r="13250" s="76" customFormat="1" spans="1:6">
      <c r="A13250">
        <v>13611</v>
      </c>
      <c r="B13250">
        <v>642015241</v>
      </c>
      <c r="C13250">
        <v>2015</v>
      </c>
      <c r="D13250" t="s">
        <v>33</v>
      </c>
      <c r="E13250" t="s">
        <v>32</v>
      </c>
      <c r="F13250">
        <v>0.6</v>
      </c>
    </row>
    <row r="13251" s="76" customFormat="1" spans="1:6">
      <c r="A13251">
        <v>13614</v>
      </c>
      <c r="B13251">
        <v>642015241</v>
      </c>
      <c r="C13251">
        <v>2015</v>
      </c>
      <c r="D13251" t="s">
        <v>33</v>
      </c>
      <c r="E13251" t="s">
        <v>32</v>
      </c>
      <c r="F13251">
        <v>3</v>
      </c>
    </row>
    <row r="13252" s="76" customFormat="1" spans="1:6">
      <c r="A13252">
        <v>13602</v>
      </c>
      <c r="B13252">
        <v>642015241</v>
      </c>
      <c r="C13252">
        <v>2015</v>
      </c>
      <c r="D13252" t="s">
        <v>33</v>
      </c>
      <c r="E13252" t="s">
        <v>32</v>
      </c>
      <c r="F13252">
        <v>2</v>
      </c>
    </row>
    <row r="13253" s="76" customFormat="1" spans="1:6">
      <c r="A13253">
        <v>13620</v>
      </c>
      <c r="B13253">
        <v>642015241</v>
      </c>
      <c r="C13253">
        <v>2015</v>
      </c>
      <c r="D13253" t="s">
        <v>33</v>
      </c>
      <c r="E13253" t="s">
        <v>32</v>
      </c>
      <c r="F13253">
        <v>2</v>
      </c>
    </row>
    <row r="13254" s="76" customFormat="1" spans="1:6">
      <c r="A13254">
        <v>13600</v>
      </c>
      <c r="B13254">
        <v>642015241</v>
      </c>
      <c r="C13254">
        <v>2015</v>
      </c>
      <c r="D13254" t="s">
        <v>33</v>
      </c>
      <c r="E13254" t="s">
        <v>32</v>
      </c>
      <c r="F13254">
        <v>5</v>
      </c>
    </row>
    <row r="13255" s="76" customFormat="1" spans="1:6">
      <c r="A13255">
        <v>13613</v>
      </c>
      <c r="B13255">
        <v>642015241</v>
      </c>
      <c r="C13255">
        <v>2015</v>
      </c>
      <c r="D13255" t="s">
        <v>33</v>
      </c>
      <c r="E13255" t="s">
        <v>32</v>
      </c>
      <c r="F13255">
        <v>2.4</v>
      </c>
    </row>
    <row r="13256" s="76" customFormat="1" spans="1:6">
      <c r="A13256">
        <v>13606</v>
      </c>
      <c r="B13256">
        <v>642015241</v>
      </c>
      <c r="C13256">
        <v>2015</v>
      </c>
      <c r="D13256" t="s">
        <v>33</v>
      </c>
      <c r="E13256" t="s">
        <v>32</v>
      </c>
      <c r="F13256">
        <v>3</v>
      </c>
    </row>
    <row r="13257" s="76" customFormat="1" spans="1:6">
      <c r="A13257">
        <v>13618</v>
      </c>
      <c r="B13257">
        <v>642015241</v>
      </c>
      <c r="C13257">
        <v>2015</v>
      </c>
      <c r="D13257" t="s">
        <v>33</v>
      </c>
      <c r="E13257" t="s">
        <v>32</v>
      </c>
      <c r="F13257">
        <v>0.9</v>
      </c>
    </row>
    <row r="13258" s="76" customFormat="1" spans="1:6">
      <c r="A13258">
        <v>13604</v>
      </c>
      <c r="B13258">
        <v>642015241</v>
      </c>
      <c r="C13258">
        <v>2015</v>
      </c>
      <c r="D13258" t="s">
        <v>33</v>
      </c>
      <c r="E13258" t="s">
        <v>32</v>
      </c>
      <c r="F13258">
        <v>0.9</v>
      </c>
    </row>
    <row r="13259" s="76" customFormat="1" spans="1:6">
      <c r="A13259">
        <v>13615</v>
      </c>
      <c r="B13259">
        <v>642015241</v>
      </c>
      <c r="C13259">
        <v>2015</v>
      </c>
      <c r="D13259" t="s">
        <v>33</v>
      </c>
      <c r="E13259" t="s">
        <v>32</v>
      </c>
      <c r="F13259">
        <v>0.9</v>
      </c>
    </row>
    <row r="13260" s="76" customFormat="1" spans="1:6">
      <c r="A13260">
        <v>13610</v>
      </c>
      <c r="B13260">
        <v>642015241</v>
      </c>
      <c r="C13260">
        <v>2015</v>
      </c>
      <c r="D13260" t="s">
        <v>33</v>
      </c>
      <c r="E13260" t="s">
        <v>32</v>
      </c>
      <c r="F13260">
        <v>0.6</v>
      </c>
    </row>
    <row r="13261" s="76" customFormat="1" spans="1:6">
      <c r="A13261">
        <v>13619</v>
      </c>
      <c r="B13261">
        <v>642015241</v>
      </c>
      <c r="C13261">
        <v>2015</v>
      </c>
      <c r="D13261" t="s">
        <v>33</v>
      </c>
      <c r="E13261" t="s">
        <v>32</v>
      </c>
      <c r="F13261">
        <v>5</v>
      </c>
    </row>
    <row r="13262" s="76" customFormat="1" spans="1:6">
      <c r="A13262">
        <v>13601</v>
      </c>
      <c r="B13262">
        <v>642015241</v>
      </c>
      <c r="C13262">
        <v>2015</v>
      </c>
      <c r="D13262" t="s">
        <v>33</v>
      </c>
      <c r="E13262" t="s">
        <v>32</v>
      </c>
      <c r="F13262">
        <v>1.8</v>
      </c>
    </row>
    <row r="13263" s="76" customFormat="1" spans="1:6">
      <c r="A13263">
        <v>13625</v>
      </c>
      <c r="B13263">
        <v>642015260</v>
      </c>
      <c r="C13263">
        <v>2015</v>
      </c>
      <c r="D13263" t="s">
        <v>34</v>
      </c>
      <c r="E13263">
        <v>1</v>
      </c>
      <c r="F13263">
        <v>0.2</v>
      </c>
    </row>
    <row r="13264" s="76" customFormat="1" spans="1:6">
      <c r="A13264">
        <v>13669</v>
      </c>
      <c r="B13264">
        <v>642015260</v>
      </c>
      <c r="C13264">
        <v>2015</v>
      </c>
      <c r="D13264" t="s">
        <v>34</v>
      </c>
      <c r="E13264" t="s">
        <v>32</v>
      </c>
      <c r="F13264">
        <v>4.95</v>
      </c>
    </row>
    <row r="13265" s="76" customFormat="1" spans="1:6">
      <c r="A13265">
        <v>13670</v>
      </c>
      <c r="B13265">
        <v>642015260</v>
      </c>
      <c r="C13265">
        <v>2015</v>
      </c>
      <c r="D13265" t="s">
        <v>34</v>
      </c>
      <c r="E13265" t="s">
        <v>32</v>
      </c>
      <c r="F13265">
        <v>4.8</v>
      </c>
    </row>
    <row r="13266" s="76" customFormat="1" spans="1:6">
      <c r="A13266">
        <v>13657</v>
      </c>
      <c r="B13266">
        <v>642015260</v>
      </c>
      <c r="C13266">
        <v>2015</v>
      </c>
      <c r="D13266" t="s">
        <v>34</v>
      </c>
      <c r="E13266">
        <v>25</v>
      </c>
      <c r="F13266">
        <v>4.95</v>
      </c>
    </row>
    <row r="13267" s="76" customFormat="1" spans="1:6">
      <c r="A13267">
        <v>13658</v>
      </c>
      <c r="B13267">
        <v>642015260</v>
      </c>
      <c r="C13267">
        <v>2015</v>
      </c>
      <c r="D13267" t="s">
        <v>34</v>
      </c>
      <c r="E13267">
        <v>25</v>
      </c>
      <c r="F13267">
        <v>5</v>
      </c>
    </row>
    <row r="13268" s="76" customFormat="1" spans="1:6">
      <c r="A13268">
        <v>13646</v>
      </c>
      <c r="B13268">
        <v>642015260</v>
      </c>
      <c r="C13268">
        <v>2015</v>
      </c>
      <c r="D13268" t="s">
        <v>34</v>
      </c>
      <c r="E13268">
        <v>33</v>
      </c>
      <c r="F13268">
        <v>2</v>
      </c>
    </row>
    <row r="13269" s="76" customFormat="1" spans="1:6">
      <c r="A13269">
        <v>13648</v>
      </c>
      <c r="B13269">
        <v>642015260</v>
      </c>
      <c r="C13269">
        <v>2015</v>
      </c>
      <c r="D13269" t="s">
        <v>34</v>
      </c>
      <c r="E13269">
        <v>33</v>
      </c>
      <c r="F13269">
        <v>4.95</v>
      </c>
    </row>
    <row r="13270" s="76" customFormat="1" spans="1:6">
      <c r="A13270">
        <v>13651</v>
      </c>
      <c r="B13270">
        <v>642015260</v>
      </c>
      <c r="C13270">
        <v>2015</v>
      </c>
      <c r="D13270" t="s">
        <v>34</v>
      </c>
      <c r="E13270">
        <v>33</v>
      </c>
      <c r="F13270">
        <v>4.95</v>
      </c>
    </row>
    <row r="13271" s="76" customFormat="1" spans="1:6">
      <c r="A13271">
        <v>13667</v>
      </c>
      <c r="B13271">
        <v>642015260</v>
      </c>
      <c r="C13271">
        <v>2015</v>
      </c>
      <c r="D13271" t="s">
        <v>34</v>
      </c>
      <c r="E13271" t="s">
        <v>32</v>
      </c>
      <c r="F13271">
        <v>10</v>
      </c>
    </row>
    <row r="13272" s="76" customFormat="1" spans="1:6">
      <c r="A13272">
        <v>13673</v>
      </c>
      <c r="B13272">
        <v>642015260</v>
      </c>
      <c r="C13272">
        <v>2015</v>
      </c>
      <c r="D13272" t="s">
        <v>34</v>
      </c>
      <c r="E13272" t="s">
        <v>32</v>
      </c>
      <c r="F13272">
        <v>5</v>
      </c>
    </row>
    <row r="13273" s="76" customFormat="1" spans="1:6">
      <c r="A13273">
        <v>13636</v>
      </c>
      <c r="B13273">
        <v>642015260</v>
      </c>
      <c r="C13273">
        <v>2015</v>
      </c>
      <c r="D13273" t="s">
        <v>34</v>
      </c>
      <c r="E13273">
        <v>33</v>
      </c>
      <c r="F13273">
        <v>4.95</v>
      </c>
    </row>
    <row r="13274" s="76" customFormat="1" spans="1:6">
      <c r="A13274">
        <v>13655</v>
      </c>
      <c r="B13274">
        <v>642015260</v>
      </c>
      <c r="C13274">
        <v>2015</v>
      </c>
      <c r="D13274" t="s">
        <v>34</v>
      </c>
      <c r="E13274">
        <v>1</v>
      </c>
      <c r="F13274">
        <v>10</v>
      </c>
    </row>
    <row r="13275" s="76" customFormat="1" spans="1:6">
      <c r="A13275">
        <v>13672</v>
      </c>
      <c r="B13275">
        <v>642015260</v>
      </c>
      <c r="C13275">
        <v>2015</v>
      </c>
      <c r="D13275" t="s">
        <v>34</v>
      </c>
      <c r="E13275" t="s">
        <v>32</v>
      </c>
      <c r="F13275">
        <v>5</v>
      </c>
    </row>
    <row r="13276" s="76" customFormat="1" spans="1:6">
      <c r="A13276">
        <v>13676</v>
      </c>
      <c r="B13276">
        <v>642015260</v>
      </c>
      <c r="C13276">
        <v>2015</v>
      </c>
      <c r="D13276" t="s">
        <v>34</v>
      </c>
      <c r="E13276" t="s">
        <v>32</v>
      </c>
      <c r="F13276">
        <v>15</v>
      </c>
    </row>
    <row r="13277" s="76" customFormat="1" spans="1:6">
      <c r="A13277">
        <v>13665</v>
      </c>
      <c r="B13277">
        <v>642015260</v>
      </c>
      <c r="C13277">
        <v>2015</v>
      </c>
      <c r="D13277" t="s">
        <v>34</v>
      </c>
      <c r="E13277" t="s">
        <v>32</v>
      </c>
      <c r="F13277">
        <v>15</v>
      </c>
    </row>
    <row r="13278" s="76" customFormat="1" spans="1:6">
      <c r="A13278">
        <v>13653</v>
      </c>
      <c r="B13278">
        <v>642015260</v>
      </c>
      <c r="C13278">
        <v>2015</v>
      </c>
      <c r="D13278" t="s">
        <v>34</v>
      </c>
      <c r="E13278" t="s">
        <v>32</v>
      </c>
      <c r="F13278">
        <v>9.9</v>
      </c>
    </row>
    <row r="13279" s="76" customFormat="1" spans="1:6">
      <c r="A13279">
        <v>13654</v>
      </c>
      <c r="B13279">
        <v>642015260</v>
      </c>
      <c r="C13279">
        <v>2015</v>
      </c>
      <c r="D13279" t="s">
        <v>34</v>
      </c>
      <c r="E13279" t="s">
        <v>32</v>
      </c>
      <c r="F13279">
        <v>9.95</v>
      </c>
    </row>
    <row r="13280" s="76" customFormat="1" spans="1:6">
      <c r="A13280">
        <v>13662</v>
      </c>
      <c r="B13280">
        <v>642015260</v>
      </c>
      <c r="C13280">
        <v>2015</v>
      </c>
      <c r="D13280" t="s">
        <v>34</v>
      </c>
      <c r="E13280" t="s">
        <v>32</v>
      </c>
      <c r="F13280">
        <v>9.95</v>
      </c>
    </row>
    <row r="13281" s="76" customFormat="1" spans="1:6">
      <c r="A13281">
        <v>13660</v>
      </c>
      <c r="B13281">
        <v>642015260</v>
      </c>
      <c r="C13281">
        <v>2015</v>
      </c>
      <c r="D13281" t="s">
        <v>34</v>
      </c>
      <c r="E13281" t="s">
        <v>32</v>
      </c>
      <c r="F13281">
        <v>0.09</v>
      </c>
    </row>
    <row r="13282" s="76" customFormat="1" spans="1:6">
      <c r="A13282">
        <v>13664</v>
      </c>
      <c r="B13282">
        <v>642015260</v>
      </c>
      <c r="C13282">
        <v>2015</v>
      </c>
      <c r="D13282" t="s">
        <v>34</v>
      </c>
      <c r="E13282" t="s">
        <v>32</v>
      </c>
      <c r="F13282">
        <v>4.94</v>
      </c>
    </row>
    <row r="13283" s="76" customFormat="1" spans="1:6">
      <c r="A13283">
        <v>13671</v>
      </c>
      <c r="B13283">
        <v>642015260</v>
      </c>
      <c r="C13283">
        <v>2015</v>
      </c>
      <c r="D13283" t="s">
        <v>34</v>
      </c>
      <c r="E13283" t="s">
        <v>32</v>
      </c>
      <c r="F13283">
        <v>5</v>
      </c>
    </row>
    <row r="13284" s="76" customFormat="1" spans="1:6">
      <c r="A13284">
        <v>13635</v>
      </c>
      <c r="B13284">
        <v>642015260</v>
      </c>
      <c r="C13284">
        <v>2015</v>
      </c>
      <c r="D13284" t="s">
        <v>34</v>
      </c>
      <c r="E13284">
        <v>50</v>
      </c>
      <c r="F13284">
        <v>9.88</v>
      </c>
    </row>
    <row r="13285" s="76" customFormat="1" spans="1:6">
      <c r="A13285">
        <v>13663</v>
      </c>
      <c r="B13285">
        <v>642015260</v>
      </c>
      <c r="C13285">
        <v>2015</v>
      </c>
      <c r="D13285" t="s">
        <v>34</v>
      </c>
      <c r="E13285" t="s">
        <v>32</v>
      </c>
      <c r="F13285">
        <v>9.95</v>
      </c>
    </row>
    <row r="13286" s="76" customFormat="1" spans="1:6">
      <c r="A13286">
        <v>13634</v>
      </c>
      <c r="B13286">
        <v>642015260</v>
      </c>
      <c r="C13286">
        <v>2015</v>
      </c>
      <c r="D13286" t="s">
        <v>34</v>
      </c>
      <c r="E13286">
        <v>15</v>
      </c>
      <c r="F13286">
        <v>2.25</v>
      </c>
    </row>
    <row r="13287" s="76" customFormat="1" spans="1:6">
      <c r="A13287">
        <v>13633</v>
      </c>
      <c r="B13287">
        <v>642015260</v>
      </c>
      <c r="C13287">
        <v>2015</v>
      </c>
      <c r="D13287" t="s">
        <v>34</v>
      </c>
      <c r="E13287">
        <v>33</v>
      </c>
      <c r="F13287">
        <v>4.95</v>
      </c>
    </row>
    <row r="13288" s="76" customFormat="1" spans="1:6">
      <c r="A13288">
        <v>13631</v>
      </c>
      <c r="B13288">
        <v>642015260</v>
      </c>
      <c r="C13288">
        <v>2015</v>
      </c>
      <c r="D13288" t="s">
        <v>34</v>
      </c>
      <c r="E13288">
        <v>11</v>
      </c>
      <c r="F13288">
        <v>1.65</v>
      </c>
    </row>
    <row r="13289" s="76" customFormat="1" spans="1:6">
      <c r="A13289">
        <v>13629</v>
      </c>
      <c r="B13289">
        <v>642015260</v>
      </c>
      <c r="C13289">
        <v>2015</v>
      </c>
      <c r="D13289" t="s">
        <v>34</v>
      </c>
      <c r="E13289">
        <v>33</v>
      </c>
      <c r="F13289">
        <v>4.95</v>
      </c>
    </row>
    <row r="13290" s="76" customFormat="1" spans="1:6">
      <c r="A13290">
        <v>13626</v>
      </c>
      <c r="B13290">
        <v>642015260</v>
      </c>
      <c r="C13290">
        <v>2015</v>
      </c>
      <c r="D13290" t="s">
        <v>34</v>
      </c>
      <c r="E13290">
        <v>25</v>
      </c>
      <c r="F13290">
        <v>5</v>
      </c>
    </row>
    <row r="13291" s="76" customFormat="1" spans="1:6">
      <c r="A13291">
        <v>13627</v>
      </c>
      <c r="B13291">
        <v>642015260</v>
      </c>
      <c r="C13291">
        <v>2015</v>
      </c>
      <c r="D13291" t="s">
        <v>34</v>
      </c>
      <c r="E13291">
        <v>50</v>
      </c>
      <c r="F13291">
        <v>10</v>
      </c>
    </row>
    <row r="13292" s="76" customFormat="1" spans="1:6">
      <c r="A13292">
        <v>13628</v>
      </c>
      <c r="B13292">
        <v>642015260</v>
      </c>
      <c r="C13292">
        <v>2015</v>
      </c>
      <c r="D13292" t="s">
        <v>34</v>
      </c>
      <c r="E13292">
        <v>13</v>
      </c>
      <c r="F13292">
        <v>1.95</v>
      </c>
    </row>
    <row r="13293" s="76" customFormat="1" spans="1:6">
      <c r="A13293">
        <v>13643</v>
      </c>
      <c r="B13293">
        <v>642015260</v>
      </c>
      <c r="C13293">
        <v>2015</v>
      </c>
      <c r="D13293" t="s">
        <v>34</v>
      </c>
      <c r="E13293">
        <v>25</v>
      </c>
      <c r="F13293">
        <v>5</v>
      </c>
    </row>
    <row r="13294" s="76" customFormat="1" spans="1:6">
      <c r="A13294">
        <v>13632</v>
      </c>
      <c r="B13294">
        <v>642015260</v>
      </c>
      <c r="C13294">
        <v>2015</v>
      </c>
      <c r="D13294" t="s">
        <v>34</v>
      </c>
      <c r="E13294">
        <v>50</v>
      </c>
      <c r="F13294">
        <v>10</v>
      </c>
    </row>
    <row r="13295" s="76" customFormat="1" spans="1:6">
      <c r="A13295">
        <v>13630</v>
      </c>
      <c r="B13295">
        <v>642015260</v>
      </c>
      <c r="C13295">
        <v>2015</v>
      </c>
      <c r="D13295" t="s">
        <v>34</v>
      </c>
      <c r="E13295">
        <v>66</v>
      </c>
      <c r="F13295">
        <v>9.9</v>
      </c>
    </row>
    <row r="13296" s="76" customFormat="1" spans="1:6">
      <c r="A13296">
        <v>13645</v>
      </c>
      <c r="B13296">
        <v>642015260</v>
      </c>
      <c r="C13296">
        <v>2015</v>
      </c>
      <c r="D13296" t="s">
        <v>34</v>
      </c>
      <c r="E13296">
        <v>25</v>
      </c>
      <c r="F13296">
        <v>5</v>
      </c>
    </row>
    <row r="13297" s="76" customFormat="1" spans="1:6">
      <c r="A13297">
        <v>13647</v>
      </c>
      <c r="B13297">
        <v>642015260</v>
      </c>
      <c r="C13297">
        <v>2015</v>
      </c>
      <c r="D13297" t="s">
        <v>34</v>
      </c>
      <c r="E13297">
        <v>25</v>
      </c>
      <c r="F13297">
        <v>5</v>
      </c>
    </row>
    <row r="13298" s="76" customFormat="1" spans="1:6">
      <c r="A13298">
        <v>13649</v>
      </c>
      <c r="B13298">
        <v>642015260</v>
      </c>
      <c r="C13298">
        <v>2015</v>
      </c>
      <c r="D13298" t="s">
        <v>34</v>
      </c>
      <c r="E13298">
        <v>25</v>
      </c>
      <c r="F13298">
        <v>5</v>
      </c>
    </row>
    <row r="13299" s="76" customFormat="1" spans="1:6">
      <c r="A13299">
        <v>13650</v>
      </c>
      <c r="B13299">
        <v>642015260</v>
      </c>
      <c r="C13299">
        <v>2015</v>
      </c>
      <c r="D13299" t="s">
        <v>34</v>
      </c>
      <c r="E13299">
        <v>25</v>
      </c>
      <c r="F13299">
        <v>5</v>
      </c>
    </row>
    <row r="13300" s="76" customFormat="1" spans="1:6">
      <c r="A13300">
        <v>13637</v>
      </c>
      <c r="B13300">
        <v>642015260</v>
      </c>
      <c r="C13300">
        <v>2015</v>
      </c>
      <c r="D13300" t="s">
        <v>34</v>
      </c>
      <c r="E13300">
        <v>25</v>
      </c>
      <c r="F13300">
        <v>5</v>
      </c>
    </row>
    <row r="13301" s="76" customFormat="1" spans="1:6">
      <c r="A13301">
        <v>13641</v>
      </c>
      <c r="B13301">
        <v>642015260</v>
      </c>
      <c r="C13301">
        <v>2015</v>
      </c>
      <c r="D13301" t="s">
        <v>34</v>
      </c>
      <c r="E13301">
        <v>25</v>
      </c>
      <c r="F13301">
        <v>5</v>
      </c>
    </row>
    <row r="13302" s="76" customFormat="1" spans="1:6">
      <c r="A13302">
        <v>13639</v>
      </c>
      <c r="B13302">
        <v>642015260</v>
      </c>
      <c r="C13302">
        <v>2015</v>
      </c>
      <c r="D13302" t="s">
        <v>34</v>
      </c>
      <c r="E13302">
        <v>25</v>
      </c>
      <c r="F13302">
        <v>5</v>
      </c>
    </row>
    <row r="13303" s="76" customFormat="1" spans="1:6">
      <c r="A13303">
        <v>13642</v>
      </c>
      <c r="B13303">
        <v>642015260</v>
      </c>
      <c r="C13303">
        <v>2015</v>
      </c>
      <c r="D13303" t="s">
        <v>34</v>
      </c>
      <c r="E13303">
        <v>25</v>
      </c>
      <c r="F13303">
        <v>5</v>
      </c>
    </row>
    <row r="13304" s="76" customFormat="1" spans="1:6">
      <c r="A13304">
        <v>13638</v>
      </c>
      <c r="B13304">
        <v>642015260</v>
      </c>
      <c r="C13304">
        <v>2015</v>
      </c>
      <c r="D13304" t="s">
        <v>34</v>
      </c>
      <c r="E13304">
        <v>25</v>
      </c>
      <c r="F13304">
        <v>5</v>
      </c>
    </row>
    <row r="13305" s="76" customFormat="1" spans="1:6">
      <c r="A13305">
        <v>13644</v>
      </c>
      <c r="B13305">
        <v>642015260</v>
      </c>
      <c r="C13305">
        <v>2015</v>
      </c>
      <c r="D13305" t="s">
        <v>34</v>
      </c>
      <c r="E13305">
        <v>25</v>
      </c>
      <c r="F13305">
        <v>5</v>
      </c>
    </row>
    <row r="13306" s="76" customFormat="1" spans="1:6">
      <c r="A13306">
        <v>13640</v>
      </c>
      <c r="B13306">
        <v>642015260</v>
      </c>
      <c r="C13306">
        <v>2015</v>
      </c>
      <c r="D13306" t="s">
        <v>34</v>
      </c>
      <c r="E13306">
        <v>25</v>
      </c>
      <c r="F13306">
        <v>5</v>
      </c>
    </row>
    <row r="13307" s="76" customFormat="1" spans="1:6">
      <c r="A13307">
        <v>13659</v>
      </c>
      <c r="B13307">
        <v>642015260</v>
      </c>
      <c r="C13307">
        <v>2015</v>
      </c>
      <c r="D13307" t="s">
        <v>34</v>
      </c>
      <c r="E13307" t="s">
        <v>32</v>
      </c>
      <c r="F13307">
        <v>4.8</v>
      </c>
    </row>
    <row r="13308" s="76" customFormat="1" spans="1:6">
      <c r="A13308">
        <v>13661</v>
      </c>
      <c r="B13308">
        <v>642015260</v>
      </c>
      <c r="C13308">
        <v>2015</v>
      </c>
      <c r="D13308" t="s">
        <v>34</v>
      </c>
      <c r="E13308" t="s">
        <v>32</v>
      </c>
      <c r="F13308">
        <v>4.95</v>
      </c>
    </row>
    <row r="13309" s="76" customFormat="1" spans="1:6">
      <c r="A13309">
        <v>13675</v>
      </c>
      <c r="B13309">
        <v>642015260</v>
      </c>
      <c r="C13309">
        <v>2015</v>
      </c>
      <c r="D13309" t="s">
        <v>34</v>
      </c>
      <c r="E13309" t="s">
        <v>32</v>
      </c>
      <c r="F13309">
        <v>9.9</v>
      </c>
    </row>
    <row r="13310" s="76" customFormat="1" spans="1:6">
      <c r="A13310">
        <v>13652</v>
      </c>
      <c r="B13310">
        <v>642015260</v>
      </c>
      <c r="C13310">
        <v>2015</v>
      </c>
      <c r="D13310" t="s">
        <v>34</v>
      </c>
      <c r="E13310" t="s">
        <v>32</v>
      </c>
      <c r="F13310">
        <v>4.95</v>
      </c>
    </row>
    <row r="13311" s="76" customFormat="1" spans="1:6">
      <c r="A13311">
        <v>13624</v>
      </c>
      <c r="B13311">
        <v>642015260</v>
      </c>
      <c r="C13311">
        <v>2015</v>
      </c>
      <c r="D13311" t="s">
        <v>34</v>
      </c>
      <c r="E13311">
        <v>33</v>
      </c>
      <c r="F13311">
        <v>4.95</v>
      </c>
    </row>
    <row r="13312" s="76" customFormat="1" spans="1:6">
      <c r="A13312">
        <v>13623</v>
      </c>
      <c r="B13312">
        <v>642015260</v>
      </c>
      <c r="C13312">
        <v>2015</v>
      </c>
      <c r="D13312" t="s">
        <v>34</v>
      </c>
      <c r="E13312">
        <v>33</v>
      </c>
      <c r="F13312">
        <v>4.95</v>
      </c>
    </row>
    <row r="13313" s="76" customFormat="1" spans="1:6">
      <c r="A13313">
        <v>13674</v>
      </c>
      <c r="B13313">
        <v>642015260</v>
      </c>
      <c r="C13313">
        <v>2015</v>
      </c>
      <c r="D13313" t="s">
        <v>34</v>
      </c>
      <c r="E13313" t="s">
        <v>32</v>
      </c>
      <c r="F13313">
        <v>4.95</v>
      </c>
    </row>
    <row r="13314" s="76" customFormat="1" spans="1:6">
      <c r="A13314">
        <v>13656</v>
      </c>
      <c r="B13314">
        <v>642015260</v>
      </c>
      <c r="C13314">
        <v>2015</v>
      </c>
      <c r="D13314" t="s">
        <v>34</v>
      </c>
      <c r="E13314">
        <v>1</v>
      </c>
      <c r="F13314">
        <v>4.95</v>
      </c>
    </row>
    <row r="13315" s="76" customFormat="1" spans="1:6">
      <c r="A13315">
        <v>13666</v>
      </c>
      <c r="B13315">
        <v>642015260</v>
      </c>
      <c r="C13315">
        <v>2015</v>
      </c>
      <c r="D13315" t="s">
        <v>34</v>
      </c>
      <c r="E13315" t="s">
        <v>32</v>
      </c>
      <c r="F13315">
        <v>4.95</v>
      </c>
    </row>
    <row r="13316" s="76" customFormat="1" spans="1:6">
      <c r="A13316">
        <v>13668</v>
      </c>
      <c r="B13316">
        <v>642015260</v>
      </c>
      <c r="C13316">
        <v>2015</v>
      </c>
      <c r="D13316" t="s">
        <v>34</v>
      </c>
      <c r="E13316" t="s">
        <v>32</v>
      </c>
      <c r="F13316">
        <v>4.95</v>
      </c>
    </row>
    <row r="13317" s="76" customFormat="1" spans="1:6">
      <c r="A13317">
        <v>13682</v>
      </c>
      <c r="B13317">
        <v>642015270</v>
      </c>
      <c r="C13317">
        <v>2015</v>
      </c>
      <c r="D13317" t="s">
        <v>31</v>
      </c>
      <c r="E13317" t="s">
        <v>32</v>
      </c>
      <c r="F13317">
        <v>8.4</v>
      </c>
    </row>
    <row r="13318" s="76" customFormat="1" spans="1:6">
      <c r="A13318">
        <v>13680</v>
      </c>
      <c r="B13318">
        <v>642015270</v>
      </c>
      <c r="C13318">
        <v>2015</v>
      </c>
      <c r="D13318" t="s">
        <v>31</v>
      </c>
      <c r="E13318" t="s">
        <v>32</v>
      </c>
      <c r="F13318">
        <v>2.07</v>
      </c>
    </row>
    <row r="13319" s="76" customFormat="1" spans="1:6">
      <c r="A13319">
        <v>13700</v>
      </c>
      <c r="B13319">
        <v>642015270</v>
      </c>
      <c r="C13319">
        <v>2015</v>
      </c>
      <c r="D13319" t="s">
        <v>31</v>
      </c>
      <c r="E13319">
        <v>1</v>
      </c>
      <c r="F13319">
        <v>3</v>
      </c>
    </row>
    <row r="13320" s="76" customFormat="1" spans="1:6">
      <c r="A13320">
        <v>13709</v>
      </c>
      <c r="B13320">
        <v>642015270</v>
      </c>
      <c r="C13320">
        <v>2015</v>
      </c>
      <c r="D13320" t="s">
        <v>31</v>
      </c>
      <c r="E13320" t="s">
        <v>32</v>
      </c>
      <c r="F13320">
        <v>5</v>
      </c>
    </row>
    <row r="13321" s="76" customFormat="1" spans="1:6">
      <c r="A13321">
        <v>13710</v>
      </c>
      <c r="B13321">
        <v>642015270</v>
      </c>
      <c r="C13321">
        <v>2015</v>
      </c>
      <c r="D13321" t="s">
        <v>31</v>
      </c>
      <c r="E13321" t="s">
        <v>32</v>
      </c>
      <c r="F13321">
        <v>10</v>
      </c>
    </row>
    <row r="13322" s="76" customFormat="1" spans="1:6">
      <c r="A13322">
        <v>13685</v>
      </c>
      <c r="B13322">
        <v>642015270</v>
      </c>
      <c r="C13322">
        <v>2015</v>
      </c>
      <c r="D13322" t="s">
        <v>31</v>
      </c>
      <c r="E13322">
        <v>1</v>
      </c>
      <c r="F13322">
        <v>2</v>
      </c>
    </row>
    <row r="13323" s="76" customFormat="1" spans="1:6">
      <c r="A13323">
        <v>13678</v>
      </c>
      <c r="B13323">
        <v>642015270</v>
      </c>
      <c r="C13323">
        <v>2015</v>
      </c>
      <c r="D13323" t="s">
        <v>31</v>
      </c>
      <c r="E13323" t="s">
        <v>32</v>
      </c>
      <c r="F13323">
        <v>2.8</v>
      </c>
    </row>
    <row r="13324" s="76" customFormat="1" spans="1:6">
      <c r="A13324">
        <v>13677</v>
      </c>
      <c r="B13324">
        <v>642015270</v>
      </c>
      <c r="C13324">
        <v>2015</v>
      </c>
      <c r="D13324" t="s">
        <v>31</v>
      </c>
      <c r="E13324" t="s">
        <v>32</v>
      </c>
      <c r="F13324">
        <v>2</v>
      </c>
    </row>
    <row r="13325" s="76" customFormat="1" spans="1:6">
      <c r="A13325">
        <v>13679</v>
      </c>
      <c r="B13325">
        <v>642015270</v>
      </c>
      <c r="C13325">
        <v>2015</v>
      </c>
      <c r="D13325" t="s">
        <v>31</v>
      </c>
      <c r="E13325" t="s">
        <v>32</v>
      </c>
      <c r="F13325">
        <v>6</v>
      </c>
    </row>
    <row r="13326" s="76" customFormat="1" spans="1:6">
      <c r="A13326">
        <v>13681</v>
      </c>
      <c r="B13326">
        <v>642015270</v>
      </c>
      <c r="C13326">
        <v>2015</v>
      </c>
      <c r="D13326" t="s">
        <v>31</v>
      </c>
      <c r="E13326" t="s">
        <v>32</v>
      </c>
      <c r="F13326">
        <v>2</v>
      </c>
    </row>
    <row r="13327" s="76" customFormat="1" spans="1:6">
      <c r="A13327">
        <v>13688</v>
      </c>
      <c r="B13327">
        <v>642015270</v>
      </c>
      <c r="C13327">
        <v>2015</v>
      </c>
      <c r="D13327" t="s">
        <v>31</v>
      </c>
      <c r="E13327">
        <v>1</v>
      </c>
      <c r="F13327">
        <v>10</v>
      </c>
    </row>
    <row r="13328" s="76" customFormat="1" spans="1:6">
      <c r="A13328">
        <v>13689</v>
      </c>
      <c r="B13328">
        <v>642015270</v>
      </c>
      <c r="C13328">
        <v>2015</v>
      </c>
      <c r="D13328" t="s">
        <v>31</v>
      </c>
      <c r="E13328">
        <v>1</v>
      </c>
      <c r="F13328">
        <v>3</v>
      </c>
    </row>
    <row r="13329" s="76" customFormat="1" spans="1:6">
      <c r="A13329">
        <v>13686</v>
      </c>
      <c r="B13329">
        <v>642015270</v>
      </c>
      <c r="C13329">
        <v>2015</v>
      </c>
      <c r="D13329" t="s">
        <v>31</v>
      </c>
      <c r="E13329">
        <v>1</v>
      </c>
      <c r="F13329">
        <v>1</v>
      </c>
    </row>
    <row r="13330" s="76" customFormat="1" spans="1:6">
      <c r="A13330">
        <v>13690</v>
      </c>
      <c r="B13330">
        <v>642015270</v>
      </c>
      <c r="C13330">
        <v>2015</v>
      </c>
      <c r="D13330" t="s">
        <v>31</v>
      </c>
      <c r="E13330">
        <v>1</v>
      </c>
      <c r="F13330">
        <v>1</v>
      </c>
    </row>
    <row r="13331" s="76" customFormat="1" spans="1:6">
      <c r="A13331">
        <v>13691</v>
      </c>
      <c r="B13331">
        <v>642015270</v>
      </c>
      <c r="C13331">
        <v>2015</v>
      </c>
      <c r="D13331" t="s">
        <v>31</v>
      </c>
      <c r="E13331">
        <v>1</v>
      </c>
      <c r="F13331">
        <v>2</v>
      </c>
    </row>
    <row r="13332" s="76" customFormat="1" spans="1:6">
      <c r="A13332">
        <v>13711</v>
      </c>
      <c r="B13332">
        <v>642015270</v>
      </c>
      <c r="C13332">
        <v>2015</v>
      </c>
      <c r="D13332" t="s">
        <v>31</v>
      </c>
      <c r="E13332" t="s">
        <v>32</v>
      </c>
      <c r="F13332">
        <v>4</v>
      </c>
    </row>
    <row r="13333" s="76" customFormat="1" spans="1:6">
      <c r="A13333">
        <v>13694</v>
      </c>
      <c r="B13333">
        <v>642015270</v>
      </c>
      <c r="C13333">
        <v>2015</v>
      </c>
      <c r="D13333" t="s">
        <v>31</v>
      </c>
      <c r="E13333" t="s">
        <v>32</v>
      </c>
      <c r="F13333">
        <v>2</v>
      </c>
    </row>
    <row r="13334" s="76" customFormat="1" spans="1:6">
      <c r="A13334">
        <v>13693</v>
      </c>
      <c r="B13334">
        <v>642015270</v>
      </c>
      <c r="C13334">
        <v>2015</v>
      </c>
      <c r="D13334" t="s">
        <v>31</v>
      </c>
      <c r="E13334" t="s">
        <v>32</v>
      </c>
      <c r="F13334">
        <v>2</v>
      </c>
    </row>
    <row r="13335" s="76" customFormat="1" spans="1:6">
      <c r="A13335">
        <v>13706</v>
      </c>
      <c r="B13335">
        <v>642015270</v>
      </c>
      <c r="C13335">
        <v>2015</v>
      </c>
      <c r="D13335" t="s">
        <v>31</v>
      </c>
      <c r="E13335" t="s">
        <v>32</v>
      </c>
      <c r="F13335">
        <v>3</v>
      </c>
    </row>
    <row r="13336" s="76" customFormat="1" spans="1:6">
      <c r="A13336">
        <v>13687</v>
      </c>
      <c r="B13336">
        <v>642015270</v>
      </c>
      <c r="C13336">
        <v>2015</v>
      </c>
      <c r="D13336" t="s">
        <v>31</v>
      </c>
      <c r="E13336">
        <v>1</v>
      </c>
      <c r="F13336">
        <v>2</v>
      </c>
    </row>
    <row r="13337" s="76" customFormat="1" spans="1:6">
      <c r="A13337">
        <v>13696</v>
      </c>
      <c r="B13337">
        <v>642015270</v>
      </c>
      <c r="C13337">
        <v>2015</v>
      </c>
      <c r="D13337" t="s">
        <v>31</v>
      </c>
      <c r="E13337" t="s">
        <v>32</v>
      </c>
      <c r="F13337">
        <v>1</v>
      </c>
    </row>
    <row r="13338" s="76" customFormat="1" spans="1:6">
      <c r="A13338">
        <v>13712</v>
      </c>
      <c r="B13338">
        <v>642015270</v>
      </c>
      <c r="C13338">
        <v>2015</v>
      </c>
      <c r="D13338" t="s">
        <v>31</v>
      </c>
      <c r="E13338" t="s">
        <v>32</v>
      </c>
      <c r="F13338">
        <v>3</v>
      </c>
    </row>
    <row r="13339" s="76" customFormat="1" spans="1:6">
      <c r="A13339">
        <v>13698</v>
      </c>
      <c r="B13339">
        <v>642015270</v>
      </c>
      <c r="C13339">
        <v>2015</v>
      </c>
      <c r="D13339" t="s">
        <v>31</v>
      </c>
      <c r="E13339" t="s">
        <v>32</v>
      </c>
      <c r="F13339">
        <v>1</v>
      </c>
    </row>
    <row r="13340" s="76" customFormat="1" spans="1:6">
      <c r="A13340">
        <v>13699</v>
      </c>
      <c r="B13340">
        <v>642015270</v>
      </c>
      <c r="C13340">
        <v>2015</v>
      </c>
      <c r="D13340" t="s">
        <v>31</v>
      </c>
      <c r="E13340" t="s">
        <v>32</v>
      </c>
      <c r="F13340">
        <v>5</v>
      </c>
    </row>
    <row r="13341" s="76" customFormat="1" spans="1:6">
      <c r="A13341">
        <v>13708</v>
      </c>
      <c r="B13341">
        <v>642015270</v>
      </c>
      <c r="C13341">
        <v>2015</v>
      </c>
      <c r="D13341" t="s">
        <v>31</v>
      </c>
      <c r="E13341" t="s">
        <v>32</v>
      </c>
      <c r="F13341">
        <v>13</v>
      </c>
    </row>
    <row r="13342" s="76" customFormat="1" spans="1:6">
      <c r="A13342">
        <v>13707</v>
      </c>
      <c r="B13342">
        <v>642015270</v>
      </c>
      <c r="C13342">
        <v>2015</v>
      </c>
      <c r="D13342" t="s">
        <v>31</v>
      </c>
      <c r="E13342" t="s">
        <v>32</v>
      </c>
      <c r="F13342">
        <v>3</v>
      </c>
    </row>
    <row r="13343" s="76" customFormat="1" spans="1:6">
      <c r="A13343">
        <v>13697</v>
      </c>
      <c r="B13343">
        <v>642015270</v>
      </c>
      <c r="C13343">
        <v>2015</v>
      </c>
      <c r="D13343" t="s">
        <v>31</v>
      </c>
      <c r="E13343" t="s">
        <v>32</v>
      </c>
      <c r="F13343">
        <v>3</v>
      </c>
    </row>
    <row r="13344" s="76" customFormat="1" spans="1:6">
      <c r="A13344">
        <v>13695</v>
      </c>
      <c r="B13344">
        <v>642015270</v>
      </c>
      <c r="C13344">
        <v>2015</v>
      </c>
      <c r="D13344" t="s">
        <v>31</v>
      </c>
      <c r="E13344" t="s">
        <v>32</v>
      </c>
      <c r="F13344">
        <v>3</v>
      </c>
    </row>
    <row r="13345" s="76" customFormat="1" spans="1:6">
      <c r="A13345">
        <v>13692</v>
      </c>
      <c r="B13345">
        <v>642015270</v>
      </c>
      <c r="C13345">
        <v>2015</v>
      </c>
      <c r="D13345" t="s">
        <v>31</v>
      </c>
      <c r="E13345">
        <v>1</v>
      </c>
      <c r="F13345">
        <v>3</v>
      </c>
    </row>
    <row r="13346" s="76" customFormat="1" spans="1:6">
      <c r="A13346">
        <v>13684</v>
      </c>
      <c r="B13346">
        <v>642015270</v>
      </c>
      <c r="C13346">
        <v>2015</v>
      </c>
      <c r="D13346" t="s">
        <v>31</v>
      </c>
      <c r="E13346">
        <v>1</v>
      </c>
      <c r="F13346">
        <v>1</v>
      </c>
    </row>
    <row r="13347" s="76" customFormat="1" spans="1:6">
      <c r="A13347">
        <v>13683</v>
      </c>
      <c r="B13347">
        <v>642015270</v>
      </c>
      <c r="C13347">
        <v>2015</v>
      </c>
      <c r="D13347" t="s">
        <v>31</v>
      </c>
      <c r="E13347">
        <v>1</v>
      </c>
      <c r="F13347">
        <v>2</v>
      </c>
    </row>
    <row r="13348" s="76" customFormat="1" spans="1:6">
      <c r="A13348">
        <v>13704</v>
      </c>
      <c r="B13348">
        <v>642015270</v>
      </c>
      <c r="C13348">
        <v>2015</v>
      </c>
      <c r="D13348" t="s">
        <v>31</v>
      </c>
      <c r="E13348" t="s">
        <v>32</v>
      </c>
      <c r="F13348">
        <v>5</v>
      </c>
    </row>
    <row r="13349" s="76" customFormat="1" spans="1:6">
      <c r="A13349">
        <v>13702</v>
      </c>
      <c r="B13349">
        <v>642015270</v>
      </c>
      <c r="C13349">
        <v>2015</v>
      </c>
      <c r="D13349" t="s">
        <v>31</v>
      </c>
      <c r="E13349" t="s">
        <v>32</v>
      </c>
      <c r="F13349">
        <v>5</v>
      </c>
    </row>
    <row r="13350" s="76" customFormat="1" spans="1:6">
      <c r="A13350">
        <v>13705</v>
      </c>
      <c r="B13350">
        <v>642015270</v>
      </c>
      <c r="C13350">
        <v>2015</v>
      </c>
      <c r="D13350" t="s">
        <v>31</v>
      </c>
      <c r="E13350" t="s">
        <v>32</v>
      </c>
      <c r="F13350">
        <v>5</v>
      </c>
    </row>
    <row r="13351" s="76" customFormat="1" spans="1:6">
      <c r="A13351">
        <v>13703</v>
      </c>
      <c r="B13351">
        <v>642015270</v>
      </c>
      <c r="C13351">
        <v>2015</v>
      </c>
      <c r="D13351" t="s">
        <v>31</v>
      </c>
      <c r="E13351" t="s">
        <v>32</v>
      </c>
      <c r="F13351">
        <v>3</v>
      </c>
    </row>
    <row r="13352" s="76" customFormat="1" spans="1:6">
      <c r="A13352">
        <v>13701</v>
      </c>
      <c r="B13352">
        <v>642015270</v>
      </c>
      <c r="C13352">
        <v>2015</v>
      </c>
      <c r="D13352" t="s">
        <v>31</v>
      </c>
      <c r="E13352" t="s">
        <v>32</v>
      </c>
      <c r="F13352">
        <v>5</v>
      </c>
    </row>
    <row r="13353" s="76" customFormat="1" spans="1:6">
      <c r="A13353">
        <v>13714</v>
      </c>
      <c r="B13353">
        <v>642016211</v>
      </c>
      <c r="C13353" s="76">
        <v>2016</v>
      </c>
      <c r="D13353" s="76" t="s">
        <v>37</v>
      </c>
      <c r="E13353" s="76">
        <v>1</v>
      </c>
      <c r="F13353" s="76">
        <v>35</v>
      </c>
    </row>
    <row r="13354" s="76" customFormat="1" spans="1:6">
      <c r="A13354">
        <v>13713</v>
      </c>
      <c r="B13354">
        <v>642016211</v>
      </c>
      <c r="C13354" s="76">
        <v>2016</v>
      </c>
      <c r="D13354" s="76" t="s">
        <v>37</v>
      </c>
      <c r="E13354" s="76">
        <v>2</v>
      </c>
      <c r="F13354" s="76">
        <v>70</v>
      </c>
    </row>
    <row r="13355" s="76" customFormat="1" spans="1:6">
      <c r="A13355">
        <v>13715</v>
      </c>
      <c r="B13355">
        <v>642016211</v>
      </c>
      <c r="C13355" s="76">
        <v>2016</v>
      </c>
      <c r="D13355" s="76" t="s">
        <v>37</v>
      </c>
      <c r="E13355" s="76">
        <v>2</v>
      </c>
      <c r="F13355" s="76">
        <v>70</v>
      </c>
    </row>
    <row r="13356" s="76" customFormat="1" spans="1:6">
      <c r="A13356">
        <v>13716</v>
      </c>
      <c r="B13356">
        <v>642016241</v>
      </c>
      <c r="C13356" s="76">
        <v>2016</v>
      </c>
      <c r="D13356" s="76" t="s">
        <v>33</v>
      </c>
      <c r="E13356" s="76" t="s">
        <v>32</v>
      </c>
      <c r="F13356" s="76">
        <v>5</v>
      </c>
    </row>
    <row r="13357" s="76" customFormat="1" spans="1:6">
      <c r="A13357">
        <v>13718</v>
      </c>
      <c r="B13357">
        <v>642016260</v>
      </c>
      <c r="C13357" s="76">
        <v>2016</v>
      </c>
      <c r="D13357" s="76" t="s">
        <v>34</v>
      </c>
      <c r="E13357" s="76">
        <v>24</v>
      </c>
      <c r="F13357" s="76">
        <v>4.8</v>
      </c>
    </row>
    <row r="13358" s="76" customFormat="1" spans="1:6">
      <c r="A13358">
        <v>13731</v>
      </c>
      <c r="B13358">
        <v>642016260</v>
      </c>
      <c r="C13358" s="76">
        <v>2016</v>
      </c>
      <c r="D13358" s="76" t="s">
        <v>34</v>
      </c>
      <c r="E13358" s="76" t="s">
        <v>32</v>
      </c>
      <c r="F13358" s="76">
        <v>10</v>
      </c>
    </row>
    <row r="13359" s="76" customFormat="1" spans="1:6">
      <c r="A13359">
        <v>13719</v>
      </c>
      <c r="B13359">
        <v>642016260</v>
      </c>
      <c r="C13359" s="76">
        <v>2016</v>
      </c>
      <c r="D13359" s="76" t="s">
        <v>34</v>
      </c>
      <c r="E13359" s="76">
        <v>52</v>
      </c>
      <c r="F13359" s="76">
        <v>10.4</v>
      </c>
    </row>
    <row r="13360" s="76" customFormat="1" spans="1:6">
      <c r="A13360">
        <v>13729</v>
      </c>
      <c r="B13360">
        <v>642016260</v>
      </c>
      <c r="C13360" s="76">
        <v>2016</v>
      </c>
      <c r="D13360" s="76" t="s">
        <v>34</v>
      </c>
      <c r="E13360" s="76" t="s">
        <v>32</v>
      </c>
      <c r="F13360" s="76">
        <v>15</v>
      </c>
    </row>
    <row r="13361" s="76" customFormat="1" spans="1:6">
      <c r="A13361">
        <v>13727</v>
      </c>
      <c r="B13361">
        <v>642016260</v>
      </c>
      <c r="C13361" s="76">
        <v>2016</v>
      </c>
      <c r="D13361" s="76" t="s">
        <v>34</v>
      </c>
      <c r="E13361" s="76">
        <v>50</v>
      </c>
      <c r="F13361" s="76">
        <v>10</v>
      </c>
    </row>
    <row r="13362" s="76" customFormat="1" spans="1:6">
      <c r="A13362">
        <v>13720</v>
      </c>
      <c r="B13362">
        <v>642016260</v>
      </c>
      <c r="C13362" s="76">
        <v>2016</v>
      </c>
      <c r="D13362" s="76" t="s">
        <v>34</v>
      </c>
      <c r="E13362" s="76">
        <v>25</v>
      </c>
      <c r="F13362" s="76">
        <v>4.95</v>
      </c>
    </row>
    <row r="13363" s="76" customFormat="1" spans="1:6">
      <c r="A13363">
        <v>13717</v>
      </c>
      <c r="B13363">
        <v>642016260</v>
      </c>
      <c r="C13363" s="76">
        <v>2016</v>
      </c>
      <c r="D13363" s="76" t="s">
        <v>34</v>
      </c>
      <c r="E13363" s="76" t="s">
        <v>32</v>
      </c>
      <c r="F13363" s="76">
        <v>2.95</v>
      </c>
    </row>
    <row r="13364" s="76" customFormat="1" spans="1:6">
      <c r="A13364">
        <v>13721</v>
      </c>
      <c r="B13364">
        <v>642016260</v>
      </c>
      <c r="C13364" s="76">
        <v>2016</v>
      </c>
      <c r="D13364" s="76" t="s">
        <v>34</v>
      </c>
      <c r="E13364" s="76">
        <v>33</v>
      </c>
      <c r="F13364" s="76">
        <v>4.95</v>
      </c>
    </row>
    <row r="13365" s="76" customFormat="1" spans="1:6">
      <c r="A13365">
        <v>13722</v>
      </c>
      <c r="B13365">
        <v>642016260</v>
      </c>
      <c r="C13365" s="76">
        <v>2016</v>
      </c>
      <c r="D13365" s="76" t="s">
        <v>34</v>
      </c>
      <c r="E13365" s="76">
        <v>33</v>
      </c>
      <c r="F13365" s="76">
        <v>4.95</v>
      </c>
    </row>
    <row r="13366" s="76" customFormat="1" spans="1:6">
      <c r="A13366">
        <v>13723</v>
      </c>
      <c r="B13366">
        <v>642016260</v>
      </c>
      <c r="C13366" s="76">
        <v>2016</v>
      </c>
      <c r="D13366" s="76" t="s">
        <v>34</v>
      </c>
      <c r="E13366" s="76">
        <v>33</v>
      </c>
      <c r="F13366" s="76">
        <v>4.95</v>
      </c>
    </row>
    <row r="13367" s="76" customFormat="1" spans="1:6">
      <c r="A13367">
        <v>13724</v>
      </c>
      <c r="B13367">
        <v>642016260</v>
      </c>
      <c r="C13367" s="76">
        <v>2016</v>
      </c>
      <c r="D13367" s="76" t="s">
        <v>34</v>
      </c>
      <c r="E13367" s="76">
        <v>33</v>
      </c>
      <c r="F13367" s="76">
        <v>4.95</v>
      </c>
    </row>
    <row r="13368" s="76" customFormat="1" spans="1:6">
      <c r="A13368">
        <v>13725</v>
      </c>
      <c r="B13368">
        <v>642016260</v>
      </c>
      <c r="C13368" s="76">
        <v>2016</v>
      </c>
      <c r="D13368" s="76" t="s">
        <v>34</v>
      </c>
      <c r="E13368" s="76">
        <v>75</v>
      </c>
      <c r="F13368" s="76">
        <v>15</v>
      </c>
    </row>
    <row r="13369" s="76" customFormat="1" spans="1:6">
      <c r="A13369">
        <v>13734</v>
      </c>
      <c r="B13369">
        <v>642016260</v>
      </c>
      <c r="C13369" s="76">
        <v>2016</v>
      </c>
      <c r="D13369" s="76" t="s">
        <v>34</v>
      </c>
      <c r="E13369" s="76" t="s">
        <v>32</v>
      </c>
      <c r="F13369" s="76">
        <v>30</v>
      </c>
    </row>
    <row r="13370" s="76" customFormat="1" spans="1:6">
      <c r="A13370">
        <v>13732</v>
      </c>
      <c r="B13370">
        <v>642016260</v>
      </c>
      <c r="C13370" s="76">
        <v>2016</v>
      </c>
      <c r="D13370" s="76" t="s">
        <v>34</v>
      </c>
      <c r="E13370" s="76" t="s">
        <v>32</v>
      </c>
      <c r="F13370" s="76">
        <v>9.6</v>
      </c>
    </row>
    <row r="13371" s="76" customFormat="1" spans="1:6">
      <c r="A13371">
        <v>13726</v>
      </c>
      <c r="B13371">
        <v>642016260</v>
      </c>
      <c r="C13371" s="76">
        <v>2016</v>
      </c>
      <c r="D13371" s="76" t="s">
        <v>34</v>
      </c>
      <c r="E13371" s="76" t="s">
        <v>32</v>
      </c>
      <c r="F13371" s="76">
        <v>10</v>
      </c>
    </row>
    <row r="13372" s="76" customFormat="1" spans="1:6">
      <c r="A13372">
        <v>13730</v>
      </c>
      <c r="B13372">
        <v>642016260</v>
      </c>
      <c r="C13372" s="76">
        <v>2016</v>
      </c>
      <c r="D13372" s="76" t="s">
        <v>34</v>
      </c>
      <c r="E13372" s="76" t="s">
        <v>32</v>
      </c>
      <c r="F13372" s="76">
        <v>20</v>
      </c>
    </row>
    <row r="13373" s="76" customFormat="1" spans="1:6">
      <c r="A13373">
        <v>13733</v>
      </c>
      <c r="B13373">
        <v>642016260</v>
      </c>
      <c r="C13373" s="76">
        <v>2016</v>
      </c>
      <c r="D13373" s="76" t="s">
        <v>34</v>
      </c>
      <c r="E13373" s="76" t="s">
        <v>32</v>
      </c>
      <c r="F13373" s="76">
        <v>9.94</v>
      </c>
    </row>
    <row r="13374" s="76" customFormat="1" spans="1:6">
      <c r="A13374">
        <v>13728</v>
      </c>
      <c r="B13374">
        <v>642016260</v>
      </c>
      <c r="C13374" s="76">
        <v>2016</v>
      </c>
      <c r="D13374" s="76" t="s">
        <v>34</v>
      </c>
      <c r="E13374" s="76" t="s">
        <v>32</v>
      </c>
      <c r="F13374" s="76">
        <v>4.95</v>
      </c>
    </row>
    <row r="13375" s="76" customFormat="1" spans="1:6">
      <c r="A13375">
        <v>13736</v>
      </c>
      <c r="B13375">
        <v>642016270</v>
      </c>
      <c r="C13375" s="76">
        <v>2016</v>
      </c>
      <c r="D13375" s="76" t="s">
        <v>31</v>
      </c>
      <c r="E13375" s="76" t="s">
        <v>32</v>
      </c>
      <c r="F13375" s="76">
        <v>4.6</v>
      </c>
    </row>
    <row r="13376" s="76" customFormat="1" spans="1:6">
      <c r="A13376">
        <v>13753</v>
      </c>
      <c r="B13376">
        <v>642016270</v>
      </c>
      <c r="C13376" s="76">
        <v>2016</v>
      </c>
      <c r="D13376" s="76" t="s">
        <v>31</v>
      </c>
      <c r="E13376" s="76" t="s">
        <v>32</v>
      </c>
      <c r="F13376" s="76">
        <v>30</v>
      </c>
    </row>
    <row r="13377" s="76" customFormat="1" spans="1:6">
      <c r="A13377">
        <v>13757</v>
      </c>
      <c r="B13377">
        <v>642016270</v>
      </c>
      <c r="C13377" s="76">
        <v>2016</v>
      </c>
      <c r="D13377" s="76" t="s">
        <v>31</v>
      </c>
      <c r="E13377" s="76" t="s">
        <v>32</v>
      </c>
      <c r="F13377" s="76">
        <v>4</v>
      </c>
    </row>
    <row r="13378" s="76" customFormat="1" spans="1:6">
      <c r="A13378">
        <v>13752</v>
      </c>
      <c r="B13378">
        <v>642016270</v>
      </c>
      <c r="C13378" s="76">
        <v>2016</v>
      </c>
      <c r="D13378" s="76" t="s">
        <v>31</v>
      </c>
      <c r="E13378" s="76" t="s">
        <v>32</v>
      </c>
      <c r="F13378" s="76">
        <v>38</v>
      </c>
    </row>
    <row r="13379" s="76" customFormat="1" spans="1:6">
      <c r="A13379">
        <v>13737</v>
      </c>
      <c r="B13379">
        <v>642016270</v>
      </c>
      <c r="C13379" s="76">
        <v>2016</v>
      </c>
      <c r="D13379" s="76" t="s">
        <v>31</v>
      </c>
      <c r="E13379" s="76" t="s">
        <v>32</v>
      </c>
      <c r="F13379" s="76">
        <v>3</v>
      </c>
    </row>
    <row r="13380" s="76" customFormat="1" spans="1:6">
      <c r="A13380">
        <v>13747</v>
      </c>
      <c r="B13380">
        <v>642016270</v>
      </c>
      <c r="C13380" s="76">
        <v>2016</v>
      </c>
      <c r="D13380" s="76" t="s">
        <v>31</v>
      </c>
      <c r="E13380" s="76" t="s">
        <v>32</v>
      </c>
      <c r="F13380" s="76">
        <v>1</v>
      </c>
    </row>
    <row r="13381" s="76" customFormat="1" spans="1:6">
      <c r="A13381">
        <v>13735</v>
      </c>
      <c r="B13381">
        <v>642016270</v>
      </c>
      <c r="C13381" s="76">
        <v>2016</v>
      </c>
      <c r="D13381" s="76" t="s">
        <v>31</v>
      </c>
      <c r="E13381" s="76" t="s">
        <v>32</v>
      </c>
      <c r="F13381" s="76">
        <v>1</v>
      </c>
    </row>
    <row r="13382" s="76" customFormat="1" spans="1:6">
      <c r="A13382">
        <v>13743</v>
      </c>
      <c r="B13382">
        <v>642016270</v>
      </c>
      <c r="C13382" s="76">
        <v>2016</v>
      </c>
      <c r="D13382" s="76" t="s">
        <v>31</v>
      </c>
      <c r="E13382" s="76" t="s">
        <v>32</v>
      </c>
      <c r="F13382" s="76">
        <v>2</v>
      </c>
    </row>
    <row r="13383" s="76" customFormat="1" spans="1:6">
      <c r="A13383">
        <v>13756</v>
      </c>
      <c r="B13383">
        <v>642016270</v>
      </c>
      <c r="C13383" s="76">
        <v>2016</v>
      </c>
      <c r="D13383" s="76" t="s">
        <v>31</v>
      </c>
      <c r="E13383" s="76" t="s">
        <v>32</v>
      </c>
      <c r="F13383" s="76">
        <v>3</v>
      </c>
    </row>
    <row r="13384" s="76" customFormat="1" spans="1:6">
      <c r="A13384">
        <v>13755</v>
      </c>
      <c r="B13384">
        <v>642016270</v>
      </c>
      <c r="C13384" s="76">
        <v>2016</v>
      </c>
      <c r="D13384" s="76" t="s">
        <v>31</v>
      </c>
      <c r="E13384" s="76" t="s">
        <v>32</v>
      </c>
      <c r="F13384" s="76">
        <v>10</v>
      </c>
    </row>
    <row r="13385" s="76" customFormat="1" spans="1:6">
      <c r="A13385">
        <v>13746</v>
      </c>
      <c r="B13385">
        <v>642016270</v>
      </c>
      <c r="C13385" s="76">
        <v>2016</v>
      </c>
      <c r="D13385" s="76" t="s">
        <v>31</v>
      </c>
      <c r="E13385" s="76" t="s">
        <v>32</v>
      </c>
      <c r="F13385" s="76">
        <v>2</v>
      </c>
    </row>
    <row r="13386" s="76" customFormat="1" spans="1:6">
      <c r="A13386">
        <v>13745</v>
      </c>
      <c r="B13386">
        <v>642016270</v>
      </c>
      <c r="C13386" s="76">
        <v>2016</v>
      </c>
      <c r="D13386" s="76" t="s">
        <v>31</v>
      </c>
      <c r="E13386" s="76" t="s">
        <v>32</v>
      </c>
      <c r="F13386" s="76">
        <v>5</v>
      </c>
    </row>
    <row r="13387" s="76" customFormat="1" spans="1:6">
      <c r="A13387">
        <v>13744</v>
      </c>
      <c r="B13387">
        <v>642016270</v>
      </c>
      <c r="C13387" s="76">
        <v>2016</v>
      </c>
      <c r="D13387" s="76" t="s">
        <v>31</v>
      </c>
      <c r="E13387" s="76" t="s">
        <v>32</v>
      </c>
      <c r="F13387" s="76">
        <v>2</v>
      </c>
    </row>
    <row r="13388" s="76" customFormat="1" spans="1:6">
      <c r="A13388">
        <v>13738</v>
      </c>
      <c r="B13388">
        <v>642016270</v>
      </c>
      <c r="C13388" s="76">
        <v>2016</v>
      </c>
      <c r="D13388" s="76" t="s">
        <v>31</v>
      </c>
      <c r="E13388" s="76" t="s">
        <v>32</v>
      </c>
      <c r="F13388" s="76">
        <v>20</v>
      </c>
    </row>
    <row r="13389" s="76" customFormat="1" spans="1:6">
      <c r="A13389">
        <v>13758</v>
      </c>
      <c r="B13389">
        <v>642016270</v>
      </c>
      <c r="C13389" s="76">
        <v>2016</v>
      </c>
      <c r="D13389" s="76" t="s">
        <v>31</v>
      </c>
      <c r="E13389" s="76" t="s">
        <v>32</v>
      </c>
      <c r="F13389" s="76">
        <v>5</v>
      </c>
    </row>
    <row r="13390" s="76" customFormat="1" spans="1:6">
      <c r="A13390">
        <v>13754</v>
      </c>
      <c r="B13390">
        <v>642016270</v>
      </c>
      <c r="C13390" s="76">
        <v>2016</v>
      </c>
      <c r="D13390" s="76" t="s">
        <v>31</v>
      </c>
      <c r="E13390" s="76" t="s">
        <v>32</v>
      </c>
      <c r="F13390" s="76">
        <v>20</v>
      </c>
    </row>
    <row r="13391" s="76" customFormat="1" spans="1:6">
      <c r="A13391">
        <v>13749</v>
      </c>
      <c r="B13391">
        <v>642016270</v>
      </c>
      <c r="C13391" s="76">
        <v>2016</v>
      </c>
      <c r="D13391" s="76" t="s">
        <v>31</v>
      </c>
      <c r="E13391" s="76" t="s">
        <v>32</v>
      </c>
      <c r="F13391" s="76">
        <v>3</v>
      </c>
    </row>
    <row r="13392" s="76" customFormat="1" spans="1:6">
      <c r="A13392">
        <v>13751</v>
      </c>
      <c r="B13392">
        <v>642016270</v>
      </c>
      <c r="C13392" s="76">
        <v>2016</v>
      </c>
      <c r="D13392" s="76" t="s">
        <v>31</v>
      </c>
      <c r="E13392" s="76" t="s">
        <v>32</v>
      </c>
      <c r="F13392" s="76">
        <v>39</v>
      </c>
    </row>
    <row r="13393" s="76" customFormat="1" spans="1:6">
      <c r="A13393">
        <v>13750</v>
      </c>
      <c r="B13393">
        <v>642016270</v>
      </c>
      <c r="C13393" s="76">
        <v>2016</v>
      </c>
      <c r="D13393" s="76" t="s">
        <v>31</v>
      </c>
      <c r="E13393" s="76" t="s">
        <v>32</v>
      </c>
      <c r="F13393" s="76">
        <v>1</v>
      </c>
    </row>
    <row r="13394" s="76" customFormat="1" spans="1:6">
      <c r="A13394">
        <v>13739</v>
      </c>
      <c r="B13394">
        <v>642016270</v>
      </c>
      <c r="C13394" s="76">
        <v>2016</v>
      </c>
      <c r="D13394" s="76" t="s">
        <v>31</v>
      </c>
      <c r="E13394" s="76" t="s">
        <v>32</v>
      </c>
      <c r="F13394" s="76">
        <v>5</v>
      </c>
    </row>
    <row r="13395" s="76" customFormat="1" spans="1:6">
      <c r="A13395">
        <v>13759</v>
      </c>
      <c r="B13395">
        <v>642016270</v>
      </c>
      <c r="C13395" s="76">
        <v>2016</v>
      </c>
      <c r="D13395" s="76" t="s">
        <v>31</v>
      </c>
      <c r="E13395" s="76" t="s">
        <v>32</v>
      </c>
      <c r="F13395" s="76">
        <v>5</v>
      </c>
    </row>
    <row r="13396" s="76" customFormat="1" spans="1:6">
      <c r="A13396">
        <v>13741</v>
      </c>
      <c r="B13396">
        <v>642016270</v>
      </c>
      <c r="C13396" s="76">
        <v>2016</v>
      </c>
      <c r="D13396" s="76" t="s">
        <v>31</v>
      </c>
      <c r="E13396" s="76" t="s">
        <v>32</v>
      </c>
      <c r="F13396" s="76">
        <v>3</v>
      </c>
    </row>
    <row r="13397" s="76" customFormat="1" spans="1:6">
      <c r="A13397">
        <v>13740</v>
      </c>
      <c r="B13397">
        <v>642016270</v>
      </c>
      <c r="C13397" s="76">
        <v>2016</v>
      </c>
      <c r="D13397" s="76" t="s">
        <v>31</v>
      </c>
      <c r="E13397" s="76" t="s">
        <v>32</v>
      </c>
      <c r="F13397" s="76">
        <v>3</v>
      </c>
    </row>
    <row r="13398" s="76" customFormat="1" spans="1:6">
      <c r="A13398">
        <v>13748</v>
      </c>
      <c r="B13398">
        <v>642016270</v>
      </c>
      <c r="C13398" s="76">
        <v>2016</v>
      </c>
      <c r="D13398" s="76" t="s">
        <v>31</v>
      </c>
      <c r="E13398" s="76" t="s">
        <v>32</v>
      </c>
      <c r="F13398" s="76">
        <v>1</v>
      </c>
    </row>
    <row r="13399" s="76" customFormat="1" spans="1:6">
      <c r="A13399">
        <v>13742</v>
      </c>
      <c r="B13399">
        <v>642016270</v>
      </c>
      <c r="C13399" s="76">
        <v>2016</v>
      </c>
      <c r="D13399" s="76" t="s">
        <v>31</v>
      </c>
      <c r="E13399" s="76" t="s">
        <v>32</v>
      </c>
      <c r="F13399" s="76">
        <v>2</v>
      </c>
    </row>
    <row r="13400" s="76" customFormat="1" spans="1:6">
      <c r="A13400">
        <v>13764</v>
      </c>
      <c r="B13400">
        <v>642017211</v>
      </c>
      <c r="C13400" s="76">
        <v>2017</v>
      </c>
      <c r="D13400" s="76" t="s">
        <v>37</v>
      </c>
      <c r="E13400" s="76" t="s">
        <v>32</v>
      </c>
      <c r="F13400" s="76">
        <v>35</v>
      </c>
    </row>
    <row r="13401" s="76" customFormat="1" spans="1:6">
      <c r="A13401">
        <v>13762</v>
      </c>
      <c r="B13401">
        <v>642017211</v>
      </c>
      <c r="C13401" s="76">
        <v>2017</v>
      </c>
      <c r="D13401" s="76" t="s">
        <v>37</v>
      </c>
      <c r="E13401" s="76">
        <v>2</v>
      </c>
      <c r="F13401" s="76">
        <v>132</v>
      </c>
    </row>
    <row r="13402" s="76" customFormat="1" spans="1:6">
      <c r="A13402">
        <v>13761</v>
      </c>
      <c r="B13402">
        <v>642017211</v>
      </c>
      <c r="C13402" s="76">
        <v>2017</v>
      </c>
      <c r="D13402" s="76" t="s">
        <v>37</v>
      </c>
      <c r="E13402" s="76">
        <v>2</v>
      </c>
      <c r="F13402" s="76">
        <v>132</v>
      </c>
    </row>
    <row r="13403" s="76" customFormat="1" spans="1:6">
      <c r="A13403">
        <v>13763</v>
      </c>
      <c r="B13403">
        <v>642017211</v>
      </c>
      <c r="C13403" s="76">
        <v>2017</v>
      </c>
      <c r="D13403" s="76" t="s">
        <v>37</v>
      </c>
      <c r="E13403" s="76">
        <v>2</v>
      </c>
      <c r="F13403" s="76">
        <v>132</v>
      </c>
    </row>
    <row r="13404" s="76" customFormat="1" spans="1:6">
      <c r="A13404">
        <v>13778</v>
      </c>
      <c r="B13404">
        <v>642017270</v>
      </c>
      <c r="C13404" s="76">
        <v>2017</v>
      </c>
      <c r="D13404" s="76" t="s">
        <v>31</v>
      </c>
      <c r="E13404" s="76" t="s">
        <v>32</v>
      </c>
      <c r="F13404" s="76">
        <v>3</v>
      </c>
    </row>
    <row r="13405" s="76" customFormat="1" spans="1:6">
      <c r="A13405">
        <v>13777</v>
      </c>
      <c r="B13405">
        <v>642017270</v>
      </c>
      <c r="C13405" s="76">
        <v>2017</v>
      </c>
      <c r="D13405" s="76" t="s">
        <v>31</v>
      </c>
      <c r="E13405" s="76" t="s">
        <v>32</v>
      </c>
      <c r="F13405" s="76">
        <v>2</v>
      </c>
    </row>
    <row r="13406" s="76" customFormat="1" spans="1:6">
      <c r="A13406">
        <v>13766</v>
      </c>
      <c r="B13406">
        <v>642017270</v>
      </c>
      <c r="C13406" s="76">
        <v>2017</v>
      </c>
      <c r="D13406" s="76" t="s">
        <v>31</v>
      </c>
      <c r="E13406" s="76" t="s">
        <v>32</v>
      </c>
      <c r="F13406" s="76">
        <v>0.6</v>
      </c>
    </row>
    <row r="13407" s="76" customFormat="1" spans="1:6">
      <c r="A13407">
        <v>13767</v>
      </c>
      <c r="B13407">
        <v>642017270</v>
      </c>
      <c r="C13407" s="76">
        <v>2017</v>
      </c>
      <c r="D13407" s="76" t="s">
        <v>31</v>
      </c>
      <c r="E13407" s="76" t="s">
        <v>32</v>
      </c>
      <c r="F13407" s="76">
        <v>1.98</v>
      </c>
    </row>
    <row r="13408" s="76" customFormat="1" spans="1:6">
      <c r="A13408">
        <v>13779</v>
      </c>
      <c r="B13408">
        <v>642017270</v>
      </c>
      <c r="C13408" s="76">
        <v>2017</v>
      </c>
      <c r="D13408" s="76" t="s">
        <v>31</v>
      </c>
      <c r="E13408" s="76" t="s">
        <v>32</v>
      </c>
      <c r="F13408" s="76">
        <v>1</v>
      </c>
    </row>
    <row r="13409" s="76" customFormat="1" spans="1:6">
      <c r="A13409">
        <v>13773</v>
      </c>
      <c r="B13409">
        <v>642017270</v>
      </c>
      <c r="C13409" s="76">
        <v>2017</v>
      </c>
      <c r="D13409" s="76" t="s">
        <v>31</v>
      </c>
      <c r="E13409" s="76" t="s">
        <v>32</v>
      </c>
      <c r="F13409" s="76">
        <v>10</v>
      </c>
    </row>
    <row r="13410" s="76" customFormat="1" spans="1:6">
      <c r="A13410">
        <v>13776</v>
      </c>
      <c r="B13410">
        <v>642017270</v>
      </c>
      <c r="C13410" s="76">
        <v>2017</v>
      </c>
      <c r="D13410" s="76" t="s">
        <v>31</v>
      </c>
      <c r="E13410" s="76" t="s">
        <v>32</v>
      </c>
      <c r="F13410" s="76">
        <v>5</v>
      </c>
    </row>
    <row r="13411" s="76" customFormat="1" spans="1:6">
      <c r="A13411">
        <v>13775</v>
      </c>
      <c r="B13411">
        <v>642017270</v>
      </c>
      <c r="C13411" s="76">
        <v>2017</v>
      </c>
      <c r="D13411" s="76" t="s">
        <v>31</v>
      </c>
      <c r="E13411" s="76" t="s">
        <v>32</v>
      </c>
      <c r="F13411" s="76">
        <v>9.5</v>
      </c>
    </row>
    <row r="13412" s="76" customFormat="1" spans="1:6">
      <c r="A13412">
        <v>13774</v>
      </c>
      <c r="B13412">
        <v>642017270</v>
      </c>
      <c r="C13412" s="76">
        <v>2017</v>
      </c>
      <c r="D13412" s="76" t="s">
        <v>31</v>
      </c>
      <c r="E13412" s="76" t="s">
        <v>32</v>
      </c>
      <c r="F13412" s="76">
        <v>2</v>
      </c>
    </row>
    <row r="13413" s="76" customFormat="1" spans="1:6">
      <c r="A13413">
        <v>13771</v>
      </c>
      <c r="B13413">
        <v>642017270</v>
      </c>
      <c r="C13413" s="76">
        <v>2017</v>
      </c>
      <c r="D13413" s="76" t="s">
        <v>31</v>
      </c>
      <c r="E13413" s="76" t="s">
        <v>32</v>
      </c>
      <c r="F13413" s="76">
        <v>10</v>
      </c>
    </row>
    <row r="13414" s="76" customFormat="1" spans="1:6">
      <c r="A13414">
        <v>13770</v>
      </c>
      <c r="B13414">
        <v>642017270</v>
      </c>
      <c r="C13414" s="76">
        <v>2017</v>
      </c>
      <c r="D13414" s="76" t="s">
        <v>31</v>
      </c>
      <c r="E13414" s="76" t="s">
        <v>32</v>
      </c>
      <c r="F13414" s="76">
        <v>10</v>
      </c>
    </row>
    <row r="13415" s="76" customFormat="1" spans="1:6">
      <c r="A13415">
        <v>13772</v>
      </c>
      <c r="B13415">
        <v>642017270</v>
      </c>
      <c r="C13415" s="76">
        <v>2017</v>
      </c>
      <c r="D13415" s="76" t="s">
        <v>31</v>
      </c>
      <c r="E13415" s="76" t="s">
        <v>32</v>
      </c>
      <c r="F13415" s="76">
        <v>20</v>
      </c>
    </row>
    <row r="13416" s="76" customFormat="1" spans="1:6">
      <c r="A13416">
        <v>13769</v>
      </c>
      <c r="B13416">
        <v>642017270</v>
      </c>
      <c r="C13416" s="76">
        <v>2017</v>
      </c>
      <c r="D13416" s="76" t="s">
        <v>31</v>
      </c>
      <c r="E13416" s="76" t="s">
        <v>32</v>
      </c>
      <c r="F13416" s="76">
        <v>10</v>
      </c>
    </row>
    <row r="13417" s="76" customFormat="1" spans="1:6">
      <c r="A13417">
        <v>13780</v>
      </c>
      <c r="B13417">
        <v>642018211</v>
      </c>
      <c r="C13417" s="76">
        <v>2018</v>
      </c>
      <c r="D13417" s="76" t="s">
        <v>37</v>
      </c>
      <c r="E13417" s="76">
        <v>1</v>
      </c>
      <c r="F13417" s="76">
        <v>66</v>
      </c>
    </row>
    <row r="13418" s="76" customFormat="1" spans="1:6">
      <c r="A13418">
        <v>13781</v>
      </c>
      <c r="B13418">
        <v>642018211</v>
      </c>
      <c r="C13418" s="76">
        <v>2018</v>
      </c>
      <c r="D13418" s="76" t="s">
        <v>37</v>
      </c>
      <c r="E13418" s="76">
        <v>1</v>
      </c>
      <c r="F13418" s="76">
        <v>35</v>
      </c>
    </row>
    <row r="13419" s="76" customFormat="1" spans="1:6">
      <c r="A13419">
        <v>13788</v>
      </c>
      <c r="B13419">
        <v>642018260</v>
      </c>
      <c r="C13419" s="76">
        <v>2018</v>
      </c>
      <c r="D13419" s="76" t="s">
        <v>34</v>
      </c>
      <c r="E13419" s="76" t="s">
        <v>32</v>
      </c>
      <c r="F13419" s="76">
        <v>4.8</v>
      </c>
    </row>
    <row r="13420" s="76" customFormat="1" spans="1:6">
      <c r="A13420">
        <v>13786</v>
      </c>
      <c r="B13420">
        <v>642018260</v>
      </c>
      <c r="C13420" s="76">
        <v>2018</v>
      </c>
      <c r="D13420" s="76" t="s">
        <v>34</v>
      </c>
      <c r="E13420" s="76" t="s">
        <v>32</v>
      </c>
      <c r="F13420" s="76">
        <v>15</v>
      </c>
    </row>
    <row r="13421" s="76" customFormat="1" spans="1:6">
      <c r="A13421">
        <v>13784</v>
      </c>
      <c r="B13421">
        <v>642018260</v>
      </c>
      <c r="C13421" s="76">
        <v>2018</v>
      </c>
      <c r="D13421" s="76" t="s">
        <v>34</v>
      </c>
      <c r="E13421" s="76">
        <v>46</v>
      </c>
      <c r="F13421" s="76">
        <v>9.95</v>
      </c>
    </row>
    <row r="13422" s="76" customFormat="1" spans="1:6">
      <c r="A13422">
        <v>13790</v>
      </c>
      <c r="B13422">
        <v>642018260</v>
      </c>
      <c r="C13422" s="76">
        <v>2018</v>
      </c>
      <c r="D13422" s="76" t="s">
        <v>34</v>
      </c>
      <c r="E13422" s="76" t="s">
        <v>32</v>
      </c>
      <c r="F13422" s="76">
        <v>10</v>
      </c>
    </row>
    <row r="13423" s="76" customFormat="1" spans="1:6">
      <c r="A13423">
        <v>13782</v>
      </c>
      <c r="B13423">
        <v>642018260</v>
      </c>
      <c r="C13423" s="76">
        <v>2018</v>
      </c>
      <c r="D13423" s="76" t="s">
        <v>34</v>
      </c>
      <c r="E13423" s="76">
        <v>16</v>
      </c>
      <c r="F13423" s="76">
        <v>4.8</v>
      </c>
    </row>
    <row r="13424" s="76" customFormat="1" spans="1:6">
      <c r="A13424">
        <v>13787</v>
      </c>
      <c r="B13424">
        <v>642018260</v>
      </c>
      <c r="C13424" s="76">
        <v>2018</v>
      </c>
      <c r="D13424" s="76" t="s">
        <v>34</v>
      </c>
      <c r="E13424" s="76" t="s">
        <v>32</v>
      </c>
      <c r="F13424" s="76">
        <v>9.95</v>
      </c>
    </row>
    <row r="13425" s="76" customFormat="1" spans="1:6">
      <c r="A13425">
        <v>13785</v>
      </c>
      <c r="B13425">
        <v>642018260</v>
      </c>
      <c r="C13425" s="76">
        <v>2018</v>
      </c>
      <c r="D13425" s="76" t="s">
        <v>34</v>
      </c>
      <c r="E13425" s="76" t="s">
        <v>32</v>
      </c>
      <c r="F13425" s="76">
        <v>19.76</v>
      </c>
    </row>
    <row r="13426" s="76" customFormat="1" spans="1:6">
      <c r="A13426">
        <v>13783</v>
      </c>
      <c r="B13426">
        <v>642018260</v>
      </c>
      <c r="C13426" s="76">
        <v>2018</v>
      </c>
      <c r="D13426" s="76" t="s">
        <v>34</v>
      </c>
      <c r="E13426" s="76">
        <v>25</v>
      </c>
      <c r="F13426" s="76">
        <v>5</v>
      </c>
    </row>
    <row r="13427" s="76" customFormat="1" spans="1:6">
      <c r="A13427">
        <v>13789</v>
      </c>
      <c r="B13427">
        <v>642018260</v>
      </c>
      <c r="C13427" s="76">
        <v>2018</v>
      </c>
      <c r="D13427" s="76" t="s">
        <v>34</v>
      </c>
      <c r="E13427" s="76" t="s">
        <v>32</v>
      </c>
      <c r="F13427" s="76">
        <v>5</v>
      </c>
    </row>
    <row r="13428" s="76" customFormat="1" spans="1:6">
      <c r="A13428">
        <v>13797</v>
      </c>
      <c r="B13428">
        <v>642018270</v>
      </c>
      <c r="C13428" s="76">
        <v>2018</v>
      </c>
      <c r="D13428" s="76" t="s">
        <v>31</v>
      </c>
      <c r="E13428" s="76" t="s">
        <v>32</v>
      </c>
      <c r="F13428" s="76">
        <v>15</v>
      </c>
    </row>
    <row r="13429" s="76" customFormat="1" spans="1:6">
      <c r="A13429">
        <v>13795</v>
      </c>
      <c r="B13429">
        <v>642018270</v>
      </c>
      <c r="C13429" s="76">
        <v>2018</v>
      </c>
      <c r="D13429" s="76" t="s">
        <v>31</v>
      </c>
      <c r="E13429" s="76" t="s">
        <v>32</v>
      </c>
      <c r="F13429" s="76">
        <v>22.8</v>
      </c>
    </row>
    <row r="13430" s="76" customFormat="1" spans="1:6">
      <c r="A13430">
        <v>13796</v>
      </c>
      <c r="B13430">
        <v>642018270</v>
      </c>
      <c r="C13430" s="76">
        <v>2018</v>
      </c>
      <c r="D13430" s="76" t="s">
        <v>31</v>
      </c>
      <c r="E13430" s="76" t="s">
        <v>32</v>
      </c>
      <c r="F13430" s="76">
        <v>30</v>
      </c>
    </row>
    <row r="13431" s="76" customFormat="1" spans="1:6">
      <c r="A13431">
        <v>13794</v>
      </c>
      <c r="B13431">
        <v>642018270</v>
      </c>
      <c r="C13431" s="76">
        <v>2018</v>
      </c>
      <c r="D13431" s="76" t="s">
        <v>31</v>
      </c>
      <c r="E13431" s="76" t="s">
        <v>32</v>
      </c>
      <c r="F13431" s="76">
        <v>17.98</v>
      </c>
    </row>
    <row r="13432" s="76" customFormat="1" spans="1:6">
      <c r="A13432">
        <v>13803</v>
      </c>
      <c r="B13432">
        <v>642018270</v>
      </c>
      <c r="C13432" s="76">
        <v>2018</v>
      </c>
      <c r="D13432" s="76" t="s">
        <v>31</v>
      </c>
      <c r="E13432" s="76" t="s">
        <v>32</v>
      </c>
      <c r="F13432" s="76">
        <v>15</v>
      </c>
    </row>
    <row r="13433" s="76" customFormat="1" spans="1:6">
      <c r="A13433">
        <v>13793</v>
      </c>
      <c r="B13433">
        <v>642018270</v>
      </c>
      <c r="C13433" s="76">
        <v>2018</v>
      </c>
      <c r="D13433" s="76" t="s">
        <v>31</v>
      </c>
      <c r="E13433" s="76" t="s">
        <v>32</v>
      </c>
      <c r="F13433" s="76">
        <v>3</v>
      </c>
    </row>
    <row r="13434" s="76" customFormat="1" spans="1:6">
      <c r="A13434">
        <v>13800</v>
      </c>
      <c r="B13434">
        <v>642018270</v>
      </c>
      <c r="C13434" s="76">
        <v>2018</v>
      </c>
      <c r="D13434" s="76" t="s">
        <v>31</v>
      </c>
      <c r="E13434" s="76" t="s">
        <v>32</v>
      </c>
      <c r="F13434" s="76">
        <v>5</v>
      </c>
    </row>
    <row r="13435" s="76" customFormat="1" spans="1:6">
      <c r="A13435">
        <v>13798</v>
      </c>
      <c r="B13435">
        <v>642018270</v>
      </c>
      <c r="C13435" s="76">
        <v>2018</v>
      </c>
      <c r="D13435" s="76" t="s">
        <v>31</v>
      </c>
      <c r="E13435" s="76" t="s">
        <v>32</v>
      </c>
      <c r="F13435" s="76">
        <v>5</v>
      </c>
    </row>
    <row r="13436" s="76" customFormat="1" spans="1:6">
      <c r="A13436">
        <v>13799</v>
      </c>
      <c r="B13436">
        <v>642018270</v>
      </c>
      <c r="C13436" s="76">
        <v>2018</v>
      </c>
      <c r="D13436" s="76" t="s">
        <v>31</v>
      </c>
      <c r="E13436" s="76" t="s">
        <v>32</v>
      </c>
      <c r="F13436" s="76">
        <v>5</v>
      </c>
    </row>
    <row r="13437" s="76" customFormat="1" spans="1:6">
      <c r="A13437">
        <v>13792</v>
      </c>
      <c r="B13437">
        <v>642018270</v>
      </c>
      <c r="C13437" s="76">
        <v>2018</v>
      </c>
      <c r="D13437" s="76" t="s">
        <v>31</v>
      </c>
      <c r="E13437" s="76" t="s">
        <v>32</v>
      </c>
      <c r="F13437" s="76">
        <v>25</v>
      </c>
    </row>
    <row r="13438" s="76" customFormat="1" spans="1:6">
      <c r="A13438">
        <v>13805</v>
      </c>
      <c r="B13438">
        <v>642018270</v>
      </c>
      <c r="C13438" s="76">
        <v>2018</v>
      </c>
      <c r="D13438" s="76" t="s">
        <v>31</v>
      </c>
      <c r="E13438" s="76" t="s">
        <v>32</v>
      </c>
      <c r="F13438" s="76">
        <v>5</v>
      </c>
    </row>
    <row r="13439" s="76" customFormat="1" spans="1:6">
      <c r="A13439">
        <v>13801</v>
      </c>
      <c r="B13439">
        <v>642018270</v>
      </c>
      <c r="C13439" s="76">
        <v>2018</v>
      </c>
      <c r="D13439" s="76" t="s">
        <v>31</v>
      </c>
      <c r="E13439" s="76" t="s">
        <v>32</v>
      </c>
      <c r="F13439" s="76">
        <v>15</v>
      </c>
    </row>
    <row r="13440" s="76" customFormat="1" spans="1:6">
      <c r="A13440">
        <v>13804</v>
      </c>
      <c r="B13440">
        <v>642018270</v>
      </c>
      <c r="C13440" s="76">
        <v>2018</v>
      </c>
      <c r="D13440" s="76" t="s">
        <v>31</v>
      </c>
      <c r="E13440" s="76" t="s">
        <v>32</v>
      </c>
      <c r="F13440" s="76">
        <v>5</v>
      </c>
    </row>
    <row r="13441" s="76" customFormat="1" spans="1:6">
      <c r="A13441">
        <v>13802</v>
      </c>
      <c r="B13441">
        <v>642018270</v>
      </c>
      <c r="C13441" s="76">
        <v>2018</v>
      </c>
      <c r="D13441" s="76" t="s">
        <v>31</v>
      </c>
      <c r="E13441" s="76" t="s">
        <v>32</v>
      </c>
      <c r="F13441" s="76">
        <v>5</v>
      </c>
    </row>
    <row r="13442" s="76" customFormat="1" spans="1:6">
      <c r="A13442">
        <v>13807</v>
      </c>
      <c r="B13442">
        <v>642019211</v>
      </c>
      <c r="C13442" s="76">
        <v>2019</v>
      </c>
      <c r="D13442" s="76" t="s">
        <v>37</v>
      </c>
      <c r="E13442" s="76">
        <v>1</v>
      </c>
      <c r="F13442" s="76">
        <v>66</v>
      </c>
    </row>
    <row r="13443" s="76" customFormat="1" spans="1:6">
      <c r="A13443">
        <v>13808</v>
      </c>
      <c r="B13443">
        <v>642019211</v>
      </c>
      <c r="C13443" s="76">
        <v>2019</v>
      </c>
      <c r="D13443" s="76" t="s">
        <v>37</v>
      </c>
      <c r="E13443" s="76">
        <v>2</v>
      </c>
      <c r="F13443" s="76">
        <v>200</v>
      </c>
    </row>
    <row r="13444" s="76" customFormat="1" spans="1:6">
      <c r="A13444">
        <v>13809</v>
      </c>
      <c r="B13444">
        <v>642019211</v>
      </c>
      <c r="C13444" s="76">
        <v>2019</v>
      </c>
      <c r="D13444" s="76" t="s">
        <v>37</v>
      </c>
      <c r="E13444" s="76">
        <v>1</v>
      </c>
      <c r="F13444" s="76">
        <v>100</v>
      </c>
    </row>
    <row r="13445" s="76" customFormat="1" spans="1:6">
      <c r="A13445">
        <v>13817</v>
      </c>
      <c r="B13445">
        <v>642019260</v>
      </c>
      <c r="C13445" s="76">
        <v>2019</v>
      </c>
      <c r="D13445" s="76" t="s">
        <v>34</v>
      </c>
      <c r="E13445" s="76" t="s">
        <v>32</v>
      </c>
      <c r="F13445" s="76">
        <v>10</v>
      </c>
    </row>
    <row r="13446" s="76" customFormat="1" spans="1:6">
      <c r="A13446">
        <v>13816</v>
      </c>
      <c r="B13446">
        <v>642019260</v>
      </c>
      <c r="C13446" s="76">
        <v>2019</v>
      </c>
      <c r="D13446" s="76" t="s">
        <v>34</v>
      </c>
      <c r="E13446" s="76" t="s">
        <v>32</v>
      </c>
      <c r="F13446" s="76">
        <v>5</v>
      </c>
    </row>
    <row r="13447" s="76" customFormat="1" spans="1:6">
      <c r="A13447">
        <v>13818</v>
      </c>
      <c r="B13447">
        <v>642019260</v>
      </c>
      <c r="C13447" s="76">
        <v>2019</v>
      </c>
      <c r="D13447" s="76" t="s">
        <v>34</v>
      </c>
      <c r="E13447" s="76" t="s">
        <v>32</v>
      </c>
      <c r="F13447" s="76">
        <v>5</v>
      </c>
    </row>
    <row r="13448" s="76" customFormat="1" spans="1:6">
      <c r="A13448">
        <v>13822</v>
      </c>
      <c r="B13448">
        <v>642019260</v>
      </c>
      <c r="C13448" s="76">
        <v>2019</v>
      </c>
      <c r="D13448" s="76" t="s">
        <v>34</v>
      </c>
      <c r="E13448" s="76" t="s">
        <v>32</v>
      </c>
      <c r="F13448" s="76">
        <v>10</v>
      </c>
    </row>
    <row r="13449" s="76" customFormat="1" spans="1:6">
      <c r="A13449">
        <v>13813</v>
      </c>
      <c r="B13449">
        <v>642019260</v>
      </c>
      <c r="C13449" s="76">
        <v>2019</v>
      </c>
      <c r="D13449" s="76" t="s">
        <v>34</v>
      </c>
      <c r="E13449" s="76">
        <v>25</v>
      </c>
      <c r="F13449" s="76">
        <v>5</v>
      </c>
    </row>
    <row r="13450" s="76" customFormat="1" spans="1:6">
      <c r="A13450">
        <v>13821</v>
      </c>
      <c r="B13450">
        <v>642019260</v>
      </c>
      <c r="C13450" s="76">
        <v>2019</v>
      </c>
      <c r="D13450" s="76" t="s">
        <v>34</v>
      </c>
      <c r="E13450" s="76" t="s">
        <v>32</v>
      </c>
      <c r="F13450" s="76">
        <v>15</v>
      </c>
    </row>
    <row r="13451" s="76" customFormat="1" spans="1:6">
      <c r="A13451">
        <v>13811</v>
      </c>
      <c r="B13451">
        <v>642019260</v>
      </c>
      <c r="C13451" s="76">
        <v>2019</v>
      </c>
      <c r="D13451" s="76" t="s">
        <v>34</v>
      </c>
      <c r="E13451" s="76">
        <v>40</v>
      </c>
      <c r="F13451" s="76">
        <v>10</v>
      </c>
    </row>
    <row r="13452" s="76" customFormat="1" spans="1:6">
      <c r="A13452">
        <v>13812</v>
      </c>
      <c r="B13452">
        <v>642019260</v>
      </c>
      <c r="C13452" s="76">
        <v>2019</v>
      </c>
      <c r="D13452" s="76" t="s">
        <v>34</v>
      </c>
      <c r="E13452" s="76">
        <v>68</v>
      </c>
      <c r="F13452" s="76">
        <v>14.96</v>
      </c>
    </row>
    <row r="13453" s="76" customFormat="1" spans="1:6">
      <c r="A13453">
        <v>13814</v>
      </c>
      <c r="B13453">
        <v>642019260</v>
      </c>
      <c r="C13453" s="76">
        <v>2019</v>
      </c>
      <c r="D13453" s="76" t="s">
        <v>34</v>
      </c>
      <c r="E13453" s="76">
        <v>25</v>
      </c>
      <c r="F13453" s="76">
        <v>4.95</v>
      </c>
    </row>
    <row r="13454" s="76" customFormat="1" spans="1:6">
      <c r="A13454">
        <v>13815</v>
      </c>
      <c r="B13454">
        <v>642019260</v>
      </c>
      <c r="C13454" s="76">
        <v>2019</v>
      </c>
      <c r="D13454" s="76" t="s">
        <v>34</v>
      </c>
      <c r="E13454" s="76">
        <v>25</v>
      </c>
      <c r="F13454" s="76">
        <v>4.95</v>
      </c>
    </row>
    <row r="13455" s="76" customFormat="1" spans="1:6">
      <c r="A13455">
        <v>13820</v>
      </c>
      <c r="B13455">
        <v>642019260</v>
      </c>
      <c r="C13455" s="76">
        <v>2019</v>
      </c>
      <c r="D13455" s="76" t="s">
        <v>34</v>
      </c>
      <c r="E13455" s="76" t="s">
        <v>32</v>
      </c>
      <c r="F13455" s="76">
        <v>4.95</v>
      </c>
    </row>
    <row r="13456" s="76" customFormat="1" spans="1:6">
      <c r="A13456">
        <v>13823</v>
      </c>
      <c r="B13456">
        <v>642019260</v>
      </c>
      <c r="C13456" s="76">
        <v>2019</v>
      </c>
      <c r="D13456" s="76" t="s">
        <v>34</v>
      </c>
      <c r="E13456" s="76" t="s">
        <v>32</v>
      </c>
      <c r="F13456" s="76">
        <v>15</v>
      </c>
    </row>
    <row r="13457" s="76" customFormat="1" spans="1:6">
      <c r="A13457">
        <v>13819</v>
      </c>
      <c r="B13457">
        <v>642019260</v>
      </c>
      <c r="C13457" s="76">
        <v>2019</v>
      </c>
      <c r="D13457" s="76" t="s">
        <v>34</v>
      </c>
      <c r="E13457" s="76" t="s">
        <v>32</v>
      </c>
      <c r="F13457" s="76">
        <v>5</v>
      </c>
    </row>
    <row r="13458" s="76" customFormat="1" spans="1:6">
      <c r="A13458">
        <v>13838</v>
      </c>
      <c r="B13458">
        <v>642019270</v>
      </c>
      <c r="C13458" s="76">
        <v>2019</v>
      </c>
      <c r="D13458" s="76" t="s">
        <v>31</v>
      </c>
      <c r="E13458" s="76" t="s">
        <v>32</v>
      </c>
      <c r="F13458" s="76">
        <v>2.67</v>
      </c>
    </row>
    <row r="13459" s="76" customFormat="1" spans="1:6">
      <c r="A13459">
        <v>13839</v>
      </c>
      <c r="B13459">
        <v>642019270</v>
      </c>
      <c r="C13459" s="76">
        <v>2019</v>
      </c>
      <c r="D13459" s="76" t="s">
        <v>31</v>
      </c>
      <c r="E13459" s="76" t="s">
        <v>32</v>
      </c>
      <c r="F13459" s="76">
        <v>2.2</v>
      </c>
    </row>
    <row r="13460" s="76" customFormat="1" spans="1:6">
      <c r="A13460">
        <v>13837</v>
      </c>
      <c r="B13460">
        <v>642019270</v>
      </c>
      <c r="C13460" s="76">
        <v>2019</v>
      </c>
      <c r="D13460" s="76" t="s">
        <v>31</v>
      </c>
      <c r="E13460" s="76" t="s">
        <v>32</v>
      </c>
      <c r="F13460" s="76">
        <v>1.98</v>
      </c>
    </row>
    <row r="13461" s="76" customFormat="1" spans="1:6">
      <c r="A13461">
        <v>13833</v>
      </c>
      <c r="B13461">
        <v>642019270</v>
      </c>
      <c r="C13461" s="76">
        <v>2019</v>
      </c>
      <c r="D13461" s="76" t="s">
        <v>31</v>
      </c>
      <c r="E13461" s="76" t="s">
        <v>32</v>
      </c>
      <c r="F13461" s="76">
        <v>0.03</v>
      </c>
    </row>
    <row r="13462" s="76" customFormat="1" spans="1:6">
      <c r="A13462">
        <v>13834</v>
      </c>
      <c r="B13462">
        <v>642019270</v>
      </c>
      <c r="C13462" s="76">
        <v>2019</v>
      </c>
      <c r="D13462" s="76" t="s">
        <v>31</v>
      </c>
      <c r="E13462" s="76" t="s">
        <v>32</v>
      </c>
      <c r="F13462" s="76">
        <v>4</v>
      </c>
    </row>
    <row r="13463" s="76" customFormat="1" spans="1:6">
      <c r="A13463">
        <v>13840</v>
      </c>
      <c r="B13463">
        <v>642019270</v>
      </c>
      <c r="C13463" s="76">
        <v>2019</v>
      </c>
      <c r="D13463" s="76" t="s">
        <v>31</v>
      </c>
      <c r="E13463" s="76" t="s">
        <v>32</v>
      </c>
      <c r="F13463" s="76">
        <v>2</v>
      </c>
    </row>
    <row r="13464" s="76" customFormat="1" spans="1:6">
      <c r="A13464">
        <v>13846</v>
      </c>
      <c r="B13464">
        <v>642019270</v>
      </c>
      <c r="C13464" s="76">
        <v>2019</v>
      </c>
      <c r="D13464" s="76" t="s">
        <v>31</v>
      </c>
      <c r="E13464" s="76" t="s">
        <v>32</v>
      </c>
      <c r="F13464" s="76">
        <v>20</v>
      </c>
    </row>
    <row r="13465" s="76" customFormat="1" spans="1:6">
      <c r="A13465">
        <v>13844</v>
      </c>
      <c r="B13465">
        <v>642019270</v>
      </c>
      <c r="C13465" s="76">
        <v>2019</v>
      </c>
      <c r="D13465" s="76" t="s">
        <v>31</v>
      </c>
      <c r="E13465" s="76" t="s">
        <v>32</v>
      </c>
      <c r="F13465" s="76">
        <v>7</v>
      </c>
    </row>
    <row r="13466" s="76" customFormat="1" spans="1:6">
      <c r="A13466">
        <v>13824</v>
      </c>
      <c r="B13466">
        <v>642019270</v>
      </c>
      <c r="C13466" s="76">
        <v>2019</v>
      </c>
      <c r="D13466" s="76" t="s">
        <v>31</v>
      </c>
      <c r="E13466" s="76" t="s">
        <v>32</v>
      </c>
      <c r="F13466" s="76">
        <v>0.6</v>
      </c>
    </row>
    <row r="13467" s="76" customFormat="1" spans="1:6">
      <c r="A13467">
        <v>13827</v>
      </c>
      <c r="B13467">
        <v>642019270</v>
      </c>
      <c r="C13467" s="76">
        <v>2019</v>
      </c>
      <c r="D13467" s="76" t="s">
        <v>31</v>
      </c>
      <c r="E13467" s="76" t="s">
        <v>32</v>
      </c>
      <c r="F13467" s="76">
        <v>0.5</v>
      </c>
    </row>
    <row r="13468" s="76" customFormat="1" spans="1:6">
      <c r="A13468">
        <v>13828</v>
      </c>
      <c r="B13468">
        <v>642019270</v>
      </c>
      <c r="C13468" s="76">
        <v>2019</v>
      </c>
      <c r="D13468" s="76" t="s">
        <v>31</v>
      </c>
      <c r="E13468" s="76" t="s">
        <v>32</v>
      </c>
      <c r="F13468" s="76">
        <v>0.6</v>
      </c>
    </row>
    <row r="13469" s="76" customFormat="1" spans="1:6">
      <c r="A13469">
        <v>13826</v>
      </c>
      <c r="B13469">
        <v>642019270</v>
      </c>
      <c r="C13469" s="76">
        <v>2019</v>
      </c>
      <c r="D13469" s="76" t="s">
        <v>31</v>
      </c>
      <c r="E13469" s="76" t="s">
        <v>32</v>
      </c>
      <c r="F13469" s="76">
        <v>0.4</v>
      </c>
    </row>
    <row r="13470" s="76" customFormat="1" spans="1:6">
      <c r="A13470">
        <v>13831</v>
      </c>
      <c r="B13470">
        <v>642019270</v>
      </c>
      <c r="C13470" s="76">
        <v>2019</v>
      </c>
      <c r="D13470" s="76" t="s">
        <v>31</v>
      </c>
      <c r="E13470" s="76" t="s">
        <v>32</v>
      </c>
      <c r="F13470" s="76">
        <v>0.6</v>
      </c>
    </row>
    <row r="13471" s="76" customFormat="1" spans="1:6">
      <c r="A13471">
        <v>13829</v>
      </c>
      <c r="B13471">
        <v>642019270</v>
      </c>
      <c r="C13471" s="76">
        <v>2019</v>
      </c>
      <c r="D13471" s="76" t="s">
        <v>31</v>
      </c>
      <c r="E13471" s="76" t="s">
        <v>32</v>
      </c>
      <c r="F13471" s="76">
        <v>0.6</v>
      </c>
    </row>
    <row r="13472" s="76" customFormat="1" spans="1:6">
      <c r="A13472">
        <v>13830</v>
      </c>
      <c r="B13472">
        <v>642019270</v>
      </c>
      <c r="C13472" s="76">
        <v>2019</v>
      </c>
      <c r="D13472" s="76" t="s">
        <v>31</v>
      </c>
      <c r="E13472" s="76" t="s">
        <v>32</v>
      </c>
      <c r="F13472" s="76">
        <v>7</v>
      </c>
    </row>
    <row r="13473" s="76" customFormat="1" spans="1:6">
      <c r="A13473">
        <v>13842</v>
      </c>
      <c r="B13473">
        <v>642019270</v>
      </c>
      <c r="C13473" s="76">
        <v>2019</v>
      </c>
      <c r="D13473" s="76" t="s">
        <v>31</v>
      </c>
      <c r="E13473" s="76" t="s">
        <v>32</v>
      </c>
      <c r="F13473" s="76">
        <v>19</v>
      </c>
    </row>
    <row r="13474" s="76" customFormat="1" spans="1:6">
      <c r="A13474">
        <v>13843</v>
      </c>
      <c r="B13474">
        <v>642019270</v>
      </c>
      <c r="C13474" s="76">
        <v>2019</v>
      </c>
      <c r="D13474" s="76" t="s">
        <v>31</v>
      </c>
      <c r="E13474" s="76" t="s">
        <v>32</v>
      </c>
      <c r="F13474" s="76">
        <v>18</v>
      </c>
    </row>
    <row r="13475" s="76" customFormat="1" spans="1:6">
      <c r="A13475">
        <v>13841</v>
      </c>
      <c r="B13475">
        <v>642019270</v>
      </c>
      <c r="C13475" s="76">
        <v>2019</v>
      </c>
      <c r="D13475" s="76" t="s">
        <v>31</v>
      </c>
      <c r="E13475" s="76" t="s">
        <v>32</v>
      </c>
      <c r="F13475" s="76">
        <v>10</v>
      </c>
    </row>
    <row r="13476" s="76" customFormat="1" spans="1:6">
      <c r="A13476">
        <v>13836</v>
      </c>
      <c r="B13476">
        <v>642019270</v>
      </c>
      <c r="C13476" s="76">
        <v>2019</v>
      </c>
      <c r="D13476" s="76" t="s">
        <v>31</v>
      </c>
      <c r="E13476" s="76" t="s">
        <v>32</v>
      </c>
      <c r="F13476" s="76">
        <v>3</v>
      </c>
    </row>
    <row r="13477" s="76" customFormat="1" spans="1:6">
      <c r="A13477">
        <v>13825</v>
      </c>
      <c r="B13477">
        <v>642019270</v>
      </c>
      <c r="C13477" s="76">
        <v>2019</v>
      </c>
      <c r="D13477" s="76" t="s">
        <v>31</v>
      </c>
      <c r="E13477" s="76" t="s">
        <v>32</v>
      </c>
      <c r="F13477" s="76">
        <v>10</v>
      </c>
    </row>
    <row r="13478" s="76" customFormat="1" spans="1:6">
      <c r="A13478">
        <v>13835</v>
      </c>
      <c r="B13478">
        <v>642019270</v>
      </c>
      <c r="C13478" s="76">
        <v>2019</v>
      </c>
      <c r="D13478" s="76" t="s">
        <v>31</v>
      </c>
      <c r="E13478" s="76" t="s">
        <v>32</v>
      </c>
      <c r="F13478" s="76">
        <v>4.5</v>
      </c>
    </row>
    <row r="13479" s="76" customFormat="1" spans="1:6">
      <c r="A13479">
        <v>13845</v>
      </c>
      <c r="B13479">
        <v>642019270</v>
      </c>
      <c r="C13479" s="76">
        <v>2019</v>
      </c>
      <c r="D13479" s="76" t="s">
        <v>31</v>
      </c>
      <c r="E13479" s="76" t="s">
        <v>32</v>
      </c>
      <c r="F13479" s="76">
        <v>1</v>
      </c>
    </row>
    <row r="13480" s="76" customFormat="1" spans="1:6">
      <c r="A13480">
        <v>13848</v>
      </c>
      <c r="B13480">
        <v>642020211</v>
      </c>
      <c r="C13480" s="76">
        <v>2020</v>
      </c>
      <c r="D13480" s="76" t="s">
        <v>37</v>
      </c>
      <c r="E13480" s="76">
        <v>2</v>
      </c>
      <c r="F13480" s="76">
        <v>132</v>
      </c>
    </row>
    <row r="13481" s="76" customFormat="1" spans="1:6">
      <c r="A13481">
        <v>13850</v>
      </c>
      <c r="B13481">
        <v>642020241</v>
      </c>
      <c r="C13481" s="76">
        <v>2020</v>
      </c>
      <c r="D13481" s="76" t="s">
        <v>33</v>
      </c>
      <c r="E13481" s="76" t="s">
        <v>32</v>
      </c>
      <c r="F13481" s="76">
        <v>0.9</v>
      </c>
    </row>
    <row r="13482" s="76" customFormat="1" spans="1:6">
      <c r="A13482">
        <v>13849</v>
      </c>
      <c r="B13482">
        <v>642020241</v>
      </c>
      <c r="C13482" s="76">
        <v>2020</v>
      </c>
      <c r="D13482" s="76" t="s">
        <v>33</v>
      </c>
      <c r="E13482" s="76" t="s">
        <v>32</v>
      </c>
      <c r="F13482" s="76">
        <v>0.3</v>
      </c>
    </row>
    <row r="13483" s="76" customFormat="1" spans="1:6">
      <c r="A13483">
        <v>13875</v>
      </c>
      <c r="B13483">
        <v>642020260</v>
      </c>
      <c r="C13483" s="76">
        <v>2020</v>
      </c>
      <c r="D13483" s="76" t="s">
        <v>34</v>
      </c>
      <c r="E13483" s="76" t="s">
        <v>32</v>
      </c>
      <c r="F13483" s="76">
        <v>7.8</v>
      </c>
    </row>
    <row r="13484" s="76" customFormat="1" spans="1:6">
      <c r="A13484">
        <v>13867</v>
      </c>
      <c r="B13484">
        <v>642020260</v>
      </c>
      <c r="C13484" s="76">
        <v>2020</v>
      </c>
      <c r="D13484" s="76" t="s">
        <v>34</v>
      </c>
      <c r="E13484" s="76" t="s">
        <v>32</v>
      </c>
      <c r="F13484" s="76">
        <v>4.95</v>
      </c>
    </row>
    <row r="13485" s="76" customFormat="1" spans="1:6">
      <c r="A13485">
        <v>13865</v>
      </c>
      <c r="B13485">
        <v>642020260</v>
      </c>
      <c r="C13485" s="76">
        <v>2020</v>
      </c>
      <c r="D13485" s="76" t="s">
        <v>34</v>
      </c>
      <c r="E13485" s="76" t="s">
        <v>32</v>
      </c>
      <c r="F13485" s="76">
        <v>12</v>
      </c>
    </row>
    <row r="13486" s="76" customFormat="1" spans="1:6">
      <c r="A13486">
        <v>13866</v>
      </c>
      <c r="B13486">
        <v>642020260</v>
      </c>
      <c r="C13486" s="76">
        <v>2020</v>
      </c>
      <c r="D13486" s="76" t="s">
        <v>34</v>
      </c>
      <c r="E13486" s="76" t="s">
        <v>32</v>
      </c>
      <c r="F13486" s="76">
        <v>8</v>
      </c>
    </row>
    <row r="13487" s="76" customFormat="1" spans="1:6">
      <c r="A13487">
        <v>13861</v>
      </c>
      <c r="B13487">
        <v>642020260</v>
      </c>
      <c r="C13487" s="76">
        <v>2020</v>
      </c>
      <c r="D13487" s="76" t="s">
        <v>34</v>
      </c>
      <c r="E13487" s="76" t="s">
        <v>32</v>
      </c>
      <c r="F13487" s="76">
        <v>20</v>
      </c>
    </row>
    <row r="13488" s="76" customFormat="1" spans="1:6">
      <c r="A13488">
        <v>13864</v>
      </c>
      <c r="B13488">
        <v>642020260</v>
      </c>
      <c r="C13488" s="76">
        <v>2020</v>
      </c>
      <c r="D13488" s="76" t="s">
        <v>34</v>
      </c>
      <c r="E13488" s="76" t="s">
        <v>32</v>
      </c>
      <c r="F13488" s="76">
        <v>5</v>
      </c>
    </row>
    <row r="13489" s="76" customFormat="1" spans="1:6">
      <c r="A13489">
        <v>13870</v>
      </c>
      <c r="B13489">
        <v>642020260</v>
      </c>
      <c r="C13489" s="76">
        <v>2020</v>
      </c>
      <c r="D13489" s="76" t="s">
        <v>34</v>
      </c>
      <c r="E13489" s="76" t="s">
        <v>32</v>
      </c>
      <c r="F13489" s="76">
        <v>10</v>
      </c>
    </row>
    <row r="13490" s="76" customFormat="1" spans="1:6">
      <c r="A13490">
        <v>13853</v>
      </c>
      <c r="B13490">
        <v>642020260</v>
      </c>
      <c r="C13490" s="76">
        <v>2020</v>
      </c>
      <c r="D13490" s="76" t="s">
        <v>34</v>
      </c>
      <c r="E13490" s="76">
        <v>68</v>
      </c>
      <c r="F13490" s="76">
        <v>14.96</v>
      </c>
    </row>
    <row r="13491" s="76" customFormat="1" spans="1:6">
      <c r="A13491">
        <v>13868</v>
      </c>
      <c r="B13491">
        <v>642020260</v>
      </c>
      <c r="C13491" s="76">
        <v>2020</v>
      </c>
      <c r="D13491" s="76" t="s">
        <v>34</v>
      </c>
      <c r="E13491" s="76" t="s">
        <v>32</v>
      </c>
      <c r="F13491" s="76">
        <v>18.2</v>
      </c>
    </row>
    <row r="13492" s="76" customFormat="1" spans="1:6">
      <c r="A13492">
        <v>13851</v>
      </c>
      <c r="B13492">
        <v>642020260</v>
      </c>
      <c r="C13492" s="76">
        <v>2020</v>
      </c>
      <c r="D13492" s="76" t="s">
        <v>34</v>
      </c>
      <c r="E13492" s="76">
        <v>17</v>
      </c>
      <c r="F13492" s="76">
        <v>5</v>
      </c>
    </row>
    <row r="13493" s="76" customFormat="1" spans="1:6">
      <c r="A13493">
        <v>13869</v>
      </c>
      <c r="B13493">
        <v>642020260</v>
      </c>
      <c r="C13493" s="76">
        <v>2020</v>
      </c>
      <c r="D13493" s="76" t="s">
        <v>34</v>
      </c>
      <c r="E13493" s="76" t="s">
        <v>32</v>
      </c>
      <c r="F13493" s="76">
        <v>11.8</v>
      </c>
    </row>
    <row r="13494" s="76" customFormat="1" spans="1:6">
      <c r="A13494">
        <v>13859</v>
      </c>
      <c r="B13494">
        <v>642020260</v>
      </c>
      <c r="C13494" s="76">
        <v>2020</v>
      </c>
      <c r="D13494" s="76" t="s">
        <v>34</v>
      </c>
      <c r="E13494" s="76">
        <v>24</v>
      </c>
      <c r="F13494" s="76">
        <v>6</v>
      </c>
    </row>
    <row r="13495" s="76" customFormat="1" spans="1:6">
      <c r="A13495">
        <v>13855</v>
      </c>
      <c r="B13495">
        <v>642020260</v>
      </c>
      <c r="C13495" s="76">
        <v>2020</v>
      </c>
      <c r="D13495" s="76" t="s">
        <v>34</v>
      </c>
      <c r="E13495" s="76">
        <v>48</v>
      </c>
      <c r="F13495" s="76">
        <v>10</v>
      </c>
    </row>
    <row r="13496" s="76" customFormat="1" spans="1:6">
      <c r="A13496">
        <v>13857</v>
      </c>
      <c r="B13496">
        <v>642020260</v>
      </c>
      <c r="C13496" s="76">
        <v>2020</v>
      </c>
      <c r="D13496" s="76" t="s">
        <v>34</v>
      </c>
      <c r="E13496" s="76">
        <v>60</v>
      </c>
      <c r="F13496" s="76">
        <v>15</v>
      </c>
    </row>
    <row r="13497" s="76" customFormat="1" spans="1:6">
      <c r="A13497">
        <v>13858</v>
      </c>
      <c r="B13497">
        <v>642020260</v>
      </c>
      <c r="C13497" s="76">
        <v>2020</v>
      </c>
      <c r="D13497" s="76" t="s">
        <v>34</v>
      </c>
      <c r="E13497" s="76">
        <v>20</v>
      </c>
      <c r="F13497" s="76">
        <v>5</v>
      </c>
    </row>
    <row r="13498" s="76" customFormat="1" spans="1:6">
      <c r="A13498">
        <v>13860</v>
      </c>
      <c r="B13498">
        <v>642020260</v>
      </c>
      <c r="C13498" s="76">
        <v>2020</v>
      </c>
      <c r="D13498" s="76" t="s">
        <v>34</v>
      </c>
      <c r="E13498" s="76">
        <v>33</v>
      </c>
      <c r="F13498" s="76">
        <v>10</v>
      </c>
    </row>
    <row r="13499" s="76" customFormat="1" spans="1:6">
      <c r="A13499">
        <v>13856</v>
      </c>
      <c r="B13499">
        <v>642020260</v>
      </c>
      <c r="C13499" s="76">
        <v>2020</v>
      </c>
      <c r="D13499" s="76" t="s">
        <v>34</v>
      </c>
      <c r="E13499" s="76">
        <v>60</v>
      </c>
      <c r="F13499" s="76">
        <v>15</v>
      </c>
    </row>
    <row r="13500" s="76" customFormat="1" spans="1:6">
      <c r="A13500">
        <v>13854</v>
      </c>
      <c r="B13500">
        <v>642020260</v>
      </c>
      <c r="C13500" s="76">
        <v>2020</v>
      </c>
      <c r="D13500" s="76" t="s">
        <v>34</v>
      </c>
      <c r="E13500" s="76">
        <v>50</v>
      </c>
      <c r="F13500" s="76">
        <v>10</v>
      </c>
    </row>
    <row r="13501" s="76" customFormat="1" spans="1:6">
      <c r="A13501">
        <v>13863</v>
      </c>
      <c r="B13501">
        <v>642020260</v>
      </c>
      <c r="C13501" s="76">
        <v>2020</v>
      </c>
      <c r="D13501" s="76" t="s">
        <v>34</v>
      </c>
      <c r="E13501" s="76" t="s">
        <v>32</v>
      </c>
      <c r="F13501" s="76">
        <v>4.95</v>
      </c>
    </row>
    <row r="13502" s="76" customFormat="1" spans="1:6">
      <c r="A13502">
        <v>13874</v>
      </c>
      <c r="B13502">
        <v>642020260</v>
      </c>
      <c r="C13502" s="76">
        <v>2020</v>
      </c>
      <c r="D13502" s="76" t="s">
        <v>34</v>
      </c>
      <c r="E13502" s="76" t="s">
        <v>32</v>
      </c>
      <c r="F13502" s="76">
        <v>20</v>
      </c>
    </row>
    <row r="13503" s="76" customFormat="1" spans="1:6">
      <c r="A13503">
        <v>13862</v>
      </c>
      <c r="B13503">
        <v>642020260</v>
      </c>
      <c r="C13503" s="76">
        <v>2020</v>
      </c>
      <c r="D13503" s="76" t="s">
        <v>34</v>
      </c>
      <c r="E13503" s="76" t="s">
        <v>32</v>
      </c>
      <c r="F13503" s="76">
        <v>4.94</v>
      </c>
    </row>
    <row r="13504" s="76" customFormat="1" spans="1:6">
      <c r="A13504">
        <v>13873</v>
      </c>
      <c r="B13504">
        <v>642020260</v>
      </c>
      <c r="C13504" s="76">
        <v>2020</v>
      </c>
      <c r="D13504" s="76" t="s">
        <v>34</v>
      </c>
      <c r="E13504" s="76" t="s">
        <v>32</v>
      </c>
      <c r="F13504" s="76">
        <v>4.94</v>
      </c>
    </row>
    <row r="13505" s="76" customFormat="1" spans="1:6">
      <c r="A13505">
        <v>13871</v>
      </c>
      <c r="B13505">
        <v>642020260</v>
      </c>
      <c r="C13505" s="76">
        <v>2020</v>
      </c>
      <c r="D13505" s="76" t="s">
        <v>34</v>
      </c>
      <c r="E13505" s="76" t="s">
        <v>32</v>
      </c>
      <c r="F13505" s="76">
        <v>20</v>
      </c>
    </row>
    <row r="13506" s="76" customFormat="1" spans="1:6">
      <c r="A13506">
        <v>13872</v>
      </c>
      <c r="B13506">
        <v>642020260</v>
      </c>
      <c r="C13506" s="76">
        <v>2020</v>
      </c>
      <c r="D13506" s="76" t="s">
        <v>34</v>
      </c>
      <c r="E13506" s="76" t="s">
        <v>32</v>
      </c>
      <c r="F13506" s="76">
        <v>4.95</v>
      </c>
    </row>
    <row r="13507" s="76" customFormat="1" spans="1:6">
      <c r="A13507">
        <v>13852</v>
      </c>
      <c r="B13507">
        <v>642020260</v>
      </c>
      <c r="C13507" s="76">
        <v>2020</v>
      </c>
      <c r="D13507" s="76" t="s">
        <v>34</v>
      </c>
      <c r="E13507" s="76">
        <v>48</v>
      </c>
      <c r="F13507" s="76">
        <v>12</v>
      </c>
    </row>
    <row r="13508" s="76" customFormat="1" spans="1:6">
      <c r="A13508">
        <v>13880</v>
      </c>
      <c r="B13508">
        <v>642020270</v>
      </c>
      <c r="C13508" s="76">
        <v>2020</v>
      </c>
      <c r="D13508" s="76" t="s">
        <v>31</v>
      </c>
      <c r="E13508" s="76" t="s">
        <v>32</v>
      </c>
      <c r="F13508" s="76">
        <v>5</v>
      </c>
    </row>
    <row r="13509" s="76" customFormat="1" spans="1:6">
      <c r="A13509">
        <v>13879</v>
      </c>
      <c r="B13509">
        <v>642020270</v>
      </c>
      <c r="C13509" s="76">
        <v>2020</v>
      </c>
      <c r="D13509" s="76" t="s">
        <v>31</v>
      </c>
      <c r="E13509" s="76" t="s">
        <v>32</v>
      </c>
      <c r="F13509" s="76">
        <v>0.97</v>
      </c>
    </row>
    <row r="13510" s="76" customFormat="1" spans="1:6">
      <c r="A13510">
        <v>13881</v>
      </c>
      <c r="B13510">
        <v>642020270</v>
      </c>
      <c r="C13510" s="76">
        <v>2020</v>
      </c>
      <c r="D13510" s="76" t="s">
        <v>31</v>
      </c>
      <c r="E13510" s="76">
        <v>672</v>
      </c>
      <c r="F13510" s="76">
        <v>15</v>
      </c>
    </row>
    <row r="13511" s="76" customFormat="1" spans="1:6">
      <c r="A13511">
        <v>13894</v>
      </c>
      <c r="B13511">
        <v>642020270</v>
      </c>
      <c r="C13511" s="76">
        <v>2020</v>
      </c>
      <c r="D13511" s="76" t="s">
        <v>31</v>
      </c>
      <c r="E13511" s="76" t="s">
        <v>32</v>
      </c>
      <c r="F13511" s="76">
        <v>20</v>
      </c>
    </row>
    <row r="13512" s="76" customFormat="1" spans="1:6">
      <c r="A13512">
        <v>13878</v>
      </c>
      <c r="B13512">
        <v>642020270</v>
      </c>
      <c r="C13512" s="76">
        <v>2020</v>
      </c>
      <c r="D13512" s="76" t="s">
        <v>31</v>
      </c>
      <c r="E13512" s="76" t="s">
        <v>32</v>
      </c>
      <c r="F13512" s="76">
        <v>5</v>
      </c>
    </row>
    <row r="13513" s="76" customFormat="1" spans="1:6">
      <c r="A13513">
        <v>13877</v>
      </c>
      <c r="B13513">
        <v>642020270</v>
      </c>
      <c r="C13513" s="76">
        <v>2020</v>
      </c>
      <c r="D13513" s="76" t="s">
        <v>31</v>
      </c>
      <c r="E13513" s="76" t="s">
        <v>32</v>
      </c>
      <c r="F13513" s="76">
        <v>18</v>
      </c>
    </row>
    <row r="13514" s="76" customFormat="1" spans="1:6">
      <c r="A13514">
        <v>13882</v>
      </c>
      <c r="B13514">
        <v>642020270</v>
      </c>
      <c r="C13514" s="76">
        <v>2020</v>
      </c>
      <c r="D13514" s="76" t="s">
        <v>31</v>
      </c>
      <c r="E13514" s="76" t="s">
        <v>32</v>
      </c>
      <c r="F13514" s="76">
        <v>5.5</v>
      </c>
    </row>
    <row r="13515" s="76" customFormat="1" spans="1:6">
      <c r="A13515">
        <v>13886</v>
      </c>
      <c r="B13515">
        <v>642020270</v>
      </c>
      <c r="C13515" s="76">
        <v>2020</v>
      </c>
      <c r="D13515" s="76" t="s">
        <v>31</v>
      </c>
      <c r="E13515" s="76" t="s">
        <v>32</v>
      </c>
      <c r="F13515" s="76">
        <v>10</v>
      </c>
    </row>
    <row r="13516" s="76" customFormat="1" spans="1:6">
      <c r="A13516">
        <v>13883</v>
      </c>
      <c r="B13516">
        <v>642020270</v>
      </c>
      <c r="C13516" s="76">
        <v>2020</v>
      </c>
      <c r="D13516" s="76" t="s">
        <v>31</v>
      </c>
      <c r="E13516" s="76" t="s">
        <v>32</v>
      </c>
      <c r="F13516" s="76">
        <v>10</v>
      </c>
    </row>
    <row r="13517" s="76" customFormat="1" spans="1:6">
      <c r="A13517">
        <v>13876</v>
      </c>
      <c r="B13517">
        <v>642020270</v>
      </c>
      <c r="C13517" s="76">
        <v>2020</v>
      </c>
      <c r="D13517" s="76" t="s">
        <v>31</v>
      </c>
      <c r="E13517" s="76" t="s">
        <v>32</v>
      </c>
      <c r="F13517" s="76">
        <v>0.01</v>
      </c>
    </row>
    <row r="13518" s="76" customFormat="1" spans="1:6">
      <c r="A13518">
        <v>13891</v>
      </c>
      <c r="B13518">
        <v>642020270</v>
      </c>
      <c r="C13518" s="76">
        <v>2020</v>
      </c>
      <c r="D13518" s="76" t="s">
        <v>31</v>
      </c>
      <c r="E13518" s="76" t="s">
        <v>32</v>
      </c>
      <c r="F13518" s="76">
        <v>20</v>
      </c>
    </row>
    <row r="13519" s="76" customFormat="1" spans="1:6">
      <c r="A13519">
        <v>13888</v>
      </c>
      <c r="B13519">
        <v>642020270</v>
      </c>
      <c r="C13519" s="76">
        <v>2020</v>
      </c>
      <c r="D13519" s="76" t="s">
        <v>31</v>
      </c>
      <c r="E13519" s="76" t="s">
        <v>32</v>
      </c>
      <c r="F13519" s="76">
        <v>10</v>
      </c>
    </row>
    <row r="13520" s="76" customFormat="1" spans="1:6">
      <c r="A13520">
        <v>13889</v>
      </c>
      <c r="B13520">
        <v>642020270</v>
      </c>
      <c r="C13520" s="76">
        <v>2020</v>
      </c>
      <c r="D13520" s="76" t="s">
        <v>31</v>
      </c>
      <c r="E13520" s="76" t="s">
        <v>32</v>
      </c>
      <c r="F13520" s="76">
        <v>10</v>
      </c>
    </row>
    <row r="13521" s="76" customFormat="1" spans="1:6">
      <c r="A13521">
        <v>13895</v>
      </c>
      <c r="B13521">
        <v>642020270</v>
      </c>
      <c r="C13521" s="76">
        <v>2020</v>
      </c>
      <c r="D13521" s="76" t="s">
        <v>31</v>
      </c>
      <c r="E13521" s="76" t="s">
        <v>32</v>
      </c>
      <c r="F13521" s="76">
        <v>20</v>
      </c>
    </row>
    <row r="13522" s="76" customFormat="1" spans="1:6">
      <c r="A13522">
        <v>13890</v>
      </c>
      <c r="B13522">
        <v>642020270</v>
      </c>
      <c r="C13522" s="76">
        <v>2020</v>
      </c>
      <c r="D13522" s="76" t="s">
        <v>31</v>
      </c>
      <c r="E13522" s="76" t="s">
        <v>32</v>
      </c>
      <c r="F13522" s="76">
        <v>10</v>
      </c>
    </row>
    <row r="13523" s="76" customFormat="1" spans="1:6">
      <c r="A13523">
        <v>13884</v>
      </c>
      <c r="B13523">
        <v>642020270</v>
      </c>
      <c r="C13523" s="76">
        <v>2020</v>
      </c>
      <c r="D13523" s="76" t="s">
        <v>31</v>
      </c>
      <c r="E13523" s="76" t="s">
        <v>32</v>
      </c>
      <c r="F13523" s="76">
        <v>20</v>
      </c>
    </row>
    <row r="13524" s="76" customFormat="1" spans="1:6">
      <c r="A13524">
        <v>13892</v>
      </c>
      <c r="B13524">
        <v>642020270</v>
      </c>
      <c r="C13524" s="76">
        <v>2020</v>
      </c>
      <c r="D13524" s="76" t="s">
        <v>31</v>
      </c>
      <c r="E13524" s="76" t="s">
        <v>32</v>
      </c>
      <c r="F13524" s="76">
        <v>15</v>
      </c>
    </row>
    <row r="13525" s="76" customFormat="1" spans="1:6">
      <c r="A13525">
        <v>13896</v>
      </c>
      <c r="B13525">
        <v>642020270</v>
      </c>
      <c r="C13525" s="76">
        <v>2020</v>
      </c>
      <c r="D13525" s="76" t="s">
        <v>31</v>
      </c>
      <c r="E13525" s="76" t="s">
        <v>32</v>
      </c>
      <c r="F13525" s="76">
        <v>15</v>
      </c>
    </row>
    <row r="13526" s="76" customFormat="1" spans="1:6">
      <c r="A13526">
        <v>13897</v>
      </c>
      <c r="B13526">
        <v>642020270</v>
      </c>
      <c r="C13526" s="76">
        <v>2020</v>
      </c>
      <c r="D13526" s="76" t="s">
        <v>31</v>
      </c>
      <c r="E13526" s="76" t="s">
        <v>32</v>
      </c>
      <c r="F13526" s="76">
        <v>20</v>
      </c>
    </row>
    <row r="13527" s="76" customFormat="1" spans="1:6">
      <c r="A13527">
        <v>13898</v>
      </c>
      <c r="B13527">
        <v>642020270</v>
      </c>
      <c r="C13527" s="76">
        <v>2020</v>
      </c>
      <c r="D13527" s="76" t="s">
        <v>31</v>
      </c>
      <c r="E13527" s="76" t="s">
        <v>32</v>
      </c>
      <c r="F13527" s="76">
        <v>20</v>
      </c>
    </row>
    <row r="13528" s="76" customFormat="1" spans="1:6">
      <c r="A13528">
        <v>13899</v>
      </c>
      <c r="B13528">
        <v>642020270</v>
      </c>
      <c r="C13528" s="76">
        <v>2020</v>
      </c>
      <c r="D13528" s="76" t="s">
        <v>31</v>
      </c>
      <c r="E13528" s="76" t="s">
        <v>32</v>
      </c>
      <c r="F13528" s="76">
        <v>20</v>
      </c>
    </row>
    <row r="13529" s="76" customFormat="1" spans="1:6">
      <c r="A13529">
        <v>13893</v>
      </c>
      <c r="B13529">
        <v>642020270</v>
      </c>
      <c r="C13529" s="76">
        <v>2020</v>
      </c>
      <c r="D13529" s="76" t="s">
        <v>31</v>
      </c>
      <c r="E13529" s="76" t="s">
        <v>32</v>
      </c>
      <c r="F13529" s="76">
        <v>3</v>
      </c>
    </row>
    <row r="13530" s="76" customFormat="1" spans="1:6">
      <c r="A13530">
        <v>13887</v>
      </c>
      <c r="B13530">
        <v>642020270</v>
      </c>
      <c r="C13530" s="76">
        <v>2020</v>
      </c>
      <c r="D13530" s="76" t="s">
        <v>31</v>
      </c>
      <c r="E13530" s="76" t="s">
        <v>32</v>
      </c>
      <c r="F13530" s="76">
        <v>9</v>
      </c>
    </row>
    <row r="13531" s="76" customFormat="1" spans="1:6">
      <c r="A13531">
        <v>13901</v>
      </c>
      <c r="B13531">
        <v>642021241</v>
      </c>
      <c r="C13531" s="76">
        <v>2021</v>
      </c>
      <c r="D13531" s="76" t="s">
        <v>33</v>
      </c>
      <c r="E13531" s="76" t="s">
        <v>32</v>
      </c>
      <c r="F13531" s="76">
        <v>0.4</v>
      </c>
    </row>
    <row r="13532" s="76" customFormat="1" spans="1:6">
      <c r="A13532">
        <v>13900</v>
      </c>
      <c r="B13532">
        <v>642021241</v>
      </c>
      <c r="C13532" s="76">
        <v>2021</v>
      </c>
      <c r="D13532" s="76" t="s">
        <v>33</v>
      </c>
      <c r="E13532" s="76" t="s">
        <v>32</v>
      </c>
      <c r="F13532" s="76">
        <v>8</v>
      </c>
    </row>
    <row r="13533" s="76" customFormat="1" spans="1:6">
      <c r="A13533">
        <v>13902</v>
      </c>
      <c r="B13533">
        <v>642021242</v>
      </c>
      <c r="C13533" s="76">
        <v>2021</v>
      </c>
      <c r="D13533" s="76" t="s">
        <v>35</v>
      </c>
      <c r="E13533" s="76">
        <v>1</v>
      </c>
      <c r="F13533" s="76">
        <v>1.2</v>
      </c>
    </row>
    <row r="13534" s="76" customFormat="1" spans="1:6">
      <c r="A13534">
        <v>13913</v>
      </c>
      <c r="B13534">
        <v>642021260</v>
      </c>
      <c r="C13534" s="76">
        <v>2021</v>
      </c>
      <c r="D13534" s="76" t="s">
        <v>34</v>
      </c>
      <c r="E13534" s="76" t="s">
        <v>32</v>
      </c>
      <c r="F13534" s="76">
        <v>3.7</v>
      </c>
    </row>
    <row r="13535" s="76" customFormat="1" spans="1:6">
      <c r="A13535">
        <v>13906</v>
      </c>
      <c r="B13535">
        <v>642021260</v>
      </c>
      <c r="C13535" s="76">
        <v>2021</v>
      </c>
      <c r="D13535" s="76" t="s">
        <v>34</v>
      </c>
      <c r="E13535" s="76">
        <v>24</v>
      </c>
      <c r="F13535" s="76">
        <v>7.2</v>
      </c>
    </row>
    <row r="13536" s="76" customFormat="1" spans="1:6">
      <c r="A13536">
        <v>13907</v>
      </c>
      <c r="B13536">
        <v>642021260</v>
      </c>
      <c r="C13536" s="76">
        <v>2021</v>
      </c>
      <c r="D13536" s="76" t="s">
        <v>34</v>
      </c>
      <c r="E13536" s="76">
        <v>17</v>
      </c>
      <c r="F13536" s="76">
        <v>5.1</v>
      </c>
    </row>
    <row r="13537" s="76" customFormat="1" spans="1:6">
      <c r="A13537">
        <v>13905</v>
      </c>
      <c r="B13537">
        <v>642021260</v>
      </c>
      <c r="C13537" s="76">
        <v>2021</v>
      </c>
      <c r="D13537" s="76" t="s">
        <v>34</v>
      </c>
      <c r="E13537" s="76">
        <v>33</v>
      </c>
      <c r="F13537" s="76">
        <v>10</v>
      </c>
    </row>
    <row r="13538" s="76" customFormat="1" spans="1:6">
      <c r="A13538">
        <v>13909</v>
      </c>
      <c r="B13538">
        <v>642021260</v>
      </c>
      <c r="C13538" s="76">
        <v>2021</v>
      </c>
      <c r="D13538" s="76" t="s">
        <v>34</v>
      </c>
      <c r="E13538" s="76">
        <v>14</v>
      </c>
      <c r="F13538" s="76">
        <v>4.75</v>
      </c>
    </row>
    <row r="13539" s="76" customFormat="1" spans="1:6">
      <c r="A13539">
        <v>13908</v>
      </c>
      <c r="B13539">
        <v>642021260</v>
      </c>
      <c r="C13539" s="76">
        <v>2021</v>
      </c>
      <c r="D13539" s="76" t="s">
        <v>34</v>
      </c>
      <c r="E13539" s="76" t="s">
        <v>32</v>
      </c>
      <c r="F13539" s="76">
        <v>7</v>
      </c>
    </row>
    <row r="13540" s="76" customFormat="1" spans="1:6">
      <c r="A13540">
        <v>13912</v>
      </c>
      <c r="B13540">
        <v>642021260</v>
      </c>
      <c r="C13540" s="76">
        <v>2021</v>
      </c>
      <c r="D13540" s="76" t="s">
        <v>34</v>
      </c>
      <c r="E13540" s="76" t="s">
        <v>32</v>
      </c>
      <c r="F13540" s="76">
        <v>9.9</v>
      </c>
    </row>
    <row r="13541" s="76" customFormat="1" spans="1:6">
      <c r="A13541">
        <v>13910</v>
      </c>
      <c r="B13541">
        <v>642021260</v>
      </c>
      <c r="C13541" s="76">
        <v>2021</v>
      </c>
      <c r="D13541" s="76" t="s">
        <v>34</v>
      </c>
      <c r="E13541" s="76" t="s">
        <v>32</v>
      </c>
      <c r="F13541" s="76">
        <v>15</v>
      </c>
    </row>
    <row r="13542" s="76" customFormat="1" spans="1:6">
      <c r="A13542">
        <v>13904</v>
      </c>
      <c r="B13542">
        <v>642021260</v>
      </c>
      <c r="C13542" s="76">
        <v>2021</v>
      </c>
      <c r="D13542" s="76" t="s">
        <v>34</v>
      </c>
      <c r="E13542" s="76">
        <v>4</v>
      </c>
      <c r="F13542" s="76">
        <v>1</v>
      </c>
    </row>
    <row r="13543" s="76" customFormat="1" spans="1:6">
      <c r="A13543">
        <v>13903</v>
      </c>
      <c r="B13543">
        <v>642021260</v>
      </c>
      <c r="C13543" s="76">
        <v>2021</v>
      </c>
      <c r="D13543" s="76" t="s">
        <v>34</v>
      </c>
      <c r="E13543" s="76">
        <v>14</v>
      </c>
      <c r="F13543" s="76">
        <v>5</v>
      </c>
    </row>
    <row r="13544" s="76" customFormat="1" spans="1:6">
      <c r="A13544">
        <v>13911</v>
      </c>
      <c r="B13544">
        <v>642021260</v>
      </c>
      <c r="C13544" s="76">
        <v>2021</v>
      </c>
      <c r="D13544" s="76" t="s">
        <v>34</v>
      </c>
      <c r="E13544" s="76" t="s">
        <v>32</v>
      </c>
      <c r="F13544" s="76">
        <v>10</v>
      </c>
    </row>
    <row r="13545" s="76" customFormat="1" spans="1:6">
      <c r="A13545">
        <v>13914</v>
      </c>
      <c r="B13545">
        <v>642021270</v>
      </c>
      <c r="C13545" s="76">
        <v>2021</v>
      </c>
      <c r="D13545" s="76" t="s">
        <v>31</v>
      </c>
      <c r="E13545" s="76" t="s">
        <v>32</v>
      </c>
      <c r="F13545" s="76">
        <v>2</v>
      </c>
    </row>
    <row r="13546" s="76" customFormat="1" spans="1:6">
      <c r="A13546">
        <v>13927</v>
      </c>
      <c r="B13546">
        <v>642021270</v>
      </c>
      <c r="C13546" s="76">
        <v>2021</v>
      </c>
      <c r="D13546" s="76" t="s">
        <v>31</v>
      </c>
      <c r="E13546" s="76" t="s">
        <v>32</v>
      </c>
      <c r="F13546" s="76">
        <v>1.6</v>
      </c>
    </row>
    <row r="13547" s="76" customFormat="1" spans="1:6">
      <c r="A13547">
        <v>13926</v>
      </c>
      <c r="B13547">
        <v>642021270</v>
      </c>
      <c r="C13547" s="76">
        <v>2021</v>
      </c>
      <c r="D13547" s="76" t="s">
        <v>31</v>
      </c>
      <c r="E13547" s="76" t="s">
        <v>32</v>
      </c>
      <c r="F13547" s="76">
        <v>0.9</v>
      </c>
    </row>
    <row r="13548" s="76" customFormat="1" spans="1:6">
      <c r="A13548">
        <v>13920</v>
      </c>
      <c r="B13548">
        <v>642021270</v>
      </c>
      <c r="C13548" s="76">
        <v>2021</v>
      </c>
      <c r="D13548" s="76" t="s">
        <v>31</v>
      </c>
      <c r="E13548" s="76" t="s">
        <v>32</v>
      </c>
      <c r="F13548" s="76">
        <v>5</v>
      </c>
    </row>
    <row r="13549" s="76" customFormat="1" spans="1:6">
      <c r="A13549">
        <v>13925</v>
      </c>
      <c r="B13549">
        <v>642021270</v>
      </c>
      <c r="C13549" s="76">
        <v>2021</v>
      </c>
      <c r="D13549" s="76" t="s">
        <v>31</v>
      </c>
      <c r="E13549" s="76" t="s">
        <v>32</v>
      </c>
      <c r="F13549" s="76">
        <v>1.77</v>
      </c>
    </row>
    <row r="13550" s="76" customFormat="1" spans="1:6">
      <c r="A13550">
        <v>13918</v>
      </c>
      <c r="B13550">
        <v>642021270</v>
      </c>
      <c r="C13550" s="76">
        <v>2021</v>
      </c>
      <c r="D13550" s="76" t="s">
        <v>31</v>
      </c>
      <c r="E13550" s="76" t="s">
        <v>32</v>
      </c>
      <c r="F13550" s="76">
        <v>0.45</v>
      </c>
    </row>
    <row r="13551" s="76" customFormat="1" spans="1:6">
      <c r="A13551">
        <v>13916</v>
      </c>
      <c r="B13551">
        <v>642021270</v>
      </c>
      <c r="C13551" s="76">
        <v>2021</v>
      </c>
      <c r="D13551" s="76" t="s">
        <v>31</v>
      </c>
      <c r="E13551" s="76" t="s">
        <v>32</v>
      </c>
      <c r="F13551" s="76">
        <v>0.35</v>
      </c>
    </row>
    <row r="13552" s="76" customFormat="1" spans="1:6">
      <c r="A13552">
        <v>13937</v>
      </c>
      <c r="B13552">
        <v>642021270</v>
      </c>
      <c r="C13552" s="76">
        <v>2021</v>
      </c>
      <c r="D13552" s="76" t="s">
        <v>31</v>
      </c>
      <c r="E13552" s="76" t="s">
        <v>32</v>
      </c>
      <c r="F13552" s="76">
        <v>0.52</v>
      </c>
    </row>
    <row r="13553" s="76" customFormat="1" spans="1:6">
      <c r="A13553">
        <v>13940</v>
      </c>
      <c r="B13553">
        <v>642021270</v>
      </c>
      <c r="C13553" s="76">
        <v>2021</v>
      </c>
      <c r="D13553" s="76" t="s">
        <v>31</v>
      </c>
      <c r="E13553" s="76" t="s">
        <v>32</v>
      </c>
      <c r="F13553" s="76">
        <v>30</v>
      </c>
    </row>
    <row r="13554" s="76" customFormat="1" spans="1:6">
      <c r="A13554">
        <v>13932</v>
      </c>
      <c r="B13554">
        <v>642021270</v>
      </c>
      <c r="C13554" s="76">
        <v>2021</v>
      </c>
      <c r="D13554" s="76" t="s">
        <v>31</v>
      </c>
      <c r="E13554" s="76" t="s">
        <v>32</v>
      </c>
      <c r="F13554" s="76">
        <v>0.59</v>
      </c>
    </row>
    <row r="13555" s="76" customFormat="1" spans="1:6">
      <c r="A13555">
        <v>13935</v>
      </c>
      <c r="B13555">
        <v>642021270</v>
      </c>
      <c r="C13555" s="76">
        <v>2021</v>
      </c>
      <c r="D13555" s="76" t="s">
        <v>31</v>
      </c>
      <c r="E13555" s="76" t="s">
        <v>32</v>
      </c>
      <c r="F13555" s="76">
        <v>0.54</v>
      </c>
    </row>
    <row r="13556" s="76" customFormat="1" spans="1:6">
      <c r="A13556">
        <v>13933</v>
      </c>
      <c r="B13556">
        <v>642021270</v>
      </c>
      <c r="C13556" s="76">
        <v>2021</v>
      </c>
      <c r="D13556" s="76" t="s">
        <v>31</v>
      </c>
      <c r="E13556" s="76" t="s">
        <v>32</v>
      </c>
      <c r="F13556" s="76">
        <v>0.59</v>
      </c>
    </row>
    <row r="13557" s="76" customFormat="1" spans="1:6">
      <c r="A13557">
        <v>13928</v>
      </c>
      <c r="B13557">
        <v>642021270</v>
      </c>
      <c r="C13557" s="76">
        <v>2021</v>
      </c>
      <c r="D13557" s="76" t="s">
        <v>31</v>
      </c>
      <c r="E13557" s="76" t="s">
        <v>32</v>
      </c>
      <c r="F13557" s="76">
        <v>0.6</v>
      </c>
    </row>
    <row r="13558" s="76" customFormat="1" spans="1:6">
      <c r="A13558">
        <v>13931</v>
      </c>
      <c r="B13558">
        <v>642021270</v>
      </c>
      <c r="C13558" s="76">
        <v>2021</v>
      </c>
      <c r="D13558" s="76" t="s">
        <v>31</v>
      </c>
      <c r="E13558" s="76" t="s">
        <v>32</v>
      </c>
      <c r="F13558" s="76">
        <v>0.59</v>
      </c>
    </row>
    <row r="13559" s="76" customFormat="1" spans="1:6">
      <c r="A13559">
        <v>13936</v>
      </c>
      <c r="B13559">
        <v>642021270</v>
      </c>
      <c r="C13559" s="76">
        <v>2021</v>
      </c>
      <c r="D13559" s="76" t="s">
        <v>31</v>
      </c>
      <c r="E13559" s="76" t="s">
        <v>32</v>
      </c>
      <c r="F13559" s="76">
        <v>0.57</v>
      </c>
    </row>
    <row r="13560" s="76" customFormat="1" spans="1:6">
      <c r="A13560">
        <v>13942</v>
      </c>
      <c r="B13560">
        <v>642021270</v>
      </c>
      <c r="C13560" s="76">
        <v>2021</v>
      </c>
      <c r="D13560" s="76" t="s">
        <v>31</v>
      </c>
      <c r="E13560" s="76" t="s">
        <v>32</v>
      </c>
      <c r="F13560" s="76">
        <v>20</v>
      </c>
    </row>
    <row r="13561" s="76" customFormat="1" spans="1:6">
      <c r="A13561">
        <v>13943</v>
      </c>
      <c r="B13561">
        <v>642021270</v>
      </c>
      <c r="C13561" s="76">
        <v>2021</v>
      </c>
      <c r="D13561" s="76" t="s">
        <v>31</v>
      </c>
      <c r="E13561" s="76" t="s">
        <v>32</v>
      </c>
      <c r="F13561" s="76">
        <v>10.2</v>
      </c>
    </row>
    <row r="13562" s="76" customFormat="1" spans="1:6">
      <c r="A13562">
        <v>13944</v>
      </c>
      <c r="B13562">
        <v>642021270</v>
      </c>
      <c r="C13562" s="76">
        <v>2021</v>
      </c>
      <c r="D13562" s="76" t="s">
        <v>31</v>
      </c>
      <c r="E13562" s="76" t="s">
        <v>32</v>
      </c>
      <c r="F13562" s="76">
        <v>15</v>
      </c>
    </row>
    <row r="13563" s="76" customFormat="1" spans="1:6">
      <c r="A13563">
        <v>13938</v>
      </c>
      <c r="B13563">
        <v>642021270</v>
      </c>
      <c r="C13563" s="76">
        <v>2021</v>
      </c>
      <c r="D13563" s="76" t="s">
        <v>31</v>
      </c>
      <c r="E13563" s="76" t="s">
        <v>32</v>
      </c>
      <c r="F13563" s="76">
        <v>1.36</v>
      </c>
    </row>
    <row r="13564" s="76" customFormat="1" spans="1:6">
      <c r="A13564">
        <v>13930</v>
      </c>
      <c r="B13564">
        <v>642021270</v>
      </c>
      <c r="C13564" s="76">
        <v>2021</v>
      </c>
      <c r="D13564" s="76" t="s">
        <v>31</v>
      </c>
      <c r="E13564" s="76" t="s">
        <v>32</v>
      </c>
      <c r="F13564" s="76">
        <v>0.51</v>
      </c>
    </row>
    <row r="13565" s="76" customFormat="1" spans="1:6">
      <c r="A13565">
        <v>13929</v>
      </c>
      <c r="B13565">
        <v>642021270</v>
      </c>
      <c r="C13565" s="76">
        <v>2021</v>
      </c>
      <c r="D13565" s="76" t="s">
        <v>31</v>
      </c>
      <c r="E13565" s="76" t="s">
        <v>32</v>
      </c>
      <c r="F13565" s="76">
        <v>0.6</v>
      </c>
    </row>
    <row r="13566" s="76" customFormat="1" spans="1:6">
      <c r="A13566">
        <v>13941</v>
      </c>
      <c r="B13566">
        <v>642021270</v>
      </c>
      <c r="C13566" s="76">
        <v>2021</v>
      </c>
      <c r="D13566" s="76" t="s">
        <v>31</v>
      </c>
      <c r="E13566" s="76" t="s">
        <v>32</v>
      </c>
      <c r="F13566" s="76">
        <v>3.52</v>
      </c>
    </row>
    <row r="13567" s="76" customFormat="1" spans="1:6">
      <c r="A13567">
        <v>13921</v>
      </c>
      <c r="B13567">
        <v>642021270</v>
      </c>
      <c r="C13567" s="76">
        <v>2021</v>
      </c>
      <c r="D13567" s="76" t="s">
        <v>31</v>
      </c>
      <c r="E13567" s="76" t="s">
        <v>32</v>
      </c>
      <c r="F13567" s="76">
        <v>20</v>
      </c>
    </row>
    <row r="13568" s="76" customFormat="1" spans="1:6">
      <c r="A13568">
        <v>13922</v>
      </c>
      <c r="B13568">
        <v>642021270</v>
      </c>
      <c r="C13568" s="76">
        <v>2021</v>
      </c>
      <c r="D13568" s="76" t="s">
        <v>31</v>
      </c>
      <c r="E13568" s="76" t="s">
        <v>32</v>
      </c>
      <c r="F13568" s="76">
        <v>15</v>
      </c>
    </row>
    <row r="13569" s="76" customFormat="1" spans="1:6">
      <c r="A13569">
        <v>13934</v>
      </c>
      <c r="B13569">
        <v>642021270</v>
      </c>
      <c r="C13569" s="76">
        <v>2021</v>
      </c>
      <c r="D13569" s="76" t="s">
        <v>31</v>
      </c>
      <c r="E13569" s="76" t="s">
        <v>32</v>
      </c>
      <c r="F13569" s="76">
        <v>0.6</v>
      </c>
    </row>
    <row r="13570" s="76" customFormat="1" spans="1:6">
      <c r="A13570">
        <v>13939</v>
      </c>
      <c r="B13570">
        <v>642021270</v>
      </c>
      <c r="C13570" s="76">
        <v>2021</v>
      </c>
      <c r="D13570" s="76" t="s">
        <v>31</v>
      </c>
      <c r="E13570" s="76" t="s">
        <v>32</v>
      </c>
      <c r="F13570" s="76">
        <v>0.6</v>
      </c>
    </row>
    <row r="13571" s="76" customFormat="1" spans="1:6">
      <c r="A13571">
        <v>13919</v>
      </c>
      <c r="B13571">
        <v>642021270</v>
      </c>
      <c r="C13571" s="76">
        <v>2021</v>
      </c>
      <c r="D13571" s="76" t="s">
        <v>31</v>
      </c>
      <c r="E13571" s="76" t="s">
        <v>32</v>
      </c>
      <c r="F13571" s="76">
        <v>1</v>
      </c>
    </row>
    <row r="13572" s="76" customFormat="1" spans="1:6">
      <c r="A13572">
        <v>13923</v>
      </c>
      <c r="B13572">
        <v>642021270</v>
      </c>
      <c r="C13572" s="76">
        <v>2021</v>
      </c>
      <c r="D13572" s="76" t="s">
        <v>31</v>
      </c>
      <c r="E13572" s="76" t="s">
        <v>32</v>
      </c>
      <c r="F13572" s="76">
        <v>0.6</v>
      </c>
    </row>
    <row r="13573" s="76" customFormat="1" spans="1:6">
      <c r="A13573">
        <v>13915</v>
      </c>
      <c r="B13573">
        <v>642021270</v>
      </c>
      <c r="C13573" s="76">
        <v>2021</v>
      </c>
      <c r="D13573" s="76" t="s">
        <v>31</v>
      </c>
      <c r="E13573" s="76" t="s">
        <v>32</v>
      </c>
      <c r="F13573" s="76">
        <v>9</v>
      </c>
    </row>
    <row r="13574" s="76" customFormat="1" spans="1:6">
      <c r="A13574">
        <v>13917</v>
      </c>
      <c r="B13574">
        <v>642021270</v>
      </c>
      <c r="C13574" s="76">
        <v>2021</v>
      </c>
      <c r="D13574" s="76" t="s">
        <v>31</v>
      </c>
      <c r="E13574" s="76" t="s">
        <v>32</v>
      </c>
      <c r="F13574" s="76">
        <v>5</v>
      </c>
    </row>
    <row r="13575" s="76" customFormat="1" spans="1:6">
      <c r="A13575">
        <v>13945</v>
      </c>
      <c r="B13575">
        <v>642021270</v>
      </c>
      <c r="C13575" s="76">
        <v>2021</v>
      </c>
      <c r="D13575" s="76" t="s">
        <v>31</v>
      </c>
      <c r="E13575" s="76" t="s">
        <v>32</v>
      </c>
      <c r="F13575" s="76">
        <v>20</v>
      </c>
    </row>
    <row r="13576" s="76" customFormat="1" spans="1:6">
      <c r="A13576">
        <v>13946</v>
      </c>
      <c r="B13576">
        <v>642021270</v>
      </c>
      <c r="C13576" s="76">
        <v>2021</v>
      </c>
      <c r="D13576" s="76" t="s">
        <v>31</v>
      </c>
      <c r="E13576" s="76" t="s">
        <v>32</v>
      </c>
      <c r="F13576" s="76">
        <v>17</v>
      </c>
    </row>
    <row r="13577" s="76" customFormat="1" spans="1:6">
      <c r="A13577">
        <v>13949</v>
      </c>
      <c r="B13577">
        <v>652012110</v>
      </c>
      <c r="C13577">
        <v>2012</v>
      </c>
      <c r="D13577" t="s">
        <v>40</v>
      </c>
      <c r="E13577">
        <v>4</v>
      </c>
      <c r="F13577">
        <v>1.12</v>
      </c>
    </row>
    <row r="13578" s="76" customFormat="1" spans="1:6">
      <c r="A13578">
        <v>13947</v>
      </c>
      <c r="B13578">
        <v>652012110</v>
      </c>
      <c r="C13578">
        <v>2012</v>
      </c>
      <c r="D13578" t="s">
        <v>40</v>
      </c>
      <c r="E13578">
        <v>4</v>
      </c>
      <c r="F13578">
        <v>9.6</v>
      </c>
    </row>
    <row r="13579" s="76" customFormat="1" spans="1:6">
      <c r="A13579">
        <v>13953</v>
      </c>
      <c r="B13579">
        <v>652012110</v>
      </c>
      <c r="C13579">
        <v>2012</v>
      </c>
      <c r="D13579" t="s">
        <v>40</v>
      </c>
      <c r="E13579">
        <v>8</v>
      </c>
      <c r="F13579">
        <v>24.8</v>
      </c>
    </row>
    <row r="13580" s="76" customFormat="1" spans="1:6">
      <c r="A13580">
        <v>13948</v>
      </c>
      <c r="B13580">
        <v>652012110</v>
      </c>
      <c r="C13580">
        <v>2012</v>
      </c>
      <c r="D13580" t="s">
        <v>40</v>
      </c>
      <c r="E13580">
        <v>4</v>
      </c>
      <c r="F13580">
        <v>1.36</v>
      </c>
    </row>
    <row r="13581" s="76" customFormat="1" spans="1:6">
      <c r="A13581">
        <v>13951</v>
      </c>
      <c r="B13581">
        <v>652012110</v>
      </c>
      <c r="C13581">
        <v>2012</v>
      </c>
      <c r="D13581" t="s">
        <v>40</v>
      </c>
      <c r="E13581">
        <v>5</v>
      </c>
      <c r="F13581">
        <v>13.75</v>
      </c>
    </row>
    <row r="13582" s="76" customFormat="1" spans="1:6">
      <c r="A13582">
        <v>13952</v>
      </c>
      <c r="B13582">
        <v>652012110</v>
      </c>
      <c r="C13582">
        <v>2012</v>
      </c>
      <c r="D13582" t="s">
        <v>40</v>
      </c>
      <c r="E13582">
        <v>1</v>
      </c>
      <c r="F13582">
        <v>4.5</v>
      </c>
    </row>
    <row r="13583" s="76" customFormat="1" spans="1:6">
      <c r="A13583">
        <v>13956</v>
      </c>
      <c r="B13583">
        <v>652012110</v>
      </c>
      <c r="C13583">
        <v>2012</v>
      </c>
      <c r="D13583" t="s">
        <v>40</v>
      </c>
      <c r="E13583">
        <v>3</v>
      </c>
      <c r="F13583">
        <v>6.5</v>
      </c>
    </row>
    <row r="13584" s="76" customFormat="1" spans="1:6">
      <c r="A13584">
        <v>13950</v>
      </c>
      <c r="B13584">
        <v>652012110</v>
      </c>
      <c r="C13584">
        <v>2012</v>
      </c>
      <c r="D13584" t="s">
        <v>40</v>
      </c>
      <c r="E13584">
        <v>6</v>
      </c>
      <c r="F13584">
        <v>1.8</v>
      </c>
    </row>
    <row r="13585" s="76" customFormat="1" spans="1:6">
      <c r="A13585">
        <v>13955</v>
      </c>
      <c r="B13585">
        <v>652012110</v>
      </c>
      <c r="C13585">
        <v>2012</v>
      </c>
      <c r="D13585" t="s">
        <v>40</v>
      </c>
      <c r="E13585">
        <v>4</v>
      </c>
      <c r="F13585">
        <v>4.8</v>
      </c>
    </row>
    <row r="13586" s="76" customFormat="1" spans="1:6">
      <c r="A13586">
        <v>13954</v>
      </c>
      <c r="B13586">
        <v>652012110</v>
      </c>
      <c r="C13586">
        <v>2012</v>
      </c>
      <c r="D13586" t="s">
        <v>40</v>
      </c>
      <c r="E13586">
        <v>4</v>
      </c>
      <c r="F13586">
        <v>4.8</v>
      </c>
    </row>
    <row r="13587" s="76" customFormat="1" spans="1:6">
      <c r="A13587">
        <v>13974</v>
      </c>
      <c r="B13587">
        <v>652012211</v>
      </c>
      <c r="C13587">
        <v>2012</v>
      </c>
      <c r="D13587" t="s">
        <v>37</v>
      </c>
      <c r="E13587">
        <v>1</v>
      </c>
      <c r="F13587">
        <v>33</v>
      </c>
    </row>
    <row r="13588" s="76" customFormat="1" spans="1:6">
      <c r="A13588">
        <v>13957</v>
      </c>
      <c r="B13588">
        <v>652012211</v>
      </c>
      <c r="C13588">
        <v>2012</v>
      </c>
      <c r="D13588" t="s">
        <v>37</v>
      </c>
      <c r="E13588">
        <v>1</v>
      </c>
      <c r="F13588">
        <v>33</v>
      </c>
    </row>
    <row r="13589" s="76" customFormat="1" spans="1:6">
      <c r="A13589">
        <v>13960</v>
      </c>
      <c r="B13589">
        <v>652012211</v>
      </c>
      <c r="C13589">
        <v>2012</v>
      </c>
      <c r="D13589" t="s">
        <v>37</v>
      </c>
      <c r="E13589">
        <v>2</v>
      </c>
      <c r="F13589">
        <v>0.9</v>
      </c>
    </row>
    <row r="13590" s="76" customFormat="1" spans="1:6">
      <c r="A13590">
        <v>13964</v>
      </c>
      <c r="B13590">
        <v>652012211</v>
      </c>
      <c r="C13590">
        <v>2012</v>
      </c>
      <c r="D13590" t="s">
        <v>37</v>
      </c>
      <c r="E13590">
        <v>1</v>
      </c>
      <c r="F13590">
        <v>35</v>
      </c>
    </row>
    <row r="13591" s="76" customFormat="1" spans="1:6">
      <c r="A13591">
        <v>13966</v>
      </c>
      <c r="B13591">
        <v>652012211</v>
      </c>
      <c r="C13591">
        <v>2012</v>
      </c>
      <c r="D13591" t="s">
        <v>37</v>
      </c>
      <c r="E13591">
        <v>1</v>
      </c>
      <c r="F13591">
        <v>30</v>
      </c>
    </row>
    <row r="13592" s="76" customFormat="1" spans="1:6">
      <c r="A13592">
        <v>13967</v>
      </c>
      <c r="B13592">
        <v>652012211</v>
      </c>
      <c r="C13592">
        <v>2012</v>
      </c>
      <c r="D13592" t="s">
        <v>37</v>
      </c>
      <c r="E13592">
        <v>1</v>
      </c>
      <c r="F13592">
        <v>30</v>
      </c>
    </row>
    <row r="13593" s="76" customFormat="1" spans="1:6">
      <c r="A13593">
        <v>13962</v>
      </c>
      <c r="B13593">
        <v>652012211</v>
      </c>
      <c r="C13593">
        <v>2012</v>
      </c>
      <c r="D13593" t="s">
        <v>37</v>
      </c>
      <c r="E13593">
        <v>1</v>
      </c>
      <c r="F13593">
        <v>35</v>
      </c>
    </row>
    <row r="13594" s="76" customFormat="1" spans="1:6">
      <c r="A13594">
        <v>13963</v>
      </c>
      <c r="B13594">
        <v>652012211</v>
      </c>
      <c r="C13594">
        <v>2012</v>
      </c>
      <c r="D13594" t="s">
        <v>37</v>
      </c>
      <c r="E13594">
        <v>1</v>
      </c>
      <c r="F13594">
        <v>35</v>
      </c>
    </row>
    <row r="13595" s="76" customFormat="1" spans="1:6">
      <c r="A13595">
        <v>13965</v>
      </c>
      <c r="B13595">
        <v>652012211</v>
      </c>
      <c r="C13595">
        <v>2012</v>
      </c>
      <c r="D13595" t="s">
        <v>37</v>
      </c>
      <c r="E13595">
        <v>1</v>
      </c>
      <c r="F13595">
        <v>33</v>
      </c>
    </row>
    <row r="13596" s="76" customFormat="1" spans="1:6">
      <c r="A13596">
        <v>13972</v>
      </c>
      <c r="B13596">
        <v>652012211</v>
      </c>
      <c r="C13596">
        <v>2012</v>
      </c>
      <c r="D13596" t="s">
        <v>37</v>
      </c>
      <c r="E13596">
        <v>1</v>
      </c>
      <c r="F13596">
        <v>12.5</v>
      </c>
    </row>
    <row r="13597" s="76" customFormat="1" spans="1:6">
      <c r="A13597">
        <v>13968</v>
      </c>
      <c r="B13597">
        <v>652012211</v>
      </c>
      <c r="C13597">
        <v>2012</v>
      </c>
      <c r="D13597" t="s">
        <v>37</v>
      </c>
      <c r="E13597">
        <v>1</v>
      </c>
      <c r="F13597">
        <v>15</v>
      </c>
    </row>
    <row r="13598" s="76" customFormat="1" spans="1:6">
      <c r="A13598">
        <v>13969</v>
      </c>
      <c r="B13598">
        <v>652012211</v>
      </c>
      <c r="C13598">
        <v>2012</v>
      </c>
      <c r="D13598" t="s">
        <v>37</v>
      </c>
      <c r="E13598">
        <v>1</v>
      </c>
      <c r="F13598">
        <v>15</v>
      </c>
    </row>
    <row r="13599" s="76" customFormat="1" spans="1:6">
      <c r="A13599">
        <v>13970</v>
      </c>
      <c r="B13599">
        <v>652012211</v>
      </c>
      <c r="C13599">
        <v>2012</v>
      </c>
      <c r="D13599" t="s">
        <v>37</v>
      </c>
      <c r="E13599">
        <v>1</v>
      </c>
      <c r="F13599">
        <v>15</v>
      </c>
    </row>
    <row r="13600" s="76" customFormat="1" spans="1:6">
      <c r="A13600">
        <v>13971</v>
      </c>
      <c r="B13600">
        <v>652012211</v>
      </c>
      <c r="C13600">
        <v>2012</v>
      </c>
      <c r="D13600" t="s">
        <v>37</v>
      </c>
      <c r="E13600">
        <v>1</v>
      </c>
      <c r="F13600">
        <v>15</v>
      </c>
    </row>
    <row r="13601" s="76" customFormat="1" spans="1:6">
      <c r="A13601">
        <v>13973</v>
      </c>
      <c r="B13601">
        <v>652012211</v>
      </c>
      <c r="C13601">
        <v>2012</v>
      </c>
      <c r="D13601" t="s">
        <v>37</v>
      </c>
      <c r="E13601">
        <v>1</v>
      </c>
      <c r="F13601">
        <v>33</v>
      </c>
    </row>
    <row r="13602" s="76" customFormat="1" spans="1:6">
      <c r="A13602">
        <v>13961</v>
      </c>
      <c r="B13602">
        <v>652012211</v>
      </c>
      <c r="C13602">
        <v>2012</v>
      </c>
      <c r="D13602" t="s">
        <v>37</v>
      </c>
      <c r="E13602">
        <v>1</v>
      </c>
      <c r="F13602">
        <v>36</v>
      </c>
    </row>
    <row r="13603" s="76" customFormat="1" spans="1:6">
      <c r="A13603">
        <v>13958</v>
      </c>
      <c r="B13603">
        <v>652012211</v>
      </c>
      <c r="C13603">
        <v>2012</v>
      </c>
      <c r="D13603" t="s">
        <v>37</v>
      </c>
      <c r="E13603">
        <v>1</v>
      </c>
      <c r="F13603">
        <v>13.5</v>
      </c>
    </row>
    <row r="13604" s="76" customFormat="1" spans="1:6">
      <c r="A13604">
        <v>13959</v>
      </c>
      <c r="B13604">
        <v>652012211</v>
      </c>
      <c r="C13604">
        <v>2012</v>
      </c>
      <c r="D13604" t="s">
        <v>37</v>
      </c>
      <c r="E13604">
        <v>1</v>
      </c>
      <c r="F13604">
        <v>13.5</v>
      </c>
    </row>
    <row r="13605" s="76" customFormat="1" spans="1:6">
      <c r="A13605">
        <v>13985</v>
      </c>
      <c r="B13605">
        <v>652012260</v>
      </c>
      <c r="C13605">
        <v>2012</v>
      </c>
      <c r="D13605" t="s">
        <v>34</v>
      </c>
      <c r="E13605">
        <v>33</v>
      </c>
      <c r="F13605">
        <v>4.95</v>
      </c>
    </row>
    <row r="13606" s="76" customFormat="1" spans="1:6">
      <c r="A13606">
        <v>13990</v>
      </c>
      <c r="B13606">
        <v>652012260</v>
      </c>
      <c r="C13606">
        <v>2012</v>
      </c>
      <c r="D13606" t="s">
        <v>34</v>
      </c>
      <c r="E13606" t="s">
        <v>32</v>
      </c>
      <c r="F13606">
        <v>4.95</v>
      </c>
    </row>
    <row r="13607" s="76" customFormat="1" spans="1:6">
      <c r="A13607">
        <v>13977</v>
      </c>
      <c r="B13607">
        <v>652012260</v>
      </c>
      <c r="C13607">
        <v>2012</v>
      </c>
      <c r="D13607" t="s">
        <v>34</v>
      </c>
      <c r="E13607">
        <v>33</v>
      </c>
      <c r="F13607">
        <v>4.95</v>
      </c>
    </row>
    <row r="13608" s="76" customFormat="1" spans="1:6">
      <c r="A13608">
        <v>13980</v>
      </c>
      <c r="B13608">
        <v>652012260</v>
      </c>
      <c r="C13608">
        <v>2012</v>
      </c>
      <c r="D13608" t="s">
        <v>34</v>
      </c>
      <c r="E13608">
        <v>33</v>
      </c>
      <c r="F13608">
        <v>4.95</v>
      </c>
    </row>
    <row r="13609" s="76" customFormat="1" spans="1:6">
      <c r="A13609">
        <v>13987</v>
      </c>
      <c r="B13609">
        <v>652012260</v>
      </c>
      <c r="C13609">
        <v>2012</v>
      </c>
      <c r="D13609" t="s">
        <v>34</v>
      </c>
      <c r="E13609" t="s">
        <v>32</v>
      </c>
      <c r="F13609">
        <v>4.95</v>
      </c>
    </row>
    <row r="13610" s="76" customFormat="1" spans="1:6">
      <c r="A13610">
        <v>13986</v>
      </c>
      <c r="B13610">
        <v>652012260</v>
      </c>
      <c r="C13610">
        <v>2012</v>
      </c>
      <c r="D13610" t="s">
        <v>34</v>
      </c>
      <c r="E13610" t="s">
        <v>32</v>
      </c>
      <c r="F13610">
        <v>4.95</v>
      </c>
    </row>
    <row r="13611" s="76" customFormat="1" spans="1:6">
      <c r="A13611">
        <v>13988</v>
      </c>
      <c r="B13611">
        <v>652012260</v>
      </c>
      <c r="C13611">
        <v>2012</v>
      </c>
      <c r="D13611" t="s">
        <v>34</v>
      </c>
      <c r="E13611" t="s">
        <v>32</v>
      </c>
      <c r="F13611">
        <v>4.95</v>
      </c>
    </row>
    <row r="13612" s="76" customFormat="1" spans="1:6">
      <c r="A13612">
        <v>13982</v>
      </c>
      <c r="B13612">
        <v>652012260</v>
      </c>
      <c r="C13612">
        <v>2012</v>
      </c>
      <c r="D13612" t="s">
        <v>34</v>
      </c>
      <c r="E13612">
        <v>33</v>
      </c>
      <c r="F13612">
        <v>4.95</v>
      </c>
    </row>
    <row r="13613" s="76" customFormat="1" spans="1:6">
      <c r="A13613">
        <v>13975</v>
      </c>
      <c r="B13613">
        <v>652012260</v>
      </c>
      <c r="C13613">
        <v>2012</v>
      </c>
      <c r="D13613" t="s">
        <v>34</v>
      </c>
      <c r="E13613">
        <v>33</v>
      </c>
      <c r="F13613">
        <v>4.95</v>
      </c>
    </row>
    <row r="13614" s="76" customFormat="1" spans="1:6">
      <c r="A13614">
        <v>13976</v>
      </c>
      <c r="B13614">
        <v>652012260</v>
      </c>
      <c r="C13614">
        <v>2012</v>
      </c>
      <c r="D13614" t="s">
        <v>34</v>
      </c>
      <c r="E13614">
        <v>33</v>
      </c>
      <c r="F13614">
        <v>4.95</v>
      </c>
    </row>
    <row r="13615" s="76" customFormat="1" spans="1:6">
      <c r="A13615">
        <v>13983</v>
      </c>
      <c r="B13615">
        <v>652012260</v>
      </c>
      <c r="C13615">
        <v>2012</v>
      </c>
      <c r="D13615" t="s">
        <v>34</v>
      </c>
      <c r="E13615">
        <v>33</v>
      </c>
      <c r="F13615">
        <v>4.95</v>
      </c>
    </row>
    <row r="13616" s="76" customFormat="1" spans="1:6">
      <c r="A13616">
        <v>13984</v>
      </c>
      <c r="B13616">
        <v>652012260</v>
      </c>
      <c r="C13616">
        <v>2012</v>
      </c>
      <c r="D13616" t="s">
        <v>34</v>
      </c>
      <c r="E13616">
        <v>33</v>
      </c>
      <c r="F13616">
        <v>4.95</v>
      </c>
    </row>
    <row r="13617" s="76" customFormat="1" spans="1:6">
      <c r="A13617">
        <v>13979</v>
      </c>
      <c r="B13617">
        <v>652012260</v>
      </c>
      <c r="C13617">
        <v>2012</v>
      </c>
      <c r="D13617" t="s">
        <v>34</v>
      </c>
      <c r="E13617">
        <v>33</v>
      </c>
      <c r="F13617">
        <v>4.95</v>
      </c>
    </row>
    <row r="13618" s="76" customFormat="1" spans="1:6">
      <c r="A13618">
        <v>13978</v>
      </c>
      <c r="B13618">
        <v>652012260</v>
      </c>
      <c r="C13618">
        <v>2012</v>
      </c>
      <c r="D13618" t="s">
        <v>34</v>
      </c>
      <c r="E13618">
        <v>33</v>
      </c>
      <c r="F13618">
        <v>4.95</v>
      </c>
    </row>
    <row r="13619" s="76" customFormat="1" spans="1:6">
      <c r="A13619">
        <v>13981</v>
      </c>
      <c r="B13619">
        <v>652012260</v>
      </c>
      <c r="C13619">
        <v>2012</v>
      </c>
      <c r="D13619" t="s">
        <v>34</v>
      </c>
      <c r="E13619">
        <v>33</v>
      </c>
      <c r="F13619">
        <v>4.95</v>
      </c>
    </row>
    <row r="13620" s="76" customFormat="1" spans="1:6">
      <c r="A13620">
        <v>13989</v>
      </c>
      <c r="B13620">
        <v>652012260</v>
      </c>
      <c r="C13620">
        <v>2012</v>
      </c>
      <c r="D13620" t="s">
        <v>34</v>
      </c>
      <c r="E13620" t="s">
        <v>32</v>
      </c>
      <c r="F13620">
        <v>4.95</v>
      </c>
    </row>
    <row r="13621" s="76" customFormat="1" spans="1:6">
      <c r="A13621">
        <v>13995</v>
      </c>
      <c r="B13621">
        <v>652012270</v>
      </c>
      <c r="C13621">
        <v>2012</v>
      </c>
      <c r="D13621" t="s">
        <v>31</v>
      </c>
      <c r="E13621" t="s">
        <v>32</v>
      </c>
      <c r="F13621">
        <v>2</v>
      </c>
    </row>
    <row r="13622" s="76" customFormat="1" spans="1:6">
      <c r="A13622">
        <v>13996</v>
      </c>
      <c r="B13622">
        <v>652012270</v>
      </c>
      <c r="C13622">
        <v>2012</v>
      </c>
      <c r="D13622" t="s">
        <v>31</v>
      </c>
      <c r="E13622" t="s">
        <v>32</v>
      </c>
      <c r="F13622">
        <v>3</v>
      </c>
    </row>
    <row r="13623" s="76" customFormat="1" spans="1:6">
      <c r="A13623">
        <v>13997</v>
      </c>
      <c r="B13623">
        <v>652012270</v>
      </c>
      <c r="C13623">
        <v>2012</v>
      </c>
      <c r="D13623" t="s">
        <v>31</v>
      </c>
      <c r="E13623" t="s">
        <v>32</v>
      </c>
      <c r="F13623">
        <v>3</v>
      </c>
    </row>
    <row r="13624" s="76" customFormat="1" spans="1:6">
      <c r="A13624">
        <v>13991</v>
      </c>
      <c r="B13624">
        <v>652012270</v>
      </c>
      <c r="C13624">
        <v>2012</v>
      </c>
      <c r="D13624" t="s">
        <v>31</v>
      </c>
      <c r="E13624" t="s">
        <v>32</v>
      </c>
      <c r="F13624">
        <v>1</v>
      </c>
    </row>
    <row r="13625" s="76" customFormat="1" spans="1:6">
      <c r="A13625">
        <v>13992</v>
      </c>
      <c r="B13625">
        <v>652012270</v>
      </c>
      <c r="C13625">
        <v>2012</v>
      </c>
      <c r="D13625" t="s">
        <v>31</v>
      </c>
      <c r="E13625" t="s">
        <v>32</v>
      </c>
      <c r="F13625">
        <v>1.5</v>
      </c>
    </row>
    <row r="13626" s="76" customFormat="1" spans="1:6">
      <c r="A13626">
        <v>13994</v>
      </c>
      <c r="B13626">
        <v>652012270</v>
      </c>
      <c r="C13626">
        <v>2012</v>
      </c>
      <c r="D13626" t="s">
        <v>31</v>
      </c>
      <c r="E13626" t="s">
        <v>32</v>
      </c>
      <c r="F13626">
        <v>2</v>
      </c>
    </row>
    <row r="13627" s="76" customFormat="1" spans="1:6">
      <c r="A13627">
        <v>13993</v>
      </c>
      <c r="B13627">
        <v>652012270</v>
      </c>
      <c r="C13627">
        <v>2012</v>
      </c>
      <c r="D13627" t="s">
        <v>31</v>
      </c>
      <c r="E13627" t="s">
        <v>32</v>
      </c>
      <c r="F13627">
        <v>1.6</v>
      </c>
    </row>
    <row r="13628" s="76" customFormat="1" spans="1:6">
      <c r="A13628">
        <v>13998</v>
      </c>
      <c r="B13628">
        <v>652013110</v>
      </c>
      <c r="C13628">
        <v>2013</v>
      </c>
      <c r="D13628" t="s">
        <v>40</v>
      </c>
      <c r="E13628">
        <v>1</v>
      </c>
      <c r="F13628">
        <v>2</v>
      </c>
    </row>
    <row r="13629" s="76" customFormat="1" spans="1:6">
      <c r="A13629">
        <v>14001</v>
      </c>
      <c r="B13629">
        <v>652013110</v>
      </c>
      <c r="C13629">
        <v>2013</v>
      </c>
      <c r="D13629" t="s">
        <v>40</v>
      </c>
      <c r="E13629">
        <v>1</v>
      </c>
      <c r="F13629">
        <v>3.5</v>
      </c>
    </row>
    <row r="13630" s="76" customFormat="1" spans="1:6">
      <c r="A13630">
        <v>13999</v>
      </c>
      <c r="B13630">
        <v>652013110</v>
      </c>
      <c r="C13630">
        <v>2013</v>
      </c>
      <c r="D13630" t="s">
        <v>40</v>
      </c>
      <c r="E13630">
        <v>1</v>
      </c>
      <c r="F13630">
        <v>9</v>
      </c>
    </row>
    <row r="13631" s="76" customFormat="1" spans="1:6">
      <c r="A13631">
        <v>14003</v>
      </c>
      <c r="B13631">
        <v>652013110</v>
      </c>
      <c r="C13631">
        <v>2013</v>
      </c>
      <c r="D13631" t="s">
        <v>40</v>
      </c>
      <c r="E13631">
        <v>4</v>
      </c>
      <c r="F13631">
        <v>24</v>
      </c>
    </row>
    <row r="13632" s="76" customFormat="1" spans="1:6">
      <c r="A13632">
        <v>14000</v>
      </c>
      <c r="B13632">
        <v>652013110</v>
      </c>
      <c r="C13632">
        <v>2013</v>
      </c>
      <c r="D13632" t="s">
        <v>40</v>
      </c>
      <c r="E13632">
        <v>1</v>
      </c>
      <c r="F13632">
        <v>4.5</v>
      </c>
    </row>
    <row r="13633" s="76" customFormat="1" spans="1:6">
      <c r="A13633">
        <v>14002</v>
      </c>
      <c r="B13633">
        <v>652013110</v>
      </c>
      <c r="C13633">
        <v>2013</v>
      </c>
      <c r="D13633" t="s">
        <v>40</v>
      </c>
      <c r="E13633">
        <v>1</v>
      </c>
      <c r="F13633">
        <v>2.75</v>
      </c>
    </row>
    <row r="13634" s="76" customFormat="1" spans="1:6">
      <c r="A13634">
        <v>14008</v>
      </c>
      <c r="B13634">
        <v>652013110</v>
      </c>
      <c r="C13634">
        <v>2013</v>
      </c>
      <c r="D13634" t="s">
        <v>40</v>
      </c>
      <c r="E13634">
        <v>2</v>
      </c>
      <c r="F13634">
        <v>18</v>
      </c>
    </row>
    <row r="13635" s="76" customFormat="1" spans="1:6">
      <c r="A13635">
        <v>14007</v>
      </c>
      <c r="B13635">
        <v>652013110</v>
      </c>
      <c r="C13635">
        <v>2013</v>
      </c>
      <c r="D13635" t="s">
        <v>40</v>
      </c>
      <c r="E13635">
        <v>1</v>
      </c>
      <c r="F13635">
        <v>3.5</v>
      </c>
    </row>
    <row r="13636" s="76" customFormat="1" spans="1:6">
      <c r="A13636">
        <v>14005</v>
      </c>
      <c r="B13636">
        <v>652013110</v>
      </c>
      <c r="C13636">
        <v>2013</v>
      </c>
      <c r="D13636" t="s">
        <v>40</v>
      </c>
      <c r="E13636">
        <v>3</v>
      </c>
      <c r="F13636">
        <v>5</v>
      </c>
    </row>
    <row r="13637" s="76" customFormat="1" spans="1:6">
      <c r="A13637">
        <v>14006</v>
      </c>
      <c r="B13637">
        <v>652013110</v>
      </c>
      <c r="C13637">
        <v>2013</v>
      </c>
      <c r="D13637" t="s">
        <v>40</v>
      </c>
      <c r="E13637">
        <v>2</v>
      </c>
      <c r="F13637">
        <v>9.5</v>
      </c>
    </row>
    <row r="13638" s="76" customFormat="1" spans="1:6">
      <c r="A13638">
        <v>14004</v>
      </c>
      <c r="B13638">
        <v>652013110</v>
      </c>
      <c r="C13638">
        <v>2013</v>
      </c>
      <c r="D13638" t="s">
        <v>40</v>
      </c>
      <c r="E13638">
        <v>4</v>
      </c>
      <c r="F13638">
        <v>24</v>
      </c>
    </row>
    <row r="13639" s="76" customFormat="1" spans="1:6">
      <c r="A13639">
        <v>14017</v>
      </c>
      <c r="B13639">
        <v>652013211</v>
      </c>
      <c r="C13639">
        <v>2013</v>
      </c>
      <c r="D13639" t="s">
        <v>37</v>
      </c>
      <c r="E13639">
        <v>1</v>
      </c>
      <c r="F13639">
        <v>33</v>
      </c>
    </row>
    <row r="13640" s="76" customFormat="1" spans="1:6">
      <c r="A13640">
        <v>14020</v>
      </c>
      <c r="B13640">
        <v>652013211</v>
      </c>
      <c r="C13640">
        <v>2013</v>
      </c>
      <c r="D13640" t="s">
        <v>37</v>
      </c>
      <c r="E13640">
        <v>1</v>
      </c>
      <c r="F13640">
        <v>33</v>
      </c>
    </row>
    <row r="13641" s="76" customFormat="1" spans="1:6">
      <c r="A13641">
        <v>14019</v>
      </c>
      <c r="B13641">
        <v>652013211</v>
      </c>
      <c r="C13641">
        <v>2013</v>
      </c>
      <c r="D13641" t="s">
        <v>37</v>
      </c>
      <c r="E13641">
        <v>2</v>
      </c>
      <c r="F13641">
        <v>60</v>
      </c>
    </row>
    <row r="13642" s="76" customFormat="1" spans="1:6">
      <c r="A13642">
        <v>14013</v>
      </c>
      <c r="B13642">
        <v>652013211</v>
      </c>
      <c r="C13642">
        <v>2013</v>
      </c>
      <c r="D13642" t="s">
        <v>37</v>
      </c>
      <c r="E13642">
        <v>1</v>
      </c>
      <c r="F13642">
        <v>35</v>
      </c>
    </row>
    <row r="13643" s="76" customFormat="1" spans="1:6">
      <c r="A13643">
        <v>14015</v>
      </c>
      <c r="B13643">
        <v>652013211</v>
      </c>
      <c r="C13643">
        <v>2013</v>
      </c>
      <c r="D13643" t="s">
        <v>37</v>
      </c>
      <c r="E13643">
        <v>1</v>
      </c>
      <c r="F13643">
        <v>35</v>
      </c>
    </row>
    <row r="13644" s="76" customFormat="1" spans="1:6">
      <c r="A13644">
        <v>14014</v>
      </c>
      <c r="B13644">
        <v>652013211</v>
      </c>
      <c r="C13644">
        <v>2013</v>
      </c>
      <c r="D13644" t="s">
        <v>37</v>
      </c>
      <c r="E13644">
        <v>1</v>
      </c>
      <c r="F13644">
        <v>35</v>
      </c>
    </row>
    <row r="13645" s="76" customFormat="1" spans="1:6">
      <c r="A13645">
        <v>14010</v>
      </c>
      <c r="B13645">
        <v>652013211</v>
      </c>
      <c r="C13645">
        <v>2013</v>
      </c>
      <c r="D13645" t="s">
        <v>37</v>
      </c>
      <c r="E13645">
        <v>1</v>
      </c>
      <c r="F13645">
        <v>30</v>
      </c>
    </row>
    <row r="13646" s="76" customFormat="1" spans="1:6">
      <c r="A13646">
        <v>14012</v>
      </c>
      <c r="B13646">
        <v>652013211</v>
      </c>
      <c r="C13646">
        <v>2013</v>
      </c>
      <c r="D13646" t="s">
        <v>37</v>
      </c>
      <c r="E13646">
        <v>1</v>
      </c>
      <c r="F13646">
        <v>35</v>
      </c>
    </row>
    <row r="13647" s="76" customFormat="1" spans="1:6">
      <c r="A13647">
        <v>14011</v>
      </c>
      <c r="B13647">
        <v>652013211</v>
      </c>
      <c r="C13647">
        <v>2013</v>
      </c>
      <c r="D13647" t="s">
        <v>37</v>
      </c>
      <c r="E13647">
        <v>1</v>
      </c>
      <c r="F13647">
        <v>15</v>
      </c>
    </row>
    <row r="13648" s="76" customFormat="1" spans="1:6">
      <c r="A13648">
        <v>14009</v>
      </c>
      <c r="B13648">
        <v>652013211</v>
      </c>
      <c r="C13648">
        <v>2013</v>
      </c>
      <c r="D13648" t="s">
        <v>37</v>
      </c>
      <c r="E13648">
        <v>1</v>
      </c>
      <c r="F13648">
        <v>35</v>
      </c>
    </row>
    <row r="13649" s="76" customFormat="1" spans="1:6">
      <c r="A13649">
        <v>14021</v>
      </c>
      <c r="B13649">
        <v>652013211</v>
      </c>
      <c r="C13649">
        <v>2013</v>
      </c>
      <c r="D13649" t="s">
        <v>37</v>
      </c>
      <c r="E13649">
        <v>1</v>
      </c>
      <c r="F13649">
        <v>35</v>
      </c>
    </row>
    <row r="13650" s="76" customFormat="1" spans="1:6">
      <c r="A13650">
        <v>14018</v>
      </c>
      <c r="B13650">
        <v>652013211</v>
      </c>
      <c r="C13650">
        <v>2013</v>
      </c>
      <c r="D13650" t="s">
        <v>37</v>
      </c>
      <c r="E13650">
        <v>1</v>
      </c>
      <c r="F13650">
        <v>35</v>
      </c>
    </row>
    <row r="13651" s="76" customFormat="1" spans="1:6">
      <c r="A13651">
        <v>14016</v>
      </c>
      <c r="B13651">
        <v>652013211</v>
      </c>
      <c r="C13651">
        <v>2013</v>
      </c>
      <c r="D13651" t="s">
        <v>37</v>
      </c>
      <c r="E13651">
        <v>1</v>
      </c>
      <c r="F13651">
        <v>33</v>
      </c>
    </row>
    <row r="13652" s="76" customFormat="1" spans="1:6">
      <c r="A13652">
        <v>14022</v>
      </c>
      <c r="B13652">
        <v>652013243</v>
      </c>
      <c r="C13652">
        <v>2013</v>
      </c>
      <c r="D13652" t="s">
        <v>38</v>
      </c>
      <c r="E13652">
        <v>1</v>
      </c>
      <c r="F13652">
        <v>5.5</v>
      </c>
    </row>
    <row r="13653" s="76" customFormat="1" spans="1:6">
      <c r="A13653">
        <v>14063</v>
      </c>
      <c r="B13653">
        <v>652013260</v>
      </c>
      <c r="C13653">
        <v>2013</v>
      </c>
      <c r="D13653" t="s">
        <v>34</v>
      </c>
      <c r="E13653" t="s">
        <v>32</v>
      </c>
      <c r="F13653">
        <v>4.95</v>
      </c>
    </row>
    <row r="13654" s="76" customFormat="1" spans="1:6">
      <c r="A13654">
        <v>14047</v>
      </c>
      <c r="B13654">
        <v>652013260</v>
      </c>
      <c r="C13654">
        <v>2013</v>
      </c>
      <c r="D13654" t="s">
        <v>34</v>
      </c>
      <c r="E13654" t="s">
        <v>32</v>
      </c>
      <c r="F13654">
        <v>10.2</v>
      </c>
    </row>
    <row r="13655" s="76" customFormat="1" spans="1:6">
      <c r="A13655">
        <v>14040</v>
      </c>
      <c r="B13655">
        <v>652013260</v>
      </c>
      <c r="C13655">
        <v>2013</v>
      </c>
      <c r="D13655" t="s">
        <v>34</v>
      </c>
      <c r="E13655" t="s">
        <v>32</v>
      </c>
      <c r="F13655">
        <v>4.95</v>
      </c>
    </row>
    <row r="13656" s="76" customFormat="1" spans="1:6">
      <c r="A13656">
        <v>14045</v>
      </c>
      <c r="B13656">
        <v>652013260</v>
      </c>
      <c r="C13656">
        <v>2013</v>
      </c>
      <c r="D13656" t="s">
        <v>34</v>
      </c>
      <c r="E13656" t="s">
        <v>32</v>
      </c>
      <c r="F13656">
        <v>4.95</v>
      </c>
    </row>
    <row r="13657" s="76" customFormat="1" spans="1:6">
      <c r="A13657">
        <v>14035</v>
      </c>
      <c r="B13657">
        <v>652013260</v>
      </c>
      <c r="C13657">
        <v>2013</v>
      </c>
      <c r="D13657" t="s">
        <v>34</v>
      </c>
      <c r="E13657" t="s">
        <v>32</v>
      </c>
      <c r="F13657">
        <v>4.95</v>
      </c>
    </row>
    <row r="13658" s="76" customFormat="1" spans="1:6">
      <c r="A13658">
        <v>14067</v>
      </c>
      <c r="B13658">
        <v>652013260</v>
      </c>
      <c r="C13658">
        <v>2013</v>
      </c>
      <c r="D13658" t="s">
        <v>34</v>
      </c>
      <c r="E13658" t="s">
        <v>32</v>
      </c>
      <c r="F13658">
        <v>4.95</v>
      </c>
    </row>
    <row r="13659" s="76" customFormat="1" spans="1:6">
      <c r="A13659">
        <v>14044</v>
      </c>
      <c r="B13659">
        <v>652013260</v>
      </c>
      <c r="C13659">
        <v>2013</v>
      </c>
      <c r="D13659" t="s">
        <v>34</v>
      </c>
      <c r="E13659" t="s">
        <v>32</v>
      </c>
      <c r="F13659">
        <v>6.9</v>
      </c>
    </row>
    <row r="13660" s="76" customFormat="1" spans="1:6">
      <c r="A13660">
        <v>14043</v>
      </c>
      <c r="B13660">
        <v>652013260</v>
      </c>
      <c r="C13660">
        <v>2013</v>
      </c>
      <c r="D13660" t="s">
        <v>34</v>
      </c>
      <c r="E13660" t="s">
        <v>32</v>
      </c>
      <c r="F13660">
        <v>20</v>
      </c>
    </row>
    <row r="13661" s="76" customFormat="1" spans="1:6">
      <c r="A13661">
        <v>14064</v>
      </c>
      <c r="B13661">
        <v>652013260</v>
      </c>
      <c r="C13661">
        <v>2013</v>
      </c>
      <c r="D13661" t="s">
        <v>34</v>
      </c>
      <c r="E13661" t="s">
        <v>32</v>
      </c>
      <c r="F13661">
        <v>4.95</v>
      </c>
    </row>
    <row r="13662" s="76" customFormat="1" spans="1:6">
      <c r="A13662">
        <v>14065</v>
      </c>
      <c r="B13662">
        <v>652013260</v>
      </c>
      <c r="C13662">
        <v>2013</v>
      </c>
      <c r="D13662" t="s">
        <v>34</v>
      </c>
      <c r="E13662" t="s">
        <v>32</v>
      </c>
      <c r="F13662">
        <v>4.95</v>
      </c>
    </row>
    <row r="13663" s="76" customFormat="1" spans="1:6">
      <c r="A13663">
        <v>14066</v>
      </c>
      <c r="B13663">
        <v>652013260</v>
      </c>
      <c r="C13663">
        <v>2013</v>
      </c>
      <c r="D13663" t="s">
        <v>34</v>
      </c>
      <c r="E13663" t="s">
        <v>32</v>
      </c>
      <c r="F13663">
        <v>4.95</v>
      </c>
    </row>
    <row r="13664" s="76" customFormat="1" spans="1:6">
      <c r="A13664">
        <v>14059</v>
      </c>
      <c r="B13664">
        <v>652013260</v>
      </c>
      <c r="C13664">
        <v>2013</v>
      </c>
      <c r="D13664" t="s">
        <v>34</v>
      </c>
      <c r="E13664" t="s">
        <v>32</v>
      </c>
      <c r="F13664">
        <v>4.95</v>
      </c>
    </row>
    <row r="13665" s="76" customFormat="1" spans="1:6">
      <c r="A13665">
        <v>14062</v>
      </c>
      <c r="B13665">
        <v>652013260</v>
      </c>
      <c r="C13665">
        <v>2013</v>
      </c>
      <c r="D13665" t="s">
        <v>34</v>
      </c>
      <c r="E13665" t="s">
        <v>32</v>
      </c>
      <c r="F13665">
        <v>10</v>
      </c>
    </row>
    <row r="13666" s="76" customFormat="1" spans="1:6">
      <c r="A13666">
        <v>14025</v>
      </c>
      <c r="B13666">
        <v>652013260</v>
      </c>
      <c r="C13666">
        <v>2013</v>
      </c>
      <c r="D13666" t="s">
        <v>34</v>
      </c>
      <c r="E13666" t="s">
        <v>32</v>
      </c>
      <c r="F13666">
        <v>4.95</v>
      </c>
    </row>
    <row r="13667" s="76" customFormat="1" spans="1:6">
      <c r="A13667">
        <v>14053</v>
      </c>
      <c r="B13667">
        <v>652013260</v>
      </c>
      <c r="C13667">
        <v>2013</v>
      </c>
      <c r="D13667" t="s">
        <v>34</v>
      </c>
      <c r="E13667" t="s">
        <v>32</v>
      </c>
      <c r="F13667">
        <v>4.95</v>
      </c>
    </row>
    <row r="13668" s="76" customFormat="1" spans="1:6">
      <c r="A13668">
        <v>14049</v>
      </c>
      <c r="B13668">
        <v>652013260</v>
      </c>
      <c r="C13668">
        <v>2013</v>
      </c>
      <c r="D13668" t="s">
        <v>34</v>
      </c>
      <c r="E13668" t="s">
        <v>32</v>
      </c>
      <c r="F13668">
        <v>4.95</v>
      </c>
    </row>
    <row r="13669" s="76" customFormat="1" spans="1:6">
      <c r="A13669">
        <v>14032</v>
      </c>
      <c r="B13669">
        <v>652013260</v>
      </c>
      <c r="C13669">
        <v>2013</v>
      </c>
      <c r="D13669" t="s">
        <v>34</v>
      </c>
      <c r="E13669" t="s">
        <v>32</v>
      </c>
      <c r="F13669">
        <v>4.95</v>
      </c>
    </row>
    <row r="13670" s="76" customFormat="1" spans="1:6">
      <c r="A13670">
        <v>14057</v>
      </c>
      <c r="B13670">
        <v>652013260</v>
      </c>
      <c r="C13670">
        <v>2013</v>
      </c>
      <c r="D13670" t="s">
        <v>34</v>
      </c>
      <c r="E13670" t="s">
        <v>32</v>
      </c>
      <c r="F13670">
        <v>4.95</v>
      </c>
    </row>
    <row r="13671" s="76" customFormat="1" spans="1:6">
      <c r="A13671">
        <v>14050</v>
      </c>
      <c r="B13671">
        <v>652013260</v>
      </c>
      <c r="C13671">
        <v>2013</v>
      </c>
      <c r="D13671" t="s">
        <v>34</v>
      </c>
      <c r="E13671" t="s">
        <v>32</v>
      </c>
      <c r="F13671">
        <v>4.95</v>
      </c>
    </row>
    <row r="13672" s="76" customFormat="1" spans="1:6">
      <c r="A13672">
        <v>14028</v>
      </c>
      <c r="B13672">
        <v>652013260</v>
      </c>
      <c r="C13672">
        <v>2013</v>
      </c>
      <c r="D13672" t="s">
        <v>34</v>
      </c>
      <c r="E13672" t="s">
        <v>32</v>
      </c>
      <c r="F13672">
        <v>4.95</v>
      </c>
    </row>
    <row r="13673" s="76" customFormat="1" spans="1:6">
      <c r="A13673">
        <v>14046</v>
      </c>
      <c r="B13673">
        <v>652013260</v>
      </c>
      <c r="C13673">
        <v>2013</v>
      </c>
      <c r="D13673" t="s">
        <v>34</v>
      </c>
      <c r="E13673" t="s">
        <v>32</v>
      </c>
      <c r="F13673">
        <v>4.95</v>
      </c>
    </row>
    <row r="13674" s="76" customFormat="1" spans="1:6">
      <c r="A13674">
        <v>14038</v>
      </c>
      <c r="B13674">
        <v>652013260</v>
      </c>
      <c r="C13674">
        <v>2013</v>
      </c>
      <c r="D13674" t="s">
        <v>34</v>
      </c>
      <c r="E13674" t="s">
        <v>32</v>
      </c>
      <c r="F13674">
        <v>4.8</v>
      </c>
    </row>
    <row r="13675" s="76" customFormat="1" spans="1:6">
      <c r="A13675">
        <v>14051</v>
      </c>
      <c r="B13675">
        <v>652013260</v>
      </c>
      <c r="C13675">
        <v>2013</v>
      </c>
      <c r="D13675" t="s">
        <v>34</v>
      </c>
      <c r="E13675" t="s">
        <v>32</v>
      </c>
      <c r="F13675">
        <v>4.95</v>
      </c>
    </row>
    <row r="13676" s="76" customFormat="1" spans="1:6">
      <c r="A13676">
        <v>14054</v>
      </c>
      <c r="B13676">
        <v>652013260</v>
      </c>
      <c r="C13676">
        <v>2013</v>
      </c>
      <c r="D13676" t="s">
        <v>34</v>
      </c>
      <c r="E13676" t="s">
        <v>32</v>
      </c>
      <c r="F13676">
        <v>4.95</v>
      </c>
    </row>
    <row r="13677" s="76" customFormat="1" spans="1:6">
      <c r="A13677">
        <v>14033</v>
      </c>
      <c r="B13677">
        <v>652013260</v>
      </c>
      <c r="C13677">
        <v>2013</v>
      </c>
      <c r="D13677" t="s">
        <v>34</v>
      </c>
      <c r="E13677" t="s">
        <v>32</v>
      </c>
      <c r="F13677">
        <v>4.95</v>
      </c>
    </row>
    <row r="13678" s="76" customFormat="1" spans="1:6">
      <c r="A13678">
        <v>14052</v>
      </c>
      <c r="B13678">
        <v>652013260</v>
      </c>
      <c r="C13678">
        <v>2013</v>
      </c>
      <c r="D13678" t="s">
        <v>34</v>
      </c>
      <c r="E13678" t="s">
        <v>32</v>
      </c>
      <c r="F13678">
        <v>4.95</v>
      </c>
    </row>
    <row r="13679" s="76" customFormat="1" spans="1:6">
      <c r="A13679">
        <v>14026</v>
      </c>
      <c r="B13679">
        <v>652013260</v>
      </c>
      <c r="C13679">
        <v>2013</v>
      </c>
      <c r="D13679" t="s">
        <v>34</v>
      </c>
      <c r="E13679" t="s">
        <v>32</v>
      </c>
      <c r="F13679">
        <v>4.95</v>
      </c>
    </row>
    <row r="13680" s="76" customFormat="1" spans="1:6">
      <c r="A13680">
        <v>14048</v>
      </c>
      <c r="B13680">
        <v>652013260</v>
      </c>
      <c r="C13680">
        <v>2013</v>
      </c>
      <c r="D13680" t="s">
        <v>34</v>
      </c>
      <c r="E13680" t="s">
        <v>32</v>
      </c>
      <c r="F13680">
        <v>4.95</v>
      </c>
    </row>
    <row r="13681" s="76" customFormat="1" spans="1:6">
      <c r="A13681">
        <v>14027</v>
      </c>
      <c r="B13681">
        <v>652013260</v>
      </c>
      <c r="C13681">
        <v>2013</v>
      </c>
      <c r="D13681" t="s">
        <v>34</v>
      </c>
      <c r="E13681" t="s">
        <v>32</v>
      </c>
      <c r="F13681">
        <v>20</v>
      </c>
    </row>
    <row r="13682" s="76" customFormat="1" spans="1:6">
      <c r="A13682">
        <v>14055</v>
      </c>
      <c r="B13682">
        <v>652013260</v>
      </c>
      <c r="C13682">
        <v>2013</v>
      </c>
      <c r="D13682" t="s">
        <v>34</v>
      </c>
      <c r="E13682" t="s">
        <v>32</v>
      </c>
      <c r="F13682">
        <v>9.9</v>
      </c>
    </row>
    <row r="13683" s="76" customFormat="1" spans="1:6">
      <c r="A13683">
        <v>14039</v>
      </c>
      <c r="B13683">
        <v>652013260</v>
      </c>
      <c r="C13683">
        <v>2013</v>
      </c>
      <c r="D13683" t="s">
        <v>34</v>
      </c>
      <c r="E13683" t="s">
        <v>32</v>
      </c>
      <c r="F13683">
        <v>4.95</v>
      </c>
    </row>
    <row r="13684" s="76" customFormat="1" spans="1:6">
      <c r="A13684">
        <v>14058</v>
      </c>
      <c r="B13684">
        <v>652013260</v>
      </c>
      <c r="C13684">
        <v>2013</v>
      </c>
      <c r="D13684" t="s">
        <v>34</v>
      </c>
      <c r="E13684" t="s">
        <v>32</v>
      </c>
      <c r="F13684">
        <v>3.6</v>
      </c>
    </row>
    <row r="13685" s="76" customFormat="1" spans="1:6">
      <c r="A13685">
        <v>14041</v>
      </c>
      <c r="B13685">
        <v>652013260</v>
      </c>
      <c r="C13685">
        <v>2013</v>
      </c>
      <c r="D13685" t="s">
        <v>34</v>
      </c>
      <c r="E13685" t="s">
        <v>32</v>
      </c>
      <c r="F13685">
        <v>4.95</v>
      </c>
    </row>
    <row r="13686" s="76" customFormat="1" spans="1:6">
      <c r="A13686">
        <v>14030</v>
      </c>
      <c r="B13686">
        <v>652013260</v>
      </c>
      <c r="C13686">
        <v>2013</v>
      </c>
      <c r="D13686" t="s">
        <v>34</v>
      </c>
      <c r="E13686" t="s">
        <v>32</v>
      </c>
      <c r="F13686">
        <v>4.95</v>
      </c>
    </row>
    <row r="13687" s="76" customFormat="1" spans="1:6">
      <c r="A13687">
        <v>14061</v>
      </c>
      <c r="B13687">
        <v>652013260</v>
      </c>
      <c r="C13687">
        <v>2013</v>
      </c>
      <c r="D13687" t="s">
        <v>34</v>
      </c>
      <c r="E13687" t="s">
        <v>32</v>
      </c>
      <c r="F13687">
        <v>4.95</v>
      </c>
    </row>
    <row r="13688" s="76" customFormat="1" spans="1:6">
      <c r="A13688">
        <v>14037</v>
      </c>
      <c r="B13688">
        <v>652013260</v>
      </c>
      <c r="C13688">
        <v>2013</v>
      </c>
      <c r="D13688" t="s">
        <v>34</v>
      </c>
      <c r="E13688" t="s">
        <v>32</v>
      </c>
      <c r="F13688">
        <v>4.95</v>
      </c>
    </row>
    <row r="13689" s="76" customFormat="1" spans="1:6">
      <c r="A13689">
        <v>14056</v>
      </c>
      <c r="B13689">
        <v>652013260</v>
      </c>
      <c r="C13689">
        <v>2013</v>
      </c>
      <c r="D13689" t="s">
        <v>34</v>
      </c>
      <c r="E13689" t="s">
        <v>32</v>
      </c>
      <c r="F13689">
        <v>4.95</v>
      </c>
    </row>
    <row r="13690" s="76" customFormat="1" spans="1:6">
      <c r="A13690">
        <v>14031</v>
      </c>
      <c r="B13690">
        <v>652013260</v>
      </c>
      <c r="C13690">
        <v>2013</v>
      </c>
      <c r="D13690" t="s">
        <v>34</v>
      </c>
      <c r="E13690" t="s">
        <v>32</v>
      </c>
      <c r="F13690">
        <v>4.95</v>
      </c>
    </row>
    <row r="13691" s="76" customFormat="1" spans="1:6">
      <c r="A13691">
        <v>14024</v>
      </c>
      <c r="B13691">
        <v>652013260</v>
      </c>
      <c r="C13691">
        <v>2013</v>
      </c>
      <c r="D13691" t="s">
        <v>34</v>
      </c>
      <c r="E13691" t="s">
        <v>32</v>
      </c>
      <c r="F13691">
        <v>4.95</v>
      </c>
    </row>
    <row r="13692" s="76" customFormat="1" spans="1:6">
      <c r="A13692">
        <v>14068</v>
      </c>
      <c r="B13692">
        <v>652013260</v>
      </c>
      <c r="C13692">
        <v>2013</v>
      </c>
      <c r="D13692" t="s">
        <v>34</v>
      </c>
      <c r="E13692" t="s">
        <v>32</v>
      </c>
      <c r="F13692">
        <v>5</v>
      </c>
    </row>
    <row r="13693" s="76" customFormat="1" spans="1:6">
      <c r="A13693">
        <v>14023</v>
      </c>
      <c r="B13693">
        <v>652013260</v>
      </c>
      <c r="C13693">
        <v>2013</v>
      </c>
      <c r="D13693" t="s">
        <v>34</v>
      </c>
      <c r="E13693" t="s">
        <v>32</v>
      </c>
      <c r="F13693">
        <v>4.95</v>
      </c>
    </row>
    <row r="13694" s="76" customFormat="1" spans="1:6">
      <c r="A13694">
        <v>14029</v>
      </c>
      <c r="B13694">
        <v>652013260</v>
      </c>
      <c r="C13694">
        <v>2013</v>
      </c>
      <c r="D13694" t="s">
        <v>34</v>
      </c>
      <c r="E13694" t="s">
        <v>32</v>
      </c>
      <c r="F13694">
        <v>4.95</v>
      </c>
    </row>
    <row r="13695" s="76" customFormat="1" spans="1:6">
      <c r="A13695">
        <v>14042</v>
      </c>
      <c r="B13695">
        <v>652013260</v>
      </c>
      <c r="C13695">
        <v>2013</v>
      </c>
      <c r="D13695" t="s">
        <v>34</v>
      </c>
      <c r="E13695" t="s">
        <v>32</v>
      </c>
      <c r="F13695">
        <v>4.95</v>
      </c>
    </row>
    <row r="13696" s="76" customFormat="1" spans="1:6">
      <c r="A13696">
        <v>14034</v>
      </c>
      <c r="B13696">
        <v>652013260</v>
      </c>
      <c r="C13696">
        <v>2013</v>
      </c>
      <c r="D13696" t="s">
        <v>34</v>
      </c>
      <c r="E13696" t="s">
        <v>32</v>
      </c>
      <c r="F13696">
        <v>4.95</v>
      </c>
    </row>
    <row r="13697" s="76" customFormat="1" spans="1:6">
      <c r="A13697">
        <v>14036</v>
      </c>
      <c r="B13697">
        <v>652013260</v>
      </c>
      <c r="C13697">
        <v>2013</v>
      </c>
      <c r="D13697" t="s">
        <v>34</v>
      </c>
      <c r="E13697" t="s">
        <v>32</v>
      </c>
      <c r="F13697">
        <v>4.8</v>
      </c>
    </row>
    <row r="13698" s="76" customFormat="1" spans="1:6">
      <c r="A13698">
        <v>14060</v>
      </c>
      <c r="B13698">
        <v>652013260</v>
      </c>
      <c r="C13698">
        <v>2013</v>
      </c>
      <c r="D13698" t="s">
        <v>34</v>
      </c>
      <c r="E13698" t="s">
        <v>32</v>
      </c>
      <c r="F13698">
        <v>4.95</v>
      </c>
    </row>
    <row r="13699" s="76" customFormat="1" spans="1:6">
      <c r="A13699">
        <v>14097</v>
      </c>
      <c r="B13699">
        <v>652013270</v>
      </c>
      <c r="C13699">
        <v>2013</v>
      </c>
      <c r="D13699" t="s">
        <v>31</v>
      </c>
      <c r="E13699" t="s">
        <v>32</v>
      </c>
      <c r="F13699">
        <v>2</v>
      </c>
    </row>
    <row r="13700" s="76" customFormat="1" spans="1:6">
      <c r="A13700">
        <v>14093</v>
      </c>
      <c r="B13700">
        <v>652013270</v>
      </c>
      <c r="C13700">
        <v>2013</v>
      </c>
      <c r="D13700" t="s">
        <v>31</v>
      </c>
      <c r="E13700" t="s">
        <v>32</v>
      </c>
      <c r="F13700">
        <v>7</v>
      </c>
    </row>
    <row r="13701" s="76" customFormat="1" spans="1:6">
      <c r="A13701">
        <v>14088</v>
      </c>
      <c r="B13701">
        <v>652013270</v>
      </c>
      <c r="C13701">
        <v>2013</v>
      </c>
      <c r="D13701" t="s">
        <v>31</v>
      </c>
      <c r="E13701" t="s">
        <v>32</v>
      </c>
      <c r="F13701">
        <v>2</v>
      </c>
    </row>
    <row r="13702" s="76" customFormat="1" spans="1:6">
      <c r="A13702">
        <v>14160</v>
      </c>
      <c r="B13702">
        <v>652013270</v>
      </c>
      <c r="C13702">
        <v>2013</v>
      </c>
      <c r="D13702" t="s">
        <v>31</v>
      </c>
      <c r="E13702" t="s">
        <v>32</v>
      </c>
      <c r="F13702">
        <v>3</v>
      </c>
    </row>
    <row r="13703" s="76" customFormat="1" spans="1:6">
      <c r="A13703">
        <v>14172</v>
      </c>
      <c r="B13703">
        <v>652013270</v>
      </c>
      <c r="C13703">
        <v>2013</v>
      </c>
      <c r="D13703" t="s">
        <v>31</v>
      </c>
      <c r="E13703" t="s">
        <v>32</v>
      </c>
      <c r="F13703">
        <v>4</v>
      </c>
    </row>
    <row r="13704" s="76" customFormat="1" spans="1:6">
      <c r="A13704">
        <v>14105</v>
      </c>
      <c r="B13704">
        <v>652013270</v>
      </c>
      <c r="C13704">
        <v>2013</v>
      </c>
      <c r="D13704" t="s">
        <v>31</v>
      </c>
      <c r="E13704" t="s">
        <v>32</v>
      </c>
      <c r="F13704">
        <v>2</v>
      </c>
    </row>
    <row r="13705" s="76" customFormat="1" spans="1:6">
      <c r="A13705">
        <v>14077</v>
      </c>
      <c r="B13705">
        <v>652013270</v>
      </c>
      <c r="C13705">
        <v>2013</v>
      </c>
      <c r="D13705" t="s">
        <v>31</v>
      </c>
      <c r="E13705" t="s">
        <v>32</v>
      </c>
      <c r="F13705">
        <v>3</v>
      </c>
    </row>
    <row r="13706" s="76" customFormat="1" spans="1:6">
      <c r="A13706">
        <v>14076</v>
      </c>
      <c r="B13706">
        <v>652013270</v>
      </c>
      <c r="C13706">
        <v>2013</v>
      </c>
      <c r="D13706" t="s">
        <v>31</v>
      </c>
      <c r="E13706" t="s">
        <v>32</v>
      </c>
      <c r="F13706">
        <v>3</v>
      </c>
    </row>
    <row r="13707" s="76" customFormat="1" spans="1:6">
      <c r="A13707">
        <v>14130</v>
      </c>
      <c r="B13707">
        <v>652013270</v>
      </c>
      <c r="C13707">
        <v>2013</v>
      </c>
      <c r="D13707" t="s">
        <v>31</v>
      </c>
      <c r="E13707" t="s">
        <v>32</v>
      </c>
      <c r="F13707">
        <v>2</v>
      </c>
    </row>
    <row r="13708" s="76" customFormat="1" spans="1:6">
      <c r="A13708">
        <v>14163</v>
      </c>
      <c r="B13708">
        <v>652013270</v>
      </c>
      <c r="C13708">
        <v>2013</v>
      </c>
      <c r="D13708" t="s">
        <v>31</v>
      </c>
      <c r="E13708" t="s">
        <v>32</v>
      </c>
      <c r="F13708">
        <v>4</v>
      </c>
    </row>
    <row r="13709" s="76" customFormat="1" spans="1:6">
      <c r="A13709">
        <v>14073</v>
      </c>
      <c r="B13709">
        <v>652013270</v>
      </c>
      <c r="C13709">
        <v>2013</v>
      </c>
      <c r="D13709" t="s">
        <v>31</v>
      </c>
      <c r="E13709" t="s">
        <v>32</v>
      </c>
      <c r="F13709">
        <v>3</v>
      </c>
    </row>
    <row r="13710" s="76" customFormat="1" spans="1:6">
      <c r="A13710">
        <v>14069</v>
      </c>
      <c r="B13710">
        <v>652013270</v>
      </c>
      <c r="C13710">
        <v>2013</v>
      </c>
      <c r="D13710" t="s">
        <v>31</v>
      </c>
      <c r="E13710" t="s">
        <v>32</v>
      </c>
      <c r="F13710">
        <v>5</v>
      </c>
    </row>
    <row r="13711" s="76" customFormat="1" spans="1:6">
      <c r="A13711">
        <v>14074</v>
      </c>
      <c r="B13711">
        <v>652013270</v>
      </c>
      <c r="C13711">
        <v>2013</v>
      </c>
      <c r="D13711" t="s">
        <v>31</v>
      </c>
      <c r="E13711" t="s">
        <v>32</v>
      </c>
      <c r="F13711">
        <v>3</v>
      </c>
    </row>
    <row r="13712" s="76" customFormat="1" spans="1:6">
      <c r="A13712">
        <v>14106</v>
      </c>
      <c r="B13712">
        <v>652013270</v>
      </c>
      <c r="C13712">
        <v>2013</v>
      </c>
      <c r="D13712" t="s">
        <v>31</v>
      </c>
      <c r="E13712" t="s">
        <v>32</v>
      </c>
      <c r="F13712">
        <v>2</v>
      </c>
    </row>
    <row r="13713" s="76" customFormat="1" spans="1:6">
      <c r="A13713">
        <v>14132</v>
      </c>
      <c r="B13713">
        <v>652013270</v>
      </c>
      <c r="C13713">
        <v>2013</v>
      </c>
      <c r="D13713" t="s">
        <v>31</v>
      </c>
      <c r="E13713" t="s">
        <v>32</v>
      </c>
      <c r="F13713">
        <v>2</v>
      </c>
    </row>
    <row r="13714" s="76" customFormat="1" spans="1:6">
      <c r="A13714">
        <v>14153</v>
      </c>
      <c r="B13714">
        <v>652013270</v>
      </c>
      <c r="C13714">
        <v>2013</v>
      </c>
      <c r="D13714" t="s">
        <v>31</v>
      </c>
      <c r="E13714" t="s">
        <v>32</v>
      </c>
      <c r="F13714">
        <v>2</v>
      </c>
    </row>
    <row r="13715" s="76" customFormat="1" spans="1:6">
      <c r="A13715">
        <v>14167</v>
      </c>
      <c r="B13715">
        <v>652013270</v>
      </c>
      <c r="C13715">
        <v>2013</v>
      </c>
      <c r="D13715" t="s">
        <v>31</v>
      </c>
      <c r="E13715" t="s">
        <v>32</v>
      </c>
      <c r="F13715">
        <v>2</v>
      </c>
    </row>
    <row r="13716" s="76" customFormat="1" spans="1:6">
      <c r="A13716">
        <v>14176</v>
      </c>
      <c r="B13716">
        <v>652013270</v>
      </c>
      <c r="C13716">
        <v>2013</v>
      </c>
      <c r="D13716" t="s">
        <v>31</v>
      </c>
      <c r="E13716" t="s">
        <v>32</v>
      </c>
      <c r="F13716">
        <v>2</v>
      </c>
    </row>
    <row r="13717" s="76" customFormat="1" spans="1:6">
      <c r="A13717">
        <v>14116</v>
      </c>
      <c r="B13717">
        <v>652013270</v>
      </c>
      <c r="C13717">
        <v>2013</v>
      </c>
      <c r="D13717" t="s">
        <v>31</v>
      </c>
      <c r="E13717" t="s">
        <v>32</v>
      </c>
      <c r="F13717">
        <v>2</v>
      </c>
    </row>
    <row r="13718" s="76" customFormat="1" spans="1:6">
      <c r="A13718">
        <v>14122</v>
      </c>
      <c r="B13718">
        <v>652013270</v>
      </c>
      <c r="C13718">
        <v>2013</v>
      </c>
      <c r="D13718" t="s">
        <v>31</v>
      </c>
      <c r="E13718" t="s">
        <v>32</v>
      </c>
      <c r="F13718">
        <v>2</v>
      </c>
    </row>
    <row r="13719" s="76" customFormat="1" spans="1:6">
      <c r="A13719">
        <v>14124</v>
      </c>
      <c r="B13719">
        <v>652013270</v>
      </c>
      <c r="C13719">
        <v>2013</v>
      </c>
      <c r="D13719" t="s">
        <v>31</v>
      </c>
      <c r="E13719" t="s">
        <v>32</v>
      </c>
      <c r="F13719">
        <v>2</v>
      </c>
    </row>
    <row r="13720" s="76" customFormat="1" spans="1:6">
      <c r="A13720">
        <v>14162</v>
      </c>
      <c r="B13720">
        <v>652013270</v>
      </c>
      <c r="C13720">
        <v>2013</v>
      </c>
      <c r="D13720" t="s">
        <v>31</v>
      </c>
      <c r="E13720" t="s">
        <v>32</v>
      </c>
      <c r="F13720">
        <v>2</v>
      </c>
    </row>
    <row r="13721" s="76" customFormat="1" spans="1:6">
      <c r="A13721">
        <v>14161</v>
      </c>
      <c r="B13721">
        <v>652013270</v>
      </c>
      <c r="C13721">
        <v>2013</v>
      </c>
      <c r="D13721" t="s">
        <v>31</v>
      </c>
      <c r="E13721" t="s">
        <v>32</v>
      </c>
      <c r="F13721">
        <v>2</v>
      </c>
    </row>
    <row r="13722" s="76" customFormat="1" spans="1:6">
      <c r="A13722">
        <v>14142</v>
      </c>
      <c r="B13722">
        <v>652013270</v>
      </c>
      <c r="C13722">
        <v>2013</v>
      </c>
      <c r="D13722" t="s">
        <v>31</v>
      </c>
      <c r="E13722" t="s">
        <v>32</v>
      </c>
      <c r="F13722">
        <v>2</v>
      </c>
    </row>
    <row r="13723" s="76" customFormat="1" spans="1:6">
      <c r="A13723">
        <v>14143</v>
      </c>
      <c r="B13723">
        <v>652013270</v>
      </c>
      <c r="C13723">
        <v>2013</v>
      </c>
      <c r="D13723" t="s">
        <v>31</v>
      </c>
      <c r="E13723" t="s">
        <v>32</v>
      </c>
      <c r="F13723">
        <v>2</v>
      </c>
    </row>
    <row r="13724" s="76" customFormat="1" spans="1:6">
      <c r="A13724">
        <v>14100</v>
      </c>
      <c r="B13724">
        <v>652013270</v>
      </c>
      <c r="C13724">
        <v>2013</v>
      </c>
      <c r="D13724" t="s">
        <v>31</v>
      </c>
      <c r="E13724" t="s">
        <v>32</v>
      </c>
      <c r="F13724">
        <v>2</v>
      </c>
    </row>
    <row r="13725" s="76" customFormat="1" spans="1:6">
      <c r="A13725">
        <v>14113</v>
      </c>
      <c r="B13725">
        <v>652013270</v>
      </c>
      <c r="C13725">
        <v>2013</v>
      </c>
      <c r="D13725" t="s">
        <v>31</v>
      </c>
      <c r="E13725" t="s">
        <v>32</v>
      </c>
      <c r="F13725">
        <v>2</v>
      </c>
    </row>
    <row r="13726" s="76" customFormat="1" spans="1:6">
      <c r="A13726">
        <v>14159</v>
      </c>
      <c r="B13726">
        <v>652013270</v>
      </c>
      <c r="C13726">
        <v>2013</v>
      </c>
      <c r="D13726" t="s">
        <v>31</v>
      </c>
      <c r="E13726" t="s">
        <v>32</v>
      </c>
      <c r="F13726">
        <v>2</v>
      </c>
    </row>
    <row r="13727" s="76" customFormat="1" spans="1:6">
      <c r="A13727">
        <v>14081</v>
      </c>
      <c r="B13727">
        <v>652013270</v>
      </c>
      <c r="C13727">
        <v>2013</v>
      </c>
      <c r="D13727" t="s">
        <v>31</v>
      </c>
      <c r="E13727" t="s">
        <v>32</v>
      </c>
      <c r="F13727">
        <v>2</v>
      </c>
    </row>
    <row r="13728" s="76" customFormat="1" spans="1:6">
      <c r="A13728">
        <v>14079</v>
      </c>
      <c r="B13728">
        <v>652013270</v>
      </c>
      <c r="C13728">
        <v>2013</v>
      </c>
      <c r="D13728" t="s">
        <v>31</v>
      </c>
      <c r="E13728" t="s">
        <v>32</v>
      </c>
      <c r="F13728">
        <v>2</v>
      </c>
    </row>
    <row r="13729" s="76" customFormat="1" spans="1:6">
      <c r="A13729">
        <v>14080</v>
      </c>
      <c r="B13729">
        <v>652013270</v>
      </c>
      <c r="C13729">
        <v>2013</v>
      </c>
      <c r="D13729" t="s">
        <v>31</v>
      </c>
      <c r="E13729" t="s">
        <v>32</v>
      </c>
      <c r="F13729">
        <v>2</v>
      </c>
    </row>
    <row r="13730" s="76" customFormat="1" spans="1:6">
      <c r="A13730">
        <v>14115</v>
      </c>
      <c r="B13730">
        <v>652013270</v>
      </c>
      <c r="C13730">
        <v>2013</v>
      </c>
      <c r="D13730" t="s">
        <v>31</v>
      </c>
      <c r="E13730" t="s">
        <v>32</v>
      </c>
      <c r="F13730">
        <v>2</v>
      </c>
    </row>
    <row r="13731" s="76" customFormat="1" spans="1:6">
      <c r="A13731">
        <v>14072</v>
      </c>
      <c r="B13731">
        <v>652013270</v>
      </c>
      <c r="C13731">
        <v>2013</v>
      </c>
      <c r="D13731" t="s">
        <v>31</v>
      </c>
      <c r="E13731" t="s">
        <v>32</v>
      </c>
      <c r="F13731">
        <v>4</v>
      </c>
    </row>
    <row r="13732" s="76" customFormat="1" spans="1:6">
      <c r="A13732">
        <v>14129</v>
      </c>
      <c r="B13732">
        <v>652013270</v>
      </c>
      <c r="C13732">
        <v>2013</v>
      </c>
      <c r="D13732" t="s">
        <v>31</v>
      </c>
      <c r="E13732" t="s">
        <v>32</v>
      </c>
      <c r="F13732">
        <v>2</v>
      </c>
    </row>
    <row r="13733" s="76" customFormat="1" spans="1:6">
      <c r="A13733">
        <v>14112</v>
      </c>
      <c r="B13733">
        <v>652013270</v>
      </c>
      <c r="C13733">
        <v>2013</v>
      </c>
      <c r="D13733" t="s">
        <v>31</v>
      </c>
      <c r="E13733" t="s">
        <v>32</v>
      </c>
      <c r="F13733">
        <v>2</v>
      </c>
    </row>
    <row r="13734" s="76" customFormat="1" spans="1:6">
      <c r="A13734">
        <v>14118</v>
      </c>
      <c r="B13734">
        <v>652013270</v>
      </c>
      <c r="C13734">
        <v>2013</v>
      </c>
      <c r="D13734" t="s">
        <v>31</v>
      </c>
      <c r="E13734" t="s">
        <v>32</v>
      </c>
      <c r="F13734">
        <v>2</v>
      </c>
    </row>
    <row r="13735" s="76" customFormat="1" spans="1:6">
      <c r="A13735">
        <v>14099</v>
      </c>
      <c r="B13735">
        <v>652013270</v>
      </c>
      <c r="C13735">
        <v>2013</v>
      </c>
      <c r="D13735" t="s">
        <v>31</v>
      </c>
      <c r="E13735" t="s">
        <v>32</v>
      </c>
      <c r="F13735">
        <v>2</v>
      </c>
    </row>
    <row r="13736" s="76" customFormat="1" spans="1:6">
      <c r="A13736">
        <v>14119</v>
      </c>
      <c r="B13736">
        <v>652013270</v>
      </c>
      <c r="C13736">
        <v>2013</v>
      </c>
      <c r="D13736" t="s">
        <v>31</v>
      </c>
      <c r="E13736" t="s">
        <v>32</v>
      </c>
      <c r="F13736">
        <v>2</v>
      </c>
    </row>
    <row r="13737" s="76" customFormat="1" spans="1:6">
      <c r="A13737">
        <v>14133</v>
      </c>
      <c r="B13737">
        <v>652013270</v>
      </c>
      <c r="C13737">
        <v>2013</v>
      </c>
      <c r="D13737" t="s">
        <v>31</v>
      </c>
      <c r="E13737" t="s">
        <v>32</v>
      </c>
      <c r="F13737">
        <v>2</v>
      </c>
    </row>
    <row r="13738" s="76" customFormat="1" spans="1:6">
      <c r="A13738">
        <v>14145</v>
      </c>
      <c r="B13738">
        <v>652013270</v>
      </c>
      <c r="C13738">
        <v>2013</v>
      </c>
      <c r="D13738" t="s">
        <v>31</v>
      </c>
      <c r="E13738" t="s">
        <v>32</v>
      </c>
      <c r="F13738">
        <v>3</v>
      </c>
    </row>
    <row r="13739" s="76" customFormat="1" spans="1:6">
      <c r="A13739">
        <v>14126</v>
      </c>
      <c r="B13739">
        <v>652013270</v>
      </c>
      <c r="C13739">
        <v>2013</v>
      </c>
      <c r="D13739" t="s">
        <v>31</v>
      </c>
      <c r="E13739" t="s">
        <v>32</v>
      </c>
      <c r="F13739">
        <v>2</v>
      </c>
    </row>
    <row r="13740" s="76" customFormat="1" spans="1:6">
      <c r="A13740">
        <v>14096</v>
      </c>
      <c r="B13740">
        <v>652013270</v>
      </c>
      <c r="C13740">
        <v>2013</v>
      </c>
      <c r="D13740" t="s">
        <v>31</v>
      </c>
      <c r="E13740" t="s">
        <v>32</v>
      </c>
      <c r="F13740">
        <v>2</v>
      </c>
    </row>
    <row r="13741" s="76" customFormat="1" spans="1:6">
      <c r="A13741">
        <v>14107</v>
      </c>
      <c r="B13741">
        <v>652013270</v>
      </c>
      <c r="C13741">
        <v>2013</v>
      </c>
      <c r="D13741" t="s">
        <v>31</v>
      </c>
      <c r="E13741" t="s">
        <v>32</v>
      </c>
      <c r="F13741">
        <v>2</v>
      </c>
    </row>
    <row r="13742" s="76" customFormat="1" spans="1:6">
      <c r="A13742">
        <v>14141</v>
      </c>
      <c r="B13742">
        <v>652013270</v>
      </c>
      <c r="C13742">
        <v>2013</v>
      </c>
      <c r="D13742" t="s">
        <v>31</v>
      </c>
      <c r="E13742" t="s">
        <v>32</v>
      </c>
      <c r="F13742">
        <v>2</v>
      </c>
    </row>
    <row r="13743" s="76" customFormat="1" spans="1:6">
      <c r="A13743">
        <v>14179</v>
      </c>
      <c r="B13743">
        <v>652013270</v>
      </c>
      <c r="C13743">
        <v>2013</v>
      </c>
      <c r="D13743" t="s">
        <v>31</v>
      </c>
      <c r="E13743" t="s">
        <v>32</v>
      </c>
      <c r="F13743">
        <v>0.87</v>
      </c>
    </row>
    <row r="13744" s="76" customFormat="1" spans="1:6">
      <c r="A13744">
        <v>14121</v>
      </c>
      <c r="B13744">
        <v>652013270</v>
      </c>
      <c r="C13744">
        <v>2013</v>
      </c>
      <c r="D13744" t="s">
        <v>31</v>
      </c>
      <c r="E13744" t="s">
        <v>32</v>
      </c>
      <c r="F13744">
        <v>2</v>
      </c>
    </row>
    <row r="13745" s="76" customFormat="1" spans="1:6">
      <c r="A13745">
        <v>14071</v>
      </c>
      <c r="B13745">
        <v>652013270</v>
      </c>
      <c r="C13745">
        <v>2013</v>
      </c>
      <c r="D13745" t="s">
        <v>31</v>
      </c>
      <c r="E13745" t="s">
        <v>32</v>
      </c>
      <c r="F13745">
        <v>4</v>
      </c>
    </row>
    <row r="13746" s="76" customFormat="1" spans="1:6">
      <c r="A13746">
        <v>14123</v>
      </c>
      <c r="B13746">
        <v>652013270</v>
      </c>
      <c r="C13746">
        <v>2013</v>
      </c>
      <c r="D13746" t="s">
        <v>31</v>
      </c>
      <c r="E13746" t="s">
        <v>32</v>
      </c>
      <c r="F13746">
        <v>2</v>
      </c>
    </row>
    <row r="13747" s="76" customFormat="1" spans="1:6">
      <c r="A13747">
        <v>14075</v>
      </c>
      <c r="B13747">
        <v>652013270</v>
      </c>
      <c r="C13747">
        <v>2013</v>
      </c>
      <c r="D13747" t="s">
        <v>31</v>
      </c>
      <c r="E13747" t="s">
        <v>32</v>
      </c>
      <c r="F13747">
        <v>3</v>
      </c>
    </row>
    <row r="13748" s="76" customFormat="1" spans="1:6">
      <c r="A13748">
        <v>14177</v>
      </c>
      <c r="B13748">
        <v>652013270</v>
      </c>
      <c r="C13748">
        <v>2013</v>
      </c>
      <c r="D13748" t="s">
        <v>31</v>
      </c>
      <c r="E13748" t="s">
        <v>32</v>
      </c>
      <c r="F13748">
        <v>2</v>
      </c>
    </row>
    <row r="13749" s="76" customFormat="1" spans="1:6">
      <c r="A13749">
        <v>14091</v>
      </c>
      <c r="B13749">
        <v>652013270</v>
      </c>
      <c r="C13749">
        <v>2013</v>
      </c>
      <c r="D13749" t="s">
        <v>31</v>
      </c>
      <c r="E13749" t="s">
        <v>32</v>
      </c>
      <c r="F13749">
        <v>2</v>
      </c>
    </row>
    <row r="13750" s="76" customFormat="1" spans="1:6">
      <c r="A13750">
        <v>14087</v>
      </c>
      <c r="B13750">
        <v>652013270</v>
      </c>
      <c r="C13750">
        <v>2013</v>
      </c>
      <c r="D13750" t="s">
        <v>31</v>
      </c>
      <c r="E13750" t="s">
        <v>32</v>
      </c>
      <c r="F13750">
        <v>3</v>
      </c>
    </row>
    <row r="13751" s="76" customFormat="1" spans="1:6">
      <c r="A13751">
        <v>14090</v>
      </c>
      <c r="B13751">
        <v>652013270</v>
      </c>
      <c r="C13751">
        <v>2013</v>
      </c>
      <c r="D13751" t="s">
        <v>31</v>
      </c>
      <c r="E13751" t="s">
        <v>32</v>
      </c>
      <c r="F13751">
        <v>2</v>
      </c>
    </row>
    <row r="13752" s="76" customFormat="1" spans="1:6">
      <c r="A13752">
        <v>14155</v>
      </c>
      <c r="B13752">
        <v>652013270</v>
      </c>
      <c r="C13752">
        <v>2013</v>
      </c>
      <c r="D13752" t="s">
        <v>31</v>
      </c>
      <c r="E13752" t="s">
        <v>32</v>
      </c>
      <c r="F13752">
        <v>2</v>
      </c>
    </row>
    <row r="13753" s="76" customFormat="1" spans="1:6">
      <c r="A13753">
        <v>14144</v>
      </c>
      <c r="B13753">
        <v>652013270</v>
      </c>
      <c r="C13753">
        <v>2013</v>
      </c>
      <c r="D13753" t="s">
        <v>31</v>
      </c>
      <c r="E13753" t="s">
        <v>32</v>
      </c>
      <c r="F13753">
        <v>3</v>
      </c>
    </row>
    <row r="13754" s="76" customFormat="1" spans="1:6">
      <c r="A13754">
        <v>14128</v>
      </c>
      <c r="B13754">
        <v>652013270</v>
      </c>
      <c r="C13754">
        <v>2013</v>
      </c>
      <c r="D13754" t="s">
        <v>31</v>
      </c>
      <c r="E13754" t="s">
        <v>32</v>
      </c>
      <c r="F13754">
        <v>2</v>
      </c>
    </row>
    <row r="13755" s="76" customFormat="1" spans="1:6">
      <c r="A13755">
        <v>14095</v>
      </c>
      <c r="B13755">
        <v>652013270</v>
      </c>
      <c r="C13755">
        <v>2013</v>
      </c>
      <c r="D13755" t="s">
        <v>31</v>
      </c>
      <c r="E13755" t="s">
        <v>32</v>
      </c>
      <c r="F13755">
        <v>2</v>
      </c>
    </row>
    <row r="13756" s="76" customFormat="1" spans="1:6">
      <c r="A13756">
        <v>14109</v>
      </c>
      <c r="B13756">
        <v>652013270</v>
      </c>
      <c r="C13756">
        <v>2013</v>
      </c>
      <c r="D13756" t="s">
        <v>31</v>
      </c>
      <c r="E13756" t="s">
        <v>32</v>
      </c>
      <c r="F13756">
        <v>2</v>
      </c>
    </row>
    <row r="13757" s="76" customFormat="1" spans="1:6">
      <c r="A13757">
        <v>14139</v>
      </c>
      <c r="B13757">
        <v>652013270</v>
      </c>
      <c r="C13757">
        <v>2013</v>
      </c>
      <c r="D13757" t="s">
        <v>31</v>
      </c>
      <c r="E13757" t="s">
        <v>32</v>
      </c>
      <c r="F13757">
        <v>2</v>
      </c>
    </row>
    <row r="13758" s="76" customFormat="1" spans="1:6">
      <c r="A13758">
        <v>14125</v>
      </c>
      <c r="B13758">
        <v>652013270</v>
      </c>
      <c r="C13758">
        <v>2013</v>
      </c>
      <c r="D13758" t="s">
        <v>31</v>
      </c>
      <c r="E13758" t="s">
        <v>32</v>
      </c>
      <c r="F13758">
        <v>2</v>
      </c>
    </row>
    <row r="13759" s="76" customFormat="1" spans="1:6">
      <c r="A13759">
        <v>14138</v>
      </c>
      <c r="B13759">
        <v>652013270</v>
      </c>
      <c r="C13759">
        <v>2013</v>
      </c>
      <c r="D13759" t="s">
        <v>31</v>
      </c>
      <c r="E13759" t="s">
        <v>32</v>
      </c>
      <c r="F13759">
        <v>2</v>
      </c>
    </row>
    <row r="13760" s="76" customFormat="1" spans="1:6">
      <c r="A13760">
        <v>14070</v>
      </c>
      <c r="B13760">
        <v>652013270</v>
      </c>
      <c r="C13760">
        <v>2013</v>
      </c>
      <c r="D13760" t="s">
        <v>31</v>
      </c>
      <c r="E13760" t="s">
        <v>32</v>
      </c>
      <c r="F13760">
        <v>5</v>
      </c>
    </row>
    <row r="13761" s="76" customFormat="1" spans="1:6">
      <c r="A13761">
        <v>14140</v>
      </c>
      <c r="B13761">
        <v>652013270</v>
      </c>
      <c r="C13761">
        <v>2013</v>
      </c>
      <c r="D13761" t="s">
        <v>31</v>
      </c>
      <c r="E13761" t="s">
        <v>32</v>
      </c>
      <c r="F13761">
        <v>2</v>
      </c>
    </row>
    <row r="13762" s="76" customFormat="1" spans="1:6">
      <c r="A13762">
        <v>14082</v>
      </c>
      <c r="B13762">
        <v>652013270</v>
      </c>
      <c r="C13762">
        <v>2013</v>
      </c>
      <c r="D13762" t="s">
        <v>31</v>
      </c>
      <c r="E13762" t="s">
        <v>32</v>
      </c>
      <c r="F13762">
        <v>2</v>
      </c>
    </row>
    <row r="13763" s="76" customFormat="1" spans="1:6">
      <c r="A13763">
        <v>14164</v>
      </c>
      <c r="B13763">
        <v>652013270</v>
      </c>
      <c r="C13763">
        <v>2013</v>
      </c>
      <c r="D13763" t="s">
        <v>31</v>
      </c>
      <c r="E13763" t="s">
        <v>32</v>
      </c>
      <c r="F13763">
        <v>2</v>
      </c>
    </row>
    <row r="13764" s="76" customFormat="1" spans="1:6">
      <c r="A13764">
        <v>14078</v>
      </c>
      <c r="B13764">
        <v>652013270</v>
      </c>
      <c r="C13764">
        <v>2013</v>
      </c>
      <c r="D13764" t="s">
        <v>31</v>
      </c>
      <c r="E13764" t="s">
        <v>32</v>
      </c>
      <c r="F13764">
        <v>3</v>
      </c>
    </row>
    <row r="13765" s="76" customFormat="1" spans="1:6">
      <c r="A13765">
        <v>14120</v>
      </c>
      <c r="B13765">
        <v>652013270</v>
      </c>
      <c r="C13765">
        <v>2013</v>
      </c>
      <c r="D13765" t="s">
        <v>31</v>
      </c>
      <c r="E13765" t="s">
        <v>32</v>
      </c>
      <c r="F13765">
        <v>2</v>
      </c>
    </row>
    <row r="13766" s="76" customFormat="1" spans="1:6">
      <c r="A13766">
        <v>14101</v>
      </c>
      <c r="B13766">
        <v>652013270</v>
      </c>
      <c r="C13766">
        <v>2013</v>
      </c>
      <c r="D13766" t="s">
        <v>31</v>
      </c>
      <c r="E13766" t="s">
        <v>32</v>
      </c>
      <c r="F13766">
        <v>2</v>
      </c>
    </row>
    <row r="13767" s="76" customFormat="1" spans="1:6">
      <c r="A13767">
        <v>14146</v>
      </c>
      <c r="B13767">
        <v>652013270</v>
      </c>
      <c r="C13767">
        <v>2013</v>
      </c>
      <c r="D13767" t="s">
        <v>31</v>
      </c>
      <c r="E13767" t="s">
        <v>32</v>
      </c>
      <c r="F13767">
        <v>3</v>
      </c>
    </row>
    <row r="13768" s="76" customFormat="1" spans="1:6">
      <c r="A13768">
        <v>14085</v>
      </c>
      <c r="B13768">
        <v>652013270</v>
      </c>
      <c r="C13768">
        <v>2013</v>
      </c>
      <c r="D13768" t="s">
        <v>31</v>
      </c>
      <c r="E13768" t="s">
        <v>32</v>
      </c>
      <c r="F13768">
        <v>2</v>
      </c>
    </row>
    <row r="13769" s="76" customFormat="1" spans="1:6">
      <c r="A13769">
        <v>14086</v>
      </c>
      <c r="B13769">
        <v>652013270</v>
      </c>
      <c r="C13769">
        <v>2013</v>
      </c>
      <c r="D13769" t="s">
        <v>31</v>
      </c>
      <c r="E13769" t="s">
        <v>32</v>
      </c>
      <c r="F13769">
        <v>2</v>
      </c>
    </row>
    <row r="13770" s="76" customFormat="1" spans="1:6">
      <c r="A13770">
        <v>14136</v>
      </c>
      <c r="B13770">
        <v>652013270</v>
      </c>
      <c r="C13770">
        <v>2013</v>
      </c>
      <c r="D13770" t="s">
        <v>31</v>
      </c>
      <c r="E13770" t="s">
        <v>32</v>
      </c>
      <c r="F13770">
        <v>2</v>
      </c>
    </row>
    <row r="13771" s="76" customFormat="1" spans="1:6">
      <c r="A13771">
        <v>14110</v>
      </c>
      <c r="B13771">
        <v>652013270</v>
      </c>
      <c r="C13771">
        <v>2013</v>
      </c>
      <c r="D13771" t="s">
        <v>31</v>
      </c>
      <c r="E13771" t="s">
        <v>32</v>
      </c>
      <c r="F13771">
        <v>2</v>
      </c>
    </row>
    <row r="13772" s="76" customFormat="1" spans="1:6">
      <c r="A13772">
        <v>14111</v>
      </c>
      <c r="B13772">
        <v>652013270</v>
      </c>
      <c r="C13772">
        <v>2013</v>
      </c>
      <c r="D13772" t="s">
        <v>31</v>
      </c>
      <c r="E13772" t="s">
        <v>32</v>
      </c>
      <c r="F13772">
        <v>2</v>
      </c>
    </row>
    <row r="13773" s="76" customFormat="1" spans="1:6">
      <c r="A13773">
        <v>14183</v>
      </c>
      <c r="B13773">
        <v>652013270</v>
      </c>
      <c r="C13773">
        <v>2013</v>
      </c>
      <c r="D13773" t="s">
        <v>31</v>
      </c>
      <c r="E13773" t="s">
        <v>32</v>
      </c>
      <c r="F13773">
        <v>2</v>
      </c>
    </row>
    <row r="13774" s="76" customFormat="1" spans="1:6">
      <c r="A13774">
        <v>14173</v>
      </c>
      <c r="B13774">
        <v>652013270</v>
      </c>
      <c r="C13774">
        <v>2013</v>
      </c>
      <c r="D13774" t="s">
        <v>31</v>
      </c>
      <c r="E13774" t="s">
        <v>32</v>
      </c>
      <c r="F13774">
        <v>2</v>
      </c>
    </row>
    <row r="13775" s="76" customFormat="1" spans="1:6">
      <c r="A13775">
        <v>14174</v>
      </c>
      <c r="B13775">
        <v>652013270</v>
      </c>
      <c r="C13775">
        <v>2013</v>
      </c>
      <c r="D13775" t="s">
        <v>31</v>
      </c>
      <c r="E13775" t="s">
        <v>32</v>
      </c>
      <c r="F13775">
        <v>2</v>
      </c>
    </row>
    <row r="13776" s="76" customFormat="1" spans="1:6">
      <c r="A13776">
        <v>14149</v>
      </c>
      <c r="B13776">
        <v>652013270</v>
      </c>
      <c r="C13776">
        <v>2013</v>
      </c>
      <c r="D13776" t="s">
        <v>31</v>
      </c>
      <c r="E13776" t="s">
        <v>32</v>
      </c>
      <c r="F13776">
        <v>2</v>
      </c>
    </row>
    <row r="13777" s="76" customFormat="1" spans="1:6">
      <c r="A13777">
        <v>14084</v>
      </c>
      <c r="B13777">
        <v>652013270</v>
      </c>
      <c r="C13777">
        <v>2013</v>
      </c>
      <c r="D13777" t="s">
        <v>31</v>
      </c>
      <c r="E13777" t="s">
        <v>32</v>
      </c>
      <c r="F13777">
        <v>2</v>
      </c>
    </row>
    <row r="13778" s="76" customFormat="1" spans="1:6">
      <c r="A13778">
        <v>14184</v>
      </c>
      <c r="B13778">
        <v>652013270</v>
      </c>
      <c r="C13778">
        <v>2013</v>
      </c>
      <c r="D13778" t="s">
        <v>31</v>
      </c>
      <c r="E13778" t="s">
        <v>32</v>
      </c>
      <c r="F13778">
        <v>5</v>
      </c>
    </row>
    <row r="13779" s="76" customFormat="1" spans="1:6">
      <c r="A13779">
        <v>14171</v>
      </c>
      <c r="B13779">
        <v>652013270</v>
      </c>
      <c r="C13779">
        <v>2013</v>
      </c>
      <c r="D13779" t="s">
        <v>31</v>
      </c>
      <c r="E13779" t="s">
        <v>32</v>
      </c>
      <c r="F13779">
        <v>3</v>
      </c>
    </row>
    <row r="13780" s="76" customFormat="1" spans="1:6">
      <c r="A13780">
        <v>14089</v>
      </c>
      <c r="B13780">
        <v>652013270</v>
      </c>
      <c r="C13780">
        <v>2013</v>
      </c>
      <c r="D13780" t="s">
        <v>31</v>
      </c>
      <c r="E13780" t="s">
        <v>32</v>
      </c>
      <c r="F13780">
        <v>2</v>
      </c>
    </row>
    <row r="13781" s="76" customFormat="1" spans="1:6">
      <c r="A13781">
        <v>14178</v>
      </c>
      <c r="B13781">
        <v>652013270</v>
      </c>
      <c r="C13781">
        <v>2013</v>
      </c>
      <c r="D13781" t="s">
        <v>31</v>
      </c>
      <c r="E13781" t="s">
        <v>32</v>
      </c>
      <c r="F13781">
        <v>2.64</v>
      </c>
    </row>
    <row r="13782" s="76" customFormat="1" spans="1:6">
      <c r="A13782">
        <v>14181</v>
      </c>
      <c r="B13782">
        <v>652013270</v>
      </c>
      <c r="C13782">
        <v>2013</v>
      </c>
      <c r="D13782" t="s">
        <v>31</v>
      </c>
      <c r="E13782" t="s">
        <v>32</v>
      </c>
      <c r="F13782">
        <v>2.62</v>
      </c>
    </row>
    <row r="13783" s="76" customFormat="1" spans="1:6">
      <c r="A13783">
        <v>14094</v>
      </c>
      <c r="B13783">
        <v>652013270</v>
      </c>
      <c r="C13783">
        <v>2013</v>
      </c>
      <c r="D13783" t="s">
        <v>31</v>
      </c>
      <c r="E13783" t="s">
        <v>32</v>
      </c>
      <c r="F13783">
        <v>2</v>
      </c>
    </row>
    <row r="13784" s="76" customFormat="1" spans="1:6">
      <c r="A13784">
        <v>14175</v>
      </c>
      <c r="B13784">
        <v>652013270</v>
      </c>
      <c r="C13784">
        <v>2013</v>
      </c>
      <c r="D13784" t="s">
        <v>31</v>
      </c>
      <c r="E13784" t="s">
        <v>32</v>
      </c>
      <c r="F13784">
        <v>2</v>
      </c>
    </row>
    <row r="13785" s="76" customFormat="1" spans="1:6">
      <c r="A13785">
        <v>14185</v>
      </c>
      <c r="B13785">
        <v>652013270</v>
      </c>
      <c r="C13785">
        <v>2013</v>
      </c>
      <c r="D13785" t="s">
        <v>31</v>
      </c>
      <c r="E13785" t="s">
        <v>32</v>
      </c>
      <c r="F13785">
        <v>3</v>
      </c>
    </row>
    <row r="13786" s="76" customFormat="1" spans="1:6">
      <c r="A13786">
        <v>14154</v>
      </c>
      <c r="B13786">
        <v>652013270</v>
      </c>
      <c r="C13786">
        <v>2013</v>
      </c>
      <c r="D13786" t="s">
        <v>31</v>
      </c>
      <c r="E13786" t="s">
        <v>32</v>
      </c>
      <c r="F13786">
        <v>2</v>
      </c>
    </row>
    <row r="13787" s="76" customFormat="1" spans="1:6">
      <c r="A13787">
        <v>14158</v>
      </c>
      <c r="B13787">
        <v>652013270</v>
      </c>
      <c r="C13787">
        <v>2013</v>
      </c>
      <c r="D13787" t="s">
        <v>31</v>
      </c>
      <c r="E13787" t="s">
        <v>32</v>
      </c>
      <c r="F13787">
        <v>2</v>
      </c>
    </row>
    <row r="13788" s="76" customFormat="1" spans="1:6">
      <c r="A13788">
        <v>14150</v>
      </c>
      <c r="B13788">
        <v>652013270</v>
      </c>
      <c r="C13788">
        <v>2013</v>
      </c>
      <c r="D13788" t="s">
        <v>31</v>
      </c>
      <c r="E13788" t="s">
        <v>32</v>
      </c>
      <c r="F13788">
        <v>2</v>
      </c>
    </row>
    <row r="13789" s="76" customFormat="1" spans="1:6">
      <c r="A13789">
        <v>14182</v>
      </c>
      <c r="B13789">
        <v>652013270</v>
      </c>
      <c r="C13789">
        <v>2013</v>
      </c>
      <c r="D13789" t="s">
        <v>31</v>
      </c>
      <c r="E13789" t="s">
        <v>32</v>
      </c>
      <c r="F13789">
        <v>2</v>
      </c>
    </row>
    <row r="13790" s="76" customFormat="1" spans="1:6">
      <c r="A13790">
        <v>14186</v>
      </c>
      <c r="B13790">
        <v>652013270</v>
      </c>
      <c r="C13790">
        <v>2013</v>
      </c>
      <c r="D13790" t="s">
        <v>31</v>
      </c>
      <c r="E13790" t="s">
        <v>32</v>
      </c>
      <c r="F13790">
        <v>4</v>
      </c>
    </row>
    <row r="13791" s="76" customFormat="1" spans="1:6">
      <c r="A13791">
        <v>14180</v>
      </c>
      <c r="B13791">
        <v>652013270</v>
      </c>
      <c r="C13791">
        <v>2013</v>
      </c>
      <c r="D13791" t="s">
        <v>31</v>
      </c>
      <c r="E13791" t="s">
        <v>32</v>
      </c>
      <c r="F13791">
        <v>4</v>
      </c>
    </row>
    <row r="13792" s="76" customFormat="1" spans="1:6">
      <c r="A13792">
        <v>14092</v>
      </c>
      <c r="B13792">
        <v>652013270</v>
      </c>
      <c r="C13792">
        <v>2013</v>
      </c>
      <c r="D13792" t="s">
        <v>31</v>
      </c>
      <c r="E13792" t="s">
        <v>32</v>
      </c>
      <c r="F13792">
        <v>2</v>
      </c>
    </row>
    <row r="13793" s="76" customFormat="1" spans="1:6">
      <c r="A13793">
        <v>14156</v>
      </c>
      <c r="B13793">
        <v>652013270</v>
      </c>
      <c r="C13793">
        <v>2013</v>
      </c>
      <c r="D13793" t="s">
        <v>31</v>
      </c>
      <c r="E13793" t="s">
        <v>32</v>
      </c>
      <c r="F13793">
        <v>2</v>
      </c>
    </row>
    <row r="13794" s="76" customFormat="1" spans="1:6">
      <c r="A13794">
        <v>14168</v>
      </c>
      <c r="B13794">
        <v>652013270</v>
      </c>
      <c r="C13794">
        <v>2013</v>
      </c>
      <c r="D13794" t="s">
        <v>31</v>
      </c>
      <c r="E13794" t="s">
        <v>32</v>
      </c>
      <c r="F13794">
        <v>2</v>
      </c>
    </row>
    <row r="13795" s="76" customFormat="1" spans="1:6">
      <c r="A13795">
        <v>14166</v>
      </c>
      <c r="B13795">
        <v>652013270</v>
      </c>
      <c r="C13795">
        <v>2013</v>
      </c>
      <c r="D13795" t="s">
        <v>31</v>
      </c>
      <c r="E13795" t="s">
        <v>32</v>
      </c>
      <c r="F13795">
        <v>2</v>
      </c>
    </row>
    <row r="13796" s="76" customFormat="1" spans="1:6">
      <c r="A13796">
        <v>14152</v>
      </c>
      <c r="B13796">
        <v>652013270</v>
      </c>
      <c r="C13796">
        <v>2013</v>
      </c>
      <c r="D13796" t="s">
        <v>31</v>
      </c>
      <c r="E13796" t="s">
        <v>32</v>
      </c>
      <c r="F13796">
        <v>2</v>
      </c>
    </row>
    <row r="13797" s="76" customFormat="1" spans="1:6">
      <c r="A13797">
        <v>14151</v>
      </c>
      <c r="B13797">
        <v>652013270</v>
      </c>
      <c r="C13797">
        <v>2013</v>
      </c>
      <c r="D13797" t="s">
        <v>31</v>
      </c>
      <c r="E13797" t="s">
        <v>32</v>
      </c>
      <c r="F13797">
        <v>2</v>
      </c>
    </row>
    <row r="13798" s="76" customFormat="1" spans="1:6">
      <c r="A13798">
        <v>14169</v>
      </c>
      <c r="B13798">
        <v>652013270</v>
      </c>
      <c r="C13798">
        <v>2013</v>
      </c>
      <c r="D13798" t="s">
        <v>31</v>
      </c>
      <c r="E13798" t="s">
        <v>32</v>
      </c>
      <c r="F13798">
        <v>2</v>
      </c>
    </row>
    <row r="13799" s="76" customFormat="1" spans="1:6">
      <c r="A13799">
        <v>14165</v>
      </c>
      <c r="B13799">
        <v>652013270</v>
      </c>
      <c r="C13799">
        <v>2013</v>
      </c>
      <c r="D13799" t="s">
        <v>31</v>
      </c>
      <c r="E13799" t="s">
        <v>32</v>
      </c>
      <c r="F13799">
        <v>2</v>
      </c>
    </row>
    <row r="13800" s="76" customFormat="1" spans="1:6">
      <c r="A13800">
        <v>14170</v>
      </c>
      <c r="B13800">
        <v>652013270</v>
      </c>
      <c r="C13800">
        <v>2013</v>
      </c>
      <c r="D13800" t="s">
        <v>31</v>
      </c>
      <c r="E13800" t="s">
        <v>32</v>
      </c>
      <c r="F13800">
        <v>3</v>
      </c>
    </row>
    <row r="13801" s="76" customFormat="1" spans="1:6">
      <c r="A13801">
        <v>14083</v>
      </c>
      <c r="B13801">
        <v>652013270</v>
      </c>
      <c r="C13801">
        <v>2013</v>
      </c>
      <c r="D13801" t="s">
        <v>31</v>
      </c>
      <c r="E13801" t="s">
        <v>32</v>
      </c>
      <c r="F13801">
        <v>5</v>
      </c>
    </row>
    <row r="13802" s="76" customFormat="1" spans="1:6">
      <c r="A13802">
        <v>14157</v>
      </c>
      <c r="B13802">
        <v>652013270</v>
      </c>
      <c r="C13802">
        <v>2013</v>
      </c>
      <c r="D13802" t="s">
        <v>31</v>
      </c>
      <c r="E13802" t="s">
        <v>32</v>
      </c>
      <c r="F13802">
        <v>2</v>
      </c>
    </row>
    <row r="13803" s="76" customFormat="1" spans="1:6">
      <c r="A13803">
        <v>14131</v>
      </c>
      <c r="B13803">
        <v>652013270</v>
      </c>
      <c r="C13803">
        <v>2013</v>
      </c>
      <c r="D13803" t="s">
        <v>31</v>
      </c>
      <c r="E13803" t="s">
        <v>32</v>
      </c>
      <c r="F13803">
        <v>2</v>
      </c>
    </row>
    <row r="13804" s="76" customFormat="1" spans="1:6">
      <c r="A13804">
        <v>14137</v>
      </c>
      <c r="B13804">
        <v>652013270</v>
      </c>
      <c r="C13804">
        <v>2013</v>
      </c>
      <c r="D13804" t="s">
        <v>31</v>
      </c>
      <c r="E13804" t="s">
        <v>32</v>
      </c>
      <c r="F13804">
        <v>2</v>
      </c>
    </row>
    <row r="13805" s="76" customFormat="1" spans="1:6">
      <c r="A13805">
        <v>14103</v>
      </c>
      <c r="B13805">
        <v>652013270</v>
      </c>
      <c r="C13805">
        <v>2013</v>
      </c>
      <c r="D13805" t="s">
        <v>31</v>
      </c>
      <c r="E13805" t="s">
        <v>32</v>
      </c>
      <c r="F13805">
        <v>2</v>
      </c>
    </row>
    <row r="13806" s="76" customFormat="1" spans="1:6">
      <c r="A13806">
        <v>14108</v>
      </c>
      <c r="B13806">
        <v>652013270</v>
      </c>
      <c r="C13806">
        <v>2013</v>
      </c>
      <c r="D13806" t="s">
        <v>31</v>
      </c>
      <c r="E13806" t="s">
        <v>32</v>
      </c>
      <c r="F13806">
        <v>2</v>
      </c>
    </row>
    <row r="13807" s="76" customFormat="1" spans="1:6">
      <c r="A13807">
        <v>14147</v>
      </c>
      <c r="B13807">
        <v>652013270</v>
      </c>
      <c r="C13807">
        <v>2013</v>
      </c>
      <c r="D13807" t="s">
        <v>31</v>
      </c>
      <c r="E13807" t="s">
        <v>32</v>
      </c>
      <c r="F13807">
        <v>2</v>
      </c>
    </row>
    <row r="13808" s="76" customFormat="1" spans="1:6">
      <c r="A13808">
        <v>14114</v>
      </c>
      <c r="B13808">
        <v>652013270</v>
      </c>
      <c r="C13808">
        <v>2013</v>
      </c>
      <c r="D13808" t="s">
        <v>31</v>
      </c>
      <c r="E13808" t="s">
        <v>32</v>
      </c>
      <c r="F13808">
        <v>2</v>
      </c>
    </row>
    <row r="13809" s="76" customFormat="1" spans="1:6">
      <c r="A13809">
        <v>14148</v>
      </c>
      <c r="B13809">
        <v>652013270</v>
      </c>
      <c r="C13809">
        <v>2013</v>
      </c>
      <c r="D13809" t="s">
        <v>31</v>
      </c>
      <c r="E13809" t="s">
        <v>32</v>
      </c>
      <c r="F13809">
        <v>0.1</v>
      </c>
    </row>
    <row r="13810" s="76" customFormat="1" spans="1:6">
      <c r="A13810">
        <v>14117</v>
      </c>
      <c r="B13810">
        <v>652013270</v>
      </c>
      <c r="C13810">
        <v>2013</v>
      </c>
      <c r="D13810" t="s">
        <v>31</v>
      </c>
      <c r="E13810" t="s">
        <v>32</v>
      </c>
      <c r="F13810">
        <v>2</v>
      </c>
    </row>
    <row r="13811" s="76" customFormat="1" spans="1:6">
      <c r="A13811">
        <v>14127</v>
      </c>
      <c r="B13811">
        <v>652013270</v>
      </c>
      <c r="C13811">
        <v>2013</v>
      </c>
      <c r="D13811" t="s">
        <v>31</v>
      </c>
      <c r="E13811" t="s">
        <v>32</v>
      </c>
      <c r="F13811">
        <v>2</v>
      </c>
    </row>
    <row r="13812" s="76" customFormat="1" spans="1:6">
      <c r="A13812">
        <v>14104</v>
      </c>
      <c r="B13812">
        <v>652013270</v>
      </c>
      <c r="C13812">
        <v>2013</v>
      </c>
      <c r="D13812" t="s">
        <v>31</v>
      </c>
      <c r="E13812" t="s">
        <v>32</v>
      </c>
      <c r="F13812">
        <v>2</v>
      </c>
    </row>
    <row r="13813" s="76" customFormat="1" spans="1:6">
      <c r="A13813">
        <v>14135</v>
      </c>
      <c r="B13813">
        <v>652013270</v>
      </c>
      <c r="C13813">
        <v>2013</v>
      </c>
      <c r="D13813" t="s">
        <v>31</v>
      </c>
      <c r="E13813" t="s">
        <v>32</v>
      </c>
      <c r="F13813">
        <v>2</v>
      </c>
    </row>
    <row r="13814" s="76" customFormat="1" spans="1:6">
      <c r="A13814">
        <v>14102</v>
      </c>
      <c r="B13814">
        <v>652013270</v>
      </c>
      <c r="C13814">
        <v>2013</v>
      </c>
      <c r="D13814" t="s">
        <v>31</v>
      </c>
      <c r="E13814" t="s">
        <v>32</v>
      </c>
      <c r="F13814">
        <v>2</v>
      </c>
    </row>
    <row r="13815" s="76" customFormat="1" spans="1:6">
      <c r="A13815">
        <v>14098</v>
      </c>
      <c r="B13815">
        <v>652013270</v>
      </c>
      <c r="C13815">
        <v>2013</v>
      </c>
      <c r="D13815" t="s">
        <v>31</v>
      </c>
      <c r="E13815" t="s">
        <v>32</v>
      </c>
      <c r="F13815">
        <v>2</v>
      </c>
    </row>
    <row r="13816" s="76" customFormat="1" spans="1:6">
      <c r="A13816">
        <v>14134</v>
      </c>
      <c r="B13816">
        <v>652013270</v>
      </c>
      <c r="C13816">
        <v>2013</v>
      </c>
      <c r="D13816" t="s">
        <v>31</v>
      </c>
      <c r="E13816" t="s">
        <v>32</v>
      </c>
      <c r="F13816">
        <v>2</v>
      </c>
    </row>
    <row r="13817" s="76" customFormat="1" spans="1:6">
      <c r="A13817">
        <v>14187</v>
      </c>
      <c r="B13817">
        <v>652014110</v>
      </c>
      <c r="C13817">
        <v>2014</v>
      </c>
      <c r="D13817" t="s">
        <v>40</v>
      </c>
      <c r="E13817">
        <v>3</v>
      </c>
      <c r="F13817">
        <v>20.1</v>
      </c>
    </row>
    <row r="13818" s="76" customFormat="1" spans="1:6">
      <c r="A13818">
        <v>14191</v>
      </c>
      <c r="B13818">
        <v>652014110</v>
      </c>
      <c r="C13818">
        <v>2014</v>
      </c>
      <c r="D13818" t="s">
        <v>40</v>
      </c>
      <c r="E13818">
        <v>1</v>
      </c>
      <c r="F13818">
        <v>5</v>
      </c>
    </row>
    <row r="13819" s="76" customFormat="1" spans="1:6">
      <c r="A13819">
        <v>14189</v>
      </c>
      <c r="B13819">
        <v>652014110</v>
      </c>
      <c r="C13819">
        <v>2014</v>
      </c>
      <c r="D13819" t="s">
        <v>40</v>
      </c>
      <c r="E13819">
        <v>3</v>
      </c>
      <c r="F13819">
        <v>15</v>
      </c>
    </row>
    <row r="13820" s="76" customFormat="1" spans="1:6">
      <c r="A13820">
        <v>14188</v>
      </c>
      <c r="B13820">
        <v>652014110</v>
      </c>
      <c r="C13820">
        <v>2014</v>
      </c>
      <c r="D13820" t="s">
        <v>40</v>
      </c>
      <c r="E13820">
        <v>4</v>
      </c>
      <c r="F13820">
        <v>16</v>
      </c>
    </row>
    <row r="13821" s="76" customFormat="1" spans="1:6">
      <c r="A13821">
        <v>14190</v>
      </c>
      <c r="B13821">
        <v>652014110</v>
      </c>
      <c r="C13821">
        <v>2014</v>
      </c>
      <c r="D13821" t="s">
        <v>40</v>
      </c>
      <c r="E13821">
        <v>4</v>
      </c>
      <c r="F13821">
        <v>8</v>
      </c>
    </row>
    <row r="13822" s="76" customFormat="1" spans="1:6">
      <c r="A13822">
        <v>14195</v>
      </c>
      <c r="B13822">
        <v>652014211</v>
      </c>
      <c r="C13822">
        <v>2014</v>
      </c>
      <c r="D13822" t="s">
        <v>37</v>
      </c>
      <c r="E13822">
        <v>1</v>
      </c>
      <c r="F13822">
        <v>66</v>
      </c>
    </row>
    <row r="13823" s="76" customFormat="1" spans="1:6">
      <c r="A13823">
        <v>14192</v>
      </c>
      <c r="B13823">
        <v>652014211</v>
      </c>
      <c r="C13823">
        <v>2014</v>
      </c>
      <c r="D13823" t="s">
        <v>37</v>
      </c>
      <c r="E13823">
        <v>2</v>
      </c>
      <c r="F13823">
        <v>132</v>
      </c>
    </row>
    <row r="13824" s="76" customFormat="1" spans="1:6">
      <c r="A13824">
        <v>14196</v>
      </c>
      <c r="B13824">
        <v>652014211</v>
      </c>
      <c r="C13824">
        <v>2014</v>
      </c>
      <c r="D13824" t="s">
        <v>37</v>
      </c>
      <c r="E13824">
        <v>1</v>
      </c>
      <c r="F13824">
        <v>35</v>
      </c>
    </row>
    <row r="13825" s="76" customFormat="1" spans="1:6">
      <c r="A13825">
        <v>14199</v>
      </c>
      <c r="B13825">
        <v>652014211</v>
      </c>
      <c r="C13825">
        <v>2014</v>
      </c>
      <c r="D13825" t="s">
        <v>37</v>
      </c>
      <c r="E13825">
        <v>1</v>
      </c>
      <c r="F13825">
        <v>35</v>
      </c>
    </row>
    <row r="13826" s="76" customFormat="1" spans="1:6">
      <c r="A13826">
        <v>14202</v>
      </c>
      <c r="B13826">
        <v>652014211</v>
      </c>
      <c r="C13826">
        <v>2014</v>
      </c>
      <c r="D13826" t="s">
        <v>37</v>
      </c>
      <c r="E13826">
        <v>1</v>
      </c>
      <c r="F13826">
        <v>35</v>
      </c>
    </row>
    <row r="13827" s="76" customFormat="1" spans="1:6">
      <c r="A13827">
        <v>14198</v>
      </c>
      <c r="B13827">
        <v>652014211</v>
      </c>
      <c r="C13827">
        <v>2014</v>
      </c>
      <c r="D13827" t="s">
        <v>37</v>
      </c>
      <c r="E13827">
        <v>1</v>
      </c>
      <c r="F13827">
        <v>35</v>
      </c>
    </row>
    <row r="13828" s="76" customFormat="1" spans="1:6">
      <c r="A13828">
        <v>14200</v>
      </c>
      <c r="B13828">
        <v>652014211</v>
      </c>
      <c r="C13828">
        <v>2014</v>
      </c>
      <c r="D13828" t="s">
        <v>37</v>
      </c>
      <c r="E13828">
        <v>1</v>
      </c>
      <c r="F13828">
        <v>35</v>
      </c>
    </row>
    <row r="13829" s="76" customFormat="1" spans="1:6">
      <c r="A13829">
        <v>14201</v>
      </c>
      <c r="B13829">
        <v>652014211</v>
      </c>
      <c r="C13829">
        <v>2014</v>
      </c>
      <c r="D13829" t="s">
        <v>37</v>
      </c>
      <c r="E13829">
        <v>1</v>
      </c>
      <c r="F13829">
        <v>35</v>
      </c>
    </row>
    <row r="13830" s="76" customFormat="1" spans="1:6">
      <c r="A13830">
        <v>14197</v>
      </c>
      <c r="B13830">
        <v>652014211</v>
      </c>
      <c r="C13830">
        <v>2014</v>
      </c>
      <c r="D13830" t="s">
        <v>37</v>
      </c>
      <c r="E13830">
        <v>1</v>
      </c>
      <c r="F13830">
        <v>35</v>
      </c>
    </row>
    <row r="13831" s="76" customFormat="1" spans="1:6">
      <c r="A13831">
        <v>14203</v>
      </c>
      <c r="B13831">
        <v>652014211</v>
      </c>
      <c r="C13831">
        <v>2014</v>
      </c>
      <c r="D13831" t="s">
        <v>37</v>
      </c>
      <c r="E13831">
        <v>1</v>
      </c>
      <c r="F13831">
        <v>33</v>
      </c>
    </row>
    <row r="13832" s="76" customFormat="1" spans="1:6">
      <c r="A13832">
        <v>14193</v>
      </c>
      <c r="B13832">
        <v>652014211</v>
      </c>
      <c r="C13832">
        <v>2014</v>
      </c>
      <c r="D13832" t="s">
        <v>37</v>
      </c>
      <c r="E13832">
        <v>2</v>
      </c>
      <c r="F13832">
        <v>70</v>
      </c>
    </row>
    <row r="13833" s="76" customFormat="1" spans="1:6">
      <c r="A13833">
        <v>14194</v>
      </c>
      <c r="B13833">
        <v>652014211</v>
      </c>
      <c r="C13833">
        <v>2014</v>
      </c>
      <c r="D13833" t="s">
        <v>37</v>
      </c>
      <c r="E13833">
        <v>1</v>
      </c>
      <c r="F13833">
        <v>35</v>
      </c>
    </row>
    <row r="13834" s="76" customFormat="1" spans="1:6">
      <c r="A13834">
        <v>14204</v>
      </c>
      <c r="B13834">
        <v>652014243</v>
      </c>
      <c r="C13834">
        <v>2014</v>
      </c>
      <c r="D13834" t="s">
        <v>38</v>
      </c>
      <c r="E13834">
        <v>1</v>
      </c>
      <c r="F13834">
        <v>13.5</v>
      </c>
    </row>
    <row r="13835" s="76" customFormat="1" spans="1:6">
      <c r="A13835">
        <v>14222</v>
      </c>
      <c r="B13835">
        <v>652014260</v>
      </c>
      <c r="C13835">
        <v>2014</v>
      </c>
      <c r="D13835" t="s">
        <v>34</v>
      </c>
      <c r="E13835">
        <v>134</v>
      </c>
      <c r="F13835">
        <v>20.1</v>
      </c>
    </row>
    <row r="13836" s="76" customFormat="1" spans="1:6">
      <c r="A13836">
        <v>14228</v>
      </c>
      <c r="B13836">
        <v>652014260</v>
      </c>
      <c r="C13836">
        <v>2014</v>
      </c>
      <c r="D13836" t="s">
        <v>34</v>
      </c>
      <c r="E13836">
        <v>33</v>
      </c>
      <c r="F13836">
        <v>4.95</v>
      </c>
    </row>
    <row r="13837" s="76" customFormat="1" spans="1:6">
      <c r="A13837">
        <v>14236</v>
      </c>
      <c r="B13837">
        <v>652014260</v>
      </c>
      <c r="C13837">
        <v>2014</v>
      </c>
      <c r="D13837" t="s">
        <v>34</v>
      </c>
      <c r="E13837">
        <v>33</v>
      </c>
      <c r="F13837">
        <v>4.95</v>
      </c>
    </row>
    <row r="13838" s="76" customFormat="1" spans="1:6">
      <c r="A13838">
        <v>14233</v>
      </c>
      <c r="B13838">
        <v>652014260</v>
      </c>
      <c r="C13838">
        <v>2014</v>
      </c>
      <c r="D13838" t="s">
        <v>34</v>
      </c>
      <c r="E13838">
        <v>26</v>
      </c>
      <c r="F13838">
        <v>7.8</v>
      </c>
    </row>
    <row r="13839" s="76" customFormat="1" spans="1:6">
      <c r="A13839">
        <v>14224</v>
      </c>
      <c r="B13839">
        <v>652014260</v>
      </c>
      <c r="C13839">
        <v>2014</v>
      </c>
      <c r="D13839" t="s">
        <v>34</v>
      </c>
      <c r="E13839">
        <v>67</v>
      </c>
      <c r="F13839">
        <v>10.05</v>
      </c>
    </row>
    <row r="13840" s="76" customFormat="1" spans="1:6">
      <c r="A13840">
        <v>14242</v>
      </c>
      <c r="B13840">
        <v>652014260</v>
      </c>
      <c r="C13840">
        <v>2014</v>
      </c>
      <c r="D13840" t="s">
        <v>34</v>
      </c>
      <c r="E13840">
        <v>33</v>
      </c>
      <c r="F13840">
        <v>4.95</v>
      </c>
    </row>
    <row r="13841" s="76" customFormat="1" spans="1:6">
      <c r="A13841">
        <v>14213</v>
      </c>
      <c r="B13841">
        <v>652014260</v>
      </c>
      <c r="C13841">
        <v>2014</v>
      </c>
      <c r="D13841" t="s">
        <v>34</v>
      </c>
      <c r="E13841">
        <v>66</v>
      </c>
      <c r="F13841">
        <v>9.9</v>
      </c>
    </row>
    <row r="13842" s="76" customFormat="1" spans="1:6">
      <c r="A13842">
        <v>14218</v>
      </c>
      <c r="B13842">
        <v>652014260</v>
      </c>
      <c r="C13842">
        <v>2014</v>
      </c>
      <c r="D13842" t="s">
        <v>34</v>
      </c>
      <c r="E13842">
        <v>48</v>
      </c>
      <c r="F13842">
        <v>9.6</v>
      </c>
    </row>
    <row r="13843" s="76" customFormat="1" spans="1:6">
      <c r="A13843">
        <v>14215</v>
      </c>
      <c r="B13843">
        <v>652014260</v>
      </c>
      <c r="C13843">
        <v>2014</v>
      </c>
      <c r="D13843" t="s">
        <v>34</v>
      </c>
      <c r="E13843">
        <v>66</v>
      </c>
      <c r="F13843">
        <v>9.9</v>
      </c>
    </row>
    <row r="13844" s="76" customFormat="1" spans="1:6">
      <c r="A13844">
        <v>14240</v>
      </c>
      <c r="B13844">
        <v>652014260</v>
      </c>
      <c r="C13844">
        <v>2014</v>
      </c>
      <c r="D13844" t="s">
        <v>34</v>
      </c>
      <c r="E13844">
        <v>33</v>
      </c>
      <c r="F13844">
        <v>4.95</v>
      </c>
    </row>
    <row r="13845" s="76" customFormat="1" spans="1:6">
      <c r="A13845">
        <v>14210</v>
      </c>
      <c r="B13845">
        <v>652014260</v>
      </c>
      <c r="C13845">
        <v>2014</v>
      </c>
      <c r="D13845" t="s">
        <v>34</v>
      </c>
      <c r="E13845">
        <v>33</v>
      </c>
      <c r="F13845">
        <v>4.95</v>
      </c>
    </row>
    <row r="13846" s="76" customFormat="1" spans="1:6">
      <c r="A13846">
        <v>14206</v>
      </c>
      <c r="B13846">
        <v>652014260</v>
      </c>
      <c r="C13846">
        <v>2014</v>
      </c>
      <c r="D13846" t="s">
        <v>34</v>
      </c>
      <c r="E13846">
        <v>33</v>
      </c>
      <c r="F13846">
        <v>4.95</v>
      </c>
    </row>
    <row r="13847" s="76" customFormat="1" spans="1:6">
      <c r="A13847">
        <v>14208</v>
      </c>
      <c r="B13847">
        <v>652014260</v>
      </c>
      <c r="C13847">
        <v>2014</v>
      </c>
      <c r="D13847" t="s">
        <v>34</v>
      </c>
      <c r="E13847">
        <v>80</v>
      </c>
      <c r="F13847">
        <v>20</v>
      </c>
    </row>
    <row r="13848" s="76" customFormat="1" spans="1:6">
      <c r="A13848">
        <v>14205</v>
      </c>
      <c r="B13848">
        <v>652014260</v>
      </c>
      <c r="C13848">
        <v>2014</v>
      </c>
      <c r="D13848" t="s">
        <v>34</v>
      </c>
      <c r="E13848">
        <v>80</v>
      </c>
      <c r="F13848">
        <v>20</v>
      </c>
    </row>
    <row r="13849" s="76" customFormat="1" spans="1:6">
      <c r="A13849">
        <v>14238</v>
      </c>
      <c r="B13849">
        <v>652014260</v>
      </c>
      <c r="C13849">
        <v>2014</v>
      </c>
      <c r="D13849" t="s">
        <v>34</v>
      </c>
      <c r="E13849">
        <v>33</v>
      </c>
      <c r="F13849">
        <v>4.95</v>
      </c>
    </row>
    <row r="13850" s="76" customFormat="1" spans="1:6">
      <c r="A13850">
        <v>14209</v>
      </c>
      <c r="B13850">
        <v>652014260</v>
      </c>
      <c r="C13850">
        <v>2014</v>
      </c>
      <c r="D13850" t="s">
        <v>34</v>
      </c>
      <c r="E13850">
        <v>25</v>
      </c>
      <c r="F13850">
        <v>5</v>
      </c>
    </row>
    <row r="13851" s="76" customFormat="1" spans="1:6">
      <c r="A13851">
        <v>14241</v>
      </c>
      <c r="B13851">
        <v>652014260</v>
      </c>
      <c r="C13851">
        <v>2014</v>
      </c>
      <c r="D13851" t="s">
        <v>34</v>
      </c>
      <c r="E13851">
        <v>33</v>
      </c>
      <c r="F13851">
        <v>4.95</v>
      </c>
    </row>
    <row r="13852" s="76" customFormat="1" spans="1:6">
      <c r="A13852">
        <v>14230</v>
      </c>
      <c r="B13852">
        <v>652014260</v>
      </c>
      <c r="C13852">
        <v>2014</v>
      </c>
      <c r="D13852" t="s">
        <v>34</v>
      </c>
      <c r="E13852">
        <v>33</v>
      </c>
      <c r="F13852">
        <v>4.95</v>
      </c>
    </row>
    <row r="13853" s="76" customFormat="1" spans="1:6">
      <c r="A13853">
        <v>14229</v>
      </c>
      <c r="B13853">
        <v>652014260</v>
      </c>
      <c r="C13853">
        <v>2014</v>
      </c>
      <c r="D13853" t="s">
        <v>34</v>
      </c>
      <c r="E13853">
        <v>33</v>
      </c>
      <c r="F13853">
        <v>4.95</v>
      </c>
    </row>
    <row r="13854" s="76" customFormat="1" spans="1:6">
      <c r="A13854">
        <v>14235</v>
      </c>
      <c r="B13854">
        <v>652014260</v>
      </c>
      <c r="C13854">
        <v>2014</v>
      </c>
      <c r="D13854" t="s">
        <v>34</v>
      </c>
      <c r="E13854">
        <v>33</v>
      </c>
      <c r="F13854">
        <v>4.95</v>
      </c>
    </row>
    <row r="13855" s="76" customFormat="1" spans="1:6">
      <c r="A13855">
        <v>14237</v>
      </c>
      <c r="B13855">
        <v>652014260</v>
      </c>
      <c r="C13855">
        <v>2014</v>
      </c>
      <c r="D13855" t="s">
        <v>34</v>
      </c>
      <c r="E13855">
        <v>33</v>
      </c>
      <c r="F13855">
        <v>4.95</v>
      </c>
    </row>
    <row r="13856" s="76" customFormat="1" spans="1:6">
      <c r="A13856">
        <v>14217</v>
      </c>
      <c r="B13856">
        <v>652014260</v>
      </c>
      <c r="C13856">
        <v>2014</v>
      </c>
      <c r="D13856" t="s">
        <v>34</v>
      </c>
      <c r="E13856">
        <v>33</v>
      </c>
      <c r="F13856">
        <v>4.95</v>
      </c>
    </row>
    <row r="13857" s="76" customFormat="1" spans="1:6">
      <c r="A13857">
        <v>14207</v>
      </c>
      <c r="B13857">
        <v>652014260</v>
      </c>
      <c r="C13857">
        <v>2014</v>
      </c>
      <c r="D13857" t="s">
        <v>34</v>
      </c>
      <c r="E13857">
        <v>33</v>
      </c>
      <c r="F13857">
        <v>4.95</v>
      </c>
    </row>
    <row r="13858" s="76" customFormat="1" spans="1:6">
      <c r="A13858">
        <v>14220</v>
      </c>
      <c r="B13858">
        <v>652014260</v>
      </c>
      <c r="C13858">
        <v>2014</v>
      </c>
      <c r="D13858" t="s">
        <v>34</v>
      </c>
      <c r="E13858">
        <v>33</v>
      </c>
      <c r="F13858">
        <v>4.95</v>
      </c>
    </row>
    <row r="13859" s="76" customFormat="1" spans="1:6">
      <c r="A13859">
        <v>14219</v>
      </c>
      <c r="B13859">
        <v>652014260</v>
      </c>
      <c r="C13859">
        <v>2014</v>
      </c>
      <c r="D13859" t="s">
        <v>34</v>
      </c>
      <c r="E13859">
        <v>33</v>
      </c>
      <c r="F13859">
        <v>4.95</v>
      </c>
    </row>
    <row r="13860" s="76" customFormat="1" spans="1:6">
      <c r="A13860">
        <v>14227</v>
      </c>
      <c r="B13860">
        <v>652014260</v>
      </c>
      <c r="C13860">
        <v>2014</v>
      </c>
      <c r="D13860" t="s">
        <v>34</v>
      </c>
      <c r="E13860">
        <v>67</v>
      </c>
      <c r="F13860">
        <v>20.1</v>
      </c>
    </row>
    <row r="13861" s="76" customFormat="1" spans="1:6">
      <c r="A13861">
        <v>14212</v>
      </c>
      <c r="B13861">
        <v>652014260</v>
      </c>
      <c r="C13861">
        <v>2014</v>
      </c>
      <c r="D13861" t="s">
        <v>34</v>
      </c>
      <c r="E13861">
        <v>34</v>
      </c>
      <c r="F13861">
        <v>10.2</v>
      </c>
    </row>
    <row r="13862" s="76" customFormat="1" spans="1:6">
      <c r="A13862">
        <v>14214</v>
      </c>
      <c r="B13862">
        <v>652014260</v>
      </c>
      <c r="C13862">
        <v>2014</v>
      </c>
      <c r="D13862" t="s">
        <v>34</v>
      </c>
      <c r="E13862">
        <v>33</v>
      </c>
      <c r="F13862">
        <v>4.95</v>
      </c>
    </row>
    <row r="13863" s="76" customFormat="1" spans="1:6">
      <c r="A13863">
        <v>14216</v>
      </c>
      <c r="B13863">
        <v>652014260</v>
      </c>
      <c r="C13863">
        <v>2014</v>
      </c>
      <c r="D13863" t="s">
        <v>34</v>
      </c>
      <c r="E13863">
        <v>33</v>
      </c>
      <c r="F13863">
        <v>4.95</v>
      </c>
    </row>
    <row r="13864" s="76" customFormat="1" spans="1:6">
      <c r="A13864">
        <v>14225</v>
      </c>
      <c r="B13864">
        <v>652014260</v>
      </c>
      <c r="C13864">
        <v>2014</v>
      </c>
      <c r="D13864" t="s">
        <v>34</v>
      </c>
      <c r="E13864">
        <v>33</v>
      </c>
      <c r="F13864">
        <v>4.95</v>
      </c>
    </row>
    <row r="13865" s="76" customFormat="1" spans="1:6">
      <c r="A13865">
        <v>14223</v>
      </c>
      <c r="B13865">
        <v>652014260</v>
      </c>
      <c r="C13865">
        <v>2014</v>
      </c>
      <c r="D13865" t="s">
        <v>34</v>
      </c>
      <c r="E13865">
        <v>33</v>
      </c>
      <c r="F13865">
        <v>4.95</v>
      </c>
    </row>
    <row r="13866" s="76" customFormat="1" spans="1:6">
      <c r="A13866">
        <v>14226</v>
      </c>
      <c r="B13866">
        <v>652014260</v>
      </c>
      <c r="C13866">
        <v>2014</v>
      </c>
      <c r="D13866" t="s">
        <v>34</v>
      </c>
      <c r="E13866">
        <v>33</v>
      </c>
      <c r="F13866">
        <v>4.95</v>
      </c>
    </row>
    <row r="13867" s="76" customFormat="1" spans="1:6">
      <c r="A13867">
        <v>14239</v>
      </c>
      <c r="B13867">
        <v>652014260</v>
      </c>
      <c r="C13867">
        <v>2014</v>
      </c>
      <c r="D13867" t="s">
        <v>34</v>
      </c>
      <c r="E13867">
        <v>33</v>
      </c>
      <c r="F13867">
        <v>4.95</v>
      </c>
    </row>
    <row r="13868" s="76" customFormat="1" spans="1:6">
      <c r="A13868">
        <v>14234</v>
      </c>
      <c r="B13868">
        <v>652014260</v>
      </c>
      <c r="C13868">
        <v>2014</v>
      </c>
      <c r="D13868" t="s">
        <v>34</v>
      </c>
      <c r="E13868">
        <v>33</v>
      </c>
      <c r="F13868">
        <v>4.95</v>
      </c>
    </row>
    <row r="13869" s="76" customFormat="1" spans="1:6">
      <c r="A13869">
        <v>14231</v>
      </c>
      <c r="B13869">
        <v>652014260</v>
      </c>
      <c r="C13869">
        <v>2014</v>
      </c>
      <c r="D13869" t="s">
        <v>34</v>
      </c>
      <c r="E13869">
        <v>33</v>
      </c>
      <c r="F13869">
        <v>4.95</v>
      </c>
    </row>
    <row r="13870" s="76" customFormat="1" spans="1:6">
      <c r="A13870">
        <v>14211</v>
      </c>
      <c r="B13870">
        <v>652014260</v>
      </c>
      <c r="C13870">
        <v>2014</v>
      </c>
      <c r="D13870" t="s">
        <v>34</v>
      </c>
      <c r="E13870">
        <v>33</v>
      </c>
      <c r="F13870">
        <v>4.95</v>
      </c>
    </row>
    <row r="13871" s="76" customFormat="1" spans="1:6">
      <c r="A13871">
        <v>14232</v>
      </c>
      <c r="B13871">
        <v>652014260</v>
      </c>
      <c r="C13871">
        <v>2014</v>
      </c>
      <c r="D13871" t="s">
        <v>34</v>
      </c>
      <c r="E13871">
        <v>33</v>
      </c>
      <c r="F13871">
        <v>4.95</v>
      </c>
    </row>
    <row r="13872" s="76" customFormat="1" spans="1:6">
      <c r="A13872">
        <v>14221</v>
      </c>
      <c r="B13872">
        <v>652014260</v>
      </c>
      <c r="C13872">
        <v>2014</v>
      </c>
      <c r="D13872" t="s">
        <v>34</v>
      </c>
      <c r="E13872">
        <v>20</v>
      </c>
      <c r="F13872">
        <v>5</v>
      </c>
    </row>
    <row r="13873" s="76" customFormat="1" spans="1:6">
      <c r="A13873">
        <v>14249</v>
      </c>
      <c r="B13873">
        <v>652014270</v>
      </c>
      <c r="C13873">
        <v>2014</v>
      </c>
      <c r="D13873" t="s">
        <v>31</v>
      </c>
      <c r="E13873"/>
      <c r="F13873">
        <v>4</v>
      </c>
    </row>
    <row r="13874" s="76" customFormat="1" spans="1:6">
      <c r="A13874">
        <v>14254</v>
      </c>
      <c r="B13874">
        <v>652014270</v>
      </c>
      <c r="C13874">
        <v>2014</v>
      </c>
      <c r="D13874" t="s">
        <v>31</v>
      </c>
      <c r="E13874"/>
      <c r="F13874">
        <v>3</v>
      </c>
    </row>
    <row r="13875" s="76" customFormat="1" spans="1:6">
      <c r="A13875">
        <v>14247</v>
      </c>
      <c r="B13875">
        <v>652014270</v>
      </c>
      <c r="C13875">
        <v>2014</v>
      </c>
      <c r="D13875" t="s">
        <v>31</v>
      </c>
      <c r="E13875"/>
      <c r="F13875">
        <v>2</v>
      </c>
    </row>
    <row r="13876" s="76" customFormat="1" spans="1:6">
      <c r="A13876">
        <v>14248</v>
      </c>
      <c r="B13876">
        <v>652014270</v>
      </c>
      <c r="C13876">
        <v>2014</v>
      </c>
      <c r="D13876" t="s">
        <v>31</v>
      </c>
      <c r="E13876"/>
      <c r="F13876">
        <v>5</v>
      </c>
    </row>
    <row r="13877" s="76" customFormat="1" spans="1:6">
      <c r="A13877">
        <v>14257</v>
      </c>
      <c r="B13877">
        <v>652014270</v>
      </c>
      <c r="C13877">
        <v>2014</v>
      </c>
      <c r="D13877" t="s">
        <v>31</v>
      </c>
      <c r="E13877"/>
      <c r="F13877">
        <v>2</v>
      </c>
    </row>
    <row r="13878" s="76" customFormat="1" spans="1:6">
      <c r="A13878">
        <v>14253</v>
      </c>
      <c r="B13878">
        <v>652014270</v>
      </c>
      <c r="C13878">
        <v>2014</v>
      </c>
      <c r="D13878" t="s">
        <v>31</v>
      </c>
      <c r="E13878"/>
      <c r="F13878">
        <v>3</v>
      </c>
    </row>
    <row r="13879" s="76" customFormat="1" spans="1:6">
      <c r="A13879">
        <v>14266</v>
      </c>
      <c r="B13879">
        <v>652014270</v>
      </c>
      <c r="C13879">
        <v>2014</v>
      </c>
      <c r="D13879" t="s">
        <v>31</v>
      </c>
      <c r="E13879"/>
      <c r="F13879">
        <v>2</v>
      </c>
    </row>
    <row r="13880" s="76" customFormat="1" spans="1:6">
      <c r="A13880">
        <v>14268</v>
      </c>
      <c r="B13880">
        <v>652014270</v>
      </c>
      <c r="C13880">
        <v>2014</v>
      </c>
      <c r="D13880" t="s">
        <v>31</v>
      </c>
      <c r="E13880"/>
      <c r="F13880">
        <v>2</v>
      </c>
    </row>
    <row r="13881" s="76" customFormat="1" spans="1:6">
      <c r="A13881">
        <v>14258</v>
      </c>
      <c r="B13881">
        <v>652014270</v>
      </c>
      <c r="C13881">
        <v>2014</v>
      </c>
      <c r="D13881" t="s">
        <v>31</v>
      </c>
      <c r="E13881"/>
      <c r="F13881">
        <v>2</v>
      </c>
    </row>
    <row r="13882" s="76" customFormat="1" spans="1:6">
      <c r="A13882">
        <v>14263</v>
      </c>
      <c r="B13882">
        <v>652014270</v>
      </c>
      <c r="C13882">
        <v>2014</v>
      </c>
      <c r="D13882" t="s">
        <v>31</v>
      </c>
      <c r="E13882"/>
      <c r="F13882">
        <v>2</v>
      </c>
    </row>
    <row r="13883" s="76" customFormat="1" spans="1:6">
      <c r="A13883">
        <v>14260</v>
      </c>
      <c r="B13883">
        <v>652014270</v>
      </c>
      <c r="C13883">
        <v>2014</v>
      </c>
      <c r="D13883" t="s">
        <v>31</v>
      </c>
      <c r="E13883"/>
      <c r="F13883">
        <v>2</v>
      </c>
    </row>
    <row r="13884" s="76" customFormat="1" spans="1:6">
      <c r="A13884">
        <v>14255</v>
      </c>
      <c r="B13884">
        <v>652014270</v>
      </c>
      <c r="C13884">
        <v>2014</v>
      </c>
      <c r="D13884" t="s">
        <v>31</v>
      </c>
      <c r="E13884"/>
      <c r="F13884">
        <v>3</v>
      </c>
    </row>
    <row r="13885" s="76" customFormat="1" spans="1:6">
      <c r="A13885">
        <v>14252</v>
      </c>
      <c r="B13885">
        <v>652014270</v>
      </c>
      <c r="C13885">
        <v>2014</v>
      </c>
      <c r="D13885" t="s">
        <v>31</v>
      </c>
      <c r="E13885"/>
      <c r="F13885">
        <v>3</v>
      </c>
    </row>
    <row r="13886" s="76" customFormat="1" spans="1:6">
      <c r="A13886">
        <v>14243</v>
      </c>
      <c r="B13886">
        <v>652014270</v>
      </c>
      <c r="C13886">
        <v>2014</v>
      </c>
      <c r="D13886" t="s">
        <v>31</v>
      </c>
      <c r="E13886"/>
      <c r="F13886">
        <v>3</v>
      </c>
    </row>
    <row r="13887" s="76" customFormat="1" spans="1:6">
      <c r="A13887">
        <v>14244</v>
      </c>
      <c r="B13887">
        <v>652014270</v>
      </c>
      <c r="C13887">
        <v>2014</v>
      </c>
      <c r="D13887" t="s">
        <v>31</v>
      </c>
      <c r="E13887"/>
      <c r="F13887">
        <v>3</v>
      </c>
    </row>
    <row r="13888" s="76" customFormat="1" spans="1:6">
      <c r="A13888">
        <v>14259</v>
      </c>
      <c r="B13888">
        <v>652014270</v>
      </c>
      <c r="C13888">
        <v>2014</v>
      </c>
      <c r="D13888" t="s">
        <v>31</v>
      </c>
      <c r="E13888"/>
      <c r="F13888">
        <v>2</v>
      </c>
    </row>
    <row r="13889" s="76" customFormat="1" spans="1:6">
      <c r="A13889">
        <v>14245</v>
      </c>
      <c r="B13889">
        <v>652014270</v>
      </c>
      <c r="C13889">
        <v>2014</v>
      </c>
      <c r="D13889" t="s">
        <v>31</v>
      </c>
      <c r="E13889"/>
      <c r="F13889">
        <v>3</v>
      </c>
    </row>
    <row r="13890" s="76" customFormat="1" spans="1:6">
      <c r="A13890">
        <v>14246</v>
      </c>
      <c r="B13890">
        <v>652014270</v>
      </c>
      <c r="C13890">
        <v>2014</v>
      </c>
      <c r="D13890" t="s">
        <v>31</v>
      </c>
      <c r="E13890"/>
      <c r="F13890">
        <v>2</v>
      </c>
    </row>
    <row r="13891" s="76" customFormat="1" spans="1:6">
      <c r="A13891">
        <v>14256</v>
      </c>
      <c r="B13891">
        <v>652014270</v>
      </c>
      <c r="C13891">
        <v>2014</v>
      </c>
      <c r="D13891" t="s">
        <v>31</v>
      </c>
      <c r="E13891"/>
      <c r="F13891">
        <v>2</v>
      </c>
    </row>
    <row r="13892" s="76" customFormat="1" spans="1:6">
      <c r="A13892">
        <v>14261</v>
      </c>
      <c r="B13892">
        <v>652014270</v>
      </c>
      <c r="C13892">
        <v>2014</v>
      </c>
      <c r="D13892" t="s">
        <v>31</v>
      </c>
      <c r="E13892"/>
      <c r="F13892">
        <v>2</v>
      </c>
    </row>
    <row r="13893" s="76" customFormat="1" spans="1:6">
      <c r="A13893">
        <v>14250</v>
      </c>
      <c r="B13893">
        <v>652014270</v>
      </c>
      <c r="C13893">
        <v>2014</v>
      </c>
      <c r="D13893" t="s">
        <v>31</v>
      </c>
      <c r="E13893"/>
      <c r="F13893">
        <v>3</v>
      </c>
    </row>
    <row r="13894" s="76" customFormat="1" spans="1:6">
      <c r="A13894">
        <v>14251</v>
      </c>
      <c r="B13894">
        <v>652014270</v>
      </c>
      <c r="C13894">
        <v>2014</v>
      </c>
      <c r="D13894" t="s">
        <v>31</v>
      </c>
      <c r="E13894"/>
      <c r="F13894">
        <v>3</v>
      </c>
    </row>
    <row r="13895" s="76" customFormat="1" spans="1:6">
      <c r="A13895">
        <v>14269</v>
      </c>
      <c r="B13895">
        <v>652014270</v>
      </c>
      <c r="C13895">
        <v>2014</v>
      </c>
      <c r="D13895" t="s">
        <v>31</v>
      </c>
      <c r="E13895"/>
      <c r="F13895">
        <v>1.6</v>
      </c>
    </row>
    <row r="13896" s="76" customFormat="1" spans="1:6">
      <c r="A13896">
        <v>14270</v>
      </c>
      <c r="B13896">
        <v>652014270</v>
      </c>
      <c r="C13896">
        <v>2014</v>
      </c>
      <c r="D13896" t="s">
        <v>31</v>
      </c>
      <c r="E13896"/>
      <c r="F13896">
        <v>1</v>
      </c>
    </row>
    <row r="13897" s="76" customFormat="1" spans="1:6">
      <c r="A13897">
        <v>14262</v>
      </c>
      <c r="B13897">
        <v>652014270</v>
      </c>
      <c r="C13897">
        <v>2014</v>
      </c>
      <c r="D13897" t="s">
        <v>31</v>
      </c>
      <c r="E13897"/>
      <c r="F13897">
        <v>2</v>
      </c>
    </row>
    <row r="13898" s="76" customFormat="1" spans="1:6">
      <c r="A13898">
        <v>14265</v>
      </c>
      <c r="B13898">
        <v>652014270</v>
      </c>
      <c r="C13898">
        <v>2014</v>
      </c>
      <c r="D13898" t="s">
        <v>31</v>
      </c>
      <c r="E13898"/>
      <c r="F13898">
        <v>2</v>
      </c>
    </row>
    <row r="13899" s="76" customFormat="1" spans="1:6">
      <c r="A13899">
        <v>14264</v>
      </c>
      <c r="B13899">
        <v>652014270</v>
      </c>
      <c r="C13899">
        <v>2014</v>
      </c>
      <c r="D13899" t="s">
        <v>31</v>
      </c>
      <c r="E13899"/>
      <c r="F13899">
        <v>2</v>
      </c>
    </row>
    <row r="13900" s="76" customFormat="1" spans="1:6">
      <c r="A13900">
        <v>14267</v>
      </c>
      <c r="B13900">
        <v>652014270</v>
      </c>
      <c r="C13900">
        <v>2014</v>
      </c>
      <c r="D13900" t="s">
        <v>31</v>
      </c>
      <c r="E13900"/>
      <c r="F13900">
        <v>2</v>
      </c>
    </row>
    <row r="13901" s="76" customFormat="1" spans="1:6">
      <c r="A13901">
        <v>14276</v>
      </c>
      <c r="B13901">
        <v>652015110</v>
      </c>
      <c r="C13901">
        <v>2015</v>
      </c>
      <c r="D13901" t="s">
        <v>40</v>
      </c>
      <c r="E13901" t="s">
        <v>32</v>
      </c>
      <c r="F13901">
        <v>3.5</v>
      </c>
    </row>
    <row r="13902" s="76" customFormat="1" spans="1:6">
      <c r="A13902">
        <v>14278</v>
      </c>
      <c r="B13902">
        <v>652015110</v>
      </c>
      <c r="C13902">
        <v>2015</v>
      </c>
      <c r="D13902" t="s">
        <v>40</v>
      </c>
      <c r="E13902" t="s">
        <v>32</v>
      </c>
      <c r="F13902">
        <v>3.8</v>
      </c>
    </row>
    <row r="13903" s="76" customFormat="1" spans="1:6">
      <c r="A13903">
        <v>14271</v>
      </c>
      <c r="B13903">
        <v>652015110</v>
      </c>
      <c r="C13903">
        <v>2015</v>
      </c>
      <c r="D13903" t="s">
        <v>40</v>
      </c>
      <c r="E13903">
        <v>1</v>
      </c>
      <c r="F13903">
        <v>3.5</v>
      </c>
    </row>
    <row r="13904" s="76" customFormat="1" spans="1:6">
      <c r="A13904">
        <v>14275</v>
      </c>
      <c r="B13904">
        <v>652015110</v>
      </c>
      <c r="C13904">
        <v>2015</v>
      </c>
      <c r="D13904" t="s">
        <v>40</v>
      </c>
      <c r="E13904" t="s">
        <v>32</v>
      </c>
      <c r="F13904">
        <v>1.02</v>
      </c>
    </row>
    <row r="13905" s="76" customFormat="1" spans="1:6">
      <c r="A13905">
        <v>14272</v>
      </c>
      <c r="B13905">
        <v>652015110</v>
      </c>
      <c r="C13905">
        <v>2015</v>
      </c>
      <c r="D13905" t="s">
        <v>40</v>
      </c>
      <c r="E13905" t="s">
        <v>32</v>
      </c>
      <c r="F13905">
        <v>6.6</v>
      </c>
    </row>
    <row r="13906" s="76" customFormat="1" spans="1:6">
      <c r="A13906">
        <v>14279</v>
      </c>
      <c r="B13906">
        <v>652015110</v>
      </c>
      <c r="C13906">
        <v>2015</v>
      </c>
      <c r="D13906" t="s">
        <v>40</v>
      </c>
      <c r="E13906" t="s">
        <v>32</v>
      </c>
      <c r="F13906">
        <v>5.4</v>
      </c>
    </row>
    <row r="13907" s="76" customFormat="1" spans="1:6">
      <c r="A13907">
        <v>14281</v>
      </c>
      <c r="B13907">
        <v>652015110</v>
      </c>
      <c r="C13907">
        <v>2015</v>
      </c>
      <c r="D13907" t="s">
        <v>40</v>
      </c>
      <c r="E13907" t="s">
        <v>32</v>
      </c>
      <c r="F13907">
        <v>0.32</v>
      </c>
    </row>
    <row r="13908" s="76" customFormat="1" spans="1:6">
      <c r="A13908">
        <v>14273</v>
      </c>
      <c r="B13908">
        <v>652015110</v>
      </c>
      <c r="C13908">
        <v>2015</v>
      </c>
      <c r="D13908" t="s">
        <v>40</v>
      </c>
      <c r="E13908" t="s">
        <v>32</v>
      </c>
      <c r="F13908">
        <v>0.65</v>
      </c>
    </row>
    <row r="13909" s="76" customFormat="1" spans="1:6">
      <c r="A13909">
        <v>14274</v>
      </c>
      <c r="B13909">
        <v>652015110</v>
      </c>
      <c r="C13909">
        <v>2015</v>
      </c>
      <c r="D13909" t="s">
        <v>40</v>
      </c>
      <c r="E13909" t="s">
        <v>32</v>
      </c>
      <c r="F13909">
        <v>1.69</v>
      </c>
    </row>
    <row r="13910" s="76" customFormat="1" spans="1:6">
      <c r="A13910">
        <v>14280</v>
      </c>
      <c r="B13910">
        <v>652015110</v>
      </c>
      <c r="C13910">
        <v>2015</v>
      </c>
      <c r="D13910" t="s">
        <v>40</v>
      </c>
      <c r="E13910" t="s">
        <v>32</v>
      </c>
      <c r="F13910">
        <v>9.5</v>
      </c>
    </row>
    <row r="13911" s="76" customFormat="1" spans="1:6">
      <c r="A13911">
        <v>14277</v>
      </c>
      <c r="B13911">
        <v>652015110</v>
      </c>
      <c r="C13911">
        <v>2015</v>
      </c>
      <c r="D13911" t="s">
        <v>40</v>
      </c>
      <c r="E13911" t="s">
        <v>32</v>
      </c>
      <c r="F13911">
        <v>1.36</v>
      </c>
    </row>
    <row r="13912" s="76" customFormat="1" spans="1:6">
      <c r="A13912">
        <v>14283</v>
      </c>
      <c r="B13912">
        <v>652015211</v>
      </c>
      <c r="C13912">
        <v>2015</v>
      </c>
      <c r="D13912" t="s">
        <v>37</v>
      </c>
      <c r="E13912">
        <v>3</v>
      </c>
      <c r="F13912">
        <v>198</v>
      </c>
    </row>
    <row r="13913" s="76" customFormat="1" spans="1:6">
      <c r="A13913">
        <v>14284</v>
      </c>
      <c r="B13913">
        <v>652015211</v>
      </c>
      <c r="C13913">
        <v>2015</v>
      </c>
      <c r="D13913" t="s">
        <v>37</v>
      </c>
      <c r="E13913">
        <v>1</v>
      </c>
      <c r="F13913">
        <v>35</v>
      </c>
    </row>
    <row r="13914" s="76" customFormat="1" spans="1:6">
      <c r="A13914">
        <v>14282</v>
      </c>
      <c r="B13914">
        <v>652015211</v>
      </c>
      <c r="C13914">
        <v>2015</v>
      </c>
      <c r="D13914" t="s">
        <v>37</v>
      </c>
      <c r="E13914">
        <v>1</v>
      </c>
      <c r="F13914">
        <v>66</v>
      </c>
    </row>
    <row r="13915" s="76" customFormat="1" spans="1:6">
      <c r="A13915">
        <v>14287</v>
      </c>
      <c r="B13915">
        <v>652015211</v>
      </c>
      <c r="C13915">
        <v>2015</v>
      </c>
      <c r="D13915" t="s">
        <v>37</v>
      </c>
      <c r="E13915" t="s">
        <v>32</v>
      </c>
      <c r="F13915">
        <v>35</v>
      </c>
    </row>
    <row r="13916" s="76" customFormat="1" spans="1:6">
      <c r="A13916">
        <v>14285</v>
      </c>
      <c r="B13916">
        <v>652015211</v>
      </c>
      <c r="C13916">
        <v>2015</v>
      </c>
      <c r="D13916" t="s">
        <v>37</v>
      </c>
      <c r="E13916">
        <v>1</v>
      </c>
      <c r="F13916">
        <v>110</v>
      </c>
    </row>
    <row r="13917" s="76" customFormat="1" spans="1:6">
      <c r="A13917">
        <v>14286</v>
      </c>
      <c r="B13917">
        <v>652015211</v>
      </c>
      <c r="C13917">
        <v>2015</v>
      </c>
      <c r="D13917" t="s">
        <v>37</v>
      </c>
      <c r="E13917" t="s">
        <v>32</v>
      </c>
      <c r="F13917">
        <v>33</v>
      </c>
    </row>
    <row r="13918" s="76" customFormat="1" spans="1:6">
      <c r="A13918">
        <v>14289</v>
      </c>
      <c r="B13918">
        <v>652015241</v>
      </c>
      <c r="C13918">
        <v>2015</v>
      </c>
      <c r="D13918" t="s">
        <v>33</v>
      </c>
      <c r="E13918">
        <v>1</v>
      </c>
      <c r="F13918">
        <v>0.9</v>
      </c>
    </row>
    <row r="13919" s="76" customFormat="1" spans="1:6">
      <c r="A13919">
        <v>14291</v>
      </c>
      <c r="B13919">
        <v>652015241</v>
      </c>
      <c r="C13919">
        <v>2015</v>
      </c>
      <c r="D13919" t="s">
        <v>33</v>
      </c>
      <c r="E13919" t="s">
        <v>32</v>
      </c>
      <c r="F13919">
        <v>27</v>
      </c>
    </row>
    <row r="13920" s="76" customFormat="1" spans="1:6">
      <c r="A13920">
        <v>14290</v>
      </c>
      <c r="B13920">
        <v>652015241</v>
      </c>
      <c r="C13920">
        <v>2015</v>
      </c>
      <c r="D13920" t="s">
        <v>33</v>
      </c>
      <c r="E13920">
        <v>1</v>
      </c>
      <c r="F13920">
        <v>1.5</v>
      </c>
    </row>
    <row r="13921" s="76" customFormat="1" spans="1:6">
      <c r="A13921">
        <v>14292</v>
      </c>
      <c r="B13921">
        <v>652015241</v>
      </c>
      <c r="C13921">
        <v>2015</v>
      </c>
      <c r="D13921" t="s">
        <v>33</v>
      </c>
      <c r="E13921" t="s">
        <v>32</v>
      </c>
      <c r="F13921">
        <v>1.8</v>
      </c>
    </row>
    <row r="13922" s="76" customFormat="1" spans="1:6">
      <c r="A13922">
        <v>14293</v>
      </c>
      <c r="B13922">
        <v>652015241</v>
      </c>
      <c r="C13922">
        <v>2015</v>
      </c>
      <c r="D13922" t="s">
        <v>33</v>
      </c>
      <c r="E13922" t="s">
        <v>32</v>
      </c>
      <c r="F13922">
        <v>27</v>
      </c>
    </row>
    <row r="13923" s="76" customFormat="1" spans="1:6">
      <c r="A13923">
        <v>14288</v>
      </c>
      <c r="B13923">
        <v>652015241</v>
      </c>
      <c r="C13923">
        <v>2015</v>
      </c>
      <c r="D13923" t="s">
        <v>33</v>
      </c>
      <c r="E13923" t="s">
        <v>32</v>
      </c>
      <c r="F13923">
        <v>13.5</v>
      </c>
    </row>
    <row r="13924" s="76" customFormat="1" spans="1:6">
      <c r="A13924">
        <v>14361</v>
      </c>
      <c r="B13924">
        <v>652015260</v>
      </c>
      <c r="C13924">
        <v>2015</v>
      </c>
      <c r="D13924" t="s">
        <v>34</v>
      </c>
      <c r="E13924" t="s">
        <v>32</v>
      </c>
      <c r="F13924">
        <v>4.95</v>
      </c>
    </row>
    <row r="13925" s="76" customFormat="1" spans="1:6">
      <c r="A13925">
        <v>14338</v>
      </c>
      <c r="B13925">
        <v>652015260</v>
      </c>
      <c r="C13925">
        <v>2015</v>
      </c>
      <c r="D13925" t="s">
        <v>34</v>
      </c>
      <c r="E13925">
        <v>7</v>
      </c>
      <c r="F13925">
        <v>2.1</v>
      </c>
    </row>
    <row r="13926" s="76" customFormat="1" spans="1:6">
      <c r="A13926">
        <v>14310</v>
      </c>
      <c r="B13926">
        <v>652015260</v>
      </c>
      <c r="C13926">
        <v>2015</v>
      </c>
      <c r="D13926" t="s">
        <v>34</v>
      </c>
      <c r="E13926">
        <v>2</v>
      </c>
      <c r="F13926">
        <v>0.3</v>
      </c>
    </row>
    <row r="13927" s="76" customFormat="1" spans="1:6">
      <c r="A13927">
        <v>14309</v>
      </c>
      <c r="B13927">
        <v>652015260</v>
      </c>
      <c r="C13927">
        <v>2015</v>
      </c>
      <c r="D13927" t="s">
        <v>34</v>
      </c>
      <c r="E13927">
        <v>7</v>
      </c>
      <c r="F13927">
        <v>1.75</v>
      </c>
    </row>
    <row r="13928" s="76" customFormat="1" spans="1:6">
      <c r="A13928">
        <v>14308</v>
      </c>
      <c r="B13928">
        <v>652015260</v>
      </c>
      <c r="C13928">
        <v>2015</v>
      </c>
      <c r="D13928" t="s">
        <v>34</v>
      </c>
      <c r="E13928">
        <v>133</v>
      </c>
      <c r="F13928">
        <v>19.95</v>
      </c>
    </row>
    <row r="13929" s="76" customFormat="1" spans="1:6">
      <c r="A13929">
        <v>14346</v>
      </c>
      <c r="B13929">
        <v>652015260</v>
      </c>
      <c r="C13929">
        <v>2015</v>
      </c>
      <c r="D13929" t="s">
        <v>34</v>
      </c>
      <c r="E13929" t="s">
        <v>32</v>
      </c>
      <c r="F13929">
        <v>4.95</v>
      </c>
    </row>
    <row r="13930" s="76" customFormat="1" spans="1:6">
      <c r="A13930">
        <v>14384</v>
      </c>
      <c r="B13930">
        <v>652015260</v>
      </c>
      <c r="C13930">
        <v>2015</v>
      </c>
      <c r="D13930" t="s">
        <v>34</v>
      </c>
      <c r="E13930" t="s">
        <v>32</v>
      </c>
      <c r="F13930">
        <v>9.9</v>
      </c>
    </row>
    <row r="13931" s="76" customFormat="1" spans="1:6">
      <c r="A13931">
        <v>14354</v>
      </c>
      <c r="B13931">
        <v>652015260</v>
      </c>
      <c r="C13931">
        <v>2015</v>
      </c>
      <c r="D13931" t="s">
        <v>34</v>
      </c>
      <c r="E13931" t="s">
        <v>32</v>
      </c>
      <c r="F13931">
        <v>2</v>
      </c>
    </row>
    <row r="13932" s="76" customFormat="1" spans="1:6">
      <c r="A13932">
        <v>14357</v>
      </c>
      <c r="B13932">
        <v>652015260</v>
      </c>
      <c r="C13932">
        <v>2015</v>
      </c>
      <c r="D13932" t="s">
        <v>34</v>
      </c>
      <c r="E13932" t="s">
        <v>32</v>
      </c>
      <c r="F13932">
        <v>9.9</v>
      </c>
    </row>
    <row r="13933" s="76" customFormat="1" spans="1:6">
      <c r="A13933">
        <v>14367</v>
      </c>
      <c r="B13933">
        <v>652015260</v>
      </c>
      <c r="C13933">
        <v>2015</v>
      </c>
      <c r="D13933" t="s">
        <v>34</v>
      </c>
      <c r="E13933" t="s">
        <v>32</v>
      </c>
      <c r="F13933">
        <v>20</v>
      </c>
    </row>
    <row r="13934" s="76" customFormat="1" spans="1:6">
      <c r="A13934">
        <v>14376</v>
      </c>
      <c r="B13934">
        <v>652015260</v>
      </c>
      <c r="C13934">
        <v>2015</v>
      </c>
      <c r="D13934" t="s">
        <v>34</v>
      </c>
      <c r="E13934" t="s">
        <v>32</v>
      </c>
      <c r="F13934">
        <v>20</v>
      </c>
    </row>
    <row r="13935" s="76" customFormat="1" spans="1:6">
      <c r="A13935">
        <v>14304</v>
      </c>
      <c r="B13935">
        <v>652015260</v>
      </c>
      <c r="C13935">
        <v>2015</v>
      </c>
      <c r="D13935" t="s">
        <v>34</v>
      </c>
      <c r="E13935">
        <v>66</v>
      </c>
      <c r="F13935">
        <v>9.9</v>
      </c>
    </row>
    <row r="13936" s="76" customFormat="1" spans="1:6">
      <c r="A13936">
        <v>14340</v>
      </c>
      <c r="B13936">
        <v>652015260</v>
      </c>
      <c r="C13936">
        <v>2015</v>
      </c>
      <c r="D13936" t="s">
        <v>34</v>
      </c>
      <c r="E13936" t="s">
        <v>32</v>
      </c>
      <c r="F13936">
        <v>4.95</v>
      </c>
    </row>
    <row r="13937" s="76" customFormat="1" spans="1:6">
      <c r="A13937">
        <v>14295</v>
      </c>
      <c r="B13937">
        <v>652015260</v>
      </c>
      <c r="C13937">
        <v>2015</v>
      </c>
      <c r="D13937" t="s">
        <v>34</v>
      </c>
      <c r="E13937">
        <v>33</v>
      </c>
      <c r="F13937">
        <v>4.95</v>
      </c>
    </row>
    <row r="13938" s="76" customFormat="1" spans="1:6">
      <c r="A13938">
        <v>14332</v>
      </c>
      <c r="B13938">
        <v>652015260</v>
      </c>
      <c r="C13938">
        <v>2015</v>
      </c>
      <c r="D13938" t="s">
        <v>34</v>
      </c>
      <c r="E13938">
        <v>25</v>
      </c>
      <c r="F13938">
        <v>4.95</v>
      </c>
    </row>
    <row r="13939" s="76" customFormat="1" spans="1:6">
      <c r="A13939">
        <v>14343</v>
      </c>
      <c r="B13939">
        <v>652015260</v>
      </c>
      <c r="C13939">
        <v>2015</v>
      </c>
      <c r="D13939" t="s">
        <v>34</v>
      </c>
      <c r="E13939" t="s">
        <v>32</v>
      </c>
      <c r="F13939">
        <v>4.95</v>
      </c>
    </row>
    <row r="13940" s="76" customFormat="1" spans="1:6">
      <c r="A13940">
        <v>14331</v>
      </c>
      <c r="B13940">
        <v>652015260</v>
      </c>
      <c r="C13940">
        <v>2015</v>
      </c>
      <c r="D13940" t="s">
        <v>34</v>
      </c>
      <c r="E13940">
        <v>33</v>
      </c>
      <c r="F13940">
        <v>4.95</v>
      </c>
    </row>
    <row r="13941" s="76" customFormat="1" spans="1:6">
      <c r="A13941">
        <v>14341</v>
      </c>
      <c r="B13941">
        <v>652015260</v>
      </c>
      <c r="C13941">
        <v>2015</v>
      </c>
      <c r="D13941" t="s">
        <v>34</v>
      </c>
      <c r="E13941" t="s">
        <v>32</v>
      </c>
      <c r="F13941">
        <v>9.9</v>
      </c>
    </row>
    <row r="13942" s="76" customFormat="1" spans="1:6">
      <c r="A13942">
        <v>14364</v>
      </c>
      <c r="B13942">
        <v>652015260</v>
      </c>
      <c r="C13942">
        <v>2015</v>
      </c>
      <c r="D13942" t="s">
        <v>34</v>
      </c>
      <c r="E13942" t="s">
        <v>32</v>
      </c>
      <c r="F13942">
        <v>4.95</v>
      </c>
    </row>
    <row r="13943" s="76" customFormat="1" spans="1:6">
      <c r="A13943">
        <v>14381</v>
      </c>
      <c r="B13943">
        <v>652015260</v>
      </c>
      <c r="C13943">
        <v>2015</v>
      </c>
      <c r="D13943" t="s">
        <v>34</v>
      </c>
      <c r="E13943" t="s">
        <v>32</v>
      </c>
      <c r="F13943">
        <v>4.8</v>
      </c>
    </row>
    <row r="13944" s="76" customFormat="1" spans="1:6">
      <c r="A13944">
        <v>14345</v>
      </c>
      <c r="B13944">
        <v>652015260</v>
      </c>
      <c r="C13944">
        <v>2015</v>
      </c>
      <c r="D13944" t="s">
        <v>34</v>
      </c>
      <c r="E13944" t="s">
        <v>32</v>
      </c>
      <c r="F13944">
        <v>4.95</v>
      </c>
    </row>
    <row r="13945" s="76" customFormat="1" spans="1:6">
      <c r="A13945">
        <v>14359</v>
      </c>
      <c r="B13945">
        <v>652015260</v>
      </c>
      <c r="C13945">
        <v>2015</v>
      </c>
      <c r="D13945" t="s">
        <v>34</v>
      </c>
      <c r="E13945" t="s">
        <v>32</v>
      </c>
      <c r="F13945">
        <v>4.95</v>
      </c>
    </row>
    <row r="13946" s="76" customFormat="1" spans="1:6">
      <c r="A13946">
        <v>14358</v>
      </c>
      <c r="B13946">
        <v>652015260</v>
      </c>
      <c r="C13946">
        <v>2015</v>
      </c>
      <c r="D13946" t="s">
        <v>34</v>
      </c>
      <c r="E13946" t="s">
        <v>32</v>
      </c>
      <c r="F13946">
        <v>4.95</v>
      </c>
    </row>
    <row r="13947" s="76" customFormat="1" spans="1:6">
      <c r="A13947">
        <v>14369</v>
      </c>
      <c r="B13947">
        <v>652015260</v>
      </c>
      <c r="C13947">
        <v>2015</v>
      </c>
      <c r="D13947" t="s">
        <v>34</v>
      </c>
      <c r="E13947" t="s">
        <v>32</v>
      </c>
      <c r="F13947">
        <v>9.9</v>
      </c>
    </row>
    <row r="13948" s="76" customFormat="1" spans="1:6">
      <c r="A13948">
        <v>14365</v>
      </c>
      <c r="B13948">
        <v>652015260</v>
      </c>
      <c r="C13948">
        <v>2015</v>
      </c>
      <c r="D13948" t="s">
        <v>34</v>
      </c>
      <c r="E13948" t="s">
        <v>32</v>
      </c>
      <c r="F13948">
        <v>20</v>
      </c>
    </row>
    <row r="13949" s="76" customFormat="1" spans="1:6">
      <c r="A13949">
        <v>14373</v>
      </c>
      <c r="B13949">
        <v>652015260</v>
      </c>
      <c r="C13949">
        <v>2015</v>
      </c>
      <c r="D13949" t="s">
        <v>34</v>
      </c>
      <c r="E13949" t="s">
        <v>32</v>
      </c>
      <c r="F13949">
        <v>9.9</v>
      </c>
    </row>
    <row r="13950" s="76" customFormat="1" spans="1:6">
      <c r="A13950">
        <v>14378</v>
      </c>
      <c r="B13950">
        <v>652015260</v>
      </c>
      <c r="C13950">
        <v>2015</v>
      </c>
      <c r="D13950" t="s">
        <v>34</v>
      </c>
      <c r="E13950" t="s">
        <v>32</v>
      </c>
      <c r="F13950">
        <v>20</v>
      </c>
    </row>
    <row r="13951" s="76" customFormat="1" spans="1:6">
      <c r="A13951">
        <v>14362</v>
      </c>
      <c r="B13951">
        <v>652015260</v>
      </c>
      <c r="C13951">
        <v>2015</v>
      </c>
      <c r="D13951" t="s">
        <v>34</v>
      </c>
      <c r="E13951" t="s">
        <v>32</v>
      </c>
      <c r="F13951">
        <v>4.95</v>
      </c>
    </row>
    <row r="13952" s="76" customFormat="1" spans="1:6">
      <c r="A13952">
        <v>14372</v>
      </c>
      <c r="B13952">
        <v>652015260</v>
      </c>
      <c r="C13952">
        <v>2015</v>
      </c>
      <c r="D13952" t="s">
        <v>34</v>
      </c>
      <c r="E13952" t="s">
        <v>32</v>
      </c>
      <c r="F13952">
        <v>9.9</v>
      </c>
    </row>
    <row r="13953" s="76" customFormat="1" spans="1:6">
      <c r="A13953">
        <v>14368</v>
      </c>
      <c r="B13953">
        <v>652015260</v>
      </c>
      <c r="C13953">
        <v>2015</v>
      </c>
      <c r="D13953" t="s">
        <v>34</v>
      </c>
      <c r="E13953" t="s">
        <v>32</v>
      </c>
      <c r="F13953">
        <v>30</v>
      </c>
    </row>
    <row r="13954" s="76" customFormat="1" spans="1:6">
      <c r="A13954">
        <v>14370</v>
      </c>
      <c r="B13954">
        <v>652015260</v>
      </c>
      <c r="C13954">
        <v>2015</v>
      </c>
      <c r="D13954" t="s">
        <v>34</v>
      </c>
      <c r="E13954" t="s">
        <v>32</v>
      </c>
      <c r="F13954">
        <v>9.9</v>
      </c>
    </row>
    <row r="13955" s="76" customFormat="1" spans="1:6">
      <c r="A13955">
        <v>14377</v>
      </c>
      <c r="B13955">
        <v>652015260</v>
      </c>
      <c r="C13955">
        <v>2015</v>
      </c>
      <c r="D13955" t="s">
        <v>34</v>
      </c>
      <c r="E13955" t="s">
        <v>32</v>
      </c>
      <c r="F13955">
        <v>20</v>
      </c>
    </row>
    <row r="13956" s="76" customFormat="1" spans="1:6">
      <c r="A13956">
        <v>14382</v>
      </c>
      <c r="B13956">
        <v>652015260</v>
      </c>
      <c r="C13956">
        <v>2015</v>
      </c>
      <c r="D13956" t="s">
        <v>34</v>
      </c>
      <c r="E13956" t="s">
        <v>32</v>
      </c>
      <c r="F13956">
        <v>4.95</v>
      </c>
    </row>
    <row r="13957" s="76" customFormat="1" spans="1:6">
      <c r="A13957">
        <v>14385</v>
      </c>
      <c r="B13957">
        <v>652015260</v>
      </c>
      <c r="C13957">
        <v>2015</v>
      </c>
      <c r="D13957" t="s">
        <v>34</v>
      </c>
      <c r="E13957">
        <v>33</v>
      </c>
      <c r="F13957">
        <v>4.95</v>
      </c>
    </row>
    <row r="13958" s="76" customFormat="1" spans="1:6">
      <c r="A13958">
        <v>14360</v>
      </c>
      <c r="B13958">
        <v>652015260</v>
      </c>
      <c r="C13958">
        <v>2015</v>
      </c>
      <c r="D13958" t="s">
        <v>34</v>
      </c>
      <c r="E13958" t="s">
        <v>32</v>
      </c>
      <c r="F13958">
        <v>4.95</v>
      </c>
    </row>
    <row r="13959" s="76" customFormat="1" spans="1:6">
      <c r="A13959">
        <v>14348</v>
      </c>
      <c r="B13959">
        <v>652015260</v>
      </c>
      <c r="C13959">
        <v>2015</v>
      </c>
      <c r="D13959" t="s">
        <v>34</v>
      </c>
      <c r="E13959" t="s">
        <v>32</v>
      </c>
      <c r="F13959">
        <v>4.95</v>
      </c>
    </row>
    <row r="13960" s="76" customFormat="1" spans="1:6">
      <c r="A13960">
        <v>14317</v>
      </c>
      <c r="B13960">
        <v>652015260</v>
      </c>
      <c r="C13960">
        <v>2015</v>
      </c>
      <c r="D13960" t="s">
        <v>34</v>
      </c>
      <c r="E13960">
        <v>33</v>
      </c>
      <c r="F13960">
        <v>4.95</v>
      </c>
    </row>
    <row r="13961" s="76" customFormat="1" spans="1:6">
      <c r="A13961">
        <v>14303</v>
      </c>
      <c r="B13961">
        <v>652015260</v>
      </c>
      <c r="C13961">
        <v>2015</v>
      </c>
      <c r="D13961" t="s">
        <v>34</v>
      </c>
      <c r="E13961">
        <v>33</v>
      </c>
      <c r="F13961">
        <v>4.95</v>
      </c>
    </row>
    <row r="13962" s="76" customFormat="1" spans="1:6">
      <c r="A13962">
        <v>14301</v>
      </c>
      <c r="B13962">
        <v>652015260</v>
      </c>
      <c r="C13962">
        <v>2015</v>
      </c>
      <c r="D13962" t="s">
        <v>34</v>
      </c>
      <c r="E13962">
        <v>33</v>
      </c>
      <c r="F13962">
        <v>4.95</v>
      </c>
    </row>
    <row r="13963" s="76" customFormat="1" spans="1:6">
      <c r="A13963">
        <v>14363</v>
      </c>
      <c r="B13963">
        <v>652015260</v>
      </c>
      <c r="C13963">
        <v>2015</v>
      </c>
      <c r="D13963" t="s">
        <v>34</v>
      </c>
      <c r="E13963" t="s">
        <v>32</v>
      </c>
      <c r="F13963">
        <v>4.95</v>
      </c>
    </row>
    <row r="13964" s="76" customFormat="1" spans="1:6">
      <c r="A13964">
        <v>14294</v>
      </c>
      <c r="B13964">
        <v>652015260</v>
      </c>
      <c r="C13964">
        <v>2015</v>
      </c>
      <c r="D13964" t="s">
        <v>34</v>
      </c>
      <c r="E13964">
        <v>25</v>
      </c>
      <c r="F13964">
        <v>5</v>
      </c>
    </row>
    <row r="13965" s="76" customFormat="1" spans="1:6">
      <c r="A13965">
        <v>14347</v>
      </c>
      <c r="B13965">
        <v>652015260</v>
      </c>
      <c r="C13965">
        <v>2015</v>
      </c>
      <c r="D13965" t="s">
        <v>34</v>
      </c>
      <c r="E13965" t="s">
        <v>32</v>
      </c>
      <c r="F13965">
        <v>4.95</v>
      </c>
    </row>
    <row r="13966" s="76" customFormat="1" spans="1:6">
      <c r="A13966">
        <v>14306</v>
      </c>
      <c r="B13966">
        <v>652015260</v>
      </c>
      <c r="C13966">
        <v>2015</v>
      </c>
      <c r="D13966" t="s">
        <v>34</v>
      </c>
      <c r="E13966">
        <v>33</v>
      </c>
      <c r="F13966">
        <v>4.95</v>
      </c>
    </row>
    <row r="13967" s="76" customFormat="1" spans="1:6">
      <c r="A13967">
        <v>14307</v>
      </c>
      <c r="B13967">
        <v>652015260</v>
      </c>
      <c r="C13967">
        <v>2015</v>
      </c>
      <c r="D13967" t="s">
        <v>34</v>
      </c>
      <c r="E13967">
        <v>33</v>
      </c>
      <c r="F13967">
        <v>4.95</v>
      </c>
    </row>
    <row r="13968" s="76" customFormat="1" spans="1:6">
      <c r="A13968">
        <v>14344</v>
      </c>
      <c r="B13968">
        <v>652015260</v>
      </c>
      <c r="C13968">
        <v>2015</v>
      </c>
      <c r="D13968" t="s">
        <v>34</v>
      </c>
      <c r="E13968" t="s">
        <v>32</v>
      </c>
      <c r="F13968">
        <v>4.95</v>
      </c>
    </row>
    <row r="13969" s="76" customFormat="1" spans="1:6">
      <c r="A13969">
        <v>14334</v>
      </c>
      <c r="B13969">
        <v>652015260</v>
      </c>
      <c r="C13969">
        <v>2015</v>
      </c>
      <c r="D13969" t="s">
        <v>34</v>
      </c>
      <c r="E13969">
        <v>25</v>
      </c>
      <c r="F13969">
        <v>5</v>
      </c>
    </row>
    <row r="13970" s="76" customFormat="1" spans="1:6">
      <c r="A13970">
        <v>14335</v>
      </c>
      <c r="B13970">
        <v>652015260</v>
      </c>
      <c r="C13970">
        <v>2015</v>
      </c>
      <c r="D13970" t="s">
        <v>34</v>
      </c>
      <c r="E13970">
        <v>25</v>
      </c>
      <c r="F13970">
        <v>5</v>
      </c>
    </row>
    <row r="13971" s="76" customFormat="1" spans="1:6">
      <c r="A13971">
        <v>14383</v>
      </c>
      <c r="B13971">
        <v>652015260</v>
      </c>
      <c r="C13971">
        <v>2015</v>
      </c>
      <c r="D13971" t="s">
        <v>34</v>
      </c>
      <c r="E13971" t="s">
        <v>32</v>
      </c>
      <c r="F13971">
        <v>4.95</v>
      </c>
    </row>
    <row r="13972" s="76" customFormat="1" spans="1:6">
      <c r="A13972">
        <v>14379</v>
      </c>
      <c r="B13972">
        <v>652015260</v>
      </c>
      <c r="C13972">
        <v>2015</v>
      </c>
      <c r="D13972" t="s">
        <v>34</v>
      </c>
      <c r="E13972" t="s">
        <v>32</v>
      </c>
      <c r="F13972">
        <v>20</v>
      </c>
    </row>
    <row r="13973" s="76" customFormat="1" spans="1:6">
      <c r="A13973">
        <v>14342</v>
      </c>
      <c r="B13973">
        <v>652015260</v>
      </c>
      <c r="C13973">
        <v>2015</v>
      </c>
      <c r="D13973" t="s">
        <v>34</v>
      </c>
      <c r="E13973" t="s">
        <v>32</v>
      </c>
      <c r="F13973">
        <v>4.95</v>
      </c>
    </row>
    <row r="13974" s="76" customFormat="1" spans="1:6">
      <c r="A13974">
        <v>14350</v>
      </c>
      <c r="B13974">
        <v>652015260</v>
      </c>
      <c r="C13974">
        <v>2015</v>
      </c>
      <c r="D13974" t="s">
        <v>34</v>
      </c>
      <c r="E13974" t="s">
        <v>32</v>
      </c>
      <c r="F13974">
        <v>20</v>
      </c>
    </row>
    <row r="13975" s="76" customFormat="1" spans="1:6">
      <c r="A13975">
        <v>14355</v>
      </c>
      <c r="B13975">
        <v>652015260</v>
      </c>
      <c r="C13975">
        <v>2015</v>
      </c>
      <c r="D13975" t="s">
        <v>34</v>
      </c>
      <c r="E13975" t="s">
        <v>32</v>
      </c>
      <c r="F13975">
        <v>9.9</v>
      </c>
    </row>
    <row r="13976" s="76" customFormat="1" spans="1:6">
      <c r="A13976">
        <v>14328</v>
      </c>
      <c r="B13976">
        <v>652015260</v>
      </c>
      <c r="C13976">
        <v>2015</v>
      </c>
      <c r="D13976" t="s">
        <v>34</v>
      </c>
      <c r="E13976">
        <v>33</v>
      </c>
      <c r="F13976">
        <v>4.95</v>
      </c>
    </row>
    <row r="13977" s="76" customFormat="1" spans="1:6">
      <c r="A13977">
        <v>14327</v>
      </c>
      <c r="B13977">
        <v>652015260</v>
      </c>
      <c r="C13977">
        <v>2015</v>
      </c>
      <c r="D13977" t="s">
        <v>34</v>
      </c>
      <c r="E13977">
        <v>33</v>
      </c>
      <c r="F13977">
        <v>4.95</v>
      </c>
    </row>
    <row r="13978" s="76" customFormat="1" spans="1:6">
      <c r="A13978">
        <v>14325</v>
      </c>
      <c r="B13978">
        <v>652015260</v>
      </c>
      <c r="C13978">
        <v>2015</v>
      </c>
      <c r="D13978" t="s">
        <v>34</v>
      </c>
      <c r="E13978">
        <v>33</v>
      </c>
      <c r="F13978">
        <v>4.95</v>
      </c>
    </row>
    <row r="13979" s="76" customFormat="1" spans="1:6">
      <c r="A13979">
        <v>14324</v>
      </c>
      <c r="B13979">
        <v>652015260</v>
      </c>
      <c r="C13979">
        <v>2015</v>
      </c>
      <c r="D13979" t="s">
        <v>34</v>
      </c>
      <c r="E13979">
        <v>33</v>
      </c>
      <c r="F13979">
        <v>4.95</v>
      </c>
    </row>
    <row r="13980" s="76" customFormat="1" spans="1:6">
      <c r="A13980">
        <v>14322</v>
      </c>
      <c r="B13980">
        <v>652015260</v>
      </c>
      <c r="C13980">
        <v>2015</v>
      </c>
      <c r="D13980" t="s">
        <v>34</v>
      </c>
      <c r="E13980">
        <v>33</v>
      </c>
      <c r="F13980">
        <v>4.95</v>
      </c>
    </row>
    <row r="13981" s="76" customFormat="1" spans="1:6">
      <c r="A13981">
        <v>14314</v>
      </c>
      <c r="B13981">
        <v>652015260</v>
      </c>
      <c r="C13981">
        <v>2015</v>
      </c>
      <c r="D13981" t="s">
        <v>34</v>
      </c>
      <c r="E13981">
        <v>33</v>
      </c>
      <c r="F13981">
        <v>4.95</v>
      </c>
    </row>
    <row r="13982" s="76" customFormat="1" spans="1:6">
      <c r="A13982">
        <v>14337</v>
      </c>
      <c r="B13982">
        <v>652015260</v>
      </c>
      <c r="C13982">
        <v>2015</v>
      </c>
      <c r="D13982" t="s">
        <v>34</v>
      </c>
      <c r="E13982">
        <v>33</v>
      </c>
      <c r="F13982">
        <v>4.95</v>
      </c>
    </row>
    <row r="13983" s="76" customFormat="1" spans="1:6">
      <c r="A13983">
        <v>14305</v>
      </c>
      <c r="B13983">
        <v>652015260</v>
      </c>
      <c r="C13983">
        <v>2015</v>
      </c>
      <c r="D13983" t="s">
        <v>34</v>
      </c>
      <c r="E13983">
        <v>33</v>
      </c>
      <c r="F13983">
        <v>4.95</v>
      </c>
    </row>
    <row r="13984" s="76" customFormat="1" spans="1:6">
      <c r="A13984">
        <v>14318</v>
      </c>
      <c r="B13984">
        <v>652015260</v>
      </c>
      <c r="C13984">
        <v>2015</v>
      </c>
      <c r="D13984" t="s">
        <v>34</v>
      </c>
      <c r="E13984">
        <v>33</v>
      </c>
      <c r="F13984">
        <v>4.95</v>
      </c>
    </row>
    <row r="13985" s="76" customFormat="1" spans="1:6">
      <c r="A13985">
        <v>14312</v>
      </c>
      <c r="B13985">
        <v>652015260</v>
      </c>
      <c r="C13985">
        <v>2015</v>
      </c>
      <c r="D13985" t="s">
        <v>34</v>
      </c>
      <c r="E13985">
        <v>33</v>
      </c>
      <c r="F13985">
        <v>4.95</v>
      </c>
    </row>
    <row r="13986" s="76" customFormat="1" spans="1:6">
      <c r="A13986">
        <v>14313</v>
      </c>
      <c r="B13986">
        <v>652015260</v>
      </c>
      <c r="C13986">
        <v>2015</v>
      </c>
      <c r="D13986" t="s">
        <v>34</v>
      </c>
      <c r="E13986">
        <v>33</v>
      </c>
      <c r="F13986">
        <v>4.95</v>
      </c>
    </row>
    <row r="13987" s="76" customFormat="1" spans="1:6">
      <c r="A13987">
        <v>14371</v>
      </c>
      <c r="B13987">
        <v>652015260</v>
      </c>
      <c r="C13987">
        <v>2015</v>
      </c>
      <c r="D13987" t="s">
        <v>34</v>
      </c>
      <c r="E13987" t="s">
        <v>32</v>
      </c>
      <c r="F13987">
        <v>9.9</v>
      </c>
    </row>
    <row r="13988" s="76" customFormat="1" spans="1:6">
      <c r="A13988">
        <v>14326</v>
      </c>
      <c r="B13988">
        <v>652015260</v>
      </c>
      <c r="C13988">
        <v>2015</v>
      </c>
      <c r="D13988" t="s">
        <v>34</v>
      </c>
      <c r="E13988">
        <v>25</v>
      </c>
      <c r="F13988">
        <v>5</v>
      </c>
    </row>
    <row r="13989" s="76" customFormat="1" spans="1:6">
      <c r="A13989">
        <v>14316</v>
      </c>
      <c r="B13989">
        <v>652015260</v>
      </c>
      <c r="C13989">
        <v>2015</v>
      </c>
      <c r="D13989" t="s">
        <v>34</v>
      </c>
      <c r="E13989">
        <v>33</v>
      </c>
      <c r="F13989">
        <v>4.95</v>
      </c>
    </row>
    <row r="13990" s="76" customFormat="1" spans="1:6">
      <c r="A13990">
        <v>14339</v>
      </c>
      <c r="B13990">
        <v>652015260</v>
      </c>
      <c r="C13990">
        <v>2015</v>
      </c>
      <c r="D13990" t="s">
        <v>34</v>
      </c>
      <c r="E13990">
        <v>100</v>
      </c>
      <c r="F13990">
        <v>20</v>
      </c>
    </row>
    <row r="13991" s="76" customFormat="1" spans="1:6">
      <c r="A13991">
        <v>14319</v>
      </c>
      <c r="B13991">
        <v>652015260</v>
      </c>
      <c r="C13991">
        <v>2015</v>
      </c>
      <c r="D13991" t="s">
        <v>34</v>
      </c>
      <c r="E13991">
        <v>50</v>
      </c>
      <c r="F13991">
        <v>10</v>
      </c>
    </row>
    <row r="13992" s="76" customFormat="1" spans="1:6">
      <c r="A13992">
        <v>14323</v>
      </c>
      <c r="B13992">
        <v>652015260</v>
      </c>
      <c r="C13992">
        <v>2015</v>
      </c>
      <c r="D13992" t="s">
        <v>34</v>
      </c>
      <c r="E13992">
        <v>33</v>
      </c>
      <c r="F13992">
        <v>4.95</v>
      </c>
    </row>
    <row r="13993" s="76" customFormat="1" spans="1:6">
      <c r="A13993">
        <v>14321</v>
      </c>
      <c r="B13993">
        <v>652015260</v>
      </c>
      <c r="C13993">
        <v>2015</v>
      </c>
      <c r="D13993" t="s">
        <v>34</v>
      </c>
      <c r="E13993">
        <v>33</v>
      </c>
      <c r="F13993">
        <v>4.95</v>
      </c>
    </row>
    <row r="13994" s="76" customFormat="1" spans="1:6">
      <c r="A13994">
        <v>14311</v>
      </c>
      <c r="B13994">
        <v>652015260</v>
      </c>
      <c r="C13994">
        <v>2015</v>
      </c>
      <c r="D13994" t="s">
        <v>34</v>
      </c>
      <c r="E13994">
        <v>2</v>
      </c>
      <c r="F13994">
        <v>0.4</v>
      </c>
    </row>
    <row r="13995" s="76" customFormat="1" spans="1:6">
      <c r="A13995">
        <v>14333</v>
      </c>
      <c r="B13995">
        <v>652015260</v>
      </c>
      <c r="C13995">
        <v>2015</v>
      </c>
      <c r="D13995" t="s">
        <v>34</v>
      </c>
      <c r="E13995">
        <v>50</v>
      </c>
      <c r="F13995">
        <v>10</v>
      </c>
    </row>
    <row r="13996" s="76" customFormat="1" spans="1:6">
      <c r="A13996">
        <v>14330</v>
      </c>
      <c r="B13996">
        <v>652015260</v>
      </c>
      <c r="C13996">
        <v>2015</v>
      </c>
      <c r="D13996" t="s">
        <v>34</v>
      </c>
      <c r="E13996">
        <v>100</v>
      </c>
      <c r="F13996">
        <v>20</v>
      </c>
    </row>
    <row r="13997" s="76" customFormat="1" spans="1:6">
      <c r="A13997">
        <v>14320</v>
      </c>
      <c r="B13997">
        <v>652015260</v>
      </c>
      <c r="C13997">
        <v>2015</v>
      </c>
      <c r="D13997" t="s">
        <v>34</v>
      </c>
      <c r="E13997">
        <v>27</v>
      </c>
      <c r="F13997">
        <v>4.05</v>
      </c>
    </row>
    <row r="13998" s="76" customFormat="1" spans="1:6">
      <c r="A13998">
        <v>14356</v>
      </c>
      <c r="B13998">
        <v>652015260</v>
      </c>
      <c r="C13998">
        <v>2015</v>
      </c>
      <c r="D13998" t="s">
        <v>34</v>
      </c>
      <c r="E13998" t="s">
        <v>32</v>
      </c>
      <c r="F13998">
        <v>4.05</v>
      </c>
    </row>
    <row r="13999" s="76" customFormat="1" spans="1:6">
      <c r="A13999">
        <v>14299</v>
      </c>
      <c r="B13999">
        <v>652015260</v>
      </c>
      <c r="C13999">
        <v>2015</v>
      </c>
      <c r="D13999" t="s">
        <v>34</v>
      </c>
      <c r="E13999">
        <v>33</v>
      </c>
      <c r="F13999">
        <v>4.95</v>
      </c>
    </row>
    <row r="14000" s="76" customFormat="1" spans="1:6">
      <c r="A14000">
        <v>14296</v>
      </c>
      <c r="B14000">
        <v>652015260</v>
      </c>
      <c r="C14000">
        <v>2015</v>
      </c>
      <c r="D14000" t="s">
        <v>34</v>
      </c>
      <c r="E14000">
        <v>33</v>
      </c>
      <c r="F14000">
        <v>4.95</v>
      </c>
    </row>
    <row r="14001" s="76" customFormat="1" spans="1:6">
      <c r="A14001">
        <v>14375</v>
      </c>
      <c r="B14001">
        <v>652015260</v>
      </c>
      <c r="C14001">
        <v>2015</v>
      </c>
      <c r="D14001" t="s">
        <v>34</v>
      </c>
      <c r="E14001" t="s">
        <v>32</v>
      </c>
      <c r="F14001">
        <v>20</v>
      </c>
    </row>
    <row r="14002" s="76" customFormat="1" spans="1:6">
      <c r="A14002">
        <v>14380</v>
      </c>
      <c r="B14002">
        <v>652015260</v>
      </c>
      <c r="C14002">
        <v>2015</v>
      </c>
      <c r="D14002" t="s">
        <v>34</v>
      </c>
      <c r="E14002" t="s">
        <v>32</v>
      </c>
      <c r="F14002">
        <v>4.95</v>
      </c>
    </row>
    <row r="14003" s="76" customFormat="1" spans="1:6">
      <c r="A14003">
        <v>14336</v>
      </c>
      <c r="B14003">
        <v>652015260</v>
      </c>
      <c r="C14003">
        <v>2015</v>
      </c>
      <c r="D14003" t="s">
        <v>34</v>
      </c>
      <c r="E14003">
        <v>33</v>
      </c>
      <c r="F14003">
        <v>4.95</v>
      </c>
    </row>
    <row r="14004" s="76" customFormat="1" spans="1:6">
      <c r="A14004">
        <v>14300</v>
      </c>
      <c r="B14004">
        <v>652015260</v>
      </c>
      <c r="C14004">
        <v>2015</v>
      </c>
      <c r="D14004" t="s">
        <v>34</v>
      </c>
      <c r="E14004">
        <v>33</v>
      </c>
      <c r="F14004">
        <v>4.95</v>
      </c>
    </row>
    <row r="14005" s="76" customFormat="1" spans="1:6">
      <c r="A14005">
        <v>14298</v>
      </c>
      <c r="B14005">
        <v>652015260</v>
      </c>
      <c r="C14005">
        <v>2015</v>
      </c>
      <c r="D14005" t="s">
        <v>34</v>
      </c>
      <c r="E14005">
        <v>33</v>
      </c>
      <c r="F14005">
        <v>4.95</v>
      </c>
    </row>
    <row r="14006" s="76" customFormat="1" spans="1:6">
      <c r="A14006">
        <v>14297</v>
      </c>
      <c r="B14006">
        <v>652015260</v>
      </c>
      <c r="C14006">
        <v>2015</v>
      </c>
      <c r="D14006" t="s">
        <v>34</v>
      </c>
      <c r="E14006">
        <v>33</v>
      </c>
      <c r="F14006">
        <v>4.95</v>
      </c>
    </row>
    <row r="14007" s="76" customFormat="1" spans="1:6">
      <c r="A14007">
        <v>14329</v>
      </c>
      <c r="B14007">
        <v>652015260</v>
      </c>
      <c r="C14007">
        <v>2015</v>
      </c>
      <c r="D14007" t="s">
        <v>34</v>
      </c>
      <c r="E14007">
        <v>33</v>
      </c>
      <c r="F14007">
        <v>4.95</v>
      </c>
    </row>
    <row r="14008" s="76" customFormat="1" spans="1:6">
      <c r="A14008">
        <v>14302</v>
      </c>
      <c r="B14008">
        <v>652015260</v>
      </c>
      <c r="C14008">
        <v>2015</v>
      </c>
      <c r="D14008" t="s">
        <v>34</v>
      </c>
      <c r="E14008">
        <v>33</v>
      </c>
      <c r="F14008">
        <v>4.95</v>
      </c>
    </row>
    <row r="14009" s="76" customFormat="1" spans="1:6">
      <c r="A14009">
        <v>14374</v>
      </c>
      <c r="B14009">
        <v>652015260</v>
      </c>
      <c r="C14009">
        <v>2015</v>
      </c>
      <c r="D14009" t="s">
        <v>34</v>
      </c>
      <c r="E14009" t="s">
        <v>32</v>
      </c>
      <c r="F14009">
        <v>20</v>
      </c>
    </row>
    <row r="14010" s="76" customFormat="1" spans="1:6">
      <c r="A14010">
        <v>14315</v>
      </c>
      <c r="B14010">
        <v>652015260</v>
      </c>
      <c r="C14010">
        <v>2015</v>
      </c>
      <c r="D14010" t="s">
        <v>34</v>
      </c>
      <c r="E14010">
        <v>33</v>
      </c>
      <c r="F14010">
        <v>4.95</v>
      </c>
    </row>
    <row r="14011" s="76" customFormat="1" spans="1:6">
      <c r="A14011">
        <v>14351</v>
      </c>
      <c r="B14011">
        <v>652015260</v>
      </c>
      <c r="C14011">
        <v>2015</v>
      </c>
      <c r="D14011" t="s">
        <v>34</v>
      </c>
      <c r="E14011" t="s">
        <v>32</v>
      </c>
      <c r="F14011">
        <v>10</v>
      </c>
    </row>
    <row r="14012" s="76" customFormat="1" spans="1:6">
      <c r="A14012">
        <v>14349</v>
      </c>
      <c r="B14012">
        <v>652015260</v>
      </c>
      <c r="C14012">
        <v>2015</v>
      </c>
      <c r="D14012" t="s">
        <v>34</v>
      </c>
      <c r="E14012" t="s">
        <v>32</v>
      </c>
      <c r="F14012">
        <v>9.9</v>
      </c>
    </row>
    <row r="14013" s="76" customFormat="1" spans="1:6">
      <c r="A14013">
        <v>14352</v>
      </c>
      <c r="B14013">
        <v>652015260</v>
      </c>
      <c r="C14013">
        <v>2015</v>
      </c>
      <c r="D14013" t="s">
        <v>34</v>
      </c>
      <c r="E14013" t="s">
        <v>32</v>
      </c>
      <c r="F14013">
        <v>4.95</v>
      </c>
    </row>
    <row r="14014" s="76" customFormat="1" spans="1:6">
      <c r="A14014">
        <v>14366</v>
      </c>
      <c r="B14014">
        <v>652015260</v>
      </c>
      <c r="C14014">
        <v>2015</v>
      </c>
      <c r="D14014" t="s">
        <v>34</v>
      </c>
      <c r="E14014" t="s">
        <v>32</v>
      </c>
      <c r="F14014">
        <v>20</v>
      </c>
    </row>
    <row r="14015" s="76" customFormat="1" spans="1:6">
      <c r="A14015">
        <v>14353</v>
      </c>
      <c r="B14015">
        <v>652015260</v>
      </c>
      <c r="C14015">
        <v>2015</v>
      </c>
      <c r="D14015" t="s">
        <v>34</v>
      </c>
      <c r="E14015" t="s">
        <v>32</v>
      </c>
      <c r="F14015">
        <v>20</v>
      </c>
    </row>
    <row r="14016" s="76" customFormat="1" spans="1:6">
      <c r="A14016">
        <v>14431</v>
      </c>
      <c r="B14016">
        <v>652015270</v>
      </c>
      <c r="C14016">
        <v>2015</v>
      </c>
      <c r="D14016" t="s">
        <v>31</v>
      </c>
      <c r="E14016" t="s">
        <v>32</v>
      </c>
      <c r="F14016">
        <v>3</v>
      </c>
    </row>
    <row r="14017" s="76" customFormat="1" spans="1:6">
      <c r="A14017">
        <v>14432</v>
      </c>
      <c r="B14017">
        <v>652015270</v>
      </c>
      <c r="C14017">
        <v>2015</v>
      </c>
      <c r="D14017" t="s">
        <v>31</v>
      </c>
      <c r="E14017" t="s">
        <v>32</v>
      </c>
      <c r="F14017">
        <v>3</v>
      </c>
    </row>
    <row r="14018" s="76" customFormat="1" spans="1:6">
      <c r="A14018">
        <v>14424</v>
      </c>
      <c r="B14018">
        <v>652015270</v>
      </c>
      <c r="C14018">
        <v>2015</v>
      </c>
      <c r="D14018" t="s">
        <v>31</v>
      </c>
      <c r="E14018" t="s">
        <v>32</v>
      </c>
      <c r="F14018">
        <v>2</v>
      </c>
    </row>
    <row r="14019" s="76" customFormat="1" spans="1:6">
      <c r="A14019">
        <v>14425</v>
      </c>
      <c r="B14019">
        <v>652015270</v>
      </c>
      <c r="C14019">
        <v>2015</v>
      </c>
      <c r="D14019" t="s">
        <v>31</v>
      </c>
      <c r="E14019" t="s">
        <v>32</v>
      </c>
      <c r="F14019">
        <v>2</v>
      </c>
    </row>
    <row r="14020" s="76" customFormat="1" spans="1:6">
      <c r="A14020">
        <v>14396</v>
      </c>
      <c r="B14020">
        <v>652015270</v>
      </c>
      <c r="C14020">
        <v>2015</v>
      </c>
      <c r="D14020" t="s">
        <v>31</v>
      </c>
      <c r="E14020">
        <v>60</v>
      </c>
      <c r="F14020">
        <v>6</v>
      </c>
    </row>
    <row r="14021" s="76" customFormat="1" spans="1:6">
      <c r="A14021">
        <v>14416</v>
      </c>
      <c r="B14021">
        <v>652015270</v>
      </c>
      <c r="C14021">
        <v>2015</v>
      </c>
      <c r="D14021" t="s">
        <v>31</v>
      </c>
      <c r="E14021" t="s">
        <v>32</v>
      </c>
      <c r="F14021">
        <v>6</v>
      </c>
    </row>
    <row r="14022" s="76" customFormat="1" spans="1:6">
      <c r="A14022">
        <v>14443</v>
      </c>
      <c r="B14022">
        <v>652015270</v>
      </c>
      <c r="C14022">
        <v>2015</v>
      </c>
      <c r="D14022" t="s">
        <v>31</v>
      </c>
      <c r="E14022" t="s">
        <v>32</v>
      </c>
      <c r="F14022">
        <v>2</v>
      </c>
    </row>
    <row r="14023" s="76" customFormat="1" spans="1:6">
      <c r="A14023">
        <v>14434</v>
      </c>
      <c r="B14023">
        <v>652015270</v>
      </c>
      <c r="C14023">
        <v>2015</v>
      </c>
      <c r="D14023" t="s">
        <v>31</v>
      </c>
      <c r="E14023" t="s">
        <v>32</v>
      </c>
      <c r="F14023">
        <v>6</v>
      </c>
    </row>
    <row r="14024" s="76" customFormat="1" spans="1:6">
      <c r="A14024">
        <v>14419</v>
      </c>
      <c r="B14024">
        <v>652015270</v>
      </c>
      <c r="C14024">
        <v>2015</v>
      </c>
      <c r="D14024" t="s">
        <v>31</v>
      </c>
      <c r="E14024">
        <v>1</v>
      </c>
      <c r="F14024">
        <v>5</v>
      </c>
    </row>
    <row r="14025" s="76" customFormat="1" spans="1:6">
      <c r="A14025">
        <v>14441</v>
      </c>
      <c r="B14025">
        <v>652015270</v>
      </c>
      <c r="C14025">
        <v>2015</v>
      </c>
      <c r="D14025" t="s">
        <v>31</v>
      </c>
      <c r="E14025" t="s">
        <v>32</v>
      </c>
      <c r="F14025">
        <v>3</v>
      </c>
    </row>
    <row r="14026" s="76" customFormat="1" spans="1:6">
      <c r="A14026">
        <v>14444</v>
      </c>
      <c r="B14026">
        <v>652015270</v>
      </c>
      <c r="C14026">
        <v>2015</v>
      </c>
      <c r="D14026" t="s">
        <v>31</v>
      </c>
      <c r="E14026" t="s">
        <v>32</v>
      </c>
      <c r="F14026">
        <v>2</v>
      </c>
    </row>
    <row r="14027" s="76" customFormat="1" spans="1:6">
      <c r="A14027">
        <v>14410</v>
      </c>
      <c r="B14027">
        <v>652015270</v>
      </c>
      <c r="C14027">
        <v>2015</v>
      </c>
      <c r="D14027" t="s">
        <v>31</v>
      </c>
      <c r="E14027">
        <v>30</v>
      </c>
      <c r="F14027">
        <v>3</v>
      </c>
    </row>
    <row r="14028" s="76" customFormat="1" spans="1:6">
      <c r="A14028">
        <v>14411</v>
      </c>
      <c r="B14028">
        <v>652015270</v>
      </c>
      <c r="C14028">
        <v>2015</v>
      </c>
      <c r="D14028" t="s">
        <v>31</v>
      </c>
      <c r="E14028">
        <v>20</v>
      </c>
      <c r="F14028">
        <v>2</v>
      </c>
    </row>
    <row r="14029" s="76" customFormat="1" spans="1:6">
      <c r="A14029">
        <v>14445</v>
      </c>
      <c r="B14029">
        <v>652015270</v>
      </c>
      <c r="C14029">
        <v>2015</v>
      </c>
      <c r="D14029" t="s">
        <v>31</v>
      </c>
      <c r="E14029" t="s">
        <v>32</v>
      </c>
      <c r="F14029">
        <v>2</v>
      </c>
    </row>
    <row r="14030" s="76" customFormat="1" spans="1:6">
      <c r="A14030">
        <v>14386</v>
      </c>
      <c r="B14030">
        <v>652015270</v>
      </c>
      <c r="C14030">
        <v>2015</v>
      </c>
      <c r="D14030" t="s">
        <v>31</v>
      </c>
      <c r="E14030">
        <v>20</v>
      </c>
      <c r="F14030">
        <v>2</v>
      </c>
    </row>
    <row r="14031" s="76" customFormat="1" spans="1:6">
      <c r="A14031">
        <v>14408</v>
      </c>
      <c r="B14031">
        <v>652015270</v>
      </c>
      <c r="C14031">
        <v>2015</v>
      </c>
      <c r="D14031" t="s">
        <v>31</v>
      </c>
      <c r="E14031">
        <v>30</v>
      </c>
      <c r="F14031">
        <v>3</v>
      </c>
    </row>
    <row r="14032" s="76" customFormat="1" spans="1:6">
      <c r="A14032">
        <v>14407</v>
      </c>
      <c r="B14032">
        <v>652015270</v>
      </c>
      <c r="C14032">
        <v>2015</v>
      </c>
      <c r="D14032" t="s">
        <v>31</v>
      </c>
      <c r="E14032">
        <v>30</v>
      </c>
      <c r="F14032">
        <v>3</v>
      </c>
    </row>
    <row r="14033" s="76" customFormat="1" spans="1:6">
      <c r="A14033">
        <v>14394</v>
      </c>
      <c r="B14033">
        <v>652015270</v>
      </c>
      <c r="C14033">
        <v>2015</v>
      </c>
      <c r="D14033" t="s">
        <v>31</v>
      </c>
      <c r="E14033" t="s">
        <v>32</v>
      </c>
      <c r="F14033">
        <v>5</v>
      </c>
    </row>
    <row r="14034" s="76" customFormat="1" spans="1:6">
      <c r="A14034">
        <v>14442</v>
      </c>
      <c r="B14034">
        <v>652015270</v>
      </c>
      <c r="C14034">
        <v>2015</v>
      </c>
      <c r="D14034" t="s">
        <v>31</v>
      </c>
      <c r="E14034" t="s">
        <v>32</v>
      </c>
      <c r="F14034">
        <v>2</v>
      </c>
    </row>
    <row r="14035" s="76" customFormat="1" spans="1:6">
      <c r="A14035">
        <v>14421</v>
      </c>
      <c r="B14035">
        <v>652015270</v>
      </c>
      <c r="C14035">
        <v>2015</v>
      </c>
      <c r="D14035" t="s">
        <v>31</v>
      </c>
      <c r="E14035">
        <v>1</v>
      </c>
      <c r="F14035">
        <v>5</v>
      </c>
    </row>
    <row r="14036" s="76" customFormat="1" spans="1:6">
      <c r="A14036">
        <v>14398</v>
      </c>
      <c r="B14036">
        <v>652015270</v>
      </c>
      <c r="C14036">
        <v>2015</v>
      </c>
      <c r="D14036" t="s">
        <v>31</v>
      </c>
      <c r="E14036">
        <v>50</v>
      </c>
      <c r="F14036">
        <v>5</v>
      </c>
    </row>
    <row r="14037" s="76" customFormat="1" spans="1:6">
      <c r="A14037">
        <v>14449</v>
      </c>
      <c r="B14037">
        <v>652015270</v>
      </c>
      <c r="C14037">
        <v>2015</v>
      </c>
      <c r="D14037" t="s">
        <v>31</v>
      </c>
      <c r="E14037" t="s">
        <v>32</v>
      </c>
      <c r="F14037">
        <v>2</v>
      </c>
    </row>
    <row r="14038" s="76" customFormat="1" spans="1:6">
      <c r="A14038">
        <v>14404</v>
      </c>
      <c r="B14038">
        <v>652015270</v>
      </c>
      <c r="C14038">
        <v>2015</v>
      </c>
      <c r="D14038" t="s">
        <v>31</v>
      </c>
      <c r="E14038">
        <v>20</v>
      </c>
      <c r="F14038">
        <v>2</v>
      </c>
    </row>
    <row r="14039" s="76" customFormat="1" spans="1:6">
      <c r="A14039">
        <v>14426</v>
      </c>
      <c r="B14039">
        <v>652015270</v>
      </c>
      <c r="C14039">
        <v>2015</v>
      </c>
      <c r="D14039" t="s">
        <v>31</v>
      </c>
      <c r="E14039" t="s">
        <v>32</v>
      </c>
      <c r="F14039">
        <v>2</v>
      </c>
    </row>
    <row r="14040" s="76" customFormat="1" spans="1:6">
      <c r="A14040">
        <v>14412</v>
      </c>
      <c r="B14040">
        <v>652015270</v>
      </c>
      <c r="C14040">
        <v>2015</v>
      </c>
      <c r="D14040" t="s">
        <v>31</v>
      </c>
      <c r="E14040">
        <v>30</v>
      </c>
      <c r="F14040">
        <v>3</v>
      </c>
    </row>
    <row r="14041" s="76" customFormat="1" spans="1:6">
      <c r="A14041">
        <v>14417</v>
      </c>
      <c r="B14041">
        <v>652015270</v>
      </c>
      <c r="C14041">
        <v>2015</v>
      </c>
      <c r="D14041" t="s">
        <v>31</v>
      </c>
      <c r="E14041" t="s">
        <v>32</v>
      </c>
      <c r="F14041">
        <v>4</v>
      </c>
    </row>
    <row r="14042" s="76" customFormat="1" spans="1:6">
      <c r="A14042">
        <v>14413</v>
      </c>
      <c r="B14042">
        <v>652015270</v>
      </c>
      <c r="C14042">
        <v>2015</v>
      </c>
      <c r="D14042" t="s">
        <v>31</v>
      </c>
      <c r="E14042">
        <v>30</v>
      </c>
      <c r="F14042">
        <v>6</v>
      </c>
    </row>
    <row r="14043" s="76" customFormat="1" spans="1:6">
      <c r="A14043">
        <v>14452</v>
      </c>
      <c r="B14043">
        <v>652015270</v>
      </c>
      <c r="C14043">
        <v>2015</v>
      </c>
      <c r="D14043" t="s">
        <v>31</v>
      </c>
      <c r="E14043" t="s">
        <v>32</v>
      </c>
      <c r="F14043">
        <v>3</v>
      </c>
    </row>
    <row r="14044" s="76" customFormat="1" spans="1:6">
      <c r="A14044">
        <v>14423</v>
      </c>
      <c r="B14044">
        <v>652015270</v>
      </c>
      <c r="C14044">
        <v>2015</v>
      </c>
      <c r="D14044" t="s">
        <v>31</v>
      </c>
      <c r="E14044">
        <v>1</v>
      </c>
      <c r="F14044">
        <v>2</v>
      </c>
    </row>
    <row r="14045" s="76" customFormat="1" spans="1:6">
      <c r="A14045">
        <v>14399</v>
      </c>
      <c r="B14045">
        <v>652015270</v>
      </c>
      <c r="C14045">
        <v>2015</v>
      </c>
      <c r="D14045" t="s">
        <v>31</v>
      </c>
      <c r="E14045">
        <v>20</v>
      </c>
      <c r="F14045">
        <v>2</v>
      </c>
    </row>
    <row r="14046" s="76" customFormat="1" spans="1:6">
      <c r="A14046">
        <v>14422</v>
      </c>
      <c r="B14046">
        <v>652015270</v>
      </c>
      <c r="C14046">
        <v>2015</v>
      </c>
      <c r="D14046" t="s">
        <v>31</v>
      </c>
      <c r="E14046">
        <v>1</v>
      </c>
      <c r="F14046">
        <v>2</v>
      </c>
    </row>
    <row r="14047" s="76" customFormat="1" spans="1:6">
      <c r="A14047">
        <v>14450</v>
      </c>
      <c r="B14047">
        <v>652015270</v>
      </c>
      <c r="C14047">
        <v>2015</v>
      </c>
      <c r="D14047" t="s">
        <v>31</v>
      </c>
      <c r="E14047" t="s">
        <v>32</v>
      </c>
      <c r="F14047">
        <v>2</v>
      </c>
    </row>
    <row r="14048" s="76" customFormat="1" spans="1:6">
      <c r="A14048">
        <v>14420</v>
      </c>
      <c r="B14048">
        <v>652015270</v>
      </c>
      <c r="C14048">
        <v>2015</v>
      </c>
      <c r="D14048" t="s">
        <v>31</v>
      </c>
      <c r="E14048">
        <v>1</v>
      </c>
      <c r="F14048">
        <v>7</v>
      </c>
    </row>
    <row r="14049" s="76" customFormat="1" spans="1:6">
      <c r="A14049">
        <v>14418</v>
      </c>
      <c r="B14049">
        <v>652015270</v>
      </c>
      <c r="C14049">
        <v>2015</v>
      </c>
      <c r="D14049" t="s">
        <v>31</v>
      </c>
      <c r="E14049" t="s">
        <v>32</v>
      </c>
      <c r="F14049">
        <v>2</v>
      </c>
    </row>
    <row r="14050" s="76" customFormat="1" spans="1:6">
      <c r="A14050">
        <v>14428</v>
      </c>
      <c r="B14050">
        <v>652015270</v>
      </c>
      <c r="C14050">
        <v>2015</v>
      </c>
      <c r="D14050" t="s">
        <v>31</v>
      </c>
      <c r="E14050" t="s">
        <v>32</v>
      </c>
      <c r="F14050">
        <v>2</v>
      </c>
    </row>
    <row r="14051" s="76" customFormat="1" spans="1:6">
      <c r="A14051">
        <v>14429</v>
      </c>
      <c r="B14051">
        <v>652015270</v>
      </c>
      <c r="C14051">
        <v>2015</v>
      </c>
      <c r="D14051" t="s">
        <v>31</v>
      </c>
      <c r="E14051" t="s">
        <v>32</v>
      </c>
      <c r="F14051">
        <v>2</v>
      </c>
    </row>
    <row r="14052" s="76" customFormat="1" spans="1:6">
      <c r="A14052">
        <v>14436</v>
      </c>
      <c r="B14052">
        <v>652015270</v>
      </c>
      <c r="C14052">
        <v>2015</v>
      </c>
      <c r="D14052" t="s">
        <v>31</v>
      </c>
      <c r="E14052" t="s">
        <v>32</v>
      </c>
      <c r="F14052">
        <v>2</v>
      </c>
    </row>
    <row r="14053" s="76" customFormat="1" spans="1:6">
      <c r="A14053">
        <v>14448</v>
      </c>
      <c r="B14053">
        <v>652015270</v>
      </c>
      <c r="C14053">
        <v>2015</v>
      </c>
      <c r="D14053" t="s">
        <v>31</v>
      </c>
      <c r="E14053" t="s">
        <v>32</v>
      </c>
      <c r="F14053">
        <v>3</v>
      </c>
    </row>
    <row r="14054" s="76" customFormat="1" spans="1:6">
      <c r="A14054">
        <v>14453</v>
      </c>
      <c r="B14054">
        <v>652015270</v>
      </c>
      <c r="C14054">
        <v>2015</v>
      </c>
      <c r="D14054" t="s">
        <v>31</v>
      </c>
      <c r="E14054" t="s">
        <v>32</v>
      </c>
      <c r="F14054">
        <v>2</v>
      </c>
    </row>
    <row r="14055" s="76" customFormat="1" spans="1:6">
      <c r="A14055">
        <v>14440</v>
      </c>
      <c r="B14055">
        <v>652015270</v>
      </c>
      <c r="C14055">
        <v>2015</v>
      </c>
      <c r="D14055" t="s">
        <v>31</v>
      </c>
      <c r="E14055" t="s">
        <v>32</v>
      </c>
      <c r="F14055">
        <v>2</v>
      </c>
    </row>
    <row r="14056" s="76" customFormat="1" spans="1:6">
      <c r="A14056">
        <v>14401</v>
      </c>
      <c r="B14056">
        <v>652015270</v>
      </c>
      <c r="C14056">
        <v>2015</v>
      </c>
      <c r="D14056" t="s">
        <v>31</v>
      </c>
      <c r="E14056">
        <v>90</v>
      </c>
      <c r="F14056">
        <v>9</v>
      </c>
    </row>
    <row r="14057" s="76" customFormat="1" spans="1:6">
      <c r="A14057">
        <v>14414</v>
      </c>
      <c r="B14057">
        <v>652015270</v>
      </c>
      <c r="C14057">
        <v>2015</v>
      </c>
      <c r="D14057" t="s">
        <v>31</v>
      </c>
      <c r="E14057">
        <v>20</v>
      </c>
      <c r="F14057">
        <v>2</v>
      </c>
    </row>
    <row r="14058" s="76" customFormat="1" spans="1:6">
      <c r="A14058">
        <v>14402</v>
      </c>
      <c r="B14058">
        <v>652015270</v>
      </c>
      <c r="C14058">
        <v>2015</v>
      </c>
      <c r="D14058" t="s">
        <v>31</v>
      </c>
      <c r="E14058">
        <v>20</v>
      </c>
      <c r="F14058">
        <v>2</v>
      </c>
    </row>
    <row r="14059" s="76" customFormat="1" spans="1:6">
      <c r="A14059">
        <v>14409</v>
      </c>
      <c r="B14059">
        <v>652015270</v>
      </c>
      <c r="C14059">
        <v>2015</v>
      </c>
      <c r="D14059" t="s">
        <v>31</v>
      </c>
      <c r="E14059">
        <v>20</v>
      </c>
      <c r="F14059">
        <v>2</v>
      </c>
    </row>
    <row r="14060" s="76" customFormat="1" spans="1:6">
      <c r="A14060">
        <v>14393</v>
      </c>
      <c r="B14060">
        <v>652015270</v>
      </c>
      <c r="C14060">
        <v>2015</v>
      </c>
      <c r="D14060" t="s">
        <v>31</v>
      </c>
      <c r="E14060" t="s">
        <v>32</v>
      </c>
      <c r="F14060">
        <v>2</v>
      </c>
    </row>
    <row r="14061" s="76" customFormat="1" spans="1:6">
      <c r="A14061">
        <v>14415</v>
      </c>
      <c r="B14061">
        <v>652015270</v>
      </c>
      <c r="C14061">
        <v>2015</v>
      </c>
      <c r="D14061" t="s">
        <v>31</v>
      </c>
      <c r="E14061">
        <v>30</v>
      </c>
      <c r="F14061">
        <v>3</v>
      </c>
    </row>
    <row r="14062" s="76" customFormat="1" spans="1:6">
      <c r="A14062">
        <v>14427</v>
      </c>
      <c r="B14062">
        <v>652015270</v>
      </c>
      <c r="C14062">
        <v>2015</v>
      </c>
      <c r="D14062" t="s">
        <v>31</v>
      </c>
      <c r="E14062" t="s">
        <v>32</v>
      </c>
      <c r="F14062">
        <v>2</v>
      </c>
    </row>
    <row r="14063" s="76" customFormat="1" spans="1:6">
      <c r="A14063">
        <v>14439</v>
      </c>
      <c r="B14063">
        <v>652015270</v>
      </c>
      <c r="C14063">
        <v>2015</v>
      </c>
      <c r="D14063" t="s">
        <v>31</v>
      </c>
      <c r="E14063" t="s">
        <v>32</v>
      </c>
      <c r="F14063">
        <v>3</v>
      </c>
    </row>
    <row r="14064" s="76" customFormat="1" spans="1:6">
      <c r="A14064">
        <v>14400</v>
      </c>
      <c r="B14064">
        <v>652015270</v>
      </c>
      <c r="C14064">
        <v>2015</v>
      </c>
      <c r="D14064" t="s">
        <v>31</v>
      </c>
      <c r="E14064">
        <v>20</v>
      </c>
      <c r="F14064">
        <v>2</v>
      </c>
    </row>
    <row r="14065" s="76" customFormat="1" spans="1:6">
      <c r="A14065">
        <v>14403</v>
      </c>
      <c r="B14065">
        <v>652015270</v>
      </c>
      <c r="C14065">
        <v>2015</v>
      </c>
      <c r="D14065" t="s">
        <v>31</v>
      </c>
      <c r="E14065">
        <v>20</v>
      </c>
      <c r="F14065">
        <v>2</v>
      </c>
    </row>
    <row r="14066" s="76" customFormat="1" spans="1:6">
      <c r="A14066">
        <v>14395</v>
      </c>
      <c r="B14066">
        <v>652015270</v>
      </c>
      <c r="C14066">
        <v>2015</v>
      </c>
      <c r="D14066" t="s">
        <v>31</v>
      </c>
      <c r="E14066" t="s">
        <v>32</v>
      </c>
      <c r="F14066">
        <v>2</v>
      </c>
    </row>
    <row r="14067" s="76" customFormat="1" spans="1:6">
      <c r="A14067">
        <v>14391</v>
      </c>
      <c r="B14067">
        <v>652015270</v>
      </c>
      <c r="C14067">
        <v>2015</v>
      </c>
      <c r="D14067" t="s">
        <v>31</v>
      </c>
      <c r="E14067" t="s">
        <v>32</v>
      </c>
      <c r="F14067">
        <v>2</v>
      </c>
    </row>
    <row r="14068" s="76" customFormat="1" spans="1:6">
      <c r="A14068">
        <v>14390</v>
      </c>
      <c r="B14068">
        <v>652015270</v>
      </c>
      <c r="C14068">
        <v>2015</v>
      </c>
      <c r="D14068" t="s">
        <v>31</v>
      </c>
      <c r="E14068" t="s">
        <v>32</v>
      </c>
      <c r="F14068">
        <v>2</v>
      </c>
    </row>
    <row r="14069" s="76" customFormat="1" spans="1:6">
      <c r="A14069">
        <v>14392</v>
      </c>
      <c r="B14069">
        <v>652015270</v>
      </c>
      <c r="C14069">
        <v>2015</v>
      </c>
      <c r="D14069" t="s">
        <v>31</v>
      </c>
      <c r="E14069" t="s">
        <v>32</v>
      </c>
      <c r="F14069">
        <v>2</v>
      </c>
    </row>
    <row r="14070" s="76" customFormat="1" spans="1:6">
      <c r="A14070">
        <v>14430</v>
      </c>
      <c r="B14070">
        <v>652015270</v>
      </c>
      <c r="C14070">
        <v>2015</v>
      </c>
      <c r="D14070" t="s">
        <v>31</v>
      </c>
      <c r="E14070" t="s">
        <v>32</v>
      </c>
      <c r="F14070">
        <v>5</v>
      </c>
    </row>
    <row r="14071" s="76" customFormat="1" spans="1:6">
      <c r="A14071">
        <v>14437</v>
      </c>
      <c r="B14071">
        <v>652015270</v>
      </c>
      <c r="C14071">
        <v>2015</v>
      </c>
      <c r="D14071" t="s">
        <v>31</v>
      </c>
      <c r="E14071" t="s">
        <v>32</v>
      </c>
      <c r="F14071">
        <v>2</v>
      </c>
    </row>
    <row r="14072" s="76" customFormat="1" spans="1:6">
      <c r="A14072">
        <v>14435</v>
      </c>
      <c r="B14072">
        <v>652015270</v>
      </c>
      <c r="C14072">
        <v>2015</v>
      </c>
      <c r="D14072" t="s">
        <v>31</v>
      </c>
      <c r="E14072" t="s">
        <v>32</v>
      </c>
      <c r="F14072">
        <v>3</v>
      </c>
    </row>
    <row r="14073" s="76" customFormat="1" spans="1:6">
      <c r="A14073">
        <v>14406</v>
      </c>
      <c r="B14073">
        <v>652015270</v>
      </c>
      <c r="C14073">
        <v>2015</v>
      </c>
      <c r="D14073" t="s">
        <v>31</v>
      </c>
      <c r="E14073">
        <v>90</v>
      </c>
      <c r="F14073">
        <v>6</v>
      </c>
    </row>
    <row r="14074" s="76" customFormat="1" spans="1:6">
      <c r="A14074">
        <v>14433</v>
      </c>
      <c r="B14074">
        <v>652015270</v>
      </c>
      <c r="C14074">
        <v>2015</v>
      </c>
      <c r="D14074" t="s">
        <v>31</v>
      </c>
      <c r="E14074" t="s">
        <v>32</v>
      </c>
      <c r="F14074">
        <v>3</v>
      </c>
    </row>
    <row r="14075" s="76" customFormat="1" spans="1:6">
      <c r="A14075">
        <v>14387</v>
      </c>
      <c r="B14075">
        <v>652015270</v>
      </c>
      <c r="C14075">
        <v>2015</v>
      </c>
      <c r="D14075" t="s">
        <v>31</v>
      </c>
      <c r="E14075">
        <v>30</v>
      </c>
      <c r="F14075">
        <v>3</v>
      </c>
    </row>
    <row r="14076" s="76" customFormat="1" spans="1:6">
      <c r="A14076">
        <v>14389</v>
      </c>
      <c r="B14076">
        <v>652015270</v>
      </c>
      <c r="C14076">
        <v>2015</v>
      </c>
      <c r="D14076" t="s">
        <v>31</v>
      </c>
      <c r="E14076">
        <v>20</v>
      </c>
      <c r="F14076">
        <v>2</v>
      </c>
    </row>
    <row r="14077" s="76" customFormat="1" spans="1:6">
      <c r="A14077">
        <v>14388</v>
      </c>
      <c r="B14077">
        <v>652015270</v>
      </c>
      <c r="C14077">
        <v>2015</v>
      </c>
      <c r="D14077" t="s">
        <v>31</v>
      </c>
      <c r="E14077">
        <v>6</v>
      </c>
      <c r="F14077">
        <v>0.6</v>
      </c>
    </row>
    <row r="14078" s="76" customFormat="1" spans="1:6">
      <c r="A14078">
        <v>14405</v>
      </c>
      <c r="B14078">
        <v>652015270</v>
      </c>
      <c r="C14078">
        <v>2015</v>
      </c>
      <c r="D14078" t="s">
        <v>31</v>
      </c>
      <c r="E14078">
        <v>100</v>
      </c>
      <c r="F14078">
        <v>10</v>
      </c>
    </row>
    <row r="14079" s="76" customFormat="1" spans="1:6">
      <c r="A14079">
        <v>14438</v>
      </c>
      <c r="B14079">
        <v>652015270</v>
      </c>
      <c r="C14079">
        <v>2015</v>
      </c>
      <c r="D14079" t="s">
        <v>31</v>
      </c>
      <c r="E14079" t="s">
        <v>32</v>
      </c>
      <c r="F14079">
        <v>3</v>
      </c>
    </row>
    <row r="14080" s="76" customFormat="1" spans="1:6">
      <c r="A14080">
        <v>14446</v>
      </c>
      <c r="B14080">
        <v>652015270</v>
      </c>
      <c r="C14080">
        <v>2015</v>
      </c>
      <c r="D14080" t="s">
        <v>31</v>
      </c>
      <c r="E14080" t="s">
        <v>32</v>
      </c>
      <c r="F14080">
        <v>2</v>
      </c>
    </row>
    <row r="14081" s="76" customFormat="1" spans="1:6">
      <c r="A14081">
        <v>14447</v>
      </c>
      <c r="B14081">
        <v>652015270</v>
      </c>
      <c r="C14081">
        <v>2015</v>
      </c>
      <c r="D14081" t="s">
        <v>31</v>
      </c>
      <c r="E14081" t="s">
        <v>32</v>
      </c>
      <c r="F14081">
        <v>2</v>
      </c>
    </row>
    <row r="14082" s="76" customFormat="1" spans="1:6">
      <c r="A14082">
        <v>14454</v>
      </c>
      <c r="B14082">
        <v>652015270</v>
      </c>
      <c r="C14082">
        <v>2015</v>
      </c>
      <c r="D14082" t="s">
        <v>31</v>
      </c>
      <c r="E14082" t="s">
        <v>32</v>
      </c>
      <c r="F14082">
        <v>2</v>
      </c>
    </row>
    <row r="14083" s="76" customFormat="1" spans="1:6">
      <c r="A14083">
        <v>14397</v>
      </c>
      <c r="B14083">
        <v>652015270</v>
      </c>
      <c r="C14083">
        <v>2015</v>
      </c>
      <c r="D14083" t="s">
        <v>31</v>
      </c>
      <c r="E14083">
        <v>20</v>
      </c>
      <c r="F14083">
        <v>2</v>
      </c>
    </row>
    <row r="14084" s="76" customFormat="1" spans="1:6">
      <c r="A14084">
        <v>14451</v>
      </c>
      <c r="B14084">
        <v>652015270</v>
      </c>
      <c r="C14084">
        <v>2015</v>
      </c>
      <c r="D14084" t="s">
        <v>31</v>
      </c>
      <c r="E14084" t="s">
        <v>32</v>
      </c>
      <c r="F14084">
        <v>2</v>
      </c>
    </row>
    <row r="14085" s="76" customFormat="1" spans="1:6">
      <c r="A14085">
        <v>14464</v>
      </c>
      <c r="B14085">
        <v>652016110</v>
      </c>
      <c r="C14085" s="76">
        <v>2016</v>
      </c>
      <c r="D14085" s="76" t="s">
        <v>40</v>
      </c>
      <c r="E14085" s="76" t="s">
        <v>32</v>
      </c>
      <c r="F14085" s="76">
        <v>3.5</v>
      </c>
    </row>
    <row r="14086" s="76" customFormat="1" spans="1:6">
      <c r="A14086">
        <v>14457</v>
      </c>
      <c r="B14086">
        <v>652016110</v>
      </c>
      <c r="C14086" s="76">
        <v>2016</v>
      </c>
      <c r="D14086" s="76" t="s">
        <v>40</v>
      </c>
      <c r="E14086" s="76" t="s">
        <v>32</v>
      </c>
      <c r="F14086" s="76">
        <v>13.1</v>
      </c>
    </row>
    <row r="14087" s="76" customFormat="1" spans="1:6">
      <c r="A14087">
        <v>14466</v>
      </c>
      <c r="B14087">
        <v>652016110</v>
      </c>
      <c r="C14087" s="76">
        <v>2016</v>
      </c>
      <c r="D14087" s="76" t="s">
        <v>40</v>
      </c>
      <c r="E14087" s="76" t="s">
        <v>32</v>
      </c>
      <c r="F14087" s="76">
        <v>0.01</v>
      </c>
    </row>
    <row r="14088" s="76" customFormat="1" spans="1:6">
      <c r="A14088">
        <v>14458</v>
      </c>
      <c r="B14088">
        <v>652016110</v>
      </c>
      <c r="C14088" s="76">
        <v>2016</v>
      </c>
      <c r="D14088" s="76" t="s">
        <v>40</v>
      </c>
      <c r="E14088" s="76" t="s">
        <v>32</v>
      </c>
      <c r="F14088" s="76">
        <v>3.7</v>
      </c>
    </row>
    <row r="14089" s="76" customFormat="1" spans="1:6">
      <c r="A14089">
        <v>14468</v>
      </c>
      <c r="B14089">
        <v>652016110</v>
      </c>
      <c r="C14089" s="76">
        <v>2016</v>
      </c>
      <c r="D14089" s="76" t="s">
        <v>40</v>
      </c>
      <c r="E14089" s="76" t="s">
        <v>32</v>
      </c>
      <c r="F14089" s="76">
        <v>1</v>
      </c>
    </row>
    <row r="14090" s="76" customFormat="1" spans="1:6">
      <c r="A14090">
        <v>14455</v>
      </c>
      <c r="B14090">
        <v>652016110</v>
      </c>
      <c r="C14090" s="76">
        <v>2016</v>
      </c>
      <c r="D14090" s="76" t="s">
        <v>40</v>
      </c>
      <c r="E14090" s="76">
        <v>1</v>
      </c>
      <c r="F14090" s="76">
        <v>3.5</v>
      </c>
    </row>
    <row r="14091" s="76" customFormat="1" spans="1:6">
      <c r="A14091">
        <v>14472</v>
      </c>
      <c r="B14091">
        <v>652016110</v>
      </c>
      <c r="C14091" s="76">
        <v>2016</v>
      </c>
      <c r="D14091" s="76" t="s">
        <v>40</v>
      </c>
      <c r="E14091" s="76" t="s">
        <v>32</v>
      </c>
      <c r="F14091" s="76">
        <v>0.6</v>
      </c>
    </row>
    <row r="14092" s="76" customFormat="1" spans="1:6">
      <c r="A14092">
        <v>14469</v>
      </c>
      <c r="B14092">
        <v>652016110</v>
      </c>
      <c r="C14092" s="76">
        <v>2016</v>
      </c>
      <c r="D14092" s="76" t="s">
        <v>40</v>
      </c>
      <c r="E14092" s="76" t="s">
        <v>32</v>
      </c>
      <c r="F14092" s="76">
        <v>2</v>
      </c>
    </row>
    <row r="14093" s="76" customFormat="1" spans="1:6">
      <c r="A14093">
        <v>14461</v>
      </c>
      <c r="B14093">
        <v>652016110</v>
      </c>
      <c r="C14093" s="76">
        <v>2016</v>
      </c>
      <c r="D14093" s="76" t="s">
        <v>40</v>
      </c>
      <c r="E14093" s="76" t="s">
        <v>32</v>
      </c>
      <c r="F14093" s="76">
        <v>1.8</v>
      </c>
    </row>
    <row r="14094" s="76" customFormat="1" spans="1:6">
      <c r="A14094">
        <v>14465</v>
      </c>
      <c r="B14094">
        <v>652016110</v>
      </c>
      <c r="C14094" s="76">
        <v>2016</v>
      </c>
      <c r="D14094" s="76" t="s">
        <v>40</v>
      </c>
      <c r="E14094" s="76" t="s">
        <v>32</v>
      </c>
      <c r="F14094" s="76">
        <v>2</v>
      </c>
    </row>
    <row r="14095" s="76" customFormat="1" spans="1:6">
      <c r="A14095">
        <v>14474</v>
      </c>
      <c r="B14095">
        <v>652016110</v>
      </c>
      <c r="C14095" s="76">
        <v>2016</v>
      </c>
      <c r="D14095" s="76" t="s">
        <v>40</v>
      </c>
      <c r="E14095" s="76" t="s">
        <v>32</v>
      </c>
      <c r="F14095" s="76">
        <v>8</v>
      </c>
    </row>
    <row r="14096" s="76" customFormat="1" spans="1:6">
      <c r="A14096">
        <v>14462</v>
      </c>
      <c r="B14096">
        <v>652016110</v>
      </c>
      <c r="C14096" s="76">
        <v>2016</v>
      </c>
      <c r="D14096" s="76" t="s">
        <v>40</v>
      </c>
      <c r="E14096" s="76" t="s">
        <v>32</v>
      </c>
      <c r="F14096" s="76">
        <v>0.17</v>
      </c>
    </row>
    <row r="14097" s="76" customFormat="1" spans="1:6">
      <c r="A14097">
        <v>14473</v>
      </c>
      <c r="B14097">
        <v>652016110</v>
      </c>
      <c r="C14097" s="76">
        <v>2016</v>
      </c>
      <c r="D14097" s="76" t="s">
        <v>40</v>
      </c>
      <c r="E14097" s="76" t="s">
        <v>32</v>
      </c>
      <c r="F14097" s="76">
        <v>21</v>
      </c>
    </row>
    <row r="14098" s="76" customFormat="1" spans="1:6">
      <c r="A14098">
        <v>14459</v>
      </c>
      <c r="B14098">
        <v>652016110</v>
      </c>
      <c r="C14098" s="76">
        <v>2016</v>
      </c>
      <c r="D14098" s="76" t="s">
        <v>40</v>
      </c>
      <c r="E14098" s="76" t="s">
        <v>32</v>
      </c>
      <c r="F14098" s="76">
        <v>0.65</v>
      </c>
    </row>
    <row r="14099" s="76" customFormat="1" spans="1:6">
      <c r="A14099">
        <v>14460</v>
      </c>
      <c r="B14099">
        <v>652016110</v>
      </c>
      <c r="C14099" s="76">
        <v>2016</v>
      </c>
      <c r="D14099" s="76" t="s">
        <v>40</v>
      </c>
      <c r="E14099" s="76" t="s">
        <v>32</v>
      </c>
      <c r="F14099" s="76">
        <v>0.15</v>
      </c>
    </row>
    <row r="14100" s="76" customFormat="1" spans="1:6">
      <c r="A14100">
        <v>14467</v>
      </c>
      <c r="B14100">
        <v>652016110</v>
      </c>
      <c r="C14100" s="76">
        <v>2016</v>
      </c>
      <c r="D14100" s="76" t="s">
        <v>40</v>
      </c>
      <c r="E14100" s="76" t="s">
        <v>32</v>
      </c>
      <c r="F14100" s="76">
        <v>22</v>
      </c>
    </row>
    <row r="14101" s="76" customFormat="1" spans="1:6">
      <c r="A14101">
        <v>14471</v>
      </c>
      <c r="B14101">
        <v>652016110</v>
      </c>
      <c r="C14101" s="76">
        <v>2016</v>
      </c>
      <c r="D14101" s="76" t="s">
        <v>40</v>
      </c>
      <c r="E14101" s="76" t="s">
        <v>32</v>
      </c>
      <c r="F14101" s="76">
        <v>2.5</v>
      </c>
    </row>
    <row r="14102" s="76" customFormat="1" spans="1:6">
      <c r="A14102">
        <v>14470</v>
      </c>
      <c r="B14102">
        <v>652016110</v>
      </c>
      <c r="C14102" s="76">
        <v>2016</v>
      </c>
      <c r="D14102" s="76" t="s">
        <v>40</v>
      </c>
      <c r="E14102" s="76" t="s">
        <v>32</v>
      </c>
      <c r="F14102" s="76">
        <v>1.7</v>
      </c>
    </row>
    <row r="14103" s="76" customFormat="1" spans="1:6">
      <c r="A14103">
        <v>14456</v>
      </c>
      <c r="B14103">
        <v>652016110</v>
      </c>
      <c r="C14103" s="76">
        <v>2016</v>
      </c>
      <c r="D14103" s="76" t="s">
        <v>40</v>
      </c>
      <c r="E14103" s="76">
        <v>4</v>
      </c>
      <c r="F14103" s="76">
        <v>8</v>
      </c>
    </row>
    <row r="14104" s="76" customFormat="1" spans="1:6">
      <c r="A14104">
        <v>14463</v>
      </c>
      <c r="B14104">
        <v>652016110</v>
      </c>
      <c r="C14104" s="76">
        <v>2016</v>
      </c>
      <c r="D14104" s="76" t="s">
        <v>40</v>
      </c>
      <c r="E14104" s="76" t="s">
        <v>32</v>
      </c>
      <c r="F14104" s="76">
        <v>2.04</v>
      </c>
    </row>
    <row r="14105" s="76" customFormat="1" spans="1:6">
      <c r="A14105">
        <v>14480</v>
      </c>
      <c r="B14105">
        <v>652016211</v>
      </c>
      <c r="C14105" s="76">
        <v>2016</v>
      </c>
      <c r="D14105" s="76" t="s">
        <v>37</v>
      </c>
      <c r="E14105" s="76" t="s">
        <v>32</v>
      </c>
      <c r="F14105" s="76">
        <v>13.5</v>
      </c>
    </row>
    <row r="14106" s="76" customFormat="1" spans="1:6">
      <c r="A14106">
        <v>14478</v>
      </c>
      <c r="B14106">
        <v>652016211</v>
      </c>
      <c r="C14106" s="76">
        <v>2016</v>
      </c>
      <c r="D14106" s="76" t="s">
        <v>37</v>
      </c>
      <c r="E14106" s="76">
        <v>2</v>
      </c>
      <c r="F14106" s="76">
        <v>70</v>
      </c>
    </row>
    <row r="14107" s="76" customFormat="1" spans="1:6">
      <c r="A14107">
        <v>14477</v>
      </c>
      <c r="B14107">
        <v>652016211</v>
      </c>
      <c r="C14107" s="76">
        <v>2016</v>
      </c>
      <c r="D14107" s="76" t="s">
        <v>37</v>
      </c>
      <c r="E14107" s="76">
        <v>1</v>
      </c>
      <c r="F14107" s="76">
        <v>66</v>
      </c>
    </row>
    <row r="14108" s="76" customFormat="1" spans="1:6">
      <c r="A14108">
        <v>14479</v>
      </c>
      <c r="B14108">
        <v>652016211</v>
      </c>
      <c r="C14108" s="76">
        <v>2016</v>
      </c>
      <c r="D14108" s="76" t="s">
        <v>37</v>
      </c>
      <c r="E14108" s="76" t="s">
        <v>32</v>
      </c>
      <c r="F14108" s="76">
        <v>70</v>
      </c>
    </row>
    <row r="14109" s="76" customFormat="1" spans="1:6">
      <c r="A14109">
        <v>14481</v>
      </c>
      <c r="B14109">
        <v>652016211</v>
      </c>
      <c r="C14109" s="76">
        <v>2016</v>
      </c>
      <c r="D14109" s="76" t="s">
        <v>37</v>
      </c>
      <c r="E14109" s="76" t="s">
        <v>32</v>
      </c>
      <c r="F14109" s="76">
        <v>27</v>
      </c>
    </row>
    <row r="14110" s="76" customFormat="1" spans="1:6">
      <c r="A14110">
        <v>14476</v>
      </c>
      <c r="B14110">
        <v>652016211</v>
      </c>
      <c r="C14110" s="76">
        <v>2016</v>
      </c>
      <c r="D14110" s="76" t="s">
        <v>37</v>
      </c>
      <c r="E14110" s="76">
        <v>1</v>
      </c>
      <c r="F14110" s="76">
        <v>35</v>
      </c>
    </row>
    <row r="14111" s="76" customFormat="1" spans="1:6">
      <c r="A14111">
        <v>14483</v>
      </c>
      <c r="B14111">
        <v>652016221</v>
      </c>
      <c r="C14111" s="76">
        <v>2016</v>
      </c>
      <c r="D14111" s="76" t="s">
        <v>30</v>
      </c>
      <c r="E14111" s="76" t="s">
        <v>32</v>
      </c>
      <c r="F14111" s="76">
        <v>0.54</v>
      </c>
    </row>
    <row r="14112" s="76" customFormat="1" spans="1:6">
      <c r="A14112">
        <v>14482</v>
      </c>
      <c r="B14112">
        <v>652016221</v>
      </c>
      <c r="C14112" s="76">
        <v>2016</v>
      </c>
      <c r="D14112" s="76" t="s">
        <v>30</v>
      </c>
      <c r="E14112" s="76">
        <v>2</v>
      </c>
      <c r="F14112" s="76">
        <v>30</v>
      </c>
    </row>
    <row r="14113" s="76" customFormat="1" spans="1:6">
      <c r="A14113">
        <v>14497</v>
      </c>
      <c r="B14113">
        <v>652016241</v>
      </c>
      <c r="C14113" s="76">
        <v>2016</v>
      </c>
      <c r="D14113" s="76" t="s">
        <v>33</v>
      </c>
      <c r="E14113" s="76" t="s">
        <v>32</v>
      </c>
      <c r="F14113" s="76">
        <v>6</v>
      </c>
    </row>
    <row r="14114" s="76" customFormat="1" spans="1:6">
      <c r="A14114">
        <v>14486</v>
      </c>
      <c r="B14114">
        <v>652016241</v>
      </c>
      <c r="C14114" s="76">
        <v>2016</v>
      </c>
      <c r="D14114" s="76" t="s">
        <v>33</v>
      </c>
      <c r="E14114" s="76" t="s">
        <v>32</v>
      </c>
      <c r="F14114" s="76">
        <v>0.6</v>
      </c>
    </row>
    <row r="14115" s="76" customFormat="1" spans="1:6">
      <c r="A14115">
        <v>14487</v>
      </c>
      <c r="B14115">
        <v>652016241</v>
      </c>
      <c r="C14115" s="76">
        <v>2016</v>
      </c>
      <c r="D14115" s="76" t="s">
        <v>33</v>
      </c>
      <c r="E14115" s="76" t="s">
        <v>32</v>
      </c>
      <c r="F14115" s="76">
        <v>2.5</v>
      </c>
    </row>
    <row r="14116" s="76" customFormat="1" spans="1:6">
      <c r="A14116">
        <v>14492</v>
      </c>
      <c r="B14116">
        <v>652016241</v>
      </c>
      <c r="C14116" s="76">
        <v>2016</v>
      </c>
      <c r="D14116" s="76" t="s">
        <v>33</v>
      </c>
      <c r="E14116" s="76" t="s">
        <v>32</v>
      </c>
      <c r="F14116" s="76">
        <v>0.9</v>
      </c>
    </row>
    <row r="14117" s="76" customFormat="1" spans="1:6">
      <c r="A14117">
        <v>14488</v>
      </c>
      <c r="B14117">
        <v>652016241</v>
      </c>
      <c r="C14117" s="76">
        <v>2016</v>
      </c>
      <c r="D14117" s="76" t="s">
        <v>33</v>
      </c>
      <c r="E14117" s="76" t="s">
        <v>32</v>
      </c>
      <c r="F14117" s="76">
        <v>1</v>
      </c>
    </row>
    <row r="14118" s="76" customFormat="1" spans="1:6">
      <c r="A14118">
        <v>14494</v>
      </c>
      <c r="B14118">
        <v>652016241</v>
      </c>
      <c r="C14118" s="76">
        <v>2016</v>
      </c>
      <c r="D14118" s="76" t="s">
        <v>33</v>
      </c>
      <c r="E14118" s="76" t="s">
        <v>32</v>
      </c>
      <c r="F14118" s="76">
        <v>0.6</v>
      </c>
    </row>
    <row r="14119" s="76" customFormat="1" spans="1:6">
      <c r="A14119">
        <v>14495</v>
      </c>
      <c r="B14119">
        <v>652016241</v>
      </c>
      <c r="C14119" s="76">
        <v>2016</v>
      </c>
      <c r="D14119" s="76" t="s">
        <v>33</v>
      </c>
      <c r="E14119" s="76" t="s">
        <v>32</v>
      </c>
      <c r="F14119" s="76">
        <v>6</v>
      </c>
    </row>
    <row r="14120" s="76" customFormat="1" spans="1:6">
      <c r="A14120">
        <v>14485</v>
      </c>
      <c r="B14120">
        <v>652016241</v>
      </c>
      <c r="C14120" s="76">
        <v>2016</v>
      </c>
      <c r="D14120" s="76" t="s">
        <v>33</v>
      </c>
      <c r="E14120" s="76" t="s">
        <v>32</v>
      </c>
      <c r="F14120" s="76">
        <v>0.3</v>
      </c>
    </row>
    <row r="14121" s="76" customFormat="1" spans="1:6">
      <c r="A14121">
        <v>14489</v>
      </c>
      <c r="B14121">
        <v>652016241</v>
      </c>
      <c r="C14121" s="76">
        <v>2016</v>
      </c>
      <c r="D14121" s="76" t="s">
        <v>33</v>
      </c>
      <c r="E14121" s="76" t="s">
        <v>32</v>
      </c>
      <c r="F14121" s="76">
        <v>0.6</v>
      </c>
    </row>
    <row r="14122" s="76" customFormat="1" spans="1:6">
      <c r="A14122">
        <v>14493</v>
      </c>
      <c r="B14122">
        <v>652016241</v>
      </c>
      <c r="C14122" s="76">
        <v>2016</v>
      </c>
      <c r="D14122" s="76" t="s">
        <v>33</v>
      </c>
      <c r="E14122" s="76" t="s">
        <v>32</v>
      </c>
      <c r="F14122" s="76">
        <v>1.2</v>
      </c>
    </row>
    <row r="14123" s="76" customFormat="1" spans="1:6">
      <c r="A14123">
        <v>14490</v>
      </c>
      <c r="B14123">
        <v>652016241</v>
      </c>
      <c r="C14123" s="76">
        <v>2016</v>
      </c>
      <c r="D14123" s="76" t="s">
        <v>33</v>
      </c>
      <c r="E14123" s="76" t="s">
        <v>32</v>
      </c>
      <c r="F14123" s="76">
        <v>13.5</v>
      </c>
    </row>
    <row r="14124" s="76" customFormat="1" spans="1:6">
      <c r="A14124">
        <v>14484</v>
      </c>
      <c r="B14124">
        <v>652016241</v>
      </c>
      <c r="C14124" s="76">
        <v>2016</v>
      </c>
      <c r="D14124" s="76" t="s">
        <v>33</v>
      </c>
      <c r="E14124" s="76" t="s">
        <v>32</v>
      </c>
      <c r="F14124" s="76">
        <v>4</v>
      </c>
    </row>
    <row r="14125" s="76" customFormat="1" spans="1:6">
      <c r="A14125">
        <v>14491</v>
      </c>
      <c r="B14125">
        <v>652016241</v>
      </c>
      <c r="C14125" s="76">
        <v>2016</v>
      </c>
      <c r="D14125" s="76" t="s">
        <v>33</v>
      </c>
      <c r="E14125" s="76" t="s">
        <v>32</v>
      </c>
      <c r="F14125" s="76">
        <v>27</v>
      </c>
    </row>
    <row r="14126" s="76" customFormat="1" spans="1:6">
      <c r="A14126">
        <v>14496</v>
      </c>
      <c r="B14126">
        <v>652016241</v>
      </c>
      <c r="C14126" s="76">
        <v>2016</v>
      </c>
      <c r="D14126" s="76" t="s">
        <v>33</v>
      </c>
      <c r="E14126" s="76" t="s">
        <v>32</v>
      </c>
      <c r="F14126" s="76">
        <v>10</v>
      </c>
    </row>
    <row r="14127" s="76" customFormat="1" spans="1:6">
      <c r="A14127">
        <v>14500</v>
      </c>
      <c r="B14127">
        <v>652016243</v>
      </c>
      <c r="C14127" s="76">
        <v>2016</v>
      </c>
      <c r="D14127" s="76" t="s">
        <v>38</v>
      </c>
      <c r="E14127" s="76" t="s">
        <v>32</v>
      </c>
      <c r="F14127" s="76">
        <v>6</v>
      </c>
    </row>
    <row r="14128" s="76" customFormat="1" spans="1:6">
      <c r="A14128">
        <v>14499</v>
      </c>
      <c r="B14128">
        <v>652016243</v>
      </c>
      <c r="C14128" s="76">
        <v>2016</v>
      </c>
      <c r="D14128" s="76" t="s">
        <v>38</v>
      </c>
      <c r="E14128" s="76">
        <v>1</v>
      </c>
      <c r="F14128" s="76">
        <v>1.2</v>
      </c>
    </row>
    <row r="14129" s="76" customFormat="1" spans="1:6">
      <c r="A14129">
        <v>14504</v>
      </c>
      <c r="B14129">
        <v>652016260</v>
      </c>
      <c r="C14129" s="76">
        <v>2016</v>
      </c>
      <c r="D14129" s="76" t="s">
        <v>34</v>
      </c>
      <c r="E14129" s="76">
        <v>132</v>
      </c>
      <c r="F14129" s="76">
        <v>19.8</v>
      </c>
    </row>
    <row r="14130" s="76" customFormat="1" spans="1:6">
      <c r="A14130">
        <v>14503</v>
      </c>
      <c r="B14130">
        <v>652016260</v>
      </c>
      <c r="C14130" s="76">
        <v>2016</v>
      </c>
      <c r="D14130" s="76" t="s">
        <v>34</v>
      </c>
      <c r="E14130" s="76">
        <v>73</v>
      </c>
      <c r="F14130" s="76">
        <v>18.25</v>
      </c>
    </row>
    <row r="14131" s="76" customFormat="1" spans="1:6">
      <c r="A14131">
        <v>14506</v>
      </c>
      <c r="B14131">
        <v>652016260</v>
      </c>
      <c r="C14131" s="76">
        <v>2016</v>
      </c>
      <c r="D14131" s="76" t="s">
        <v>34</v>
      </c>
      <c r="E14131" s="76">
        <v>133</v>
      </c>
      <c r="F14131" s="76">
        <v>19.95</v>
      </c>
    </row>
    <row r="14132" s="76" customFormat="1" spans="1:6">
      <c r="A14132">
        <v>14507</v>
      </c>
      <c r="B14132">
        <v>652016260</v>
      </c>
      <c r="C14132" s="76">
        <v>2016</v>
      </c>
      <c r="D14132" s="76" t="s">
        <v>34</v>
      </c>
      <c r="E14132" s="76">
        <v>33</v>
      </c>
      <c r="F14132" s="76">
        <v>4.95</v>
      </c>
    </row>
    <row r="14133" s="76" customFormat="1" spans="1:6">
      <c r="A14133">
        <v>14502</v>
      </c>
      <c r="B14133">
        <v>652016260</v>
      </c>
      <c r="C14133" s="76">
        <v>2016</v>
      </c>
      <c r="D14133" s="76" t="s">
        <v>34</v>
      </c>
      <c r="E14133" s="76">
        <v>134</v>
      </c>
      <c r="F14133" s="76">
        <v>20.1</v>
      </c>
    </row>
    <row r="14134" s="76" customFormat="1" spans="1:6">
      <c r="A14134">
        <v>14511</v>
      </c>
      <c r="B14134">
        <v>652016260</v>
      </c>
      <c r="C14134" s="76">
        <v>2016</v>
      </c>
      <c r="D14134" s="76" t="s">
        <v>34</v>
      </c>
      <c r="E14134" s="76" t="s">
        <v>32</v>
      </c>
      <c r="F14134" s="76">
        <v>9.9</v>
      </c>
    </row>
    <row r="14135" s="76" customFormat="1" spans="1:6">
      <c r="A14135">
        <v>14512</v>
      </c>
      <c r="B14135">
        <v>652016260</v>
      </c>
      <c r="C14135" s="76">
        <v>2016</v>
      </c>
      <c r="D14135" s="76" t="s">
        <v>34</v>
      </c>
      <c r="E14135" s="76" t="s">
        <v>32</v>
      </c>
      <c r="F14135" s="76">
        <v>4.95</v>
      </c>
    </row>
    <row r="14136" s="76" customFormat="1" spans="1:6">
      <c r="A14136">
        <v>14508</v>
      </c>
      <c r="B14136">
        <v>652016260</v>
      </c>
      <c r="C14136" s="76">
        <v>2016</v>
      </c>
      <c r="D14136" s="76" t="s">
        <v>34</v>
      </c>
      <c r="E14136" s="76">
        <v>33</v>
      </c>
      <c r="F14136" s="76">
        <v>4.95</v>
      </c>
    </row>
    <row r="14137" s="76" customFormat="1" spans="1:6">
      <c r="A14137">
        <v>14515</v>
      </c>
      <c r="B14137">
        <v>652016260</v>
      </c>
      <c r="C14137" s="76">
        <v>2016</v>
      </c>
      <c r="D14137" s="76" t="s">
        <v>34</v>
      </c>
      <c r="E14137" s="76">
        <v>33</v>
      </c>
      <c r="F14137" s="76">
        <v>4.95</v>
      </c>
    </row>
    <row r="14138" s="76" customFormat="1" spans="1:6">
      <c r="A14138">
        <v>14513</v>
      </c>
      <c r="B14138">
        <v>652016260</v>
      </c>
      <c r="C14138" s="76">
        <v>2016</v>
      </c>
      <c r="D14138" s="76" t="s">
        <v>34</v>
      </c>
      <c r="E14138" s="76">
        <v>50</v>
      </c>
      <c r="F14138" s="76">
        <v>10</v>
      </c>
    </row>
    <row r="14139" s="76" customFormat="1" spans="1:6">
      <c r="A14139">
        <v>14509</v>
      </c>
      <c r="B14139">
        <v>652016260</v>
      </c>
      <c r="C14139" s="76">
        <v>2016</v>
      </c>
      <c r="D14139" s="76" t="s">
        <v>34</v>
      </c>
      <c r="E14139" s="76">
        <v>134</v>
      </c>
      <c r="F14139" s="76">
        <v>20.1</v>
      </c>
    </row>
    <row r="14140" s="76" customFormat="1" spans="1:6">
      <c r="A14140">
        <v>14505</v>
      </c>
      <c r="B14140">
        <v>652016260</v>
      </c>
      <c r="C14140" s="76">
        <v>2016</v>
      </c>
      <c r="D14140" s="76" t="s">
        <v>34</v>
      </c>
      <c r="E14140" s="76">
        <v>298</v>
      </c>
      <c r="F14140" s="76">
        <v>59.6</v>
      </c>
    </row>
    <row r="14141" s="76" customFormat="1" spans="1:6">
      <c r="A14141">
        <v>14514</v>
      </c>
      <c r="B14141">
        <v>652016260</v>
      </c>
      <c r="C14141" s="76">
        <v>2016</v>
      </c>
      <c r="D14141" s="76" t="s">
        <v>34</v>
      </c>
      <c r="E14141" s="76">
        <v>133</v>
      </c>
      <c r="F14141" s="76">
        <v>19.95</v>
      </c>
    </row>
    <row r="14142" s="76" customFormat="1" spans="1:6">
      <c r="A14142">
        <v>14501</v>
      </c>
      <c r="B14142">
        <v>652016260</v>
      </c>
      <c r="C14142" s="76">
        <v>2016</v>
      </c>
      <c r="D14142" s="76" t="s">
        <v>34</v>
      </c>
      <c r="E14142" s="76">
        <v>100</v>
      </c>
      <c r="F14142" s="76">
        <v>20</v>
      </c>
    </row>
    <row r="14143" s="76" customFormat="1" spans="1:6">
      <c r="A14143">
        <v>14510</v>
      </c>
      <c r="B14143">
        <v>652016260</v>
      </c>
      <c r="C14143" s="76">
        <v>2016</v>
      </c>
      <c r="D14143" s="76" t="s">
        <v>34</v>
      </c>
      <c r="E14143" s="76">
        <v>80</v>
      </c>
      <c r="F14143" s="76">
        <v>20</v>
      </c>
    </row>
    <row r="14144" s="76" customFormat="1" spans="1:6">
      <c r="A14144">
        <v>14516</v>
      </c>
      <c r="B14144">
        <v>652016260</v>
      </c>
      <c r="C14144" s="76">
        <v>2016</v>
      </c>
      <c r="D14144" s="76" t="s">
        <v>34</v>
      </c>
      <c r="E14144" s="76">
        <v>33</v>
      </c>
      <c r="F14144" s="76">
        <v>4.95</v>
      </c>
    </row>
    <row r="14145" s="76" customFormat="1" spans="1:6">
      <c r="A14145">
        <v>14594</v>
      </c>
      <c r="B14145">
        <v>652016270</v>
      </c>
      <c r="C14145" s="76">
        <v>2016</v>
      </c>
      <c r="D14145" s="76" t="s">
        <v>31</v>
      </c>
      <c r="E14145" s="76" t="s">
        <v>32</v>
      </c>
      <c r="F14145" s="76">
        <v>4</v>
      </c>
    </row>
    <row r="14146" s="76" customFormat="1" spans="1:6">
      <c r="A14146">
        <v>14542</v>
      </c>
      <c r="B14146">
        <v>652016270</v>
      </c>
      <c r="C14146" s="76">
        <v>2016</v>
      </c>
      <c r="D14146" s="76" t="s">
        <v>31</v>
      </c>
      <c r="E14146" s="76" t="s">
        <v>32</v>
      </c>
      <c r="F14146" s="76">
        <v>2</v>
      </c>
    </row>
    <row r="14147" s="76" customFormat="1" spans="1:6">
      <c r="A14147">
        <v>14559</v>
      </c>
      <c r="B14147">
        <v>652016270</v>
      </c>
      <c r="C14147" s="76">
        <v>2016</v>
      </c>
      <c r="D14147" s="76" t="s">
        <v>31</v>
      </c>
      <c r="E14147" s="76" t="s">
        <v>32</v>
      </c>
      <c r="F14147" s="76">
        <v>2</v>
      </c>
    </row>
    <row r="14148" s="76" customFormat="1" spans="1:6">
      <c r="A14148">
        <v>14613</v>
      </c>
      <c r="B14148">
        <v>652016270</v>
      </c>
      <c r="C14148" s="76">
        <v>2016</v>
      </c>
      <c r="D14148" s="76" t="s">
        <v>31</v>
      </c>
      <c r="E14148" s="76" t="s">
        <v>32</v>
      </c>
      <c r="F14148" s="76">
        <v>2</v>
      </c>
    </row>
    <row r="14149" s="76" customFormat="1" spans="1:6">
      <c r="A14149">
        <v>14598</v>
      </c>
      <c r="B14149">
        <v>652016270</v>
      </c>
      <c r="C14149" s="76">
        <v>2016</v>
      </c>
      <c r="D14149" s="76" t="s">
        <v>31</v>
      </c>
      <c r="E14149" s="76" t="s">
        <v>32</v>
      </c>
      <c r="F14149" s="76">
        <v>4</v>
      </c>
    </row>
    <row r="14150" s="76" customFormat="1" spans="1:6">
      <c r="A14150">
        <v>14578</v>
      </c>
      <c r="B14150">
        <v>652016270</v>
      </c>
      <c r="C14150" s="76">
        <v>2016</v>
      </c>
      <c r="D14150" s="76" t="s">
        <v>31</v>
      </c>
      <c r="E14150" s="76" t="s">
        <v>32</v>
      </c>
      <c r="F14150" s="76">
        <v>2</v>
      </c>
    </row>
    <row r="14151" s="76" customFormat="1" spans="1:6">
      <c r="A14151">
        <v>14599</v>
      </c>
      <c r="B14151">
        <v>652016270</v>
      </c>
      <c r="C14151" s="76">
        <v>2016</v>
      </c>
      <c r="D14151" s="76" t="s">
        <v>31</v>
      </c>
      <c r="E14151" s="76" t="s">
        <v>32</v>
      </c>
      <c r="F14151" s="76">
        <v>4</v>
      </c>
    </row>
    <row r="14152" s="76" customFormat="1" spans="1:6">
      <c r="A14152">
        <v>14618</v>
      </c>
      <c r="B14152">
        <v>652016270</v>
      </c>
      <c r="C14152" s="76">
        <v>2016</v>
      </c>
      <c r="D14152" s="76" t="s">
        <v>31</v>
      </c>
      <c r="E14152" s="76" t="s">
        <v>32</v>
      </c>
      <c r="F14152" s="76">
        <v>2</v>
      </c>
    </row>
    <row r="14153" s="76" customFormat="1" spans="1:6">
      <c r="A14153">
        <v>14521</v>
      </c>
      <c r="B14153">
        <v>652016270</v>
      </c>
      <c r="C14153" s="76">
        <v>2016</v>
      </c>
      <c r="D14153" s="76" t="s">
        <v>31</v>
      </c>
      <c r="E14153" s="76" t="s">
        <v>32</v>
      </c>
      <c r="F14153" s="76">
        <v>2</v>
      </c>
    </row>
    <row r="14154" s="76" customFormat="1" spans="1:6">
      <c r="A14154">
        <v>14519</v>
      </c>
      <c r="B14154">
        <v>652016270</v>
      </c>
      <c r="C14154" s="76">
        <v>2016</v>
      </c>
      <c r="D14154" s="76" t="s">
        <v>31</v>
      </c>
      <c r="E14154" s="76" t="s">
        <v>32</v>
      </c>
      <c r="F14154" s="76">
        <v>2</v>
      </c>
    </row>
    <row r="14155" s="76" customFormat="1" spans="1:6">
      <c r="A14155">
        <v>14601</v>
      </c>
      <c r="B14155">
        <v>652016270</v>
      </c>
      <c r="C14155" s="76">
        <v>2016</v>
      </c>
      <c r="D14155" s="76" t="s">
        <v>31</v>
      </c>
      <c r="E14155" s="76" t="s">
        <v>32</v>
      </c>
      <c r="F14155" s="76">
        <v>2</v>
      </c>
    </row>
    <row r="14156" s="76" customFormat="1" spans="1:6">
      <c r="A14156">
        <v>14525</v>
      </c>
      <c r="B14156">
        <v>652016270</v>
      </c>
      <c r="C14156" s="76">
        <v>2016</v>
      </c>
      <c r="D14156" s="76" t="s">
        <v>31</v>
      </c>
      <c r="E14156" s="76" t="s">
        <v>32</v>
      </c>
      <c r="F14156" s="76">
        <v>5</v>
      </c>
    </row>
    <row r="14157" s="76" customFormat="1" spans="1:6">
      <c r="A14157">
        <v>14522</v>
      </c>
      <c r="B14157">
        <v>652016270</v>
      </c>
      <c r="C14157" s="76">
        <v>2016</v>
      </c>
      <c r="D14157" s="76" t="s">
        <v>31</v>
      </c>
      <c r="E14157" s="76" t="s">
        <v>32</v>
      </c>
      <c r="F14157" s="76">
        <v>5</v>
      </c>
    </row>
    <row r="14158" s="76" customFormat="1" spans="1:6">
      <c r="A14158">
        <v>14600</v>
      </c>
      <c r="B14158">
        <v>652016270</v>
      </c>
      <c r="C14158" s="76">
        <v>2016</v>
      </c>
      <c r="D14158" s="76" t="s">
        <v>31</v>
      </c>
      <c r="E14158" s="76" t="s">
        <v>32</v>
      </c>
      <c r="F14158" s="76">
        <v>2</v>
      </c>
    </row>
    <row r="14159" s="76" customFormat="1" spans="1:6">
      <c r="A14159">
        <v>14541</v>
      </c>
      <c r="B14159">
        <v>652016270</v>
      </c>
      <c r="C14159" s="76">
        <v>2016</v>
      </c>
      <c r="D14159" s="76" t="s">
        <v>31</v>
      </c>
      <c r="E14159" s="76" t="s">
        <v>32</v>
      </c>
      <c r="F14159" s="76">
        <v>2</v>
      </c>
    </row>
    <row r="14160" s="76" customFormat="1" spans="1:6">
      <c r="A14160">
        <v>14608</v>
      </c>
      <c r="B14160">
        <v>652016270</v>
      </c>
      <c r="C14160" s="76">
        <v>2016</v>
      </c>
      <c r="D14160" s="76" t="s">
        <v>31</v>
      </c>
      <c r="E14160" s="76" t="s">
        <v>32</v>
      </c>
      <c r="F14160" s="76">
        <v>15</v>
      </c>
    </row>
    <row r="14161" s="76" customFormat="1" spans="1:6">
      <c r="A14161">
        <v>14595</v>
      </c>
      <c r="B14161">
        <v>652016270</v>
      </c>
      <c r="C14161" s="76">
        <v>2016</v>
      </c>
      <c r="D14161" s="76" t="s">
        <v>31</v>
      </c>
      <c r="E14161" s="76" t="s">
        <v>32</v>
      </c>
      <c r="F14161" s="76">
        <v>5</v>
      </c>
    </row>
    <row r="14162" s="76" customFormat="1" spans="1:6">
      <c r="A14162">
        <v>14611</v>
      </c>
      <c r="B14162">
        <v>652016270</v>
      </c>
      <c r="C14162" s="76">
        <v>2016</v>
      </c>
      <c r="D14162" s="76" t="s">
        <v>31</v>
      </c>
      <c r="E14162" s="76" t="s">
        <v>32</v>
      </c>
      <c r="F14162" s="76">
        <v>3</v>
      </c>
    </row>
    <row r="14163" s="76" customFormat="1" spans="1:6">
      <c r="A14163">
        <v>14605</v>
      </c>
      <c r="B14163">
        <v>652016270</v>
      </c>
      <c r="C14163" s="76">
        <v>2016</v>
      </c>
      <c r="D14163" s="76" t="s">
        <v>31</v>
      </c>
      <c r="E14163" s="76" t="s">
        <v>32</v>
      </c>
      <c r="F14163" s="76">
        <v>2</v>
      </c>
    </row>
    <row r="14164" s="76" customFormat="1" spans="1:6">
      <c r="A14164">
        <v>14602</v>
      </c>
      <c r="B14164">
        <v>652016270</v>
      </c>
      <c r="C14164" s="76">
        <v>2016</v>
      </c>
      <c r="D14164" s="76" t="s">
        <v>31</v>
      </c>
      <c r="E14164" s="76" t="s">
        <v>32</v>
      </c>
      <c r="F14164" s="76">
        <v>2</v>
      </c>
    </row>
    <row r="14165" s="76" customFormat="1" spans="1:6">
      <c r="A14165">
        <v>14543</v>
      </c>
      <c r="B14165">
        <v>652016270</v>
      </c>
      <c r="C14165" s="76">
        <v>2016</v>
      </c>
      <c r="D14165" s="76" t="s">
        <v>31</v>
      </c>
      <c r="E14165" s="76" t="s">
        <v>32</v>
      </c>
      <c r="F14165" s="76">
        <v>10</v>
      </c>
    </row>
    <row r="14166" s="76" customFormat="1" spans="1:6">
      <c r="A14166">
        <v>14607</v>
      </c>
      <c r="B14166">
        <v>652016270</v>
      </c>
      <c r="C14166" s="76">
        <v>2016</v>
      </c>
      <c r="D14166" s="76" t="s">
        <v>31</v>
      </c>
      <c r="E14166" s="76" t="s">
        <v>32</v>
      </c>
      <c r="F14166" s="76">
        <v>5</v>
      </c>
    </row>
    <row r="14167" s="76" customFormat="1" spans="1:6">
      <c r="A14167">
        <v>14606</v>
      </c>
      <c r="B14167">
        <v>652016270</v>
      </c>
      <c r="C14167" s="76">
        <v>2016</v>
      </c>
      <c r="D14167" s="76" t="s">
        <v>31</v>
      </c>
      <c r="E14167" s="76" t="s">
        <v>32</v>
      </c>
      <c r="F14167" s="76">
        <v>5</v>
      </c>
    </row>
    <row r="14168" s="76" customFormat="1" spans="1:6">
      <c r="A14168">
        <v>14604</v>
      </c>
      <c r="B14168">
        <v>652016270</v>
      </c>
      <c r="C14168" s="76">
        <v>2016</v>
      </c>
      <c r="D14168" s="76" t="s">
        <v>31</v>
      </c>
      <c r="E14168" s="76" t="s">
        <v>32</v>
      </c>
      <c r="F14168" s="76">
        <v>2</v>
      </c>
    </row>
    <row r="14169" s="76" customFormat="1" spans="1:6">
      <c r="A14169">
        <v>14603</v>
      </c>
      <c r="B14169">
        <v>652016270</v>
      </c>
      <c r="C14169" s="76">
        <v>2016</v>
      </c>
      <c r="D14169" s="76" t="s">
        <v>31</v>
      </c>
      <c r="E14169" s="76" t="s">
        <v>32</v>
      </c>
      <c r="F14169" s="76">
        <v>2</v>
      </c>
    </row>
    <row r="14170" s="76" customFormat="1" spans="1:6">
      <c r="A14170">
        <v>14577</v>
      </c>
      <c r="B14170">
        <v>652016270</v>
      </c>
      <c r="C14170" s="76">
        <v>2016</v>
      </c>
      <c r="D14170" s="76" t="s">
        <v>31</v>
      </c>
      <c r="E14170" s="76" t="s">
        <v>32</v>
      </c>
      <c r="F14170" s="76">
        <v>5</v>
      </c>
    </row>
    <row r="14171" s="76" customFormat="1" spans="1:6">
      <c r="A14171">
        <v>14552</v>
      </c>
      <c r="B14171">
        <v>652016270</v>
      </c>
      <c r="C14171" s="76">
        <v>2016</v>
      </c>
      <c r="D14171" s="76" t="s">
        <v>31</v>
      </c>
      <c r="E14171" s="76" t="s">
        <v>32</v>
      </c>
      <c r="F14171" s="76">
        <v>2</v>
      </c>
    </row>
    <row r="14172" s="76" customFormat="1" spans="1:6">
      <c r="A14172">
        <v>14553</v>
      </c>
      <c r="B14172">
        <v>652016270</v>
      </c>
      <c r="C14172" s="76">
        <v>2016</v>
      </c>
      <c r="D14172" s="76" t="s">
        <v>31</v>
      </c>
      <c r="E14172" s="76" t="s">
        <v>32</v>
      </c>
      <c r="F14172" s="76">
        <v>3</v>
      </c>
    </row>
    <row r="14173" s="76" customFormat="1" spans="1:6">
      <c r="A14173">
        <v>14536</v>
      </c>
      <c r="B14173">
        <v>652016270</v>
      </c>
      <c r="C14173" s="76">
        <v>2016</v>
      </c>
      <c r="D14173" s="76" t="s">
        <v>31</v>
      </c>
      <c r="E14173" s="76" t="s">
        <v>32</v>
      </c>
      <c r="F14173" s="76">
        <v>3</v>
      </c>
    </row>
    <row r="14174" s="76" customFormat="1" spans="1:6">
      <c r="A14174">
        <v>14533</v>
      </c>
      <c r="B14174">
        <v>652016270</v>
      </c>
      <c r="C14174" s="76">
        <v>2016</v>
      </c>
      <c r="D14174" s="76" t="s">
        <v>31</v>
      </c>
      <c r="E14174" s="76" t="s">
        <v>32</v>
      </c>
      <c r="F14174" s="76">
        <v>2</v>
      </c>
    </row>
    <row r="14175" s="76" customFormat="1" spans="1:6">
      <c r="A14175">
        <v>14616</v>
      </c>
      <c r="B14175">
        <v>652016270</v>
      </c>
      <c r="C14175" s="76">
        <v>2016</v>
      </c>
      <c r="D14175" s="76" t="s">
        <v>31</v>
      </c>
      <c r="E14175" s="76" t="s">
        <v>32</v>
      </c>
      <c r="F14175" s="76">
        <v>2</v>
      </c>
    </row>
    <row r="14176" s="76" customFormat="1" spans="1:6">
      <c r="A14176">
        <v>14565</v>
      </c>
      <c r="B14176">
        <v>652016270</v>
      </c>
      <c r="C14176" s="76">
        <v>2016</v>
      </c>
      <c r="D14176" s="76" t="s">
        <v>31</v>
      </c>
      <c r="E14176" s="76" t="s">
        <v>32</v>
      </c>
      <c r="F14176" s="76">
        <v>10</v>
      </c>
    </row>
    <row r="14177" s="76" customFormat="1" spans="1:6">
      <c r="A14177">
        <v>14573</v>
      </c>
      <c r="B14177">
        <v>652016270</v>
      </c>
      <c r="C14177" s="76">
        <v>2016</v>
      </c>
      <c r="D14177" s="76" t="s">
        <v>31</v>
      </c>
      <c r="E14177" s="76" t="s">
        <v>32</v>
      </c>
      <c r="F14177" s="76">
        <v>2</v>
      </c>
    </row>
    <row r="14178" s="76" customFormat="1" spans="1:6">
      <c r="A14178">
        <v>14563</v>
      </c>
      <c r="B14178">
        <v>652016270</v>
      </c>
      <c r="C14178" s="76">
        <v>2016</v>
      </c>
      <c r="D14178" s="76" t="s">
        <v>31</v>
      </c>
      <c r="E14178" s="76" t="s">
        <v>32</v>
      </c>
      <c r="F14178" s="76">
        <v>2</v>
      </c>
    </row>
    <row r="14179" s="76" customFormat="1" spans="1:6">
      <c r="A14179">
        <v>14546</v>
      </c>
      <c r="B14179">
        <v>652016270</v>
      </c>
      <c r="C14179" s="76">
        <v>2016</v>
      </c>
      <c r="D14179" s="76" t="s">
        <v>31</v>
      </c>
      <c r="E14179" s="76" t="s">
        <v>32</v>
      </c>
      <c r="F14179" s="76">
        <v>2</v>
      </c>
    </row>
    <row r="14180" s="76" customFormat="1" spans="1:6">
      <c r="A14180">
        <v>14575</v>
      </c>
      <c r="B14180">
        <v>652016270</v>
      </c>
      <c r="C14180" s="76">
        <v>2016</v>
      </c>
      <c r="D14180" s="76" t="s">
        <v>31</v>
      </c>
      <c r="E14180" s="76" t="s">
        <v>32</v>
      </c>
      <c r="F14180" s="76">
        <v>2</v>
      </c>
    </row>
    <row r="14181" s="76" customFormat="1" spans="1:6">
      <c r="A14181">
        <v>14528</v>
      </c>
      <c r="B14181">
        <v>652016270</v>
      </c>
      <c r="C14181" s="76">
        <v>2016</v>
      </c>
      <c r="D14181" s="76" t="s">
        <v>31</v>
      </c>
      <c r="E14181" s="76" t="s">
        <v>32</v>
      </c>
      <c r="F14181" s="76">
        <v>4</v>
      </c>
    </row>
    <row r="14182" s="76" customFormat="1" spans="1:6">
      <c r="A14182">
        <v>14550</v>
      </c>
      <c r="B14182">
        <v>652016270</v>
      </c>
      <c r="C14182" s="76">
        <v>2016</v>
      </c>
      <c r="D14182" s="76" t="s">
        <v>31</v>
      </c>
      <c r="E14182" s="76" t="s">
        <v>32</v>
      </c>
      <c r="F14182" s="76">
        <v>2</v>
      </c>
    </row>
    <row r="14183" s="76" customFormat="1" spans="1:6">
      <c r="A14183">
        <v>14590</v>
      </c>
      <c r="B14183">
        <v>652016270</v>
      </c>
      <c r="C14183" s="76">
        <v>2016</v>
      </c>
      <c r="D14183" s="76" t="s">
        <v>31</v>
      </c>
      <c r="E14183" s="76" t="s">
        <v>32</v>
      </c>
      <c r="F14183" s="76">
        <v>2</v>
      </c>
    </row>
    <row r="14184" s="76" customFormat="1" spans="1:6">
      <c r="A14184">
        <v>14591</v>
      </c>
      <c r="B14184">
        <v>652016270</v>
      </c>
      <c r="C14184" s="76">
        <v>2016</v>
      </c>
      <c r="D14184" s="76" t="s">
        <v>31</v>
      </c>
      <c r="E14184" s="76" t="s">
        <v>32</v>
      </c>
      <c r="F14184" s="76">
        <v>2</v>
      </c>
    </row>
    <row r="14185" s="76" customFormat="1" spans="1:6">
      <c r="A14185">
        <v>14617</v>
      </c>
      <c r="B14185">
        <v>652016270</v>
      </c>
      <c r="C14185" s="76">
        <v>2016</v>
      </c>
      <c r="D14185" s="76" t="s">
        <v>31</v>
      </c>
      <c r="E14185" s="76" t="s">
        <v>32</v>
      </c>
      <c r="F14185" s="76">
        <v>3</v>
      </c>
    </row>
    <row r="14186" s="76" customFormat="1" spans="1:6">
      <c r="A14186">
        <v>14561</v>
      </c>
      <c r="B14186">
        <v>652016270</v>
      </c>
      <c r="C14186" s="76">
        <v>2016</v>
      </c>
      <c r="D14186" s="76" t="s">
        <v>31</v>
      </c>
      <c r="E14186" s="76" t="s">
        <v>32</v>
      </c>
      <c r="F14186" s="76">
        <v>2</v>
      </c>
    </row>
    <row r="14187" s="76" customFormat="1" spans="1:6">
      <c r="A14187">
        <v>14587</v>
      </c>
      <c r="B14187">
        <v>652016270</v>
      </c>
      <c r="C14187" s="76">
        <v>2016</v>
      </c>
      <c r="D14187" s="76" t="s">
        <v>31</v>
      </c>
      <c r="E14187" s="76" t="s">
        <v>32</v>
      </c>
      <c r="F14187" s="76">
        <v>2</v>
      </c>
    </row>
    <row r="14188" s="76" customFormat="1" spans="1:6">
      <c r="A14188">
        <v>14567</v>
      </c>
      <c r="B14188">
        <v>652016270</v>
      </c>
      <c r="C14188" s="76">
        <v>2016</v>
      </c>
      <c r="D14188" s="76" t="s">
        <v>31</v>
      </c>
      <c r="E14188" s="76" t="s">
        <v>32</v>
      </c>
      <c r="F14188" s="76">
        <v>5</v>
      </c>
    </row>
    <row r="14189" s="76" customFormat="1" spans="1:6">
      <c r="A14189">
        <v>14580</v>
      </c>
      <c r="B14189">
        <v>652016270</v>
      </c>
      <c r="C14189" s="76">
        <v>2016</v>
      </c>
      <c r="D14189" s="76" t="s">
        <v>31</v>
      </c>
      <c r="E14189" s="76" t="s">
        <v>32</v>
      </c>
      <c r="F14189" s="76">
        <v>2</v>
      </c>
    </row>
    <row r="14190" s="76" customFormat="1" spans="1:6">
      <c r="A14190">
        <v>14581</v>
      </c>
      <c r="B14190">
        <v>652016270</v>
      </c>
      <c r="C14190" s="76">
        <v>2016</v>
      </c>
      <c r="D14190" s="76" t="s">
        <v>31</v>
      </c>
      <c r="E14190" s="76" t="s">
        <v>32</v>
      </c>
      <c r="F14190" s="76">
        <v>2</v>
      </c>
    </row>
    <row r="14191" s="76" customFormat="1" spans="1:6">
      <c r="A14191">
        <v>14579</v>
      </c>
      <c r="B14191">
        <v>652016270</v>
      </c>
      <c r="C14191" s="76">
        <v>2016</v>
      </c>
      <c r="D14191" s="76" t="s">
        <v>31</v>
      </c>
      <c r="E14191" s="76" t="s">
        <v>32</v>
      </c>
      <c r="F14191" s="76">
        <v>3</v>
      </c>
    </row>
    <row r="14192" s="76" customFormat="1" spans="1:6">
      <c r="A14192">
        <v>14548</v>
      </c>
      <c r="B14192">
        <v>652016270</v>
      </c>
      <c r="C14192" s="76">
        <v>2016</v>
      </c>
      <c r="D14192" s="76" t="s">
        <v>31</v>
      </c>
      <c r="E14192" s="76" t="s">
        <v>32</v>
      </c>
      <c r="F14192" s="76">
        <v>2</v>
      </c>
    </row>
    <row r="14193" s="76" customFormat="1" spans="1:6">
      <c r="A14193">
        <v>14555</v>
      </c>
      <c r="B14193">
        <v>652016270</v>
      </c>
      <c r="C14193" s="76">
        <v>2016</v>
      </c>
      <c r="D14193" s="76" t="s">
        <v>31</v>
      </c>
      <c r="E14193" s="76" t="s">
        <v>32</v>
      </c>
      <c r="F14193" s="76">
        <v>4</v>
      </c>
    </row>
    <row r="14194" s="76" customFormat="1" spans="1:6">
      <c r="A14194">
        <v>14554</v>
      </c>
      <c r="B14194">
        <v>652016270</v>
      </c>
      <c r="C14194" s="76">
        <v>2016</v>
      </c>
      <c r="D14194" s="76" t="s">
        <v>31</v>
      </c>
      <c r="E14194" s="76" t="s">
        <v>32</v>
      </c>
      <c r="F14194" s="76">
        <v>2</v>
      </c>
    </row>
    <row r="14195" s="76" customFormat="1" spans="1:6">
      <c r="A14195">
        <v>14547</v>
      </c>
      <c r="B14195">
        <v>652016270</v>
      </c>
      <c r="C14195" s="76">
        <v>2016</v>
      </c>
      <c r="D14195" s="76" t="s">
        <v>31</v>
      </c>
      <c r="E14195" s="76" t="s">
        <v>32</v>
      </c>
      <c r="F14195" s="76">
        <v>5</v>
      </c>
    </row>
    <row r="14196" s="76" customFormat="1" spans="1:6">
      <c r="A14196">
        <v>14569</v>
      </c>
      <c r="B14196">
        <v>652016270</v>
      </c>
      <c r="C14196" s="76">
        <v>2016</v>
      </c>
      <c r="D14196" s="76" t="s">
        <v>31</v>
      </c>
      <c r="E14196" s="76" t="s">
        <v>32</v>
      </c>
      <c r="F14196" s="76">
        <v>2</v>
      </c>
    </row>
    <row r="14197" s="76" customFormat="1" spans="1:6">
      <c r="A14197">
        <v>14586</v>
      </c>
      <c r="B14197">
        <v>652016270</v>
      </c>
      <c r="C14197" s="76">
        <v>2016</v>
      </c>
      <c r="D14197" s="76" t="s">
        <v>31</v>
      </c>
      <c r="E14197" s="76" t="s">
        <v>32</v>
      </c>
      <c r="F14197" s="76">
        <v>2</v>
      </c>
    </row>
    <row r="14198" s="76" customFormat="1" spans="1:6">
      <c r="A14198">
        <v>14585</v>
      </c>
      <c r="B14198">
        <v>652016270</v>
      </c>
      <c r="C14198" s="76">
        <v>2016</v>
      </c>
      <c r="D14198" s="76" t="s">
        <v>31</v>
      </c>
      <c r="E14198" s="76" t="s">
        <v>32</v>
      </c>
      <c r="F14198" s="76">
        <v>3</v>
      </c>
    </row>
    <row r="14199" s="76" customFormat="1" spans="1:6">
      <c r="A14199">
        <v>14584</v>
      </c>
      <c r="B14199">
        <v>652016270</v>
      </c>
      <c r="C14199" s="76">
        <v>2016</v>
      </c>
      <c r="D14199" s="76" t="s">
        <v>31</v>
      </c>
      <c r="E14199" s="76" t="s">
        <v>32</v>
      </c>
      <c r="F14199" s="76">
        <v>3</v>
      </c>
    </row>
    <row r="14200" s="76" customFormat="1" spans="1:6">
      <c r="A14200">
        <v>14593</v>
      </c>
      <c r="B14200">
        <v>652016270</v>
      </c>
      <c r="C14200" s="76">
        <v>2016</v>
      </c>
      <c r="D14200" s="76" t="s">
        <v>31</v>
      </c>
      <c r="E14200" s="76" t="s">
        <v>32</v>
      </c>
      <c r="F14200" s="76">
        <v>2</v>
      </c>
    </row>
    <row r="14201" s="76" customFormat="1" spans="1:6">
      <c r="A14201">
        <v>14537</v>
      </c>
      <c r="B14201">
        <v>652016270</v>
      </c>
      <c r="C14201" s="76">
        <v>2016</v>
      </c>
      <c r="D14201" s="76" t="s">
        <v>31</v>
      </c>
      <c r="E14201" s="76" t="s">
        <v>32</v>
      </c>
      <c r="F14201" s="76">
        <v>2</v>
      </c>
    </row>
    <row r="14202" s="76" customFormat="1" spans="1:6">
      <c r="A14202">
        <v>14545</v>
      </c>
      <c r="B14202">
        <v>652016270</v>
      </c>
      <c r="C14202" s="76">
        <v>2016</v>
      </c>
      <c r="D14202" s="76" t="s">
        <v>31</v>
      </c>
      <c r="E14202" s="76" t="s">
        <v>32</v>
      </c>
      <c r="F14202" s="76">
        <v>5</v>
      </c>
    </row>
    <row r="14203" s="76" customFormat="1" spans="1:6">
      <c r="A14203">
        <v>14562</v>
      </c>
      <c r="B14203">
        <v>652016270</v>
      </c>
      <c r="C14203" s="76">
        <v>2016</v>
      </c>
      <c r="D14203" s="76" t="s">
        <v>31</v>
      </c>
      <c r="E14203" s="76" t="s">
        <v>32</v>
      </c>
      <c r="F14203" s="76">
        <v>2</v>
      </c>
    </row>
    <row r="14204" s="76" customFormat="1" spans="1:6">
      <c r="A14204">
        <v>14615</v>
      </c>
      <c r="B14204">
        <v>652016270</v>
      </c>
      <c r="C14204" s="76">
        <v>2016</v>
      </c>
      <c r="D14204" s="76" t="s">
        <v>31</v>
      </c>
      <c r="E14204" s="76" t="s">
        <v>32</v>
      </c>
      <c r="F14204" s="76">
        <v>5</v>
      </c>
    </row>
    <row r="14205" s="76" customFormat="1" spans="1:6">
      <c r="A14205">
        <v>14556</v>
      </c>
      <c r="B14205">
        <v>652016270</v>
      </c>
      <c r="C14205" s="76">
        <v>2016</v>
      </c>
      <c r="D14205" s="76" t="s">
        <v>31</v>
      </c>
      <c r="E14205" s="76" t="s">
        <v>32</v>
      </c>
      <c r="F14205" s="76">
        <v>2</v>
      </c>
    </row>
    <row r="14206" s="76" customFormat="1" spans="1:6">
      <c r="A14206">
        <v>14535</v>
      </c>
      <c r="B14206">
        <v>652016270</v>
      </c>
      <c r="C14206" s="76">
        <v>2016</v>
      </c>
      <c r="D14206" s="76" t="s">
        <v>31</v>
      </c>
      <c r="E14206" s="76" t="s">
        <v>32</v>
      </c>
      <c r="F14206" s="76">
        <v>2</v>
      </c>
    </row>
    <row r="14207" s="76" customFormat="1" spans="1:6">
      <c r="A14207">
        <v>14574</v>
      </c>
      <c r="B14207">
        <v>652016270</v>
      </c>
      <c r="C14207" s="76">
        <v>2016</v>
      </c>
      <c r="D14207" s="76" t="s">
        <v>31</v>
      </c>
      <c r="E14207" s="76" t="s">
        <v>32</v>
      </c>
      <c r="F14207" s="76">
        <v>2</v>
      </c>
    </row>
    <row r="14208" s="76" customFormat="1" spans="1:6">
      <c r="A14208">
        <v>14572</v>
      </c>
      <c r="B14208">
        <v>652016270</v>
      </c>
      <c r="C14208" s="76">
        <v>2016</v>
      </c>
      <c r="D14208" s="76" t="s">
        <v>31</v>
      </c>
      <c r="E14208" s="76" t="s">
        <v>32</v>
      </c>
      <c r="F14208" s="76">
        <v>2</v>
      </c>
    </row>
    <row r="14209" s="76" customFormat="1" spans="1:6">
      <c r="A14209">
        <v>14583</v>
      </c>
      <c r="B14209">
        <v>652016270</v>
      </c>
      <c r="C14209" s="76">
        <v>2016</v>
      </c>
      <c r="D14209" s="76" t="s">
        <v>31</v>
      </c>
      <c r="E14209" s="76" t="s">
        <v>32</v>
      </c>
      <c r="F14209" s="76">
        <v>13</v>
      </c>
    </row>
    <row r="14210" s="76" customFormat="1" spans="1:6">
      <c r="A14210">
        <v>14538</v>
      </c>
      <c r="B14210">
        <v>652016270</v>
      </c>
      <c r="C14210" s="76">
        <v>2016</v>
      </c>
      <c r="D14210" s="76" t="s">
        <v>31</v>
      </c>
      <c r="E14210" s="76" t="s">
        <v>32</v>
      </c>
      <c r="F14210" s="76">
        <v>5</v>
      </c>
    </row>
    <row r="14211" s="76" customFormat="1" spans="1:6">
      <c r="A14211">
        <v>14523</v>
      </c>
      <c r="B14211">
        <v>652016270</v>
      </c>
      <c r="C14211" s="76">
        <v>2016</v>
      </c>
      <c r="D14211" s="76" t="s">
        <v>31</v>
      </c>
      <c r="E14211" s="76" t="s">
        <v>32</v>
      </c>
      <c r="F14211" s="76">
        <v>5</v>
      </c>
    </row>
    <row r="14212" s="76" customFormat="1" spans="1:6">
      <c r="A14212">
        <v>14517</v>
      </c>
      <c r="B14212">
        <v>652016270</v>
      </c>
      <c r="C14212" s="76">
        <v>2016</v>
      </c>
      <c r="D14212" s="76" t="s">
        <v>31</v>
      </c>
      <c r="E14212" s="76" t="s">
        <v>32</v>
      </c>
      <c r="F14212" s="76">
        <v>5</v>
      </c>
    </row>
    <row r="14213" s="76" customFormat="1" spans="1:6">
      <c r="A14213">
        <v>14518</v>
      </c>
      <c r="B14213">
        <v>652016270</v>
      </c>
      <c r="C14213" s="76">
        <v>2016</v>
      </c>
      <c r="D14213" s="76" t="s">
        <v>31</v>
      </c>
      <c r="E14213" s="76" t="s">
        <v>32</v>
      </c>
      <c r="F14213" s="76">
        <v>5</v>
      </c>
    </row>
    <row r="14214" s="76" customFormat="1" spans="1:6">
      <c r="A14214">
        <v>14520</v>
      </c>
      <c r="B14214">
        <v>652016270</v>
      </c>
      <c r="C14214" s="76">
        <v>2016</v>
      </c>
      <c r="D14214" s="76" t="s">
        <v>31</v>
      </c>
      <c r="E14214" s="76" t="s">
        <v>32</v>
      </c>
      <c r="F14214" s="76">
        <v>5</v>
      </c>
    </row>
    <row r="14215" s="76" customFormat="1" spans="1:6">
      <c r="A14215">
        <v>14529</v>
      </c>
      <c r="B14215">
        <v>652016270</v>
      </c>
      <c r="C14215" s="76">
        <v>2016</v>
      </c>
      <c r="D14215" s="76" t="s">
        <v>31</v>
      </c>
      <c r="E14215" s="76" t="s">
        <v>32</v>
      </c>
      <c r="F14215" s="76">
        <v>2</v>
      </c>
    </row>
    <row r="14216" s="76" customFormat="1" spans="1:6">
      <c r="A14216">
        <v>14524</v>
      </c>
      <c r="B14216">
        <v>652016270</v>
      </c>
      <c r="C14216" s="76">
        <v>2016</v>
      </c>
      <c r="D14216" s="76" t="s">
        <v>31</v>
      </c>
      <c r="E14216" s="76" t="s">
        <v>32</v>
      </c>
      <c r="F14216" s="76">
        <v>2</v>
      </c>
    </row>
    <row r="14217" s="76" customFormat="1" spans="1:6">
      <c r="A14217">
        <v>14560</v>
      </c>
      <c r="B14217">
        <v>652016270</v>
      </c>
      <c r="C14217" s="76">
        <v>2016</v>
      </c>
      <c r="D14217" s="76" t="s">
        <v>31</v>
      </c>
      <c r="E14217" s="76" t="s">
        <v>32</v>
      </c>
      <c r="F14217" s="76">
        <v>6</v>
      </c>
    </row>
    <row r="14218" s="76" customFormat="1" spans="1:6">
      <c r="A14218">
        <v>14527</v>
      </c>
      <c r="B14218">
        <v>652016270</v>
      </c>
      <c r="C14218" s="76">
        <v>2016</v>
      </c>
      <c r="D14218" s="76" t="s">
        <v>31</v>
      </c>
      <c r="E14218" s="76" t="s">
        <v>32</v>
      </c>
      <c r="F14218" s="76">
        <v>2</v>
      </c>
    </row>
    <row r="14219" s="76" customFormat="1" spans="1:6">
      <c r="A14219">
        <v>14614</v>
      </c>
      <c r="B14219">
        <v>652016270</v>
      </c>
      <c r="C14219" s="76">
        <v>2016</v>
      </c>
      <c r="D14219" s="76" t="s">
        <v>31</v>
      </c>
      <c r="E14219" s="76" t="s">
        <v>32</v>
      </c>
      <c r="F14219" s="76">
        <v>5</v>
      </c>
    </row>
    <row r="14220" s="76" customFormat="1" spans="1:6">
      <c r="A14220">
        <v>14544</v>
      </c>
      <c r="B14220">
        <v>652016270</v>
      </c>
      <c r="C14220" s="76">
        <v>2016</v>
      </c>
      <c r="D14220" s="76" t="s">
        <v>31</v>
      </c>
      <c r="E14220" s="76" t="s">
        <v>32</v>
      </c>
      <c r="F14220" s="76">
        <v>5</v>
      </c>
    </row>
    <row r="14221" s="76" customFormat="1" spans="1:6">
      <c r="A14221">
        <v>14526</v>
      </c>
      <c r="B14221">
        <v>652016270</v>
      </c>
      <c r="C14221" s="76">
        <v>2016</v>
      </c>
      <c r="D14221" s="76" t="s">
        <v>31</v>
      </c>
      <c r="E14221" s="76" t="s">
        <v>32</v>
      </c>
      <c r="F14221" s="76">
        <v>2</v>
      </c>
    </row>
    <row r="14222" s="76" customFormat="1" spans="1:6">
      <c r="A14222">
        <v>14534</v>
      </c>
      <c r="B14222">
        <v>652016270</v>
      </c>
      <c r="C14222" s="76">
        <v>2016</v>
      </c>
      <c r="D14222" s="76" t="s">
        <v>31</v>
      </c>
      <c r="E14222" s="76" t="s">
        <v>32</v>
      </c>
      <c r="F14222" s="76">
        <v>2</v>
      </c>
    </row>
    <row r="14223" s="76" customFormat="1" spans="1:6">
      <c r="A14223">
        <v>14582</v>
      </c>
      <c r="B14223">
        <v>652016270</v>
      </c>
      <c r="C14223" s="76">
        <v>2016</v>
      </c>
      <c r="D14223" s="76" t="s">
        <v>31</v>
      </c>
      <c r="E14223" s="76" t="s">
        <v>32</v>
      </c>
      <c r="F14223" s="76">
        <v>2</v>
      </c>
    </row>
    <row r="14224" s="76" customFormat="1" spans="1:6">
      <c r="A14224">
        <v>14592</v>
      </c>
      <c r="B14224">
        <v>652016270</v>
      </c>
      <c r="C14224" s="76">
        <v>2016</v>
      </c>
      <c r="D14224" s="76" t="s">
        <v>31</v>
      </c>
      <c r="E14224" s="76" t="s">
        <v>32</v>
      </c>
      <c r="F14224" s="76">
        <v>2</v>
      </c>
    </row>
    <row r="14225" s="76" customFormat="1" spans="1:6">
      <c r="A14225">
        <v>14557</v>
      </c>
      <c r="B14225">
        <v>652016270</v>
      </c>
      <c r="C14225" s="76">
        <v>2016</v>
      </c>
      <c r="D14225" s="76" t="s">
        <v>31</v>
      </c>
      <c r="E14225" s="76" t="s">
        <v>32</v>
      </c>
      <c r="F14225" s="76">
        <v>2</v>
      </c>
    </row>
    <row r="14226" s="76" customFormat="1" spans="1:6">
      <c r="A14226">
        <v>14596</v>
      </c>
      <c r="B14226">
        <v>652016270</v>
      </c>
      <c r="C14226" s="76">
        <v>2016</v>
      </c>
      <c r="D14226" s="76" t="s">
        <v>31</v>
      </c>
      <c r="E14226" s="76" t="s">
        <v>32</v>
      </c>
      <c r="F14226" s="76">
        <v>3</v>
      </c>
    </row>
    <row r="14227" s="76" customFormat="1" spans="1:6">
      <c r="A14227">
        <v>14549</v>
      </c>
      <c r="B14227">
        <v>652016270</v>
      </c>
      <c r="C14227" s="76">
        <v>2016</v>
      </c>
      <c r="D14227" s="76" t="s">
        <v>31</v>
      </c>
      <c r="E14227" s="76" t="s">
        <v>32</v>
      </c>
      <c r="F14227" s="76">
        <v>3</v>
      </c>
    </row>
    <row r="14228" s="76" customFormat="1" spans="1:6">
      <c r="A14228">
        <v>14589</v>
      </c>
      <c r="B14228">
        <v>652016270</v>
      </c>
      <c r="C14228" s="76">
        <v>2016</v>
      </c>
      <c r="D14228" s="76" t="s">
        <v>31</v>
      </c>
      <c r="E14228" s="76" t="s">
        <v>32</v>
      </c>
      <c r="F14228" s="76">
        <v>2</v>
      </c>
    </row>
    <row r="14229" s="76" customFormat="1" spans="1:6">
      <c r="A14229">
        <v>14539</v>
      </c>
      <c r="B14229">
        <v>652016270</v>
      </c>
      <c r="C14229" s="76">
        <v>2016</v>
      </c>
      <c r="D14229" s="76" t="s">
        <v>31</v>
      </c>
      <c r="E14229" s="76" t="s">
        <v>32</v>
      </c>
      <c r="F14229" s="76">
        <v>2</v>
      </c>
    </row>
    <row r="14230" s="76" customFormat="1" spans="1:6">
      <c r="A14230">
        <v>14540</v>
      </c>
      <c r="B14230">
        <v>652016270</v>
      </c>
      <c r="C14230" s="76">
        <v>2016</v>
      </c>
      <c r="D14230" s="76" t="s">
        <v>31</v>
      </c>
      <c r="E14230" s="76" t="s">
        <v>32</v>
      </c>
      <c r="F14230" s="76">
        <v>2</v>
      </c>
    </row>
    <row r="14231" s="76" customFormat="1" spans="1:6">
      <c r="A14231">
        <v>14571</v>
      </c>
      <c r="B14231">
        <v>652016270</v>
      </c>
      <c r="C14231" s="76">
        <v>2016</v>
      </c>
      <c r="D14231" s="76" t="s">
        <v>31</v>
      </c>
      <c r="E14231" s="76" t="s">
        <v>32</v>
      </c>
      <c r="F14231" s="76">
        <v>2</v>
      </c>
    </row>
    <row r="14232" s="76" customFormat="1" spans="1:6">
      <c r="A14232">
        <v>14570</v>
      </c>
      <c r="B14232">
        <v>652016270</v>
      </c>
      <c r="C14232" s="76">
        <v>2016</v>
      </c>
      <c r="D14232" s="76" t="s">
        <v>31</v>
      </c>
      <c r="E14232" s="76" t="s">
        <v>32</v>
      </c>
      <c r="F14232" s="76">
        <v>3</v>
      </c>
    </row>
    <row r="14233" s="76" customFormat="1" spans="1:6">
      <c r="A14233">
        <v>14568</v>
      </c>
      <c r="B14233">
        <v>652016270</v>
      </c>
      <c r="C14233" s="76">
        <v>2016</v>
      </c>
      <c r="D14233" s="76" t="s">
        <v>31</v>
      </c>
      <c r="E14233" s="76" t="s">
        <v>32</v>
      </c>
      <c r="F14233" s="76">
        <v>4</v>
      </c>
    </row>
    <row r="14234" s="76" customFormat="1" spans="1:6">
      <c r="A14234">
        <v>14566</v>
      </c>
      <c r="B14234">
        <v>652016270</v>
      </c>
      <c r="C14234" s="76">
        <v>2016</v>
      </c>
      <c r="D14234" s="76" t="s">
        <v>31</v>
      </c>
      <c r="E14234" s="76" t="s">
        <v>32</v>
      </c>
      <c r="F14234" s="76">
        <v>2</v>
      </c>
    </row>
    <row r="14235" s="76" customFormat="1" spans="1:6">
      <c r="A14235">
        <v>14588</v>
      </c>
      <c r="B14235">
        <v>652016270</v>
      </c>
      <c r="C14235" s="76">
        <v>2016</v>
      </c>
      <c r="D14235" s="76" t="s">
        <v>31</v>
      </c>
      <c r="E14235" s="76" t="s">
        <v>32</v>
      </c>
      <c r="F14235" s="76">
        <v>2</v>
      </c>
    </row>
    <row r="14236" s="76" customFormat="1" spans="1:6">
      <c r="A14236">
        <v>14530</v>
      </c>
      <c r="B14236">
        <v>652016270</v>
      </c>
      <c r="C14236" s="76">
        <v>2016</v>
      </c>
      <c r="D14236" s="76" t="s">
        <v>31</v>
      </c>
      <c r="E14236" s="76" t="s">
        <v>32</v>
      </c>
      <c r="F14236" s="76">
        <v>2</v>
      </c>
    </row>
    <row r="14237" s="76" customFormat="1" spans="1:6">
      <c r="A14237">
        <v>14532</v>
      </c>
      <c r="B14237">
        <v>652016270</v>
      </c>
      <c r="C14237" s="76">
        <v>2016</v>
      </c>
      <c r="D14237" s="76" t="s">
        <v>31</v>
      </c>
      <c r="E14237" s="76" t="s">
        <v>32</v>
      </c>
      <c r="F14237" s="76">
        <v>2</v>
      </c>
    </row>
    <row r="14238" s="76" customFormat="1" spans="1:6">
      <c r="A14238">
        <v>14609</v>
      </c>
      <c r="B14238">
        <v>652016270</v>
      </c>
      <c r="C14238" s="76">
        <v>2016</v>
      </c>
      <c r="D14238" s="76" t="s">
        <v>31</v>
      </c>
      <c r="E14238" s="76" t="s">
        <v>32</v>
      </c>
      <c r="F14238" s="76">
        <v>5</v>
      </c>
    </row>
    <row r="14239" s="76" customFormat="1" spans="1:6">
      <c r="A14239">
        <v>14610</v>
      </c>
      <c r="B14239">
        <v>652016270</v>
      </c>
      <c r="C14239" s="76">
        <v>2016</v>
      </c>
      <c r="D14239" s="76" t="s">
        <v>31</v>
      </c>
      <c r="E14239" s="76" t="s">
        <v>32</v>
      </c>
      <c r="F14239" s="76">
        <v>2</v>
      </c>
    </row>
    <row r="14240" s="76" customFormat="1" spans="1:6">
      <c r="A14240">
        <v>14564</v>
      </c>
      <c r="B14240">
        <v>652016270</v>
      </c>
      <c r="C14240" s="76">
        <v>2016</v>
      </c>
      <c r="D14240" s="76" t="s">
        <v>31</v>
      </c>
      <c r="E14240" s="76" t="s">
        <v>32</v>
      </c>
      <c r="F14240" s="76">
        <v>2</v>
      </c>
    </row>
    <row r="14241" s="76" customFormat="1" spans="1:6">
      <c r="A14241">
        <v>14551</v>
      </c>
      <c r="B14241">
        <v>652016270</v>
      </c>
      <c r="C14241" s="76">
        <v>2016</v>
      </c>
      <c r="D14241" s="76" t="s">
        <v>31</v>
      </c>
      <c r="E14241" s="76" t="s">
        <v>32</v>
      </c>
      <c r="F14241" s="76">
        <v>2</v>
      </c>
    </row>
    <row r="14242" s="76" customFormat="1" spans="1:6">
      <c r="A14242">
        <v>14558</v>
      </c>
      <c r="B14242">
        <v>652016270</v>
      </c>
      <c r="C14242" s="76">
        <v>2016</v>
      </c>
      <c r="D14242" s="76" t="s">
        <v>31</v>
      </c>
      <c r="E14242" s="76" t="s">
        <v>32</v>
      </c>
      <c r="F14242" s="76">
        <v>3</v>
      </c>
    </row>
    <row r="14243" s="76" customFormat="1" spans="1:6">
      <c r="A14243">
        <v>14597</v>
      </c>
      <c r="B14243">
        <v>652016270</v>
      </c>
      <c r="C14243" s="76">
        <v>2016</v>
      </c>
      <c r="D14243" s="76" t="s">
        <v>31</v>
      </c>
      <c r="E14243" s="76" t="s">
        <v>32</v>
      </c>
      <c r="F14243" s="76">
        <v>5</v>
      </c>
    </row>
    <row r="14244" s="76" customFormat="1" spans="1:6">
      <c r="A14244">
        <v>14612</v>
      </c>
      <c r="B14244">
        <v>652016270</v>
      </c>
      <c r="C14244" s="76">
        <v>2016</v>
      </c>
      <c r="D14244" s="76" t="s">
        <v>31</v>
      </c>
      <c r="E14244" s="76" t="s">
        <v>32</v>
      </c>
      <c r="F14244" s="76">
        <v>2</v>
      </c>
    </row>
    <row r="14245" s="76" customFormat="1" spans="1:6">
      <c r="A14245">
        <v>14531</v>
      </c>
      <c r="B14245">
        <v>652016270</v>
      </c>
      <c r="C14245" s="76">
        <v>2016</v>
      </c>
      <c r="D14245" s="76" t="s">
        <v>31</v>
      </c>
      <c r="E14245" s="76" t="s">
        <v>32</v>
      </c>
      <c r="F14245" s="76">
        <v>4</v>
      </c>
    </row>
    <row r="14246" s="76" customFormat="1" spans="1:6">
      <c r="A14246">
        <v>14576</v>
      </c>
      <c r="B14246">
        <v>652016270</v>
      </c>
      <c r="C14246" s="76">
        <v>2016</v>
      </c>
      <c r="D14246" s="76" t="s">
        <v>31</v>
      </c>
      <c r="E14246" s="76" t="s">
        <v>32</v>
      </c>
      <c r="F14246" s="76">
        <v>2</v>
      </c>
    </row>
    <row r="14247" s="76" customFormat="1" spans="1:6">
      <c r="A14247">
        <v>14626</v>
      </c>
      <c r="B14247">
        <v>652017110</v>
      </c>
      <c r="C14247" s="76">
        <v>2017</v>
      </c>
      <c r="D14247" s="76" t="s">
        <v>40</v>
      </c>
      <c r="E14247" s="76" t="s">
        <v>32</v>
      </c>
      <c r="F14247" s="76">
        <v>10</v>
      </c>
    </row>
    <row r="14248" s="76" customFormat="1" spans="1:6">
      <c r="A14248">
        <v>14624</v>
      </c>
      <c r="B14248">
        <v>652017110</v>
      </c>
      <c r="C14248" s="76">
        <v>2017</v>
      </c>
      <c r="D14248" s="76" t="s">
        <v>40</v>
      </c>
      <c r="E14248" s="76" t="s">
        <v>32</v>
      </c>
      <c r="F14248" s="76">
        <v>0.2</v>
      </c>
    </row>
    <row r="14249" s="76" customFormat="1" spans="1:6">
      <c r="A14249">
        <v>14620</v>
      </c>
      <c r="B14249">
        <v>652017110</v>
      </c>
      <c r="C14249" s="76">
        <v>2017</v>
      </c>
      <c r="D14249" s="76" t="s">
        <v>40</v>
      </c>
      <c r="E14249" s="76" t="s">
        <v>32</v>
      </c>
      <c r="F14249" s="76">
        <v>2.4</v>
      </c>
    </row>
    <row r="14250" s="76" customFormat="1" spans="1:6">
      <c r="A14250">
        <v>14628</v>
      </c>
      <c r="B14250">
        <v>652017110</v>
      </c>
      <c r="C14250" s="76">
        <v>2017</v>
      </c>
      <c r="D14250" s="76" t="s">
        <v>40</v>
      </c>
      <c r="E14250" s="76" t="s">
        <v>32</v>
      </c>
      <c r="F14250" s="76">
        <v>11.61</v>
      </c>
    </row>
    <row r="14251" s="76" customFormat="1" spans="1:6">
      <c r="A14251">
        <v>14622</v>
      </c>
      <c r="B14251">
        <v>652017110</v>
      </c>
      <c r="C14251" s="76">
        <v>2017</v>
      </c>
      <c r="D14251" s="76" t="s">
        <v>40</v>
      </c>
      <c r="E14251" s="76" t="s">
        <v>32</v>
      </c>
      <c r="F14251" s="76">
        <v>4.98</v>
      </c>
    </row>
    <row r="14252" s="76" customFormat="1" spans="1:6">
      <c r="A14252">
        <v>14623</v>
      </c>
      <c r="B14252">
        <v>652017110</v>
      </c>
      <c r="C14252" s="76">
        <v>2017</v>
      </c>
      <c r="D14252" s="76" t="s">
        <v>40</v>
      </c>
      <c r="E14252" s="76" t="s">
        <v>32</v>
      </c>
      <c r="F14252" s="76">
        <v>5</v>
      </c>
    </row>
    <row r="14253" s="76" customFormat="1" spans="1:6">
      <c r="A14253">
        <v>14625</v>
      </c>
      <c r="B14253">
        <v>652017110</v>
      </c>
      <c r="C14253" s="76">
        <v>2017</v>
      </c>
      <c r="D14253" s="76" t="s">
        <v>40</v>
      </c>
      <c r="E14253" s="76" t="s">
        <v>32</v>
      </c>
      <c r="F14253" s="76">
        <v>0.49</v>
      </c>
    </row>
    <row r="14254" s="76" customFormat="1" spans="1:6">
      <c r="A14254">
        <v>14627</v>
      </c>
      <c r="B14254">
        <v>652017110</v>
      </c>
      <c r="C14254" s="76">
        <v>2017</v>
      </c>
      <c r="D14254" s="76" t="s">
        <v>40</v>
      </c>
      <c r="E14254" s="76" t="s">
        <v>32</v>
      </c>
      <c r="F14254" s="76">
        <v>10</v>
      </c>
    </row>
    <row r="14255" s="76" customFormat="1" spans="1:6">
      <c r="A14255">
        <v>14632</v>
      </c>
      <c r="B14255">
        <v>652017211</v>
      </c>
      <c r="C14255" s="76">
        <v>2017</v>
      </c>
      <c r="D14255" s="76" t="s">
        <v>37</v>
      </c>
      <c r="E14255" s="76" t="s">
        <v>32</v>
      </c>
      <c r="F14255" s="76">
        <v>1.5</v>
      </c>
    </row>
    <row r="14256" s="76" customFormat="1" spans="1:6">
      <c r="A14256">
        <v>14637</v>
      </c>
      <c r="B14256">
        <v>652017211</v>
      </c>
      <c r="C14256" s="76">
        <v>2017</v>
      </c>
      <c r="D14256" s="76" t="s">
        <v>37</v>
      </c>
      <c r="E14256" s="76" t="s">
        <v>32</v>
      </c>
      <c r="F14256" s="76">
        <v>66</v>
      </c>
    </row>
    <row r="14257" s="76" customFormat="1" spans="1:6">
      <c r="A14257">
        <v>14633</v>
      </c>
      <c r="B14257">
        <v>652017211</v>
      </c>
      <c r="C14257" s="76">
        <v>2017</v>
      </c>
      <c r="D14257" s="76" t="s">
        <v>37</v>
      </c>
      <c r="E14257" s="76" t="s">
        <v>32</v>
      </c>
      <c r="F14257" s="76">
        <v>66</v>
      </c>
    </row>
    <row r="14258" s="76" customFormat="1" spans="1:6">
      <c r="A14258">
        <v>14636</v>
      </c>
      <c r="B14258">
        <v>652017211</v>
      </c>
      <c r="C14258" s="76">
        <v>2017</v>
      </c>
      <c r="D14258" s="76" t="s">
        <v>37</v>
      </c>
      <c r="E14258" s="76" t="s">
        <v>32</v>
      </c>
      <c r="F14258" s="76">
        <v>70</v>
      </c>
    </row>
    <row r="14259" s="76" customFormat="1" spans="1:6">
      <c r="A14259">
        <v>14634</v>
      </c>
      <c r="B14259">
        <v>652017211</v>
      </c>
      <c r="C14259" s="76">
        <v>2017</v>
      </c>
      <c r="D14259" s="76" t="s">
        <v>37</v>
      </c>
      <c r="E14259" s="76" t="s">
        <v>32</v>
      </c>
      <c r="F14259" s="76">
        <v>35</v>
      </c>
    </row>
    <row r="14260" s="76" customFormat="1" spans="1:6">
      <c r="A14260">
        <v>14635</v>
      </c>
      <c r="B14260">
        <v>652017211</v>
      </c>
      <c r="C14260" s="76">
        <v>2017</v>
      </c>
      <c r="D14260" s="76" t="s">
        <v>37</v>
      </c>
      <c r="E14260" s="76" t="s">
        <v>32</v>
      </c>
      <c r="F14260" s="76">
        <v>70</v>
      </c>
    </row>
    <row r="14261" s="76" customFormat="1" spans="1:6">
      <c r="A14261">
        <v>14631</v>
      </c>
      <c r="B14261">
        <v>652017211</v>
      </c>
      <c r="C14261" s="76">
        <v>2017</v>
      </c>
      <c r="D14261" s="76" t="s">
        <v>37</v>
      </c>
      <c r="E14261" s="76" t="s">
        <v>32</v>
      </c>
      <c r="F14261" s="76">
        <v>33</v>
      </c>
    </row>
    <row r="14262" s="76" customFormat="1" spans="1:6">
      <c r="A14262">
        <v>14630</v>
      </c>
      <c r="B14262">
        <v>652017211</v>
      </c>
      <c r="C14262" s="76">
        <v>2017</v>
      </c>
      <c r="D14262" s="76" t="s">
        <v>37</v>
      </c>
      <c r="E14262" s="76" t="s">
        <v>32</v>
      </c>
      <c r="F14262" s="76">
        <v>70</v>
      </c>
    </row>
    <row r="14263" s="76" customFormat="1" spans="1:6">
      <c r="A14263">
        <v>14629</v>
      </c>
      <c r="B14263">
        <v>652017211</v>
      </c>
      <c r="C14263" s="76">
        <v>2017</v>
      </c>
      <c r="D14263" s="76" t="s">
        <v>37</v>
      </c>
      <c r="E14263" s="76">
        <v>1</v>
      </c>
      <c r="F14263" s="76">
        <v>35</v>
      </c>
    </row>
    <row r="14264" s="76" customFormat="1" spans="1:6">
      <c r="A14264">
        <v>14638</v>
      </c>
      <c r="B14264">
        <v>652017221</v>
      </c>
      <c r="C14264" s="76">
        <v>2017</v>
      </c>
      <c r="D14264" s="76" t="s">
        <v>30</v>
      </c>
      <c r="E14264" s="76" t="s">
        <v>32</v>
      </c>
      <c r="F14264" s="76">
        <v>12.3</v>
      </c>
    </row>
    <row r="14265" s="76" customFormat="1" spans="1:6">
      <c r="A14265">
        <v>14639</v>
      </c>
      <c r="B14265">
        <v>652017241</v>
      </c>
      <c r="C14265" s="76">
        <v>2017</v>
      </c>
      <c r="D14265" s="76" t="s">
        <v>33</v>
      </c>
      <c r="E14265" s="76" t="s">
        <v>32</v>
      </c>
      <c r="F14265" s="76">
        <v>3</v>
      </c>
    </row>
    <row r="14266" s="76" customFormat="1" spans="1:6">
      <c r="A14266">
        <v>14641</v>
      </c>
      <c r="B14266">
        <v>652017260</v>
      </c>
      <c r="C14266" s="76">
        <v>2017</v>
      </c>
      <c r="D14266" s="76" t="s">
        <v>34</v>
      </c>
      <c r="E14266" s="76" t="s">
        <v>32</v>
      </c>
      <c r="F14266" s="76">
        <v>4.95</v>
      </c>
    </row>
    <row r="14267" s="76" customFormat="1" spans="1:6">
      <c r="A14267">
        <v>14642</v>
      </c>
      <c r="B14267">
        <v>652017260</v>
      </c>
      <c r="C14267" s="76">
        <v>2017</v>
      </c>
      <c r="D14267" s="76" t="s">
        <v>34</v>
      </c>
      <c r="E14267" s="76" t="s">
        <v>32</v>
      </c>
      <c r="F14267" s="76">
        <v>20</v>
      </c>
    </row>
    <row r="14268" s="76" customFormat="1" spans="1:6">
      <c r="A14268">
        <v>14640</v>
      </c>
      <c r="B14268">
        <v>652017260</v>
      </c>
      <c r="C14268" s="76">
        <v>2017</v>
      </c>
      <c r="D14268" s="76" t="s">
        <v>34</v>
      </c>
      <c r="E14268" s="76" t="s">
        <v>32</v>
      </c>
      <c r="F14268" s="76">
        <v>4.95</v>
      </c>
    </row>
    <row r="14269" s="76" customFormat="1" spans="1:6">
      <c r="A14269">
        <v>14652</v>
      </c>
      <c r="B14269">
        <v>652017270</v>
      </c>
      <c r="C14269" s="76">
        <v>2017</v>
      </c>
      <c r="D14269" s="76" t="s">
        <v>31</v>
      </c>
      <c r="E14269" s="76" t="s">
        <v>32</v>
      </c>
      <c r="F14269" s="76">
        <v>0.06</v>
      </c>
    </row>
    <row r="14270" s="76" customFormat="1" spans="1:6">
      <c r="A14270">
        <v>14650</v>
      </c>
      <c r="B14270">
        <v>652017270</v>
      </c>
      <c r="C14270" s="76">
        <v>2017</v>
      </c>
      <c r="D14270" s="76" t="s">
        <v>31</v>
      </c>
      <c r="E14270" s="76" t="s">
        <v>32</v>
      </c>
      <c r="F14270" s="76">
        <v>2</v>
      </c>
    </row>
    <row r="14271" s="76" customFormat="1" spans="1:6">
      <c r="A14271">
        <v>14646</v>
      </c>
      <c r="B14271">
        <v>652017270</v>
      </c>
      <c r="C14271" s="76">
        <v>2017</v>
      </c>
      <c r="D14271" s="76" t="s">
        <v>31</v>
      </c>
      <c r="E14271" s="76" t="s">
        <v>32</v>
      </c>
      <c r="F14271" s="76">
        <v>3</v>
      </c>
    </row>
    <row r="14272" s="76" customFormat="1" spans="1:6">
      <c r="A14272">
        <v>14651</v>
      </c>
      <c r="B14272">
        <v>652017270</v>
      </c>
      <c r="C14272" s="76">
        <v>2017</v>
      </c>
      <c r="D14272" s="76" t="s">
        <v>31</v>
      </c>
      <c r="E14272" s="76" t="s">
        <v>32</v>
      </c>
      <c r="F14272" s="76">
        <v>2</v>
      </c>
    </row>
    <row r="14273" s="76" customFormat="1" spans="1:6">
      <c r="A14273">
        <v>14648</v>
      </c>
      <c r="B14273">
        <v>652017270</v>
      </c>
      <c r="C14273" s="76">
        <v>2017</v>
      </c>
      <c r="D14273" s="76" t="s">
        <v>31</v>
      </c>
      <c r="E14273" s="76" t="s">
        <v>32</v>
      </c>
      <c r="F14273" s="76">
        <v>2</v>
      </c>
    </row>
    <row r="14274" s="76" customFormat="1" spans="1:6">
      <c r="A14274">
        <v>14647</v>
      </c>
      <c r="B14274">
        <v>652017270</v>
      </c>
      <c r="C14274" s="76">
        <v>2017</v>
      </c>
      <c r="D14274" s="76" t="s">
        <v>31</v>
      </c>
      <c r="E14274" s="76" t="s">
        <v>32</v>
      </c>
      <c r="F14274" s="76">
        <v>2</v>
      </c>
    </row>
    <row r="14275" s="76" customFormat="1" spans="1:6">
      <c r="A14275">
        <v>14644</v>
      </c>
      <c r="B14275">
        <v>652017270</v>
      </c>
      <c r="C14275" s="76">
        <v>2017</v>
      </c>
      <c r="D14275" s="76" t="s">
        <v>31</v>
      </c>
      <c r="E14275" s="76" t="s">
        <v>32</v>
      </c>
      <c r="F14275" s="76">
        <v>2</v>
      </c>
    </row>
    <row r="14276" s="76" customFormat="1" spans="1:6">
      <c r="A14276">
        <v>14649</v>
      </c>
      <c r="B14276">
        <v>652017270</v>
      </c>
      <c r="C14276" s="76">
        <v>2017</v>
      </c>
      <c r="D14276" s="76" t="s">
        <v>31</v>
      </c>
      <c r="E14276" s="76" t="s">
        <v>32</v>
      </c>
      <c r="F14276" s="76">
        <v>2</v>
      </c>
    </row>
    <row r="14277" s="76" customFormat="1" spans="1:6">
      <c r="A14277">
        <v>14643</v>
      </c>
      <c r="B14277">
        <v>652017270</v>
      </c>
      <c r="C14277" s="76">
        <v>2017</v>
      </c>
      <c r="D14277" s="76" t="s">
        <v>31</v>
      </c>
      <c r="E14277" s="76" t="s">
        <v>32</v>
      </c>
      <c r="F14277" s="76">
        <v>5</v>
      </c>
    </row>
    <row r="14278" s="76" customFormat="1" spans="1:6">
      <c r="A14278">
        <v>14657</v>
      </c>
      <c r="B14278">
        <v>652018110</v>
      </c>
      <c r="C14278" s="76">
        <v>2018</v>
      </c>
      <c r="D14278" s="76" t="s">
        <v>40</v>
      </c>
      <c r="E14278" s="76" t="s">
        <v>32</v>
      </c>
      <c r="F14278" s="76">
        <v>1.23</v>
      </c>
    </row>
    <row r="14279" s="76" customFormat="1" spans="1:6">
      <c r="A14279">
        <v>14655</v>
      </c>
      <c r="B14279">
        <v>652018110</v>
      </c>
      <c r="C14279" s="76">
        <v>2018</v>
      </c>
      <c r="D14279" s="76" t="s">
        <v>40</v>
      </c>
      <c r="E14279" s="76" t="s">
        <v>32</v>
      </c>
      <c r="F14279" s="76">
        <v>0.23</v>
      </c>
    </row>
    <row r="14280" s="76" customFormat="1" spans="1:6">
      <c r="A14280">
        <v>14656</v>
      </c>
      <c r="B14280">
        <v>652018110</v>
      </c>
      <c r="C14280" s="76">
        <v>2018</v>
      </c>
      <c r="D14280" s="76" t="s">
        <v>40</v>
      </c>
      <c r="E14280" s="76" t="s">
        <v>32</v>
      </c>
      <c r="F14280" s="76">
        <v>0.58</v>
      </c>
    </row>
    <row r="14281" s="76" customFormat="1" spans="1:6">
      <c r="A14281">
        <v>14653</v>
      </c>
      <c r="B14281">
        <v>652018110</v>
      </c>
      <c r="C14281" s="76">
        <v>2018</v>
      </c>
      <c r="D14281" s="76" t="s">
        <v>40</v>
      </c>
      <c r="E14281" s="76" t="s">
        <v>32</v>
      </c>
      <c r="F14281" s="76">
        <v>5</v>
      </c>
    </row>
    <row r="14282" s="76" customFormat="1" spans="1:6">
      <c r="A14282">
        <v>14662</v>
      </c>
      <c r="B14282">
        <v>652018211</v>
      </c>
      <c r="C14282" s="76">
        <v>2018</v>
      </c>
      <c r="D14282" s="76" t="s">
        <v>37</v>
      </c>
      <c r="E14282" s="76" t="s">
        <v>32</v>
      </c>
      <c r="F14282" s="76">
        <v>15</v>
      </c>
    </row>
    <row r="14283" s="76" customFormat="1" spans="1:6">
      <c r="A14283">
        <v>14658</v>
      </c>
      <c r="B14283">
        <v>652018211</v>
      </c>
      <c r="C14283" s="76">
        <v>2018</v>
      </c>
      <c r="D14283" s="76" t="s">
        <v>37</v>
      </c>
      <c r="E14283" s="76">
        <v>1</v>
      </c>
      <c r="F14283" s="76">
        <v>66</v>
      </c>
    </row>
    <row r="14284" s="76" customFormat="1" spans="1:6">
      <c r="A14284">
        <v>14659</v>
      </c>
      <c r="B14284">
        <v>652018211</v>
      </c>
      <c r="C14284" s="76">
        <v>2018</v>
      </c>
      <c r="D14284" s="76" t="s">
        <v>37</v>
      </c>
      <c r="E14284" s="76">
        <v>1</v>
      </c>
      <c r="F14284" s="76">
        <v>35</v>
      </c>
    </row>
    <row r="14285" s="76" customFormat="1" spans="1:6">
      <c r="A14285">
        <v>14661</v>
      </c>
      <c r="B14285">
        <v>652018211</v>
      </c>
      <c r="C14285" s="76">
        <v>2018</v>
      </c>
      <c r="D14285" s="76" t="s">
        <v>37</v>
      </c>
      <c r="E14285" s="76">
        <v>2</v>
      </c>
      <c r="F14285" s="76">
        <v>70</v>
      </c>
    </row>
    <row r="14286" s="76" customFormat="1" spans="1:6">
      <c r="A14286">
        <v>14660</v>
      </c>
      <c r="B14286">
        <v>652018211</v>
      </c>
      <c r="C14286" s="76">
        <v>2018</v>
      </c>
      <c r="D14286" s="76" t="s">
        <v>37</v>
      </c>
      <c r="E14286" s="76" t="s">
        <v>32</v>
      </c>
      <c r="F14286" s="76">
        <v>22</v>
      </c>
    </row>
    <row r="14287" s="76" customFormat="1" spans="1:6">
      <c r="A14287">
        <v>14663</v>
      </c>
      <c r="B14287">
        <v>652018221</v>
      </c>
      <c r="C14287" s="76">
        <v>2018</v>
      </c>
      <c r="D14287" s="76" t="s">
        <v>30</v>
      </c>
      <c r="E14287" s="76" t="s">
        <v>32</v>
      </c>
      <c r="F14287" s="76">
        <v>1.18</v>
      </c>
    </row>
    <row r="14288" s="76" customFormat="1" spans="1:6">
      <c r="A14288">
        <v>14664</v>
      </c>
      <c r="B14288">
        <v>652018241</v>
      </c>
      <c r="C14288" s="76">
        <v>2018</v>
      </c>
      <c r="D14288" s="76" t="s">
        <v>33</v>
      </c>
      <c r="E14288" s="76" t="s">
        <v>32</v>
      </c>
      <c r="F14288" s="76">
        <v>3</v>
      </c>
    </row>
    <row r="14289" s="76" customFormat="1" spans="1:6">
      <c r="A14289">
        <v>14665</v>
      </c>
      <c r="B14289">
        <v>652018241</v>
      </c>
      <c r="C14289" s="76">
        <v>2018</v>
      </c>
      <c r="D14289" s="76" t="s">
        <v>33</v>
      </c>
      <c r="E14289" s="76" t="s">
        <v>32</v>
      </c>
      <c r="F14289" s="76">
        <v>1.65</v>
      </c>
    </row>
    <row r="14290" s="76" customFormat="1" spans="1:6">
      <c r="A14290">
        <v>14669</v>
      </c>
      <c r="B14290">
        <v>652018260</v>
      </c>
      <c r="C14290" s="76">
        <v>2018</v>
      </c>
      <c r="D14290" s="76" t="s">
        <v>34</v>
      </c>
      <c r="E14290" s="76" t="s">
        <v>32</v>
      </c>
      <c r="F14290" s="76">
        <v>4.95</v>
      </c>
    </row>
    <row r="14291" s="76" customFormat="1" spans="1:6">
      <c r="A14291">
        <v>14667</v>
      </c>
      <c r="B14291">
        <v>652018260</v>
      </c>
      <c r="C14291" s="76">
        <v>2018</v>
      </c>
      <c r="D14291" s="76" t="s">
        <v>34</v>
      </c>
      <c r="E14291" s="76">
        <v>133</v>
      </c>
      <c r="F14291" s="76">
        <v>19.5</v>
      </c>
    </row>
    <row r="14292" s="76" customFormat="1" spans="1:6">
      <c r="A14292">
        <v>14668</v>
      </c>
      <c r="B14292">
        <v>652018260</v>
      </c>
      <c r="C14292" s="76">
        <v>2018</v>
      </c>
      <c r="D14292" s="76" t="s">
        <v>34</v>
      </c>
      <c r="E14292" s="76" t="s">
        <v>32</v>
      </c>
      <c r="F14292" s="76">
        <v>9.9</v>
      </c>
    </row>
    <row r="14293" s="76" customFormat="1" spans="1:6">
      <c r="A14293">
        <v>14671</v>
      </c>
      <c r="B14293">
        <v>652018260</v>
      </c>
      <c r="C14293" s="76">
        <v>2018</v>
      </c>
      <c r="D14293" s="76" t="s">
        <v>34</v>
      </c>
      <c r="E14293" s="76" t="s">
        <v>32</v>
      </c>
      <c r="F14293" s="76">
        <v>9.9</v>
      </c>
    </row>
    <row r="14294" s="76" customFormat="1" spans="1:6">
      <c r="A14294">
        <v>14670</v>
      </c>
      <c r="B14294">
        <v>652018260</v>
      </c>
      <c r="C14294" s="76">
        <v>2018</v>
      </c>
      <c r="D14294" s="76" t="s">
        <v>34</v>
      </c>
      <c r="E14294" s="76" t="s">
        <v>32</v>
      </c>
      <c r="F14294" s="76">
        <v>10</v>
      </c>
    </row>
    <row r="14295" s="76" customFormat="1" spans="1:6">
      <c r="A14295">
        <v>14672</v>
      </c>
      <c r="B14295">
        <v>652018260</v>
      </c>
      <c r="C14295" s="76">
        <v>2018</v>
      </c>
      <c r="D14295" s="76" t="s">
        <v>34</v>
      </c>
      <c r="E14295" s="76" t="s">
        <v>32</v>
      </c>
      <c r="F14295" s="76">
        <v>20</v>
      </c>
    </row>
    <row r="14296" s="76" customFormat="1" spans="1:6">
      <c r="A14296">
        <v>14680</v>
      </c>
      <c r="B14296">
        <v>652018270</v>
      </c>
      <c r="C14296" s="76">
        <v>2018</v>
      </c>
      <c r="D14296" s="76" t="s">
        <v>31</v>
      </c>
      <c r="E14296" s="76" t="s">
        <v>32</v>
      </c>
      <c r="F14296" s="76">
        <v>3</v>
      </c>
    </row>
    <row r="14297" s="76" customFormat="1" spans="1:6">
      <c r="A14297">
        <v>14681</v>
      </c>
      <c r="B14297">
        <v>652018270</v>
      </c>
      <c r="C14297" s="76">
        <v>2018</v>
      </c>
      <c r="D14297" s="76" t="s">
        <v>31</v>
      </c>
      <c r="E14297" s="76" t="s">
        <v>32</v>
      </c>
      <c r="F14297" s="76">
        <v>3</v>
      </c>
    </row>
    <row r="14298" s="76" customFormat="1" spans="1:6">
      <c r="A14298">
        <v>14686</v>
      </c>
      <c r="B14298">
        <v>652018270</v>
      </c>
      <c r="C14298" s="76">
        <v>2018</v>
      </c>
      <c r="D14298" s="76" t="s">
        <v>31</v>
      </c>
      <c r="E14298" s="76" t="s">
        <v>32</v>
      </c>
      <c r="F14298" s="76">
        <v>4</v>
      </c>
    </row>
    <row r="14299" s="76" customFormat="1" spans="1:6">
      <c r="A14299">
        <v>14678</v>
      </c>
      <c r="B14299">
        <v>652018270</v>
      </c>
      <c r="C14299" s="76">
        <v>2018</v>
      </c>
      <c r="D14299" s="76" t="s">
        <v>31</v>
      </c>
      <c r="E14299" s="76" t="s">
        <v>32</v>
      </c>
      <c r="F14299" s="76">
        <v>2</v>
      </c>
    </row>
    <row r="14300" s="76" customFormat="1" spans="1:6">
      <c r="A14300">
        <v>14682</v>
      </c>
      <c r="B14300">
        <v>652018270</v>
      </c>
      <c r="C14300" s="76">
        <v>2018</v>
      </c>
      <c r="D14300" s="76" t="s">
        <v>31</v>
      </c>
      <c r="E14300" s="76" t="s">
        <v>32</v>
      </c>
      <c r="F14300" s="76">
        <v>2</v>
      </c>
    </row>
    <row r="14301" s="76" customFormat="1" spans="1:6">
      <c r="A14301">
        <v>14675</v>
      </c>
      <c r="B14301">
        <v>652018270</v>
      </c>
      <c r="C14301" s="76">
        <v>2018</v>
      </c>
      <c r="D14301" s="76" t="s">
        <v>31</v>
      </c>
      <c r="E14301" s="76" t="s">
        <v>32</v>
      </c>
      <c r="F14301" s="76">
        <v>2</v>
      </c>
    </row>
    <row r="14302" s="76" customFormat="1" spans="1:6">
      <c r="A14302">
        <v>14683</v>
      </c>
      <c r="B14302">
        <v>652018270</v>
      </c>
      <c r="C14302" s="76">
        <v>2018</v>
      </c>
      <c r="D14302" s="76" t="s">
        <v>31</v>
      </c>
      <c r="E14302" s="76" t="s">
        <v>32</v>
      </c>
      <c r="F14302" s="76">
        <v>2</v>
      </c>
    </row>
    <row r="14303" s="76" customFormat="1" spans="1:6">
      <c r="A14303">
        <v>14693</v>
      </c>
      <c r="B14303">
        <v>652018270</v>
      </c>
      <c r="C14303" s="76">
        <v>2018</v>
      </c>
      <c r="D14303" s="76" t="s">
        <v>31</v>
      </c>
      <c r="E14303" s="76" t="s">
        <v>32</v>
      </c>
      <c r="F14303" s="76">
        <v>10</v>
      </c>
    </row>
    <row r="14304" s="76" customFormat="1" spans="1:6">
      <c r="A14304">
        <v>14694</v>
      </c>
      <c r="B14304">
        <v>652018270</v>
      </c>
      <c r="C14304" s="76">
        <v>2018</v>
      </c>
      <c r="D14304" s="76" t="s">
        <v>31</v>
      </c>
      <c r="E14304" s="76" t="s">
        <v>32</v>
      </c>
      <c r="F14304" s="76">
        <v>5</v>
      </c>
    </row>
    <row r="14305" s="76" customFormat="1" spans="1:6">
      <c r="A14305">
        <v>14684</v>
      </c>
      <c r="B14305">
        <v>652018270</v>
      </c>
      <c r="C14305" s="76">
        <v>2018</v>
      </c>
      <c r="D14305" s="76" t="s">
        <v>31</v>
      </c>
      <c r="E14305" s="76" t="s">
        <v>32</v>
      </c>
      <c r="F14305" s="76">
        <v>6</v>
      </c>
    </row>
    <row r="14306" s="76" customFormat="1" spans="1:6">
      <c r="A14306">
        <v>14685</v>
      </c>
      <c r="B14306">
        <v>652018270</v>
      </c>
      <c r="C14306" s="76">
        <v>2018</v>
      </c>
      <c r="D14306" s="76" t="s">
        <v>31</v>
      </c>
      <c r="E14306" s="76" t="s">
        <v>32</v>
      </c>
      <c r="F14306" s="76">
        <v>4</v>
      </c>
    </row>
    <row r="14307" s="76" customFormat="1" spans="1:6">
      <c r="A14307">
        <v>14677</v>
      </c>
      <c r="B14307">
        <v>652018270</v>
      </c>
      <c r="C14307" s="76">
        <v>2018</v>
      </c>
      <c r="D14307" s="76" t="s">
        <v>31</v>
      </c>
      <c r="E14307" s="76" t="s">
        <v>32</v>
      </c>
      <c r="F14307" s="76">
        <v>2</v>
      </c>
    </row>
    <row r="14308" s="76" customFormat="1" spans="1:6">
      <c r="A14308">
        <v>14676</v>
      </c>
      <c r="B14308">
        <v>652018270</v>
      </c>
      <c r="C14308" s="76">
        <v>2018</v>
      </c>
      <c r="D14308" s="76" t="s">
        <v>31</v>
      </c>
      <c r="E14308" s="76" t="s">
        <v>32</v>
      </c>
      <c r="F14308" s="76">
        <v>2</v>
      </c>
    </row>
    <row r="14309" s="76" customFormat="1" spans="1:6">
      <c r="A14309">
        <v>14673</v>
      </c>
      <c r="B14309">
        <v>652018270</v>
      </c>
      <c r="C14309" s="76">
        <v>2018</v>
      </c>
      <c r="D14309" s="76" t="s">
        <v>31</v>
      </c>
      <c r="E14309" s="76" t="s">
        <v>32</v>
      </c>
      <c r="F14309" s="76">
        <v>1.5</v>
      </c>
    </row>
    <row r="14310" s="76" customFormat="1" spans="1:6">
      <c r="A14310">
        <v>14692</v>
      </c>
      <c r="B14310">
        <v>652018270</v>
      </c>
      <c r="C14310" s="76">
        <v>2018</v>
      </c>
      <c r="D14310" s="76" t="s">
        <v>31</v>
      </c>
      <c r="E14310" s="76" t="s">
        <v>32</v>
      </c>
      <c r="F14310" s="76">
        <v>4</v>
      </c>
    </row>
    <row r="14311" s="76" customFormat="1" spans="1:6">
      <c r="A14311">
        <v>14688</v>
      </c>
      <c r="B14311">
        <v>652018270</v>
      </c>
      <c r="C14311" s="76">
        <v>2018</v>
      </c>
      <c r="D14311" s="76" t="s">
        <v>31</v>
      </c>
      <c r="E14311" s="76" t="s">
        <v>32</v>
      </c>
      <c r="F14311" s="76">
        <v>2</v>
      </c>
    </row>
    <row r="14312" s="76" customFormat="1" spans="1:6">
      <c r="A14312">
        <v>14679</v>
      </c>
      <c r="B14312">
        <v>652018270</v>
      </c>
      <c r="C14312" s="76">
        <v>2018</v>
      </c>
      <c r="D14312" s="76" t="s">
        <v>31</v>
      </c>
      <c r="E14312" s="76" t="s">
        <v>32</v>
      </c>
      <c r="F14312" s="76">
        <v>2</v>
      </c>
    </row>
    <row r="14313" s="76" customFormat="1" spans="1:6">
      <c r="A14313">
        <v>14691</v>
      </c>
      <c r="B14313">
        <v>652018270</v>
      </c>
      <c r="C14313" s="76">
        <v>2018</v>
      </c>
      <c r="D14313" s="76" t="s">
        <v>31</v>
      </c>
      <c r="E14313" s="76" t="s">
        <v>32</v>
      </c>
      <c r="F14313" s="76">
        <v>2</v>
      </c>
    </row>
    <row r="14314" s="76" customFormat="1" spans="1:6">
      <c r="A14314">
        <v>14695</v>
      </c>
      <c r="B14314">
        <v>652018270</v>
      </c>
      <c r="C14314" s="76">
        <v>2018</v>
      </c>
      <c r="D14314" s="76" t="s">
        <v>31</v>
      </c>
      <c r="E14314" s="76" t="s">
        <v>32</v>
      </c>
      <c r="F14314" s="76">
        <v>3</v>
      </c>
    </row>
    <row r="14315" s="76" customFormat="1" spans="1:6">
      <c r="A14315">
        <v>14674</v>
      </c>
      <c r="B14315">
        <v>652018270</v>
      </c>
      <c r="C14315" s="76">
        <v>2018</v>
      </c>
      <c r="D14315" s="76" t="s">
        <v>31</v>
      </c>
      <c r="E14315" s="76" t="s">
        <v>32</v>
      </c>
      <c r="F14315" s="76">
        <v>5</v>
      </c>
    </row>
    <row r="14316" s="76" customFormat="1" spans="1:6">
      <c r="A14316">
        <v>14689</v>
      </c>
      <c r="B14316">
        <v>652018270</v>
      </c>
      <c r="C14316" s="76">
        <v>2018</v>
      </c>
      <c r="D14316" s="76" t="s">
        <v>31</v>
      </c>
      <c r="E14316" s="76" t="s">
        <v>32</v>
      </c>
      <c r="F14316" s="76">
        <v>10</v>
      </c>
    </row>
    <row r="14317" s="76" customFormat="1" spans="1:6">
      <c r="A14317">
        <v>14690</v>
      </c>
      <c r="B14317">
        <v>652018270</v>
      </c>
      <c r="C14317" s="76">
        <v>2018</v>
      </c>
      <c r="D14317" s="76" t="s">
        <v>31</v>
      </c>
      <c r="E14317" s="76" t="s">
        <v>32</v>
      </c>
      <c r="F14317" s="76">
        <v>10</v>
      </c>
    </row>
    <row r="14318" s="76" customFormat="1" spans="1:6">
      <c r="A14318">
        <v>14702</v>
      </c>
      <c r="B14318">
        <v>652019110</v>
      </c>
      <c r="C14318" s="76">
        <v>2019</v>
      </c>
      <c r="D14318" s="76" t="s">
        <v>40</v>
      </c>
      <c r="E14318" s="76" t="s">
        <v>32</v>
      </c>
      <c r="F14318" s="76">
        <v>0.09</v>
      </c>
    </row>
    <row r="14319" s="76" customFormat="1" spans="1:6">
      <c r="A14319">
        <v>14701</v>
      </c>
      <c r="B14319">
        <v>652019110</v>
      </c>
      <c r="C14319" s="76">
        <v>2019</v>
      </c>
      <c r="D14319" s="76" t="s">
        <v>40</v>
      </c>
      <c r="E14319" s="76" t="s">
        <v>32</v>
      </c>
      <c r="F14319" s="76">
        <v>0.7</v>
      </c>
    </row>
    <row r="14320" s="76" customFormat="1" spans="1:6">
      <c r="A14320">
        <v>14698</v>
      </c>
      <c r="B14320">
        <v>652019110</v>
      </c>
      <c r="C14320" s="76">
        <v>2019</v>
      </c>
      <c r="D14320" s="76" t="s">
        <v>40</v>
      </c>
      <c r="E14320" s="76" t="s">
        <v>32</v>
      </c>
      <c r="F14320" s="76">
        <v>0.9</v>
      </c>
    </row>
    <row r="14321" s="76" customFormat="1" spans="1:6">
      <c r="A14321">
        <v>14696</v>
      </c>
      <c r="B14321">
        <v>652019110</v>
      </c>
      <c r="C14321" s="76">
        <v>2019</v>
      </c>
      <c r="D14321" s="76" t="s">
        <v>40</v>
      </c>
      <c r="E14321" s="76">
        <v>2</v>
      </c>
      <c r="F14321" s="76">
        <v>0.5</v>
      </c>
    </row>
    <row r="14322" s="76" customFormat="1" spans="1:6">
      <c r="A14322">
        <v>14697</v>
      </c>
      <c r="B14322">
        <v>652019110</v>
      </c>
      <c r="C14322" s="76">
        <v>2019</v>
      </c>
      <c r="D14322" s="76" t="s">
        <v>40</v>
      </c>
      <c r="E14322" s="76" t="s">
        <v>32</v>
      </c>
      <c r="F14322" s="76">
        <v>0.12</v>
      </c>
    </row>
    <row r="14323" s="76" customFormat="1" spans="1:6">
      <c r="A14323">
        <v>14700</v>
      </c>
      <c r="B14323">
        <v>652019110</v>
      </c>
      <c r="C14323" s="76">
        <v>2019</v>
      </c>
      <c r="D14323" s="76" t="s">
        <v>40</v>
      </c>
      <c r="E14323" s="76" t="s">
        <v>32</v>
      </c>
      <c r="F14323" s="76">
        <v>0.4</v>
      </c>
    </row>
    <row r="14324" s="76" customFormat="1" spans="1:6">
      <c r="A14324">
        <v>14699</v>
      </c>
      <c r="B14324">
        <v>652019110</v>
      </c>
      <c r="C14324" s="76">
        <v>2019</v>
      </c>
      <c r="D14324" s="76" t="s">
        <v>40</v>
      </c>
      <c r="E14324" s="76" t="s">
        <v>32</v>
      </c>
      <c r="F14324" s="76">
        <v>6.6</v>
      </c>
    </row>
    <row r="14325" s="76" customFormat="1" spans="1:6">
      <c r="A14325">
        <v>14709</v>
      </c>
      <c r="B14325">
        <v>652019211</v>
      </c>
      <c r="C14325" s="76">
        <v>2019</v>
      </c>
      <c r="D14325" s="76" t="s">
        <v>37</v>
      </c>
      <c r="E14325" s="76">
        <v>1</v>
      </c>
      <c r="F14325" s="76">
        <v>66</v>
      </c>
    </row>
    <row r="14326" s="76" customFormat="1" spans="1:6">
      <c r="A14326">
        <v>14705</v>
      </c>
      <c r="B14326">
        <v>652019211</v>
      </c>
      <c r="C14326" s="76">
        <v>2019</v>
      </c>
      <c r="D14326" s="76" t="s">
        <v>37</v>
      </c>
      <c r="E14326" s="76">
        <v>1</v>
      </c>
      <c r="F14326" s="76">
        <v>66</v>
      </c>
    </row>
    <row r="14327" s="76" customFormat="1" spans="1:6">
      <c r="A14327">
        <v>14707</v>
      </c>
      <c r="B14327">
        <v>652019211</v>
      </c>
      <c r="C14327" s="76">
        <v>2019</v>
      </c>
      <c r="D14327" s="76" t="s">
        <v>37</v>
      </c>
      <c r="E14327" s="76">
        <v>2</v>
      </c>
      <c r="F14327" s="76">
        <v>132</v>
      </c>
    </row>
    <row r="14328" s="76" customFormat="1" spans="1:6">
      <c r="A14328">
        <v>14706</v>
      </c>
      <c r="B14328">
        <v>652019211</v>
      </c>
      <c r="C14328" s="76">
        <v>2019</v>
      </c>
      <c r="D14328" s="76" t="s">
        <v>37</v>
      </c>
      <c r="E14328" s="76" t="s">
        <v>32</v>
      </c>
      <c r="F14328" s="76">
        <v>16</v>
      </c>
    </row>
    <row r="14329" s="76" customFormat="1" spans="1:6">
      <c r="A14329">
        <v>14708</v>
      </c>
      <c r="B14329">
        <v>652019211</v>
      </c>
      <c r="C14329" s="76">
        <v>2019</v>
      </c>
      <c r="D14329" s="76" t="s">
        <v>37</v>
      </c>
      <c r="E14329" s="76" t="s">
        <v>32</v>
      </c>
      <c r="F14329" s="76">
        <v>0.78</v>
      </c>
    </row>
    <row r="14330" s="76" customFormat="1" spans="1:6">
      <c r="A14330">
        <v>14704</v>
      </c>
      <c r="B14330">
        <v>652019211</v>
      </c>
      <c r="C14330" s="76">
        <v>2019</v>
      </c>
      <c r="D14330" s="76" t="s">
        <v>37</v>
      </c>
      <c r="E14330" s="76">
        <v>1</v>
      </c>
      <c r="F14330" s="76">
        <v>5</v>
      </c>
    </row>
    <row r="14331" s="76" customFormat="1" spans="1:6">
      <c r="A14331">
        <v>14710</v>
      </c>
      <c r="B14331">
        <v>652019241</v>
      </c>
      <c r="C14331" s="76">
        <v>2019</v>
      </c>
      <c r="D14331" s="76" t="s">
        <v>33</v>
      </c>
      <c r="E14331" s="76" t="s">
        <v>32</v>
      </c>
      <c r="F14331" s="76">
        <v>0.6</v>
      </c>
    </row>
    <row r="14332" s="76" customFormat="1" spans="1:6">
      <c r="A14332">
        <v>14711</v>
      </c>
      <c r="B14332">
        <v>652019241</v>
      </c>
      <c r="C14332" s="76">
        <v>2019</v>
      </c>
      <c r="D14332" s="76" t="s">
        <v>33</v>
      </c>
      <c r="E14332" s="76" t="s">
        <v>32</v>
      </c>
      <c r="F14332" s="76">
        <v>4.7</v>
      </c>
    </row>
    <row r="14333" s="76" customFormat="1" spans="1:6">
      <c r="A14333">
        <v>14714</v>
      </c>
      <c r="B14333">
        <v>652019242</v>
      </c>
      <c r="C14333" s="76">
        <v>2019</v>
      </c>
      <c r="D14333" s="76" t="s">
        <v>35</v>
      </c>
      <c r="E14333" s="76" t="s">
        <v>32</v>
      </c>
      <c r="F14333" s="76">
        <v>0.6</v>
      </c>
    </row>
    <row r="14334" s="76" customFormat="1" spans="1:6">
      <c r="A14334">
        <v>14715</v>
      </c>
      <c r="B14334">
        <v>652019242</v>
      </c>
      <c r="C14334" s="76">
        <v>2019</v>
      </c>
      <c r="D14334" s="76" t="s">
        <v>35</v>
      </c>
      <c r="E14334" s="76" t="s">
        <v>32</v>
      </c>
      <c r="F14334" s="76">
        <v>1.8</v>
      </c>
    </row>
    <row r="14335" s="76" customFormat="1" spans="1:6">
      <c r="A14335">
        <v>14713</v>
      </c>
      <c r="B14335">
        <v>652019242</v>
      </c>
      <c r="C14335" s="76">
        <v>2019</v>
      </c>
      <c r="D14335" s="76" t="s">
        <v>35</v>
      </c>
      <c r="E14335" s="76" t="s">
        <v>32</v>
      </c>
      <c r="F14335" s="76">
        <v>1.2</v>
      </c>
    </row>
    <row r="14336" s="76" customFormat="1" spans="1:6">
      <c r="A14336">
        <v>14716</v>
      </c>
      <c r="B14336">
        <v>652019243</v>
      </c>
      <c r="C14336" s="76">
        <v>2019</v>
      </c>
      <c r="D14336" s="76" t="s">
        <v>38</v>
      </c>
      <c r="E14336" s="76" t="s">
        <v>32</v>
      </c>
      <c r="F14336" s="76">
        <v>1.5</v>
      </c>
    </row>
    <row r="14337" s="76" customFormat="1" spans="1:6">
      <c r="A14337">
        <v>14719</v>
      </c>
      <c r="B14337">
        <v>652019260</v>
      </c>
      <c r="C14337" s="76">
        <v>2019</v>
      </c>
      <c r="D14337" s="76" t="s">
        <v>34</v>
      </c>
      <c r="E14337" s="76" t="s">
        <v>32</v>
      </c>
      <c r="F14337" s="76">
        <v>10</v>
      </c>
    </row>
    <row r="14338" s="76" customFormat="1" spans="1:6">
      <c r="A14338">
        <v>14718</v>
      </c>
      <c r="B14338">
        <v>652019260</v>
      </c>
      <c r="C14338" s="76">
        <v>2019</v>
      </c>
      <c r="D14338" s="76" t="s">
        <v>34</v>
      </c>
      <c r="E14338" s="76" t="s">
        <v>32</v>
      </c>
      <c r="F14338" s="76">
        <v>20</v>
      </c>
    </row>
    <row r="14339" s="76" customFormat="1" spans="1:6">
      <c r="A14339">
        <v>14717</v>
      </c>
      <c r="B14339">
        <v>652019260</v>
      </c>
      <c r="C14339" s="76">
        <v>2019</v>
      </c>
      <c r="D14339" s="76" t="s">
        <v>34</v>
      </c>
      <c r="E14339" s="76">
        <v>33</v>
      </c>
      <c r="F14339" s="76">
        <v>4.95</v>
      </c>
    </row>
    <row r="14340" s="76" customFormat="1" spans="1:6">
      <c r="A14340">
        <v>14721</v>
      </c>
      <c r="B14340">
        <v>652019260</v>
      </c>
      <c r="C14340" s="76">
        <v>2019</v>
      </c>
      <c r="D14340" s="76" t="s">
        <v>34</v>
      </c>
      <c r="E14340" s="76" t="s">
        <v>32</v>
      </c>
      <c r="F14340" s="76">
        <v>10</v>
      </c>
    </row>
    <row r="14341" s="76" customFormat="1" spans="1:6">
      <c r="A14341">
        <v>14722</v>
      </c>
      <c r="B14341">
        <v>652019260</v>
      </c>
      <c r="C14341" s="76">
        <v>2019</v>
      </c>
      <c r="D14341" s="76" t="s">
        <v>34</v>
      </c>
      <c r="E14341" s="76" t="s">
        <v>32</v>
      </c>
      <c r="F14341" s="76">
        <v>10</v>
      </c>
    </row>
    <row r="14342" s="76" customFormat="1" spans="1:6">
      <c r="A14342">
        <v>14720</v>
      </c>
      <c r="B14342">
        <v>652019260</v>
      </c>
      <c r="C14342" s="76">
        <v>2019</v>
      </c>
      <c r="D14342" s="76" t="s">
        <v>34</v>
      </c>
      <c r="E14342" s="76" t="s">
        <v>32</v>
      </c>
      <c r="F14342" s="76">
        <v>10</v>
      </c>
    </row>
    <row r="14343" s="76" customFormat="1" spans="1:6">
      <c r="A14343">
        <v>14734</v>
      </c>
      <c r="B14343">
        <v>652019270</v>
      </c>
      <c r="C14343" s="76">
        <v>2019</v>
      </c>
      <c r="D14343" s="76" t="s">
        <v>31</v>
      </c>
      <c r="E14343" s="76" t="s">
        <v>32</v>
      </c>
      <c r="F14343" s="76">
        <v>3</v>
      </c>
    </row>
    <row r="14344" s="76" customFormat="1" spans="1:6">
      <c r="A14344">
        <v>14729</v>
      </c>
      <c r="B14344">
        <v>652019270</v>
      </c>
      <c r="C14344" s="76">
        <v>2019</v>
      </c>
      <c r="D14344" s="76" t="s">
        <v>31</v>
      </c>
      <c r="E14344" s="76" t="s">
        <v>32</v>
      </c>
      <c r="F14344" s="76">
        <v>10</v>
      </c>
    </row>
    <row r="14345" s="76" customFormat="1" spans="1:6">
      <c r="A14345">
        <v>14725</v>
      </c>
      <c r="B14345">
        <v>652019270</v>
      </c>
      <c r="C14345" s="76">
        <v>2019</v>
      </c>
      <c r="D14345" s="76" t="s">
        <v>31</v>
      </c>
      <c r="E14345" s="76" t="s">
        <v>32</v>
      </c>
      <c r="F14345" s="76">
        <v>10</v>
      </c>
    </row>
    <row r="14346" s="76" customFormat="1" spans="1:6">
      <c r="A14346">
        <v>14727</v>
      </c>
      <c r="B14346">
        <v>652019270</v>
      </c>
      <c r="C14346" s="76">
        <v>2019</v>
      </c>
      <c r="D14346" s="76" t="s">
        <v>31</v>
      </c>
      <c r="E14346" s="76" t="s">
        <v>32</v>
      </c>
      <c r="F14346" s="76">
        <v>10</v>
      </c>
    </row>
    <row r="14347" s="76" customFormat="1" spans="1:6">
      <c r="A14347">
        <v>14726</v>
      </c>
      <c r="B14347">
        <v>652019270</v>
      </c>
      <c r="C14347" s="76">
        <v>2019</v>
      </c>
      <c r="D14347" s="76" t="s">
        <v>31</v>
      </c>
      <c r="E14347" s="76" t="s">
        <v>32</v>
      </c>
      <c r="F14347" s="76">
        <v>10</v>
      </c>
    </row>
    <row r="14348" s="76" customFormat="1" spans="1:6">
      <c r="A14348">
        <v>14730</v>
      </c>
      <c r="B14348">
        <v>652019270</v>
      </c>
      <c r="C14348" s="76">
        <v>2019</v>
      </c>
      <c r="D14348" s="76" t="s">
        <v>31</v>
      </c>
      <c r="E14348" s="76" t="s">
        <v>32</v>
      </c>
      <c r="F14348" s="76">
        <v>10</v>
      </c>
    </row>
    <row r="14349" s="76" customFormat="1" spans="1:6">
      <c r="A14349">
        <v>14731</v>
      </c>
      <c r="B14349">
        <v>652019270</v>
      </c>
      <c r="C14349" s="76">
        <v>2019</v>
      </c>
      <c r="D14349" s="76" t="s">
        <v>31</v>
      </c>
      <c r="E14349" s="76" t="s">
        <v>32</v>
      </c>
      <c r="F14349" s="76">
        <v>0.86</v>
      </c>
    </row>
    <row r="14350" s="76" customFormat="1" spans="1:6">
      <c r="A14350">
        <v>14724</v>
      </c>
      <c r="B14350">
        <v>652019270</v>
      </c>
      <c r="C14350" s="76">
        <v>2019</v>
      </c>
      <c r="D14350" s="76" t="s">
        <v>31</v>
      </c>
      <c r="E14350" s="76" t="s">
        <v>32</v>
      </c>
      <c r="F14350" s="76">
        <v>10</v>
      </c>
    </row>
    <row r="14351" s="76" customFormat="1" spans="1:6">
      <c r="A14351">
        <v>14728</v>
      </c>
      <c r="B14351">
        <v>652019270</v>
      </c>
      <c r="C14351" s="76">
        <v>2019</v>
      </c>
      <c r="D14351" s="76" t="s">
        <v>31</v>
      </c>
      <c r="E14351" s="76" t="s">
        <v>32</v>
      </c>
      <c r="F14351" s="76">
        <v>10</v>
      </c>
    </row>
    <row r="14352" s="76" customFormat="1" spans="1:6">
      <c r="A14352">
        <v>14732</v>
      </c>
      <c r="B14352">
        <v>652019270</v>
      </c>
      <c r="C14352" s="76">
        <v>2019</v>
      </c>
      <c r="D14352" s="76" t="s">
        <v>31</v>
      </c>
      <c r="E14352" s="76" t="s">
        <v>32</v>
      </c>
      <c r="F14352" s="76">
        <v>5</v>
      </c>
    </row>
    <row r="14353" s="76" customFormat="1" spans="1:6">
      <c r="A14353">
        <v>14733</v>
      </c>
      <c r="B14353">
        <v>652019270</v>
      </c>
      <c r="C14353" s="76">
        <v>2019</v>
      </c>
      <c r="D14353" s="76" t="s">
        <v>31</v>
      </c>
      <c r="E14353" s="76" t="s">
        <v>32</v>
      </c>
      <c r="F14353" s="76">
        <v>5</v>
      </c>
    </row>
    <row r="14354" s="76" customFormat="1" spans="1:6">
      <c r="A14354">
        <v>14740</v>
      </c>
      <c r="B14354">
        <v>652020110</v>
      </c>
      <c r="C14354" s="76">
        <v>2020</v>
      </c>
      <c r="D14354" s="76" t="s">
        <v>40</v>
      </c>
      <c r="E14354" s="76" t="s">
        <v>32</v>
      </c>
      <c r="F14354" s="76">
        <v>0.16</v>
      </c>
    </row>
    <row r="14355" s="76" customFormat="1" spans="1:6">
      <c r="A14355">
        <v>14741</v>
      </c>
      <c r="B14355">
        <v>652020110</v>
      </c>
      <c r="C14355" s="76">
        <v>2020</v>
      </c>
      <c r="D14355" s="76" t="s">
        <v>40</v>
      </c>
      <c r="E14355" s="76" t="s">
        <v>32</v>
      </c>
      <c r="F14355" s="76">
        <v>0.5</v>
      </c>
    </row>
    <row r="14356" s="76" customFormat="1" spans="1:6">
      <c r="A14356">
        <v>14742</v>
      </c>
      <c r="B14356">
        <v>652020110</v>
      </c>
      <c r="C14356" s="76">
        <v>2020</v>
      </c>
      <c r="D14356" s="76" t="s">
        <v>40</v>
      </c>
      <c r="E14356" s="76" t="s">
        <v>32</v>
      </c>
      <c r="F14356" s="76">
        <v>0.5</v>
      </c>
    </row>
    <row r="14357" s="76" customFormat="1" spans="1:6">
      <c r="A14357">
        <v>14743</v>
      </c>
      <c r="B14357">
        <v>652020110</v>
      </c>
      <c r="C14357" s="76">
        <v>2020</v>
      </c>
      <c r="D14357" s="76" t="s">
        <v>40</v>
      </c>
      <c r="E14357" s="76" t="s">
        <v>32</v>
      </c>
      <c r="F14357" s="76">
        <v>0.69</v>
      </c>
    </row>
    <row r="14358" s="76" customFormat="1" spans="1:6">
      <c r="A14358">
        <v>14735</v>
      </c>
      <c r="B14358">
        <v>652020110</v>
      </c>
      <c r="C14358" s="76">
        <v>2020</v>
      </c>
      <c r="D14358" s="76" t="s">
        <v>40</v>
      </c>
      <c r="E14358" s="76">
        <v>4</v>
      </c>
      <c r="F14358" s="76">
        <v>10.3</v>
      </c>
    </row>
    <row r="14359" s="76" customFormat="1" spans="1:6">
      <c r="A14359">
        <v>14744</v>
      </c>
      <c r="B14359">
        <v>652020110</v>
      </c>
      <c r="C14359" s="76">
        <v>2020</v>
      </c>
      <c r="D14359" s="76" t="s">
        <v>40</v>
      </c>
      <c r="E14359" s="76" t="s">
        <v>32</v>
      </c>
      <c r="F14359" s="76">
        <v>0.8</v>
      </c>
    </row>
    <row r="14360" s="76" customFormat="1" spans="1:6">
      <c r="A14360">
        <v>14737</v>
      </c>
      <c r="B14360">
        <v>652020110</v>
      </c>
      <c r="C14360" s="76">
        <v>2020</v>
      </c>
      <c r="D14360" s="76" t="s">
        <v>40</v>
      </c>
      <c r="E14360" s="76" t="s">
        <v>32</v>
      </c>
      <c r="F14360" s="76">
        <v>1.5</v>
      </c>
    </row>
    <row r="14361" s="76" customFormat="1" spans="1:6">
      <c r="A14361">
        <v>14738</v>
      </c>
      <c r="B14361">
        <v>652020110</v>
      </c>
      <c r="C14361" s="76">
        <v>2020</v>
      </c>
      <c r="D14361" s="76" t="s">
        <v>40</v>
      </c>
      <c r="E14361" s="76" t="s">
        <v>32</v>
      </c>
      <c r="F14361" s="76">
        <v>7</v>
      </c>
    </row>
    <row r="14362" s="76" customFormat="1" spans="1:6">
      <c r="A14362">
        <v>14746</v>
      </c>
      <c r="B14362">
        <v>652020110</v>
      </c>
      <c r="C14362" s="76">
        <v>2020</v>
      </c>
      <c r="D14362" s="76" t="s">
        <v>40</v>
      </c>
      <c r="E14362" s="76" t="s">
        <v>32</v>
      </c>
      <c r="F14362" s="76">
        <v>4.55</v>
      </c>
    </row>
    <row r="14363" s="76" customFormat="1" spans="1:6">
      <c r="A14363">
        <v>14739</v>
      </c>
      <c r="B14363">
        <v>652020110</v>
      </c>
      <c r="C14363" s="76">
        <v>2020</v>
      </c>
      <c r="D14363" s="76" t="s">
        <v>40</v>
      </c>
      <c r="E14363" s="76" t="s">
        <v>32</v>
      </c>
      <c r="F14363" s="76">
        <v>3.9</v>
      </c>
    </row>
    <row r="14364" s="76" customFormat="1" spans="1:6">
      <c r="A14364">
        <v>14745</v>
      </c>
      <c r="B14364">
        <v>652020110</v>
      </c>
      <c r="C14364" s="76">
        <v>2020</v>
      </c>
      <c r="D14364" s="76" t="s">
        <v>40</v>
      </c>
      <c r="E14364" s="76" t="s">
        <v>32</v>
      </c>
      <c r="F14364" s="76">
        <v>10.4</v>
      </c>
    </row>
    <row r="14365" s="76" customFormat="1" spans="1:6">
      <c r="A14365">
        <v>14736</v>
      </c>
      <c r="B14365">
        <v>652020110</v>
      </c>
      <c r="C14365" s="76">
        <v>2020</v>
      </c>
      <c r="D14365" s="76" t="s">
        <v>40</v>
      </c>
      <c r="E14365" s="76">
        <v>4</v>
      </c>
      <c r="F14365" s="76">
        <v>24.4</v>
      </c>
    </row>
    <row r="14366" s="76" customFormat="1" spans="1:6">
      <c r="A14366">
        <v>14753</v>
      </c>
      <c r="B14366">
        <v>652020211</v>
      </c>
      <c r="C14366" s="76">
        <v>2020</v>
      </c>
      <c r="D14366" s="76" t="s">
        <v>37</v>
      </c>
      <c r="E14366" s="76" t="s">
        <v>32</v>
      </c>
      <c r="F14366" s="76">
        <v>0.3</v>
      </c>
    </row>
    <row r="14367" s="76" customFormat="1" spans="1:6">
      <c r="A14367">
        <v>14749</v>
      </c>
      <c r="B14367">
        <v>652020211</v>
      </c>
      <c r="C14367" s="76">
        <v>2020</v>
      </c>
      <c r="D14367" s="76" t="s">
        <v>37</v>
      </c>
      <c r="E14367" s="76">
        <v>1</v>
      </c>
      <c r="F14367" s="76">
        <v>35</v>
      </c>
    </row>
    <row r="14368" s="76" customFormat="1" spans="1:6">
      <c r="A14368">
        <v>14752</v>
      </c>
      <c r="B14368">
        <v>652020211</v>
      </c>
      <c r="C14368" s="76">
        <v>2020</v>
      </c>
      <c r="D14368" s="76" t="s">
        <v>37</v>
      </c>
      <c r="E14368" s="76">
        <v>2</v>
      </c>
      <c r="F14368" s="76">
        <v>132</v>
      </c>
    </row>
    <row r="14369" s="76" customFormat="1" spans="1:6">
      <c r="A14369">
        <v>14748</v>
      </c>
      <c r="B14369">
        <v>652020211</v>
      </c>
      <c r="C14369" s="76">
        <v>2020</v>
      </c>
      <c r="D14369" s="76" t="s">
        <v>37</v>
      </c>
      <c r="E14369" s="76">
        <v>2</v>
      </c>
      <c r="F14369" s="76">
        <v>70</v>
      </c>
    </row>
    <row r="14370" s="76" customFormat="1" spans="1:6">
      <c r="A14370">
        <v>14751</v>
      </c>
      <c r="B14370">
        <v>652020211</v>
      </c>
      <c r="C14370" s="76">
        <v>2020</v>
      </c>
      <c r="D14370" s="76" t="s">
        <v>37</v>
      </c>
      <c r="E14370" s="76">
        <v>2</v>
      </c>
      <c r="F14370" s="76">
        <v>4.7</v>
      </c>
    </row>
    <row r="14371" s="76" customFormat="1" spans="1:6">
      <c r="A14371">
        <v>14750</v>
      </c>
      <c r="B14371">
        <v>652020211</v>
      </c>
      <c r="C14371" s="76">
        <v>2020</v>
      </c>
      <c r="D14371" s="76" t="s">
        <v>37</v>
      </c>
      <c r="E14371" s="76">
        <v>2</v>
      </c>
      <c r="F14371" s="76">
        <v>132</v>
      </c>
    </row>
    <row r="14372" s="76" customFormat="1" spans="1:6">
      <c r="A14372">
        <v>14754</v>
      </c>
      <c r="B14372">
        <v>652020221</v>
      </c>
      <c r="C14372" s="76">
        <v>2020</v>
      </c>
      <c r="D14372" s="76" t="s">
        <v>30</v>
      </c>
      <c r="E14372" s="76">
        <v>1</v>
      </c>
      <c r="F14372" s="76">
        <v>6</v>
      </c>
    </row>
    <row r="14373" s="76" customFormat="1" spans="1:6">
      <c r="A14373">
        <v>14757</v>
      </c>
      <c r="B14373">
        <v>652020241</v>
      </c>
      <c r="C14373" s="76">
        <v>2020</v>
      </c>
      <c r="D14373" s="76" t="s">
        <v>33</v>
      </c>
      <c r="E14373" s="76" t="s">
        <v>32</v>
      </c>
      <c r="F14373" s="76">
        <v>5</v>
      </c>
    </row>
    <row r="14374" s="76" customFormat="1" spans="1:6">
      <c r="A14374">
        <v>14756</v>
      </c>
      <c r="B14374">
        <v>652020241</v>
      </c>
      <c r="C14374" s="76">
        <v>2020</v>
      </c>
      <c r="D14374" s="76" t="s">
        <v>33</v>
      </c>
      <c r="E14374" s="76" t="s">
        <v>32</v>
      </c>
      <c r="F14374" s="76">
        <v>2</v>
      </c>
    </row>
    <row r="14375" s="76" customFormat="1" spans="1:6">
      <c r="A14375">
        <v>14758</v>
      </c>
      <c r="B14375">
        <v>652020241</v>
      </c>
      <c r="C14375" s="76">
        <v>2020</v>
      </c>
      <c r="D14375" s="76" t="s">
        <v>33</v>
      </c>
      <c r="E14375" s="76" t="s">
        <v>32</v>
      </c>
      <c r="F14375" s="76">
        <v>3</v>
      </c>
    </row>
    <row r="14376" s="76" customFormat="1" spans="1:6">
      <c r="A14376">
        <v>14755</v>
      </c>
      <c r="B14376">
        <v>652020241</v>
      </c>
      <c r="C14376" s="76">
        <v>2020</v>
      </c>
      <c r="D14376" s="76" t="s">
        <v>33</v>
      </c>
      <c r="E14376" s="76" t="s">
        <v>32</v>
      </c>
      <c r="F14376" s="76">
        <v>11.15</v>
      </c>
    </row>
    <row r="14377" s="76" customFormat="1" spans="1:6">
      <c r="A14377">
        <v>14760</v>
      </c>
      <c r="B14377">
        <v>652020242</v>
      </c>
      <c r="C14377" s="76">
        <v>2020</v>
      </c>
      <c r="D14377" s="76" t="s">
        <v>35</v>
      </c>
      <c r="E14377" s="76" t="s">
        <v>32</v>
      </c>
      <c r="F14377" s="76">
        <v>1.2</v>
      </c>
    </row>
    <row r="14378" s="76" customFormat="1" spans="1:6">
      <c r="A14378">
        <v>14801</v>
      </c>
      <c r="B14378">
        <v>652020260</v>
      </c>
      <c r="C14378" s="76">
        <v>2020</v>
      </c>
      <c r="D14378" s="76" t="s">
        <v>34</v>
      </c>
      <c r="E14378" s="76" t="s">
        <v>32</v>
      </c>
      <c r="F14378" s="76">
        <v>10</v>
      </c>
    </row>
    <row r="14379" s="76" customFormat="1" spans="1:6">
      <c r="A14379">
        <v>14787</v>
      </c>
      <c r="B14379">
        <v>652020260</v>
      </c>
      <c r="C14379" s="76">
        <v>2020</v>
      </c>
      <c r="D14379" s="76" t="s">
        <v>34</v>
      </c>
      <c r="E14379" s="76" t="s">
        <v>32</v>
      </c>
      <c r="F14379" s="76">
        <v>3.84</v>
      </c>
    </row>
    <row r="14380" s="76" customFormat="1" spans="1:6">
      <c r="A14380">
        <v>14800</v>
      </c>
      <c r="B14380">
        <v>652020260</v>
      </c>
      <c r="C14380" s="76">
        <v>2020</v>
      </c>
      <c r="D14380" s="76" t="s">
        <v>34</v>
      </c>
      <c r="E14380" s="76" t="s">
        <v>32</v>
      </c>
      <c r="F14380" s="76">
        <v>10</v>
      </c>
    </row>
    <row r="14381" s="76" customFormat="1" spans="1:6">
      <c r="A14381">
        <v>14799</v>
      </c>
      <c r="B14381">
        <v>652020260</v>
      </c>
      <c r="C14381" s="76">
        <v>2020</v>
      </c>
      <c r="D14381" s="76" t="s">
        <v>34</v>
      </c>
      <c r="E14381" s="76" t="s">
        <v>32</v>
      </c>
      <c r="F14381" s="76">
        <v>15</v>
      </c>
    </row>
    <row r="14382" s="76" customFormat="1" spans="1:6">
      <c r="A14382">
        <v>14803</v>
      </c>
      <c r="B14382">
        <v>652020260</v>
      </c>
      <c r="C14382" s="76">
        <v>2020</v>
      </c>
      <c r="D14382" s="76" t="s">
        <v>34</v>
      </c>
      <c r="E14382" s="76" t="s">
        <v>32</v>
      </c>
      <c r="F14382" s="76">
        <v>20</v>
      </c>
    </row>
    <row r="14383" s="76" customFormat="1" spans="1:6">
      <c r="A14383">
        <v>14784</v>
      </c>
      <c r="B14383">
        <v>652020260</v>
      </c>
      <c r="C14383" s="76">
        <v>2020</v>
      </c>
      <c r="D14383" s="76" t="s">
        <v>34</v>
      </c>
      <c r="E14383" s="76" t="s">
        <v>32</v>
      </c>
      <c r="F14383" s="76">
        <v>10</v>
      </c>
    </row>
    <row r="14384" s="76" customFormat="1" spans="1:6">
      <c r="A14384">
        <v>14791</v>
      </c>
      <c r="B14384">
        <v>652020260</v>
      </c>
      <c r="C14384" s="76">
        <v>2020</v>
      </c>
      <c r="D14384" s="76" t="s">
        <v>34</v>
      </c>
      <c r="E14384" s="76" t="s">
        <v>32</v>
      </c>
      <c r="F14384" s="76">
        <v>10</v>
      </c>
    </row>
    <row r="14385" s="76" customFormat="1" spans="1:6">
      <c r="A14385">
        <v>14785</v>
      </c>
      <c r="B14385">
        <v>652020260</v>
      </c>
      <c r="C14385" s="76">
        <v>2020</v>
      </c>
      <c r="D14385" s="76" t="s">
        <v>34</v>
      </c>
      <c r="E14385" s="76" t="s">
        <v>32</v>
      </c>
      <c r="F14385" s="76">
        <v>10</v>
      </c>
    </row>
    <row r="14386" s="76" customFormat="1" spans="1:6">
      <c r="A14386">
        <v>14795</v>
      </c>
      <c r="B14386">
        <v>652020260</v>
      </c>
      <c r="C14386" s="76">
        <v>2020</v>
      </c>
      <c r="D14386" s="76" t="s">
        <v>34</v>
      </c>
      <c r="E14386" s="76" t="s">
        <v>32</v>
      </c>
      <c r="F14386" s="76">
        <v>4.95</v>
      </c>
    </row>
    <row r="14387" s="76" customFormat="1" spans="1:6">
      <c r="A14387">
        <v>14790</v>
      </c>
      <c r="B14387">
        <v>652020260</v>
      </c>
      <c r="C14387" s="76">
        <v>2020</v>
      </c>
      <c r="D14387" s="76" t="s">
        <v>34</v>
      </c>
      <c r="E14387" s="76" t="s">
        <v>32</v>
      </c>
      <c r="F14387" s="76">
        <v>0.5</v>
      </c>
    </row>
    <row r="14388" s="76" customFormat="1" spans="1:6">
      <c r="A14388">
        <v>14766</v>
      </c>
      <c r="B14388">
        <v>652020260</v>
      </c>
      <c r="C14388" s="76">
        <v>2020</v>
      </c>
      <c r="D14388" s="76" t="s">
        <v>34</v>
      </c>
      <c r="E14388" s="76">
        <v>10</v>
      </c>
      <c r="F14388" s="76">
        <v>4.2</v>
      </c>
    </row>
    <row r="14389" s="76" customFormat="1" spans="1:6">
      <c r="A14389">
        <v>14802</v>
      </c>
      <c r="B14389">
        <v>652020260</v>
      </c>
      <c r="C14389" s="76">
        <v>2020</v>
      </c>
      <c r="D14389" s="76" t="s">
        <v>34</v>
      </c>
      <c r="E14389" s="76" t="s">
        <v>32</v>
      </c>
      <c r="F14389" s="76">
        <v>20</v>
      </c>
    </row>
    <row r="14390" s="76" customFormat="1" spans="1:6">
      <c r="A14390">
        <v>14770</v>
      </c>
      <c r="B14390">
        <v>652020260</v>
      </c>
      <c r="C14390" s="76">
        <v>2020</v>
      </c>
      <c r="D14390" s="76" t="s">
        <v>34</v>
      </c>
      <c r="E14390" s="76">
        <v>33</v>
      </c>
      <c r="F14390" s="76">
        <v>4.95</v>
      </c>
    </row>
    <row r="14391" s="76" customFormat="1" spans="1:6">
      <c r="A14391">
        <v>14775</v>
      </c>
      <c r="B14391">
        <v>652020260</v>
      </c>
      <c r="C14391" s="76">
        <v>2020</v>
      </c>
      <c r="D14391" s="76" t="s">
        <v>34</v>
      </c>
      <c r="E14391" s="76">
        <v>40</v>
      </c>
      <c r="F14391" s="76">
        <v>10</v>
      </c>
    </row>
    <row r="14392" s="76" customFormat="1" spans="1:6">
      <c r="A14392">
        <v>14798</v>
      </c>
      <c r="B14392">
        <v>652020260</v>
      </c>
      <c r="C14392" s="76">
        <v>2020</v>
      </c>
      <c r="D14392" s="76" t="s">
        <v>34</v>
      </c>
      <c r="E14392" s="76" t="s">
        <v>32</v>
      </c>
      <c r="F14392" s="76">
        <v>4.95</v>
      </c>
    </row>
    <row r="14393" s="76" customFormat="1" spans="1:6">
      <c r="A14393">
        <v>14805</v>
      </c>
      <c r="B14393">
        <v>652020260</v>
      </c>
      <c r="C14393" s="76">
        <v>2020</v>
      </c>
      <c r="D14393" s="76" t="s">
        <v>34</v>
      </c>
      <c r="E14393" s="76" t="s">
        <v>32</v>
      </c>
      <c r="F14393" s="76">
        <v>10</v>
      </c>
    </row>
    <row r="14394" s="76" customFormat="1" spans="1:6">
      <c r="A14394">
        <v>14781</v>
      </c>
      <c r="B14394">
        <v>652020260</v>
      </c>
      <c r="C14394" s="76">
        <v>2020</v>
      </c>
      <c r="D14394" s="76" t="s">
        <v>34</v>
      </c>
      <c r="E14394" s="76" t="s">
        <v>32</v>
      </c>
      <c r="F14394" s="76">
        <v>2</v>
      </c>
    </row>
    <row r="14395" s="76" customFormat="1" spans="1:6">
      <c r="A14395">
        <v>14780</v>
      </c>
      <c r="B14395">
        <v>652020260</v>
      </c>
      <c r="C14395" s="76">
        <v>2020</v>
      </c>
      <c r="D14395" s="76" t="s">
        <v>34</v>
      </c>
      <c r="E14395" s="76" t="s">
        <v>32</v>
      </c>
      <c r="F14395" s="76">
        <v>15</v>
      </c>
    </row>
    <row r="14396" s="76" customFormat="1" spans="1:6">
      <c r="A14396">
        <v>14762</v>
      </c>
      <c r="B14396">
        <v>652020260</v>
      </c>
      <c r="C14396" s="76">
        <v>2020</v>
      </c>
      <c r="D14396" s="76" t="s">
        <v>34</v>
      </c>
      <c r="E14396" s="76">
        <v>33</v>
      </c>
      <c r="F14396" s="76">
        <v>4.95</v>
      </c>
    </row>
    <row r="14397" s="76" customFormat="1" spans="1:6">
      <c r="A14397">
        <v>14771</v>
      </c>
      <c r="B14397">
        <v>652020260</v>
      </c>
      <c r="C14397" s="76">
        <v>2020</v>
      </c>
      <c r="D14397" s="76" t="s">
        <v>34</v>
      </c>
      <c r="E14397" s="76">
        <v>25</v>
      </c>
      <c r="F14397" s="76">
        <v>4.95</v>
      </c>
    </row>
    <row r="14398" s="76" customFormat="1" spans="1:6">
      <c r="A14398">
        <v>14769</v>
      </c>
      <c r="B14398">
        <v>652020260</v>
      </c>
      <c r="C14398" s="76">
        <v>2020</v>
      </c>
      <c r="D14398" s="76" t="s">
        <v>34</v>
      </c>
      <c r="E14398" s="76">
        <v>23</v>
      </c>
      <c r="F14398" s="76">
        <v>4.95</v>
      </c>
    </row>
    <row r="14399" s="76" customFormat="1" spans="1:6">
      <c r="A14399">
        <v>14763</v>
      </c>
      <c r="B14399">
        <v>652020260</v>
      </c>
      <c r="C14399" s="76">
        <v>2020</v>
      </c>
      <c r="D14399" s="76" t="s">
        <v>34</v>
      </c>
      <c r="E14399" s="76">
        <v>20</v>
      </c>
      <c r="F14399" s="76">
        <v>5</v>
      </c>
    </row>
    <row r="14400" s="76" customFormat="1" spans="1:6">
      <c r="A14400">
        <v>14794</v>
      </c>
      <c r="B14400">
        <v>652020260</v>
      </c>
      <c r="C14400" s="76">
        <v>2020</v>
      </c>
      <c r="D14400" s="76" t="s">
        <v>34</v>
      </c>
      <c r="E14400" s="76" t="s">
        <v>32</v>
      </c>
      <c r="F14400" s="76">
        <v>9.9</v>
      </c>
    </row>
    <row r="14401" s="76" customFormat="1" spans="1:6">
      <c r="A14401">
        <v>14764</v>
      </c>
      <c r="B14401">
        <v>652020260</v>
      </c>
      <c r="C14401" s="76">
        <v>2020</v>
      </c>
      <c r="D14401" s="76" t="s">
        <v>34</v>
      </c>
      <c r="E14401" s="76">
        <v>100</v>
      </c>
      <c r="F14401" s="76">
        <v>20</v>
      </c>
    </row>
    <row r="14402" s="76" customFormat="1" spans="1:6">
      <c r="A14402">
        <v>14786</v>
      </c>
      <c r="B14402">
        <v>652020260</v>
      </c>
      <c r="C14402" s="76">
        <v>2020</v>
      </c>
      <c r="D14402" s="76" t="s">
        <v>34</v>
      </c>
      <c r="E14402" s="76" t="s">
        <v>32</v>
      </c>
      <c r="F14402" s="76">
        <v>10</v>
      </c>
    </row>
    <row r="14403" s="76" customFormat="1" spans="1:6">
      <c r="A14403">
        <v>14783</v>
      </c>
      <c r="B14403">
        <v>652020260</v>
      </c>
      <c r="C14403" s="76">
        <v>2020</v>
      </c>
      <c r="D14403" s="76" t="s">
        <v>34</v>
      </c>
      <c r="E14403" s="76" t="s">
        <v>32</v>
      </c>
      <c r="F14403" s="76">
        <v>4.95</v>
      </c>
    </row>
    <row r="14404" s="76" customFormat="1" spans="1:6">
      <c r="A14404">
        <v>14793</v>
      </c>
      <c r="B14404">
        <v>652020260</v>
      </c>
      <c r="C14404" s="76">
        <v>2020</v>
      </c>
      <c r="D14404" s="76" t="s">
        <v>34</v>
      </c>
      <c r="E14404" s="76" t="s">
        <v>32</v>
      </c>
      <c r="F14404" s="76">
        <v>20</v>
      </c>
    </row>
    <row r="14405" s="76" customFormat="1" spans="1:6">
      <c r="A14405">
        <v>14797</v>
      </c>
      <c r="B14405">
        <v>652020260</v>
      </c>
      <c r="C14405" s="76">
        <v>2020</v>
      </c>
      <c r="D14405" s="76" t="s">
        <v>34</v>
      </c>
      <c r="E14405" s="76" t="s">
        <v>32</v>
      </c>
      <c r="F14405" s="76">
        <v>5</v>
      </c>
    </row>
    <row r="14406" s="76" customFormat="1" spans="1:6">
      <c r="A14406">
        <v>14796</v>
      </c>
      <c r="B14406">
        <v>652020260</v>
      </c>
      <c r="C14406" s="76">
        <v>2020</v>
      </c>
      <c r="D14406" s="76" t="s">
        <v>34</v>
      </c>
      <c r="E14406" s="76" t="s">
        <v>32</v>
      </c>
      <c r="F14406" s="76">
        <v>4.95</v>
      </c>
    </row>
    <row r="14407" s="76" customFormat="1" spans="1:6">
      <c r="A14407">
        <v>14792</v>
      </c>
      <c r="B14407">
        <v>652020260</v>
      </c>
      <c r="C14407" s="76">
        <v>2020</v>
      </c>
      <c r="D14407" s="76" t="s">
        <v>34</v>
      </c>
      <c r="E14407" s="76" t="s">
        <v>32</v>
      </c>
      <c r="F14407" s="76">
        <v>9.9</v>
      </c>
    </row>
    <row r="14408" s="76" customFormat="1" spans="1:6">
      <c r="A14408">
        <v>14774</v>
      </c>
      <c r="B14408">
        <v>652020260</v>
      </c>
      <c r="C14408" s="76">
        <v>2020</v>
      </c>
      <c r="D14408" s="76" t="s">
        <v>34</v>
      </c>
      <c r="E14408" s="76">
        <v>33</v>
      </c>
      <c r="F14408" s="76">
        <v>4.95</v>
      </c>
    </row>
    <row r="14409" s="76" customFormat="1" spans="1:6">
      <c r="A14409">
        <v>14761</v>
      </c>
      <c r="B14409">
        <v>652020260</v>
      </c>
      <c r="C14409" s="76">
        <v>2020</v>
      </c>
      <c r="D14409" s="76" t="s">
        <v>34</v>
      </c>
      <c r="E14409" s="76">
        <v>31</v>
      </c>
      <c r="F14409" s="76">
        <v>9.92</v>
      </c>
    </row>
    <row r="14410" s="76" customFormat="1" spans="1:6">
      <c r="A14410">
        <v>14765</v>
      </c>
      <c r="B14410">
        <v>652020260</v>
      </c>
      <c r="C14410" s="76">
        <v>2020</v>
      </c>
      <c r="D14410" s="76" t="s">
        <v>34</v>
      </c>
      <c r="E14410" s="76">
        <v>24</v>
      </c>
      <c r="F14410" s="76">
        <v>4.8</v>
      </c>
    </row>
    <row r="14411" s="76" customFormat="1" spans="1:6">
      <c r="A14411">
        <v>14767</v>
      </c>
      <c r="B14411">
        <v>652020260</v>
      </c>
      <c r="C14411" s="76">
        <v>2020</v>
      </c>
      <c r="D14411" s="76" t="s">
        <v>34</v>
      </c>
      <c r="E14411" s="76">
        <v>61</v>
      </c>
      <c r="F14411" s="76">
        <v>20</v>
      </c>
    </row>
    <row r="14412" s="76" customFormat="1" spans="1:6">
      <c r="A14412">
        <v>14768</v>
      </c>
      <c r="B14412">
        <v>652020260</v>
      </c>
      <c r="C14412" s="76">
        <v>2020</v>
      </c>
      <c r="D14412" s="76" t="s">
        <v>34</v>
      </c>
      <c r="E14412" s="76">
        <v>30</v>
      </c>
      <c r="F14412" s="76">
        <v>10</v>
      </c>
    </row>
    <row r="14413" s="76" customFormat="1" spans="1:6">
      <c r="A14413">
        <v>14777</v>
      </c>
      <c r="B14413">
        <v>652020260</v>
      </c>
      <c r="C14413" s="76">
        <v>2020</v>
      </c>
      <c r="D14413" s="76" t="s">
        <v>34</v>
      </c>
      <c r="E14413" s="76">
        <v>23</v>
      </c>
      <c r="F14413" s="76">
        <v>4.95</v>
      </c>
    </row>
    <row r="14414" s="76" customFormat="1" spans="1:6">
      <c r="A14414">
        <v>14779</v>
      </c>
      <c r="B14414">
        <v>652020260</v>
      </c>
      <c r="C14414" s="76">
        <v>2020</v>
      </c>
      <c r="D14414" s="76" t="s">
        <v>34</v>
      </c>
      <c r="E14414" s="76">
        <v>33</v>
      </c>
      <c r="F14414" s="76">
        <v>4.95</v>
      </c>
    </row>
    <row r="14415" s="76" customFormat="1" spans="1:6">
      <c r="A14415">
        <v>14778</v>
      </c>
      <c r="B14415">
        <v>652020260</v>
      </c>
      <c r="C14415" s="76">
        <v>2020</v>
      </c>
      <c r="D14415" s="76" t="s">
        <v>34</v>
      </c>
      <c r="E14415" s="76">
        <v>14</v>
      </c>
      <c r="F14415" s="76">
        <v>4.95</v>
      </c>
    </row>
    <row r="14416" s="76" customFormat="1" spans="1:6">
      <c r="A14416">
        <v>14772</v>
      </c>
      <c r="B14416">
        <v>652020260</v>
      </c>
      <c r="C14416" s="76">
        <v>2020</v>
      </c>
      <c r="D14416" s="76" t="s">
        <v>34</v>
      </c>
      <c r="E14416" s="76">
        <v>17</v>
      </c>
      <c r="F14416" s="76">
        <v>4.95</v>
      </c>
    </row>
    <row r="14417" s="76" customFormat="1" spans="1:6">
      <c r="A14417">
        <v>14789</v>
      </c>
      <c r="B14417">
        <v>652020260</v>
      </c>
      <c r="C14417" s="76">
        <v>2020</v>
      </c>
      <c r="D14417" s="76" t="s">
        <v>34</v>
      </c>
      <c r="E14417" s="76" t="s">
        <v>32</v>
      </c>
      <c r="F14417" s="76">
        <v>5</v>
      </c>
    </row>
    <row r="14418" s="76" customFormat="1" spans="1:6">
      <c r="A14418">
        <v>14782</v>
      </c>
      <c r="B14418">
        <v>652020260</v>
      </c>
      <c r="C14418" s="76">
        <v>2020</v>
      </c>
      <c r="D14418" s="76" t="s">
        <v>34</v>
      </c>
      <c r="E14418" s="76" t="s">
        <v>32</v>
      </c>
      <c r="F14418" s="76">
        <v>4.95</v>
      </c>
    </row>
    <row r="14419" s="76" customFormat="1" spans="1:6">
      <c r="A14419">
        <v>14788</v>
      </c>
      <c r="B14419">
        <v>652020260</v>
      </c>
      <c r="C14419" s="76">
        <v>2020</v>
      </c>
      <c r="D14419" s="76" t="s">
        <v>34</v>
      </c>
      <c r="E14419" s="76" t="s">
        <v>32</v>
      </c>
      <c r="F14419" s="76">
        <v>5</v>
      </c>
    </row>
    <row r="14420" s="76" customFormat="1" spans="1:6">
      <c r="A14420">
        <v>14773</v>
      </c>
      <c r="B14420">
        <v>652020260</v>
      </c>
      <c r="C14420" s="76">
        <v>2020</v>
      </c>
      <c r="D14420" s="76" t="s">
        <v>34</v>
      </c>
      <c r="E14420" s="76">
        <v>40</v>
      </c>
      <c r="F14420" s="76">
        <v>10</v>
      </c>
    </row>
    <row r="14421" s="76" customFormat="1" spans="1:6">
      <c r="A14421">
        <v>14776</v>
      </c>
      <c r="B14421">
        <v>652020260</v>
      </c>
      <c r="C14421" s="76">
        <v>2020</v>
      </c>
      <c r="D14421" s="76" t="s">
        <v>34</v>
      </c>
      <c r="E14421" s="76">
        <v>80</v>
      </c>
      <c r="F14421" s="76">
        <v>20</v>
      </c>
    </row>
    <row r="14422" s="76" customFormat="1" spans="1:6">
      <c r="A14422">
        <v>14804</v>
      </c>
      <c r="B14422">
        <v>652020260</v>
      </c>
      <c r="C14422" s="76">
        <v>2020</v>
      </c>
      <c r="D14422" s="76" t="s">
        <v>34</v>
      </c>
      <c r="E14422" s="76" t="s">
        <v>32</v>
      </c>
      <c r="F14422" s="76">
        <v>14.68</v>
      </c>
    </row>
    <row r="14423" s="76" customFormat="1" spans="1:6">
      <c r="A14423">
        <v>14834</v>
      </c>
      <c r="B14423">
        <v>652020270</v>
      </c>
      <c r="C14423" s="76">
        <v>2020</v>
      </c>
      <c r="D14423" s="76" t="s">
        <v>31</v>
      </c>
      <c r="E14423" s="76" t="s">
        <v>32</v>
      </c>
      <c r="F14423" s="76">
        <v>10</v>
      </c>
    </row>
    <row r="14424" s="76" customFormat="1" spans="1:6">
      <c r="A14424">
        <v>14835</v>
      </c>
      <c r="B14424">
        <v>652020270</v>
      </c>
      <c r="C14424" s="76">
        <v>2020</v>
      </c>
      <c r="D14424" s="76" t="s">
        <v>31</v>
      </c>
      <c r="E14424" s="76" t="s">
        <v>32</v>
      </c>
      <c r="F14424" s="76">
        <v>10</v>
      </c>
    </row>
    <row r="14425" s="76" customFormat="1" spans="1:6">
      <c r="A14425">
        <v>14827</v>
      </c>
      <c r="B14425">
        <v>652020270</v>
      </c>
      <c r="C14425" s="76">
        <v>2020</v>
      </c>
      <c r="D14425" s="76" t="s">
        <v>31</v>
      </c>
      <c r="E14425" s="76" t="s">
        <v>32</v>
      </c>
      <c r="F14425" s="76">
        <v>10</v>
      </c>
    </row>
    <row r="14426" s="76" customFormat="1" spans="1:6">
      <c r="A14426">
        <v>14826</v>
      </c>
      <c r="B14426">
        <v>652020270</v>
      </c>
      <c r="C14426" s="76">
        <v>2020</v>
      </c>
      <c r="D14426" s="76" t="s">
        <v>31</v>
      </c>
      <c r="E14426" s="76" t="s">
        <v>32</v>
      </c>
      <c r="F14426" s="76">
        <v>10</v>
      </c>
    </row>
    <row r="14427" s="76" customFormat="1" spans="1:6">
      <c r="A14427">
        <v>14825</v>
      </c>
      <c r="B14427">
        <v>652020270</v>
      </c>
      <c r="C14427" s="76">
        <v>2020</v>
      </c>
      <c r="D14427" s="76" t="s">
        <v>31</v>
      </c>
      <c r="E14427" s="76" t="s">
        <v>32</v>
      </c>
      <c r="F14427" s="76">
        <v>4.45</v>
      </c>
    </row>
    <row r="14428" s="76" customFormat="1" spans="1:6">
      <c r="A14428">
        <v>14824</v>
      </c>
      <c r="B14428">
        <v>652020270</v>
      </c>
      <c r="C14428" s="76">
        <v>2020</v>
      </c>
      <c r="D14428" s="76" t="s">
        <v>31</v>
      </c>
      <c r="E14428" s="76" t="s">
        <v>32</v>
      </c>
      <c r="F14428" s="76">
        <v>5</v>
      </c>
    </row>
    <row r="14429" s="76" customFormat="1" spans="1:6">
      <c r="A14429">
        <v>14837</v>
      </c>
      <c r="B14429">
        <v>652020270</v>
      </c>
      <c r="C14429" s="76">
        <v>2020</v>
      </c>
      <c r="D14429" s="76" t="s">
        <v>31</v>
      </c>
      <c r="E14429" s="76" t="s">
        <v>32</v>
      </c>
      <c r="F14429" s="76">
        <v>5</v>
      </c>
    </row>
    <row r="14430" s="76" customFormat="1" spans="1:6">
      <c r="A14430">
        <v>14836</v>
      </c>
      <c r="B14430">
        <v>652020270</v>
      </c>
      <c r="C14430" s="76">
        <v>2020</v>
      </c>
      <c r="D14430" s="76" t="s">
        <v>31</v>
      </c>
      <c r="E14430" s="76" t="s">
        <v>32</v>
      </c>
      <c r="F14430" s="76">
        <v>20</v>
      </c>
    </row>
    <row r="14431" s="76" customFormat="1" spans="1:6">
      <c r="A14431">
        <v>14830</v>
      </c>
      <c r="B14431">
        <v>652020270</v>
      </c>
      <c r="C14431" s="76">
        <v>2020</v>
      </c>
      <c r="D14431" s="76" t="s">
        <v>31</v>
      </c>
      <c r="E14431" s="76" t="s">
        <v>32</v>
      </c>
      <c r="F14431" s="76">
        <v>2</v>
      </c>
    </row>
    <row r="14432" s="76" customFormat="1" spans="1:6">
      <c r="A14432">
        <v>14828</v>
      </c>
      <c r="B14432">
        <v>652020270</v>
      </c>
      <c r="C14432" s="76">
        <v>2020</v>
      </c>
      <c r="D14432" s="76" t="s">
        <v>31</v>
      </c>
      <c r="E14432" s="76" t="s">
        <v>32</v>
      </c>
      <c r="F14432" s="76">
        <v>10</v>
      </c>
    </row>
    <row r="14433" s="76" customFormat="1" spans="1:6">
      <c r="A14433">
        <v>14806</v>
      </c>
      <c r="B14433">
        <v>652020270</v>
      </c>
      <c r="C14433" s="76">
        <v>2020</v>
      </c>
      <c r="D14433" s="76" t="s">
        <v>31</v>
      </c>
      <c r="E14433" s="76" t="s">
        <v>32</v>
      </c>
      <c r="F14433" s="76">
        <v>3</v>
      </c>
    </row>
    <row r="14434" s="76" customFormat="1" spans="1:6">
      <c r="A14434">
        <v>14817</v>
      </c>
      <c r="B14434">
        <v>652020270</v>
      </c>
      <c r="C14434" s="76">
        <v>2020</v>
      </c>
      <c r="D14434" s="76" t="s">
        <v>31</v>
      </c>
      <c r="E14434" s="76" t="s">
        <v>32</v>
      </c>
      <c r="F14434" s="76">
        <v>3</v>
      </c>
    </row>
    <row r="14435" s="76" customFormat="1" spans="1:6">
      <c r="A14435">
        <v>14818</v>
      </c>
      <c r="B14435">
        <v>652020270</v>
      </c>
      <c r="C14435" s="76">
        <v>2020</v>
      </c>
      <c r="D14435" s="76" t="s">
        <v>31</v>
      </c>
      <c r="E14435" s="76" t="s">
        <v>32</v>
      </c>
      <c r="F14435" s="76">
        <v>2</v>
      </c>
    </row>
    <row r="14436" s="76" customFormat="1" spans="1:6">
      <c r="A14436">
        <v>14811</v>
      </c>
      <c r="B14436">
        <v>652020270</v>
      </c>
      <c r="C14436" s="76">
        <v>2020</v>
      </c>
      <c r="D14436" s="76" t="s">
        <v>31</v>
      </c>
      <c r="E14436" s="76" t="s">
        <v>32</v>
      </c>
      <c r="F14436" s="76">
        <v>2</v>
      </c>
    </row>
    <row r="14437" s="76" customFormat="1" spans="1:6">
      <c r="A14437">
        <v>14810</v>
      </c>
      <c r="B14437">
        <v>652020270</v>
      </c>
      <c r="C14437" s="76">
        <v>2020</v>
      </c>
      <c r="D14437" s="76" t="s">
        <v>31</v>
      </c>
      <c r="E14437" s="76">
        <v>19</v>
      </c>
      <c r="F14437" s="76">
        <v>6</v>
      </c>
    </row>
    <row r="14438" s="76" customFormat="1" spans="1:6">
      <c r="A14438">
        <v>14820</v>
      </c>
      <c r="B14438">
        <v>652020270</v>
      </c>
      <c r="C14438" s="76">
        <v>2020</v>
      </c>
      <c r="D14438" s="76" t="s">
        <v>31</v>
      </c>
      <c r="E14438" s="76" t="s">
        <v>32</v>
      </c>
      <c r="F14438" s="76">
        <v>5</v>
      </c>
    </row>
    <row r="14439" s="76" customFormat="1" spans="1:6">
      <c r="A14439">
        <v>14814</v>
      </c>
      <c r="B14439">
        <v>652020270</v>
      </c>
      <c r="C14439" s="76">
        <v>2020</v>
      </c>
      <c r="D14439" s="76" t="s">
        <v>31</v>
      </c>
      <c r="E14439" s="76" t="s">
        <v>32</v>
      </c>
      <c r="F14439" s="76">
        <v>10</v>
      </c>
    </row>
    <row r="14440" s="76" customFormat="1" spans="1:6">
      <c r="A14440">
        <v>14821</v>
      </c>
      <c r="B14440">
        <v>652020270</v>
      </c>
      <c r="C14440" s="76">
        <v>2020</v>
      </c>
      <c r="D14440" s="76" t="s">
        <v>31</v>
      </c>
      <c r="E14440" s="76" t="s">
        <v>32</v>
      </c>
      <c r="F14440" s="76">
        <v>6</v>
      </c>
    </row>
    <row r="14441" s="76" customFormat="1" spans="1:6">
      <c r="A14441">
        <v>14833</v>
      </c>
      <c r="B14441">
        <v>652020270</v>
      </c>
      <c r="C14441" s="76">
        <v>2020</v>
      </c>
      <c r="D14441" s="76" t="s">
        <v>31</v>
      </c>
      <c r="E14441" s="76" t="s">
        <v>32</v>
      </c>
      <c r="F14441" s="76">
        <v>10</v>
      </c>
    </row>
    <row r="14442" s="76" customFormat="1" spans="1:6">
      <c r="A14442">
        <v>14822</v>
      </c>
      <c r="B14442">
        <v>652020270</v>
      </c>
      <c r="C14442" s="76">
        <v>2020</v>
      </c>
      <c r="D14442" s="76" t="s">
        <v>31</v>
      </c>
      <c r="E14442" s="76" t="s">
        <v>32</v>
      </c>
      <c r="F14442" s="76">
        <v>2</v>
      </c>
    </row>
    <row r="14443" s="76" customFormat="1" spans="1:6">
      <c r="A14443">
        <v>14812</v>
      </c>
      <c r="B14443">
        <v>652020270</v>
      </c>
      <c r="C14443" s="76">
        <v>2020</v>
      </c>
      <c r="D14443" s="76" t="s">
        <v>31</v>
      </c>
      <c r="E14443" s="76" t="s">
        <v>32</v>
      </c>
      <c r="F14443" s="76">
        <v>3.53</v>
      </c>
    </row>
    <row r="14444" s="76" customFormat="1" spans="1:6">
      <c r="A14444">
        <v>14813</v>
      </c>
      <c r="B14444">
        <v>652020270</v>
      </c>
      <c r="C14444" s="76">
        <v>2020</v>
      </c>
      <c r="D14444" s="76" t="s">
        <v>31</v>
      </c>
      <c r="E14444" s="76" t="s">
        <v>32</v>
      </c>
      <c r="F14444" s="76">
        <v>5</v>
      </c>
    </row>
    <row r="14445" s="76" customFormat="1" spans="1:6">
      <c r="A14445">
        <v>14832</v>
      </c>
      <c r="B14445">
        <v>652020270</v>
      </c>
      <c r="C14445" s="76">
        <v>2020</v>
      </c>
      <c r="D14445" s="76" t="s">
        <v>31</v>
      </c>
      <c r="E14445" s="76" t="s">
        <v>32</v>
      </c>
      <c r="F14445" s="76">
        <v>2</v>
      </c>
    </row>
    <row r="14446" s="76" customFormat="1" spans="1:6">
      <c r="A14446">
        <v>14831</v>
      </c>
      <c r="B14446">
        <v>652020270</v>
      </c>
      <c r="C14446" s="76">
        <v>2020</v>
      </c>
      <c r="D14446" s="76" t="s">
        <v>31</v>
      </c>
      <c r="E14446" s="76" t="s">
        <v>32</v>
      </c>
      <c r="F14446" s="76">
        <v>2</v>
      </c>
    </row>
    <row r="14447" s="76" customFormat="1" spans="1:6">
      <c r="A14447">
        <v>14808</v>
      </c>
      <c r="B14447">
        <v>652020270</v>
      </c>
      <c r="C14447" s="76">
        <v>2020</v>
      </c>
      <c r="D14447" s="76" t="s">
        <v>31</v>
      </c>
      <c r="E14447" s="76">
        <v>1</v>
      </c>
      <c r="F14447" s="76">
        <v>2</v>
      </c>
    </row>
    <row r="14448" s="76" customFormat="1" spans="1:6">
      <c r="A14448">
        <v>14807</v>
      </c>
      <c r="B14448">
        <v>652020270</v>
      </c>
      <c r="C14448" s="76">
        <v>2020</v>
      </c>
      <c r="D14448" s="76" t="s">
        <v>31</v>
      </c>
      <c r="E14448" s="76" t="s">
        <v>32</v>
      </c>
      <c r="F14448" s="76">
        <v>5</v>
      </c>
    </row>
    <row r="14449" s="76" customFormat="1" spans="1:6">
      <c r="A14449">
        <v>14809</v>
      </c>
      <c r="B14449">
        <v>652020270</v>
      </c>
      <c r="C14449" s="76">
        <v>2020</v>
      </c>
      <c r="D14449" s="76" t="s">
        <v>31</v>
      </c>
      <c r="E14449" s="76" t="s">
        <v>32</v>
      </c>
      <c r="F14449" s="76">
        <v>9</v>
      </c>
    </row>
    <row r="14450" s="76" customFormat="1" spans="1:6">
      <c r="A14450">
        <v>14823</v>
      </c>
      <c r="B14450">
        <v>652020270</v>
      </c>
      <c r="C14450" s="76">
        <v>2020</v>
      </c>
      <c r="D14450" s="76" t="s">
        <v>31</v>
      </c>
      <c r="E14450" s="76" t="s">
        <v>32</v>
      </c>
      <c r="F14450" s="76">
        <v>2</v>
      </c>
    </row>
    <row r="14451" s="76" customFormat="1" spans="1:6">
      <c r="A14451">
        <v>14816</v>
      </c>
      <c r="B14451">
        <v>652020270</v>
      </c>
      <c r="C14451" s="76">
        <v>2020</v>
      </c>
      <c r="D14451" s="76" t="s">
        <v>31</v>
      </c>
      <c r="E14451" s="76" t="s">
        <v>32</v>
      </c>
      <c r="F14451" s="76">
        <v>6</v>
      </c>
    </row>
    <row r="14452" s="77" customFormat="1" spans="1:6">
      <c r="A14452">
        <v>14819</v>
      </c>
      <c r="B14452">
        <v>652020270</v>
      </c>
      <c r="C14452" s="76">
        <v>2020</v>
      </c>
      <c r="D14452" s="76" t="s">
        <v>31</v>
      </c>
      <c r="E14452" s="76" t="s">
        <v>32</v>
      </c>
      <c r="F14452" s="76">
        <v>2</v>
      </c>
    </row>
    <row r="14453" s="76" customFormat="1" spans="1:6">
      <c r="A14453">
        <v>14829</v>
      </c>
      <c r="B14453">
        <v>652020270</v>
      </c>
      <c r="C14453" s="76">
        <v>2020</v>
      </c>
      <c r="D14453" s="76" t="s">
        <v>31</v>
      </c>
      <c r="E14453" s="76" t="s">
        <v>32</v>
      </c>
      <c r="F14453" s="76">
        <v>5</v>
      </c>
    </row>
    <row r="14454" s="76" customFormat="1" spans="1:6">
      <c r="A14454">
        <v>14838</v>
      </c>
      <c r="B14454">
        <v>652020283</v>
      </c>
      <c r="C14454" s="76">
        <v>2020</v>
      </c>
      <c r="D14454" s="76" t="s">
        <v>41</v>
      </c>
      <c r="E14454" s="76" t="s">
        <v>32</v>
      </c>
      <c r="F14454" s="76">
        <v>1</v>
      </c>
    </row>
    <row r="14455" s="76" customFormat="1" spans="1:6">
      <c r="A14455">
        <v>14841</v>
      </c>
      <c r="B14455">
        <v>652020283</v>
      </c>
      <c r="C14455" s="76">
        <v>2020</v>
      </c>
      <c r="D14455" s="76" t="s">
        <v>41</v>
      </c>
      <c r="E14455" s="76" t="s">
        <v>32</v>
      </c>
      <c r="F14455" s="76">
        <v>1</v>
      </c>
    </row>
    <row r="14456" s="76" customFormat="1" spans="1:6">
      <c r="A14456">
        <v>14840</v>
      </c>
      <c r="B14456">
        <v>652020283</v>
      </c>
      <c r="C14456" s="76">
        <v>2020</v>
      </c>
      <c r="D14456" s="76" t="s">
        <v>41</v>
      </c>
      <c r="E14456" s="76" t="s">
        <v>32</v>
      </c>
      <c r="F14456" s="76">
        <v>2.8</v>
      </c>
    </row>
    <row r="14457" s="76" customFormat="1" spans="1:6">
      <c r="A14457">
        <v>14843</v>
      </c>
      <c r="B14457">
        <v>652020283</v>
      </c>
      <c r="C14457" s="76">
        <v>2020</v>
      </c>
      <c r="D14457" s="76" t="s">
        <v>41</v>
      </c>
      <c r="E14457" s="76" t="s">
        <v>32</v>
      </c>
      <c r="F14457" s="76">
        <v>2.8</v>
      </c>
    </row>
    <row r="14458" s="76" customFormat="1" spans="1:6">
      <c r="A14458">
        <v>14839</v>
      </c>
      <c r="B14458">
        <v>652020283</v>
      </c>
      <c r="C14458" s="76">
        <v>2020</v>
      </c>
      <c r="D14458" s="76" t="s">
        <v>41</v>
      </c>
      <c r="E14458" s="76" t="s">
        <v>32</v>
      </c>
      <c r="F14458" s="76">
        <v>1.2</v>
      </c>
    </row>
    <row r="14459" s="76" customFormat="1" spans="1:6">
      <c r="A14459">
        <v>14842</v>
      </c>
      <c r="B14459">
        <v>652020283</v>
      </c>
      <c r="C14459" s="76">
        <v>2020</v>
      </c>
      <c r="D14459" s="76" t="s">
        <v>41</v>
      </c>
      <c r="E14459" s="76" t="s">
        <v>32</v>
      </c>
      <c r="F14459" s="76">
        <v>1.2</v>
      </c>
    </row>
    <row r="14460" s="76" customFormat="1" spans="1:6">
      <c r="A14460">
        <v>14844</v>
      </c>
      <c r="B14460">
        <v>652020283</v>
      </c>
      <c r="C14460" s="76">
        <v>2020</v>
      </c>
      <c r="D14460" s="76" t="s">
        <v>41</v>
      </c>
      <c r="E14460" s="76" t="s">
        <v>32</v>
      </c>
      <c r="F14460" s="76">
        <v>0.7</v>
      </c>
    </row>
    <row r="14461" s="76" customFormat="1" spans="1:6">
      <c r="A14461">
        <v>14851</v>
      </c>
      <c r="B14461">
        <v>652021110</v>
      </c>
      <c r="C14461" s="76">
        <v>2021</v>
      </c>
      <c r="D14461" s="76" t="s">
        <v>40</v>
      </c>
      <c r="E14461" s="76" t="s">
        <v>32</v>
      </c>
      <c r="F14461" s="76">
        <v>2.81</v>
      </c>
    </row>
    <row r="14462" s="76" customFormat="1" spans="1:6">
      <c r="A14462">
        <v>14855</v>
      </c>
      <c r="B14462">
        <v>652021110</v>
      </c>
      <c r="C14462" s="76">
        <v>2021</v>
      </c>
      <c r="D14462" s="76" t="s">
        <v>40</v>
      </c>
      <c r="E14462" s="76" t="s">
        <v>32</v>
      </c>
      <c r="F14462" s="76">
        <v>6</v>
      </c>
    </row>
    <row r="14463" s="76" customFormat="1" spans="1:6">
      <c r="A14463">
        <v>14857</v>
      </c>
      <c r="B14463">
        <v>652021110</v>
      </c>
      <c r="C14463" s="76">
        <v>2021</v>
      </c>
      <c r="D14463" s="76" t="s">
        <v>40</v>
      </c>
      <c r="E14463" s="76" t="s">
        <v>32</v>
      </c>
      <c r="F14463" s="76">
        <v>1.08</v>
      </c>
    </row>
    <row r="14464" s="76" customFormat="1" spans="1:6">
      <c r="A14464">
        <v>14845</v>
      </c>
      <c r="B14464">
        <v>652021110</v>
      </c>
      <c r="C14464" s="76">
        <v>2021</v>
      </c>
      <c r="D14464" s="76" t="s">
        <v>40</v>
      </c>
      <c r="E14464" s="76">
        <v>2</v>
      </c>
      <c r="F14464" s="76">
        <v>10</v>
      </c>
    </row>
    <row r="14465" s="76" customFormat="1" spans="1:6">
      <c r="A14465">
        <v>14861</v>
      </c>
      <c r="B14465">
        <v>652021110</v>
      </c>
      <c r="C14465" s="76">
        <v>2021</v>
      </c>
      <c r="D14465" s="76" t="s">
        <v>40</v>
      </c>
      <c r="E14465" s="76" t="s">
        <v>32</v>
      </c>
      <c r="F14465" s="76">
        <v>0.03</v>
      </c>
    </row>
    <row r="14466" s="76" customFormat="1" spans="1:6">
      <c r="A14466">
        <v>14853</v>
      </c>
      <c r="B14466">
        <v>652021110</v>
      </c>
      <c r="C14466" s="76">
        <v>2021</v>
      </c>
      <c r="D14466" s="76" t="s">
        <v>40</v>
      </c>
      <c r="E14466" s="76" t="s">
        <v>32</v>
      </c>
      <c r="F14466" s="76">
        <v>2.6</v>
      </c>
    </row>
    <row r="14467" s="76" customFormat="1" spans="1:6">
      <c r="A14467">
        <v>14852</v>
      </c>
      <c r="B14467">
        <v>652021110</v>
      </c>
      <c r="C14467" s="76">
        <v>2021</v>
      </c>
      <c r="D14467" s="76" t="s">
        <v>40</v>
      </c>
      <c r="E14467" s="76" t="s">
        <v>32</v>
      </c>
      <c r="F14467" s="76">
        <v>1.96</v>
      </c>
    </row>
    <row r="14468" s="76" customFormat="1" spans="1:6">
      <c r="A14468">
        <v>14850</v>
      </c>
      <c r="B14468">
        <v>652021110</v>
      </c>
      <c r="C14468" s="76">
        <v>2021</v>
      </c>
      <c r="D14468" s="76" t="s">
        <v>40</v>
      </c>
      <c r="E14468" s="76" t="s">
        <v>32</v>
      </c>
      <c r="F14468" s="76">
        <v>0.8</v>
      </c>
    </row>
    <row r="14469" s="76" customFormat="1" spans="1:6">
      <c r="A14469">
        <v>14866</v>
      </c>
      <c r="B14469">
        <v>652021110</v>
      </c>
      <c r="C14469" s="76">
        <v>2021</v>
      </c>
      <c r="D14469" s="76" t="s">
        <v>40</v>
      </c>
      <c r="E14469" s="76" t="s">
        <v>32</v>
      </c>
      <c r="F14469" s="76">
        <v>0.59</v>
      </c>
    </row>
    <row r="14470" s="76" customFormat="1" spans="1:6">
      <c r="A14470">
        <v>14865</v>
      </c>
      <c r="B14470">
        <v>652021110</v>
      </c>
      <c r="C14470" s="76">
        <v>2021</v>
      </c>
      <c r="D14470" s="76" t="s">
        <v>40</v>
      </c>
      <c r="E14470" s="76" t="s">
        <v>32</v>
      </c>
      <c r="F14470" s="76">
        <v>0.9</v>
      </c>
    </row>
    <row r="14471" s="76" customFormat="1" spans="1:6">
      <c r="A14471">
        <v>14846</v>
      </c>
      <c r="B14471">
        <v>652021110</v>
      </c>
      <c r="C14471" s="76">
        <v>2021</v>
      </c>
      <c r="D14471" s="76" t="s">
        <v>40</v>
      </c>
      <c r="E14471" s="76">
        <v>3</v>
      </c>
      <c r="F14471" s="76">
        <v>15</v>
      </c>
    </row>
    <row r="14472" s="76" customFormat="1" spans="1:6">
      <c r="A14472">
        <v>14847</v>
      </c>
      <c r="B14472">
        <v>652021110</v>
      </c>
      <c r="C14472" s="76">
        <v>2021</v>
      </c>
      <c r="D14472" s="76" t="s">
        <v>40</v>
      </c>
      <c r="E14472" s="76">
        <v>2</v>
      </c>
      <c r="F14472" s="76">
        <v>0.5</v>
      </c>
    </row>
    <row r="14473" s="76" customFormat="1" spans="1:6">
      <c r="A14473">
        <v>14858</v>
      </c>
      <c r="B14473">
        <v>652021110</v>
      </c>
      <c r="C14473" s="76">
        <v>2021</v>
      </c>
      <c r="D14473" s="76" t="s">
        <v>40</v>
      </c>
      <c r="E14473" s="76" t="s">
        <v>32</v>
      </c>
      <c r="F14473" s="76">
        <v>1.45</v>
      </c>
    </row>
    <row r="14474" s="76" customFormat="1" spans="1:6">
      <c r="A14474">
        <v>14862</v>
      </c>
      <c r="B14474">
        <v>652021110</v>
      </c>
      <c r="C14474" s="76">
        <v>2021</v>
      </c>
      <c r="D14474" s="76" t="s">
        <v>40</v>
      </c>
      <c r="E14474" s="76" t="s">
        <v>32</v>
      </c>
      <c r="F14474" s="76">
        <v>0.01</v>
      </c>
    </row>
    <row r="14475" s="76" customFormat="1" spans="1:6">
      <c r="A14475">
        <v>14860</v>
      </c>
      <c r="B14475">
        <v>652021110</v>
      </c>
      <c r="C14475" s="76">
        <v>2021</v>
      </c>
      <c r="D14475" s="76" t="s">
        <v>40</v>
      </c>
      <c r="E14475" s="76" t="s">
        <v>32</v>
      </c>
      <c r="F14475" s="76">
        <v>0.6</v>
      </c>
    </row>
    <row r="14476" s="76" customFormat="1" spans="1:6">
      <c r="A14476">
        <v>14864</v>
      </c>
      <c r="B14476">
        <v>652021110</v>
      </c>
      <c r="C14476" s="76">
        <v>2021</v>
      </c>
      <c r="D14476" s="76" t="s">
        <v>40</v>
      </c>
      <c r="E14476" s="76" t="s">
        <v>32</v>
      </c>
      <c r="F14476" s="76">
        <v>0.8</v>
      </c>
    </row>
    <row r="14477" s="76" customFormat="1" spans="1:6">
      <c r="A14477">
        <v>14856</v>
      </c>
      <c r="B14477">
        <v>652021110</v>
      </c>
      <c r="C14477" s="76">
        <v>2021</v>
      </c>
      <c r="D14477" s="76" t="s">
        <v>40</v>
      </c>
      <c r="E14477" s="76" t="s">
        <v>32</v>
      </c>
      <c r="F14477" s="76">
        <v>1.14</v>
      </c>
    </row>
    <row r="14478" s="76" customFormat="1" spans="1:6">
      <c r="A14478">
        <v>14854</v>
      </c>
      <c r="B14478">
        <v>652021110</v>
      </c>
      <c r="C14478" s="76">
        <v>2021</v>
      </c>
      <c r="D14478" s="76" t="s">
        <v>40</v>
      </c>
      <c r="E14478" s="76" t="s">
        <v>32</v>
      </c>
      <c r="F14478" s="76">
        <v>6.2</v>
      </c>
    </row>
    <row r="14479" s="76" customFormat="1" spans="1:6">
      <c r="A14479">
        <v>14849</v>
      </c>
      <c r="B14479">
        <v>652021110</v>
      </c>
      <c r="C14479" s="76">
        <v>2021</v>
      </c>
      <c r="D14479" s="76" t="s">
        <v>40</v>
      </c>
      <c r="E14479" s="76" t="s">
        <v>32</v>
      </c>
      <c r="F14479" s="76">
        <v>2</v>
      </c>
    </row>
    <row r="14480" s="76" customFormat="1" spans="1:6">
      <c r="A14480">
        <v>14863</v>
      </c>
      <c r="B14480">
        <v>652021110</v>
      </c>
      <c r="C14480" s="76">
        <v>2021</v>
      </c>
      <c r="D14480" s="76" t="s">
        <v>40</v>
      </c>
      <c r="E14480" s="76" t="s">
        <v>32</v>
      </c>
      <c r="F14480" s="76">
        <v>1</v>
      </c>
    </row>
    <row r="14481" s="76" customFormat="1" spans="1:6">
      <c r="A14481">
        <v>14848</v>
      </c>
      <c r="B14481">
        <v>652021110</v>
      </c>
      <c r="C14481" s="76">
        <v>2021</v>
      </c>
      <c r="D14481" s="76" t="s">
        <v>40</v>
      </c>
      <c r="E14481" s="76">
        <v>6</v>
      </c>
      <c r="F14481" s="76">
        <v>75.5</v>
      </c>
    </row>
    <row r="14482" s="76" customFormat="1" spans="1:6">
      <c r="A14482">
        <v>14859</v>
      </c>
      <c r="B14482">
        <v>652021110</v>
      </c>
      <c r="C14482" s="76">
        <v>2021</v>
      </c>
      <c r="D14482" s="76" t="s">
        <v>40</v>
      </c>
      <c r="E14482" s="76" t="s">
        <v>32</v>
      </c>
      <c r="F14482" s="76">
        <v>0.17</v>
      </c>
    </row>
    <row r="14483" s="76" customFormat="1" spans="1:6">
      <c r="A14483">
        <v>14869</v>
      </c>
      <c r="B14483">
        <v>652021211</v>
      </c>
      <c r="C14483" s="76">
        <v>2021</v>
      </c>
      <c r="D14483" s="76" t="s">
        <v>37</v>
      </c>
      <c r="E14483" s="76">
        <v>1</v>
      </c>
      <c r="F14483" s="76">
        <v>66</v>
      </c>
    </row>
    <row r="14484" s="76" customFormat="1" spans="1:6">
      <c r="A14484">
        <v>14870</v>
      </c>
      <c r="B14484">
        <v>652021211</v>
      </c>
      <c r="C14484" s="76">
        <v>2021</v>
      </c>
      <c r="D14484" s="76" t="s">
        <v>37</v>
      </c>
      <c r="E14484" s="76">
        <v>1</v>
      </c>
      <c r="F14484" s="76">
        <v>66</v>
      </c>
    </row>
    <row r="14485" s="76" customFormat="1" spans="1:6">
      <c r="A14485">
        <v>14868</v>
      </c>
      <c r="B14485">
        <v>652021211</v>
      </c>
      <c r="C14485" s="76">
        <v>2021</v>
      </c>
      <c r="D14485" s="76" t="s">
        <v>37</v>
      </c>
      <c r="E14485" s="76">
        <v>1</v>
      </c>
      <c r="F14485" s="76">
        <v>35</v>
      </c>
    </row>
    <row r="14486" s="76" customFormat="1" spans="1:6">
      <c r="A14486">
        <v>14873</v>
      </c>
      <c r="B14486">
        <v>652021211</v>
      </c>
      <c r="C14486" s="76">
        <v>2021</v>
      </c>
      <c r="D14486" s="76" t="s">
        <v>37</v>
      </c>
      <c r="E14486" s="76" t="s">
        <v>32</v>
      </c>
      <c r="F14486" s="76">
        <v>4</v>
      </c>
    </row>
    <row r="14487" s="76" customFormat="1" spans="1:6">
      <c r="A14487">
        <v>14871</v>
      </c>
      <c r="B14487">
        <v>652021211</v>
      </c>
      <c r="C14487" s="76">
        <v>2021</v>
      </c>
      <c r="D14487" s="76" t="s">
        <v>37</v>
      </c>
      <c r="E14487" s="76" t="s">
        <v>32</v>
      </c>
      <c r="F14487" s="76">
        <v>4.7</v>
      </c>
    </row>
    <row r="14488" s="76" customFormat="1" spans="1:6">
      <c r="A14488">
        <v>14872</v>
      </c>
      <c r="B14488">
        <v>652021211</v>
      </c>
      <c r="C14488" s="76">
        <v>2021</v>
      </c>
      <c r="D14488" s="76" t="s">
        <v>37</v>
      </c>
      <c r="E14488" s="76" t="s">
        <v>32</v>
      </c>
      <c r="F14488" s="76">
        <v>2.1</v>
      </c>
    </row>
    <row r="14489" s="76" customFormat="1" spans="1:6">
      <c r="A14489">
        <v>14874</v>
      </c>
      <c r="B14489">
        <v>652021221</v>
      </c>
      <c r="C14489" s="76">
        <v>2021</v>
      </c>
      <c r="D14489" s="76" t="s">
        <v>30</v>
      </c>
      <c r="E14489" s="76">
        <v>1</v>
      </c>
      <c r="F14489" s="76">
        <v>32</v>
      </c>
    </row>
    <row r="14490" s="76" customFormat="1" spans="1:6">
      <c r="A14490">
        <v>14875</v>
      </c>
      <c r="B14490">
        <v>652021221</v>
      </c>
      <c r="C14490" s="76">
        <v>2021</v>
      </c>
      <c r="D14490" s="76" t="s">
        <v>30</v>
      </c>
      <c r="E14490" s="76" t="s">
        <v>32</v>
      </c>
      <c r="F14490" s="76">
        <v>3.1</v>
      </c>
    </row>
    <row r="14491" s="76" customFormat="1" spans="1:6">
      <c r="A14491">
        <v>14876</v>
      </c>
      <c r="B14491">
        <v>652021241</v>
      </c>
      <c r="C14491" s="76">
        <v>2021</v>
      </c>
      <c r="D14491" s="76" t="s">
        <v>33</v>
      </c>
      <c r="E14491" s="76" t="s">
        <v>32</v>
      </c>
      <c r="F14491" s="76">
        <v>3</v>
      </c>
    </row>
    <row r="14492" s="76" customFormat="1" spans="1:6">
      <c r="A14492">
        <v>14879</v>
      </c>
      <c r="B14492">
        <v>652021242</v>
      </c>
      <c r="C14492" s="76">
        <v>2021</v>
      </c>
      <c r="D14492" s="76" t="s">
        <v>35</v>
      </c>
      <c r="E14492" s="76" t="s">
        <v>32</v>
      </c>
      <c r="F14492" s="76">
        <v>1</v>
      </c>
    </row>
    <row r="14493" s="76" customFormat="1" spans="1:6">
      <c r="A14493">
        <v>14878</v>
      </c>
      <c r="B14493">
        <v>652021242</v>
      </c>
      <c r="C14493" s="76">
        <v>2021</v>
      </c>
      <c r="D14493" s="76" t="s">
        <v>35</v>
      </c>
      <c r="E14493" s="76" t="s">
        <v>32</v>
      </c>
      <c r="F14493" s="76">
        <v>7.6</v>
      </c>
    </row>
    <row r="14494" s="76" customFormat="1" spans="1:6">
      <c r="A14494">
        <v>14880</v>
      </c>
      <c r="B14494">
        <v>652021243</v>
      </c>
      <c r="C14494" s="76">
        <v>2021</v>
      </c>
      <c r="D14494" s="76" t="s">
        <v>38</v>
      </c>
      <c r="E14494" s="76" t="s">
        <v>32</v>
      </c>
      <c r="F14494" s="76">
        <v>3</v>
      </c>
    </row>
    <row r="14495" s="76" customFormat="1" spans="1:6">
      <c r="A14495">
        <v>14888</v>
      </c>
      <c r="B14495">
        <v>652021260</v>
      </c>
      <c r="C14495" s="76">
        <v>2021</v>
      </c>
      <c r="D14495" s="76" t="s">
        <v>34</v>
      </c>
      <c r="E14495" s="76">
        <v>12</v>
      </c>
      <c r="F14495" s="76">
        <v>4.95</v>
      </c>
    </row>
    <row r="14496" s="76" customFormat="1" spans="1:6">
      <c r="A14496">
        <v>14889</v>
      </c>
      <c r="B14496">
        <v>652021260</v>
      </c>
      <c r="C14496" s="76">
        <v>2021</v>
      </c>
      <c r="D14496" s="76" t="s">
        <v>34</v>
      </c>
      <c r="E14496" s="76">
        <v>15</v>
      </c>
      <c r="F14496" s="76">
        <v>4.95</v>
      </c>
    </row>
    <row r="14497" s="76" customFormat="1" spans="1:6">
      <c r="A14497">
        <v>14887</v>
      </c>
      <c r="B14497">
        <v>652021260</v>
      </c>
      <c r="C14497" s="76">
        <v>2021</v>
      </c>
      <c r="D14497" s="76" t="s">
        <v>34</v>
      </c>
      <c r="E14497" s="76">
        <v>20</v>
      </c>
      <c r="F14497" s="76">
        <v>10</v>
      </c>
    </row>
    <row r="14498" s="76" customFormat="1" spans="1:6">
      <c r="A14498">
        <v>14890</v>
      </c>
      <c r="B14498">
        <v>652021260</v>
      </c>
      <c r="C14498" s="76">
        <v>2021</v>
      </c>
      <c r="D14498" s="76" t="s">
        <v>34</v>
      </c>
      <c r="E14498" s="76">
        <v>10</v>
      </c>
      <c r="F14498" s="76">
        <v>4.95</v>
      </c>
    </row>
    <row r="14499" s="76" customFormat="1" spans="1:6">
      <c r="A14499">
        <v>14884</v>
      </c>
      <c r="B14499">
        <v>652021260</v>
      </c>
      <c r="C14499" s="76">
        <v>2021</v>
      </c>
      <c r="D14499" s="76" t="s">
        <v>34</v>
      </c>
      <c r="E14499" s="76">
        <v>12</v>
      </c>
      <c r="F14499" s="76">
        <v>5.8</v>
      </c>
    </row>
    <row r="14500" s="76" customFormat="1" spans="1:6">
      <c r="A14500">
        <v>14885</v>
      </c>
      <c r="B14500">
        <v>652021260</v>
      </c>
      <c r="C14500" s="76">
        <v>2021</v>
      </c>
      <c r="D14500" s="76" t="s">
        <v>34</v>
      </c>
      <c r="E14500" s="76">
        <v>3</v>
      </c>
      <c r="F14500" s="76">
        <v>1</v>
      </c>
    </row>
    <row r="14501" s="76" customFormat="1" spans="1:6">
      <c r="A14501">
        <v>14886</v>
      </c>
      <c r="B14501">
        <v>652021260</v>
      </c>
      <c r="C14501" s="76">
        <v>2021</v>
      </c>
      <c r="D14501" s="76" t="s">
        <v>34</v>
      </c>
      <c r="E14501" s="76">
        <v>9</v>
      </c>
      <c r="F14501" s="76">
        <v>5</v>
      </c>
    </row>
    <row r="14502" s="76" customFormat="1" spans="1:6">
      <c r="A14502">
        <v>14883</v>
      </c>
      <c r="B14502">
        <v>652021260</v>
      </c>
      <c r="C14502" s="76">
        <v>2021</v>
      </c>
      <c r="D14502" s="76" t="s">
        <v>34</v>
      </c>
      <c r="E14502" s="76">
        <v>5</v>
      </c>
      <c r="F14502" s="76">
        <v>2</v>
      </c>
    </row>
    <row r="14503" s="76" customFormat="1" spans="1:6">
      <c r="A14503">
        <v>14881</v>
      </c>
      <c r="B14503">
        <v>652021260</v>
      </c>
      <c r="C14503" s="76">
        <v>2021</v>
      </c>
      <c r="D14503" s="76" t="s">
        <v>34</v>
      </c>
      <c r="E14503" s="76">
        <v>40</v>
      </c>
      <c r="F14503" s="76">
        <v>10</v>
      </c>
    </row>
    <row r="14504" s="76" customFormat="1" spans="1:6">
      <c r="A14504">
        <v>14882</v>
      </c>
      <c r="B14504">
        <v>652021260</v>
      </c>
      <c r="C14504" s="76">
        <v>2021</v>
      </c>
      <c r="D14504" s="76" t="s">
        <v>34</v>
      </c>
      <c r="E14504" s="76">
        <v>80</v>
      </c>
      <c r="F14504" s="76">
        <v>20</v>
      </c>
    </row>
    <row r="14505" s="76" customFormat="1" spans="1:6">
      <c r="A14505">
        <v>14900</v>
      </c>
      <c r="B14505">
        <v>652021270</v>
      </c>
      <c r="C14505" s="76">
        <v>2021</v>
      </c>
      <c r="D14505" s="76" t="s">
        <v>31</v>
      </c>
      <c r="E14505" s="76" t="s">
        <v>32</v>
      </c>
      <c r="F14505" s="76">
        <v>2</v>
      </c>
    </row>
    <row r="14506" s="76" customFormat="1" spans="1:6">
      <c r="A14506">
        <v>14896</v>
      </c>
      <c r="B14506">
        <v>652021270</v>
      </c>
      <c r="C14506" s="76">
        <v>2021</v>
      </c>
      <c r="D14506" s="76" t="s">
        <v>31</v>
      </c>
      <c r="E14506" s="76">
        <v>19</v>
      </c>
      <c r="F14506" s="76">
        <v>6</v>
      </c>
    </row>
    <row r="14507" s="76" customFormat="1" spans="1:6">
      <c r="A14507">
        <v>14899</v>
      </c>
      <c r="B14507">
        <v>652021270</v>
      </c>
      <c r="C14507" s="76">
        <v>2021</v>
      </c>
      <c r="D14507" s="76" t="s">
        <v>31</v>
      </c>
      <c r="E14507" s="76" t="s">
        <v>32</v>
      </c>
      <c r="F14507" s="76">
        <v>5</v>
      </c>
    </row>
    <row r="14508" s="76" customFormat="1" spans="1:6">
      <c r="A14508">
        <v>14891</v>
      </c>
      <c r="B14508">
        <v>652021270</v>
      </c>
      <c r="C14508" s="76">
        <v>2021</v>
      </c>
      <c r="D14508" s="76" t="s">
        <v>31</v>
      </c>
      <c r="E14508" s="76" t="s">
        <v>32</v>
      </c>
      <c r="F14508" s="76">
        <v>6.47</v>
      </c>
    </row>
    <row r="14509" s="76" customFormat="1" spans="1:6">
      <c r="A14509">
        <v>14898</v>
      </c>
      <c r="B14509">
        <v>652021270</v>
      </c>
      <c r="C14509" s="76">
        <v>2021</v>
      </c>
      <c r="D14509" s="76" t="s">
        <v>31</v>
      </c>
      <c r="E14509" s="76" t="s">
        <v>32</v>
      </c>
      <c r="F14509" s="76">
        <v>2</v>
      </c>
    </row>
    <row r="14510" s="76" customFormat="1" spans="1:6">
      <c r="A14510">
        <v>14892</v>
      </c>
      <c r="B14510">
        <v>652021270</v>
      </c>
      <c r="C14510" s="76">
        <v>2021</v>
      </c>
      <c r="D14510" s="76" t="s">
        <v>31</v>
      </c>
      <c r="E14510" s="76" t="s">
        <v>32</v>
      </c>
      <c r="F14510" s="76">
        <v>10</v>
      </c>
    </row>
    <row r="14511" s="76" customFormat="1" spans="1:6">
      <c r="A14511">
        <v>14897</v>
      </c>
      <c r="B14511">
        <v>652021270</v>
      </c>
      <c r="C14511" s="76">
        <v>2021</v>
      </c>
      <c r="D14511" s="76" t="s">
        <v>31</v>
      </c>
      <c r="E14511" s="76" t="s">
        <v>32</v>
      </c>
      <c r="F14511" s="76">
        <v>2.3</v>
      </c>
    </row>
    <row r="14512" s="76" customFormat="1" spans="1:6">
      <c r="A14512">
        <v>14894</v>
      </c>
      <c r="B14512">
        <v>652021270</v>
      </c>
      <c r="C14512" s="76">
        <v>2021</v>
      </c>
      <c r="D14512" s="76" t="s">
        <v>31</v>
      </c>
      <c r="E14512" s="76" t="s">
        <v>32</v>
      </c>
      <c r="F14512" s="76">
        <v>5</v>
      </c>
    </row>
    <row r="14513" s="76" customFormat="1" spans="1:6">
      <c r="A14513">
        <v>14893</v>
      </c>
      <c r="B14513">
        <v>652021270</v>
      </c>
      <c r="C14513" s="76">
        <v>2021</v>
      </c>
      <c r="D14513" s="76" t="s">
        <v>31</v>
      </c>
      <c r="E14513" s="76" t="s">
        <v>32</v>
      </c>
      <c r="F14513" s="76">
        <v>10</v>
      </c>
    </row>
    <row r="14514" s="76" customFormat="1" spans="1:6">
      <c r="A14514">
        <v>14901</v>
      </c>
      <c r="B14514">
        <v>652021283</v>
      </c>
      <c r="C14514" s="76">
        <v>2021</v>
      </c>
      <c r="D14514" s="76" t="s">
        <v>41</v>
      </c>
      <c r="E14514" s="76" t="s">
        <v>32</v>
      </c>
      <c r="F14514" s="76">
        <v>0.3</v>
      </c>
    </row>
  </sheetData>
  <autoFilter xmlns:etc="http://www.wps.cn/officeDocument/2017/etCustomData" ref="A1:F14514" etc:filterBottomFollowUsedRange="0">
    <sortState ref="A1:F14514">
      <sortCondition ref="B1:B14514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opLeftCell="A5" workbookViewId="0">
      <selection activeCell="D15" sqref="D15"/>
    </sheetView>
  </sheetViews>
  <sheetFormatPr defaultColWidth="10.8849557522124" defaultRowHeight="15"/>
  <cols>
    <col min="1" max="1" width="45.1061946902655" style="65" customWidth="1"/>
    <col min="2" max="3" width="8.66371681415929" style="65" customWidth="1"/>
    <col min="4" max="4" width="18.6637168141593" style="65" customWidth="1"/>
    <col min="5" max="5" width="14.3362831858407" style="65" hidden="1" customWidth="1"/>
    <col min="6" max="6" width="14.6637168141593" style="66" customWidth="1"/>
    <col min="7" max="8" width="13.7787610619469" style="66" hidden="1" customWidth="1"/>
    <col min="9" max="9" width="57.1061946902655" style="66" hidden="1" customWidth="1"/>
    <col min="10" max="10" width="10.8849557522124" style="66" hidden="1" customWidth="1"/>
    <col min="11" max="11" width="19.4424778761062" style="65" hidden="1" customWidth="1"/>
    <col min="12" max="16384" width="10.8849557522124" style="66"/>
  </cols>
  <sheetData>
    <row r="1" spans="1:11">
      <c r="A1" s="65" t="s">
        <v>46</v>
      </c>
      <c r="B1" s="65" t="s">
        <v>47</v>
      </c>
      <c r="C1" s="65" t="s">
        <v>48</v>
      </c>
      <c r="D1" s="65" t="s">
        <v>49</v>
      </c>
      <c r="E1" s="65" t="s">
        <v>50</v>
      </c>
      <c r="F1" s="66" t="s">
        <v>51</v>
      </c>
      <c r="G1" s="66" t="s">
        <v>52</v>
      </c>
      <c r="H1" s="66" t="s">
        <v>53</v>
      </c>
      <c r="I1" s="66" t="s">
        <v>54</v>
      </c>
      <c r="J1" s="66" t="s">
        <v>55</v>
      </c>
      <c r="K1" s="65" t="s">
        <v>56</v>
      </c>
    </row>
    <row r="2" ht="30" spans="1:11">
      <c r="A2" s="67" t="s">
        <v>57</v>
      </c>
      <c r="B2" s="67" t="s">
        <v>58</v>
      </c>
      <c r="C2" s="67">
        <v>2021</v>
      </c>
      <c r="D2" s="67" t="s">
        <v>59</v>
      </c>
      <c r="E2" s="68" t="s">
        <v>60</v>
      </c>
      <c r="F2" s="66">
        <v>50</v>
      </c>
      <c r="G2" s="66">
        <v>1.975</v>
      </c>
      <c r="H2" s="66" t="s">
        <v>61</v>
      </c>
      <c r="I2" s="66" t="s">
        <v>62</v>
      </c>
      <c r="J2" s="66" t="s">
        <v>63</v>
      </c>
    </row>
    <row r="3" ht="45" spans="1:11">
      <c r="A3" s="69" t="s">
        <v>64</v>
      </c>
      <c r="B3" s="67" t="s">
        <v>58</v>
      </c>
      <c r="C3" s="69">
        <v>2019</v>
      </c>
      <c r="D3" s="69" t="s">
        <v>65</v>
      </c>
      <c r="E3" s="68" t="s">
        <v>66</v>
      </c>
      <c r="F3" s="66">
        <v>100</v>
      </c>
      <c r="G3" s="66">
        <v>3.9</v>
      </c>
      <c r="H3" s="66" t="s">
        <v>67</v>
      </c>
      <c r="I3" s="66" t="s">
        <v>68</v>
      </c>
      <c r="J3" s="66" t="s">
        <v>63</v>
      </c>
    </row>
    <row r="4" ht="30" spans="1:11">
      <c r="A4" s="69" t="s">
        <v>69</v>
      </c>
      <c r="B4" s="67" t="s">
        <v>58</v>
      </c>
      <c r="C4" s="69">
        <v>2018</v>
      </c>
      <c r="D4" s="69" t="s">
        <v>59</v>
      </c>
      <c r="E4" s="68" t="s">
        <v>70</v>
      </c>
      <c r="F4" s="66">
        <v>50</v>
      </c>
      <c r="G4" s="66">
        <v>1.46</v>
      </c>
      <c r="H4" s="66" t="s">
        <v>67</v>
      </c>
      <c r="I4" s="70" t="s">
        <v>71</v>
      </c>
      <c r="J4" s="66" t="s">
        <v>63</v>
      </c>
    </row>
    <row r="5" ht="45" spans="1:11">
      <c r="A5" s="69" t="s">
        <v>72</v>
      </c>
      <c r="B5" s="67" t="s">
        <v>58</v>
      </c>
      <c r="C5" s="69">
        <v>2019</v>
      </c>
      <c r="D5" s="69" t="s">
        <v>59</v>
      </c>
      <c r="E5" s="68" t="s">
        <v>73</v>
      </c>
      <c r="F5" s="66">
        <v>50</v>
      </c>
      <c r="G5" s="66">
        <v>1.569</v>
      </c>
      <c r="H5" s="66" t="s">
        <v>67</v>
      </c>
      <c r="I5" s="70" t="s">
        <v>74</v>
      </c>
      <c r="J5" s="66" t="s">
        <v>63</v>
      </c>
    </row>
    <row r="6" ht="45" spans="1:11">
      <c r="A6" s="69" t="s">
        <v>75</v>
      </c>
      <c r="B6" s="67" t="s">
        <v>58</v>
      </c>
      <c r="C6" s="69">
        <v>2019</v>
      </c>
      <c r="D6" s="69" t="s">
        <v>76</v>
      </c>
      <c r="E6" s="68" t="s">
        <v>77</v>
      </c>
      <c r="F6" s="66">
        <v>50</v>
      </c>
      <c r="G6" s="66">
        <v>1.983</v>
      </c>
      <c r="H6" s="66" t="s">
        <v>67</v>
      </c>
      <c r="I6" s="70" t="s">
        <v>78</v>
      </c>
      <c r="J6" s="66" t="s">
        <v>63</v>
      </c>
      <c r="K6" s="65" t="s">
        <v>79</v>
      </c>
    </row>
    <row r="7" ht="45" spans="1:11">
      <c r="A7" s="69" t="s">
        <v>80</v>
      </c>
      <c r="B7" s="67" t="s">
        <v>58</v>
      </c>
      <c r="C7" s="69">
        <v>2020</v>
      </c>
      <c r="D7" s="69" t="s">
        <v>65</v>
      </c>
      <c r="E7" s="68" t="s">
        <v>81</v>
      </c>
      <c r="F7" s="66">
        <v>50</v>
      </c>
      <c r="G7" s="66">
        <v>2.14</v>
      </c>
      <c r="H7" s="70" t="s">
        <v>82</v>
      </c>
      <c r="I7" s="70" t="s">
        <v>83</v>
      </c>
      <c r="J7" s="66" t="s">
        <v>63</v>
      </c>
    </row>
    <row r="8" ht="45" spans="1:11">
      <c r="A8" s="69" t="s">
        <v>84</v>
      </c>
      <c r="B8" s="67" t="s">
        <v>58</v>
      </c>
      <c r="C8" s="69">
        <v>2022</v>
      </c>
      <c r="D8" s="69" t="s">
        <v>85</v>
      </c>
      <c r="E8" s="68" t="s">
        <v>86</v>
      </c>
      <c r="F8" s="66">
        <v>100</v>
      </c>
      <c r="G8" s="66">
        <v>3.92</v>
      </c>
      <c r="H8" s="66" t="s">
        <v>61</v>
      </c>
      <c r="I8" s="70" t="s">
        <v>87</v>
      </c>
      <c r="J8" s="66" t="s">
        <v>63</v>
      </c>
      <c r="K8" s="65" t="s">
        <v>88</v>
      </c>
    </row>
    <row r="9" spans="1:11">
      <c r="A9" s="69" t="s">
        <v>89</v>
      </c>
      <c r="B9" s="67" t="s">
        <v>58</v>
      </c>
      <c r="C9" s="69">
        <v>2020</v>
      </c>
      <c r="D9" s="69" t="s">
        <v>59</v>
      </c>
      <c r="E9" s="68" t="s">
        <v>90</v>
      </c>
      <c r="F9" s="66">
        <v>50</v>
      </c>
      <c r="G9" s="66">
        <v>1.6</v>
      </c>
      <c r="H9" s="66" t="s">
        <v>67</v>
      </c>
      <c r="I9" s="66" t="s">
        <v>91</v>
      </c>
      <c r="J9" s="66" t="s">
        <v>63</v>
      </c>
    </row>
    <row r="10" ht="30" spans="1:11">
      <c r="A10" s="69" t="s">
        <v>92</v>
      </c>
      <c r="B10" s="67" t="s">
        <v>58</v>
      </c>
      <c r="C10" s="69">
        <v>2022</v>
      </c>
      <c r="D10" s="69" t="s">
        <v>65</v>
      </c>
      <c r="E10" s="68" t="s">
        <v>93</v>
      </c>
      <c r="F10" s="66">
        <v>50</v>
      </c>
      <c r="G10" s="66">
        <v>2.16</v>
      </c>
      <c r="H10" s="66" t="s">
        <v>67</v>
      </c>
      <c r="I10" s="71">
        <v>44560</v>
      </c>
      <c r="J10" s="66" t="s">
        <v>63</v>
      </c>
      <c r="K10" s="71" t="s">
        <v>94</v>
      </c>
    </row>
    <row r="11" ht="30" spans="1:11">
      <c r="A11" s="72" t="s">
        <v>95</v>
      </c>
      <c r="B11" s="72"/>
      <c r="C11" s="72"/>
      <c r="D11" s="72" t="s">
        <v>65</v>
      </c>
      <c r="E11" s="72"/>
      <c r="F11" s="66">
        <v>50</v>
      </c>
      <c r="G11" s="66">
        <v>2.56</v>
      </c>
      <c r="H11" s="66" t="s">
        <v>61</v>
      </c>
      <c r="J11" s="66" t="s">
        <v>96</v>
      </c>
      <c r="K11" s="71" t="s">
        <v>97</v>
      </c>
    </row>
    <row r="12" ht="45" spans="1:11">
      <c r="A12" s="72" t="s">
        <v>98</v>
      </c>
      <c r="B12" s="72"/>
      <c r="C12" s="72"/>
      <c r="D12" s="72" t="s">
        <v>59</v>
      </c>
      <c r="E12" s="72"/>
      <c r="F12" s="66">
        <v>135</v>
      </c>
      <c r="H12" s="66" t="s">
        <v>67</v>
      </c>
      <c r="J12" s="66" t="s">
        <v>96</v>
      </c>
      <c r="K12" s="65" t="s">
        <v>99</v>
      </c>
    </row>
    <row r="13" ht="30" spans="1:11">
      <c r="A13" s="72" t="s">
        <v>100</v>
      </c>
      <c r="B13" s="72"/>
      <c r="C13" s="72"/>
      <c r="D13" s="72"/>
      <c r="E13" s="72"/>
      <c r="F13" s="66">
        <v>100</v>
      </c>
      <c r="G13" s="66">
        <v>13.7</v>
      </c>
      <c r="H13" s="66" t="s">
        <v>67</v>
      </c>
      <c r="I13" s="66" t="s">
        <v>101</v>
      </c>
      <c r="K13" s="71">
        <v>44645</v>
      </c>
    </row>
    <row r="14" ht="30" spans="1:11">
      <c r="A14" s="72" t="s">
        <v>102</v>
      </c>
      <c r="B14" s="72"/>
      <c r="C14" s="72"/>
      <c r="D14" s="72"/>
      <c r="E14" s="72"/>
      <c r="F14" s="66">
        <v>50</v>
      </c>
      <c r="G14" s="66">
        <v>1.21</v>
      </c>
      <c r="H14" s="66" t="s">
        <v>67</v>
      </c>
    </row>
    <row r="15" ht="30" spans="1:11">
      <c r="A15" s="73" t="s">
        <v>103</v>
      </c>
      <c r="B15" s="73"/>
      <c r="C15" s="73"/>
      <c r="D15" s="73"/>
      <c r="E15" s="73"/>
      <c r="F15" s="66">
        <v>100</v>
      </c>
      <c r="H15" s="66" t="s">
        <v>67</v>
      </c>
      <c r="J15" s="66" t="s">
        <v>104</v>
      </c>
    </row>
    <row r="16" ht="30" spans="1:11">
      <c r="A16" s="73" t="s">
        <v>105</v>
      </c>
      <c r="B16" s="73"/>
      <c r="C16" s="73"/>
      <c r="D16" s="73" t="s">
        <v>65</v>
      </c>
      <c r="E16" s="73"/>
      <c r="F16" s="66">
        <v>50</v>
      </c>
      <c r="H16" s="66" t="s">
        <v>61</v>
      </c>
      <c r="K16" s="65" t="s">
        <v>106</v>
      </c>
    </row>
    <row r="17" spans="1:12">
      <c r="A17" s="74" t="s">
        <v>107</v>
      </c>
      <c r="B17" s="74"/>
      <c r="C17" s="74"/>
      <c r="D17" s="74"/>
      <c r="E17" s="74"/>
      <c r="F17" s="66">
        <v>50</v>
      </c>
      <c r="H17" s="66" t="s">
        <v>61</v>
      </c>
      <c r="K17" s="65" t="s">
        <v>108</v>
      </c>
    </row>
    <row r="18" ht="30" spans="1:12">
      <c r="A18" s="73" t="s">
        <v>109</v>
      </c>
      <c r="B18" s="73"/>
      <c r="C18" s="73"/>
      <c r="D18" s="73"/>
      <c r="E18" s="73"/>
      <c r="F18" s="66">
        <v>100</v>
      </c>
      <c r="H18" s="66" t="s">
        <v>61</v>
      </c>
    </row>
    <row r="19" ht="30" spans="1:12">
      <c r="A19" s="73" t="s">
        <v>110</v>
      </c>
      <c r="B19" s="73"/>
      <c r="C19" s="73"/>
      <c r="D19" s="73"/>
      <c r="E19" s="73"/>
      <c r="F19" s="66">
        <v>64</v>
      </c>
      <c r="G19" s="66">
        <v>3.5</v>
      </c>
      <c r="H19" s="66" t="s">
        <v>61</v>
      </c>
      <c r="K19" s="71" t="s">
        <v>111</v>
      </c>
    </row>
    <row r="20" ht="30" spans="1:12">
      <c r="A20" s="73" t="s">
        <v>112</v>
      </c>
      <c r="B20" s="73"/>
      <c r="C20" s="73"/>
      <c r="D20" s="73"/>
      <c r="E20" s="73"/>
      <c r="F20" s="66">
        <v>50</v>
      </c>
      <c r="H20" s="70" t="s">
        <v>82</v>
      </c>
      <c r="J20" s="66" t="s">
        <v>104</v>
      </c>
    </row>
    <row r="21" ht="30" spans="1:12">
      <c r="A21" s="73" t="s">
        <v>113</v>
      </c>
      <c r="B21" s="73"/>
      <c r="C21" s="73"/>
      <c r="D21" s="73"/>
      <c r="E21" s="73"/>
      <c r="F21" s="66">
        <v>50</v>
      </c>
      <c r="H21" s="70" t="s">
        <v>82</v>
      </c>
      <c r="J21" s="66" t="s">
        <v>104</v>
      </c>
    </row>
    <row r="22" ht="30" spans="1:12">
      <c r="A22" s="73" t="s">
        <v>114</v>
      </c>
      <c r="B22" s="73"/>
      <c r="C22" s="73"/>
      <c r="D22" s="73"/>
      <c r="E22" s="73"/>
      <c r="F22" s="66">
        <v>50</v>
      </c>
      <c r="H22" s="70" t="s">
        <v>82</v>
      </c>
      <c r="K22" s="71">
        <v>42842</v>
      </c>
    </row>
    <row r="27" spans="1:12">
      <c r="L27" s="75"/>
    </row>
    <row r="28" spans="1:12">
      <c r="L28" s="75"/>
    </row>
    <row r="29" spans="1:12">
      <c r="L29" s="75"/>
    </row>
    <row r="30" spans="1:12">
      <c r="L30" s="75"/>
    </row>
  </sheetData>
  <autoFilter xmlns:etc="http://www.wps.cn/officeDocument/2017/etCustomData" ref="A1:K22" etc:filterBottomFollowUsedRange="0">
    <extLst/>
  </autoFilter>
  <mergeCells count="1">
    <mergeCell ref="L27:L3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opLeftCell="A5" workbookViewId="0">
      <selection activeCell="C11" sqref="C11"/>
    </sheetView>
  </sheetViews>
  <sheetFormatPr defaultColWidth="10.212389380531" defaultRowHeight="15" customHeight="1"/>
  <cols>
    <col min="1" max="1" width="16.4424778761062" style="50" customWidth="1"/>
    <col min="2" max="3" width="12.6637168141593" style="50" customWidth="1"/>
    <col min="4" max="4" width="10.1061946902655" style="50" customWidth="1"/>
    <col min="5" max="5" width="12.7787610619469" style="50" customWidth="1"/>
    <col min="6" max="6" width="12.6637168141593" style="50" customWidth="1"/>
    <col min="7" max="7" width="10" style="50" customWidth="1"/>
    <col min="8" max="8" width="10.212389380531" style="50"/>
    <col min="9" max="9" width="56.3362831858407" style="50" customWidth="1"/>
    <col min="10" max="16384" width="10.212389380531" style="50"/>
  </cols>
  <sheetData>
    <row r="1" customHeight="1" spans="1:20">
      <c r="A1" s="51" t="s">
        <v>115</v>
      </c>
      <c r="I1" s="52" t="s">
        <v>116</v>
      </c>
      <c r="O1" s="53"/>
      <c r="P1" s="53"/>
      <c r="Q1" s="53"/>
      <c r="R1" s="53"/>
      <c r="S1" s="53"/>
      <c r="T1" s="53"/>
    </row>
    <row r="2" customHeight="1" spans="1:20">
      <c r="I2" s="52"/>
      <c r="N2" s="53"/>
      <c r="O2" s="53"/>
      <c r="P2" s="53"/>
      <c r="Q2" s="53"/>
      <c r="R2" s="53"/>
      <c r="S2" s="53"/>
      <c r="T2" s="53"/>
    </row>
    <row r="3" customHeight="1" spans="1:20">
      <c r="A3" s="54"/>
      <c r="B3" s="55" t="s">
        <v>117</v>
      </c>
      <c r="C3" s="56"/>
      <c r="D3" s="56"/>
      <c r="E3" s="57" t="s">
        <v>118</v>
      </c>
      <c r="F3" s="58"/>
      <c r="G3" s="58"/>
      <c r="I3" s="52"/>
      <c r="N3" s="53"/>
      <c r="O3" s="53"/>
      <c r="P3" s="53"/>
      <c r="Q3" s="53"/>
      <c r="R3" s="53"/>
      <c r="S3" s="53"/>
      <c r="T3" s="53"/>
    </row>
    <row r="4" ht="51.75" spans="1:20">
      <c r="A4" s="59"/>
      <c r="B4" s="55" t="s">
        <v>119</v>
      </c>
      <c r="C4" s="55" t="s">
        <v>120</v>
      </c>
      <c r="D4" s="55" t="s">
        <v>121</v>
      </c>
      <c r="E4" s="57" t="s">
        <v>119</v>
      </c>
      <c r="F4" s="57" t="s">
        <v>120</v>
      </c>
      <c r="G4" s="57" t="s">
        <v>121</v>
      </c>
      <c r="I4" s="52"/>
      <c r="N4" s="53"/>
      <c r="O4" s="53"/>
      <c r="P4" s="53"/>
      <c r="Q4" s="53"/>
      <c r="R4" s="53"/>
      <c r="S4" s="53"/>
      <c r="T4" s="53"/>
    </row>
    <row r="5" customHeight="1" spans="1:20">
      <c r="A5" s="60" t="s">
        <v>122</v>
      </c>
      <c r="B5" s="61">
        <v>4000</v>
      </c>
      <c r="C5" s="61">
        <v>2500</v>
      </c>
      <c r="D5" s="56"/>
      <c r="E5" s="62">
        <v>8000</v>
      </c>
      <c r="F5" s="62">
        <v>3000</v>
      </c>
      <c r="G5" s="58"/>
      <c r="I5" s="52"/>
      <c r="N5" s="53"/>
      <c r="O5" s="53"/>
      <c r="P5" s="53"/>
      <c r="Q5" s="53"/>
      <c r="R5" s="53"/>
      <c r="S5" s="53"/>
      <c r="T5" s="53"/>
    </row>
    <row r="6" customHeight="1" spans="1:20">
      <c r="A6" s="60" t="s">
        <v>123</v>
      </c>
      <c r="B6" s="61">
        <v>4000</v>
      </c>
      <c r="C6" s="61">
        <v>2500</v>
      </c>
      <c r="D6" s="61">
        <v>10</v>
      </c>
      <c r="E6" s="62">
        <v>5000</v>
      </c>
      <c r="F6" s="62">
        <v>4600</v>
      </c>
      <c r="G6" s="62">
        <v>10</v>
      </c>
      <c r="I6" s="52"/>
      <c r="N6" s="53"/>
      <c r="O6" s="53"/>
      <c r="P6" s="53"/>
      <c r="Q6" s="53"/>
      <c r="R6" s="53"/>
      <c r="S6" s="53"/>
      <c r="T6" s="53"/>
    </row>
    <row r="7" customHeight="1" spans="1:20">
      <c r="A7" s="60" t="s">
        <v>124</v>
      </c>
      <c r="B7" s="61">
        <v>7000</v>
      </c>
      <c r="C7" s="61">
        <v>11000</v>
      </c>
      <c r="D7" s="61">
        <v>10</v>
      </c>
      <c r="E7" s="62">
        <v>9800</v>
      </c>
      <c r="F7" s="62">
        <v>13600</v>
      </c>
      <c r="G7" s="63">
        <v>10.4</v>
      </c>
      <c r="I7" s="52"/>
      <c r="N7" s="53"/>
      <c r="O7" s="53"/>
      <c r="P7" s="53"/>
      <c r="Q7" s="53"/>
      <c r="R7" s="53"/>
      <c r="S7" s="53"/>
      <c r="T7" s="53"/>
    </row>
    <row r="8" customHeight="1" spans="1:20">
      <c r="A8" s="60" t="s">
        <v>125</v>
      </c>
      <c r="B8" s="61">
        <v>500</v>
      </c>
      <c r="C8" s="61">
        <v>5500</v>
      </c>
      <c r="D8" s="56"/>
      <c r="E8" s="62">
        <v>1000</v>
      </c>
      <c r="F8" s="62">
        <v>5700</v>
      </c>
      <c r="G8" s="58"/>
      <c r="I8" s="52"/>
      <c r="N8" s="53"/>
      <c r="O8" s="53"/>
      <c r="P8" s="53"/>
      <c r="Q8" s="53"/>
      <c r="R8" s="53"/>
      <c r="S8" s="53"/>
      <c r="T8" s="53"/>
    </row>
    <row r="9" customHeight="1" spans="1:20">
      <c r="A9" s="60" t="s">
        <v>85</v>
      </c>
      <c r="B9" s="61">
        <v>450</v>
      </c>
      <c r="C9" s="61">
        <v>1850</v>
      </c>
      <c r="D9" s="56"/>
      <c r="E9" s="62">
        <v>950</v>
      </c>
      <c r="F9" s="62">
        <v>1950</v>
      </c>
      <c r="G9" s="58"/>
      <c r="N9" s="53"/>
      <c r="O9" s="53"/>
      <c r="P9" s="53"/>
      <c r="Q9" s="53"/>
      <c r="R9" s="53"/>
      <c r="S9" s="53"/>
      <c r="T9" s="53"/>
    </row>
    <row r="10" customHeight="1" spans="1:20">
      <c r="A10" s="60" t="s">
        <v>126</v>
      </c>
      <c r="B10" s="61">
        <v>5000</v>
      </c>
      <c r="C10" s="61">
        <v>5000</v>
      </c>
      <c r="D10" s="61">
        <v>10</v>
      </c>
      <c r="E10" s="62">
        <v>8000</v>
      </c>
      <c r="F10" s="62">
        <v>6000</v>
      </c>
      <c r="G10" s="62">
        <v>10</v>
      </c>
      <c r="N10" s="53"/>
      <c r="O10" s="53"/>
      <c r="P10" s="53"/>
      <c r="Q10" s="53"/>
      <c r="R10" s="53"/>
      <c r="S10" s="53"/>
      <c r="T10" s="53"/>
    </row>
    <row r="11" customHeight="1" spans="1:20">
      <c r="A11" s="60" t="s">
        <v>127</v>
      </c>
      <c r="B11" s="61">
        <v>5700</v>
      </c>
      <c r="C11" s="61">
        <v>2500</v>
      </c>
      <c r="D11" s="56"/>
      <c r="E11" s="62">
        <v>8600</v>
      </c>
      <c r="F11" s="62">
        <v>3100</v>
      </c>
      <c r="G11" s="58"/>
      <c r="N11" s="53"/>
      <c r="O11" s="53"/>
      <c r="P11" s="53"/>
      <c r="Q11" s="53"/>
      <c r="R11" s="53"/>
      <c r="S11" s="53"/>
      <c r="T11" s="53"/>
    </row>
    <row r="12" customHeight="1" spans="1:20">
      <c r="A12" s="60" t="s">
        <v>128</v>
      </c>
      <c r="B12" s="61">
        <v>500</v>
      </c>
      <c r="C12" s="61">
        <v>4500</v>
      </c>
      <c r="D12" s="61">
        <v>10</v>
      </c>
      <c r="E12" s="62">
        <v>1500</v>
      </c>
      <c r="F12" s="62">
        <v>6000</v>
      </c>
      <c r="G12" s="62">
        <v>10</v>
      </c>
      <c r="N12" s="53"/>
      <c r="O12" s="53"/>
      <c r="P12" s="53"/>
      <c r="Q12" s="53"/>
      <c r="R12" s="53"/>
      <c r="S12" s="53"/>
      <c r="T12" s="53"/>
    </row>
    <row r="13" customHeight="1" spans="1:20">
      <c r="A13" s="60" t="s">
        <v>65</v>
      </c>
      <c r="B13" s="61">
        <v>500</v>
      </c>
      <c r="C13" s="61">
        <v>100</v>
      </c>
      <c r="D13" s="56"/>
      <c r="E13" s="62">
        <v>900</v>
      </c>
      <c r="F13" s="62">
        <v>100</v>
      </c>
      <c r="G13" s="58"/>
      <c r="N13" s="53"/>
      <c r="O13" s="53"/>
      <c r="P13" s="53"/>
      <c r="Q13" s="53"/>
      <c r="R13" s="53"/>
      <c r="S13" s="53"/>
      <c r="T13" s="53"/>
    </row>
    <row r="14" customHeight="1" spans="1:20">
      <c r="A14" s="60" t="s">
        <v>129</v>
      </c>
      <c r="B14" s="61">
        <v>500</v>
      </c>
      <c r="C14" s="56"/>
      <c r="D14" s="56"/>
      <c r="E14" s="62">
        <v>750</v>
      </c>
      <c r="F14" s="58"/>
      <c r="G14" s="58"/>
      <c r="N14" s="53"/>
      <c r="O14" s="53"/>
      <c r="P14" s="53"/>
      <c r="Q14" s="53"/>
      <c r="R14" s="53"/>
      <c r="S14" s="53"/>
      <c r="T14" s="53"/>
    </row>
    <row r="15" customHeight="1" spans="1:20">
      <c r="A15" s="60" t="s">
        <v>59</v>
      </c>
      <c r="B15" s="56"/>
      <c r="C15" s="61">
        <v>200</v>
      </c>
      <c r="D15" s="61">
        <v>30</v>
      </c>
      <c r="E15" s="58"/>
      <c r="F15" s="62">
        <v>250</v>
      </c>
      <c r="G15" s="62">
        <v>30</v>
      </c>
      <c r="N15" s="53"/>
      <c r="O15" s="53"/>
      <c r="P15" s="53"/>
      <c r="Q15" s="53"/>
      <c r="R15" s="53"/>
      <c r="S15" s="53"/>
      <c r="T15" s="53"/>
    </row>
    <row r="16" customHeight="1" spans="1:20">
      <c r="A16" s="60" t="s">
        <v>76</v>
      </c>
      <c r="B16" s="61">
        <v>500</v>
      </c>
      <c r="C16" s="61">
        <v>250</v>
      </c>
      <c r="D16" s="61">
        <v>5</v>
      </c>
      <c r="E16" s="62">
        <v>800</v>
      </c>
      <c r="F16" s="62">
        <v>350</v>
      </c>
      <c r="G16" s="62">
        <v>5</v>
      </c>
      <c r="N16" s="53"/>
      <c r="O16" s="53"/>
      <c r="P16" s="53"/>
      <c r="Q16" s="53"/>
      <c r="R16" s="53"/>
      <c r="S16" s="53"/>
      <c r="T16" s="53"/>
    </row>
    <row r="17" customHeight="1" spans="1:20">
      <c r="A17" s="60" t="s">
        <v>130</v>
      </c>
      <c r="B17" s="61">
        <v>3000</v>
      </c>
      <c r="C17" s="56"/>
      <c r="D17" s="61">
        <v>15</v>
      </c>
      <c r="E17" s="62">
        <v>4000</v>
      </c>
      <c r="F17" s="58"/>
      <c r="G17" s="62">
        <v>15</v>
      </c>
      <c r="N17" s="53"/>
      <c r="O17" s="53"/>
      <c r="P17" s="53"/>
      <c r="Q17" s="53"/>
      <c r="R17" s="53"/>
      <c r="S17" s="53"/>
      <c r="T17" s="53"/>
    </row>
    <row r="18" customHeight="1" spans="1:20">
      <c r="A18" s="60" t="s">
        <v>131</v>
      </c>
      <c r="B18" s="61">
        <v>3700</v>
      </c>
      <c r="C18" s="56"/>
      <c r="D18" s="56"/>
      <c r="E18" s="62">
        <v>4400</v>
      </c>
      <c r="F18" s="58"/>
      <c r="G18" s="58"/>
      <c r="N18" s="53"/>
      <c r="O18" s="53"/>
      <c r="P18" s="53"/>
      <c r="Q18" s="53"/>
      <c r="R18" s="53"/>
      <c r="S18" s="53"/>
      <c r="T18" s="53"/>
    </row>
    <row r="19" customHeight="1" spans="1:20">
      <c r="A19" s="60" t="s">
        <v>132</v>
      </c>
      <c r="B19" s="61">
        <v>6200</v>
      </c>
      <c r="C19" s="56"/>
      <c r="D19" s="56"/>
      <c r="E19" s="62">
        <v>7400</v>
      </c>
      <c r="F19" s="58"/>
      <c r="G19" s="58"/>
      <c r="N19" s="53"/>
      <c r="O19" s="53"/>
      <c r="P19" s="53"/>
      <c r="Q19" s="53"/>
      <c r="R19" s="53"/>
      <c r="S19" s="53"/>
      <c r="T19" s="53"/>
    </row>
    <row r="20" customHeight="1" spans="1:20">
      <c r="A20" s="60" t="s">
        <v>133</v>
      </c>
      <c r="B20" s="61">
        <v>4000</v>
      </c>
      <c r="C20" s="56"/>
      <c r="D20" s="56"/>
      <c r="E20" s="62">
        <v>4200</v>
      </c>
      <c r="F20" s="58"/>
      <c r="G20" s="58"/>
      <c r="N20" s="53"/>
      <c r="O20" s="53"/>
      <c r="P20" s="53"/>
      <c r="Q20" s="53"/>
      <c r="R20" s="53"/>
      <c r="S20" s="53"/>
      <c r="T20" s="53"/>
    </row>
    <row r="21" customHeight="1" spans="1:20">
      <c r="A21" s="60" t="s">
        <v>134</v>
      </c>
      <c r="B21" s="61">
        <v>3000</v>
      </c>
      <c r="C21" s="56"/>
      <c r="D21" s="56"/>
      <c r="E21" s="62">
        <v>3600</v>
      </c>
      <c r="F21" s="58"/>
      <c r="G21" s="58"/>
      <c r="N21" s="53"/>
      <c r="O21" s="53"/>
      <c r="P21" s="53"/>
      <c r="Q21" s="53"/>
      <c r="R21" s="53"/>
      <c r="S21" s="53"/>
      <c r="T21" s="53"/>
    </row>
    <row r="22" customHeight="1" spans="1:20">
      <c r="A22" s="60" t="s">
        <v>135</v>
      </c>
      <c r="B22" s="61">
        <v>3000</v>
      </c>
      <c r="C22" s="56"/>
      <c r="D22" s="56"/>
      <c r="E22" s="62">
        <v>4800</v>
      </c>
      <c r="F22" s="62">
        <v>50</v>
      </c>
      <c r="G22" s="58"/>
    </row>
    <row r="23" customHeight="1" spans="1:20">
      <c r="A23" s="60" t="s">
        <v>136</v>
      </c>
      <c r="B23" s="61">
        <v>6000</v>
      </c>
      <c r="C23" s="61">
        <v>200</v>
      </c>
      <c r="D23" s="61">
        <v>20</v>
      </c>
      <c r="E23" s="62">
        <v>8500</v>
      </c>
      <c r="F23" s="62">
        <v>250</v>
      </c>
      <c r="G23" s="62">
        <v>20</v>
      </c>
    </row>
    <row r="24" customHeight="1" spans="1:20">
      <c r="A24" s="60" t="s">
        <v>137</v>
      </c>
      <c r="B24" s="61">
        <v>2700</v>
      </c>
      <c r="C24" s="56"/>
      <c r="D24" s="56"/>
      <c r="E24" s="62">
        <v>3700</v>
      </c>
      <c r="F24" s="58"/>
      <c r="G24" s="58"/>
    </row>
    <row r="25" customHeight="1" spans="1:20">
      <c r="A25" s="60" t="s">
        <v>138</v>
      </c>
      <c r="B25" s="61">
        <v>3000</v>
      </c>
      <c r="C25" s="56"/>
      <c r="D25" s="56"/>
      <c r="E25" s="62">
        <v>5200</v>
      </c>
      <c r="F25" s="58"/>
      <c r="G25" s="58"/>
    </row>
    <row r="26" customHeight="1" spans="1:20">
      <c r="A26" s="60" t="s">
        <v>139</v>
      </c>
      <c r="B26" s="61">
        <v>1000</v>
      </c>
      <c r="C26" s="61">
        <v>1000</v>
      </c>
      <c r="D26" s="56"/>
      <c r="E26" s="62">
        <v>8000</v>
      </c>
      <c r="F26" s="62">
        <v>1200</v>
      </c>
      <c r="G26" s="58"/>
    </row>
    <row r="27" customHeight="1" spans="1:20">
      <c r="A27" s="60" t="s">
        <v>140</v>
      </c>
      <c r="B27" s="61">
        <v>1000</v>
      </c>
      <c r="C27" s="61">
        <v>1000</v>
      </c>
      <c r="D27" s="56"/>
      <c r="E27" s="62">
        <v>1200</v>
      </c>
      <c r="F27" s="62">
        <v>1500</v>
      </c>
      <c r="G27" s="58"/>
    </row>
    <row r="28" customHeight="1" spans="1:20">
      <c r="A28" s="60" t="s">
        <v>141</v>
      </c>
      <c r="B28" s="61">
        <v>1000</v>
      </c>
      <c r="C28" s="61">
        <v>1600</v>
      </c>
      <c r="D28" s="56"/>
      <c r="E28" s="62">
        <v>1300</v>
      </c>
      <c r="F28" s="62">
        <v>2250</v>
      </c>
      <c r="G28" s="58"/>
    </row>
    <row r="29" customHeight="1" spans="1:20">
      <c r="A29" s="60" t="s">
        <v>142</v>
      </c>
      <c r="B29" s="61">
        <v>2000</v>
      </c>
      <c r="C29" s="56"/>
      <c r="D29" s="61">
        <v>10</v>
      </c>
      <c r="E29" s="62">
        <v>2500</v>
      </c>
      <c r="F29" s="58"/>
      <c r="G29" s="63">
        <v>10.3</v>
      </c>
    </row>
    <row r="30" customHeight="1" spans="1:20">
      <c r="A30" s="60" t="s">
        <v>143</v>
      </c>
      <c r="B30" s="61">
        <v>400</v>
      </c>
      <c r="C30" s="56"/>
      <c r="D30" s="61">
        <v>10</v>
      </c>
      <c r="E30" s="62">
        <v>500</v>
      </c>
      <c r="F30" s="58"/>
      <c r="G30" s="62">
        <v>10</v>
      </c>
    </row>
    <row r="31" customHeight="1" spans="1:20">
      <c r="A31" s="60" t="s">
        <v>144</v>
      </c>
      <c r="B31" s="61">
        <v>500</v>
      </c>
      <c r="C31" s="56"/>
      <c r="D31" s="61">
        <v>10</v>
      </c>
      <c r="E31" s="62">
        <v>600</v>
      </c>
      <c r="F31" s="58"/>
      <c r="G31" s="62">
        <v>10</v>
      </c>
    </row>
    <row r="32" customHeight="1" spans="1:20">
      <c r="A32" s="60" t="s">
        <v>145</v>
      </c>
      <c r="B32" s="61">
        <v>100</v>
      </c>
      <c r="C32" s="56"/>
      <c r="D32" s="61">
        <v>10</v>
      </c>
      <c r="E32" s="62">
        <v>250</v>
      </c>
      <c r="F32" s="58"/>
      <c r="G32" s="62">
        <v>10</v>
      </c>
    </row>
    <row r="33" customHeight="1" spans="1:7">
      <c r="A33" s="60" t="s">
        <v>146</v>
      </c>
      <c r="B33" s="61">
        <v>2000</v>
      </c>
      <c r="C33" s="61">
        <v>50</v>
      </c>
      <c r="D33" s="56"/>
      <c r="E33" s="62">
        <v>2800</v>
      </c>
      <c r="F33" s="62">
        <v>60</v>
      </c>
      <c r="G33" s="58"/>
    </row>
    <row r="34" customHeight="1" spans="1:7">
      <c r="A34" s="60" t="s">
        <v>147</v>
      </c>
      <c r="B34" s="61">
        <v>1400</v>
      </c>
      <c r="C34" s="56"/>
      <c r="D34" s="56"/>
      <c r="E34" s="62">
        <v>3600</v>
      </c>
      <c r="F34" s="58"/>
      <c r="G34" s="58"/>
    </row>
    <row r="35" customHeight="1" spans="1:7">
      <c r="A35" s="60" t="s">
        <v>148</v>
      </c>
      <c r="B35" s="61">
        <v>0</v>
      </c>
      <c r="C35" s="61">
        <v>250</v>
      </c>
      <c r="D35" s="61">
        <v>350</v>
      </c>
      <c r="E35" s="58"/>
      <c r="F35" s="62">
        <v>250</v>
      </c>
      <c r="G35" s="64">
        <v>376.58</v>
      </c>
    </row>
    <row r="36" customHeight="1" spans="1:7">
      <c r="A36" s="60" t="s">
        <v>149</v>
      </c>
      <c r="B36" s="61">
        <v>72650</v>
      </c>
      <c r="C36" s="61">
        <v>40000</v>
      </c>
      <c r="D36" s="61">
        <v>500</v>
      </c>
      <c r="E36" s="62">
        <v>111850</v>
      </c>
      <c r="F36" s="62">
        <v>50210</v>
      </c>
      <c r="G36" s="64">
        <v>527.28</v>
      </c>
    </row>
  </sheetData>
  <mergeCells count="4">
    <mergeCell ref="B3:D3"/>
    <mergeCell ref="E3:G3"/>
    <mergeCell ref="A3:A4"/>
    <mergeCell ref="I1:I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55"/>
  <sheetViews>
    <sheetView workbookViewId="0">
      <selection activeCell="D4" sqref="D4"/>
    </sheetView>
  </sheetViews>
  <sheetFormatPr defaultColWidth="9" defaultRowHeight="13.85" outlineLevelCol="7"/>
  <cols>
    <col min="1" max="1" width="7.66371681415929" customWidth="1"/>
    <col min="2" max="2" width="85.1061946902655" customWidth="1"/>
    <col min="3" max="3" width="65.3362831858407" customWidth="1"/>
    <col min="4" max="4" width="13.3362831858407" customWidth="1"/>
    <col min="5" max="5" width="23.1061946902655" customWidth="1"/>
    <col min="6" max="6" width="15.8849557522124" customWidth="1"/>
    <col min="7" max="7" width="8.88495575221239" customWidth="1"/>
  </cols>
  <sheetData>
    <row r="1" ht="14.25" spans="1:8">
      <c r="A1" s="48" t="s">
        <v>150</v>
      </c>
      <c r="B1" s="48" t="s">
        <v>151</v>
      </c>
      <c r="C1" s="48" t="s">
        <v>152</v>
      </c>
      <c r="D1" s="48" t="s">
        <v>153</v>
      </c>
      <c r="E1" s="48" t="s">
        <v>154</v>
      </c>
      <c r="F1" s="48" t="s">
        <v>155</v>
      </c>
      <c r="G1" s="48" t="s">
        <v>156</v>
      </c>
      <c r="H1" s="48" t="s">
        <v>157</v>
      </c>
    </row>
    <row r="2" spans="1:8">
      <c r="A2" s="49" t="s">
        <v>158</v>
      </c>
      <c r="B2" s="49" t="s">
        <v>159</v>
      </c>
      <c r="C2" s="49" t="s">
        <v>160</v>
      </c>
      <c r="D2" s="49">
        <v>400</v>
      </c>
      <c r="E2" s="49" t="s">
        <v>161</v>
      </c>
      <c r="F2" s="49" t="s">
        <v>162</v>
      </c>
      <c r="G2" s="49">
        <v>2026</v>
      </c>
      <c r="H2" s="49" t="s">
        <v>163</v>
      </c>
    </row>
    <row r="3" spans="1:8">
      <c r="A3" s="49" t="s">
        <v>158</v>
      </c>
      <c r="B3" s="49" t="s">
        <v>164</v>
      </c>
      <c r="C3" s="49" t="s">
        <v>165</v>
      </c>
      <c r="D3" s="49">
        <v>200</v>
      </c>
      <c r="E3" s="49" t="s">
        <v>166</v>
      </c>
      <c r="F3" s="49" t="s">
        <v>167</v>
      </c>
      <c r="G3" s="49">
        <v>2025</v>
      </c>
      <c r="H3" s="49" t="s">
        <v>168</v>
      </c>
    </row>
    <row r="4" spans="1:8">
      <c r="A4" s="49" t="s">
        <v>158</v>
      </c>
      <c r="B4" s="49" t="s">
        <v>164</v>
      </c>
      <c r="C4" s="49" t="s">
        <v>169</v>
      </c>
      <c r="D4" s="49">
        <v>800</v>
      </c>
      <c r="E4" s="49" t="s">
        <v>166</v>
      </c>
      <c r="F4" s="49" t="s">
        <v>167</v>
      </c>
      <c r="G4" s="49">
        <v>2027</v>
      </c>
      <c r="H4" s="49" t="s">
        <v>168</v>
      </c>
    </row>
    <row r="5" spans="1:8">
      <c r="A5" s="49" t="s">
        <v>158</v>
      </c>
      <c r="B5" s="49" t="s">
        <v>170</v>
      </c>
      <c r="C5" s="49" t="s">
        <v>171</v>
      </c>
      <c r="D5" s="49">
        <v>185</v>
      </c>
      <c r="E5" s="49" t="s">
        <v>161</v>
      </c>
      <c r="F5" s="49" t="s">
        <v>167</v>
      </c>
      <c r="G5" s="1"/>
      <c r="H5" s="49" t="s">
        <v>163</v>
      </c>
    </row>
    <row r="6" spans="1:8">
      <c r="A6" s="49" t="s">
        <v>158</v>
      </c>
      <c r="B6" s="49" t="s">
        <v>172</v>
      </c>
      <c r="C6" s="49" t="s">
        <v>173</v>
      </c>
      <c r="D6" s="49">
        <v>400</v>
      </c>
      <c r="E6" s="49" t="s">
        <v>161</v>
      </c>
      <c r="F6" s="49" t="s">
        <v>167</v>
      </c>
      <c r="G6" s="49">
        <v>2024</v>
      </c>
      <c r="H6" s="49" t="s">
        <v>163</v>
      </c>
    </row>
    <row r="7" spans="1:8">
      <c r="A7" s="49" t="s">
        <v>158</v>
      </c>
      <c r="B7" s="49" t="s">
        <v>174</v>
      </c>
      <c r="C7" s="49" t="s">
        <v>175</v>
      </c>
      <c r="D7" s="49">
        <v>402</v>
      </c>
      <c r="E7" s="49" t="s">
        <v>161</v>
      </c>
      <c r="F7" s="49" t="s">
        <v>167</v>
      </c>
      <c r="G7" s="49">
        <v>2023</v>
      </c>
      <c r="H7" s="49" t="s">
        <v>163</v>
      </c>
    </row>
    <row r="8" spans="1:8">
      <c r="A8" s="49" t="s">
        <v>158</v>
      </c>
      <c r="B8" s="49" t="s">
        <v>174</v>
      </c>
      <c r="C8" s="49" t="s">
        <v>176</v>
      </c>
      <c r="D8" s="49">
        <v>404</v>
      </c>
      <c r="E8" s="49" t="s">
        <v>161</v>
      </c>
      <c r="F8" s="49" t="s">
        <v>167</v>
      </c>
      <c r="G8" s="49">
        <v>2024</v>
      </c>
      <c r="H8" s="49" t="s">
        <v>163</v>
      </c>
    </row>
    <row r="9" spans="1:8">
      <c r="A9" s="49" t="s">
        <v>158</v>
      </c>
      <c r="B9" s="49" t="s">
        <v>177</v>
      </c>
      <c r="C9" s="49" t="s">
        <v>178</v>
      </c>
      <c r="D9" s="49">
        <v>450</v>
      </c>
      <c r="E9" s="49" t="s">
        <v>161</v>
      </c>
      <c r="F9" s="49" t="s">
        <v>167</v>
      </c>
      <c r="G9" s="49">
        <v>2023</v>
      </c>
      <c r="H9" s="49" t="s">
        <v>179</v>
      </c>
    </row>
    <row r="10" spans="1:8">
      <c r="A10" s="49" t="s">
        <v>158</v>
      </c>
      <c r="B10" s="49" t="s">
        <v>177</v>
      </c>
      <c r="C10" s="49" t="s">
        <v>180</v>
      </c>
      <c r="D10" s="49">
        <v>300</v>
      </c>
      <c r="E10" s="49" t="s">
        <v>161</v>
      </c>
      <c r="F10" s="49" t="s">
        <v>167</v>
      </c>
      <c r="G10" s="49">
        <v>2023</v>
      </c>
      <c r="H10" s="49" t="s">
        <v>179</v>
      </c>
    </row>
    <row r="11" spans="1:8">
      <c r="A11" s="49" t="s">
        <v>158</v>
      </c>
      <c r="B11" s="49" t="s">
        <v>181</v>
      </c>
      <c r="C11" s="49" t="s">
        <v>182</v>
      </c>
      <c r="D11" s="49">
        <v>406</v>
      </c>
      <c r="E11" s="49" t="s">
        <v>161</v>
      </c>
      <c r="F11" s="49" t="s">
        <v>167</v>
      </c>
      <c r="G11" s="49">
        <v>2023</v>
      </c>
      <c r="H11" s="49" t="s">
        <v>179</v>
      </c>
    </row>
    <row r="12" spans="1:8">
      <c r="A12" s="49" t="s">
        <v>158</v>
      </c>
      <c r="B12" s="49" t="s">
        <v>183</v>
      </c>
      <c r="C12" s="49" t="s">
        <v>184</v>
      </c>
      <c r="D12" s="49">
        <v>301</v>
      </c>
      <c r="E12" s="49" t="s">
        <v>161</v>
      </c>
      <c r="F12" s="49" t="s">
        <v>167</v>
      </c>
      <c r="G12" s="49">
        <v>2024</v>
      </c>
      <c r="H12" s="49" t="s">
        <v>179</v>
      </c>
    </row>
    <row r="13" spans="1:8">
      <c r="A13" s="49" t="s">
        <v>158</v>
      </c>
      <c r="B13" s="49" t="s">
        <v>185</v>
      </c>
      <c r="C13" s="49" t="s">
        <v>186</v>
      </c>
      <c r="D13" s="49">
        <v>1001</v>
      </c>
      <c r="E13" s="49" t="s">
        <v>161</v>
      </c>
      <c r="F13" s="49" t="s">
        <v>167</v>
      </c>
      <c r="G13" s="49">
        <v>2024</v>
      </c>
      <c r="H13" s="49" t="s">
        <v>179</v>
      </c>
    </row>
    <row r="14" spans="1:8">
      <c r="A14" s="49" t="s">
        <v>158</v>
      </c>
      <c r="B14" s="49" t="s">
        <v>187</v>
      </c>
      <c r="C14" s="49" t="s">
        <v>188</v>
      </c>
      <c r="D14" s="49">
        <v>1000</v>
      </c>
      <c r="E14" s="49" t="s">
        <v>161</v>
      </c>
      <c r="F14" s="49" t="s">
        <v>167</v>
      </c>
      <c r="G14" s="49">
        <v>2024</v>
      </c>
      <c r="H14" s="49" t="s">
        <v>179</v>
      </c>
    </row>
    <row r="15" spans="1:8">
      <c r="A15" s="49" t="s">
        <v>158</v>
      </c>
      <c r="B15" s="49" t="s">
        <v>187</v>
      </c>
      <c r="C15" s="49" t="s">
        <v>189</v>
      </c>
      <c r="D15" s="49">
        <v>1000</v>
      </c>
      <c r="E15" s="49" t="s">
        <v>161</v>
      </c>
      <c r="F15" s="49" t="s">
        <v>167</v>
      </c>
      <c r="G15" s="49">
        <v>2024</v>
      </c>
      <c r="H15" s="49" t="s">
        <v>179</v>
      </c>
    </row>
    <row r="16" spans="1:8">
      <c r="A16" s="49" t="s">
        <v>158</v>
      </c>
      <c r="B16" s="49" t="s">
        <v>190</v>
      </c>
      <c r="C16" s="49" t="s">
        <v>191</v>
      </c>
      <c r="D16" s="49">
        <v>400</v>
      </c>
      <c r="E16" s="49" t="s">
        <v>161</v>
      </c>
      <c r="F16" s="49" t="s">
        <v>167</v>
      </c>
      <c r="G16" s="49">
        <v>2023</v>
      </c>
      <c r="H16" s="49" t="s">
        <v>179</v>
      </c>
    </row>
    <row r="17" spans="1:8">
      <c r="A17" s="49" t="s">
        <v>158</v>
      </c>
      <c r="B17" s="49" t="s">
        <v>192</v>
      </c>
      <c r="C17" s="49" t="s">
        <v>193</v>
      </c>
      <c r="D17" s="49">
        <v>600</v>
      </c>
      <c r="E17" s="49" t="s">
        <v>161</v>
      </c>
      <c r="F17" s="49" t="s">
        <v>167</v>
      </c>
      <c r="G17" s="49">
        <v>2024</v>
      </c>
      <c r="H17" s="49" t="s">
        <v>179</v>
      </c>
    </row>
    <row r="18" spans="1:8">
      <c r="A18" s="49" t="s">
        <v>158</v>
      </c>
      <c r="B18" s="49" t="s">
        <v>194</v>
      </c>
      <c r="C18" s="49" t="s">
        <v>195</v>
      </c>
      <c r="D18" s="49">
        <v>505</v>
      </c>
      <c r="E18" s="49" t="s">
        <v>161</v>
      </c>
      <c r="F18" s="49" t="s">
        <v>167</v>
      </c>
      <c r="G18" s="49">
        <v>2023</v>
      </c>
      <c r="H18" s="49" t="s">
        <v>179</v>
      </c>
    </row>
    <row r="19" spans="1:8">
      <c r="A19" s="49" t="s">
        <v>158</v>
      </c>
      <c r="B19" s="49" t="s">
        <v>196</v>
      </c>
      <c r="C19" s="49" t="s">
        <v>197</v>
      </c>
      <c r="D19" s="49">
        <v>1000</v>
      </c>
      <c r="E19" s="49" t="s">
        <v>161</v>
      </c>
      <c r="F19" s="49" t="s">
        <v>167</v>
      </c>
      <c r="G19" s="49">
        <v>2024</v>
      </c>
      <c r="H19" s="49" t="s">
        <v>179</v>
      </c>
    </row>
    <row r="20" spans="1:8">
      <c r="A20" s="49" t="s">
        <v>158</v>
      </c>
      <c r="B20" s="49" t="s">
        <v>198</v>
      </c>
      <c r="C20" s="49" t="s">
        <v>199</v>
      </c>
      <c r="D20" s="49">
        <v>1000</v>
      </c>
      <c r="E20" s="49" t="s">
        <v>161</v>
      </c>
      <c r="F20" s="49" t="s">
        <v>167</v>
      </c>
      <c r="G20" s="49">
        <v>2024</v>
      </c>
      <c r="H20" s="49" t="s">
        <v>179</v>
      </c>
    </row>
    <row r="21" spans="1:8">
      <c r="A21" s="49" t="s">
        <v>158</v>
      </c>
      <c r="B21" s="49" t="s">
        <v>200</v>
      </c>
      <c r="C21" s="49" t="s">
        <v>201</v>
      </c>
      <c r="D21" s="49">
        <v>1000</v>
      </c>
      <c r="E21" s="49" t="s">
        <v>161</v>
      </c>
      <c r="F21" s="49" t="s">
        <v>167</v>
      </c>
      <c r="G21" s="49">
        <v>2024</v>
      </c>
      <c r="H21" s="49" t="s">
        <v>179</v>
      </c>
    </row>
    <row r="22" spans="1:8">
      <c r="A22" s="49" t="s">
        <v>158</v>
      </c>
      <c r="B22" s="49" t="s">
        <v>202</v>
      </c>
      <c r="C22" s="49" t="s">
        <v>203</v>
      </c>
      <c r="D22" s="49">
        <v>1200</v>
      </c>
      <c r="E22" s="49" t="s">
        <v>161</v>
      </c>
      <c r="F22" s="49" t="s">
        <v>167</v>
      </c>
      <c r="G22" s="1"/>
      <c r="H22" s="49" t="s">
        <v>168</v>
      </c>
    </row>
    <row r="23" spans="1:8">
      <c r="A23" s="49" t="s">
        <v>158</v>
      </c>
      <c r="B23" s="49" t="s">
        <v>204</v>
      </c>
      <c r="C23" s="49" t="s">
        <v>205</v>
      </c>
      <c r="D23" s="49">
        <v>1500</v>
      </c>
      <c r="E23" s="49" t="s">
        <v>161</v>
      </c>
      <c r="F23" s="49" t="s">
        <v>167</v>
      </c>
      <c r="G23" s="49">
        <v>2026</v>
      </c>
      <c r="H23" s="49" t="s">
        <v>168</v>
      </c>
    </row>
    <row r="24" spans="1:8">
      <c r="A24" s="49" t="s">
        <v>158</v>
      </c>
      <c r="B24" s="49" t="s">
        <v>206</v>
      </c>
      <c r="C24" s="49" t="s">
        <v>207</v>
      </c>
      <c r="D24" s="49">
        <v>250</v>
      </c>
      <c r="E24" s="49" t="s">
        <v>161</v>
      </c>
      <c r="F24" s="49" t="s">
        <v>167</v>
      </c>
      <c r="G24" s="1"/>
      <c r="H24" s="49" t="s">
        <v>208</v>
      </c>
    </row>
    <row r="25" spans="1:8">
      <c r="A25" s="49" t="s">
        <v>158</v>
      </c>
      <c r="B25" s="49" t="s">
        <v>209</v>
      </c>
      <c r="C25" s="49" t="s">
        <v>210</v>
      </c>
      <c r="D25" s="49">
        <v>301</v>
      </c>
      <c r="E25" s="49" t="s">
        <v>161</v>
      </c>
      <c r="F25" s="49" t="s">
        <v>167</v>
      </c>
      <c r="G25" s="49">
        <v>2023</v>
      </c>
      <c r="H25" s="49" t="s">
        <v>211</v>
      </c>
    </row>
    <row r="26" spans="1:8">
      <c r="A26" s="49" t="s">
        <v>158</v>
      </c>
      <c r="B26" s="49" t="s">
        <v>212</v>
      </c>
      <c r="C26" s="49" t="s">
        <v>213</v>
      </c>
      <c r="D26" s="49">
        <v>510</v>
      </c>
      <c r="E26" s="49" t="s">
        <v>161</v>
      </c>
      <c r="F26" s="49" t="s">
        <v>167</v>
      </c>
      <c r="G26" s="49">
        <v>2024</v>
      </c>
      <c r="H26" s="49" t="s">
        <v>211</v>
      </c>
    </row>
    <row r="27" spans="1:8">
      <c r="A27" s="49" t="s">
        <v>158</v>
      </c>
      <c r="B27" s="49" t="s">
        <v>214</v>
      </c>
      <c r="C27" s="49" t="s">
        <v>215</v>
      </c>
      <c r="D27" s="49">
        <v>306</v>
      </c>
      <c r="E27" s="49" t="s">
        <v>161</v>
      </c>
      <c r="F27" s="49" t="s">
        <v>167</v>
      </c>
      <c r="G27" s="1"/>
      <c r="H27" s="49" t="s">
        <v>211</v>
      </c>
    </row>
    <row r="28" spans="1:8">
      <c r="A28" s="49" t="s">
        <v>158</v>
      </c>
      <c r="B28" s="49" t="s">
        <v>214</v>
      </c>
      <c r="C28" s="49" t="s">
        <v>216</v>
      </c>
      <c r="D28" s="49">
        <v>297.5</v>
      </c>
      <c r="E28" s="49" t="s">
        <v>161</v>
      </c>
      <c r="F28" s="49" t="s">
        <v>167</v>
      </c>
      <c r="G28" s="1"/>
      <c r="H28" s="49" t="s">
        <v>211</v>
      </c>
    </row>
    <row r="29" spans="1:8">
      <c r="A29" s="49" t="s">
        <v>158</v>
      </c>
      <c r="B29" s="49" t="s">
        <v>217</v>
      </c>
      <c r="C29" s="49" t="s">
        <v>218</v>
      </c>
      <c r="D29" s="49">
        <v>450</v>
      </c>
      <c r="E29" s="49" t="s">
        <v>161</v>
      </c>
      <c r="F29" s="49" t="s">
        <v>167</v>
      </c>
      <c r="G29" s="1"/>
      <c r="H29" s="49" t="s">
        <v>211</v>
      </c>
    </row>
    <row r="30" spans="1:8">
      <c r="A30" s="49" t="s">
        <v>158</v>
      </c>
      <c r="B30" s="49" t="s">
        <v>219</v>
      </c>
      <c r="C30" s="49" t="s">
        <v>220</v>
      </c>
      <c r="D30" s="49">
        <v>300</v>
      </c>
      <c r="E30" s="49" t="s">
        <v>161</v>
      </c>
      <c r="F30" s="49" t="s">
        <v>167</v>
      </c>
      <c r="G30" s="1"/>
      <c r="H30" s="49" t="s">
        <v>211</v>
      </c>
    </row>
    <row r="31" spans="1:8">
      <c r="A31" s="49" t="s">
        <v>158</v>
      </c>
      <c r="B31" s="49" t="s">
        <v>221</v>
      </c>
      <c r="C31" s="49" t="s">
        <v>222</v>
      </c>
      <c r="D31" s="49">
        <v>301</v>
      </c>
      <c r="E31" s="49" t="s">
        <v>161</v>
      </c>
      <c r="F31" s="49" t="s">
        <v>167</v>
      </c>
      <c r="G31" s="49">
        <v>2023</v>
      </c>
      <c r="H31" s="49" t="s">
        <v>223</v>
      </c>
    </row>
    <row r="32" spans="1:8">
      <c r="A32" s="49" t="s">
        <v>158</v>
      </c>
      <c r="B32" s="49" t="s">
        <v>224</v>
      </c>
      <c r="C32" s="49" t="s">
        <v>225</v>
      </c>
      <c r="D32" s="49">
        <v>304</v>
      </c>
      <c r="E32" s="49" t="s">
        <v>161</v>
      </c>
      <c r="F32" s="49" t="s">
        <v>167</v>
      </c>
      <c r="G32" s="1"/>
      <c r="H32" s="49" t="s">
        <v>223</v>
      </c>
    </row>
    <row r="33" spans="1:8">
      <c r="A33" s="49" t="s">
        <v>158</v>
      </c>
      <c r="B33" s="49" t="s">
        <v>226</v>
      </c>
      <c r="C33" s="49" t="s">
        <v>227</v>
      </c>
      <c r="D33" s="49">
        <v>300</v>
      </c>
      <c r="E33" s="49" t="s">
        <v>161</v>
      </c>
      <c r="F33" s="49" t="s">
        <v>167</v>
      </c>
      <c r="G33" s="1"/>
      <c r="H33" s="49" t="s">
        <v>223</v>
      </c>
    </row>
    <row r="34" spans="1:8">
      <c r="A34" s="49" t="s">
        <v>158</v>
      </c>
      <c r="B34" s="49" t="s">
        <v>228</v>
      </c>
      <c r="C34" s="49" t="s">
        <v>229</v>
      </c>
      <c r="D34" s="49">
        <v>300</v>
      </c>
      <c r="E34" s="49" t="s">
        <v>161</v>
      </c>
      <c r="F34" s="49" t="s">
        <v>167</v>
      </c>
      <c r="G34" s="49">
        <v>2024</v>
      </c>
      <c r="H34" s="49" t="s">
        <v>223</v>
      </c>
    </row>
    <row r="35" spans="1:8">
      <c r="A35" s="49" t="s">
        <v>158</v>
      </c>
      <c r="B35" s="49" t="s">
        <v>230</v>
      </c>
      <c r="C35" s="49" t="s">
        <v>231</v>
      </c>
      <c r="D35" s="49">
        <v>504</v>
      </c>
      <c r="E35" s="49" t="s">
        <v>161</v>
      </c>
      <c r="F35" s="49" t="s">
        <v>167</v>
      </c>
      <c r="G35" s="49">
        <v>2023</v>
      </c>
      <c r="H35" s="49" t="s">
        <v>223</v>
      </c>
    </row>
    <row r="36" spans="1:8">
      <c r="A36" s="49" t="s">
        <v>158</v>
      </c>
      <c r="B36" s="49" t="s">
        <v>232</v>
      </c>
      <c r="C36" s="49" t="s">
        <v>233</v>
      </c>
      <c r="D36" s="49">
        <v>504</v>
      </c>
      <c r="E36" s="49" t="s">
        <v>161</v>
      </c>
      <c r="F36" s="49" t="s">
        <v>167</v>
      </c>
      <c r="G36" s="49">
        <v>2025</v>
      </c>
      <c r="H36" s="49" t="s">
        <v>223</v>
      </c>
    </row>
    <row r="37" spans="1:8">
      <c r="A37" s="49" t="s">
        <v>158</v>
      </c>
      <c r="B37" s="49" t="s">
        <v>234</v>
      </c>
      <c r="C37" s="49" t="s">
        <v>235</v>
      </c>
      <c r="D37" s="49">
        <v>700</v>
      </c>
      <c r="E37" s="49" t="s">
        <v>236</v>
      </c>
      <c r="F37" s="49" t="s">
        <v>167</v>
      </c>
      <c r="G37" s="1"/>
      <c r="H37" s="49" t="s">
        <v>237</v>
      </c>
    </row>
    <row r="38" spans="1:8">
      <c r="A38" s="49" t="s">
        <v>158</v>
      </c>
      <c r="B38" s="49" t="s">
        <v>238</v>
      </c>
      <c r="C38" s="49" t="s">
        <v>239</v>
      </c>
      <c r="D38" s="49">
        <v>250</v>
      </c>
      <c r="E38" s="49" t="s">
        <v>236</v>
      </c>
      <c r="F38" s="49" t="s">
        <v>167</v>
      </c>
      <c r="G38" s="1"/>
      <c r="H38" s="49" t="s">
        <v>208</v>
      </c>
    </row>
    <row r="39" spans="1:8">
      <c r="A39" s="49" t="s">
        <v>158</v>
      </c>
      <c r="B39" s="49" t="s">
        <v>240</v>
      </c>
      <c r="C39" s="49" t="s">
        <v>241</v>
      </c>
      <c r="D39" s="49">
        <v>300</v>
      </c>
      <c r="E39" s="49" t="s">
        <v>236</v>
      </c>
      <c r="F39" s="49" t="s">
        <v>167</v>
      </c>
      <c r="G39" s="49">
        <v>2023</v>
      </c>
      <c r="H39" s="49" t="s">
        <v>211</v>
      </c>
    </row>
    <row r="40" spans="1:8">
      <c r="A40" s="49" t="s">
        <v>158</v>
      </c>
      <c r="B40" s="49" t="s">
        <v>242</v>
      </c>
      <c r="C40" s="49" t="s">
        <v>243</v>
      </c>
      <c r="D40" s="49">
        <v>600</v>
      </c>
      <c r="E40" s="49" t="s">
        <v>236</v>
      </c>
      <c r="F40" s="49" t="s">
        <v>167</v>
      </c>
      <c r="G40" s="1"/>
      <c r="H40" s="49" t="s">
        <v>211</v>
      </c>
    </row>
    <row r="41" spans="1:8">
      <c r="A41" s="49" t="s">
        <v>158</v>
      </c>
      <c r="B41" s="49" t="s">
        <v>244</v>
      </c>
      <c r="C41" s="49" t="s">
        <v>233</v>
      </c>
      <c r="D41" s="49">
        <v>504</v>
      </c>
      <c r="E41" s="49" t="s">
        <v>236</v>
      </c>
      <c r="F41" s="49" t="s">
        <v>167</v>
      </c>
      <c r="G41" s="49">
        <v>2024</v>
      </c>
      <c r="H41" s="49" t="s">
        <v>223</v>
      </c>
    </row>
    <row r="42" spans="1:8">
      <c r="A42" s="49" t="s">
        <v>158</v>
      </c>
      <c r="B42" s="49" t="s">
        <v>245</v>
      </c>
      <c r="C42" s="49" t="s">
        <v>246</v>
      </c>
      <c r="D42" s="49">
        <v>300</v>
      </c>
      <c r="E42" s="49" t="s">
        <v>161</v>
      </c>
      <c r="F42" s="49" t="s">
        <v>247</v>
      </c>
      <c r="G42" s="49">
        <v>2021</v>
      </c>
      <c r="H42" s="49" t="s">
        <v>163</v>
      </c>
    </row>
    <row r="43" spans="1:8">
      <c r="A43" s="49" t="s">
        <v>158</v>
      </c>
      <c r="B43" s="49" t="s">
        <v>248</v>
      </c>
      <c r="C43" s="49" t="s">
        <v>249</v>
      </c>
      <c r="D43" s="49">
        <v>496</v>
      </c>
      <c r="E43" s="49" t="s">
        <v>161</v>
      </c>
      <c r="F43" s="49" t="s">
        <v>247</v>
      </c>
      <c r="G43" s="49">
        <v>2021</v>
      </c>
      <c r="H43" s="49" t="s">
        <v>163</v>
      </c>
    </row>
    <row r="44" spans="1:8">
      <c r="A44" s="49" t="s">
        <v>158</v>
      </c>
      <c r="B44" s="49" t="s">
        <v>250</v>
      </c>
      <c r="C44" s="49" t="s">
        <v>251</v>
      </c>
      <c r="D44" s="49">
        <v>299</v>
      </c>
      <c r="E44" s="49" t="s">
        <v>161</v>
      </c>
      <c r="F44" s="49" t="s">
        <v>247</v>
      </c>
      <c r="G44" s="49">
        <v>2021</v>
      </c>
      <c r="H44" s="49" t="s">
        <v>163</v>
      </c>
    </row>
    <row r="45" spans="1:8">
      <c r="A45" s="49" t="s">
        <v>158</v>
      </c>
      <c r="B45" s="49" t="s">
        <v>252</v>
      </c>
      <c r="C45" s="49" t="s">
        <v>253</v>
      </c>
      <c r="D45" s="49">
        <v>77</v>
      </c>
      <c r="E45" s="49" t="s">
        <v>161</v>
      </c>
      <c r="F45" s="49" t="s">
        <v>247</v>
      </c>
      <c r="G45" s="49">
        <v>2018</v>
      </c>
      <c r="H45" s="49" t="s">
        <v>163</v>
      </c>
    </row>
    <row r="46" spans="1:8">
      <c r="A46" s="49" t="s">
        <v>158</v>
      </c>
      <c r="B46" s="49" t="s">
        <v>254</v>
      </c>
      <c r="C46" s="49" t="s">
        <v>255</v>
      </c>
      <c r="D46" s="49">
        <v>280</v>
      </c>
      <c r="E46" s="49" t="s">
        <v>161</v>
      </c>
      <c r="F46" s="49" t="s">
        <v>247</v>
      </c>
      <c r="G46" s="49">
        <v>2020</v>
      </c>
      <c r="H46" s="49" t="s">
        <v>163</v>
      </c>
    </row>
    <row r="47" spans="1:8">
      <c r="A47" s="49" t="s">
        <v>158</v>
      </c>
      <c r="B47" s="49" t="s">
        <v>256</v>
      </c>
      <c r="C47" s="49" t="s">
        <v>257</v>
      </c>
      <c r="D47" s="49">
        <v>240</v>
      </c>
      <c r="E47" s="49" t="s">
        <v>161</v>
      </c>
      <c r="F47" s="49" t="s">
        <v>247</v>
      </c>
      <c r="G47" s="49">
        <v>2021</v>
      </c>
      <c r="H47" s="49" t="s">
        <v>163</v>
      </c>
    </row>
    <row r="48" spans="1:8">
      <c r="A48" s="49" t="s">
        <v>158</v>
      </c>
      <c r="B48" s="49" t="s">
        <v>258</v>
      </c>
      <c r="C48" s="49" t="s">
        <v>259</v>
      </c>
      <c r="D48" s="49">
        <v>34</v>
      </c>
      <c r="E48" s="49" t="s">
        <v>161</v>
      </c>
      <c r="F48" s="49" t="s">
        <v>247</v>
      </c>
      <c r="G48" s="49">
        <v>2021</v>
      </c>
      <c r="H48" s="49" t="s">
        <v>163</v>
      </c>
    </row>
    <row r="49" spans="1:8">
      <c r="A49" s="49" t="s">
        <v>158</v>
      </c>
      <c r="B49" s="49" t="s">
        <v>260</v>
      </c>
      <c r="C49" s="49" t="s">
        <v>261</v>
      </c>
      <c r="D49" s="49">
        <v>111</v>
      </c>
      <c r="E49" s="49" t="s">
        <v>161</v>
      </c>
      <c r="F49" s="49" t="s">
        <v>247</v>
      </c>
      <c r="G49" s="49">
        <v>2023</v>
      </c>
      <c r="H49" s="49" t="s">
        <v>163</v>
      </c>
    </row>
    <row r="50" spans="1:8">
      <c r="A50" s="49" t="s">
        <v>158</v>
      </c>
      <c r="B50" s="49" t="s">
        <v>262</v>
      </c>
      <c r="C50" s="49" t="s">
        <v>263</v>
      </c>
      <c r="D50" s="49">
        <v>220</v>
      </c>
      <c r="E50" s="49" t="s">
        <v>161</v>
      </c>
      <c r="F50" s="49" t="s">
        <v>247</v>
      </c>
      <c r="G50" s="49">
        <v>2020</v>
      </c>
      <c r="H50" s="49" t="s">
        <v>163</v>
      </c>
    </row>
    <row r="51" spans="1:8">
      <c r="A51" s="49" t="s">
        <v>158</v>
      </c>
      <c r="B51" s="49" t="s">
        <v>262</v>
      </c>
      <c r="C51" s="49" t="s">
        <v>264</v>
      </c>
      <c r="D51" s="49">
        <v>180</v>
      </c>
      <c r="E51" s="49" t="s">
        <v>161</v>
      </c>
      <c r="F51" s="49" t="s">
        <v>247</v>
      </c>
      <c r="G51" s="1"/>
      <c r="H51" s="49" t="s">
        <v>163</v>
      </c>
    </row>
    <row r="52" spans="1:8">
      <c r="A52" s="49" t="s">
        <v>158</v>
      </c>
      <c r="B52" s="49" t="s">
        <v>265</v>
      </c>
      <c r="C52" s="49" t="s">
        <v>266</v>
      </c>
      <c r="D52" s="49">
        <v>50</v>
      </c>
      <c r="E52" s="49" t="s">
        <v>161</v>
      </c>
      <c r="F52" s="49" t="s">
        <v>247</v>
      </c>
      <c r="G52" s="49">
        <v>2016</v>
      </c>
      <c r="H52" s="49" t="s">
        <v>163</v>
      </c>
    </row>
    <row r="53" spans="1:8">
      <c r="A53" s="49" t="s">
        <v>158</v>
      </c>
      <c r="B53" s="49" t="s">
        <v>265</v>
      </c>
      <c r="C53" s="49" t="s">
        <v>267</v>
      </c>
      <c r="D53" s="49">
        <v>246</v>
      </c>
      <c r="E53" s="49" t="s">
        <v>161</v>
      </c>
      <c r="F53" s="49" t="s">
        <v>247</v>
      </c>
      <c r="G53" s="49">
        <v>2021</v>
      </c>
      <c r="H53" s="49" t="s">
        <v>163</v>
      </c>
    </row>
    <row r="54" spans="1:8">
      <c r="A54" s="49" t="s">
        <v>158</v>
      </c>
      <c r="B54" s="49" t="s">
        <v>265</v>
      </c>
      <c r="C54" s="49" t="s">
        <v>268</v>
      </c>
      <c r="D54" s="49">
        <v>308</v>
      </c>
      <c r="E54" s="49" t="s">
        <v>161</v>
      </c>
      <c r="F54" s="49" t="s">
        <v>247</v>
      </c>
      <c r="G54" s="49">
        <v>2022</v>
      </c>
      <c r="H54" s="49" t="s">
        <v>163</v>
      </c>
    </row>
    <row r="55" spans="1:8">
      <c r="A55" s="49" t="s">
        <v>158</v>
      </c>
      <c r="B55" s="49" t="s">
        <v>265</v>
      </c>
      <c r="C55" s="49" t="s">
        <v>269</v>
      </c>
      <c r="D55" s="49">
        <v>210</v>
      </c>
      <c r="E55" s="49" t="s">
        <v>161</v>
      </c>
      <c r="F55" s="49" t="s">
        <v>247</v>
      </c>
      <c r="G55" s="49">
        <v>2021</v>
      </c>
      <c r="H55" s="49" t="s">
        <v>163</v>
      </c>
    </row>
    <row r="56" spans="1:8">
      <c r="A56" s="49" t="s">
        <v>158</v>
      </c>
      <c r="B56" s="49" t="s">
        <v>270</v>
      </c>
      <c r="C56" s="49" t="s">
        <v>271</v>
      </c>
      <c r="D56" s="49">
        <v>196</v>
      </c>
      <c r="E56" s="49" t="s">
        <v>161</v>
      </c>
      <c r="F56" s="49" t="s">
        <v>247</v>
      </c>
      <c r="G56" s="49">
        <v>2021</v>
      </c>
      <c r="H56" s="49" t="s">
        <v>163</v>
      </c>
    </row>
    <row r="57" spans="1:8">
      <c r="A57" s="49" t="s">
        <v>158</v>
      </c>
      <c r="B57" s="49" t="s">
        <v>272</v>
      </c>
      <c r="C57" s="49" t="s">
        <v>273</v>
      </c>
      <c r="D57" s="49">
        <v>250</v>
      </c>
      <c r="E57" s="49" t="s">
        <v>161</v>
      </c>
      <c r="F57" s="49" t="s">
        <v>247</v>
      </c>
      <c r="G57" s="49">
        <v>2021</v>
      </c>
      <c r="H57" s="49" t="s">
        <v>179</v>
      </c>
    </row>
    <row r="58" spans="1:8">
      <c r="A58" s="49" t="s">
        <v>158</v>
      </c>
      <c r="B58" s="49" t="s">
        <v>274</v>
      </c>
      <c r="C58" s="49" t="s">
        <v>275</v>
      </c>
      <c r="D58" s="49">
        <v>500</v>
      </c>
      <c r="E58" s="49" t="s">
        <v>161</v>
      </c>
      <c r="F58" s="49" t="s">
        <v>247</v>
      </c>
      <c r="G58" s="49">
        <v>2022</v>
      </c>
      <c r="H58" s="49" t="s">
        <v>179</v>
      </c>
    </row>
    <row r="59" spans="1:8">
      <c r="A59" s="49" t="s">
        <v>158</v>
      </c>
      <c r="B59" s="49" t="s">
        <v>276</v>
      </c>
      <c r="C59" s="49" t="s">
        <v>277</v>
      </c>
      <c r="D59" s="49">
        <v>316</v>
      </c>
      <c r="E59" s="49" t="s">
        <v>161</v>
      </c>
      <c r="F59" s="49" t="s">
        <v>247</v>
      </c>
      <c r="G59" s="49">
        <v>2021</v>
      </c>
      <c r="H59" s="49" t="s">
        <v>179</v>
      </c>
    </row>
    <row r="60" spans="1:8">
      <c r="A60" s="49" t="s">
        <v>158</v>
      </c>
      <c r="B60" s="49" t="s">
        <v>278</v>
      </c>
      <c r="C60" s="49" t="s">
        <v>279</v>
      </c>
      <c r="D60" s="49">
        <v>502</v>
      </c>
      <c r="E60" s="49" t="s">
        <v>161</v>
      </c>
      <c r="F60" s="49" t="s">
        <v>247</v>
      </c>
      <c r="G60" s="49">
        <v>2023</v>
      </c>
      <c r="H60" s="49" t="s">
        <v>179</v>
      </c>
    </row>
    <row r="61" spans="1:8">
      <c r="A61" s="49" t="s">
        <v>158</v>
      </c>
      <c r="B61" s="49" t="s">
        <v>280</v>
      </c>
      <c r="C61" s="49" t="s">
        <v>281</v>
      </c>
      <c r="D61" s="49">
        <v>245</v>
      </c>
      <c r="E61" s="49" t="s">
        <v>161</v>
      </c>
      <c r="F61" s="49" t="s">
        <v>247</v>
      </c>
      <c r="G61" s="49">
        <v>2021</v>
      </c>
      <c r="H61" s="49" t="s">
        <v>179</v>
      </c>
    </row>
    <row r="62" spans="1:8">
      <c r="A62" s="49" t="s">
        <v>158</v>
      </c>
      <c r="B62" s="49" t="s">
        <v>282</v>
      </c>
      <c r="C62" s="49" t="s">
        <v>283</v>
      </c>
      <c r="D62" s="49">
        <v>500</v>
      </c>
      <c r="E62" s="49" t="s">
        <v>161</v>
      </c>
      <c r="F62" s="49" t="s">
        <v>247</v>
      </c>
      <c r="G62" s="49">
        <v>2021</v>
      </c>
      <c r="H62" s="49" t="s">
        <v>179</v>
      </c>
    </row>
    <row r="63" spans="1:8">
      <c r="A63" s="49" t="s">
        <v>158</v>
      </c>
      <c r="B63" s="49" t="s">
        <v>284</v>
      </c>
      <c r="C63" s="49" t="s">
        <v>285</v>
      </c>
      <c r="D63" s="49">
        <v>503</v>
      </c>
      <c r="E63" s="49" t="s">
        <v>161</v>
      </c>
      <c r="F63" s="49" t="s">
        <v>247</v>
      </c>
      <c r="G63" s="49">
        <v>2022</v>
      </c>
      <c r="H63" s="49" t="s">
        <v>179</v>
      </c>
    </row>
    <row r="64" spans="1:8">
      <c r="A64" s="49" t="s">
        <v>158</v>
      </c>
      <c r="B64" s="49" t="s">
        <v>286</v>
      </c>
      <c r="C64" s="49" t="s">
        <v>287</v>
      </c>
      <c r="D64" s="49">
        <v>400</v>
      </c>
      <c r="E64" s="49" t="s">
        <v>161</v>
      </c>
      <c r="F64" s="49" t="s">
        <v>247</v>
      </c>
      <c r="G64" s="49">
        <v>2022</v>
      </c>
      <c r="H64" s="49" t="s">
        <v>179</v>
      </c>
    </row>
    <row r="65" spans="1:8">
      <c r="A65" s="49" t="s">
        <v>158</v>
      </c>
      <c r="B65" s="49" t="s">
        <v>288</v>
      </c>
      <c r="C65" s="49" t="s">
        <v>289</v>
      </c>
      <c r="D65" s="49">
        <v>302</v>
      </c>
      <c r="E65" s="49" t="s">
        <v>161</v>
      </c>
      <c r="F65" s="49" t="s">
        <v>247</v>
      </c>
      <c r="G65" s="49">
        <v>2021</v>
      </c>
      <c r="H65" s="49" t="s">
        <v>179</v>
      </c>
    </row>
    <row r="66" spans="1:8">
      <c r="A66" s="49" t="s">
        <v>158</v>
      </c>
      <c r="B66" s="49" t="s">
        <v>290</v>
      </c>
      <c r="C66" s="49" t="s">
        <v>291</v>
      </c>
      <c r="D66" s="49">
        <v>402</v>
      </c>
      <c r="E66" s="49" t="s">
        <v>161</v>
      </c>
      <c r="F66" s="49" t="s">
        <v>247</v>
      </c>
      <c r="G66" s="49">
        <v>2020</v>
      </c>
      <c r="H66" s="49" t="s">
        <v>179</v>
      </c>
    </row>
    <row r="67" spans="1:8">
      <c r="A67" s="49" t="s">
        <v>158</v>
      </c>
      <c r="B67" s="49" t="s">
        <v>292</v>
      </c>
      <c r="C67" s="49" t="s">
        <v>293</v>
      </c>
      <c r="D67" s="49">
        <v>300</v>
      </c>
      <c r="E67" s="49" t="s">
        <v>161</v>
      </c>
      <c r="F67" s="49" t="s">
        <v>247</v>
      </c>
      <c r="G67" s="49">
        <v>2021</v>
      </c>
      <c r="H67" s="49" t="s">
        <v>179</v>
      </c>
    </row>
    <row r="68" spans="1:8">
      <c r="A68" s="49" t="s">
        <v>158</v>
      </c>
      <c r="B68" s="49" t="s">
        <v>294</v>
      </c>
      <c r="C68" s="49" t="s">
        <v>295</v>
      </c>
      <c r="D68" s="49">
        <v>503</v>
      </c>
      <c r="E68" s="49" t="s">
        <v>161</v>
      </c>
      <c r="F68" s="49" t="s">
        <v>247</v>
      </c>
      <c r="G68" s="49">
        <v>2022</v>
      </c>
      <c r="H68" s="49" t="s">
        <v>179</v>
      </c>
    </row>
    <row r="69" spans="1:8">
      <c r="A69" s="49" t="s">
        <v>158</v>
      </c>
      <c r="B69" s="49" t="s">
        <v>296</v>
      </c>
      <c r="C69" s="49" t="s">
        <v>297</v>
      </c>
      <c r="D69" s="49">
        <v>302</v>
      </c>
      <c r="E69" s="49" t="s">
        <v>161</v>
      </c>
      <c r="F69" s="49" t="s">
        <v>247</v>
      </c>
      <c r="G69" s="49">
        <v>2021</v>
      </c>
      <c r="H69" s="49" t="s">
        <v>179</v>
      </c>
    </row>
    <row r="70" spans="1:8">
      <c r="A70" s="49" t="s">
        <v>158</v>
      </c>
      <c r="B70" s="49" t="s">
        <v>298</v>
      </c>
      <c r="C70" s="49" t="s">
        <v>299</v>
      </c>
      <c r="D70" s="49">
        <v>302</v>
      </c>
      <c r="E70" s="49" t="s">
        <v>161</v>
      </c>
      <c r="F70" s="49" t="s">
        <v>247</v>
      </c>
      <c r="G70" s="49">
        <v>2021</v>
      </c>
      <c r="H70" s="49" t="s">
        <v>179</v>
      </c>
    </row>
    <row r="71" spans="1:8">
      <c r="A71" s="49" t="s">
        <v>158</v>
      </c>
      <c r="B71" s="49" t="s">
        <v>298</v>
      </c>
      <c r="C71" s="49" t="s">
        <v>300</v>
      </c>
      <c r="D71" s="49">
        <v>400</v>
      </c>
      <c r="E71" s="49" t="s">
        <v>161</v>
      </c>
      <c r="F71" s="49" t="s">
        <v>247</v>
      </c>
      <c r="G71" s="49">
        <v>2021</v>
      </c>
      <c r="H71" s="49" t="s">
        <v>179</v>
      </c>
    </row>
    <row r="72" spans="1:8">
      <c r="A72" s="49" t="s">
        <v>158</v>
      </c>
      <c r="B72" s="49" t="s">
        <v>298</v>
      </c>
      <c r="C72" s="49" t="s">
        <v>301</v>
      </c>
      <c r="D72" s="49">
        <v>400</v>
      </c>
      <c r="E72" s="49" t="s">
        <v>161</v>
      </c>
      <c r="F72" s="49" t="s">
        <v>247</v>
      </c>
      <c r="G72" s="49">
        <v>2021</v>
      </c>
      <c r="H72" s="49" t="s">
        <v>179</v>
      </c>
    </row>
    <row r="73" spans="1:8">
      <c r="A73" s="49" t="s">
        <v>158</v>
      </c>
      <c r="B73" s="49" t="s">
        <v>298</v>
      </c>
      <c r="C73" s="49" t="s">
        <v>302</v>
      </c>
      <c r="D73" s="49">
        <v>301</v>
      </c>
      <c r="E73" s="49" t="s">
        <v>161</v>
      </c>
      <c r="F73" s="49" t="s">
        <v>247</v>
      </c>
      <c r="G73" s="49">
        <v>2021</v>
      </c>
      <c r="H73" s="49" t="s">
        <v>179</v>
      </c>
    </row>
    <row r="74" spans="1:8">
      <c r="A74" s="49" t="s">
        <v>158</v>
      </c>
      <c r="B74" s="49" t="s">
        <v>298</v>
      </c>
      <c r="C74" s="49" t="s">
        <v>303</v>
      </c>
      <c r="D74" s="49">
        <v>303</v>
      </c>
      <c r="E74" s="49" t="s">
        <v>161</v>
      </c>
      <c r="F74" s="49" t="s">
        <v>247</v>
      </c>
      <c r="G74" s="49">
        <v>2021</v>
      </c>
      <c r="H74" s="49" t="s">
        <v>179</v>
      </c>
    </row>
    <row r="75" spans="1:8">
      <c r="A75" s="49" t="s">
        <v>158</v>
      </c>
      <c r="B75" s="49" t="s">
        <v>304</v>
      </c>
      <c r="C75" s="49" t="s">
        <v>305</v>
      </c>
      <c r="D75" s="49">
        <v>198</v>
      </c>
      <c r="E75" s="49" t="s">
        <v>161</v>
      </c>
      <c r="F75" s="49" t="s">
        <v>247</v>
      </c>
      <c r="G75" s="49">
        <v>2019</v>
      </c>
      <c r="H75" s="49" t="s">
        <v>179</v>
      </c>
    </row>
    <row r="76" spans="1:8">
      <c r="A76" s="49" t="s">
        <v>158</v>
      </c>
      <c r="B76" s="49" t="s">
        <v>304</v>
      </c>
      <c r="C76" s="49" t="s">
        <v>306</v>
      </c>
      <c r="D76" s="49">
        <v>200</v>
      </c>
      <c r="E76" s="49" t="s">
        <v>161</v>
      </c>
      <c r="F76" s="49" t="s">
        <v>247</v>
      </c>
      <c r="G76" s="49">
        <v>2021</v>
      </c>
      <c r="H76" s="49" t="s">
        <v>179</v>
      </c>
    </row>
    <row r="77" spans="1:8">
      <c r="A77" s="49" t="s">
        <v>158</v>
      </c>
      <c r="B77" s="49" t="s">
        <v>307</v>
      </c>
      <c r="C77" s="49" t="s">
        <v>308</v>
      </c>
      <c r="D77" s="49">
        <v>200</v>
      </c>
      <c r="E77" s="49" t="s">
        <v>161</v>
      </c>
      <c r="F77" s="49" t="s">
        <v>247</v>
      </c>
      <c r="G77" s="49">
        <v>2021</v>
      </c>
      <c r="H77" s="49" t="s">
        <v>179</v>
      </c>
    </row>
    <row r="78" spans="1:8">
      <c r="A78" s="49" t="s">
        <v>158</v>
      </c>
      <c r="B78" s="49" t="s">
        <v>309</v>
      </c>
      <c r="C78" s="49" t="s">
        <v>310</v>
      </c>
      <c r="D78" s="49">
        <v>606</v>
      </c>
      <c r="E78" s="49" t="s">
        <v>161</v>
      </c>
      <c r="F78" s="49" t="s">
        <v>247</v>
      </c>
      <c r="G78" s="49">
        <v>2022</v>
      </c>
      <c r="H78" s="49" t="s">
        <v>179</v>
      </c>
    </row>
    <row r="79" spans="1:8">
      <c r="A79" s="49" t="s">
        <v>158</v>
      </c>
      <c r="B79" s="49" t="s">
        <v>311</v>
      </c>
      <c r="C79" s="49" t="s">
        <v>312</v>
      </c>
      <c r="D79" s="49">
        <v>120</v>
      </c>
      <c r="E79" s="49" t="s">
        <v>161</v>
      </c>
      <c r="F79" s="49" t="s">
        <v>247</v>
      </c>
      <c r="G79" s="49">
        <v>2021</v>
      </c>
      <c r="H79" s="49" t="s">
        <v>179</v>
      </c>
    </row>
    <row r="80" spans="1:8">
      <c r="A80" s="49" t="s">
        <v>158</v>
      </c>
      <c r="B80" s="49" t="s">
        <v>313</v>
      </c>
      <c r="C80" s="49" t="s">
        <v>314</v>
      </c>
      <c r="D80" s="49">
        <v>90</v>
      </c>
      <c r="E80" s="49" t="s">
        <v>161</v>
      </c>
      <c r="F80" s="49" t="s">
        <v>247</v>
      </c>
      <c r="G80" s="49">
        <v>2021</v>
      </c>
      <c r="H80" s="49" t="s">
        <v>179</v>
      </c>
    </row>
    <row r="81" spans="1:8">
      <c r="A81" s="49" t="s">
        <v>158</v>
      </c>
      <c r="B81" s="49" t="s">
        <v>315</v>
      </c>
      <c r="C81" s="49" t="s">
        <v>316</v>
      </c>
      <c r="D81" s="49">
        <v>302</v>
      </c>
      <c r="E81" s="49" t="s">
        <v>161</v>
      </c>
      <c r="F81" s="49" t="s">
        <v>247</v>
      </c>
      <c r="G81" s="49">
        <v>2021</v>
      </c>
      <c r="H81" s="49" t="s">
        <v>179</v>
      </c>
    </row>
    <row r="82" spans="1:8">
      <c r="A82" s="49" t="s">
        <v>158</v>
      </c>
      <c r="B82" s="49" t="s">
        <v>317</v>
      </c>
      <c r="C82" s="49" t="s">
        <v>318</v>
      </c>
      <c r="D82" s="49">
        <v>300</v>
      </c>
      <c r="E82" s="49" t="s">
        <v>161</v>
      </c>
      <c r="F82" s="49" t="s">
        <v>247</v>
      </c>
      <c r="G82" s="49">
        <v>2020</v>
      </c>
      <c r="H82" s="49" t="s">
        <v>319</v>
      </c>
    </row>
    <row r="83" spans="1:8">
      <c r="A83" s="49" t="s">
        <v>158</v>
      </c>
      <c r="B83" s="49" t="s">
        <v>320</v>
      </c>
      <c r="C83" s="49" t="s">
        <v>321</v>
      </c>
      <c r="D83" s="49">
        <v>302</v>
      </c>
      <c r="E83" s="49" t="s">
        <v>161</v>
      </c>
      <c r="F83" s="49" t="s">
        <v>247</v>
      </c>
      <c r="G83" s="49">
        <v>2019</v>
      </c>
      <c r="H83" s="49" t="s">
        <v>322</v>
      </c>
    </row>
    <row r="84" spans="1:8">
      <c r="A84" s="49" t="s">
        <v>158</v>
      </c>
      <c r="B84" s="49" t="s">
        <v>323</v>
      </c>
      <c r="C84" s="49" t="s">
        <v>324</v>
      </c>
      <c r="D84" s="49">
        <v>100</v>
      </c>
      <c r="E84" s="49" t="s">
        <v>161</v>
      </c>
      <c r="F84" s="49" t="s">
        <v>247</v>
      </c>
      <c r="G84" s="49">
        <v>2016</v>
      </c>
      <c r="H84" s="49" t="s">
        <v>322</v>
      </c>
    </row>
    <row r="85" spans="1:8">
      <c r="A85" s="49" t="s">
        <v>158</v>
      </c>
      <c r="B85" s="49" t="s">
        <v>325</v>
      </c>
      <c r="C85" s="49" t="s">
        <v>326</v>
      </c>
      <c r="D85" s="49">
        <v>400</v>
      </c>
      <c r="E85" s="49" t="s">
        <v>161</v>
      </c>
      <c r="F85" s="49" t="s">
        <v>247</v>
      </c>
      <c r="G85" s="49">
        <v>2018</v>
      </c>
      <c r="H85" s="49" t="s">
        <v>322</v>
      </c>
    </row>
    <row r="86" spans="1:8">
      <c r="A86" s="49" t="s">
        <v>158</v>
      </c>
      <c r="B86" s="49" t="s">
        <v>327</v>
      </c>
      <c r="C86" s="49" t="s">
        <v>328</v>
      </c>
      <c r="D86" s="49">
        <v>300</v>
      </c>
      <c r="E86" s="49" t="s">
        <v>161</v>
      </c>
      <c r="F86" s="49" t="s">
        <v>247</v>
      </c>
      <c r="G86" s="49">
        <v>2021</v>
      </c>
      <c r="H86" s="49" t="s">
        <v>322</v>
      </c>
    </row>
    <row r="87" spans="1:8">
      <c r="A87" s="49" t="s">
        <v>158</v>
      </c>
      <c r="B87" s="49" t="s">
        <v>329</v>
      </c>
      <c r="C87" s="49" t="s">
        <v>330</v>
      </c>
      <c r="D87" s="49">
        <v>302</v>
      </c>
      <c r="E87" s="49" t="s">
        <v>161</v>
      </c>
      <c r="F87" s="49" t="s">
        <v>247</v>
      </c>
      <c r="G87" s="49">
        <v>2019</v>
      </c>
      <c r="H87" s="49" t="s">
        <v>322</v>
      </c>
    </row>
    <row r="88" spans="1:8">
      <c r="A88" s="49" t="s">
        <v>158</v>
      </c>
      <c r="B88" s="49" t="s">
        <v>329</v>
      </c>
      <c r="C88" s="49" t="s">
        <v>331</v>
      </c>
      <c r="D88" s="49">
        <v>104</v>
      </c>
      <c r="E88" s="49" t="s">
        <v>161</v>
      </c>
      <c r="F88" s="49" t="s">
        <v>247</v>
      </c>
      <c r="G88" s="49">
        <v>2020</v>
      </c>
      <c r="H88" s="49" t="s">
        <v>322</v>
      </c>
    </row>
    <row r="89" spans="1:8">
      <c r="A89" s="49" t="s">
        <v>158</v>
      </c>
      <c r="B89" s="49" t="s">
        <v>332</v>
      </c>
      <c r="C89" s="49" t="s">
        <v>333</v>
      </c>
      <c r="D89" s="49">
        <v>155</v>
      </c>
      <c r="E89" s="49" t="s">
        <v>161</v>
      </c>
      <c r="F89" s="49" t="s">
        <v>247</v>
      </c>
      <c r="G89" s="49">
        <v>2021</v>
      </c>
      <c r="H89" s="49" t="s">
        <v>322</v>
      </c>
    </row>
    <row r="90" spans="1:8">
      <c r="A90" s="49" t="s">
        <v>158</v>
      </c>
      <c r="B90" s="49" t="s">
        <v>334</v>
      </c>
      <c r="C90" s="49" t="s">
        <v>335</v>
      </c>
      <c r="D90" s="49">
        <v>301</v>
      </c>
      <c r="E90" s="49" t="s">
        <v>161</v>
      </c>
      <c r="F90" s="49" t="s">
        <v>247</v>
      </c>
      <c r="G90" s="49">
        <v>2019</v>
      </c>
      <c r="H90" s="49" t="s">
        <v>322</v>
      </c>
    </row>
    <row r="91" spans="1:8">
      <c r="A91" s="49" t="s">
        <v>158</v>
      </c>
      <c r="B91" s="49" t="s">
        <v>336</v>
      </c>
      <c r="C91" s="49" t="s">
        <v>337</v>
      </c>
      <c r="D91" s="49">
        <v>200</v>
      </c>
      <c r="E91" s="49" t="s">
        <v>161</v>
      </c>
      <c r="F91" s="49" t="s">
        <v>247</v>
      </c>
      <c r="G91" s="49">
        <v>2018</v>
      </c>
      <c r="H91" s="49" t="s">
        <v>322</v>
      </c>
    </row>
    <row r="92" spans="1:8">
      <c r="A92" s="49" t="s">
        <v>158</v>
      </c>
      <c r="B92" s="49" t="s">
        <v>338</v>
      </c>
      <c r="C92" s="49" t="s">
        <v>339</v>
      </c>
      <c r="D92" s="49">
        <v>302</v>
      </c>
      <c r="E92" s="49" t="s">
        <v>161</v>
      </c>
      <c r="F92" s="49" t="s">
        <v>247</v>
      </c>
      <c r="G92" s="49">
        <v>2019</v>
      </c>
      <c r="H92" s="49" t="s">
        <v>322</v>
      </c>
    </row>
    <row r="93" spans="1:8">
      <c r="A93" s="49" t="s">
        <v>158</v>
      </c>
      <c r="B93" s="49" t="s">
        <v>340</v>
      </c>
      <c r="C93" s="49" t="s">
        <v>341</v>
      </c>
      <c r="D93" s="49">
        <v>303</v>
      </c>
      <c r="E93" s="49" t="s">
        <v>161</v>
      </c>
      <c r="F93" s="49" t="s">
        <v>247</v>
      </c>
      <c r="G93" s="49">
        <v>2021</v>
      </c>
      <c r="H93" s="49" t="s">
        <v>322</v>
      </c>
    </row>
    <row r="94" spans="1:8">
      <c r="A94" s="49" t="s">
        <v>158</v>
      </c>
      <c r="B94" s="49" t="s">
        <v>342</v>
      </c>
      <c r="C94" s="49" t="s">
        <v>343</v>
      </c>
      <c r="D94" s="49">
        <v>206</v>
      </c>
      <c r="E94" s="49" t="s">
        <v>161</v>
      </c>
      <c r="F94" s="49" t="s">
        <v>247</v>
      </c>
      <c r="G94" s="49">
        <v>2021</v>
      </c>
      <c r="H94" s="49" t="s">
        <v>322</v>
      </c>
    </row>
    <row r="95" spans="1:8">
      <c r="A95" s="49" t="s">
        <v>158</v>
      </c>
      <c r="B95" s="49" t="s">
        <v>344</v>
      </c>
      <c r="C95" s="49" t="s">
        <v>345</v>
      </c>
      <c r="D95" s="49">
        <v>303</v>
      </c>
      <c r="E95" s="49" t="s">
        <v>161</v>
      </c>
      <c r="F95" s="49" t="s">
        <v>247</v>
      </c>
      <c r="G95" s="49">
        <v>2021</v>
      </c>
      <c r="H95" s="49" t="s">
        <v>322</v>
      </c>
    </row>
    <row r="96" spans="1:8">
      <c r="A96" s="49" t="s">
        <v>158</v>
      </c>
      <c r="B96" s="49" t="s">
        <v>346</v>
      </c>
      <c r="C96" s="49" t="s">
        <v>347</v>
      </c>
      <c r="D96" s="49">
        <v>200</v>
      </c>
      <c r="E96" s="49" t="s">
        <v>161</v>
      </c>
      <c r="F96" s="49" t="s">
        <v>247</v>
      </c>
      <c r="G96" s="49">
        <v>2019</v>
      </c>
      <c r="H96" s="49" t="s">
        <v>322</v>
      </c>
    </row>
    <row r="97" spans="1:8">
      <c r="A97" s="49" t="s">
        <v>158</v>
      </c>
      <c r="B97" s="49" t="s">
        <v>348</v>
      </c>
      <c r="C97" s="49" t="s">
        <v>349</v>
      </c>
      <c r="D97" s="49">
        <v>300</v>
      </c>
      <c r="E97" s="49" t="s">
        <v>161</v>
      </c>
      <c r="F97" s="49" t="s">
        <v>247</v>
      </c>
      <c r="G97" s="49">
        <v>2021</v>
      </c>
      <c r="H97" s="49" t="s">
        <v>322</v>
      </c>
    </row>
    <row r="98" spans="1:8">
      <c r="A98" s="49" t="s">
        <v>158</v>
      </c>
      <c r="B98" s="49" t="s">
        <v>350</v>
      </c>
      <c r="C98" s="49" t="s">
        <v>351</v>
      </c>
      <c r="D98" s="49">
        <v>200</v>
      </c>
      <c r="E98" s="49" t="s">
        <v>161</v>
      </c>
      <c r="F98" s="49" t="s">
        <v>247</v>
      </c>
      <c r="G98" s="49">
        <v>2017</v>
      </c>
      <c r="H98" s="49" t="s">
        <v>322</v>
      </c>
    </row>
    <row r="99" spans="1:8">
      <c r="A99" s="49" t="s">
        <v>158</v>
      </c>
      <c r="B99" s="49" t="s">
        <v>352</v>
      </c>
      <c r="C99" s="49" t="s">
        <v>353</v>
      </c>
      <c r="D99" s="49">
        <v>302</v>
      </c>
      <c r="E99" s="49" t="s">
        <v>161</v>
      </c>
      <c r="F99" s="49" t="s">
        <v>247</v>
      </c>
      <c r="G99" s="49">
        <v>2019</v>
      </c>
      <c r="H99" s="49" t="s">
        <v>322</v>
      </c>
    </row>
    <row r="100" spans="1:8">
      <c r="A100" s="49" t="s">
        <v>158</v>
      </c>
      <c r="B100" s="49" t="s">
        <v>354</v>
      </c>
      <c r="C100" s="49" t="s">
        <v>355</v>
      </c>
      <c r="D100" s="49">
        <v>200</v>
      </c>
      <c r="E100" s="49" t="s">
        <v>161</v>
      </c>
      <c r="F100" s="49" t="s">
        <v>247</v>
      </c>
      <c r="G100" s="49">
        <v>2021</v>
      </c>
      <c r="H100" s="49" t="s">
        <v>322</v>
      </c>
    </row>
    <row r="101" spans="1:8">
      <c r="A101" s="49" t="s">
        <v>158</v>
      </c>
      <c r="B101" s="49" t="s">
        <v>356</v>
      </c>
      <c r="C101" s="49" t="s">
        <v>357</v>
      </c>
      <c r="D101" s="49">
        <v>302</v>
      </c>
      <c r="E101" s="49" t="s">
        <v>161</v>
      </c>
      <c r="F101" s="49" t="s">
        <v>247</v>
      </c>
      <c r="G101" s="49">
        <v>2021</v>
      </c>
      <c r="H101" s="49" t="s">
        <v>322</v>
      </c>
    </row>
    <row r="102" spans="1:8">
      <c r="A102" s="49" t="s">
        <v>158</v>
      </c>
      <c r="B102" s="49" t="s">
        <v>358</v>
      </c>
      <c r="C102" s="49" t="s">
        <v>359</v>
      </c>
      <c r="D102" s="49">
        <v>303</v>
      </c>
      <c r="E102" s="49" t="s">
        <v>161</v>
      </c>
      <c r="F102" s="49" t="s">
        <v>247</v>
      </c>
      <c r="G102" s="49">
        <v>2022</v>
      </c>
      <c r="H102" s="49" t="s">
        <v>322</v>
      </c>
    </row>
    <row r="103" spans="1:8">
      <c r="A103" s="49" t="s">
        <v>158</v>
      </c>
      <c r="B103" s="49" t="s">
        <v>360</v>
      </c>
      <c r="C103" s="49" t="s">
        <v>361</v>
      </c>
      <c r="D103" s="49">
        <v>300</v>
      </c>
      <c r="E103" s="49" t="s">
        <v>161</v>
      </c>
      <c r="F103" s="49" t="s">
        <v>247</v>
      </c>
      <c r="G103" s="49">
        <v>2018</v>
      </c>
      <c r="H103" s="49" t="s">
        <v>322</v>
      </c>
    </row>
    <row r="104" spans="1:8">
      <c r="A104" s="49" t="s">
        <v>158</v>
      </c>
      <c r="B104" s="49" t="s">
        <v>360</v>
      </c>
      <c r="C104" s="49" t="s">
        <v>361</v>
      </c>
      <c r="D104" s="49">
        <v>50</v>
      </c>
      <c r="E104" s="49" t="s">
        <v>161</v>
      </c>
      <c r="F104" s="49" t="s">
        <v>247</v>
      </c>
      <c r="G104" s="49">
        <v>2021</v>
      </c>
      <c r="H104" s="49" t="s">
        <v>322</v>
      </c>
    </row>
    <row r="105" spans="1:8">
      <c r="A105" s="49" t="s">
        <v>158</v>
      </c>
      <c r="B105" s="49" t="s">
        <v>362</v>
      </c>
      <c r="C105" s="49" t="s">
        <v>363</v>
      </c>
      <c r="D105" s="49">
        <v>302</v>
      </c>
      <c r="E105" s="49" t="s">
        <v>161</v>
      </c>
      <c r="F105" s="49" t="s">
        <v>247</v>
      </c>
      <c r="G105" s="49">
        <v>2020</v>
      </c>
      <c r="H105" s="49" t="s">
        <v>322</v>
      </c>
    </row>
    <row r="106" spans="1:8">
      <c r="A106" s="49" t="s">
        <v>158</v>
      </c>
      <c r="B106" s="49" t="s">
        <v>364</v>
      </c>
      <c r="C106" s="49" t="s">
        <v>365</v>
      </c>
      <c r="D106" s="49">
        <v>252</v>
      </c>
      <c r="E106" s="49" t="s">
        <v>161</v>
      </c>
      <c r="F106" s="49" t="s">
        <v>247</v>
      </c>
      <c r="G106" s="49">
        <v>2021</v>
      </c>
      <c r="H106" s="49" t="s">
        <v>322</v>
      </c>
    </row>
    <row r="107" spans="1:8">
      <c r="A107" s="49" t="s">
        <v>158</v>
      </c>
      <c r="B107" s="49" t="s">
        <v>364</v>
      </c>
      <c r="C107" s="49" t="s">
        <v>366</v>
      </c>
      <c r="D107" s="49">
        <v>252</v>
      </c>
      <c r="E107" s="49" t="s">
        <v>161</v>
      </c>
      <c r="F107" s="49" t="s">
        <v>247</v>
      </c>
      <c r="G107" s="49">
        <v>2021</v>
      </c>
      <c r="H107" s="49" t="s">
        <v>322</v>
      </c>
    </row>
    <row r="108" spans="1:8">
      <c r="A108" s="49" t="s">
        <v>158</v>
      </c>
      <c r="B108" s="49" t="s">
        <v>364</v>
      </c>
      <c r="C108" s="49" t="s">
        <v>367</v>
      </c>
      <c r="D108" s="49">
        <v>300</v>
      </c>
      <c r="E108" s="49" t="s">
        <v>161</v>
      </c>
      <c r="F108" s="49" t="s">
        <v>247</v>
      </c>
      <c r="G108" s="49">
        <v>2021</v>
      </c>
      <c r="H108" s="49" t="s">
        <v>322</v>
      </c>
    </row>
    <row r="109" spans="1:8">
      <c r="A109" s="49" t="s">
        <v>158</v>
      </c>
      <c r="B109" s="49" t="s">
        <v>368</v>
      </c>
      <c r="C109" s="49" t="s">
        <v>369</v>
      </c>
      <c r="D109" s="49">
        <v>152</v>
      </c>
      <c r="E109" s="49" t="s">
        <v>161</v>
      </c>
      <c r="F109" s="49" t="s">
        <v>247</v>
      </c>
      <c r="G109" s="49">
        <v>2016</v>
      </c>
      <c r="H109" s="49" t="s">
        <v>322</v>
      </c>
    </row>
    <row r="110" spans="1:8">
      <c r="A110" s="49" t="s">
        <v>158</v>
      </c>
      <c r="B110" s="49" t="s">
        <v>370</v>
      </c>
      <c r="C110" s="49" t="s">
        <v>371</v>
      </c>
      <c r="D110" s="49">
        <v>141</v>
      </c>
      <c r="E110" s="49" t="s">
        <v>161</v>
      </c>
      <c r="F110" s="49" t="s">
        <v>247</v>
      </c>
      <c r="G110" s="49">
        <v>2012</v>
      </c>
      <c r="H110" s="49" t="s">
        <v>322</v>
      </c>
    </row>
    <row r="111" spans="1:8">
      <c r="A111" s="49" t="s">
        <v>158</v>
      </c>
      <c r="B111" s="49" t="s">
        <v>370</v>
      </c>
      <c r="C111" s="49" t="s">
        <v>372</v>
      </c>
      <c r="D111" s="49">
        <v>54</v>
      </c>
      <c r="E111" s="49" t="s">
        <v>161</v>
      </c>
      <c r="F111" s="49" t="s">
        <v>247</v>
      </c>
      <c r="G111" s="49">
        <v>2012</v>
      </c>
      <c r="H111" s="49" t="s">
        <v>322</v>
      </c>
    </row>
    <row r="112" spans="1:8">
      <c r="A112" s="49" t="s">
        <v>158</v>
      </c>
      <c r="B112" s="49" t="s">
        <v>373</v>
      </c>
      <c r="C112" s="49" t="s">
        <v>374</v>
      </c>
      <c r="D112" s="49">
        <v>100</v>
      </c>
      <c r="E112" s="49" t="s">
        <v>161</v>
      </c>
      <c r="F112" s="49" t="s">
        <v>247</v>
      </c>
      <c r="G112" s="49">
        <v>2016</v>
      </c>
      <c r="H112" s="49" t="s">
        <v>322</v>
      </c>
    </row>
    <row r="113" spans="1:8">
      <c r="A113" s="49" t="s">
        <v>158</v>
      </c>
      <c r="B113" s="49" t="s">
        <v>375</v>
      </c>
      <c r="C113" s="49" t="s">
        <v>376</v>
      </c>
      <c r="D113" s="49">
        <v>302</v>
      </c>
      <c r="E113" s="49" t="s">
        <v>161</v>
      </c>
      <c r="F113" s="49" t="s">
        <v>247</v>
      </c>
      <c r="G113" s="49">
        <v>2017</v>
      </c>
      <c r="H113" s="49" t="s">
        <v>322</v>
      </c>
    </row>
    <row r="114" spans="1:8">
      <c r="A114" s="49" t="s">
        <v>158</v>
      </c>
      <c r="B114" s="49" t="s">
        <v>377</v>
      </c>
      <c r="C114" s="49" t="s">
        <v>378</v>
      </c>
      <c r="D114" s="49">
        <v>200</v>
      </c>
      <c r="E114" s="49" t="s">
        <v>161</v>
      </c>
      <c r="F114" s="49" t="s">
        <v>247</v>
      </c>
      <c r="G114" s="49">
        <v>2016</v>
      </c>
      <c r="H114" s="49" t="s">
        <v>322</v>
      </c>
    </row>
    <row r="115" spans="1:8">
      <c r="A115" s="49" t="s">
        <v>158</v>
      </c>
      <c r="B115" s="49" t="s">
        <v>379</v>
      </c>
      <c r="C115" s="49" t="s">
        <v>380</v>
      </c>
      <c r="D115" s="49">
        <v>400</v>
      </c>
      <c r="E115" s="49" t="s">
        <v>161</v>
      </c>
      <c r="F115" s="49" t="s">
        <v>247</v>
      </c>
      <c r="G115" s="49">
        <v>2021</v>
      </c>
      <c r="H115" s="49" t="s">
        <v>322</v>
      </c>
    </row>
    <row r="116" spans="1:8">
      <c r="A116" s="49" t="s">
        <v>158</v>
      </c>
      <c r="B116" s="49" t="s">
        <v>381</v>
      </c>
      <c r="C116" s="49" t="s">
        <v>382</v>
      </c>
      <c r="D116" s="49">
        <v>152</v>
      </c>
      <c r="E116" s="49" t="s">
        <v>161</v>
      </c>
      <c r="F116" s="49" t="s">
        <v>247</v>
      </c>
      <c r="G116" s="49">
        <v>2021</v>
      </c>
      <c r="H116" s="49" t="s">
        <v>322</v>
      </c>
    </row>
    <row r="117" spans="1:8">
      <c r="A117" s="49" t="s">
        <v>158</v>
      </c>
      <c r="B117" s="49" t="s">
        <v>383</v>
      </c>
      <c r="C117" s="49" t="s">
        <v>384</v>
      </c>
      <c r="D117" s="49">
        <v>200</v>
      </c>
      <c r="E117" s="49" t="s">
        <v>161</v>
      </c>
      <c r="F117" s="49" t="s">
        <v>247</v>
      </c>
      <c r="G117" s="49">
        <v>2020</v>
      </c>
      <c r="H117" s="49" t="s">
        <v>322</v>
      </c>
    </row>
    <row r="118" spans="1:8">
      <c r="A118" s="49" t="s">
        <v>158</v>
      </c>
      <c r="B118" s="49" t="s">
        <v>385</v>
      </c>
      <c r="C118" s="49" t="s">
        <v>386</v>
      </c>
      <c r="D118" s="49">
        <v>200</v>
      </c>
      <c r="E118" s="49" t="s">
        <v>161</v>
      </c>
      <c r="F118" s="49" t="s">
        <v>247</v>
      </c>
      <c r="G118" s="49">
        <v>2021</v>
      </c>
      <c r="H118" s="49" t="s">
        <v>322</v>
      </c>
    </row>
    <row r="119" spans="1:8">
      <c r="A119" s="49" t="s">
        <v>158</v>
      </c>
      <c r="B119" s="49" t="s">
        <v>387</v>
      </c>
      <c r="C119" s="49" t="s">
        <v>388</v>
      </c>
      <c r="D119" s="49">
        <v>350</v>
      </c>
      <c r="E119" s="49" t="s">
        <v>161</v>
      </c>
      <c r="F119" s="49" t="s">
        <v>247</v>
      </c>
      <c r="G119" s="49">
        <v>2021</v>
      </c>
      <c r="H119" s="49" t="s">
        <v>322</v>
      </c>
    </row>
    <row r="120" spans="1:8">
      <c r="A120" s="49" t="s">
        <v>158</v>
      </c>
      <c r="B120" s="49" t="s">
        <v>389</v>
      </c>
      <c r="C120" s="49" t="s">
        <v>390</v>
      </c>
      <c r="D120" s="49">
        <v>400</v>
      </c>
      <c r="E120" s="49" t="s">
        <v>161</v>
      </c>
      <c r="F120" s="49" t="s">
        <v>247</v>
      </c>
      <c r="G120" s="49">
        <v>2021</v>
      </c>
      <c r="H120" s="49" t="s">
        <v>322</v>
      </c>
    </row>
    <row r="121" spans="1:8">
      <c r="A121" s="49" t="s">
        <v>158</v>
      </c>
      <c r="B121" s="49" t="s">
        <v>391</v>
      </c>
      <c r="C121" s="49" t="s">
        <v>392</v>
      </c>
      <c r="D121" s="49">
        <v>400</v>
      </c>
      <c r="E121" s="49" t="s">
        <v>161</v>
      </c>
      <c r="F121" s="49" t="s">
        <v>247</v>
      </c>
      <c r="G121" s="49">
        <v>2021</v>
      </c>
      <c r="H121" s="49" t="s">
        <v>322</v>
      </c>
    </row>
    <row r="122" spans="1:8">
      <c r="A122" s="49" t="s">
        <v>158</v>
      </c>
      <c r="B122" s="49" t="s">
        <v>393</v>
      </c>
      <c r="C122" s="49" t="s">
        <v>394</v>
      </c>
      <c r="D122" s="49">
        <v>300</v>
      </c>
      <c r="E122" s="49" t="s">
        <v>161</v>
      </c>
      <c r="F122" s="49" t="s">
        <v>247</v>
      </c>
      <c r="G122" s="49">
        <v>2021</v>
      </c>
      <c r="H122" s="49" t="s">
        <v>322</v>
      </c>
    </row>
    <row r="123" spans="1:8">
      <c r="A123" s="49" t="s">
        <v>158</v>
      </c>
      <c r="B123" s="49" t="s">
        <v>395</v>
      </c>
      <c r="C123" s="49" t="s">
        <v>396</v>
      </c>
      <c r="D123" s="49">
        <v>400</v>
      </c>
      <c r="E123" s="49" t="s">
        <v>161</v>
      </c>
      <c r="F123" s="49" t="s">
        <v>247</v>
      </c>
      <c r="G123" s="49">
        <v>2021</v>
      </c>
      <c r="H123" s="49" t="s">
        <v>322</v>
      </c>
    </row>
    <row r="124" spans="1:8">
      <c r="A124" s="49" t="s">
        <v>158</v>
      </c>
      <c r="B124" s="49" t="s">
        <v>397</v>
      </c>
      <c r="C124" s="49" t="s">
        <v>398</v>
      </c>
      <c r="D124" s="49">
        <v>400</v>
      </c>
      <c r="E124" s="49" t="s">
        <v>161</v>
      </c>
      <c r="F124" s="49" t="s">
        <v>247</v>
      </c>
      <c r="G124" s="49">
        <v>2021</v>
      </c>
      <c r="H124" s="49" t="s">
        <v>322</v>
      </c>
    </row>
    <row r="125" spans="1:8">
      <c r="A125" s="49" t="s">
        <v>158</v>
      </c>
      <c r="B125" s="49" t="s">
        <v>399</v>
      </c>
      <c r="C125" s="49" t="s">
        <v>400</v>
      </c>
      <c r="D125" s="49">
        <v>300</v>
      </c>
      <c r="E125" s="49" t="s">
        <v>161</v>
      </c>
      <c r="F125" s="49" t="s">
        <v>247</v>
      </c>
      <c r="G125" s="49">
        <v>2021</v>
      </c>
      <c r="H125" s="49" t="s">
        <v>322</v>
      </c>
    </row>
    <row r="126" spans="1:8">
      <c r="A126" s="49" t="s">
        <v>158</v>
      </c>
      <c r="B126" s="49" t="s">
        <v>401</v>
      </c>
      <c r="C126" s="49" t="s">
        <v>402</v>
      </c>
      <c r="D126" s="49">
        <v>32</v>
      </c>
      <c r="E126" s="49" t="s">
        <v>161</v>
      </c>
      <c r="F126" s="49" t="s">
        <v>247</v>
      </c>
      <c r="G126" s="49">
        <v>2011</v>
      </c>
      <c r="H126" s="49" t="s">
        <v>322</v>
      </c>
    </row>
    <row r="127" spans="1:8">
      <c r="A127" s="49" t="s">
        <v>158</v>
      </c>
      <c r="B127" s="49" t="s">
        <v>403</v>
      </c>
      <c r="C127" s="49" t="s">
        <v>404</v>
      </c>
      <c r="D127" s="49">
        <v>302</v>
      </c>
      <c r="E127" s="49" t="s">
        <v>161</v>
      </c>
      <c r="F127" s="49" t="s">
        <v>247</v>
      </c>
      <c r="G127" s="49">
        <v>2021</v>
      </c>
      <c r="H127" s="49" t="s">
        <v>322</v>
      </c>
    </row>
    <row r="128" spans="1:8">
      <c r="A128" s="49" t="s">
        <v>158</v>
      </c>
      <c r="B128" s="49" t="s">
        <v>405</v>
      </c>
      <c r="C128" s="49" t="s">
        <v>406</v>
      </c>
      <c r="D128" s="49">
        <v>302</v>
      </c>
      <c r="E128" s="49" t="s">
        <v>161</v>
      </c>
      <c r="F128" s="49" t="s">
        <v>247</v>
      </c>
      <c r="G128" s="49">
        <v>2020</v>
      </c>
      <c r="H128" s="49" t="s">
        <v>322</v>
      </c>
    </row>
    <row r="129" spans="1:8">
      <c r="A129" s="49" t="s">
        <v>158</v>
      </c>
      <c r="B129" s="49" t="s">
        <v>407</v>
      </c>
      <c r="C129" s="49" t="s">
        <v>408</v>
      </c>
      <c r="D129" s="49">
        <v>104</v>
      </c>
      <c r="E129" s="49" t="s">
        <v>161</v>
      </c>
      <c r="F129" s="49" t="s">
        <v>247</v>
      </c>
      <c r="G129" s="49">
        <v>2021</v>
      </c>
      <c r="H129" s="49" t="s">
        <v>322</v>
      </c>
    </row>
    <row r="130" spans="1:8">
      <c r="A130" s="49" t="s">
        <v>158</v>
      </c>
      <c r="B130" s="49" t="s">
        <v>409</v>
      </c>
      <c r="C130" s="49" t="s">
        <v>410</v>
      </c>
      <c r="D130" s="49">
        <v>202</v>
      </c>
      <c r="E130" s="49" t="s">
        <v>161</v>
      </c>
      <c r="F130" s="49" t="s">
        <v>247</v>
      </c>
      <c r="G130" s="49">
        <v>2016</v>
      </c>
      <c r="H130" s="49" t="s">
        <v>322</v>
      </c>
    </row>
    <row r="131" spans="1:8">
      <c r="A131" s="49" t="s">
        <v>158</v>
      </c>
      <c r="B131" s="49" t="s">
        <v>411</v>
      </c>
      <c r="C131" s="49" t="s">
        <v>412</v>
      </c>
      <c r="D131" s="49">
        <v>300</v>
      </c>
      <c r="E131" s="49" t="s">
        <v>161</v>
      </c>
      <c r="F131" s="49" t="s">
        <v>247</v>
      </c>
      <c r="G131" s="49">
        <v>2021</v>
      </c>
      <c r="H131" s="49" t="s">
        <v>208</v>
      </c>
    </row>
    <row r="132" spans="1:8">
      <c r="A132" s="49" t="s">
        <v>158</v>
      </c>
      <c r="B132" s="49" t="s">
        <v>413</v>
      </c>
      <c r="C132" s="49" t="s">
        <v>414</v>
      </c>
      <c r="D132" s="49">
        <v>299</v>
      </c>
      <c r="E132" s="49" t="s">
        <v>161</v>
      </c>
      <c r="F132" s="49" t="s">
        <v>247</v>
      </c>
      <c r="G132" s="49">
        <v>2020</v>
      </c>
      <c r="H132" s="49" t="s">
        <v>208</v>
      </c>
    </row>
    <row r="133" spans="1:8">
      <c r="A133" s="49" t="s">
        <v>158</v>
      </c>
      <c r="B133" s="49" t="s">
        <v>415</v>
      </c>
      <c r="C133" s="49" t="s">
        <v>416</v>
      </c>
      <c r="D133" s="49">
        <v>350</v>
      </c>
      <c r="E133" s="49" t="s">
        <v>161</v>
      </c>
      <c r="F133" s="49" t="s">
        <v>247</v>
      </c>
      <c r="G133" s="49">
        <v>2021</v>
      </c>
      <c r="H133" s="49" t="s">
        <v>208</v>
      </c>
    </row>
    <row r="134" spans="1:8">
      <c r="A134" s="49" t="s">
        <v>158</v>
      </c>
      <c r="B134" s="49" t="s">
        <v>417</v>
      </c>
      <c r="C134" s="49" t="s">
        <v>418</v>
      </c>
      <c r="D134" s="49">
        <v>302</v>
      </c>
      <c r="E134" s="49" t="s">
        <v>161</v>
      </c>
      <c r="F134" s="49" t="s">
        <v>247</v>
      </c>
      <c r="G134" s="49">
        <v>2021</v>
      </c>
      <c r="H134" s="49" t="s">
        <v>211</v>
      </c>
    </row>
    <row r="135" spans="1:8">
      <c r="A135" s="49" t="s">
        <v>158</v>
      </c>
      <c r="B135" s="49" t="s">
        <v>419</v>
      </c>
      <c r="C135" s="49" t="s">
        <v>420</v>
      </c>
      <c r="D135" s="49">
        <v>302</v>
      </c>
      <c r="E135" s="49" t="s">
        <v>161</v>
      </c>
      <c r="F135" s="49" t="s">
        <v>247</v>
      </c>
      <c r="G135" s="49">
        <v>2021</v>
      </c>
      <c r="H135" s="49" t="s">
        <v>211</v>
      </c>
    </row>
    <row r="136" spans="1:8">
      <c r="A136" s="49" t="s">
        <v>158</v>
      </c>
      <c r="B136" s="49" t="s">
        <v>421</v>
      </c>
      <c r="C136" s="49" t="s">
        <v>422</v>
      </c>
      <c r="D136" s="49">
        <v>500</v>
      </c>
      <c r="E136" s="49" t="s">
        <v>161</v>
      </c>
      <c r="F136" s="49" t="s">
        <v>247</v>
      </c>
      <c r="G136" s="49">
        <v>2022</v>
      </c>
      <c r="H136" s="49" t="s">
        <v>211</v>
      </c>
    </row>
    <row r="137" spans="1:8">
      <c r="A137" s="49" t="s">
        <v>158</v>
      </c>
      <c r="B137" s="49" t="s">
        <v>423</v>
      </c>
      <c r="C137" s="49" t="s">
        <v>424</v>
      </c>
      <c r="D137" s="49">
        <v>501</v>
      </c>
      <c r="E137" s="49" t="s">
        <v>161</v>
      </c>
      <c r="F137" s="49" t="s">
        <v>247</v>
      </c>
      <c r="G137" s="49">
        <v>2022</v>
      </c>
      <c r="H137" s="49" t="s">
        <v>211</v>
      </c>
    </row>
    <row r="138" spans="1:8">
      <c r="A138" s="49" t="s">
        <v>158</v>
      </c>
      <c r="B138" s="49" t="s">
        <v>425</v>
      </c>
      <c r="C138" s="49" t="s">
        <v>426</v>
      </c>
      <c r="D138" s="49">
        <v>399.5</v>
      </c>
      <c r="E138" s="49" t="s">
        <v>161</v>
      </c>
      <c r="F138" s="49" t="s">
        <v>247</v>
      </c>
      <c r="G138" s="49">
        <v>2022</v>
      </c>
      <c r="H138" s="49" t="s">
        <v>211</v>
      </c>
    </row>
    <row r="139" spans="1:8">
      <c r="A139" s="49" t="s">
        <v>158</v>
      </c>
      <c r="B139" s="49" t="s">
        <v>427</v>
      </c>
      <c r="C139" s="49" t="s">
        <v>428</v>
      </c>
      <c r="D139" s="49">
        <v>501.5</v>
      </c>
      <c r="E139" s="49" t="s">
        <v>161</v>
      </c>
      <c r="F139" s="49" t="s">
        <v>247</v>
      </c>
      <c r="G139" s="1"/>
      <c r="H139" s="49" t="s">
        <v>211</v>
      </c>
    </row>
    <row r="140" spans="1:8">
      <c r="A140" s="49" t="s">
        <v>158</v>
      </c>
      <c r="B140" s="49" t="s">
        <v>429</v>
      </c>
      <c r="C140" s="49" t="s">
        <v>430</v>
      </c>
      <c r="D140" s="49">
        <v>300</v>
      </c>
      <c r="E140" s="49" t="s">
        <v>161</v>
      </c>
      <c r="F140" s="49" t="s">
        <v>247</v>
      </c>
      <c r="G140" s="49">
        <v>2022</v>
      </c>
      <c r="H140" s="49" t="s">
        <v>211</v>
      </c>
    </row>
    <row r="141" spans="1:8">
      <c r="A141" s="49" t="s">
        <v>158</v>
      </c>
      <c r="B141" s="49" t="s">
        <v>431</v>
      </c>
      <c r="C141" s="49" t="s">
        <v>432</v>
      </c>
      <c r="D141" s="49">
        <v>303</v>
      </c>
      <c r="E141" s="49" t="s">
        <v>161</v>
      </c>
      <c r="F141" s="49" t="s">
        <v>247</v>
      </c>
      <c r="G141" s="49">
        <v>2022</v>
      </c>
      <c r="H141" s="49" t="s">
        <v>211</v>
      </c>
    </row>
    <row r="142" spans="1:8">
      <c r="A142" s="49" t="s">
        <v>158</v>
      </c>
      <c r="B142" s="49" t="s">
        <v>433</v>
      </c>
      <c r="C142" s="49" t="s">
        <v>434</v>
      </c>
      <c r="D142" s="49">
        <v>500</v>
      </c>
      <c r="E142" s="49" t="s">
        <v>161</v>
      </c>
      <c r="F142" s="49" t="s">
        <v>247</v>
      </c>
      <c r="G142" s="49">
        <v>2022</v>
      </c>
      <c r="H142" s="49" t="s">
        <v>211</v>
      </c>
    </row>
    <row r="143" spans="1:8">
      <c r="A143" s="49" t="s">
        <v>158</v>
      </c>
      <c r="B143" s="49" t="s">
        <v>435</v>
      </c>
      <c r="C143" s="49" t="s">
        <v>436</v>
      </c>
      <c r="D143" s="49">
        <v>102</v>
      </c>
      <c r="E143" s="49" t="s">
        <v>161</v>
      </c>
      <c r="F143" s="49" t="s">
        <v>247</v>
      </c>
      <c r="G143" s="49">
        <v>2009</v>
      </c>
      <c r="H143" s="49" t="s">
        <v>437</v>
      </c>
    </row>
    <row r="144" spans="1:8">
      <c r="A144" s="49" t="s">
        <v>158</v>
      </c>
      <c r="B144" s="49" t="s">
        <v>435</v>
      </c>
      <c r="C144" s="49" t="s">
        <v>438</v>
      </c>
      <c r="D144" s="49">
        <v>102</v>
      </c>
      <c r="E144" s="49" t="s">
        <v>161</v>
      </c>
      <c r="F144" s="49" t="s">
        <v>247</v>
      </c>
      <c r="G144" s="49">
        <v>2014</v>
      </c>
      <c r="H144" s="49" t="s">
        <v>437</v>
      </c>
    </row>
    <row r="145" spans="1:8">
      <c r="A145" s="49" t="s">
        <v>158</v>
      </c>
      <c r="B145" s="49" t="s">
        <v>435</v>
      </c>
      <c r="C145" s="49" t="s">
        <v>439</v>
      </c>
      <c r="D145" s="49">
        <v>45.5</v>
      </c>
      <c r="E145" s="49" t="s">
        <v>161</v>
      </c>
      <c r="F145" s="49" t="s">
        <v>247</v>
      </c>
      <c r="G145" s="49">
        <v>2021</v>
      </c>
      <c r="H145" s="49" t="s">
        <v>437</v>
      </c>
    </row>
    <row r="146" spans="1:8">
      <c r="A146" s="49" t="s">
        <v>158</v>
      </c>
      <c r="B146" s="49" t="s">
        <v>440</v>
      </c>
      <c r="C146" s="49" t="s">
        <v>441</v>
      </c>
      <c r="D146" s="49">
        <v>15</v>
      </c>
      <c r="E146" s="49" t="s">
        <v>161</v>
      </c>
      <c r="F146" s="49" t="s">
        <v>247</v>
      </c>
      <c r="G146" s="49">
        <v>2012</v>
      </c>
      <c r="H146" s="49" t="s">
        <v>437</v>
      </c>
    </row>
    <row r="147" spans="1:8">
      <c r="A147" s="49" t="s">
        <v>158</v>
      </c>
      <c r="B147" s="49" t="s">
        <v>442</v>
      </c>
      <c r="C147" s="49" t="s">
        <v>443</v>
      </c>
      <c r="D147" s="49">
        <v>206</v>
      </c>
      <c r="E147" s="49" t="s">
        <v>161</v>
      </c>
      <c r="F147" s="49" t="s">
        <v>247</v>
      </c>
      <c r="G147" s="49">
        <v>2021</v>
      </c>
      <c r="H147" s="49" t="s">
        <v>437</v>
      </c>
    </row>
    <row r="148" spans="1:8">
      <c r="A148" s="49" t="s">
        <v>158</v>
      </c>
      <c r="B148" s="49" t="s">
        <v>444</v>
      </c>
      <c r="C148" s="49" t="s">
        <v>445</v>
      </c>
      <c r="D148" s="49">
        <v>106</v>
      </c>
      <c r="E148" s="49" t="s">
        <v>161</v>
      </c>
      <c r="F148" s="49" t="s">
        <v>247</v>
      </c>
      <c r="G148" s="49">
        <v>2019</v>
      </c>
      <c r="H148" s="49" t="s">
        <v>437</v>
      </c>
    </row>
    <row r="149" spans="1:8">
      <c r="A149" s="49" t="s">
        <v>158</v>
      </c>
      <c r="B149" s="49" t="s">
        <v>444</v>
      </c>
      <c r="C149" s="49" t="s">
        <v>446</v>
      </c>
      <c r="D149" s="49">
        <v>101</v>
      </c>
      <c r="E149" s="49" t="s">
        <v>161</v>
      </c>
      <c r="F149" s="49" t="s">
        <v>247</v>
      </c>
      <c r="G149" s="49">
        <v>2017</v>
      </c>
      <c r="H149" s="49" t="s">
        <v>437</v>
      </c>
    </row>
    <row r="150" spans="1:8">
      <c r="A150" s="49" t="s">
        <v>158</v>
      </c>
      <c r="B150" s="49" t="s">
        <v>447</v>
      </c>
      <c r="C150" s="49" t="s">
        <v>448</v>
      </c>
      <c r="D150" s="49">
        <v>90</v>
      </c>
      <c r="E150" s="49" t="s">
        <v>161</v>
      </c>
      <c r="F150" s="49" t="s">
        <v>247</v>
      </c>
      <c r="G150" s="49">
        <v>2019</v>
      </c>
      <c r="H150" s="49" t="s">
        <v>449</v>
      </c>
    </row>
    <row r="151" spans="1:8">
      <c r="A151" s="49" t="s">
        <v>158</v>
      </c>
      <c r="B151" s="49" t="s">
        <v>450</v>
      </c>
      <c r="C151" s="49" t="s">
        <v>451</v>
      </c>
      <c r="D151" s="49">
        <v>400</v>
      </c>
      <c r="E151" s="49" t="s">
        <v>161</v>
      </c>
      <c r="F151" s="49" t="s">
        <v>247</v>
      </c>
      <c r="G151" s="49">
        <v>2022</v>
      </c>
      <c r="H151" s="49" t="s">
        <v>223</v>
      </c>
    </row>
    <row r="152" spans="1:8">
      <c r="A152" s="49" t="s">
        <v>158</v>
      </c>
      <c r="B152" s="49" t="s">
        <v>452</v>
      </c>
      <c r="C152" s="49" t="s">
        <v>453</v>
      </c>
      <c r="D152" s="49">
        <v>400</v>
      </c>
      <c r="E152" s="49" t="s">
        <v>161</v>
      </c>
      <c r="F152" s="49" t="s">
        <v>247</v>
      </c>
      <c r="G152" s="49">
        <v>2022</v>
      </c>
      <c r="H152" s="49" t="s">
        <v>223</v>
      </c>
    </row>
    <row r="153" spans="1:8">
      <c r="A153" s="49" t="s">
        <v>158</v>
      </c>
      <c r="B153" s="49" t="s">
        <v>454</v>
      </c>
      <c r="C153" s="49" t="s">
        <v>455</v>
      </c>
      <c r="D153" s="49">
        <v>234</v>
      </c>
      <c r="E153" s="49" t="s">
        <v>161</v>
      </c>
      <c r="F153" s="49" t="s">
        <v>247</v>
      </c>
      <c r="G153" s="49">
        <v>2020</v>
      </c>
      <c r="H153" s="49" t="s">
        <v>223</v>
      </c>
    </row>
    <row r="154" spans="1:8">
      <c r="A154" s="49" t="s">
        <v>158</v>
      </c>
      <c r="B154" s="49" t="s">
        <v>456</v>
      </c>
      <c r="C154" s="49" t="s">
        <v>457</v>
      </c>
      <c r="D154" s="49">
        <v>300</v>
      </c>
      <c r="E154" s="49" t="s">
        <v>161</v>
      </c>
      <c r="F154" s="49" t="s">
        <v>247</v>
      </c>
      <c r="G154" s="49">
        <v>2021</v>
      </c>
      <c r="H154" s="49" t="s">
        <v>223</v>
      </c>
    </row>
    <row r="155" spans="1:8">
      <c r="A155" s="49" t="s">
        <v>158</v>
      </c>
      <c r="B155" s="49" t="s">
        <v>458</v>
      </c>
      <c r="C155" s="49" t="s">
        <v>459</v>
      </c>
      <c r="D155" s="49">
        <v>300</v>
      </c>
      <c r="E155" s="49" t="s">
        <v>161</v>
      </c>
      <c r="F155" s="49" t="s">
        <v>247</v>
      </c>
      <c r="G155" s="49">
        <v>2021</v>
      </c>
      <c r="H155" s="49" t="s">
        <v>223</v>
      </c>
    </row>
    <row r="156" spans="1:8">
      <c r="A156" s="49" t="s">
        <v>158</v>
      </c>
      <c r="B156" s="49" t="s">
        <v>460</v>
      </c>
      <c r="C156" s="49" t="s">
        <v>461</v>
      </c>
      <c r="D156" s="49">
        <v>252</v>
      </c>
      <c r="E156" s="49" t="s">
        <v>161</v>
      </c>
      <c r="F156" s="49" t="s">
        <v>247</v>
      </c>
      <c r="G156" s="49">
        <v>2019</v>
      </c>
      <c r="H156" s="49" t="s">
        <v>223</v>
      </c>
    </row>
    <row r="157" spans="1:8">
      <c r="A157" s="49" t="s">
        <v>158</v>
      </c>
      <c r="B157" s="49" t="s">
        <v>462</v>
      </c>
      <c r="C157" s="49" t="s">
        <v>463</v>
      </c>
      <c r="D157" s="49">
        <v>400</v>
      </c>
      <c r="E157" s="49" t="s">
        <v>161</v>
      </c>
      <c r="F157" s="49" t="s">
        <v>247</v>
      </c>
      <c r="G157" s="49">
        <v>2021</v>
      </c>
      <c r="H157" s="49" t="s">
        <v>223</v>
      </c>
    </row>
    <row r="158" spans="1:8">
      <c r="A158" s="49" t="s">
        <v>158</v>
      </c>
      <c r="B158" s="49" t="s">
        <v>464</v>
      </c>
      <c r="C158" s="49" t="s">
        <v>465</v>
      </c>
      <c r="D158" s="49">
        <v>281</v>
      </c>
      <c r="E158" s="49" t="s">
        <v>161</v>
      </c>
      <c r="F158" s="49" t="s">
        <v>247</v>
      </c>
      <c r="G158" s="49">
        <v>2021</v>
      </c>
      <c r="H158" s="49" t="s">
        <v>223</v>
      </c>
    </row>
    <row r="159" spans="1:8">
      <c r="A159" s="49" t="s">
        <v>158</v>
      </c>
      <c r="B159" s="49" t="s">
        <v>230</v>
      </c>
      <c r="C159" s="49" t="s">
        <v>466</v>
      </c>
      <c r="D159" s="49">
        <v>254</v>
      </c>
      <c r="E159" s="49" t="s">
        <v>161</v>
      </c>
      <c r="F159" s="49" t="s">
        <v>247</v>
      </c>
      <c r="G159" s="49">
        <v>2021</v>
      </c>
      <c r="H159" s="49" t="s">
        <v>223</v>
      </c>
    </row>
    <row r="160" spans="1:8">
      <c r="A160" s="49" t="s">
        <v>158</v>
      </c>
      <c r="B160" s="49" t="s">
        <v>467</v>
      </c>
      <c r="C160" s="49" t="s">
        <v>468</v>
      </c>
      <c r="D160" s="49">
        <v>300</v>
      </c>
      <c r="E160" s="49" t="s">
        <v>161</v>
      </c>
      <c r="F160" s="49" t="s">
        <v>247</v>
      </c>
      <c r="G160" s="49">
        <v>2023</v>
      </c>
      <c r="H160" s="49" t="s">
        <v>223</v>
      </c>
    </row>
    <row r="161" spans="1:8">
      <c r="A161" s="49" t="s">
        <v>158</v>
      </c>
      <c r="B161" s="49" t="s">
        <v>469</v>
      </c>
      <c r="C161" s="49" t="s">
        <v>470</v>
      </c>
      <c r="D161" s="49">
        <v>301</v>
      </c>
      <c r="E161" s="49" t="s">
        <v>161</v>
      </c>
      <c r="F161" s="49" t="s">
        <v>247</v>
      </c>
      <c r="G161" s="49">
        <v>2022</v>
      </c>
      <c r="H161" s="49" t="s">
        <v>223</v>
      </c>
    </row>
    <row r="162" spans="1:8">
      <c r="A162" s="49" t="s">
        <v>158</v>
      </c>
      <c r="B162" s="49" t="s">
        <v>471</v>
      </c>
      <c r="C162" s="49" t="s">
        <v>472</v>
      </c>
      <c r="D162" s="49">
        <v>496</v>
      </c>
      <c r="E162" s="49" t="s">
        <v>236</v>
      </c>
      <c r="F162" s="49" t="s">
        <v>247</v>
      </c>
      <c r="G162" s="49">
        <v>2021</v>
      </c>
      <c r="H162" s="49" t="s">
        <v>163</v>
      </c>
    </row>
    <row r="163" spans="1:8">
      <c r="A163" s="49" t="s">
        <v>158</v>
      </c>
      <c r="B163" s="49" t="s">
        <v>473</v>
      </c>
      <c r="C163" s="49" t="s">
        <v>474</v>
      </c>
      <c r="D163" s="49">
        <v>12</v>
      </c>
      <c r="E163" s="49" t="s">
        <v>236</v>
      </c>
      <c r="F163" s="49" t="s">
        <v>247</v>
      </c>
      <c r="G163" s="49">
        <v>2015</v>
      </c>
      <c r="H163" s="49" t="s">
        <v>322</v>
      </c>
    </row>
    <row r="164" spans="1:8">
      <c r="A164" s="49" t="s">
        <v>158</v>
      </c>
      <c r="B164" s="49" t="s">
        <v>475</v>
      </c>
      <c r="C164" s="49" t="s">
        <v>476</v>
      </c>
      <c r="D164" s="49">
        <v>1000</v>
      </c>
      <c r="E164" s="49" t="s">
        <v>166</v>
      </c>
      <c r="F164" s="49" t="s">
        <v>477</v>
      </c>
      <c r="G164" s="49">
        <v>2028</v>
      </c>
      <c r="H164" s="49" t="s">
        <v>179</v>
      </c>
    </row>
    <row r="165" spans="1:8">
      <c r="A165" s="49" t="s">
        <v>158</v>
      </c>
      <c r="B165" s="49" t="s">
        <v>478</v>
      </c>
      <c r="C165" s="49" t="s">
        <v>479</v>
      </c>
      <c r="D165" s="49">
        <v>100</v>
      </c>
      <c r="E165" s="49" t="s">
        <v>161</v>
      </c>
      <c r="F165" s="49" t="s">
        <v>477</v>
      </c>
      <c r="G165" s="1"/>
      <c r="H165" s="49" t="s">
        <v>163</v>
      </c>
    </row>
    <row r="166" spans="1:8">
      <c r="A166" s="49" t="s">
        <v>158</v>
      </c>
      <c r="B166" s="49" t="s">
        <v>480</v>
      </c>
      <c r="C166" s="49" t="s">
        <v>481</v>
      </c>
      <c r="D166" s="49">
        <v>300</v>
      </c>
      <c r="E166" s="49" t="s">
        <v>161</v>
      </c>
      <c r="F166" s="49" t="s">
        <v>477</v>
      </c>
      <c r="G166" s="1"/>
      <c r="H166" s="49" t="s">
        <v>163</v>
      </c>
    </row>
    <row r="167" spans="1:8">
      <c r="A167" s="49" t="s">
        <v>158</v>
      </c>
      <c r="B167" s="49" t="s">
        <v>482</v>
      </c>
      <c r="C167" s="49" t="s">
        <v>483</v>
      </c>
      <c r="D167" s="49">
        <v>650</v>
      </c>
      <c r="E167" s="49" t="s">
        <v>161</v>
      </c>
      <c r="F167" s="49" t="s">
        <v>477</v>
      </c>
      <c r="G167" s="1"/>
      <c r="H167" s="49" t="s">
        <v>163</v>
      </c>
    </row>
    <row r="168" spans="1:8">
      <c r="A168" s="49" t="s">
        <v>158</v>
      </c>
      <c r="B168" s="49" t="s">
        <v>484</v>
      </c>
      <c r="C168" s="49" t="s">
        <v>485</v>
      </c>
      <c r="D168" s="49">
        <v>550</v>
      </c>
      <c r="E168" s="49" t="s">
        <v>161</v>
      </c>
      <c r="F168" s="49" t="s">
        <v>477</v>
      </c>
      <c r="G168" s="1"/>
      <c r="H168" s="49" t="s">
        <v>163</v>
      </c>
    </row>
    <row r="169" spans="1:8">
      <c r="A169" s="49" t="s">
        <v>158</v>
      </c>
      <c r="B169" s="49" t="s">
        <v>486</v>
      </c>
      <c r="C169" s="49" t="s">
        <v>487</v>
      </c>
      <c r="D169" s="49">
        <v>700</v>
      </c>
      <c r="E169" s="49" t="s">
        <v>161</v>
      </c>
      <c r="F169" s="49" t="s">
        <v>477</v>
      </c>
      <c r="G169" s="1"/>
      <c r="H169" s="49" t="s">
        <v>163</v>
      </c>
    </row>
    <row r="170" spans="1:8">
      <c r="A170" s="49" t="s">
        <v>158</v>
      </c>
      <c r="B170" s="49" t="s">
        <v>488</v>
      </c>
      <c r="C170" s="49" t="s">
        <v>489</v>
      </c>
      <c r="D170" s="49">
        <v>300</v>
      </c>
      <c r="E170" s="49" t="s">
        <v>161</v>
      </c>
      <c r="F170" s="49" t="s">
        <v>477</v>
      </c>
      <c r="G170" s="1"/>
      <c r="H170" s="49" t="s">
        <v>163</v>
      </c>
    </row>
    <row r="171" spans="1:8">
      <c r="A171" s="49" t="s">
        <v>158</v>
      </c>
      <c r="B171" s="49" t="s">
        <v>490</v>
      </c>
      <c r="C171" s="49" t="s">
        <v>491</v>
      </c>
      <c r="D171" s="49">
        <v>400</v>
      </c>
      <c r="E171" s="49" t="s">
        <v>161</v>
      </c>
      <c r="F171" s="49" t="s">
        <v>477</v>
      </c>
      <c r="G171" s="1"/>
      <c r="H171" s="49" t="s">
        <v>163</v>
      </c>
    </row>
    <row r="172" spans="1:8">
      <c r="A172" s="49" t="s">
        <v>158</v>
      </c>
      <c r="B172" s="49" t="s">
        <v>159</v>
      </c>
      <c r="C172" s="49" t="s">
        <v>492</v>
      </c>
      <c r="D172" s="49">
        <v>200</v>
      </c>
      <c r="E172" s="49" t="s">
        <v>161</v>
      </c>
      <c r="F172" s="49" t="s">
        <v>477</v>
      </c>
      <c r="G172" s="49">
        <v>2025</v>
      </c>
      <c r="H172" s="49" t="s">
        <v>163</v>
      </c>
    </row>
    <row r="173" spans="1:8">
      <c r="A173" s="49" t="s">
        <v>158</v>
      </c>
      <c r="B173" s="49" t="s">
        <v>159</v>
      </c>
      <c r="C173" s="49" t="s">
        <v>493</v>
      </c>
      <c r="D173" s="49">
        <v>300</v>
      </c>
      <c r="E173" s="49" t="s">
        <v>161</v>
      </c>
      <c r="F173" s="49" t="s">
        <v>477</v>
      </c>
      <c r="G173" s="49">
        <v>2023</v>
      </c>
      <c r="H173" s="49" t="s">
        <v>163</v>
      </c>
    </row>
    <row r="174" spans="1:8">
      <c r="A174" s="49" t="s">
        <v>158</v>
      </c>
      <c r="B174" s="49" t="s">
        <v>159</v>
      </c>
      <c r="C174" s="49" t="s">
        <v>494</v>
      </c>
      <c r="D174" s="49">
        <v>400</v>
      </c>
      <c r="E174" s="49" t="s">
        <v>161</v>
      </c>
      <c r="F174" s="49" t="s">
        <v>477</v>
      </c>
      <c r="G174" s="49">
        <v>2026</v>
      </c>
      <c r="H174" s="49" t="s">
        <v>163</v>
      </c>
    </row>
    <row r="175" spans="1:8">
      <c r="A175" s="49" t="s">
        <v>158</v>
      </c>
      <c r="B175" s="49" t="s">
        <v>495</v>
      </c>
      <c r="C175" s="49" t="s">
        <v>496</v>
      </c>
      <c r="D175" s="49">
        <v>450</v>
      </c>
      <c r="E175" s="49" t="s">
        <v>161</v>
      </c>
      <c r="F175" s="49" t="s">
        <v>477</v>
      </c>
      <c r="G175" s="1"/>
      <c r="H175" s="49" t="s">
        <v>163</v>
      </c>
    </row>
    <row r="176" spans="1:8">
      <c r="A176" s="49" t="s">
        <v>158</v>
      </c>
      <c r="B176" s="49" t="s">
        <v>497</v>
      </c>
      <c r="C176" s="49" t="s">
        <v>498</v>
      </c>
      <c r="D176" s="49">
        <v>750</v>
      </c>
      <c r="E176" s="49" t="s">
        <v>161</v>
      </c>
      <c r="F176" s="49" t="s">
        <v>477</v>
      </c>
      <c r="G176" s="1"/>
      <c r="H176" s="49" t="s">
        <v>163</v>
      </c>
    </row>
    <row r="177" spans="1:8">
      <c r="A177" s="49" t="s">
        <v>158</v>
      </c>
      <c r="B177" s="49" t="s">
        <v>174</v>
      </c>
      <c r="C177" s="49" t="s">
        <v>499</v>
      </c>
      <c r="D177" s="49">
        <v>201</v>
      </c>
      <c r="E177" s="49" t="s">
        <v>161</v>
      </c>
      <c r="F177" s="49" t="s">
        <v>477</v>
      </c>
      <c r="G177" s="49">
        <v>2025</v>
      </c>
      <c r="H177" s="49" t="s">
        <v>163</v>
      </c>
    </row>
    <row r="178" spans="1:8">
      <c r="A178" s="49" t="s">
        <v>158</v>
      </c>
      <c r="B178" s="49" t="s">
        <v>500</v>
      </c>
      <c r="C178" s="49" t="s">
        <v>501</v>
      </c>
      <c r="D178" s="49">
        <v>800</v>
      </c>
      <c r="E178" s="49" t="s">
        <v>161</v>
      </c>
      <c r="F178" s="49" t="s">
        <v>477</v>
      </c>
      <c r="G178" s="1"/>
      <c r="H178" s="49" t="s">
        <v>179</v>
      </c>
    </row>
    <row r="179" spans="1:8">
      <c r="A179" s="49" t="s">
        <v>158</v>
      </c>
      <c r="B179" s="49" t="s">
        <v>502</v>
      </c>
      <c r="C179" s="49" t="s">
        <v>503</v>
      </c>
      <c r="D179" s="49">
        <v>500</v>
      </c>
      <c r="E179" s="49" t="s">
        <v>161</v>
      </c>
      <c r="F179" s="49" t="s">
        <v>477</v>
      </c>
      <c r="G179" s="1"/>
      <c r="H179" s="49" t="s">
        <v>179</v>
      </c>
    </row>
    <row r="180" spans="1:8">
      <c r="A180" s="49" t="s">
        <v>158</v>
      </c>
      <c r="B180" s="49" t="s">
        <v>504</v>
      </c>
      <c r="C180" s="49" t="s">
        <v>505</v>
      </c>
      <c r="D180" s="49">
        <v>1000</v>
      </c>
      <c r="E180" s="49" t="s">
        <v>161</v>
      </c>
      <c r="F180" s="49" t="s">
        <v>477</v>
      </c>
      <c r="G180" s="1"/>
      <c r="H180" s="49" t="s">
        <v>179</v>
      </c>
    </row>
    <row r="181" spans="1:8">
      <c r="A181" s="49" t="s">
        <v>158</v>
      </c>
      <c r="B181" s="49" t="s">
        <v>506</v>
      </c>
      <c r="C181" s="49" t="s">
        <v>507</v>
      </c>
      <c r="D181" s="49">
        <v>1000</v>
      </c>
      <c r="E181" s="49" t="s">
        <v>161</v>
      </c>
      <c r="F181" s="49" t="s">
        <v>477</v>
      </c>
      <c r="G181" s="1"/>
      <c r="H181" s="49" t="s">
        <v>179</v>
      </c>
    </row>
    <row r="182" spans="1:8">
      <c r="A182" s="49" t="s">
        <v>158</v>
      </c>
      <c r="B182" s="49" t="s">
        <v>508</v>
      </c>
      <c r="C182" s="49" t="s">
        <v>509</v>
      </c>
      <c r="D182" s="49">
        <v>150</v>
      </c>
      <c r="E182" s="49" t="s">
        <v>161</v>
      </c>
      <c r="F182" s="49" t="s">
        <v>477</v>
      </c>
      <c r="G182" s="49">
        <v>2024</v>
      </c>
      <c r="H182" s="49" t="s">
        <v>179</v>
      </c>
    </row>
    <row r="183" spans="1:8">
      <c r="A183" s="49" t="s">
        <v>158</v>
      </c>
      <c r="B183" s="49" t="s">
        <v>510</v>
      </c>
      <c r="C183" s="49" t="s">
        <v>511</v>
      </c>
      <c r="D183" s="49">
        <v>1200</v>
      </c>
      <c r="E183" s="49" t="s">
        <v>161</v>
      </c>
      <c r="F183" s="49" t="s">
        <v>477</v>
      </c>
      <c r="G183" s="1"/>
      <c r="H183" s="49" t="s">
        <v>179</v>
      </c>
    </row>
    <row r="184" spans="1:8">
      <c r="A184" s="49" t="s">
        <v>158</v>
      </c>
      <c r="B184" s="49" t="s">
        <v>512</v>
      </c>
      <c r="C184" s="49" t="s">
        <v>513</v>
      </c>
      <c r="D184" s="49">
        <v>500</v>
      </c>
      <c r="E184" s="49" t="s">
        <v>161</v>
      </c>
      <c r="F184" s="49" t="s">
        <v>477</v>
      </c>
      <c r="G184" s="1"/>
      <c r="H184" s="49" t="s">
        <v>179</v>
      </c>
    </row>
    <row r="185" spans="1:8">
      <c r="A185" s="49" t="s">
        <v>158</v>
      </c>
      <c r="B185" s="49" t="s">
        <v>280</v>
      </c>
      <c r="C185" s="49" t="s">
        <v>514</v>
      </c>
      <c r="D185" s="49">
        <v>352</v>
      </c>
      <c r="E185" s="49" t="s">
        <v>161</v>
      </c>
      <c r="F185" s="49" t="s">
        <v>477</v>
      </c>
      <c r="G185" s="49">
        <v>2024</v>
      </c>
      <c r="H185" s="49" t="s">
        <v>179</v>
      </c>
    </row>
    <row r="186" spans="1:8">
      <c r="A186" s="49" t="s">
        <v>158</v>
      </c>
      <c r="B186" s="49" t="s">
        <v>515</v>
      </c>
      <c r="C186" s="49" t="s">
        <v>516</v>
      </c>
      <c r="D186" s="49">
        <v>700</v>
      </c>
      <c r="E186" s="49" t="s">
        <v>161</v>
      </c>
      <c r="F186" s="49" t="s">
        <v>477</v>
      </c>
      <c r="G186" s="49">
        <v>2024</v>
      </c>
      <c r="H186" s="49" t="s">
        <v>179</v>
      </c>
    </row>
    <row r="187" spans="1:8">
      <c r="A187" s="49" t="s">
        <v>158</v>
      </c>
      <c r="B187" s="49" t="s">
        <v>517</v>
      </c>
      <c r="C187" s="49" t="s">
        <v>518</v>
      </c>
      <c r="D187" s="49">
        <v>553</v>
      </c>
      <c r="E187" s="49" t="s">
        <v>161</v>
      </c>
      <c r="F187" s="49" t="s">
        <v>477</v>
      </c>
      <c r="G187" s="49">
        <v>2024</v>
      </c>
      <c r="H187" s="49" t="s">
        <v>179</v>
      </c>
    </row>
    <row r="188" spans="1:8">
      <c r="A188" s="49" t="s">
        <v>158</v>
      </c>
      <c r="B188" s="49" t="s">
        <v>519</v>
      </c>
      <c r="C188" s="49" t="s">
        <v>520</v>
      </c>
      <c r="D188" s="49">
        <v>1000</v>
      </c>
      <c r="E188" s="49" t="s">
        <v>161</v>
      </c>
      <c r="F188" s="49" t="s">
        <v>477</v>
      </c>
      <c r="G188" s="1"/>
      <c r="H188" s="49" t="s">
        <v>179</v>
      </c>
    </row>
    <row r="189" spans="1:8">
      <c r="A189" s="49" t="s">
        <v>158</v>
      </c>
      <c r="B189" s="49" t="s">
        <v>519</v>
      </c>
      <c r="C189" s="49" t="s">
        <v>521</v>
      </c>
      <c r="D189" s="49">
        <v>1000</v>
      </c>
      <c r="E189" s="49" t="s">
        <v>161</v>
      </c>
      <c r="F189" s="49" t="s">
        <v>477</v>
      </c>
      <c r="G189" s="1"/>
      <c r="H189" s="49" t="s">
        <v>179</v>
      </c>
    </row>
    <row r="190" spans="1:8">
      <c r="A190" s="49" t="s">
        <v>158</v>
      </c>
      <c r="B190" s="49" t="s">
        <v>519</v>
      </c>
      <c r="C190" s="49" t="s">
        <v>522</v>
      </c>
      <c r="D190" s="49">
        <v>1000</v>
      </c>
      <c r="E190" s="49" t="s">
        <v>161</v>
      </c>
      <c r="F190" s="49" t="s">
        <v>477</v>
      </c>
      <c r="G190" s="1"/>
      <c r="H190" s="49" t="s">
        <v>179</v>
      </c>
    </row>
    <row r="191" spans="1:8">
      <c r="A191" s="49" t="s">
        <v>158</v>
      </c>
      <c r="B191" s="49" t="s">
        <v>523</v>
      </c>
      <c r="C191" s="49" t="s">
        <v>524</v>
      </c>
      <c r="D191" s="49">
        <v>1000</v>
      </c>
      <c r="E191" s="49" t="s">
        <v>161</v>
      </c>
      <c r="F191" s="49" t="s">
        <v>477</v>
      </c>
      <c r="G191" s="1"/>
      <c r="H191" s="49" t="s">
        <v>179</v>
      </c>
    </row>
    <row r="192" spans="1:8">
      <c r="A192" s="49" t="s">
        <v>158</v>
      </c>
      <c r="B192" s="49" t="s">
        <v>523</v>
      </c>
      <c r="C192" s="49" t="s">
        <v>525</v>
      </c>
      <c r="D192" s="49">
        <v>1000</v>
      </c>
      <c r="E192" s="49" t="s">
        <v>161</v>
      </c>
      <c r="F192" s="49" t="s">
        <v>477</v>
      </c>
      <c r="G192" s="1"/>
      <c r="H192" s="49" t="s">
        <v>179</v>
      </c>
    </row>
    <row r="193" spans="1:8">
      <c r="A193" s="49" t="s">
        <v>158</v>
      </c>
      <c r="B193" s="49" t="s">
        <v>523</v>
      </c>
      <c r="C193" s="49" t="s">
        <v>526</v>
      </c>
      <c r="D193" s="49">
        <v>1000</v>
      </c>
      <c r="E193" s="49" t="s">
        <v>161</v>
      </c>
      <c r="F193" s="49" t="s">
        <v>477</v>
      </c>
      <c r="G193" s="1"/>
      <c r="H193" s="49" t="s">
        <v>179</v>
      </c>
    </row>
    <row r="194" spans="1:8">
      <c r="A194" s="49" t="s">
        <v>158</v>
      </c>
      <c r="B194" s="49" t="s">
        <v>523</v>
      </c>
      <c r="C194" s="49" t="s">
        <v>527</v>
      </c>
      <c r="D194" s="49">
        <v>500</v>
      </c>
      <c r="E194" s="49" t="s">
        <v>161</v>
      </c>
      <c r="F194" s="49" t="s">
        <v>477</v>
      </c>
      <c r="G194" s="1"/>
      <c r="H194" s="49" t="s">
        <v>179</v>
      </c>
    </row>
    <row r="195" spans="1:8">
      <c r="A195" s="49" t="s">
        <v>158</v>
      </c>
      <c r="B195" s="49" t="s">
        <v>528</v>
      </c>
      <c r="C195" s="49" t="s">
        <v>529</v>
      </c>
      <c r="D195" s="49">
        <v>1000</v>
      </c>
      <c r="E195" s="49" t="s">
        <v>161</v>
      </c>
      <c r="F195" s="49" t="s">
        <v>477</v>
      </c>
      <c r="G195" s="49">
        <v>2025</v>
      </c>
      <c r="H195" s="49" t="s">
        <v>179</v>
      </c>
    </row>
    <row r="196" spans="1:8">
      <c r="A196" s="49" t="s">
        <v>158</v>
      </c>
      <c r="B196" s="49" t="s">
        <v>530</v>
      </c>
      <c r="C196" s="49" t="s">
        <v>531</v>
      </c>
      <c r="D196" s="49">
        <v>600</v>
      </c>
      <c r="E196" s="49" t="s">
        <v>161</v>
      </c>
      <c r="F196" s="49" t="s">
        <v>477</v>
      </c>
      <c r="G196" s="49">
        <v>2024</v>
      </c>
      <c r="H196" s="49" t="s">
        <v>179</v>
      </c>
    </row>
    <row r="197" spans="1:8">
      <c r="A197" s="49" t="s">
        <v>158</v>
      </c>
      <c r="B197" s="49" t="s">
        <v>532</v>
      </c>
      <c r="C197" s="49" t="s">
        <v>533</v>
      </c>
      <c r="D197" s="49">
        <v>3000</v>
      </c>
      <c r="E197" s="49" t="s">
        <v>161</v>
      </c>
      <c r="F197" s="49" t="s">
        <v>477</v>
      </c>
      <c r="G197" s="49">
        <v>2025</v>
      </c>
      <c r="H197" s="49" t="s">
        <v>179</v>
      </c>
    </row>
    <row r="198" spans="1:8">
      <c r="A198" s="49" t="s">
        <v>158</v>
      </c>
      <c r="B198" s="49" t="s">
        <v>534</v>
      </c>
      <c r="C198" s="49" t="s">
        <v>535</v>
      </c>
      <c r="D198" s="49">
        <v>1000</v>
      </c>
      <c r="E198" s="49" t="s">
        <v>161</v>
      </c>
      <c r="F198" s="49" t="s">
        <v>477</v>
      </c>
      <c r="G198" s="49">
        <v>2025</v>
      </c>
      <c r="H198" s="49" t="s">
        <v>179</v>
      </c>
    </row>
    <row r="199" spans="1:8">
      <c r="A199" s="49" t="s">
        <v>158</v>
      </c>
      <c r="B199" s="49" t="s">
        <v>536</v>
      </c>
      <c r="C199" s="49" t="s">
        <v>537</v>
      </c>
      <c r="D199" s="49">
        <v>1500</v>
      </c>
      <c r="E199" s="49" t="s">
        <v>161</v>
      </c>
      <c r="F199" s="49" t="s">
        <v>477</v>
      </c>
      <c r="G199" s="49">
        <v>2026</v>
      </c>
      <c r="H199" s="49" t="s">
        <v>168</v>
      </c>
    </row>
    <row r="200" spans="1:8">
      <c r="A200" s="49" t="s">
        <v>158</v>
      </c>
      <c r="B200" s="49" t="s">
        <v>538</v>
      </c>
      <c r="C200" s="49" t="s">
        <v>539</v>
      </c>
      <c r="D200" s="49">
        <v>1200</v>
      </c>
      <c r="E200" s="49" t="s">
        <v>161</v>
      </c>
      <c r="F200" s="49" t="s">
        <v>477</v>
      </c>
      <c r="G200" s="1"/>
      <c r="H200" s="49" t="s">
        <v>168</v>
      </c>
    </row>
    <row r="201" spans="1:8">
      <c r="A201" s="49" t="s">
        <v>158</v>
      </c>
      <c r="B201" s="49" t="s">
        <v>540</v>
      </c>
      <c r="C201" s="49" t="s">
        <v>541</v>
      </c>
      <c r="D201" s="49">
        <v>200</v>
      </c>
      <c r="E201" s="49" t="s">
        <v>161</v>
      </c>
      <c r="F201" s="49" t="s">
        <v>477</v>
      </c>
      <c r="G201" s="49">
        <v>2026</v>
      </c>
      <c r="H201" s="49" t="s">
        <v>322</v>
      </c>
    </row>
    <row r="202" spans="1:8">
      <c r="A202" s="49" t="s">
        <v>158</v>
      </c>
      <c r="B202" s="49" t="s">
        <v>542</v>
      </c>
      <c r="C202" s="49" t="s">
        <v>543</v>
      </c>
      <c r="D202" s="49">
        <v>200</v>
      </c>
      <c r="E202" s="49" t="s">
        <v>161</v>
      </c>
      <c r="F202" s="49" t="s">
        <v>477</v>
      </c>
      <c r="G202" s="1"/>
      <c r="H202" s="49" t="s">
        <v>322</v>
      </c>
    </row>
    <row r="203" spans="1:8">
      <c r="A203" s="49" t="s">
        <v>158</v>
      </c>
      <c r="B203" s="49" t="s">
        <v>544</v>
      </c>
      <c r="C203" s="49" t="s">
        <v>545</v>
      </c>
      <c r="D203" s="49">
        <v>206</v>
      </c>
      <c r="E203" s="49" t="s">
        <v>161</v>
      </c>
      <c r="F203" s="49" t="s">
        <v>477</v>
      </c>
      <c r="G203" s="49">
        <v>2023</v>
      </c>
      <c r="H203" s="49" t="s">
        <v>322</v>
      </c>
    </row>
    <row r="204" spans="1:8">
      <c r="A204" s="49" t="s">
        <v>158</v>
      </c>
      <c r="B204" s="49" t="s">
        <v>546</v>
      </c>
      <c r="C204" s="49" t="s">
        <v>547</v>
      </c>
      <c r="D204" s="49">
        <v>200</v>
      </c>
      <c r="E204" s="49" t="s">
        <v>161</v>
      </c>
      <c r="F204" s="49" t="s">
        <v>477</v>
      </c>
      <c r="G204" s="49">
        <v>2024</v>
      </c>
      <c r="H204" s="49" t="s">
        <v>322</v>
      </c>
    </row>
    <row r="205" spans="1:8">
      <c r="A205" s="49" t="s">
        <v>158</v>
      </c>
      <c r="B205" s="49" t="s">
        <v>548</v>
      </c>
      <c r="C205" s="49" t="s">
        <v>549</v>
      </c>
      <c r="D205" s="49">
        <v>300</v>
      </c>
      <c r="E205" s="49" t="s">
        <v>161</v>
      </c>
      <c r="F205" s="49" t="s">
        <v>477</v>
      </c>
      <c r="G205" s="1"/>
      <c r="H205" s="49" t="s">
        <v>322</v>
      </c>
    </row>
    <row r="206" spans="1:8">
      <c r="A206" s="49" t="s">
        <v>158</v>
      </c>
      <c r="B206" s="49" t="s">
        <v>550</v>
      </c>
      <c r="C206" s="49" t="s">
        <v>551</v>
      </c>
      <c r="D206" s="49">
        <v>200</v>
      </c>
      <c r="E206" s="49" t="s">
        <v>161</v>
      </c>
      <c r="F206" s="49" t="s">
        <v>477</v>
      </c>
      <c r="G206" s="49">
        <v>2024</v>
      </c>
      <c r="H206" s="49" t="s">
        <v>322</v>
      </c>
    </row>
    <row r="207" spans="1:8">
      <c r="A207" s="49" t="s">
        <v>158</v>
      </c>
      <c r="B207" s="49" t="s">
        <v>552</v>
      </c>
      <c r="C207" s="49" t="s">
        <v>553</v>
      </c>
      <c r="D207" s="49">
        <v>200</v>
      </c>
      <c r="E207" s="49" t="s">
        <v>161</v>
      </c>
      <c r="F207" s="49" t="s">
        <v>477</v>
      </c>
      <c r="G207" s="49">
        <v>2024</v>
      </c>
      <c r="H207" s="49" t="s">
        <v>322</v>
      </c>
    </row>
    <row r="208" spans="1:8">
      <c r="A208" s="49" t="s">
        <v>158</v>
      </c>
      <c r="B208" s="49" t="s">
        <v>554</v>
      </c>
      <c r="C208" s="49" t="s">
        <v>555</v>
      </c>
      <c r="D208" s="49">
        <v>200</v>
      </c>
      <c r="E208" s="49" t="s">
        <v>161</v>
      </c>
      <c r="F208" s="49" t="s">
        <v>477</v>
      </c>
      <c r="G208" s="1"/>
      <c r="H208" s="49" t="s">
        <v>322</v>
      </c>
    </row>
    <row r="209" spans="1:8">
      <c r="A209" s="49" t="s">
        <v>158</v>
      </c>
      <c r="B209" s="49" t="s">
        <v>556</v>
      </c>
      <c r="C209" s="49" t="s">
        <v>557</v>
      </c>
      <c r="D209" s="49">
        <v>300</v>
      </c>
      <c r="E209" s="49" t="s">
        <v>161</v>
      </c>
      <c r="F209" s="49" t="s">
        <v>477</v>
      </c>
      <c r="G209" s="1"/>
      <c r="H209" s="49" t="s">
        <v>322</v>
      </c>
    </row>
    <row r="210" spans="1:8">
      <c r="A210" s="49" t="s">
        <v>158</v>
      </c>
      <c r="B210" s="49" t="s">
        <v>558</v>
      </c>
      <c r="C210" s="49" t="s">
        <v>559</v>
      </c>
      <c r="D210" s="49">
        <v>300</v>
      </c>
      <c r="E210" s="49" t="s">
        <v>161</v>
      </c>
      <c r="F210" s="49" t="s">
        <v>477</v>
      </c>
      <c r="G210" s="49">
        <v>2024</v>
      </c>
      <c r="H210" s="49" t="s">
        <v>322</v>
      </c>
    </row>
    <row r="211" spans="1:8">
      <c r="A211" s="49" t="s">
        <v>158</v>
      </c>
      <c r="B211" s="49" t="s">
        <v>560</v>
      </c>
      <c r="C211" s="49" t="s">
        <v>561</v>
      </c>
      <c r="D211" s="49">
        <v>400</v>
      </c>
      <c r="E211" s="49" t="s">
        <v>161</v>
      </c>
      <c r="F211" s="49" t="s">
        <v>477</v>
      </c>
      <c r="G211" s="49">
        <v>2024</v>
      </c>
      <c r="H211" s="49" t="s">
        <v>322</v>
      </c>
    </row>
    <row r="212" spans="1:8">
      <c r="A212" s="49" t="s">
        <v>158</v>
      </c>
      <c r="B212" s="49" t="s">
        <v>562</v>
      </c>
      <c r="C212" s="49" t="s">
        <v>563</v>
      </c>
      <c r="D212" s="49">
        <v>400</v>
      </c>
      <c r="E212" s="49" t="s">
        <v>161</v>
      </c>
      <c r="F212" s="49" t="s">
        <v>477</v>
      </c>
      <c r="G212" s="49">
        <v>2025</v>
      </c>
      <c r="H212" s="49" t="s">
        <v>208</v>
      </c>
    </row>
    <row r="213" spans="1:8">
      <c r="A213" s="49" t="s">
        <v>158</v>
      </c>
      <c r="B213" s="49" t="s">
        <v>564</v>
      </c>
      <c r="C213" s="49" t="s">
        <v>565</v>
      </c>
      <c r="D213" s="49">
        <v>200</v>
      </c>
      <c r="E213" s="49" t="s">
        <v>161</v>
      </c>
      <c r="F213" s="49" t="s">
        <v>477</v>
      </c>
      <c r="G213" s="49">
        <v>2023</v>
      </c>
      <c r="H213" s="49" t="s">
        <v>208</v>
      </c>
    </row>
    <row r="214" spans="1:8">
      <c r="A214" s="49" t="s">
        <v>158</v>
      </c>
      <c r="B214" s="49" t="s">
        <v>566</v>
      </c>
      <c r="C214" s="49" t="s">
        <v>567</v>
      </c>
      <c r="D214" s="49">
        <v>2050</v>
      </c>
      <c r="E214" s="49" t="s">
        <v>161</v>
      </c>
      <c r="F214" s="49" t="s">
        <v>477</v>
      </c>
      <c r="G214" s="1"/>
      <c r="H214" s="49" t="s">
        <v>208</v>
      </c>
    </row>
    <row r="215" spans="1:8">
      <c r="A215" s="49" t="s">
        <v>158</v>
      </c>
      <c r="B215" s="49" t="s">
        <v>568</v>
      </c>
      <c r="C215" s="49" t="s">
        <v>569</v>
      </c>
      <c r="D215" s="49">
        <v>800</v>
      </c>
      <c r="E215" s="49" t="s">
        <v>161</v>
      </c>
      <c r="F215" s="49" t="s">
        <v>477</v>
      </c>
      <c r="G215" s="1"/>
      <c r="H215" s="49" t="s">
        <v>211</v>
      </c>
    </row>
    <row r="216" spans="1:8">
      <c r="A216" s="49" t="s">
        <v>158</v>
      </c>
      <c r="B216" s="49" t="s">
        <v>570</v>
      </c>
      <c r="C216" s="49" t="s">
        <v>571</v>
      </c>
      <c r="D216" s="49">
        <v>504</v>
      </c>
      <c r="E216" s="49" t="s">
        <v>161</v>
      </c>
      <c r="F216" s="49" t="s">
        <v>477</v>
      </c>
      <c r="G216" s="1"/>
      <c r="H216" s="49" t="s">
        <v>211</v>
      </c>
    </row>
    <row r="217" spans="1:8">
      <c r="A217" s="49" t="s">
        <v>158</v>
      </c>
      <c r="B217" s="49" t="s">
        <v>572</v>
      </c>
      <c r="C217" s="49" t="s">
        <v>573</v>
      </c>
      <c r="D217" s="49">
        <v>306</v>
      </c>
      <c r="E217" s="49" t="s">
        <v>161</v>
      </c>
      <c r="F217" s="49" t="s">
        <v>477</v>
      </c>
      <c r="G217" s="1"/>
      <c r="H217" s="49" t="s">
        <v>437</v>
      </c>
    </row>
    <row r="218" spans="1:8">
      <c r="A218" s="49" t="s">
        <v>158</v>
      </c>
      <c r="B218" s="49" t="s">
        <v>574</v>
      </c>
      <c r="C218" s="49" t="s">
        <v>575</v>
      </c>
      <c r="D218" s="49">
        <v>196</v>
      </c>
      <c r="E218" s="49" t="s">
        <v>161</v>
      </c>
      <c r="F218" s="49" t="s">
        <v>477</v>
      </c>
      <c r="G218" s="1"/>
      <c r="H218" s="49" t="s">
        <v>449</v>
      </c>
    </row>
    <row r="219" spans="1:8">
      <c r="A219" s="49" t="s">
        <v>158</v>
      </c>
      <c r="B219" s="49" t="s">
        <v>576</v>
      </c>
      <c r="C219" s="49" t="s">
        <v>577</v>
      </c>
      <c r="D219" s="49">
        <v>504</v>
      </c>
      <c r="E219" s="49" t="s">
        <v>161</v>
      </c>
      <c r="F219" s="49" t="s">
        <v>477</v>
      </c>
      <c r="G219" s="1"/>
      <c r="H219" s="49" t="s">
        <v>211</v>
      </c>
    </row>
    <row r="220" spans="1:8">
      <c r="A220" s="49" t="s">
        <v>158</v>
      </c>
      <c r="B220" s="49" t="s">
        <v>578</v>
      </c>
      <c r="C220" s="49" t="s">
        <v>579</v>
      </c>
      <c r="D220" s="49">
        <v>400</v>
      </c>
      <c r="E220" s="49" t="s">
        <v>161</v>
      </c>
      <c r="F220" s="49" t="s">
        <v>477</v>
      </c>
      <c r="G220" s="1"/>
      <c r="H220" s="49" t="s">
        <v>223</v>
      </c>
    </row>
    <row r="221" spans="1:8">
      <c r="A221" s="49" t="s">
        <v>158</v>
      </c>
      <c r="B221" s="49" t="s">
        <v>580</v>
      </c>
      <c r="C221" s="49" t="s">
        <v>581</v>
      </c>
      <c r="D221" s="49">
        <v>600</v>
      </c>
      <c r="E221" s="49" t="s">
        <v>161</v>
      </c>
      <c r="F221" s="49" t="s">
        <v>477</v>
      </c>
      <c r="G221" s="1"/>
      <c r="H221" s="49" t="s">
        <v>223</v>
      </c>
    </row>
    <row r="222" spans="1:8">
      <c r="A222" s="49" t="s">
        <v>158</v>
      </c>
      <c r="B222" s="49" t="s">
        <v>582</v>
      </c>
      <c r="C222" s="49" t="s">
        <v>583</v>
      </c>
      <c r="D222" s="49">
        <v>400</v>
      </c>
      <c r="E222" s="49" t="s">
        <v>161</v>
      </c>
      <c r="F222" s="49" t="s">
        <v>477</v>
      </c>
      <c r="G222" s="1"/>
      <c r="H222" s="49" t="s">
        <v>223</v>
      </c>
    </row>
    <row r="223" spans="1:8">
      <c r="A223" s="49" t="s">
        <v>158</v>
      </c>
      <c r="B223" s="49" t="s">
        <v>584</v>
      </c>
      <c r="C223" s="49" t="s">
        <v>585</v>
      </c>
      <c r="D223" s="49">
        <v>400</v>
      </c>
      <c r="E223" s="49" t="s">
        <v>236</v>
      </c>
      <c r="F223" s="49" t="s">
        <v>477</v>
      </c>
      <c r="G223" s="1"/>
      <c r="H223" s="49" t="s">
        <v>163</v>
      </c>
    </row>
    <row r="224" spans="1:8">
      <c r="A224" s="49" t="s">
        <v>158</v>
      </c>
      <c r="B224" s="49" t="s">
        <v>508</v>
      </c>
      <c r="C224" s="49" t="s">
        <v>586</v>
      </c>
      <c r="D224" s="49">
        <v>400</v>
      </c>
      <c r="E224" s="49" t="s">
        <v>236</v>
      </c>
      <c r="F224" s="49" t="s">
        <v>477</v>
      </c>
      <c r="G224" s="1"/>
      <c r="H224" s="49" t="s">
        <v>179</v>
      </c>
    </row>
    <row r="225" spans="1:8">
      <c r="A225" s="49" t="s">
        <v>158</v>
      </c>
      <c r="B225" s="49" t="s">
        <v>309</v>
      </c>
      <c r="C225" s="49" t="s">
        <v>587</v>
      </c>
      <c r="D225" s="49">
        <v>300</v>
      </c>
      <c r="E225" s="49" t="s">
        <v>236</v>
      </c>
      <c r="F225" s="49" t="s">
        <v>477</v>
      </c>
      <c r="G225" s="49">
        <v>2024</v>
      </c>
      <c r="H225" s="49" t="s">
        <v>179</v>
      </c>
    </row>
    <row r="226" spans="1:8">
      <c r="A226" s="49" t="s">
        <v>158</v>
      </c>
      <c r="B226" s="49" t="s">
        <v>588</v>
      </c>
      <c r="C226" s="49" t="s">
        <v>589</v>
      </c>
      <c r="D226" s="49">
        <v>500</v>
      </c>
      <c r="E226" s="49" t="s">
        <v>236</v>
      </c>
      <c r="F226" s="49" t="s">
        <v>477</v>
      </c>
      <c r="G226" s="1"/>
      <c r="H226" s="49" t="s">
        <v>168</v>
      </c>
    </row>
    <row r="227" spans="1:8">
      <c r="A227" s="49" t="s">
        <v>158</v>
      </c>
      <c r="B227" s="49" t="s">
        <v>590</v>
      </c>
      <c r="C227" s="49" t="s">
        <v>591</v>
      </c>
      <c r="D227" s="49">
        <v>500</v>
      </c>
      <c r="E227" s="49" t="s">
        <v>236</v>
      </c>
      <c r="F227" s="49" t="s">
        <v>477</v>
      </c>
      <c r="G227" s="1"/>
      <c r="H227" s="49" t="s">
        <v>319</v>
      </c>
    </row>
    <row r="228" spans="1:8">
      <c r="A228" s="49" t="s">
        <v>158</v>
      </c>
      <c r="B228" s="49" t="s">
        <v>592</v>
      </c>
      <c r="C228" s="49" t="s">
        <v>593</v>
      </c>
      <c r="D228" s="49">
        <v>450</v>
      </c>
      <c r="E228" s="49" t="s">
        <v>236</v>
      </c>
      <c r="F228" s="49" t="s">
        <v>477</v>
      </c>
      <c r="G228" s="1"/>
      <c r="H228" s="49" t="s">
        <v>211</v>
      </c>
    </row>
    <row r="229" spans="1:8">
      <c r="A229" s="49" t="s">
        <v>158</v>
      </c>
      <c r="B229" s="49" t="s">
        <v>594</v>
      </c>
      <c r="C229" s="49" t="s">
        <v>595</v>
      </c>
      <c r="D229" s="49">
        <v>34</v>
      </c>
      <c r="E229" s="49" t="s">
        <v>236</v>
      </c>
      <c r="F229" s="49" t="s">
        <v>477</v>
      </c>
      <c r="G229" s="1"/>
      <c r="H229" s="49" t="s">
        <v>211</v>
      </c>
    </row>
    <row r="230" spans="1:8">
      <c r="A230" s="49" t="s">
        <v>158</v>
      </c>
      <c r="B230" s="49" t="s">
        <v>435</v>
      </c>
      <c r="C230" s="49" t="s">
        <v>596</v>
      </c>
      <c r="D230" s="49">
        <v>150</v>
      </c>
      <c r="E230" s="49" t="s">
        <v>236</v>
      </c>
      <c r="F230" s="49" t="s">
        <v>477</v>
      </c>
      <c r="G230" s="1"/>
      <c r="H230" s="49" t="s">
        <v>437</v>
      </c>
    </row>
    <row r="231" spans="1:8">
      <c r="A231" s="49" t="s">
        <v>158</v>
      </c>
      <c r="B231" s="49" t="s">
        <v>442</v>
      </c>
      <c r="C231" s="49" t="s">
        <v>597</v>
      </c>
      <c r="D231" s="49">
        <v>250</v>
      </c>
      <c r="E231" s="49" t="s">
        <v>236</v>
      </c>
      <c r="F231" s="49" t="s">
        <v>477</v>
      </c>
      <c r="G231" s="1"/>
      <c r="H231" s="49" t="s">
        <v>437</v>
      </c>
    </row>
    <row r="232" spans="1:8">
      <c r="A232" s="49" t="s">
        <v>158</v>
      </c>
      <c r="B232" s="49" t="s">
        <v>442</v>
      </c>
      <c r="C232" s="49" t="s">
        <v>598</v>
      </c>
      <c r="D232" s="49">
        <v>200</v>
      </c>
      <c r="E232" s="49" t="s">
        <v>236</v>
      </c>
      <c r="F232" s="49" t="s">
        <v>477</v>
      </c>
      <c r="G232" s="1"/>
      <c r="H232" s="49" t="s">
        <v>437</v>
      </c>
    </row>
    <row r="233" spans="1:8">
      <c r="A233" s="49" t="s">
        <v>158</v>
      </c>
      <c r="B233" s="49" t="s">
        <v>572</v>
      </c>
      <c r="C233" s="49" t="s">
        <v>599</v>
      </c>
      <c r="D233" s="49">
        <v>200</v>
      </c>
      <c r="E233" s="49" t="s">
        <v>236</v>
      </c>
      <c r="F233" s="49" t="s">
        <v>477</v>
      </c>
      <c r="G233" s="1"/>
      <c r="H233" s="49" t="s">
        <v>437</v>
      </c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2"/>
  <sheetViews>
    <sheetView workbookViewId="0">
      <selection activeCell="H31" sqref="H31"/>
    </sheetView>
  </sheetViews>
  <sheetFormatPr defaultColWidth="9" defaultRowHeight="12.75"/>
  <cols>
    <col min="1" max="1" width="9" style="19" customWidth="1"/>
    <col min="2" max="2" width="19.7522123893805" style="19" customWidth="1"/>
    <col min="3" max="3" width="15.2477876106195" style="19" customWidth="1"/>
    <col min="4" max="5" width="12" style="19" customWidth="1"/>
    <col min="6" max="6" width="16.5840707964602" style="19" customWidth="1"/>
    <col min="7" max="7" width="9" style="19" customWidth="1"/>
    <col min="8" max="8" width="13.3362831858407" style="19" customWidth="1"/>
    <col min="9" max="9" width="8.75221238938053" style="19" customWidth="1"/>
    <col min="10" max="10" width="13.3362831858407" style="19" customWidth="1"/>
    <col min="11" max="11" width="9.33628318584071" style="20" customWidth="1"/>
    <col min="12" max="12" width="8.75221238938053" style="20" customWidth="1"/>
    <col min="13" max="13" width="17" style="19" customWidth="1"/>
    <col min="14" max="14" width="13.3362831858407" style="19" customWidth="1"/>
    <col min="15" max="15" width="15" style="21" customWidth="1"/>
    <col min="16" max="17" width="12.5044247787611" style="21" customWidth="1"/>
    <col min="18" max="18" width="12" style="19" customWidth="1"/>
    <col min="19" max="19" width="9.33628318584071" style="19" customWidth="1"/>
    <col min="20" max="16384" width="9" style="19"/>
  </cols>
  <sheetData>
    <row r="1" spans="1:20">
      <c r="A1" s="22" t="s">
        <v>600</v>
      </c>
      <c r="B1" s="22" t="s">
        <v>601</v>
      </c>
      <c r="C1" s="23" t="s">
        <v>602</v>
      </c>
      <c r="D1" s="23" t="s">
        <v>603</v>
      </c>
      <c r="E1" s="23" t="s">
        <v>604</v>
      </c>
      <c r="F1" s="22" t="s">
        <v>605</v>
      </c>
      <c r="G1" s="22" t="s">
        <v>606</v>
      </c>
      <c r="H1" s="23" t="s">
        <v>49</v>
      </c>
      <c r="I1" s="23" t="s">
        <v>607</v>
      </c>
      <c r="J1" s="23" t="s">
        <v>608</v>
      </c>
      <c r="K1" s="24" t="s">
        <v>609</v>
      </c>
      <c r="L1" s="24" t="s">
        <v>610</v>
      </c>
      <c r="M1" s="22" t="s">
        <v>611</v>
      </c>
      <c r="N1" s="22" t="s">
        <v>612</v>
      </c>
      <c r="O1" s="25" t="s">
        <v>613</v>
      </c>
      <c r="P1" s="25" t="s">
        <v>614</v>
      </c>
      <c r="Q1" s="25" t="s">
        <v>615</v>
      </c>
      <c r="R1" s="23" t="s">
        <v>616</v>
      </c>
      <c r="S1" s="23" t="s">
        <v>617</v>
      </c>
      <c r="T1" s="19" t="s">
        <v>26</v>
      </c>
    </row>
    <row r="2" spans="1:20">
      <c r="A2" s="26">
        <v>1</v>
      </c>
      <c r="B2" s="26" t="s">
        <v>618</v>
      </c>
      <c r="C2" s="27" t="s">
        <v>619</v>
      </c>
      <c r="D2" s="27" t="s">
        <v>620</v>
      </c>
      <c r="E2" s="27" t="s">
        <v>621</v>
      </c>
      <c r="F2" s="26" t="s">
        <v>622</v>
      </c>
      <c r="G2" s="28" t="s">
        <v>623</v>
      </c>
      <c r="H2" s="23" t="s">
        <v>143</v>
      </c>
      <c r="I2" s="23" t="s">
        <v>624</v>
      </c>
      <c r="J2" s="23" t="s">
        <v>625</v>
      </c>
      <c r="K2" s="24">
        <v>119.44923877716</v>
      </c>
      <c r="L2" s="24">
        <v>25.4407750158799</v>
      </c>
      <c r="M2" s="26">
        <v>1089</v>
      </c>
      <c r="N2" s="26" t="s">
        <v>626</v>
      </c>
      <c r="O2" s="29">
        <v>39773</v>
      </c>
      <c r="P2" s="29">
        <v>41871</v>
      </c>
      <c r="Q2" s="29">
        <v>41962</v>
      </c>
      <c r="R2" s="23">
        <v>2014</v>
      </c>
      <c r="S2" s="23"/>
    </row>
    <row r="3" spans="1:20">
      <c r="A3" s="28">
        <v>2</v>
      </c>
      <c r="B3" s="28" t="s">
        <v>627</v>
      </c>
      <c r="C3" s="27" t="s">
        <v>619</v>
      </c>
      <c r="D3" s="27" t="s">
        <v>620</v>
      </c>
      <c r="E3" s="27" t="s">
        <v>628</v>
      </c>
      <c r="F3" s="28" t="s">
        <v>622</v>
      </c>
      <c r="G3" s="26" t="s">
        <v>623</v>
      </c>
      <c r="H3" s="23" t="s">
        <v>143</v>
      </c>
      <c r="I3" s="23" t="s">
        <v>624</v>
      </c>
      <c r="J3" s="23" t="s">
        <v>625</v>
      </c>
      <c r="K3" s="24">
        <v>119.44923877716</v>
      </c>
      <c r="L3" s="24">
        <v>25.4407750158799</v>
      </c>
      <c r="M3" s="28">
        <v>1089</v>
      </c>
      <c r="N3" s="28" t="s">
        <v>626</v>
      </c>
      <c r="O3" s="30">
        <v>39981</v>
      </c>
      <c r="P3" s="30">
        <v>42222</v>
      </c>
      <c r="Q3" s="30">
        <v>42293</v>
      </c>
      <c r="R3" s="23">
        <v>2015</v>
      </c>
      <c r="S3" s="23"/>
    </row>
    <row r="4" spans="1:20">
      <c r="A4" s="26">
        <v>3</v>
      </c>
      <c r="B4" s="26" t="s">
        <v>629</v>
      </c>
      <c r="C4" s="27" t="s">
        <v>619</v>
      </c>
      <c r="D4" s="27" t="s">
        <v>620</v>
      </c>
      <c r="E4" s="27" t="s">
        <v>630</v>
      </c>
      <c r="F4" s="26" t="s">
        <v>622</v>
      </c>
      <c r="G4" s="28" t="s">
        <v>623</v>
      </c>
      <c r="H4" s="23" t="s">
        <v>143</v>
      </c>
      <c r="I4" s="23" t="s">
        <v>624</v>
      </c>
      <c r="J4" s="23" t="s">
        <v>625</v>
      </c>
      <c r="K4" s="24">
        <v>119.44923877716</v>
      </c>
      <c r="L4" s="24">
        <v>25.4407750158799</v>
      </c>
      <c r="M4" s="26">
        <v>1089</v>
      </c>
      <c r="N4" s="26" t="s">
        <v>626</v>
      </c>
      <c r="O4" s="29">
        <v>40543</v>
      </c>
      <c r="P4" s="29">
        <v>42620</v>
      </c>
      <c r="Q4" s="29">
        <v>42667</v>
      </c>
      <c r="R4" s="23">
        <v>2016</v>
      </c>
      <c r="S4" s="23"/>
    </row>
    <row r="5" spans="1:20">
      <c r="A5" s="28">
        <v>4</v>
      </c>
      <c r="B5" s="28" t="s">
        <v>631</v>
      </c>
      <c r="C5" s="27" t="s">
        <v>619</v>
      </c>
      <c r="D5" s="27" t="s">
        <v>620</v>
      </c>
      <c r="E5" s="27" t="s">
        <v>632</v>
      </c>
      <c r="F5" s="28" t="s">
        <v>622</v>
      </c>
      <c r="G5" s="26" t="s">
        <v>623</v>
      </c>
      <c r="H5" s="23" t="s">
        <v>143</v>
      </c>
      <c r="I5" s="23" t="s">
        <v>624</v>
      </c>
      <c r="J5" s="23" t="s">
        <v>625</v>
      </c>
      <c r="K5" s="24">
        <v>119.44923877716</v>
      </c>
      <c r="L5" s="24">
        <v>25.4407750158799</v>
      </c>
      <c r="M5" s="28">
        <v>1089</v>
      </c>
      <c r="N5" s="28" t="s">
        <v>626</v>
      </c>
      <c r="O5" s="30">
        <v>41230</v>
      </c>
      <c r="P5" s="30">
        <v>42945</v>
      </c>
      <c r="Q5" s="30">
        <v>42995</v>
      </c>
      <c r="R5" s="23">
        <v>2017</v>
      </c>
      <c r="S5" s="23"/>
    </row>
    <row r="6" spans="1:20">
      <c r="A6" s="26">
        <v>5</v>
      </c>
      <c r="B6" s="26" t="s">
        <v>633</v>
      </c>
      <c r="C6" s="27" t="s">
        <v>619</v>
      </c>
      <c r="D6" s="27" t="s">
        <v>620</v>
      </c>
      <c r="E6" s="27" t="s">
        <v>634</v>
      </c>
      <c r="F6" s="26" t="s">
        <v>635</v>
      </c>
      <c r="G6" s="28" t="s">
        <v>623</v>
      </c>
      <c r="H6" s="23" t="s">
        <v>143</v>
      </c>
      <c r="I6" s="23" t="s">
        <v>624</v>
      </c>
      <c r="J6" s="23" t="s">
        <v>625</v>
      </c>
      <c r="K6" s="24">
        <v>119.44923877716</v>
      </c>
      <c r="L6" s="24">
        <v>25.4407750158799</v>
      </c>
      <c r="M6" s="26">
        <v>1161</v>
      </c>
      <c r="N6" s="26" t="s">
        <v>626</v>
      </c>
      <c r="O6" s="29">
        <v>42131</v>
      </c>
      <c r="P6" s="29">
        <v>44162</v>
      </c>
      <c r="Q6" s="29">
        <v>44225</v>
      </c>
      <c r="R6" s="23">
        <v>2020</v>
      </c>
      <c r="S6" s="23"/>
    </row>
    <row r="7" spans="1:20">
      <c r="A7" s="28">
        <v>6</v>
      </c>
      <c r="B7" s="28" t="s">
        <v>636</v>
      </c>
      <c r="C7" s="27" t="s">
        <v>619</v>
      </c>
      <c r="D7" s="27" t="s">
        <v>620</v>
      </c>
      <c r="E7" s="27" t="s">
        <v>637</v>
      </c>
      <c r="F7" s="28" t="s">
        <v>635</v>
      </c>
      <c r="G7" s="26" t="s">
        <v>623</v>
      </c>
      <c r="H7" s="23" t="s">
        <v>143</v>
      </c>
      <c r="I7" s="23" t="s">
        <v>624</v>
      </c>
      <c r="J7" s="23" t="s">
        <v>625</v>
      </c>
      <c r="K7" s="24">
        <v>119.44923877716</v>
      </c>
      <c r="L7" s="24">
        <v>25.4407750158799</v>
      </c>
      <c r="M7" s="28">
        <v>1161</v>
      </c>
      <c r="N7" s="28" t="s">
        <v>626</v>
      </c>
      <c r="O7" s="30">
        <v>42360</v>
      </c>
      <c r="P7" s="30">
        <v>44562</v>
      </c>
      <c r="Q7" s="30">
        <v>44562</v>
      </c>
      <c r="R7" s="23">
        <v>2022</v>
      </c>
      <c r="S7" s="23"/>
    </row>
    <row r="8" spans="1:20">
      <c r="A8" s="26">
        <v>7</v>
      </c>
      <c r="B8" s="26" t="s">
        <v>638</v>
      </c>
      <c r="C8" s="27" t="s">
        <v>639</v>
      </c>
      <c r="D8" s="27" t="s">
        <v>620</v>
      </c>
      <c r="E8" s="27" t="s">
        <v>621</v>
      </c>
      <c r="F8" s="26" t="s">
        <v>640</v>
      </c>
      <c r="G8" s="28" t="s">
        <v>623</v>
      </c>
      <c r="H8" s="23" t="s">
        <v>143</v>
      </c>
      <c r="I8" s="23" t="s">
        <v>641</v>
      </c>
      <c r="J8" s="23" t="s">
        <v>642</v>
      </c>
      <c r="K8" s="24">
        <v>120.2846006</v>
      </c>
      <c r="L8" s="24">
        <v>27.0425839</v>
      </c>
      <c r="M8" s="26">
        <v>1089</v>
      </c>
      <c r="N8" s="26" t="s">
        <v>643</v>
      </c>
      <c r="O8" s="29">
        <v>39496</v>
      </c>
      <c r="P8" s="29">
        <v>41271</v>
      </c>
      <c r="Q8" s="29">
        <v>41379</v>
      </c>
      <c r="R8" s="23">
        <v>2012</v>
      </c>
      <c r="S8" s="23"/>
    </row>
    <row r="9" spans="1:20">
      <c r="A9" s="28">
        <v>8</v>
      </c>
      <c r="B9" s="28" t="s">
        <v>644</v>
      </c>
      <c r="C9" s="27" t="s">
        <v>639</v>
      </c>
      <c r="D9" s="27" t="s">
        <v>620</v>
      </c>
      <c r="E9" s="27" t="s">
        <v>628</v>
      </c>
      <c r="F9" s="28" t="s">
        <v>640</v>
      </c>
      <c r="G9" s="26" t="s">
        <v>623</v>
      </c>
      <c r="H9" s="23" t="s">
        <v>143</v>
      </c>
      <c r="I9" s="23" t="s">
        <v>641</v>
      </c>
      <c r="J9" s="23" t="s">
        <v>642</v>
      </c>
      <c r="K9" s="24">
        <v>120.2846006</v>
      </c>
      <c r="L9" s="24">
        <v>27.0425839</v>
      </c>
      <c r="M9" s="28">
        <v>1089</v>
      </c>
      <c r="N9" s="28" t="s">
        <v>643</v>
      </c>
      <c r="O9" s="30">
        <v>39764</v>
      </c>
      <c r="P9" s="30">
        <v>41643</v>
      </c>
      <c r="Q9" s="30">
        <v>41763</v>
      </c>
      <c r="R9" s="23">
        <v>2014</v>
      </c>
      <c r="S9" s="23"/>
    </row>
    <row r="10" spans="1:20">
      <c r="A10" s="26">
        <v>9</v>
      </c>
      <c r="B10" s="26" t="s">
        <v>645</v>
      </c>
      <c r="C10" s="27" t="s">
        <v>639</v>
      </c>
      <c r="D10" s="27" t="s">
        <v>620</v>
      </c>
      <c r="E10" s="27" t="s">
        <v>630</v>
      </c>
      <c r="F10" s="26" t="s">
        <v>640</v>
      </c>
      <c r="G10" s="28" t="s">
        <v>623</v>
      </c>
      <c r="H10" s="23" t="s">
        <v>143</v>
      </c>
      <c r="I10" s="23" t="s">
        <v>641</v>
      </c>
      <c r="J10" s="23" t="s">
        <v>642</v>
      </c>
      <c r="K10" s="24">
        <v>120.2846006</v>
      </c>
      <c r="L10" s="24">
        <v>27.0425839</v>
      </c>
      <c r="M10" s="26">
        <v>1089</v>
      </c>
      <c r="N10" s="26" t="s">
        <v>643</v>
      </c>
      <c r="O10" s="29">
        <v>40186</v>
      </c>
      <c r="P10" s="29">
        <v>42084</v>
      </c>
      <c r="Q10" s="29">
        <v>42165</v>
      </c>
      <c r="R10" s="23">
        <v>2015</v>
      </c>
      <c r="S10" s="23"/>
    </row>
    <row r="11" spans="1:20">
      <c r="A11" s="28">
        <v>10</v>
      </c>
      <c r="B11" s="28" t="s">
        <v>646</v>
      </c>
      <c r="C11" s="27" t="s">
        <v>639</v>
      </c>
      <c r="D11" s="27" t="s">
        <v>620</v>
      </c>
      <c r="E11" s="27" t="s">
        <v>632</v>
      </c>
      <c r="F11" s="28" t="s">
        <v>640</v>
      </c>
      <c r="G11" s="26" t="s">
        <v>623</v>
      </c>
      <c r="H11" s="23" t="s">
        <v>143</v>
      </c>
      <c r="I11" s="23" t="s">
        <v>641</v>
      </c>
      <c r="J11" s="23" t="s">
        <v>642</v>
      </c>
      <c r="K11" s="24">
        <v>120.2846006</v>
      </c>
      <c r="L11" s="24">
        <v>27.0425839</v>
      </c>
      <c r="M11" s="28">
        <v>1089</v>
      </c>
      <c r="N11" s="28" t="s">
        <v>643</v>
      </c>
      <c r="O11" s="30">
        <v>40450</v>
      </c>
      <c r="P11" s="30">
        <v>42458</v>
      </c>
      <c r="Q11" s="30">
        <v>42572</v>
      </c>
      <c r="R11" s="23">
        <v>2016</v>
      </c>
      <c r="S11" s="23"/>
    </row>
    <row r="12" spans="1:20">
      <c r="A12" s="26">
        <v>11</v>
      </c>
      <c r="B12" s="28" t="s">
        <v>647</v>
      </c>
      <c r="C12" s="23" t="s">
        <v>648</v>
      </c>
      <c r="D12" s="27" t="s">
        <v>620</v>
      </c>
      <c r="E12" s="27" t="s">
        <v>621</v>
      </c>
      <c r="F12" s="28" t="s">
        <v>649</v>
      </c>
      <c r="G12" s="28" t="s">
        <v>96</v>
      </c>
      <c r="H12" s="23" t="s">
        <v>143</v>
      </c>
      <c r="I12" s="23" t="s">
        <v>641</v>
      </c>
      <c r="J12" s="23" t="s">
        <v>650</v>
      </c>
      <c r="K12" s="24">
        <v>120.1526911</v>
      </c>
      <c r="L12" s="24">
        <v>26.80127</v>
      </c>
      <c r="M12" s="28">
        <v>600</v>
      </c>
      <c r="N12" s="28" t="s">
        <v>626</v>
      </c>
      <c r="O12" s="30">
        <v>43098</v>
      </c>
      <c r="P12" s="30"/>
      <c r="Q12" s="30"/>
      <c r="R12" s="23">
        <v>2023</v>
      </c>
      <c r="S12" s="23"/>
    </row>
    <row r="13" spans="1:20">
      <c r="A13" s="28">
        <v>12</v>
      </c>
      <c r="B13" s="26" t="s">
        <v>651</v>
      </c>
      <c r="C13" s="23" t="s">
        <v>648</v>
      </c>
      <c r="D13" s="27" t="s">
        <v>620</v>
      </c>
      <c r="E13" s="27" t="s">
        <v>628</v>
      </c>
      <c r="F13" s="26" t="s">
        <v>649</v>
      </c>
      <c r="G13" s="26" t="s">
        <v>96</v>
      </c>
      <c r="H13" s="23" t="s">
        <v>143</v>
      </c>
      <c r="I13" s="23" t="s">
        <v>641</v>
      </c>
      <c r="J13" s="23" t="s">
        <v>650</v>
      </c>
      <c r="K13" s="24">
        <v>120.1526911</v>
      </c>
      <c r="L13" s="24">
        <v>26.80127</v>
      </c>
      <c r="M13" s="26">
        <v>600</v>
      </c>
      <c r="N13" s="26" t="s">
        <v>626</v>
      </c>
      <c r="O13" s="29">
        <v>44192</v>
      </c>
      <c r="P13" s="29"/>
      <c r="Q13" s="29"/>
      <c r="R13" s="23">
        <v>2026</v>
      </c>
      <c r="S13" s="23"/>
    </row>
    <row r="14" spans="1:20">
      <c r="A14" s="26">
        <v>13</v>
      </c>
      <c r="B14" s="28" t="s">
        <v>652</v>
      </c>
      <c r="C14" s="23" t="s">
        <v>653</v>
      </c>
      <c r="D14" s="27" t="s">
        <v>620</v>
      </c>
      <c r="E14" s="27" t="s">
        <v>621</v>
      </c>
      <c r="F14" s="28" t="s">
        <v>635</v>
      </c>
      <c r="G14" s="28" t="s">
        <v>96</v>
      </c>
      <c r="H14" s="23" t="s">
        <v>143</v>
      </c>
      <c r="I14" s="23" t="s">
        <v>654</v>
      </c>
      <c r="J14" s="23" t="s">
        <v>655</v>
      </c>
      <c r="K14" s="24">
        <v>117.4913999</v>
      </c>
      <c r="L14" s="24">
        <v>23.8307232</v>
      </c>
      <c r="M14" s="28">
        <v>1212</v>
      </c>
      <c r="N14" s="28" t="s">
        <v>626</v>
      </c>
      <c r="O14" s="30">
        <v>43754</v>
      </c>
      <c r="P14" s="30"/>
      <c r="Q14" s="30"/>
      <c r="R14" s="23">
        <v>2024</v>
      </c>
      <c r="S14" s="23"/>
    </row>
    <row r="15" spans="1:20">
      <c r="A15" s="28">
        <v>14</v>
      </c>
      <c r="B15" s="26" t="s">
        <v>656</v>
      </c>
      <c r="C15" s="23" t="s">
        <v>653</v>
      </c>
      <c r="D15" s="27" t="s">
        <v>620</v>
      </c>
      <c r="E15" s="27" t="s">
        <v>628</v>
      </c>
      <c r="F15" s="26" t="s">
        <v>635</v>
      </c>
      <c r="G15" s="26" t="s">
        <v>96</v>
      </c>
      <c r="H15" s="23" t="s">
        <v>143</v>
      </c>
      <c r="I15" s="23" t="s">
        <v>654</v>
      </c>
      <c r="J15" s="23" t="s">
        <v>655</v>
      </c>
      <c r="K15" s="24">
        <v>117.4913999</v>
      </c>
      <c r="L15" s="24">
        <v>23.8307232</v>
      </c>
      <c r="M15" s="26">
        <v>1212</v>
      </c>
      <c r="N15" s="26" t="s">
        <v>626</v>
      </c>
      <c r="O15" s="29">
        <v>44078</v>
      </c>
      <c r="P15" s="29"/>
      <c r="Q15" s="29"/>
      <c r="R15" s="23">
        <v>2025</v>
      </c>
      <c r="S15" s="23"/>
    </row>
    <row r="16" spans="1:20">
      <c r="A16" s="26">
        <v>15</v>
      </c>
      <c r="B16" s="28" t="s">
        <v>657</v>
      </c>
      <c r="C16" s="23" t="s">
        <v>653</v>
      </c>
      <c r="D16" s="27" t="s">
        <v>658</v>
      </c>
      <c r="E16" s="27" t="s">
        <v>630</v>
      </c>
      <c r="F16" s="28" t="s">
        <v>635</v>
      </c>
      <c r="G16" s="28" t="s">
        <v>659</v>
      </c>
      <c r="H16" s="23" t="s">
        <v>143</v>
      </c>
      <c r="I16" s="23" t="s">
        <v>654</v>
      </c>
      <c r="J16" s="23" t="s">
        <v>655</v>
      </c>
      <c r="K16" s="24">
        <v>117.4913999</v>
      </c>
      <c r="L16" s="24">
        <v>23.8307232</v>
      </c>
      <c r="M16" s="28">
        <v>1212</v>
      </c>
      <c r="N16" s="28" t="s">
        <v>626</v>
      </c>
      <c r="O16" s="30" t="s">
        <v>660</v>
      </c>
      <c r="P16" s="30"/>
      <c r="Q16" s="30"/>
      <c r="R16" s="23"/>
      <c r="S16" s="23"/>
    </row>
    <row r="17" spans="1:19">
      <c r="A17" s="28">
        <v>16</v>
      </c>
      <c r="B17" s="26" t="s">
        <v>661</v>
      </c>
      <c r="C17" s="23" t="s">
        <v>653</v>
      </c>
      <c r="D17" s="27" t="s">
        <v>658</v>
      </c>
      <c r="E17" s="27" t="s">
        <v>632</v>
      </c>
      <c r="F17" s="26" t="s">
        <v>635</v>
      </c>
      <c r="G17" s="26" t="s">
        <v>659</v>
      </c>
      <c r="H17" s="23" t="s">
        <v>143</v>
      </c>
      <c r="I17" s="23" t="s">
        <v>654</v>
      </c>
      <c r="J17" s="23" t="s">
        <v>655</v>
      </c>
      <c r="K17" s="24">
        <v>117.4913999</v>
      </c>
      <c r="L17" s="24">
        <v>23.8307232</v>
      </c>
      <c r="M17" s="26">
        <v>1212</v>
      </c>
      <c r="N17" s="26" t="s">
        <v>626</v>
      </c>
      <c r="O17" s="30" t="s">
        <v>660</v>
      </c>
      <c r="P17" s="29"/>
      <c r="Q17" s="29"/>
      <c r="R17" s="23">
        <v>2028</v>
      </c>
      <c r="S17" s="23"/>
    </row>
    <row r="18" spans="1:19">
      <c r="A18" s="26">
        <v>17</v>
      </c>
      <c r="B18" s="26" t="s">
        <v>662</v>
      </c>
      <c r="C18" s="27" t="s">
        <v>663</v>
      </c>
      <c r="D18" s="27" t="s">
        <v>620</v>
      </c>
      <c r="E18" s="27" t="s">
        <v>621</v>
      </c>
      <c r="F18" s="26" t="s">
        <v>664</v>
      </c>
      <c r="G18" s="28" t="s">
        <v>623</v>
      </c>
      <c r="H18" s="23" t="s">
        <v>142</v>
      </c>
      <c r="I18" s="23" t="s">
        <v>665</v>
      </c>
      <c r="J18" s="23" t="s">
        <v>666</v>
      </c>
      <c r="K18" s="24">
        <v>114.5446691</v>
      </c>
      <c r="L18" s="24">
        <v>22.5967728</v>
      </c>
      <c r="M18" s="26">
        <v>984</v>
      </c>
      <c r="N18" s="26" t="s">
        <v>643</v>
      </c>
      <c r="O18" s="29">
        <v>31996</v>
      </c>
      <c r="P18" s="29">
        <v>34212</v>
      </c>
      <c r="Q18" s="29">
        <v>34366</v>
      </c>
      <c r="R18" s="23">
        <v>1993</v>
      </c>
      <c r="S18" s="23"/>
    </row>
    <row r="19" spans="1:19">
      <c r="A19" s="28">
        <v>18</v>
      </c>
      <c r="B19" s="28" t="s">
        <v>667</v>
      </c>
      <c r="C19" s="27" t="s">
        <v>663</v>
      </c>
      <c r="D19" s="27" t="s">
        <v>620</v>
      </c>
      <c r="E19" s="27" t="s">
        <v>628</v>
      </c>
      <c r="F19" s="28" t="s">
        <v>664</v>
      </c>
      <c r="G19" s="26" t="s">
        <v>623</v>
      </c>
      <c r="H19" s="23" t="s">
        <v>142</v>
      </c>
      <c r="I19" s="23" t="s">
        <v>665</v>
      </c>
      <c r="J19" s="23" t="s">
        <v>666</v>
      </c>
      <c r="K19" s="24">
        <v>114.5446691</v>
      </c>
      <c r="L19" s="24">
        <v>22.5967728</v>
      </c>
      <c r="M19" s="28">
        <v>984</v>
      </c>
      <c r="N19" s="28" t="s">
        <v>643</v>
      </c>
      <c r="O19" s="30">
        <v>32240</v>
      </c>
      <c r="P19" s="30">
        <v>34372</v>
      </c>
      <c r="Q19" s="30">
        <v>34460</v>
      </c>
      <c r="R19" s="23">
        <v>1994</v>
      </c>
      <c r="S19" s="23"/>
    </row>
    <row r="20" spans="1:19">
      <c r="A20" s="26">
        <v>19</v>
      </c>
      <c r="B20" s="26" t="s">
        <v>668</v>
      </c>
      <c r="C20" s="27" t="s">
        <v>669</v>
      </c>
      <c r="D20" s="27" t="s">
        <v>620</v>
      </c>
      <c r="E20" s="27" t="s">
        <v>621</v>
      </c>
      <c r="F20" s="26" t="s">
        <v>664</v>
      </c>
      <c r="G20" s="28" t="s">
        <v>623</v>
      </c>
      <c r="H20" s="23" t="s">
        <v>142</v>
      </c>
      <c r="I20" s="23" t="s">
        <v>665</v>
      </c>
      <c r="J20" s="23" t="s">
        <v>666</v>
      </c>
      <c r="K20" s="24">
        <v>114.5530613</v>
      </c>
      <c r="L20" s="24">
        <v>22.6061383</v>
      </c>
      <c r="M20" s="26">
        <v>990</v>
      </c>
      <c r="N20" s="26" t="s">
        <v>643</v>
      </c>
      <c r="O20" s="29">
        <v>35565</v>
      </c>
      <c r="P20" s="29">
        <v>37313</v>
      </c>
      <c r="Q20" s="29">
        <v>37404</v>
      </c>
      <c r="R20" s="23">
        <v>2002</v>
      </c>
      <c r="S20" s="23"/>
    </row>
    <row r="21" spans="1:19">
      <c r="A21" s="28">
        <v>20</v>
      </c>
      <c r="B21" s="28" t="s">
        <v>670</v>
      </c>
      <c r="C21" s="27" t="s">
        <v>669</v>
      </c>
      <c r="D21" s="27" t="s">
        <v>620</v>
      </c>
      <c r="E21" s="27" t="s">
        <v>628</v>
      </c>
      <c r="F21" s="28" t="s">
        <v>664</v>
      </c>
      <c r="G21" s="26" t="s">
        <v>623</v>
      </c>
      <c r="H21" s="23" t="s">
        <v>142</v>
      </c>
      <c r="I21" s="23" t="s">
        <v>665</v>
      </c>
      <c r="J21" s="23" t="s">
        <v>666</v>
      </c>
      <c r="K21" s="24">
        <v>114.5530613</v>
      </c>
      <c r="L21" s="24">
        <v>22.6061383</v>
      </c>
      <c r="M21" s="28">
        <v>990</v>
      </c>
      <c r="N21" s="28" t="s">
        <v>643</v>
      </c>
      <c r="O21" s="30">
        <v>35762</v>
      </c>
      <c r="P21" s="30">
        <v>37513</v>
      </c>
      <c r="Q21" s="30">
        <v>37629</v>
      </c>
      <c r="R21" s="23">
        <v>2002</v>
      </c>
      <c r="S21" s="23"/>
    </row>
    <row r="22" spans="1:19">
      <c r="A22" s="26">
        <v>21</v>
      </c>
      <c r="B22" s="26" t="s">
        <v>671</v>
      </c>
      <c r="C22" s="27" t="s">
        <v>669</v>
      </c>
      <c r="D22" s="27" t="s">
        <v>658</v>
      </c>
      <c r="E22" s="27" t="s">
        <v>630</v>
      </c>
      <c r="F22" s="26" t="s">
        <v>640</v>
      </c>
      <c r="G22" s="28" t="s">
        <v>623</v>
      </c>
      <c r="H22" s="23" t="s">
        <v>142</v>
      </c>
      <c r="I22" s="23" t="s">
        <v>665</v>
      </c>
      <c r="J22" s="23" t="s">
        <v>666</v>
      </c>
      <c r="K22" s="24">
        <v>114.5530613</v>
      </c>
      <c r="L22" s="24">
        <v>22.6061383</v>
      </c>
      <c r="M22" s="26">
        <v>1086</v>
      </c>
      <c r="N22" s="26" t="s">
        <v>643</v>
      </c>
      <c r="O22" s="29">
        <v>38701</v>
      </c>
      <c r="P22" s="29">
        <v>40374</v>
      </c>
      <c r="Q22" s="29">
        <v>40436</v>
      </c>
      <c r="R22" s="23">
        <v>2010</v>
      </c>
      <c r="S22" s="23"/>
    </row>
    <row r="23" spans="1:19">
      <c r="A23" s="28">
        <v>22</v>
      </c>
      <c r="B23" s="28" t="s">
        <v>672</v>
      </c>
      <c r="C23" s="27" t="s">
        <v>669</v>
      </c>
      <c r="D23" s="27" t="s">
        <v>658</v>
      </c>
      <c r="E23" s="27" t="s">
        <v>632</v>
      </c>
      <c r="F23" s="28" t="s">
        <v>640</v>
      </c>
      <c r="G23" s="26" t="s">
        <v>623</v>
      </c>
      <c r="H23" s="23" t="s">
        <v>142</v>
      </c>
      <c r="I23" s="23" t="s">
        <v>665</v>
      </c>
      <c r="J23" s="23" t="s">
        <v>666</v>
      </c>
      <c r="K23" s="24">
        <v>114.5530613</v>
      </c>
      <c r="L23" s="24">
        <v>22.6061383</v>
      </c>
      <c r="M23" s="28">
        <v>1086</v>
      </c>
      <c r="N23" s="28" t="s">
        <v>643</v>
      </c>
      <c r="O23" s="30">
        <v>38883</v>
      </c>
      <c r="P23" s="30">
        <v>40666</v>
      </c>
      <c r="Q23" s="30">
        <v>40762</v>
      </c>
      <c r="R23" s="23">
        <v>2011</v>
      </c>
      <c r="S23" s="23"/>
    </row>
    <row r="24" spans="1:19">
      <c r="A24" s="26">
        <v>23</v>
      </c>
      <c r="B24" s="28" t="s">
        <v>673</v>
      </c>
      <c r="C24" s="27" t="s">
        <v>674</v>
      </c>
      <c r="D24" s="27" t="s">
        <v>620</v>
      </c>
      <c r="E24" s="27" t="s">
        <v>621</v>
      </c>
      <c r="F24" s="28" t="s">
        <v>675</v>
      </c>
      <c r="G24" s="28" t="s">
        <v>623</v>
      </c>
      <c r="H24" s="23" t="s">
        <v>142</v>
      </c>
      <c r="I24" s="23" t="s">
        <v>676</v>
      </c>
      <c r="J24" s="23" t="s">
        <v>677</v>
      </c>
      <c r="K24" s="24">
        <v>112.9820519</v>
      </c>
      <c r="L24" s="24">
        <v>21.9178825</v>
      </c>
      <c r="M24" s="28">
        <v>1750</v>
      </c>
      <c r="N24" s="28" t="s">
        <v>643</v>
      </c>
      <c r="O24" s="30">
        <v>40135</v>
      </c>
      <c r="P24" s="30">
        <v>43280</v>
      </c>
      <c r="Q24" s="30">
        <v>43447</v>
      </c>
      <c r="R24" s="23">
        <v>2018</v>
      </c>
      <c r="S24" s="23"/>
    </row>
    <row r="25" spans="1:19">
      <c r="A25" s="28">
        <v>24</v>
      </c>
      <c r="B25" s="26" t="s">
        <v>678</v>
      </c>
      <c r="C25" s="27" t="s">
        <v>674</v>
      </c>
      <c r="D25" s="27" t="s">
        <v>620</v>
      </c>
      <c r="E25" s="27" t="s">
        <v>628</v>
      </c>
      <c r="F25" s="26" t="s">
        <v>675</v>
      </c>
      <c r="G25" s="26" t="s">
        <v>623</v>
      </c>
      <c r="H25" s="23" t="s">
        <v>142</v>
      </c>
      <c r="I25" s="23" t="s">
        <v>676</v>
      </c>
      <c r="J25" s="23" t="s">
        <v>677</v>
      </c>
      <c r="K25" s="24">
        <v>112.9820519</v>
      </c>
      <c r="L25" s="24">
        <v>21.9178825</v>
      </c>
      <c r="M25" s="26">
        <v>1750</v>
      </c>
      <c r="N25" s="26" t="s">
        <v>643</v>
      </c>
      <c r="O25" s="29">
        <v>40283</v>
      </c>
      <c r="P25" s="29">
        <v>43639</v>
      </c>
      <c r="Q25" s="29">
        <v>43715</v>
      </c>
      <c r="R25" s="23">
        <v>2019</v>
      </c>
      <c r="S25" s="23"/>
    </row>
    <row r="26" spans="1:19">
      <c r="A26" s="26">
        <v>25</v>
      </c>
      <c r="B26" s="28" t="s">
        <v>679</v>
      </c>
      <c r="C26" s="23" t="s">
        <v>680</v>
      </c>
      <c r="D26" s="27" t="s">
        <v>620</v>
      </c>
      <c r="E26" s="27" t="s">
        <v>621</v>
      </c>
      <c r="F26" s="28" t="s">
        <v>635</v>
      </c>
      <c r="G26" s="28" t="s">
        <v>96</v>
      </c>
      <c r="H26" s="23" t="s">
        <v>142</v>
      </c>
      <c r="I26" s="23" t="s">
        <v>681</v>
      </c>
      <c r="J26" s="23" t="s">
        <v>682</v>
      </c>
      <c r="K26" s="24">
        <v>114.9844541</v>
      </c>
      <c r="L26" s="24">
        <v>22.6929774</v>
      </c>
      <c r="M26" s="28">
        <v>1202</v>
      </c>
      <c r="N26" s="28" t="s">
        <v>643</v>
      </c>
      <c r="O26" s="30">
        <v>43825</v>
      </c>
      <c r="P26" s="30"/>
      <c r="Q26" s="30"/>
      <c r="R26" s="23">
        <v>2025</v>
      </c>
      <c r="S26" s="23"/>
    </row>
    <row r="27" spans="1:19">
      <c r="A27" s="28">
        <v>26</v>
      </c>
      <c r="B27" s="26" t="s">
        <v>683</v>
      </c>
      <c r="C27" s="23" t="s">
        <v>680</v>
      </c>
      <c r="D27" s="27" t="s">
        <v>620</v>
      </c>
      <c r="E27" s="27" t="s">
        <v>628</v>
      </c>
      <c r="F27" s="26" t="s">
        <v>635</v>
      </c>
      <c r="G27" s="26" t="s">
        <v>96</v>
      </c>
      <c r="H27" s="23" t="s">
        <v>142</v>
      </c>
      <c r="I27" s="23" t="s">
        <v>681</v>
      </c>
      <c r="J27" s="23" t="s">
        <v>682</v>
      </c>
      <c r="K27" s="24">
        <v>114.9844541</v>
      </c>
      <c r="L27" s="24">
        <v>22.6929774</v>
      </c>
      <c r="M27" s="26">
        <v>1202</v>
      </c>
      <c r="N27" s="26" t="s">
        <v>643</v>
      </c>
      <c r="O27" s="29">
        <v>44119</v>
      </c>
      <c r="P27" s="29"/>
      <c r="Q27" s="29"/>
      <c r="R27" s="23">
        <v>2026</v>
      </c>
      <c r="S27" s="23"/>
    </row>
    <row r="28" spans="1:19">
      <c r="A28" s="26">
        <v>27</v>
      </c>
      <c r="B28" s="31" t="s">
        <v>684</v>
      </c>
      <c r="C28" s="32" t="s">
        <v>685</v>
      </c>
      <c r="D28" s="32" t="s">
        <v>620</v>
      </c>
      <c r="E28" s="32" t="s">
        <v>621</v>
      </c>
      <c r="F28" s="31" t="s">
        <v>640</v>
      </c>
      <c r="G28" s="31" t="s">
        <v>623</v>
      </c>
      <c r="H28" s="23" t="e">
        <f>VLOOKUP($C28,[2]电厂名单!$A$2:$G$26,2,FALSE)</f>
        <v>#N/A</v>
      </c>
      <c r="I28" s="23" t="e">
        <f>VLOOKUP($C28,[2]电厂名单!$A$2:$G$26,3,FALSE)</f>
        <v>#N/A</v>
      </c>
      <c r="J28" s="23" t="e">
        <f>VLOOKUP($C28,[2]电厂名单!$A$2:$G$26,4,FALSE)</f>
        <v>#N/A</v>
      </c>
      <c r="K28" s="33" t="e">
        <f>VLOOKUP($C28,[2]电厂名单!$A$2:$G$26,6,FALSE)</f>
        <v>#N/A</v>
      </c>
      <c r="L28" s="33" t="e">
        <f>VLOOKUP($C28,[2]电厂名单!$A$2:$G$26,7,FALSE)</f>
        <v>#N/A</v>
      </c>
      <c r="M28" s="31">
        <v>1086</v>
      </c>
      <c r="N28" s="31" t="s">
        <v>643</v>
      </c>
      <c r="O28" s="34" t="s">
        <v>686</v>
      </c>
      <c r="P28" s="34" t="s">
        <v>687</v>
      </c>
      <c r="Q28" s="34" t="s">
        <v>688</v>
      </c>
      <c r="R28" s="23">
        <v>2013</v>
      </c>
      <c r="S28" s="23"/>
    </row>
    <row r="29" spans="1:19">
      <c r="A29" s="28">
        <v>28</v>
      </c>
      <c r="B29" s="35" t="s">
        <v>689</v>
      </c>
      <c r="C29" s="32" t="s">
        <v>685</v>
      </c>
      <c r="D29" s="32" t="s">
        <v>620</v>
      </c>
      <c r="E29" s="32" t="s">
        <v>628</v>
      </c>
      <c r="F29" s="35" t="s">
        <v>640</v>
      </c>
      <c r="G29" s="35" t="s">
        <v>623</v>
      </c>
      <c r="H29" s="23" t="e">
        <f>VLOOKUP($C29,[2]电厂名单!$A$2:$G$26,2,FALSE)</f>
        <v>#N/A</v>
      </c>
      <c r="I29" s="23" t="e">
        <f>VLOOKUP($C29,[2]电厂名单!$A$2:$G$26,3,FALSE)</f>
        <v>#N/A</v>
      </c>
      <c r="J29" s="23" t="e">
        <f>VLOOKUP($C29,[2]电厂名单!$A$2:$G$26,4,FALSE)</f>
        <v>#N/A</v>
      </c>
      <c r="K29" s="33" t="e">
        <f>VLOOKUP($C29,[2]电厂名单!$A$2:$G$26,6,FALSE)</f>
        <v>#N/A</v>
      </c>
      <c r="L29" s="33" t="e">
        <f>VLOOKUP($C29,[2]电厂名单!$A$2:$G$26,7,FALSE)</f>
        <v>#N/A</v>
      </c>
      <c r="M29" s="35">
        <v>1086</v>
      </c>
      <c r="N29" s="35" t="s">
        <v>643</v>
      </c>
      <c r="O29" s="36" t="s">
        <v>690</v>
      </c>
      <c r="P29" s="36" t="s">
        <v>691</v>
      </c>
      <c r="Q29" s="36" t="s">
        <v>692</v>
      </c>
      <c r="R29" s="23">
        <v>2015</v>
      </c>
      <c r="S29" s="23"/>
    </row>
    <row r="30" spans="1:19">
      <c r="A30" s="26">
        <v>29</v>
      </c>
      <c r="B30" s="37" t="s">
        <v>693</v>
      </c>
      <c r="C30" s="32" t="s">
        <v>685</v>
      </c>
      <c r="D30" s="32" t="s">
        <v>620</v>
      </c>
      <c r="E30" s="32" t="s">
        <v>630</v>
      </c>
      <c r="F30" s="37" t="s">
        <v>640</v>
      </c>
      <c r="G30" s="37" t="s">
        <v>623</v>
      </c>
      <c r="H30" s="19" t="e">
        <f>VLOOKUP($C30,[2]电厂名单!$A$2:$G$26,2,FALSE)</f>
        <v>#N/A</v>
      </c>
      <c r="I30" s="19" t="e">
        <f>VLOOKUP($C30,[2]电厂名单!$A$2:$G$26,3,FALSE)</f>
        <v>#N/A</v>
      </c>
      <c r="J30" s="19" t="e">
        <f>VLOOKUP($C30,[2]电厂名单!$A$2:$G$26,4,FALSE)</f>
        <v>#N/A</v>
      </c>
      <c r="K30" s="38" t="e">
        <f>VLOOKUP($C30,[2]电厂名单!$A$2:$G$26,6,FALSE)</f>
        <v>#N/A</v>
      </c>
      <c r="L30" s="38" t="e">
        <f>VLOOKUP($C30,[2]电厂名单!$A$2:$G$26,7,FALSE)</f>
        <v>#N/A</v>
      </c>
      <c r="M30" s="37">
        <v>1086</v>
      </c>
      <c r="N30" s="37" t="s">
        <v>643</v>
      </c>
      <c r="O30" s="39" t="s">
        <v>694</v>
      </c>
      <c r="P30" s="39" t="s">
        <v>695</v>
      </c>
      <c r="Q30" s="39" t="s">
        <v>696</v>
      </c>
      <c r="R30" s="23">
        <v>2015</v>
      </c>
      <c r="S30" s="23"/>
    </row>
    <row r="31" spans="1:19">
      <c r="A31" s="28">
        <v>30</v>
      </c>
      <c r="B31" s="40" t="s">
        <v>697</v>
      </c>
      <c r="C31" s="32" t="s">
        <v>685</v>
      </c>
      <c r="D31" s="32" t="s">
        <v>620</v>
      </c>
      <c r="E31" s="32" t="s">
        <v>632</v>
      </c>
      <c r="F31" s="40" t="s">
        <v>640</v>
      </c>
      <c r="G31" s="40" t="s">
        <v>623</v>
      </c>
      <c r="H31" s="19" t="e">
        <f>VLOOKUP($C31,[2]电厂名单!$A$2:$G$26,2,FALSE)</f>
        <v>#N/A</v>
      </c>
      <c r="I31" s="19" t="e">
        <f>VLOOKUP($C31,[2]电厂名单!$A$2:$G$26,3,FALSE)</f>
        <v>#N/A</v>
      </c>
      <c r="J31" s="19" t="e">
        <f>VLOOKUP($C31,[2]电厂名单!$A$2:$G$26,4,FALSE)</f>
        <v>#N/A</v>
      </c>
      <c r="K31" s="38" t="e">
        <f>VLOOKUP($C31,[2]电厂名单!$A$2:$G$26,6,FALSE)</f>
        <v>#N/A</v>
      </c>
      <c r="L31" s="38" t="e">
        <f>VLOOKUP($C31,[2]电厂名单!$A$2:$G$26,7,FALSE)</f>
        <v>#N/A</v>
      </c>
      <c r="M31" s="40">
        <v>1086</v>
      </c>
      <c r="N31" s="40" t="s">
        <v>643</v>
      </c>
      <c r="O31" s="41" t="s">
        <v>698</v>
      </c>
      <c r="P31" s="41" t="s">
        <v>699</v>
      </c>
      <c r="Q31" s="41" t="s">
        <v>700</v>
      </c>
      <c r="R31" s="23">
        <v>2017</v>
      </c>
      <c r="S31" s="23"/>
    </row>
    <row r="32" spans="1:19">
      <c r="A32" s="26">
        <v>31</v>
      </c>
      <c r="B32" s="37" t="s">
        <v>701</v>
      </c>
      <c r="C32" s="32" t="s">
        <v>685</v>
      </c>
      <c r="D32" s="32" t="s">
        <v>620</v>
      </c>
      <c r="E32" s="32" t="s">
        <v>634</v>
      </c>
      <c r="F32" s="37" t="s">
        <v>702</v>
      </c>
      <c r="G32" s="37" t="s">
        <v>623</v>
      </c>
      <c r="H32" s="19" t="e">
        <f>VLOOKUP($C32,[2]电厂名单!$A$2:$G$26,2,FALSE)</f>
        <v>#N/A</v>
      </c>
      <c r="I32" s="19" t="e">
        <f>VLOOKUP($C32,[2]电厂名单!$A$2:$G$26,3,FALSE)</f>
        <v>#N/A</v>
      </c>
      <c r="J32" s="19" t="e">
        <f>VLOOKUP($C32,[2]电厂名单!$A$2:$G$26,4,FALSE)</f>
        <v>#N/A</v>
      </c>
      <c r="K32" s="38" t="e">
        <f>VLOOKUP($C32,[2]电厂名单!$A$2:$G$26,6,FALSE)</f>
        <v>#N/A</v>
      </c>
      <c r="L32" s="38" t="e">
        <f>VLOOKUP($C32,[2]电厂名单!$A$2:$G$26,7,FALSE)</f>
        <v>#N/A</v>
      </c>
      <c r="M32" s="37">
        <v>1086</v>
      </c>
      <c r="N32" s="37" t="s">
        <v>643</v>
      </c>
      <c r="O32" s="39" t="s">
        <v>703</v>
      </c>
      <c r="P32" s="39" t="s">
        <v>704</v>
      </c>
      <c r="Q32" s="39" t="s">
        <v>705</v>
      </c>
      <c r="R32" s="23">
        <v>2018</v>
      </c>
      <c r="S32" s="23"/>
    </row>
    <row r="33" spans="1:19">
      <c r="A33" s="28">
        <v>32</v>
      </c>
      <c r="B33" s="40" t="s">
        <v>706</v>
      </c>
      <c r="C33" s="32" t="s">
        <v>685</v>
      </c>
      <c r="D33" s="32" t="s">
        <v>620</v>
      </c>
      <c r="E33" s="32" t="s">
        <v>637</v>
      </c>
      <c r="F33" s="40" t="s">
        <v>702</v>
      </c>
      <c r="G33" s="40" t="s">
        <v>623</v>
      </c>
      <c r="H33" s="19" t="e">
        <f>VLOOKUP($C33,[2]电厂名单!$A$2:$G$26,2,FALSE)</f>
        <v>#N/A</v>
      </c>
      <c r="I33" s="19" t="e">
        <f>VLOOKUP($C33,[2]电厂名单!$A$2:$G$26,3,FALSE)</f>
        <v>#N/A</v>
      </c>
      <c r="J33" s="19" t="e">
        <f>VLOOKUP($C33,[2]电厂名单!$A$2:$G$26,4,FALSE)</f>
        <v>#N/A</v>
      </c>
      <c r="K33" s="38" t="e">
        <f>VLOOKUP($C33,[2]电厂名单!$A$2:$G$26,6,FALSE)</f>
        <v>#N/A</v>
      </c>
      <c r="L33" s="38" t="e">
        <f>VLOOKUP($C33,[2]电厂名单!$A$2:$G$26,7,FALSE)</f>
        <v>#N/A</v>
      </c>
      <c r="M33" s="40">
        <v>1086</v>
      </c>
      <c r="N33" s="40" t="s">
        <v>643</v>
      </c>
      <c r="O33" s="41" t="s">
        <v>707</v>
      </c>
      <c r="P33" s="41" t="s">
        <v>708</v>
      </c>
      <c r="Q33" s="41" t="s">
        <v>709</v>
      </c>
      <c r="R33" s="23">
        <v>2019</v>
      </c>
      <c r="S33" s="23"/>
    </row>
    <row r="34" spans="1:19">
      <c r="A34" s="26">
        <v>33</v>
      </c>
      <c r="B34" s="37" t="s">
        <v>652</v>
      </c>
      <c r="C34" s="42" t="s">
        <v>653</v>
      </c>
      <c r="D34" s="32" t="s">
        <v>620</v>
      </c>
      <c r="E34" s="32" t="s">
        <v>621</v>
      </c>
      <c r="F34" s="37" t="s">
        <v>635</v>
      </c>
      <c r="G34" s="37" t="s">
        <v>96</v>
      </c>
      <c r="H34" s="19" t="e">
        <f>VLOOKUP($C34,[2]电厂名单!$A$2:$G$26,2,FALSE)</f>
        <v>#N/A</v>
      </c>
      <c r="I34" s="19" t="e">
        <f>VLOOKUP($C34,[2]电厂名单!$A$2:$G$26,3,FALSE)</f>
        <v>#N/A</v>
      </c>
      <c r="J34" s="19" t="e">
        <f>VLOOKUP($C34,[2]电厂名单!$A$2:$G$26,4,FALSE)</f>
        <v>#N/A</v>
      </c>
      <c r="K34" s="38" t="e">
        <f>VLOOKUP($C34,[2]电厂名单!$A$2:$G$26,6,FALSE)</f>
        <v>#N/A</v>
      </c>
      <c r="L34" s="38" t="e">
        <f>VLOOKUP($C34,[2]电厂名单!$A$2:$G$26,7,FALSE)</f>
        <v>#N/A</v>
      </c>
      <c r="M34" s="37">
        <v>1212</v>
      </c>
      <c r="N34" s="37" t="s">
        <v>626</v>
      </c>
      <c r="O34" s="39" t="s">
        <v>710</v>
      </c>
      <c r="P34" s="39"/>
      <c r="Q34" s="39"/>
      <c r="R34" s="23">
        <v>2026</v>
      </c>
      <c r="S34" s="23"/>
    </row>
    <row r="35" spans="1:19">
      <c r="A35" s="28">
        <v>34</v>
      </c>
      <c r="B35" s="40" t="s">
        <v>656</v>
      </c>
      <c r="C35" s="42" t="s">
        <v>653</v>
      </c>
      <c r="D35" s="32" t="s">
        <v>620</v>
      </c>
      <c r="E35" s="32" t="s">
        <v>628</v>
      </c>
      <c r="F35" s="40" t="s">
        <v>635</v>
      </c>
      <c r="G35" s="40" t="s">
        <v>96</v>
      </c>
      <c r="H35" s="19" t="e">
        <f>VLOOKUP($C35,[2]电厂名单!$A$2:$G$26,2,FALSE)</f>
        <v>#N/A</v>
      </c>
      <c r="I35" s="19" t="e">
        <f>VLOOKUP($C35,[2]电厂名单!$A$2:$G$26,3,FALSE)</f>
        <v>#N/A</v>
      </c>
      <c r="J35" s="19" t="e">
        <f>VLOOKUP($C35,[2]电厂名单!$A$2:$G$26,4,FALSE)</f>
        <v>#N/A</v>
      </c>
      <c r="K35" s="38" t="e">
        <f>VLOOKUP($C35,[2]电厂名单!$A$2:$G$26,6,FALSE)</f>
        <v>#N/A</v>
      </c>
      <c r="L35" s="38" t="e">
        <f>VLOOKUP($C35,[2]电厂名单!$A$2:$G$26,7,FALSE)</f>
        <v>#N/A</v>
      </c>
      <c r="M35" s="40">
        <v>1212</v>
      </c>
      <c r="N35" s="40" t="s">
        <v>626</v>
      </c>
      <c r="O35" s="41" t="s">
        <v>711</v>
      </c>
      <c r="P35" s="41"/>
      <c r="Q35" s="41"/>
      <c r="R35" s="23">
        <v>2027</v>
      </c>
      <c r="S35" s="23"/>
    </row>
    <row r="36" spans="1:19">
      <c r="A36" s="26">
        <v>35</v>
      </c>
      <c r="B36" s="37" t="s">
        <v>657</v>
      </c>
      <c r="C36" s="42" t="s">
        <v>653</v>
      </c>
      <c r="D36" s="32" t="s">
        <v>658</v>
      </c>
      <c r="E36" s="32" t="s">
        <v>630</v>
      </c>
      <c r="F36" s="37" t="s">
        <v>635</v>
      </c>
      <c r="G36" s="37" t="s">
        <v>659</v>
      </c>
      <c r="H36" s="19" t="e">
        <f>VLOOKUP($C36,[2]电厂名单!$A$2:$G$26,2,FALSE)</f>
        <v>#N/A</v>
      </c>
      <c r="I36" s="19" t="e">
        <f>VLOOKUP($C36,[2]电厂名单!$A$2:$G$26,3,FALSE)</f>
        <v>#N/A</v>
      </c>
      <c r="J36" s="19" t="e">
        <f>VLOOKUP($C36,[2]电厂名单!$A$2:$G$26,4,FALSE)</f>
        <v>#N/A</v>
      </c>
      <c r="K36" s="38" t="e">
        <f>VLOOKUP($C36,[2]电厂名单!$A$2:$G$26,6,FALSE)</f>
        <v>#N/A</v>
      </c>
      <c r="L36" s="38" t="e">
        <f>VLOOKUP($C36,[2]电厂名单!$A$2:$G$26,7,FALSE)</f>
        <v>#N/A</v>
      </c>
      <c r="M36" s="37">
        <v>1212</v>
      </c>
      <c r="N36" s="37" t="s">
        <v>626</v>
      </c>
      <c r="O36" s="39" t="s">
        <v>712</v>
      </c>
      <c r="P36" s="39"/>
      <c r="Q36" s="39"/>
      <c r="R36" s="23">
        <v>2029</v>
      </c>
      <c r="S36" s="23"/>
    </row>
    <row r="37" spans="1:19">
      <c r="A37" s="28">
        <v>36</v>
      </c>
      <c r="B37" s="40" t="s">
        <v>661</v>
      </c>
      <c r="C37" s="42" t="s">
        <v>653</v>
      </c>
      <c r="D37" s="32" t="s">
        <v>658</v>
      </c>
      <c r="E37" s="32" t="s">
        <v>632</v>
      </c>
      <c r="F37" s="40" t="s">
        <v>635</v>
      </c>
      <c r="G37" s="40" t="s">
        <v>659</v>
      </c>
      <c r="H37" s="19" t="e">
        <f>VLOOKUP($C37,[2]电厂名单!$A$2:$G$26,2,FALSE)</f>
        <v>#N/A</v>
      </c>
      <c r="I37" s="19" t="e">
        <f>VLOOKUP($C37,[2]电厂名单!$A$2:$G$26,3,FALSE)</f>
        <v>#N/A</v>
      </c>
      <c r="J37" s="19" t="e">
        <f>VLOOKUP($C37,[2]电厂名单!$A$2:$G$26,4,FALSE)</f>
        <v>#N/A</v>
      </c>
      <c r="K37" s="38" t="e">
        <f>VLOOKUP($C37,[2]电厂名单!$A$2:$G$26,6,FALSE)</f>
        <v>#N/A</v>
      </c>
      <c r="L37" s="38" t="e">
        <f>VLOOKUP($C37,[2]电厂名单!$A$2:$G$26,7,FALSE)</f>
        <v>#N/A</v>
      </c>
      <c r="M37" s="40">
        <v>1212</v>
      </c>
      <c r="N37" s="40" t="s">
        <v>626</v>
      </c>
      <c r="O37" s="39" t="s">
        <v>712</v>
      </c>
      <c r="P37" s="41"/>
      <c r="Q37" s="41"/>
      <c r="R37" s="43">
        <v>2029</v>
      </c>
      <c r="S37" s="23"/>
    </row>
    <row r="38" spans="1:19">
      <c r="A38" s="26">
        <v>37</v>
      </c>
      <c r="B38" s="26" t="s">
        <v>713</v>
      </c>
      <c r="C38" s="27" t="s">
        <v>714</v>
      </c>
      <c r="D38" s="27" t="s">
        <v>620</v>
      </c>
      <c r="E38" s="27" t="s">
        <v>621</v>
      </c>
      <c r="F38" s="26" t="s">
        <v>640</v>
      </c>
      <c r="G38" s="28" t="s">
        <v>623</v>
      </c>
      <c r="H38" s="23" t="s">
        <v>147</v>
      </c>
      <c r="I38" s="23" t="s">
        <v>715</v>
      </c>
      <c r="J38" s="23" t="s">
        <v>716</v>
      </c>
      <c r="K38" s="24">
        <v>108.5629969</v>
      </c>
      <c r="L38" s="24">
        <v>21.6667467</v>
      </c>
      <c r="M38" s="26">
        <v>1086</v>
      </c>
      <c r="N38" s="26" t="s">
        <v>643</v>
      </c>
      <c r="O38" s="29">
        <v>40389</v>
      </c>
      <c r="P38" s="29">
        <v>42302</v>
      </c>
      <c r="Q38" s="29">
        <v>42370</v>
      </c>
      <c r="R38" s="23">
        <v>2015</v>
      </c>
      <c r="S38" s="23"/>
    </row>
    <row r="39" spans="1:19">
      <c r="A39" s="28">
        <v>38</v>
      </c>
      <c r="B39" s="28" t="s">
        <v>717</v>
      </c>
      <c r="C39" s="27" t="s">
        <v>714</v>
      </c>
      <c r="D39" s="27" t="s">
        <v>620</v>
      </c>
      <c r="E39" s="27" t="s">
        <v>628</v>
      </c>
      <c r="F39" s="28" t="s">
        <v>640</v>
      </c>
      <c r="G39" s="26" t="s">
        <v>623</v>
      </c>
      <c r="H39" s="23" t="s">
        <v>147</v>
      </c>
      <c r="I39" s="23" t="s">
        <v>715</v>
      </c>
      <c r="J39" s="23" t="s">
        <v>716</v>
      </c>
      <c r="K39" s="24">
        <v>108.5629969</v>
      </c>
      <c r="L39" s="24">
        <v>21.6667467</v>
      </c>
      <c r="M39" s="28">
        <v>1086</v>
      </c>
      <c r="N39" s="28" t="s">
        <v>643</v>
      </c>
      <c r="O39" s="30">
        <v>40535</v>
      </c>
      <c r="P39" s="30">
        <v>42566</v>
      </c>
      <c r="Q39" s="30">
        <v>42644</v>
      </c>
      <c r="R39" s="23">
        <v>2016</v>
      </c>
      <c r="S39" s="23"/>
    </row>
    <row r="40" spans="1:19">
      <c r="A40" s="26">
        <v>39</v>
      </c>
      <c r="B40" s="26" t="s">
        <v>718</v>
      </c>
      <c r="C40" s="27" t="s">
        <v>714</v>
      </c>
      <c r="D40" s="27" t="s">
        <v>658</v>
      </c>
      <c r="E40" s="27" t="s">
        <v>719</v>
      </c>
      <c r="F40" s="26" t="s">
        <v>635</v>
      </c>
      <c r="G40" s="26" t="s">
        <v>96</v>
      </c>
      <c r="H40" s="23" t="s">
        <v>147</v>
      </c>
      <c r="I40" s="23" t="s">
        <v>715</v>
      </c>
      <c r="J40" s="23" t="s">
        <v>716</v>
      </c>
      <c r="K40" s="24">
        <v>108.5629969</v>
      </c>
      <c r="L40" s="24">
        <v>21.6667467</v>
      </c>
      <c r="M40" s="26">
        <v>1180</v>
      </c>
      <c r="N40" s="26" t="s">
        <v>643</v>
      </c>
      <c r="O40" s="29">
        <v>42362</v>
      </c>
      <c r="P40" s="29">
        <v>44939</v>
      </c>
      <c r="Q40" s="29"/>
      <c r="R40" s="23">
        <v>2023</v>
      </c>
      <c r="S40" s="23"/>
    </row>
    <row r="41" spans="1:19">
      <c r="A41" s="28">
        <v>40</v>
      </c>
      <c r="B41" s="28" t="s">
        <v>720</v>
      </c>
      <c r="C41" s="27" t="s">
        <v>714</v>
      </c>
      <c r="D41" s="27" t="s">
        <v>658</v>
      </c>
      <c r="E41" s="27" t="s">
        <v>721</v>
      </c>
      <c r="F41" s="28" t="s">
        <v>635</v>
      </c>
      <c r="G41" s="28" t="s">
        <v>96</v>
      </c>
      <c r="H41" s="23" t="s">
        <v>147</v>
      </c>
      <c r="I41" s="23" t="s">
        <v>715</v>
      </c>
      <c r="J41" s="23" t="s">
        <v>716</v>
      </c>
      <c r="K41" s="24">
        <v>108.5629969</v>
      </c>
      <c r="L41" s="24">
        <v>21.6667467</v>
      </c>
      <c r="M41" s="28">
        <v>1180</v>
      </c>
      <c r="N41" s="28" t="s">
        <v>643</v>
      </c>
      <c r="O41" s="30">
        <v>42727</v>
      </c>
      <c r="P41" s="30"/>
      <c r="Q41" s="30"/>
      <c r="R41" s="23">
        <v>2023</v>
      </c>
      <c r="S41" s="23"/>
    </row>
    <row r="42" spans="1:19">
      <c r="A42" s="26">
        <v>41</v>
      </c>
      <c r="B42" s="28" t="s">
        <v>722</v>
      </c>
      <c r="C42" s="27" t="s">
        <v>723</v>
      </c>
      <c r="D42" s="27" t="s">
        <v>620</v>
      </c>
      <c r="E42" s="27" t="s">
        <v>621</v>
      </c>
      <c r="F42" s="28" t="s">
        <v>724</v>
      </c>
      <c r="G42" s="28" t="s">
        <v>623</v>
      </c>
      <c r="H42" s="23" t="s">
        <v>144</v>
      </c>
      <c r="I42" s="23" t="s">
        <v>725</v>
      </c>
      <c r="J42" s="23" t="s">
        <v>726</v>
      </c>
      <c r="K42" s="24">
        <v>108.8987239</v>
      </c>
      <c r="L42" s="24">
        <v>19.4599337</v>
      </c>
      <c r="M42" s="28">
        <v>650</v>
      </c>
      <c r="N42" s="28" t="s">
        <v>626</v>
      </c>
      <c r="O42" s="30">
        <v>40293</v>
      </c>
      <c r="P42" s="30">
        <v>42315</v>
      </c>
      <c r="Q42" s="30">
        <v>42363</v>
      </c>
      <c r="R42" s="23">
        <v>2015</v>
      </c>
      <c r="S42" s="23"/>
    </row>
    <row r="43" spans="1:19">
      <c r="A43" s="28">
        <v>42</v>
      </c>
      <c r="B43" s="26" t="s">
        <v>727</v>
      </c>
      <c r="C43" s="27" t="s">
        <v>723</v>
      </c>
      <c r="D43" s="27" t="s">
        <v>620</v>
      </c>
      <c r="E43" s="27" t="s">
        <v>628</v>
      </c>
      <c r="F43" s="26" t="s">
        <v>724</v>
      </c>
      <c r="G43" s="26" t="s">
        <v>623</v>
      </c>
      <c r="H43" s="23" t="s">
        <v>144</v>
      </c>
      <c r="I43" s="23" t="s">
        <v>725</v>
      </c>
      <c r="J43" s="23" t="s">
        <v>726</v>
      </c>
      <c r="K43" s="24">
        <v>108.8987239</v>
      </c>
      <c r="L43" s="24">
        <v>19.4599337</v>
      </c>
      <c r="M43" s="26">
        <v>650</v>
      </c>
      <c r="N43" s="26" t="s">
        <v>626</v>
      </c>
      <c r="O43" s="29">
        <v>40503</v>
      </c>
      <c r="P43" s="29">
        <v>42541</v>
      </c>
      <c r="Q43" s="29">
        <v>42594</v>
      </c>
      <c r="R43" s="23">
        <v>2016</v>
      </c>
      <c r="S43" s="23"/>
    </row>
    <row r="44" spans="1:19">
      <c r="A44" s="26">
        <v>43</v>
      </c>
      <c r="B44" s="28" t="s">
        <v>728</v>
      </c>
      <c r="C44" s="27" t="s">
        <v>723</v>
      </c>
      <c r="D44" s="27" t="s">
        <v>658</v>
      </c>
      <c r="E44" s="27" t="s">
        <v>630</v>
      </c>
      <c r="F44" s="28" t="s">
        <v>635</v>
      </c>
      <c r="G44" s="28" t="s">
        <v>96</v>
      </c>
      <c r="H44" s="23" t="s">
        <v>144</v>
      </c>
      <c r="I44" s="23" t="s">
        <v>725</v>
      </c>
      <c r="J44" s="23" t="s">
        <v>726</v>
      </c>
      <c r="K44" s="24">
        <v>108.8987239</v>
      </c>
      <c r="L44" s="24">
        <v>19.4599337</v>
      </c>
      <c r="M44" s="28">
        <v>1200</v>
      </c>
      <c r="N44" s="28" t="s">
        <v>729</v>
      </c>
      <c r="O44" s="30">
        <v>44286</v>
      </c>
      <c r="P44" s="30"/>
      <c r="Q44" s="30"/>
      <c r="R44" s="23">
        <v>2026</v>
      </c>
      <c r="S44" s="23"/>
    </row>
    <row r="45" spans="1:19">
      <c r="A45" s="28">
        <v>44</v>
      </c>
      <c r="B45" s="26" t="s">
        <v>730</v>
      </c>
      <c r="C45" s="27" t="s">
        <v>723</v>
      </c>
      <c r="D45" s="27" t="s">
        <v>658</v>
      </c>
      <c r="E45" s="27" t="s">
        <v>632</v>
      </c>
      <c r="F45" s="26" t="s">
        <v>635</v>
      </c>
      <c r="G45" s="26" t="s">
        <v>96</v>
      </c>
      <c r="H45" s="23" t="s">
        <v>144</v>
      </c>
      <c r="I45" s="23" t="s">
        <v>725</v>
      </c>
      <c r="J45" s="23" t="s">
        <v>726</v>
      </c>
      <c r="K45" s="24">
        <v>108.8987239</v>
      </c>
      <c r="L45" s="24">
        <v>19.4599337</v>
      </c>
      <c r="M45" s="26">
        <v>1200</v>
      </c>
      <c r="N45" s="26" t="s">
        <v>729</v>
      </c>
      <c r="O45" s="29">
        <v>44558</v>
      </c>
      <c r="P45" s="29"/>
      <c r="Q45" s="29"/>
      <c r="R45" s="23">
        <v>2027</v>
      </c>
      <c r="S45" s="23"/>
    </row>
    <row r="46" spans="1:19">
      <c r="A46" s="26">
        <v>45</v>
      </c>
      <c r="B46" s="28" t="s">
        <v>731</v>
      </c>
      <c r="C46" s="27" t="s">
        <v>723</v>
      </c>
      <c r="D46" s="27" t="s">
        <v>658</v>
      </c>
      <c r="E46" s="23" t="s">
        <v>732</v>
      </c>
      <c r="F46" s="28" t="s">
        <v>733</v>
      </c>
      <c r="G46" s="28" t="s">
        <v>96</v>
      </c>
      <c r="H46" s="23" t="s">
        <v>144</v>
      </c>
      <c r="I46" s="23" t="s">
        <v>725</v>
      </c>
      <c r="J46" s="23" t="s">
        <v>726</v>
      </c>
      <c r="K46" s="24">
        <v>108.8987239</v>
      </c>
      <c r="L46" s="24">
        <v>19.4599337</v>
      </c>
      <c r="M46" s="28">
        <v>125</v>
      </c>
      <c r="N46" s="28" t="s">
        <v>626</v>
      </c>
      <c r="O46" s="30">
        <v>44390</v>
      </c>
      <c r="P46" s="30"/>
      <c r="Q46" s="30"/>
      <c r="R46" s="23">
        <v>2026</v>
      </c>
      <c r="S46" s="23"/>
    </row>
    <row r="47" spans="1:19">
      <c r="A47" s="28">
        <v>46</v>
      </c>
      <c r="B47" s="28" t="s">
        <v>734</v>
      </c>
      <c r="C47" s="27" t="s">
        <v>735</v>
      </c>
      <c r="D47" s="27" t="s">
        <v>620</v>
      </c>
      <c r="E47" s="27" t="s">
        <v>621</v>
      </c>
      <c r="F47" s="28" t="s">
        <v>736</v>
      </c>
      <c r="G47" s="28" t="s">
        <v>623</v>
      </c>
      <c r="H47" s="23" t="s">
        <v>136</v>
      </c>
      <c r="I47" s="23" t="s">
        <v>737</v>
      </c>
      <c r="J47" s="23" t="s">
        <v>738</v>
      </c>
      <c r="K47" s="24">
        <v>119.4581987</v>
      </c>
      <c r="L47" s="24">
        <v>34.6880666</v>
      </c>
      <c r="M47" s="28">
        <v>1060</v>
      </c>
      <c r="N47" s="28" t="s">
        <v>739</v>
      </c>
      <c r="O47" s="30">
        <v>36453</v>
      </c>
      <c r="P47" s="30">
        <v>38849</v>
      </c>
      <c r="Q47" s="30">
        <v>39219</v>
      </c>
      <c r="R47" s="23">
        <v>2006</v>
      </c>
      <c r="S47" s="23"/>
    </row>
    <row r="48" spans="1:19">
      <c r="A48" s="26">
        <v>47</v>
      </c>
      <c r="B48" s="26" t="s">
        <v>740</v>
      </c>
      <c r="C48" s="27" t="s">
        <v>735</v>
      </c>
      <c r="D48" s="27" t="s">
        <v>620</v>
      </c>
      <c r="E48" s="27" t="s">
        <v>628</v>
      </c>
      <c r="F48" s="26" t="s">
        <v>736</v>
      </c>
      <c r="G48" s="26" t="s">
        <v>623</v>
      </c>
      <c r="H48" s="23" t="s">
        <v>136</v>
      </c>
      <c r="I48" s="23" t="s">
        <v>737</v>
      </c>
      <c r="J48" s="23" t="s">
        <v>738</v>
      </c>
      <c r="K48" s="24">
        <v>119.4581987</v>
      </c>
      <c r="L48" s="24">
        <v>34.6880666</v>
      </c>
      <c r="M48" s="26">
        <v>1060</v>
      </c>
      <c r="N48" s="26" t="s">
        <v>739</v>
      </c>
      <c r="O48" s="29">
        <v>36789</v>
      </c>
      <c r="P48" s="29">
        <v>39216</v>
      </c>
      <c r="Q48" s="29">
        <v>39310</v>
      </c>
      <c r="R48" s="23">
        <v>2007</v>
      </c>
      <c r="S48" s="23"/>
    </row>
    <row r="49" spans="1:19">
      <c r="A49" s="28">
        <v>48</v>
      </c>
      <c r="B49" s="28" t="s">
        <v>741</v>
      </c>
      <c r="C49" s="27" t="s">
        <v>735</v>
      </c>
      <c r="D49" s="27" t="s">
        <v>658</v>
      </c>
      <c r="E49" s="27" t="s">
        <v>630</v>
      </c>
      <c r="F49" s="28" t="s">
        <v>742</v>
      </c>
      <c r="G49" s="28" t="s">
        <v>623</v>
      </c>
      <c r="H49" s="23" t="s">
        <v>136</v>
      </c>
      <c r="I49" s="23" t="s">
        <v>737</v>
      </c>
      <c r="J49" s="23" t="s">
        <v>738</v>
      </c>
      <c r="K49" s="24">
        <v>119.4581987</v>
      </c>
      <c r="L49" s="24">
        <v>34.6880666</v>
      </c>
      <c r="M49" s="28">
        <v>1126</v>
      </c>
      <c r="N49" s="28" t="s">
        <v>739</v>
      </c>
      <c r="O49" s="30">
        <v>41270</v>
      </c>
      <c r="P49" s="30">
        <v>43099</v>
      </c>
      <c r="Q49" s="30">
        <v>43146</v>
      </c>
      <c r="R49" s="23">
        <v>2017</v>
      </c>
      <c r="S49" s="23"/>
    </row>
    <row r="50" spans="1:19">
      <c r="A50" s="26">
        <v>49</v>
      </c>
      <c r="B50" s="26" t="s">
        <v>743</v>
      </c>
      <c r="C50" s="27" t="s">
        <v>735</v>
      </c>
      <c r="D50" s="27" t="s">
        <v>658</v>
      </c>
      <c r="E50" s="27" t="s">
        <v>632</v>
      </c>
      <c r="F50" s="26" t="s">
        <v>742</v>
      </c>
      <c r="G50" s="26" t="s">
        <v>623</v>
      </c>
      <c r="H50" s="23" t="s">
        <v>136</v>
      </c>
      <c r="I50" s="23" t="s">
        <v>737</v>
      </c>
      <c r="J50" s="23" t="s">
        <v>738</v>
      </c>
      <c r="K50" s="24">
        <v>119.4581987</v>
      </c>
      <c r="L50" s="24">
        <v>34.6880666</v>
      </c>
      <c r="M50" s="26">
        <v>1126</v>
      </c>
      <c r="N50" s="26" t="s">
        <v>739</v>
      </c>
      <c r="O50" s="29">
        <v>41544</v>
      </c>
      <c r="P50" s="29">
        <v>43400</v>
      </c>
      <c r="Q50" s="29">
        <v>43456</v>
      </c>
      <c r="R50" s="23">
        <v>2018</v>
      </c>
      <c r="S50" s="23"/>
    </row>
    <row r="51" spans="1:19">
      <c r="A51" s="28">
        <v>50</v>
      </c>
      <c r="B51" s="28" t="s">
        <v>744</v>
      </c>
      <c r="C51" s="27" t="s">
        <v>735</v>
      </c>
      <c r="D51" s="27" t="s">
        <v>745</v>
      </c>
      <c r="E51" s="27" t="s">
        <v>634</v>
      </c>
      <c r="F51" s="28" t="s">
        <v>746</v>
      </c>
      <c r="G51" s="28" t="s">
        <v>623</v>
      </c>
      <c r="H51" s="23" t="s">
        <v>136</v>
      </c>
      <c r="I51" s="23" t="s">
        <v>737</v>
      </c>
      <c r="J51" s="23" t="s">
        <v>738</v>
      </c>
      <c r="K51" s="24">
        <v>119.4581987</v>
      </c>
      <c r="L51" s="24">
        <v>34.6880666</v>
      </c>
      <c r="M51" s="28">
        <v>1118</v>
      </c>
      <c r="N51" s="28" t="s">
        <v>739</v>
      </c>
      <c r="O51" s="30">
        <v>42365</v>
      </c>
      <c r="P51" s="30">
        <v>44051</v>
      </c>
      <c r="Q51" s="30">
        <v>44082</v>
      </c>
      <c r="R51" s="23">
        <v>2020</v>
      </c>
      <c r="S51" s="23"/>
    </row>
    <row r="52" spans="1:19">
      <c r="A52" s="26">
        <v>51</v>
      </c>
      <c r="B52" s="26" t="s">
        <v>747</v>
      </c>
      <c r="C52" s="27" t="s">
        <v>735</v>
      </c>
      <c r="D52" s="27" t="s">
        <v>745</v>
      </c>
      <c r="E52" s="27" t="s">
        <v>637</v>
      </c>
      <c r="F52" s="26" t="s">
        <v>746</v>
      </c>
      <c r="G52" s="26" t="s">
        <v>623</v>
      </c>
      <c r="H52" s="23" t="s">
        <v>136</v>
      </c>
      <c r="I52" s="23" t="s">
        <v>737</v>
      </c>
      <c r="J52" s="23" t="s">
        <v>738</v>
      </c>
      <c r="K52" s="24">
        <v>119.4581987</v>
      </c>
      <c r="L52" s="24">
        <v>34.6880666</v>
      </c>
      <c r="M52" s="26">
        <v>1118</v>
      </c>
      <c r="N52" s="26" t="s">
        <v>739</v>
      </c>
      <c r="O52" s="29">
        <v>42620</v>
      </c>
      <c r="P52" s="29">
        <v>44327</v>
      </c>
      <c r="Q52" s="29">
        <v>44349</v>
      </c>
      <c r="R52" s="23">
        <v>2021</v>
      </c>
      <c r="S52" s="23"/>
    </row>
    <row r="53" spans="1:19">
      <c r="A53" s="28">
        <v>52</v>
      </c>
      <c r="B53" s="28" t="s">
        <v>748</v>
      </c>
      <c r="C53" s="27" t="s">
        <v>735</v>
      </c>
      <c r="D53" s="27" t="s">
        <v>749</v>
      </c>
      <c r="E53" s="27" t="s">
        <v>750</v>
      </c>
      <c r="F53" s="28" t="s">
        <v>751</v>
      </c>
      <c r="G53" s="28" t="s">
        <v>96</v>
      </c>
      <c r="H53" s="23" t="s">
        <v>136</v>
      </c>
      <c r="I53" s="23" t="s">
        <v>737</v>
      </c>
      <c r="J53" s="23" t="s">
        <v>738</v>
      </c>
      <c r="K53" s="24">
        <v>119.4581987</v>
      </c>
      <c r="L53" s="24">
        <v>34.6880666</v>
      </c>
      <c r="M53" s="28">
        <v>1274</v>
      </c>
      <c r="N53" s="28" t="s">
        <v>739</v>
      </c>
      <c r="O53" s="30">
        <v>44335</v>
      </c>
      <c r="P53" s="30"/>
      <c r="Q53" s="30"/>
      <c r="R53" s="43">
        <v>2029</v>
      </c>
      <c r="S53" s="23"/>
    </row>
    <row r="54" spans="1:19">
      <c r="A54" s="26">
        <v>53</v>
      </c>
      <c r="B54" s="26" t="s">
        <v>752</v>
      </c>
      <c r="C54" s="27" t="s">
        <v>735</v>
      </c>
      <c r="D54" s="27" t="s">
        <v>749</v>
      </c>
      <c r="E54" s="27" t="s">
        <v>753</v>
      </c>
      <c r="F54" s="26" t="s">
        <v>751</v>
      </c>
      <c r="G54" s="26" t="s">
        <v>96</v>
      </c>
      <c r="H54" s="23" t="s">
        <v>136</v>
      </c>
      <c r="I54" s="23" t="s">
        <v>737</v>
      </c>
      <c r="J54" s="23" t="s">
        <v>738</v>
      </c>
      <c r="K54" s="24">
        <v>119.4581987</v>
      </c>
      <c r="L54" s="24">
        <v>34.6880666</v>
      </c>
      <c r="M54" s="26">
        <v>1265</v>
      </c>
      <c r="N54" s="26" t="s">
        <v>739</v>
      </c>
      <c r="O54" s="29">
        <v>44617</v>
      </c>
      <c r="P54" s="29"/>
      <c r="Q54" s="29"/>
      <c r="R54" s="23"/>
      <c r="S54" s="23"/>
    </row>
    <row r="55" spans="1:19">
      <c r="A55" s="28">
        <v>54</v>
      </c>
      <c r="B55" s="26" t="s">
        <v>754</v>
      </c>
      <c r="C55" s="27" t="s">
        <v>755</v>
      </c>
      <c r="D55" s="27" t="s">
        <v>620</v>
      </c>
      <c r="E55" s="27" t="s">
        <v>621</v>
      </c>
      <c r="F55" s="26" t="s">
        <v>756</v>
      </c>
      <c r="G55" s="26" t="s">
        <v>623</v>
      </c>
      <c r="H55" s="23" t="s">
        <v>139</v>
      </c>
      <c r="I55" s="23" t="s">
        <v>757</v>
      </c>
      <c r="J55" s="23" t="s">
        <v>758</v>
      </c>
      <c r="K55" s="24">
        <v>121.4766563</v>
      </c>
      <c r="L55" s="24">
        <v>39.7970864</v>
      </c>
      <c r="M55" s="26">
        <v>1118.79</v>
      </c>
      <c r="N55" s="26" t="s">
        <v>759</v>
      </c>
      <c r="O55" s="29">
        <v>39312</v>
      </c>
      <c r="P55" s="29">
        <v>41312</v>
      </c>
      <c r="Q55" s="29">
        <v>41431</v>
      </c>
      <c r="R55" s="23">
        <v>2013</v>
      </c>
      <c r="S55" s="23"/>
    </row>
    <row r="56" spans="1:19">
      <c r="A56" s="26">
        <v>55</v>
      </c>
      <c r="B56" s="28" t="s">
        <v>760</v>
      </c>
      <c r="C56" s="27" t="s">
        <v>755</v>
      </c>
      <c r="D56" s="27" t="s">
        <v>620</v>
      </c>
      <c r="E56" s="27" t="s">
        <v>628</v>
      </c>
      <c r="F56" s="28" t="s">
        <v>756</v>
      </c>
      <c r="G56" s="28" t="s">
        <v>623</v>
      </c>
      <c r="H56" s="23" t="s">
        <v>139</v>
      </c>
      <c r="I56" s="23" t="s">
        <v>757</v>
      </c>
      <c r="J56" s="23" t="s">
        <v>758</v>
      </c>
      <c r="K56" s="24">
        <v>121.4766563</v>
      </c>
      <c r="L56" s="24">
        <v>39.7970864</v>
      </c>
      <c r="M56" s="28">
        <v>1118.79</v>
      </c>
      <c r="N56" s="28" t="s">
        <v>759</v>
      </c>
      <c r="O56" s="30">
        <v>39535</v>
      </c>
      <c r="P56" s="30">
        <v>41601</v>
      </c>
      <c r="Q56" s="30">
        <v>41772</v>
      </c>
      <c r="R56" s="23">
        <v>2013</v>
      </c>
      <c r="S56" s="23"/>
    </row>
    <row r="57" spans="1:19">
      <c r="A57" s="28">
        <v>56</v>
      </c>
      <c r="B57" s="26" t="s">
        <v>761</v>
      </c>
      <c r="C57" s="27" t="s">
        <v>755</v>
      </c>
      <c r="D57" s="27" t="s">
        <v>620</v>
      </c>
      <c r="E57" s="27" t="s">
        <v>630</v>
      </c>
      <c r="F57" s="26" t="s">
        <v>756</v>
      </c>
      <c r="G57" s="26" t="s">
        <v>623</v>
      </c>
      <c r="H57" s="23" t="s">
        <v>139</v>
      </c>
      <c r="I57" s="23" t="s">
        <v>757</v>
      </c>
      <c r="J57" s="23" t="s">
        <v>758</v>
      </c>
      <c r="K57" s="24">
        <v>121.4766563</v>
      </c>
      <c r="L57" s="24">
        <v>39.7970864</v>
      </c>
      <c r="M57" s="26">
        <v>1118.79</v>
      </c>
      <c r="N57" s="26" t="s">
        <v>759</v>
      </c>
      <c r="O57" s="29">
        <v>39879</v>
      </c>
      <c r="P57" s="29">
        <v>42086</v>
      </c>
      <c r="Q57" s="29">
        <v>42232</v>
      </c>
      <c r="R57" s="23">
        <v>2015</v>
      </c>
      <c r="S57" s="23"/>
    </row>
    <row r="58" spans="1:19">
      <c r="A58" s="26">
        <v>57</v>
      </c>
      <c r="B58" s="28" t="s">
        <v>762</v>
      </c>
      <c r="C58" s="27" t="s">
        <v>755</v>
      </c>
      <c r="D58" s="27" t="s">
        <v>620</v>
      </c>
      <c r="E58" s="27" t="s">
        <v>632</v>
      </c>
      <c r="F58" s="28" t="s">
        <v>756</v>
      </c>
      <c r="G58" s="28" t="s">
        <v>623</v>
      </c>
      <c r="H58" s="23" t="s">
        <v>139</v>
      </c>
      <c r="I58" s="23" t="s">
        <v>757</v>
      </c>
      <c r="J58" s="23" t="s">
        <v>758</v>
      </c>
      <c r="K58" s="24">
        <v>121.4766563</v>
      </c>
      <c r="L58" s="24">
        <v>39.7970864</v>
      </c>
      <c r="M58" s="28">
        <v>1118.79</v>
      </c>
      <c r="N58" s="28" t="s">
        <v>759</v>
      </c>
      <c r="O58" s="30">
        <v>40040</v>
      </c>
      <c r="P58" s="30">
        <v>42461</v>
      </c>
      <c r="Q58" s="30">
        <v>42529</v>
      </c>
      <c r="R58" s="23">
        <v>2016</v>
      </c>
      <c r="S58" s="23"/>
    </row>
    <row r="59" spans="1:19">
      <c r="A59" s="28">
        <v>58</v>
      </c>
      <c r="B59" s="26" t="s">
        <v>763</v>
      </c>
      <c r="C59" s="27" t="s">
        <v>755</v>
      </c>
      <c r="D59" s="27" t="s">
        <v>658</v>
      </c>
      <c r="E59" s="27" t="s">
        <v>634</v>
      </c>
      <c r="F59" s="26" t="s">
        <v>764</v>
      </c>
      <c r="G59" s="26" t="s">
        <v>623</v>
      </c>
      <c r="H59" s="23" t="s">
        <v>139</v>
      </c>
      <c r="I59" s="23" t="s">
        <v>757</v>
      </c>
      <c r="J59" s="23" t="s">
        <v>758</v>
      </c>
      <c r="K59" s="24">
        <v>121.4766563</v>
      </c>
      <c r="L59" s="24">
        <v>39.7970864</v>
      </c>
      <c r="M59" s="26">
        <v>1118.79</v>
      </c>
      <c r="N59" s="26" t="s">
        <v>759</v>
      </c>
      <c r="O59" s="29">
        <v>42092</v>
      </c>
      <c r="P59" s="29">
        <v>44372</v>
      </c>
      <c r="Q59" s="29">
        <v>44408</v>
      </c>
      <c r="R59" s="23">
        <v>2021</v>
      </c>
      <c r="S59" s="23"/>
    </row>
    <row r="60" spans="1:19">
      <c r="A60" s="26">
        <v>59</v>
      </c>
      <c r="B60" s="28" t="s">
        <v>765</v>
      </c>
      <c r="C60" s="27" t="s">
        <v>755</v>
      </c>
      <c r="D60" s="27" t="s">
        <v>658</v>
      </c>
      <c r="E60" s="27" t="s">
        <v>637</v>
      </c>
      <c r="F60" s="28" t="s">
        <v>764</v>
      </c>
      <c r="G60" s="28" t="s">
        <v>623</v>
      </c>
      <c r="H60" s="23" t="s">
        <v>139</v>
      </c>
      <c r="I60" s="23" t="s">
        <v>757</v>
      </c>
      <c r="J60" s="23" t="s">
        <v>758</v>
      </c>
      <c r="K60" s="24">
        <v>121.4766563</v>
      </c>
      <c r="L60" s="24">
        <v>39.7970864</v>
      </c>
      <c r="M60" s="28">
        <v>1119</v>
      </c>
      <c r="N60" s="28" t="s">
        <v>759</v>
      </c>
      <c r="O60" s="30">
        <v>42209</v>
      </c>
      <c r="P60" s="30">
        <v>44683</v>
      </c>
      <c r="Q60" s="30">
        <v>44735</v>
      </c>
      <c r="R60" s="23">
        <v>2022</v>
      </c>
      <c r="S60" s="23"/>
    </row>
    <row r="61" spans="1:19">
      <c r="A61" s="28">
        <v>60</v>
      </c>
      <c r="B61" s="28" t="s">
        <v>766</v>
      </c>
      <c r="C61" s="23" t="s">
        <v>767</v>
      </c>
      <c r="D61" s="27" t="s">
        <v>658</v>
      </c>
      <c r="E61" s="27" t="s">
        <v>630</v>
      </c>
      <c r="F61" s="28" t="s">
        <v>751</v>
      </c>
      <c r="G61" s="28" t="s">
        <v>96</v>
      </c>
      <c r="H61" s="23" t="s">
        <v>139</v>
      </c>
      <c r="I61" s="23" t="s">
        <v>768</v>
      </c>
      <c r="J61" s="23" t="s">
        <v>769</v>
      </c>
      <c r="K61" s="24">
        <v>120.5466135</v>
      </c>
      <c r="L61" s="24">
        <v>40.3498397</v>
      </c>
      <c r="M61" s="28">
        <v>1274</v>
      </c>
      <c r="N61" s="28" t="s">
        <v>739</v>
      </c>
      <c r="O61" s="30">
        <v>44405</v>
      </c>
      <c r="P61" s="30"/>
      <c r="Q61" s="30"/>
      <c r="R61" s="23">
        <v>2027</v>
      </c>
      <c r="S61" s="23"/>
    </row>
    <row r="62" spans="1:19">
      <c r="A62" s="26">
        <v>61</v>
      </c>
      <c r="B62" s="26" t="s">
        <v>770</v>
      </c>
      <c r="C62" s="23" t="s">
        <v>767</v>
      </c>
      <c r="D62" s="27" t="s">
        <v>658</v>
      </c>
      <c r="E62" s="27" t="s">
        <v>632</v>
      </c>
      <c r="F62" s="26" t="s">
        <v>751</v>
      </c>
      <c r="G62" s="26" t="s">
        <v>96</v>
      </c>
      <c r="H62" s="23" t="s">
        <v>139</v>
      </c>
      <c r="I62" s="23" t="s">
        <v>768</v>
      </c>
      <c r="J62" s="23" t="s">
        <v>769</v>
      </c>
      <c r="K62" s="24">
        <v>120.5466135</v>
      </c>
      <c r="L62" s="24">
        <v>40.3498397</v>
      </c>
      <c r="M62" s="26">
        <v>1274</v>
      </c>
      <c r="N62" s="26" t="s">
        <v>739</v>
      </c>
      <c r="O62" s="29">
        <v>44700</v>
      </c>
      <c r="P62" s="29"/>
      <c r="Q62" s="29"/>
      <c r="R62" s="23">
        <v>2028</v>
      </c>
      <c r="S62" s="23"/>
    </row>
    <row r="63" spans="1:19">
      <c r="A63" s="28">
        <v>62</v>
      </c>
      <c r="B63" s="26" t="s">
        <v>771</v>
      </c>
      <c r="C63" s="23" t="s">
        <v>772</v>
      </c>
      <c r="D63" s="27" t="s">
        <v>620</v>
      </c>
      <c r="E63" s="27" t="s">
        <v>621</v>
      </c>
      <c r="F63" s="26" t="s">
        <v>773</v>
      </c>
      <c r="G63" s="26" t="s">
        <v>96</v>
      </c>
      <c r="H63" s="23" t="s">
        <v>126</v>
      </c>
      <c r="I63" s="23" t="s">
        <v>774</v>
      </c>
      <c r="J63" s="23" t="s">
        <v>775</v>
      </c>
      <c r="K63" s="24">
        <v>122.5189394</v>
      </c>
      <c r="L63" s="24">
        <v>36.9656812</v>
      </c>
      <c r="M63" s="26">
        <v>1534</v>
      </c>
      <c r="N63" s="26" t="s">
        <v>776</v>
      </c>
      <c r="O63" s="29">
        <v>43556</v>
      </c>
      <c r="P63" s="29"/>
      <c r="Q63" s="29"/>
      <c r="R63" s="43">
        <v>2025</v>
      </c>
      <c r="S63" s="23"/>
    </row>
    <row r="64" spans="1:19">
      <c r="A64" s="26">
        <v>63</v>
      </c>
      <c r="B64" s="28" t="s">
        <v>777</v>
      </c>
      <c r="C64" s="23" t="s">
        <v>772</v>
      </c>
      <c r="D64" s="27" t="s">
        <v>620</v>
      </c>
      <c r="E64" s="27" t="s">
        <v>628</v>
      </c>
      <c r="F64" s="28" t="s">
        <v>773</v>
      </c>
      <c r="G64" s="28" t="s">
        <v>96</v>
      </c>
      <c r="H64" s="23" t="s">
        <v>126</v>
      </c>
      <c r="I64" s="23" t="s">
        <v>774</v>
      </c>
      <c r="J64" s="23" t="s">
        <v>775</v>
      </c>
      <c r="K64" s="24">
        <v>122.5189394</v>
      </c>
      <c r="L64" s="24">
        <v>36.9656812</v>
      </c>
      <c r="M64" s="28">
        <v>1534</v>
      </c>
      <c r="N64" s="28" t="s">
        <v>776</v>
      </c>
      <c r="O64" s="30">
        <v>43770</v>
      </c>
      <c r="P64" s="30"/>
      <c r="Q64" s="30"/>
      <c r="R64" s="43">
        <v>2025</v>
      </c>
      <c r="S64" s="23"/>
    </row>
    <row r="65" spans="1:19">
      <c r="A65" s="28">
        <v>64</v>
      </c>
      <c r="B65" s="26" t="s">
        <v>778</v>
      </c>
      <c r="C65" s="27" t="s">
        <v>779</v>
      </c>
      <c r="D65" s="27" t="s">
        <v>620</v>
      </c>
      <c r="E65" s="27" t="s">
        <v>621</v>
      </c>
      <c r="F65" s="26" t="s">
        <v>780</v>
      </c>
      <c r="G65" s="26" t="s">
        <v>623</v>
      </c>
      <c r="H65" s="23" t="s">
        <v>126</v>
      </c>
      <c r="I65" s="23" t="s">
        <v>781</v>
      </c>
      <c r="J65" s="23" t="s">
        <v>782</v>
      </c>
      <c r="K65" s="24">
        <v>121.3812616</v>
      </c>
      <c r="L65" s="24">
        <v>36.7091849</v>
      </c>
      <c r="M65" s="26">
        <v>1253</v>
      </c>
      <c r="N65" s="26" t="s">
        <v>776</v>
      </c>
      <c r="O65" s="29">
        <v>40080</v>
      </c>
      <c r="P65" s="29">
        <v>43329</v>
      </c>
      <c r="Q65" s="29">
        <v>43395</v>
      </c>
      <c r="R65" s="23">
        <v>2018</v>
      </c>
      <c r="S65" s="23"/>
    </row>
    <row r="66" spans="1:19">
      <c r="A66" s="26">
        <v>65</v>
      </c>
      <c r="B66" s="28" t="s">
        <v>783</v>
      </c>
      <c r="C66" s="27" t="s">
        <v>779</v>
      </c>
      <c r="D66" s="27" t="s">
        <v>620</v>
      </c>
      <c r="E66" s="27" t="s">
        <v>628</v>
      </c>
      <c r="F66" s="28" t="s">
        <v>780</v>
      </c>
      <c r="G66" s="28" t="s">
        <v>623</v>
      </c>
      <c r="H66" s="23" t="s">
        <v>126</v>
      </c>
      <c r="I66" s="23" t="s">
        <v>781</v>
      </c>
      <c r="J66" s="23" t="s">
        <v>782</v>
      </c>
      <c r="K66" s="24">
        <v>121.3812616</v>
      </c>
      <c r="L66" s="24">
        <v>36.7091849</v>
      </c>
      <c r="M66" s="28">
        <v>1253</v>
      </c>
      <c r="N66" s="28" t="s">
        <v>776</v>
      </c>
      <c r="O66" s="30">
        <v>40350</v>
      </c>
      <c r="P66" s="30">
        <v>43386</v>
      </c>
      <c r="Q66" s="30">
        <v>43474</v>
      </c>
      <c r="R66" s="23">
        <v>2018</v>
      </c>
      <c r="S66" s="23"/>
    </row>
    <row r="67" spans="1:19">
      <c r="A67" s="28">
        <v>66</v>
      </c>
      <c r="B67" s="26" t="s">
        <v>784</v>
      </c>
      <c r="C67" s="27" t="s">
        <v>779</v>
      </c>
      <c r="D67" s="27" t="s">
        <v>658</v>
      </c>
      <c r="E67" s="27" t="s">
        <v>719</v>
      </c>
      <c r="F67" s="26" t="s">
        <v>785</v>
      </c>
      <c r="G67" s="26" t="s">
        <v>96</v>
      </c>
      <c r="H67" s="23" t="s">
        <v>126</v>
      </c>
      <c r="I67" s="23" t="s">
        <v>781</v>
      </c>
      <c r="J67" s="23" t="s">
        <v>782</v>
      </c>
      <c r="K67" s="24">
        <v>121.3812616</v>
      </c>
      <c r="L67" s="24">
        <v>36.7091849</v>
      </c>
      <c r="M67" s="26">
        <v>1253</v>
      </c>
      <c r="N67" s="26" t="s">
        <v>776</v>
      </c>
      <c r="O67" s="29">
        <v>44756</v>
      </c>
      <c r="P67" s="29"/>
      <c r="Q67" s="29"/>
      <c r="R67" s="23">
        <v>2028</v>
      </c>
      <c r="S67" s="23"/>
    </row>
    <row r="68" spans="1:19">
      <c r="A68" s="26">
        <v>67</v>
      </c>
      <c r="B68" s="28" t="s">
        <v>786</v>
      </c>
      <c r="C68" s="27" t="s">
        <v>779</v>
      </c>
      <c r="D68" s="27" t="s">
        <v>658</v>
      </c>
      <c r="E68" s="27" t="s">
        <v>721</v>
      </c>
      <c r="F68" s="28" t="s">
        <v>785</v>
      </c>
      <c r="G68" s="28" t="s">
        <v>96</v>
      </c>
      <c r="H68" s="23" t="s">
        <v>126</v>
      </c>
      <c r="I68" s="23" t="s">
        <v>781</v>
      </c>
      <c r="J68" s="23" t="s">
        <v>782</v>
      </c>
      <c r="K68" s="24">
        <v>121.3812616</v>
      </c>
      <c r="L68" s="24">
        <v>36.7091849</v>
      </c>
      <c r="M68" s="28">
        <v>1253</v>
      </c>
      <c r="N68" s="28" t="s">
        <v>776</v>
      </c>
      <c r="O68" s="30">
        <v>44756</v>
      </c>
      <c r="P68" s="30"/>
      <c r="Q68" s="30"/>
      <c r="R68" s="23">
        <v>2028</v>
      </c>
      <c r="S68" s="23"/>
    </row>
    <row r="69" spans="1:19">
      <c r="A69" s="28">
        <v>68</v>
      </c>
      <c r="B69" s="26" t="s">
        <v>787</v>
      </c>
      <c r="C69" s="27" t="s">
        <v>788</v>
      </c>
      <c r="D69" s="27" t="s">
        <v>620</v>
      </c>
      <c r="E69" s="27" t="s">
        <v>621</v>
      </c>
      <c r="F69" s="26" t="s">
        <v>789</v>
      </c>
      <c r="G69" s="26" t="s">
        <v>623</v>
      </c>
      <c r="H69" s="23" t="s">
        <v>126</v>
      </c>
      <c r="I69" s="23" t="s">
        <v>774</v>
      </c>
      <c r="J69" s="23" t="s">
        <v>775</v>
      </c>
      <c r="K69" s="24">
        <v>122.5189394</v>
      </c>
      <c r="L69" s="24">
        <v>36.9656812</v>
      </c>
      <c r="M69" s="26">
        <v>211</v>
      </c>
      <c r="N69" s="26" t="s">
        <v>790</v>
      </c>
      <c r="O69" s="29">
        <v>41252</v>
      </c>
      <c r="P69" s="29">
        <v>44544</v>
      </c>
      <c r="Q69" s="29">
        <v>45266</v>
      </c>
      <c r="R69" s="23">
        <v>2023</v>
      </c>
      <c r="S69" s="23"/>
    </row>
    <row r="70" spans="1:19">
      <c r="A70" s="26">
        <v>69</v>
      </c>
      <c r="B70" s="26" t="s">
        <v>791</v>
      </c>
      <c r="C70" s="27" t="s">
        <v>792</v>
      </c>
      <c r="D70" s="27" t="s">
        <v>620</v>
      </c>
      <c r="E70" s="27" t="s">
        <v>621</v>
      </c>
      <c r="F70" s="26" t="s">
        <v>746</v>
      </c>
      <c r="G70" s="26" t="s">
        <v>623</v>
      </c>
      <c r="H70" s="23" t="s">
        <v>138</v>
      </c>
      <c r="I70" s="23" t="s">
        <v>793</v>
      </c>
      <c r="J70" s="23" t="s">
        <v>794</v>
      </c>
      <c r="K70" s="24">
        <v>120.9417771</v>
      </c>
      <c r="L70" s="24">
        <v>30.4404042</v>
      </c>
      <c r="M70" s="26">
        <v>1089</v>
      </c>
      <c r="N70" s="26" t="s">
        <v>739</v>
      </c>
      <c r="O70" s="29">
        <v>39808</v>
      </c>
      <c r="P70" s="29">
        <v>41947</v>
      </c>
      <c r="Q70" s="29">
        <v>41988</v>
      </c>
      <c r="R70" s="23">
        <v>2014</v>
      </c>
      <c r="S70" s="23"/>
    </row>
    <row r="71" spans="1:19">
      <c r="A71" s="28">
        <v>70</v>
      </c>
      <c r="B71" s="28" t="s">
        <v>795</v>
      </c>
      <c r="C71" s="27" t="s">
        <v>792</v>
      </c>
      <c r="D71" s="27" t="s">
        <v>620</v>
      </c>
      <c r="E71" s="27" t="s">
        <v>628</v>
      </c>
      <c r="F71" s="28" t="s">
        <v>746</v>
      </c>
      <c r="G71" s="28" t="s">
        <v>623</v>
      </c>
      <c r="H71" s="23" t="s">
        <v>138</v>
      </c>
      <c r="I71" s="23" t="s">
        <v>793</v>
      </c>
      <c r="J71" s="23" t="s">
        <v>794</v>
      </c>
      <c r="K71" s="24">
        <v>120.9417771</v>
      </c>
      <c r="L71" s="24">
        <v>30.4404042</v>
      </c>
      <c r="M71" s="28">
        <v>1089</v>
      </c>
      <c r="N71" s="28" t="s">
        <v>739</v>
      </c>
      <c r="O71" s="30">
        <v>40011</v>
      </c>
      <c r="P71" s="30">
        <v>42016</v>
      </c>
      <c r="Q71" s="30">
        <v>42047</v>
      </c>
      <c r="R71" s="23">
        <v>2015</v>
      </c>
      <c r="S71" s="23"/>
    </row>
    <row r="72" spans="1:19">
      <c r="A72" s="26">
        <v>71</v>
      </c>
      <c r="B72" s="26" t="s">
        <v>796</v>
      </c>
      <c r="C72" s="27" t="s">
        <v>797</v>
      </c>
      <c r="D72" s="27" t="s">
        <v>658</v>
      </c>
      <c r="E72" s="27" t="s">
        <v>621</v>
      </c>
      <c r="F72" s="26" t="s">
        <v>798</v>
      </c>
      <c r="G72" s="26" t="s">
        <v>623</v>
      </c>
      <c r="H72" s="23" t="s">
        <v>138</v>
      </c>
      <c r="I72" s="23" t="s">
        <v>793</v>
      </c>
      <c r="J72" s="23" t="s">
        <v>794</v>
      </c>
      <c r="K72" s="24">
        <v>120.950559</v>
      </c>
      <c r="L72" s="24">
        <v>30.4412792</v>
      </c>
      <c r="M72" s="26">
        <v>650</v>
      </c>
      <c r="N72" s="26" t="s">
        <v>739</v>
      </c>
      <c r="O72" s="29">
        <v>35218</v>
      </c>
      <c r="P72" s="29">
        <v>37293</v>
      </c>
      <c r="Q72" s="29">
        <v>37361</v>
      </c>
      <c r="R72" s="23">
        <v>2002</v>
      </c>
      <c r="S72" s="23"/>
    </row>
    <row r="73" spans="1:19">
      <c r="A73" s="28">
        <v>72</v>
      </c>
      <c r="B73" s="28" t="s">
        <v>799</v>
      </c>
      <c r="C73" s="27" t="s">
        <v>797</v>
      </c>
      <c r="D73" s="27" t="s">
        <v>658</v>
      </c>
      <c r="E73" s="27" t="s">
        <v>628</v>
      </c>
      <c r="F73" s="28" t="s">
        <v>798</v>
      </c>
      <c r="G73" s="28" t="s">
        <v>623</v>
      </c>
      <c r="H73" s="23" t="s">
        <v>138</v>
      </c>
      <c r="I73" s="23" t="s">
        <v>793</v>
      </c>
      <c r="J73" s="23" t="s">
        <v>794</v>
      </c>
      <c r="K73" s="24">
        <v>120.950559</v>
      </c>
      <c r="L73" s="24">
        <v>30.4412792</v>
      </c>
      <c r="M73" s="28">
        <v>650</v>
      </c>
      <c r="N73" s="28" t="s">
        <v>739</v>
      </c>
      <c r="O73" s="30">
        <v>35521</v>
      </c>
      <c r="P73" s="30">
        <v>38057</v>
      </c>
      <c r="Q73" s="30">
        <v>38110</v>
      </c>
      <c r="R73" s="23">
        <v>2004</v>
      </c>
      <c r="S73" s="23"/>
    </row>
    <row r="74" spans="1:19">
      <c r="A74" s="26">
        <v>73</v>
      </c>
      <c r="B74" s="26" t="s">
        <v>800</v>
      </c>
      <c r="C74" s="27" t="s">
        <v>797</v>
      </c>
      <c r="D74" s="27" t="s">
        <v>658</v>
      </c>
      <c r="E74" s="27" t="s">
        <v>630</v>
      </c>
      <c r="F74" s="26" t="s">
        <v>798</v>
      </c>
      <c r="G74" s="26" t="s">
        <v>623</v>
      </c>
      <c r="H74" s="23" t="s">
        <v>138</v>
      </c>
      <c r="I74" s="23" t="s">
        <v>793</v>
      </c>
      <c r="J74" s="23" t="s">
        <v>794</v>
      </c>
      <c r="K74" s="24">
        <v>120.950559</v>
      </c>
      <c r="L74" s="24">
        <v>30.4412792</v>
      </c>
      <c r="M74" s="26">
        <v>660</v>
      </c>
      <c r="N74" s="26" t="s">
        <v>739</v>
      </c>
      <c r="O74" s="29">
        <v>38835</v>
      </c>
      <c r="P74" s="29">
        <v>40391</v>
      </c>
      <c r="Q74" s="29">
        <v>40456</v>
      </c>
      <c r="R74" s="23">
        <v>2010</v>
      </c>
      <c r="S74" s="23"/>
    </row>
    <row r="75" spans="1:19">
      <c r="A75" s="28">
        <v>74</v>
      </c>
      <c r="B75" s="28" t="s">
        <v>801</v>
      </c>
      <c r="C75" s="27" t="s">
        <v>797</v>
      </c>
      <c r="D75" s="27" t="s">
        <v>658</v>
      </c>
      <c r="E75" s="27" t="s">
        <v>632</v>
      </c>
      <c r="F75" s="28" t="s">
        <v>798</v>
      </c>
      <c r="G75" s="28" t="s">
        <v>623</v>
      </c>
      <c r="H75" s="23" t="s">
        <v>138</v>
      </c>
      <c r="I75" s="23" t="s">
        <v>793</v>
      </c>
      <c r="J75" s="23" t="s">
        <v>794</v>
      </c>
      <c r="K75" s="24">
        <v>120.950559</v>
      </c>
      <c r="L75" s="24">
        <v>30.4412792</v>
      </c>
      <c r="M75" s="28">
        <v>660</v>
      </c>
      <c r="N75" s="28" t="s">
        <v>739</v>
      </c>
      <c r="O75" s="30">
        <v>39110</v>
      </c>
      <c r="P75" s="30">
        <v>40872</v>
      </c>
      <c r="Q75" s="30">
        <v>40907</v>
      </c>
      <c r="R75" s="23">
        <v>2011</v>
      </c>
      <c r="S75" s="23"/>
    </row>
    <row r="76" spans="1:19">
      <c r="A76" s="26">
        <v>75</v>
      </c>
      <c r="B76" s="26" t="s">
        <v>802</v>
      </c>
      <c r="C76" s="27" t="s">
        <v>803</v>
      </c>
      <c r="D76" s="27" t="s">
        <v>745</v>
      </c>
      <c r="E76" s="27" t="s">
        <v>621</v>
      </c>
      <c r="F76" s="26" t="s">
        <v>804</v>
      </c>
      <c r="G76" s="26" t="s">
        <v>623</v>
      </c>
      <c r="H76" s="23" t="s">
        <v>138</v>
      </c>
      <c r="I76" s="23" t="s">
        <v>793</v>
      </c>
      <c r="J76" s="23" t="s">
        <v>794</v>
      </c>
      <c r="K76" s="24">
        <v>120.9584601</v>
      </c>
      <c r="L76" s="24">
        <v>30.4361652</v>
      </c>
      <c r="M76" s="26">
        <v>728</v>
      </c>
      <c r="N76" s="26" t="s">
        <v>739</v>
      </c>
      <c r="O76" s="29">
        <v>35954</v>
      </c>
      <c r="P76" s="29">
        <v>37579</v>
      </c>
      <c r="Q76" s="29">
        <v>37621</v>
      </c>
      <c r="R76" s="23">
        <v>2002</v>
      </c>
      <c r="S76" s="23"/>
    </row>
    <row r="77" spans="1:19">
      <c r="A77" s="28">
        <v>76</v>
      </c>
      <c r="B77" s="28" t="s">
        <v>805</v>
      </c>
      <c r="C77" s="27" t="s">
        <v>803</v>
      </c>
      <c r="D77" s="27" t="s">
        <v>745</v>
      </c>
      <c r="E77" s="27" t="s">
        <v>628</v>
      </c>
      <c r="F77" s="28" t="s">
        <v>804</v>
      </c>
      <c r="G77" s="28" t="s">
        <v>623</v>
      </c>
      <c r="H77" s="23" t="s">
        <v>138</v>
      </c>
      <c r="I77" s="23" t="s">
        <v>793</v>
      </c>
      <c r="J77" s="23" t="s">
        <v>794</v>
      </c>
      <c r="K77" s="24">
        <v>120.9584601</v>
      </c>
      <c r="L77" s="24">
        <v>30.4361652</v>
      </c>
      <c r="M77" s="28">
        <v>728</v>
      </c>
      <c r="N77" s="28" t="s">
        <v>739</v>
      </c>
      <c r="O77" s="30">
        <v>36063</v>
      </c>
      <c r="P77" s="30">
        <v>37784</v>
      </c>
      <c r="Q77" s="30">
        <v>37826</v>
      </c>
      <c r="R77" s="23">
        <v>2003</v>
      </c>
      <c r="S77" s="23"/>
    </row>
    <row r="78" spans="1:19">
      <c r="A78" s="26">
        <v>77</v>
      </c>
      <c r="B78" s="26" t="s">
        <v>806</v>
      </c>
      <c r="C78" s="27" t="s">
        <v>807</v>
      </c>
      <c r="D78" s="27" t="s">
        <v>620</v>
      </c>
      <c r="E78" s="27" t="s">
        <v>621</v>
      </c>
      <c r="F78" s="26" t="s">
        <v>808</v>
      </c>
      <c r="G78" s="26" t="s">
        <v>623</v>
      </c>
      <c r="H78" s="23" t="s">
        <v>138</v>
      </c>
      <c r="I78" s="23" t="s">
        <v>793</v>
      </c>
      <c r="J78" s="23" t="s">
        <v>794</v>
      </c>
      <c r="K78" s="24">
        <v>120.9424173</v>
      </c>
      <c r="L78" s="24">
        <v>30.4203734</v>
      </c>
      <c r="M78" s="26">
        <v>330</v>
      </c>
      <c r="N78" s="26" t="s">
        <v>739</v>
      </c>
      <c r="O78" s="29">
        <v>31126</v>
      </c>
      <c r="P78" s="29">
        <v>33587</v>
      </c>
      <c r="Q78" s="29">
        <v>34425</v>
      </c>
      <c r="R78" s="23">
        <v>1991</v>
      </c>
      <c r="S78" s="23"/>
    </row>
    <row r="79" spans="1:19">
      <c r="A79" s="28">
        <v>78</v>
      </c>
      <c r="B79" s="28" t="s">
        <v>809</v>
      </c>
      <c r="C79" s="23" t="s">
        <v>810</v>
      </c>
      <c r="D79" s="27" t="s">
        <v>620</v>
      </c>
      <c r="E79" s="27" t="s">
        <v>621</v>
      </c>
      <c r="F79" s="28" t="s">
        <v>811</v>
      </c>
      <c r="G79" s="28" t="s">
        <v>96</v>
      </c>
      <c r="H79" s="23" t="s">
        <v>138</v>
      </c>
      <c r="I79" s="23" t="s">
        <v>812</v>
      </c>
      <c r="J79" s="23" t="s">
        <v>813</v>
      </c>
      <c r="K79" s="24">
        <v>120.5150979</v>
      </c>
      <c r="L79" s="24">
        <v>27.2012966</v>
      </c>
      <c r="M79" s="28">
        <v>1210</v>
      </c>
      <c r="N79" s="28" t="s">
        <v>759</v>
      </c>
      <c r="O79" s="30">
        <v>44196</v>
      </c>
      <c r="P79" s="30"/>
      <c r="Q79" s="30"/>
      <c r="R79" s="19">
        <v>2026</v>
      </c>
      <c r="S79" s="23"/>
    </row>
    <row r="80" spans="1:19">
      <c r="A80" s="26">
        <v>79</v>
      </c>
      <c r="B80" s="26" t="s">
        <v>814</v>
      </c>
      <c r="C80" s="23" t="s">
        <v>810</v>
      </c>
      <c r="D80" s="27" t="s">
        <v>620</v>
      </c>
      <c r="E80" s="27" t="s">
        <v>628</v>
      </c>
      <c r="F80" s="26" t="s">
        <v>811</v>
      </c>
      <c r="G80" s="26" t="s">
        <v>96</v>
      </c>
      <c r="H80" s="23" t="s">
        <v>138</v>
      </c>
      <c r="I80" s="23" t="s">
        <v>812</v>
      </c>
      <c r="J80" s="23" t="s">
        <v>813</v>
      </c>
      <c r="K80" s="24">
        <v>120.5150979</v>
      </c>
      <c r="L80" s="24">
        <v>27.2012966</v>
      </c>
      <c r="M80" s="26">
        <v>1210</v>
      </c>
      <c r="N80" s="26" t="s">
        <v>759</v>
      </c>
      <c r="O80" s="29">
        <v>44560</v>
      </c>
      <c r="P80" s="29"/>
      <c r="Q80" s="29"/>
      <c r="R80" s="23">
        <v>2027</v>
      </c>
      <c r="S80" s="23"/>
    </row>
    <row r="81" spans="1:19">
      <c r="A81" s="28">
        <v>80</v>
      </c>
      <c r="B81" s="28" t="s">
        <v>815</v>
      </c>
      <c r="C81" s="27" t="s">
        <v>816</v>
      </c>
      <c r="D81" s="27" t="s">
        <v>620</v>
      </c>
      <c r="E81" s="27" t="s">
        <v>621</v>
      </c>
      <c r="F81" s="28" t="s">
        <v>780</v>
      </c>
      <c r="G81" s="28" t="s">
        <v>623</v>
      </c>
      <c r="H81" s="23" t="s">
        <v>138</v>
      </c>
      <c r="I81" s="23" t="s">
        <v>817</v>
      </c>
      <c r="J81" s="23" t="s">
        <v>818</v>
      </c>
      <c r="K81" s="24">
        <v>121.638018</v>
      </c>
      <c r="L81" s="24">
        <v>29.1018862</v>
      </c>
      <c r="M81" s="28">
        <v>1251</v>
      </c>
      <c r="N81" s="28" t="s">
        <v>739</v>
      </c>
      <c r="O81" s="30">
        <v>39922</v>
      </c>
      <c r="P81" s="30">
        <v>43281</v>
      </c>
      <c r="Q81" s="30">
        <v>43364</v>
      </c>
      <c r="R81" s="23">
        <v>2018</v>
      </c>
      <c r="S81" s="23"/>
    </row>
    <row r="82" spans="1:19">
      <c r="A82" s="26">
        <v>81</v>
      </c>
      <c r="B82" s="26" t="s">
        <v>819</v>
      </c>
      <c r="C82" s="27" t="s">
        <v>816</v>
      </c>
      <c r="D82" s="27" t="s">
        <v>620</v>
      </c>
      <c r="E82" s="27" t="s">
        <v>628</v>
      </c>
      <c r="F82" s="26" t="s">
        <v>780</v>
      </c>
      <c r="G82" s="26" t="s">
        <v>623</v>
      </c>
      <c r="H82" s="23" t="s">
        <v>138</v>
      </c>
      <c r="I82" s="23" t="s">
        <v>817</v>
      </c>
      <c r="J82" s="23" t="s">
        <v>818</v>
      </c>
      <c r="K82" s="24">
        <v>121.638018</v>
      </c>
      <c r="L82" s="24">
        <v>29.1018862</v>
      </c>
      <c r="M82" s="26">
        <v>1251</v>
      </c>
      <c r="N82" s="26" t="s">
        <v>739</v>
      </c>
      <c r="O82" s="29">
        <v>40162</v>
      </c>
      <c r="P82" s="29">
        <v>43336</v>
      </c>
      <c r="Q82" s="29">
        <v>43409</v>
      </c>
      <c r="R82" s="23">
        <v>2018</v>
      </c>
      <c r="S82" s="23"/>
    </row>
    <row r="83" spans="1:19">
      <c r="A83" s="28">
        <v>82</v>
      </c>
      <c r="B83" s="28" t="s">
        <v>820</v>
      </c>
      <c r="C83" s="23" t="s">
        <v>816</v>
      </c>
      <c r="D83" s="27" t="s">
        <v>658</v>
      </c>
      <c r="E83" s="27" t="s">
        <v>630</v>
      </c>
      <c r="F83" s="28" t="s">
        <v>785</v>
      </c>
      <c r="G83" s="28" t="s">
        <v>96</v>
      </c>
      <c r="H83" s="23" t="s">
        <v>138</v>
      </c>
      <c r="I83" s="23" t="s">
        <v>817</v>
      </c>
      <c r="J83" s="23" t="s">
        <v>818</v>
      </c>
      <c r="K83" s="24">
        <v>121.638018</v>
      </c>
      <c r="L83" s="24">
        <v>29.1018862</v>
      </c>
      <c r="M83" s="28">
        <v>1250</v>
      </c>
      <c r="N83" s="28" t="s">
        <v>739</v>
      </c>
      <c r="O83" s="30">
        <v>44740</v>
      </c>
      <c r="P83" s="30"/>
      <c r="Q83" s="30"/>
      <c r="R83" s="23">
        <v>2027</v>
      </c>
      <c r="S83" s="23"/>
    </row>
    <row r="84" spans="1:19">
      <c r="A84" s="26">
        <v>83</v>
      </c>
      <c r="B84" s="23" t="s">
        <v>821</v>
      </c>
      <c r="C84" s="23" t="s">
        <v>816</v>
      </c>
      <c r="D84" s="27" t="s">
        <v>658</v>
      </c>
      <c r="E84" s="27" t="s">
        <v>632</v>
      </c>
      <c r="F84" s="28" t="s">
        <v>785</v>
      </c>
      <c r="G84" s="28" t="s">
        <v>659</v>
      </c>
      <c r="H84" s="23" t="s">
        <v>138</v>
      </c>
      <c r="I84" s="23" t="s">
        <v>817</v>
      </c>
      <c r="J84" s="23" t="s">
        <v>818</v>
      </c>
      <c r="K84" s="24">
        <v>121.638018</v>
      </c>
      <c r="L84" s="24">
        <v>29.1018862</v>
      </c>
      <c r="M84" s="28">
        <v>1250</v>
      </c>
      <c r="N84" s="28" t="s">
        <v>739</v>
      </c>
      <c r="O84" s="30" t="s">
        <v>822</v>
      </c>
      <c r="P84" s="44"/>
      <c r="Q84" s="44"/>
      <c r="R84" s="43">
        <v>2029</v>
      </c>
      <c r="S84" s="23"/>
    </row>
    <row r="85" spans="1:19">
      <c r="A85" s="28">
        <v>84</v>
      </c>
      <c r="B85" s="23" t="s">
        <v>823</v>
      </c>
      <c r="C85" s="45" t="s">
        <v>824</v>
      </c>
      <c r="D85" s="27" t="s">
        <v>620</v>
      </c>
      <c r="E85" s="27" t="s">
        <v>621</v>
      </c>
      <c r="F85" s="23" t="s">
        <v>825</v>
      </c>
      <c r="G85" s="23" t="s">
        <v>826</v>
      </c>
      <c r="H85" s="45" t="s">
        <v>827</v>
      </c>
      <c r="I85" s="45" t="s">
        <v>828</v>
      </c>
      <c r="J85" s="45" t="s">
        <v>829</v>
      </c>
      <c r="K85" s="46">
        <v>121.5875634</v>
      </c>
      <c r="L85" s="46">
        <v>25.2863566</v>
      </c>
      <c r="M85" s="23">
        <v>604</v>
      </c>
      <c r="N85" s="23"/>
      <c r="O85" s="44">
        <v>26086</v>
      </c>
      <c r="P85" s="44">
        <v>28445</v>
      </c>
      <c r="Q85" s="44">
        <v>28834</v>
      </c>
      <c r="R85" s="23">
        <v>1977</v>
      </c>
      <c r="S85" s="47">
        <v>43440</v>
      </c>
    </row>
    <row r="86" spans="1:19">
      <c r="A86" s="26">
        <v>85</v>
      </c>
      <c r="B86" s="23" t="s">
        <v>830</v>
      </c>
      <c r="C86" s="45" t="s">
        <v>831</v>
      </c>
      <c r="D86" s="27" t="s">
        <v>620</v>
      </c>
      <c r="E86" s="27" t="s">
        <v>628</v>
      </c>
      <c r="F86" s="23" t="s">
        <v>832</v>
      </c>
      <c r="G86" s="23" t="s">
        <v>623</v>
      </c>
      <c r="H86" s="45" t="s">
        <v>827</v>
      </c>
      <c r="I86" s="45" t="s">
        <v>828</v>
      </c>
      <c r="J86" s="45" t="s">
        <v>833</v>
      </c>
      <c r="K86" s="46">
        <v>121.6624599</v>
      </c>
      <c r="L86" s="46">
        <v>25.2026842</v>
      </c>
      <c r="M86" s="23">
        <v>985</v>
      </c>
      <c r="N86" s="23"/>
      <c r="O86" s="44">
        <v>27652</v>
      </c>
      <c r="P86" s="44">
        <v>30131</v>
      </c>
      <c r="Q86" s="44">
        <v>30390</v>
      </c>
      <c r="R86" s="23">
        <v>1982</v>
      </c>
      <c r="S86" s="47">
        <v>44986</v>
      </c>
    </row>
    <row r="87" spans="1:19">
      <c r="A87" s="28">
        <v>86</v>
      </c>
      <c r="B87" s="23" t="s">
        <v>834</v>
      </c>
      <c r="C87" s="45" t="s">
        <v>835</v>
      </c>
      <c r="D87" s="27" t="s">
        <v>620</v>
      </c>
      <c r="E87" s="27" t="s">
        <v>621</v>
      </c>
      <c r="F87" s="23" t="s">
        <v>836</v>
      </c>
      <c r="G87" s="23" t="s">
        <v>623</v>
      </c>
      <c r="H87" s="45" t="s">
        <v>827</v>
      </c>
      <c r="I87" s="45" t="s">
        <v>837</v>
      </c>
      <c r="J87" s="23"/>
      <c r="K87" s="46">
        <v>120.751901</v>
      </c>
      <c r="L87" s="46">
        <v>21.9576402</v>
      </c>
      <c r="M87" s="23">
        <v>936</v>
      </c>
      <c r="N87" s="23"/>
      <c r="O87" s="44">
        <v>28723</v>
      </c>
      <c r="P87" s="44">
        <v>30811</v>
      </c>
      <c r="Q87" s="44">
        <v>30890</v>
      </c>
      <c r="R87" s="23">
        <v>1984</v>
      </c>
      <c r="S87" s="23"/>
    </row>
    <row r="88" spans="1:19">
      <c r="A88" s="26">
        <v>87</v>
      </c>
      <c r="B88" s="23" t="s">
        <v>838</v>
      </c>
      <c r="C88" s="45" t="s">
        <v>835</v>
      </c>
      <c r="D88" s="27" t="s">
        <v>620</v>
      </c>
      <c r="E88" s="27" t="s">
        <v>628</v>
      </c>
      <c r="F88" s="23" t="s">
        <v>836</v>
      </c>
      <c r="G88" s="23" t="s">
        <v>623</v>
      </c>
      <c r="H88" s="45" t="s">
        <v>827</v>
      </c>
      <c r="I88" s="45" t="s">
        <v>837</v>
      </c>
      <c r="J88" s="23"/>
      <c r="K88" s="46">
        <v>120.751901</v>
      </c>
      <c r="L88" s="46">
        <v>21.9576402</v>
      </c>
      <c r="M88" s="23">
        <v>938</v>
      </c>
      <c r="N88" s="23"/>
      <c r="O88" s="44">
        <v>28907</v>
      </c>
      <c r="P88" s="44">
        <v>23798</v>
      </c>
      <c r="Q88" s="44">
        <v>31185</v>
      </c>
      <c r="R88" s="23">
        <v>1965</v>
      </c>
      <c r="S88" s="23"/>
    </row>
    <row r="89" spans="1:19">
      <c r="A89" s="28"/>
      <c r="B89" s="23" t="s">
        <v>839</v>
      </c>
      <c r="C89" s="45" t="s">
        <v>824</v>
      </c>
      <c r="D89" s="27" t="s">
        <v>620</v>
      </c>
      <c r="E89" s="27" t="s">
        <v>628</v>
      </c>
      <c r="F89" s="23" t="s">
        <v>825</v>
      </c>
      <c r="G89" s="23" t="s">
        <v>826</v>
      </c>
      <c r="H89" s="45" t="s">
        <v>827</v>
      </c>
      <c r="I89" s="45" t="s">
        <v>828</v>
      </c>
      <c r="J89" s="45" t="s">
        <v>829</v>
      </c>
      <c r="K89" s="46">
        <v>121.5875634</v>
      </c>
      <c r="L89" s="46">
        <v>25.2863566</v>
      </c>
      <c r="M89" s="23">
        <v>604</v>
      </c>
      <c r="N89" s="23"/>
      <c r="O89" s="44">
        <v>27005</v>
      </c>
      <c r="P89" s="44">
        <v>28843</v>
      </c>
      <c r="Q89" s="44">
        <v>29051</v>
      </c>
      <c r="R89" s="23">
        <v>1978</v>
      </c>
      <c r="S89" s="47">
        <v>43662</v>
      </c>
    </row>
    <row r="90" spans="1:19">
      <c r="A90" s="28"/>
      <c r="B90" s="23" t="s">
        <v>840</v>
      </c>
      <c r="C90" s="45" t="s">
        <v>831</v>
      </c>
      <c r="D90" s="27" t="s">
        <v>620</v>
      </c>
      <c r="E90" s="27" t="s">
        <v>621</v>
      </c>
      <c r="F90" s="23" t="s">
        <v>832</v>
      </c>
      <c r="G90" s="23" t="s">
        <v>826</v>
      </c>
      <c r="H90" s="45" t="s">
        <v>827</v>
      </c>
      <c r="I90" s="45" t="s">
        <v>828</v>
      </c>
      <c r="J90" s="45" t="s">
        <v>833</v>
      </c>
      <c r="K90" s="46">
        <v>121.6624599</v>
      </c>
      <c r="L90" s="46">
        <v>25.2026842</v>
      </c>
      <c r="M90" s="23">
        <v>985</v>
      </c>
      <c r="N90" s="23"/>
      <c r="O90" s="44">
        <v>27717</v>
      </c>
      <c r="P90" s="44">
        <v>29082</v>
      </c>
      <c r="Q90" s="44">
        <v>29948</v>
      </c>
      <c r="R90" s="23">
        <v>1979</v>
      </c>
      <c r="S90" s="47">
        <v>44378</v>
      </c>
    </row>
    <row r="91" spans="1:19">
      <c r="A91" s="23"/>
      <c r="B91" s="23" t="s">
        <v>841</v>
      </c>
      <c r="C91" s="45" t="s">
        <v>842</v>
      </c>
      <c r="D91" s="27" t="s">
        <v>620</v>
      </c>
      <c r="E91" s="27" t="s">
        <v>621</v>
      </c>
      <c r="F91" s="23" t="s">
        <v>843</v>
      </c>
      <c r="G91" s="23" t="s">
        <v>844</v>
      </c>
      <c r="H91" s="45" t="s">
        <v>827</v>
      </c>
      <c r="I91" s="45" t="s">
        <v>828</v>
      </c>
      <c r="J91" s="45" t="s">
        <v>845</v>
      </c>
      <c r="K91" s="46">
        <v>121.9244984</v>
      </c>
      <c r="L91" s="46">
        <v>25.0383246</v>
      </c>
      <c r="M91" s="23">
        <v>1350</v>
      </c>
      <c r="N91" s="23"/>
      <c r="O91" s="44">
        <v>36236</v>
      </c>
      <c r="P91" s="44"/>
      <c r="Q91" s="44"/>
      <c r="R91" s="23"/>
      <c r="S91" s="23"/>
    </row>
    <row r="92" spans="1:19">
      <c r="A92" s="23"/>
      <c r="B92" s="23" t="s">
        <v>846</v>
      </c>
      <c r="C92" s="45" t="s">
        <v>842</v>
      </c>
      <c r="D92" s="27" t="s">
        <v>620</v>
      </c>
      <c r="E92" s="27" t="s">
        <v>628</v>
      </c>
      <c r="F92" s="23" t="s">
        <v>843</v>
      </c>
      <c r="G92" s="23" t="s">
        <v>844</v>
      </c>
      <c r="H92" s="45" t="s">
        <v>827</v>
      </c>
      <c r="I92" s="45" t="s">
        <v>828</v>
      </c>
      <c r="J92" s="45" t="s">
        <v>845</v>
      </c>
      <c r="K92" s="46">
        <v>121.9244984</v>
      </c>
      <c r="L92" s="46">
        <v>25.0383246</v>
      </c>
      <c r="M92" s="23">
        <v>1350</v>
      </c>
      <c r="N92" s="23"/>
      <c r="O92" s="44">
        <v>36236</v>
      </c>
      <c r="P92" s="44"/>
      <c r="Q92" s="44"/>
      <c r="R92" s="23"/>
      <c r="S92" s="23"/>
    </row>
  </sheetData>
  <autoFilter xmlns:etc="http://www.wps.cn/officeDocument/2017/etCustomData" ref="A1:T92" etc:filterBottomFollowUsedRange="0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workbookViewId="0">
      <selection activeCell="N4" sqref="N4"/>
    </sheetView>
  </sheetViews>
  <sheetFormatPr defaultColWidth="9" defaultRowHeight="13.85"/>
  <cols>
    <col min="1" max="1" width="18" customWidth="1"/>
    <col min="2" max="2" width="35.1061946902655" customWidth="1"/>
    <col min="3" max="14" width="9.44247787610619" customWidth="1"/>
  </cols>
  <sheetData>
    <row r="1" spans="1:15">
      <c r="A1" s="5" t="s">
        <v>847</v>
      </c>
      <c r="B1" s="5" t="s">
        <v>848</v>
      </c>
      <c r="C1" s="6" t="s">
        <v>849</v>
      </c>
      <c r="D1" s="5" t="s">
        <v>850</v>
      </c>
      <c r="E1" s="5"/>
      <c r="F1" s="5"/>
      <c r="G1" s="5"/>
      <c r="H1" s="5"/>
      <c r="I1" s="5"/>
      <c r="J1" s="5"/>
      <c r="K1" s="5"/>
      <c r="L1" s="5"/>
      <c r="M1" s="5"/>
      <c r="N1" s="5"/>
      <c r="O1" s="7"/>
    </row>
    <row r="2" spans="1:15">
      <c r="A2" s="5"/>
      <c r="B2" s="5"/>
      <c r="C2" s="6"/>
      <c r="D2" s="8">
        <v>0.99</v>
      </c>
      <c r="E2" s="8">
        <v>0.98</v>
      </c>
      <c r="F2" s="8">
        <v>0.95</v>
      </c>
      <c r="G2" s="8">
        <v>0.9</v>
      </c>
      <c r="H2" s="8">
        <v>0.75</v>
      </c>
      <c r="I2" s="8">
        <v>0.5</v>
      </c>
      <c r="J2" s="8">
        <v>0.25</v>
      </c>
      <c r="K2" s="8">
        <v>0.1</v>
      </c>
      <c r="L2" s="8">
        <v>0.05</v>
      </c>
      <c r="M2" s="8">
        <v>0.02</v>
      </c>
      <c r="N2" s="8">
        <v>0.01</v>
      </c>
    </row>
    <row r="3" spans="1:15">
      <c r="A3" s="9" t="s">
        <v>851</v>
      </c>
      <c r="B3" s="10" t="s">
        <v>34</v>
      </c>
      <c r="C3" s="11">
        <f>COUNTIF('Project List'!D:D,Calculation!B3)</f>
        <v>4771</v>
      </c>
      <c r="D3" s="12" cm="1">
        <f t="array" ref="D3">_xlfn.PERCENTILE.INC(IF('Project List'!$D$2:$D$14396=$B3,'Project List'!$F$2:$F$14396),D$2)*10</f>
        <v>301.132</v>
      </c>
      <c r="E3" s="12" cm="1">
        <f t="array" ref="E3">_xlfn.PERCENTILE.INC(IF('Project List'!$D$2:$D$14396=$B3,'Project List'!$F$2:$F$14396),E$2)*10</f>
        <v>250</v>
      </c>
      <c r="F3" s="12" cm="1">
        <f t="array" ref="F3">_xlfn.PERCENTILE.INC(IF('Project List'!$D$2:$D$14396=$B3,'Project List'!$F$2:$F$14396),F$2)*10</f>
        <v>182.15</v>
      </c>
      <c r="G3" s="12" cm="1">
        <f t="array" ref="G3">_xlfn.PERCENTILE.INC(IF('Project List'!$D$2:$D$14396=$B3,'Project List'!$F$2:$F$14396),G$2)*10</f>
        <v>100</v>
      </c>
      <c r="H3" s="12" cm="1">
        <f t="array" ref="H3">_xlfn.PERCENTILE.INC(IF('Project List'!$D$2:$D$14396=$B3,'Project List'!$F$2:$F$14396),H$2)*10</f>
        <v>50</v>
      </c>
      <c r="I3" s="12" cm="1">
        <f t="array" ref="I3">_xlfn.PERCENTILE.INC(IF('Project List'!$D$2:$D$14396=$B3,'Project List'!$F$2:$F$14396),I$2)*10</f>
        <v>49.5</v>
      </c>
      <c r="J3" s="12" cm="1">
        <f t="array" ref="J3">_xlfn.PERCENTILE.INC(IF('Project List'!$D$2:$D$14396=$B3,'Project List'!$F$2:$F$14396),J$2)*10</f>
        <v>32</v>
      </c>
      <c r="K3" s="12" cm="1">
        <f t="array" ref="K3">_xlfn.PERCENTILE.INC(IF('Project List'!$D$2:$D$14396=$B3,'Project List'!$F$2:$F$14396),K$2)*10</f>
        <v>12</v>
      </c>
      <c r="L3" s="12" cm="1">
        <f t="array" ref="L3">_xlfn.PERCENTILE.INC(IF('Project List'!$D$2:$D$14396=$B3,'Project List'!$F$2:$F$14396),L$2)*10</f>
        <v>7.34</v>
      </c>
      <c r="M3" s="12" cm="1">
        <f t="array" ref="M3">_xlfn.PERCENTILE.INC(IF('Project List'!$D$2:$D$14396=$B3,'Project List'!$F$2:$F$14396),M$2)*10</f>
        <v>3</v>
      </c>
      <c r="N3" s="12" cm="1">
        <f t="array" ref="N3">_xlfn.PERCENTILE.INC(IF('Project List'!$D$2:$D$14396=$B3,'Project List'!$F$2:$F$14396),N$2)*10</f>
        <v>2</v>
      </c>
    </row>
    <row r="4" spans="1:15">
      <c r="A4" s="9" t="s">
        <v>852</v>
      </c>
      <c r="B4" s="9" t="s">
        <v>44</v>
      </c>
      <c r="C4" s="11">
        <f>COUNTIF('Project List'!D:D,Calculation!B4)</f>
        <v>33</v>
      </c>
      <c r="D4" s="12" cm="1">
        <f t="array" ref="D4">_xlfn.PERCENTILE.INC(IF('Project List'!$D$2:$D$14396=$B4,'Project List'!$F$2:$F$14396),D$2)*10</f>
        <v>2422</v>
      </c>
      <c r="E4" s="12" cm="1">
        <f t="array" ref="E4">_xlfn.PERCENTILE.INC(IF('Project List'!$D$2:$D$14396=$B4,'Project List'!$F$2:$F$14396),E$2)*10</f>
        <v>2342</v>
      </c>
      <c r="F4" s="12" cm="1">
        <f t="array" ref="F4">_xlfn.PERCENTILE.INC(IF('Project List'!$D$2:$D$14396=$B4,'Project List'!$F$2:$F$14396),F$2)*10</f>
        <v>2204</v>
      </c>
      <c r="G4" s="12" cm="1">
        <f t="array" ref="G4">_xlfn.PERCENTILE.INC(IF('Project List'!$D$2:$D$14396=$B4,'Project List'!$F$2:$F$14396),G$2)*10</f>
        <v>1750</v>
      </c>
      <c r="H4" s="12" cm="1">
        <f t="array" ref="H4">_xlfn.PERCENTILE.INC(IF('Project List'!$D$2:$D$14396=$B4,'Project List'!$F$2:$F$14396),H$2)*10</f>
        <v>1118.8</v>
      </c>
      <c r="I4" s="12" cm="1">
        <f t="array" ref="I4">_xlfn.PERCENTILE.INC(IF('Project List'!$D$2:$D$14396=$B4,'Project List'!$F$2:$F$14396),I$2)*10</f>
        <v>1089</v>
      </c>
      <c r="J4" s="12" cm="1">
        <f t="array" ref="J4">_xlfn.PERCENTILE.INC(IF('Project List'!$D$2:$D$14396=$B4,'Project List'!$F$2:$F$14396),J$2)*10</f>
        <v>1089</v>
      </c>
      <c r="K4" s="12" cm="1">
        <f t="array" ref="K4">_xlfn.PERCENTILE.INC(IF('Project List'!$D$2:$D$14396=$B4,'Project List'!$F$2:$F$14396),K$2)*10</f>
        <v>1086</v>
      </c>
      <c r="L4" s="12" cm="1">
        <f t="array" ref="L4">_xlfn.PERCENTILE.INC(IF('Project List'!$D$2:$D$14396=$B4,'Project List'!$F$2:$F$14396),L$2)*10</f>
        <v>911.6</v>
      </c>
      <c r="M4" s="12" cm="1">
        <f t="array" ref="M4">_xlfn.PERCENTILE.INC(IF('Project List'!$D$2:$D$14396=$B4,'Project List'!$F$2:$F$14396),M$2)*10</f>
        <v>650</v>
      </c>
      <c r="N4" s="12" cm="1">
        <f t="array" ref="N4">_xlfn.PERCENTILE.INC(IF('Project List'!$D$2:$D$14396=$B4,'Project List'!$F$2:$F$14396),N$2)*10</f>
        <v>650</v>
      </c>
    </row>
    <row r="5" spans="1:15">
      <c r="A5" s="9" t="s">
        <v>853</v>
      </c>
      <c r="B5" s="9" t="s">
        <v>38</v>
      </c>
      <c r="C5" s="11">
        <f>COUNTIF('Project List'!D:D,Calculation!B5)</f>
        <v>371</v>
      </c>
      <c r="D5" s="12" cm="1">
        <f t="array" ref="D5">_xlfn.PERCENTILE.INC(IF('Project List'!$D$2:$D$14396=$B5,'Project List'!$F$2:$F$14396),D$2)*10</f>
        <v>80</v>
      </c>
      <c r="E5" s="12" cm="1">
        <f t="array" ref="E5">_xlfn.PERCENTILE.INC(IF('Project List'!$D$2:$D$14396=$B5,'Project List'!$F$2:$F$14396),E$2)*10</f>
        <v>80</v>
      </c>
      <c r="F5" s="12" cm="1">
        <f t="array" ref="F5">_xlfn.PERCENTILE.INC(IF('Project List'!$D$2:$D$14396=$B5,'Project List'!$F$2:$F$14396),F$2)*10</f>
        <v>52.7500000000001</v>
      </c>
      <c r="G5" s="12" cm="1">
        <f t="array" ref="G5">_xlfn.PERCENTILE.INC(IF('Project List'!$D$2:$D$14396=$B5,'Project List'!$F$2:$F$14396),G$2)*10</f>
        <v>37.65</v>
      </c>
      <c r="H5" s="12" cm="1">
        <f t="array" ref="H5">_xlfn.PERCENTILE.INC(IF('Project List'!$D$2:$D$14396=$B5,'Project List'!$F$2:$F$14396),H$2)*10</f>
        <v>30</v>
      </c>
      <c r="I5" s="12" cm="1">
        <f t="array" ref="I5">_xlfn.PERCENTILE.INC(IF('Project List'!$D$2:$D$14396=$B5,'Project List'!$F$2:$F$14396),I$2)*10</f>
        <v>30</v>
      </c>
      <c r="J5" s="12" cm="1">
        <f t="array" ref="J5">_xlfn.PERCENTILE.INC(IF('Project List'!$D$2:$D$14396=$B5,'Project List'!$F$2:$F$14396),J$2)*10</f>
        <v>18</v>
      </c>
      <c r="K5" s="12" cm="1">
        <f t="array" ref="K5">_xlfn.PERCENTILE.INC(IF('Project List'!$D$2:$D$14396=$B5,'Project List'!$F$2:$F$14396),K$2)*10</f>
        <v>10.45</v>
      </c>
      <c r="L5" s="12" cm="1">
        <f t="array" ref="L5">_xlfn.PERCENTILE.INC(IF('Project List'!$D$2:$D$14396=$B5,'Project List'!$F$2:$F$14396),L$2)*10</f>
        <v>5.89</v>
      </c>
      <c r="M5" s="12" cm="1">
        <f t="array" ref="M5">_xlfn.PERCENTILE.INC(IF('Project List'!$D$2:$D$14396=$B5,'Project List'!$F$2:$F$14396),M$2)*10</f>
        <v>1.728</v>
      </c>
      <c r="N5" s="12" cm="1">
        <f t="array" ref="N5">_xlfn.PERCENTILE.INC(IF('Project List'!$D$2:$D$14396=$B5,'Project List'!$F$2:$F$14396),N$2)*10</f>
        <v>1.138</v>
      </c>
    </row>
    <row r="6" spans="1:15">
      <c r="A6" s="9" t="s">
        <v>854</v>
      </c>
      <c r="B6" s="10" t="s">
        <v>35</v>
      </c>
      <c r="C6" s="11">
        <f>COUNTIF('Project List'!D:D,Calculation!B6)</f>
        <v>684</v>
      </c>
      <c r="D6" s="12" cm="1">
        <f t="array" ref="D6">_xlfn.PERCENTILE.INC(IF('Project List'!$D$2:$D$14396=$B6,'Project List'!$F$2:$F$14396),D$2)*10</f>
        <v>150</v>
      </c>
      <c r="E6" s="12" cm="1">
        <f t="array" ref="E6">_xlfn.PERCENTILE.INC(IF('Project List'!$D$2:$D$14396=$B6,'Project List'!$F$2:$F$14396),E$2)*10</f>
        <v>90</v>
      </c>
      <c r="F6" s="12" cm="1">
        <f t="array" ref="F6">_xlfn.PERCENTILE.INC(IF('Project List'!$D$2:$D$14396=$B6,'Project List'!$F$2:$F$14396),F$2)*10</f>
        <v>60</v>
      </c>
      <c r="G6" s="12" cm="1">
        <f t="array" ref="G6">_xlfn.PERCENTILE.INC(IF('Project List'!$D$2:$D$14396=$B6,'Project List'!$F$2:$F$14396),G$2)*10</f>
        <v>45</v>
      </c>
      <c r="H6" s="12" cm="1">
        <f t="array" ref="H6">_xlfn.PERCENTILE.INC(IF('Project List'!$D$2:$D$14396=$B6,'Project List'!$F$2:$F$14396),H$2)*10</f>
        <v>25</v>
      </c>
      <c r="I6" s="12" cm="1">
        <f t="array" ref="I6">_xlfn.PERCENTILE.INC(IF('Project List'!$D$2:$D$14396=$B6,'Project List'!$F$2:$F$14396),I$2)*10</f>
        <v>15</v>
      </c>
      <c r="J6" s="12" cm="1">
        <f t="array" ref="J6">_xlfn.PERCENTILE.INC(IF('Project List'!$D$2:$D$14396=$B6,'Project List'!$F$2:$F$14396),J$2)*10</f>
        <v>12</v>
      </c>
      <c r="K6" s="12" cm="1">
        <f t="array" ref="K6">_xlfn.PERCENTILE.INC(IF('Project List'!$D$2:$D$14396=$B6,'Project List'!$F$2:$F$14396),K$2)*10</f>
        <v>7.5</v>
      </c>
      <c r="L6" s="12" cm="1">
        <f t="array" ref="L6">_xlfn.PERCENTILE.INC(IF('Project List'!$D$2:$D$14396=$B6,'Project List'!$F$2:$F$14396),L$2)*10</f>
        <v>6</v>
      </c>
      <c r="M6" s="12" cm="1">
        <f t="array" ref="M6">_xlfn.PERCENTILE.INC(IF('Project List'!$D$2:$D$14396=$B6,'Project List'!$F$2:$F$14396),M$2)*10</f>
        <v>3</v>
      </c>
      <c r="N6" s="12" cm="1">
        <f t="array" ref="N6">_xlfn.PERCENTILE.INC(IF('Project List'!$D$2:$D$14396=$B6,'Project List'!$F$2:$F$14396),N$2)*10</f>
        <v>1.943</v>
      </c>
    </row>
    <row r="7" spans="1:15">
      <c r="A7" s="9" t="s">
        <v>855</v>
      </c>
      <c r="B7" s="10" t="s">
        <v>33</v>
      </c>
      <c r="C7" s="11">
        <f>COUNTIF('Project List'!D:D,Calculation!B7)</f>
        <v>925</v>
      </c>
      <c r="D7" s="12" cm="1">
        <f t="array" ref="D7">_xlfn.PERCENTILE.INC(IF('Project List'!$D$2:$D$14396=$B7,'Project List'!$F$2:$F$14396),D$2)*10</f>
        <v>270</v>
      </c>
      <c r="E7" s="12" cm="1">
        <f t="array" ref="E7">_xlfn.PERCENTILE.INC(IF('Project List'!$D$2:$D$14396=$B7,'Project List'!$F$2:$F$14396),E$2)*10</f>
        <v>175.428</v>
      </c>
      <c r="F7" s="12" cm="1">
        <f t="array" ref="F7">_xlfn.PERCENTILE.INC(IF('Project List'!$D$2:$D$14396=$B7,'Project List'!$F$2:$F$14396),F$2)*10</f>
        <v>100.17</v>
      </c>
      <c r="G7" s="12" cm="1">
        <f t="array" ref="G7">_xlfn.PERCENTILE.INC(IF('Project List'!$D$2:$D$14396=$B7,'Project List'!$F$2:$F$14396),G$2)*10</f>
        <v>60</v>
      </c>
      <c r="H7" s="12" cm="1">
        <f t="array" ref="H7">_xlfn.PERCENTILE.INC(IF('Project List'!$D$2:$D$14396=$B7,'Project List'!$F$2:$F$14396),H$2)*10</f>
        <v>30</v>
      </c>
      <c r="I7" s="12" cm="1">
        <f t="array" ref="I7">_xlfn.PERCENTILE.INC(IF('Project List'!$D$2:$D$14396=$B7,'Project List'!$F$2:$F$14396),I$2)*10</f>
        <v>13.35</v>
      </c>
      <c r="J7" s="12" cm="1">
        <f t="array" ref="J7">_xlfn.PERCENTILE.INC(IF('Project List'!$D$2:$D$14396=$B7,'Project List'!$F$2:$F$14396),J$2)*10</f>
        <v>7.5</v>
      </c>
      <c r="K7" s="12" cm="1">
        <f t="array" ref="K7">_xlfn.PERCENTILE.INC(IF('Project List'!$D$2:$D$14396=$B7,'Project List'!$F$2:$F$14396),K$2)*10</f>
        <v>6</v>
      </c>
      <c r="L7" s="12" cm="1">
        <f t="array" ref="L7">_xlfn.PERCENTILE.INC(IF('Project List'!$D$2:$D$14396=$B7,'Project List'!$F$2:$F$14396),L$2)*10</f>
        <v>4</v>
      </c>
      <c r="M7" s="12" cm="1">
        <f t="array" ref="M7">_xlfn.PERCENTILE.INC(IF('Project List'!$D$2:$D$14396=$B7,'Project List'!$F$2:$F$14396),M$2)*10</f>
        <v>3</v>
      </c>
      <c r="N7" s="12" cm="1">
        <f t="array" ref="N7">_xlfn.PERCENTILE.INC(IF('Project List'!$D$2:$D$14396=$B7,'Project List'!$F$2:$F$14396),N$2)*10</f>
        <v>1.846</v>
      </c>
    </row>
    <row r="8" spans="1:15">
      <c r="A8" s="9" t="s">
        <v>856</v>
      </c>
      <c r="B8" s="9" t="s">
        <v>37</v>
      </c>
      <c r="C8" s="11">
        <f>COUNTIF('Project List'!D:D,Calculation!B8)</f>
        <v>917</v>
      </c>
      <c r="D8" s="12" cm="1">
        <f t="array" ref="D8">_xlfn.PERCENTILE.INC(IF('Project List'!$D$2:$D$14396=$B8,'Project List'!$F$2:$F$14396),D$2)*10</f>
        <v>2000</v>
      </c>
      <c r="E8" s="12" cm="1">
        <f t="array" ref="E8">_xlfn.PERCENTILE.INC(IF('Project List'!$D$2:$D$14396=$B8,'Project List'!$F$2:$F$14396),E$2)*10</f>
        <v>2000</v>
      </c>
      <c r="F8" s="12" cm="1">
        <f t="array" ref="F8">_xlfn.PERCENTILE.INC(IF('Project List'!$D$2:$D$14396=$B8,'Project List'!$F$2:$F$14396),F$2)*10</f>
        <v>1320</v>
      </c>
      <c r="G8" s="12" cm="1">
        <f t="array" ref="G8">_xlfn.PERCENTILE.INC(IF('Project List'!$D$2:$D$14396=$B8,'Project List'!$F$2:$F$14396),G$2)*10</f>
        <v>1200</v>
      </c>
      <c r="H8" s="12" cm="1">
        <f t="array" ref="H8">_xlfn.PERCENTILE.INC(IF('Project List'!$D$2:$D$14396=$B8,'Project List'!$F$2:$F$14396),H$2)*10</f>
        <v>660</v>
      </c>
      <c r="I8" s="12" cm="1">
        <f t="array" ref="I8">_xlfn.PERCENTILE.INC(IF('Project List'!$D$2:$D$14396=$B8,'Project List'!$F$2:$F$14396),I$2)*10</f>
        <v>158</v>
      </c>
      <c r="J8" s="12" cm="1">
        <f t="array" ref="J8">_xlfn.PERCENTILE.INC(IF('Project List'!$D$2:$D$14396=$B8,'Project List'!$F$2:$F$14396),J$2)*10</f>
        <v>25</v>
      </c>
      <c r="K8" s="12" cm="1">
        <f t="array" ref="K8">_xlfn.PERCENTILE.INC(IF('Project List'!$D$2:$D$14396=$B8,'Project List'!$F$2:$F$14396),K$2)*10</f>
        <v>10</v>
      </c>
      <c r="L8" s="12" cm="1">
        <f t="array" ref="L8">_xlfn.PERCENTILE.INC(IF('Project List'!$D$2:$D$14396=$B8,'Project List'!$F$2:$F$14396),L$2)*10</f>
        <v>6</v>
      </c>
      <c r="M8" s="12" cm="1">
        <f t="array" ref="M8">_xlfn.PERCENTILE.INC(IF('Project List'!$D$2:$D$14396=$B8,'Project List'!$F$2:$F$14396),M$2)*10</f>
        <v>4.1</v>
      </c>
      <c r="N8" s="12" cm="1">
        <f t="array" ref="N8">_xlfn.PERCENTILE.INC(IF('Project List'!$D$2:$D$14396=$B8,'Project List'!$F$2:$F$14396),N$2)*10</f>
        <v>3</v>
      </c>
    </row>
    <row r="9" spans="1:15">
      <c r="A9" s="9" t="s">
        <v>857</v>
      </c>
      <c r="B9" s="9" t="s">
        <v>39</v>
      </c>
      <c r="C9" s="11">
        <f>COUNTIF('Project List'!D:D,Calculation!B9)</f>
        <v>15</v>
      </c>
      <c r="D9" s="12" cm="1">
        <f t="array" ref="D9">_xlfn.PERCENTILE.INC(IF('Project List'!$D$2:$D$14396=$B9,'Project List'!$F$2:$F$14396),D$2)*10</f>
        <v>1233.2</v>
      </c>
      <c r="E9" s="12" cm="1">
        <f t="array" ref="E9">_xlfn.PERCENTILE.INC(IF('Project List'!$D$2:$D$14396=$B9,'Project List'!$F$2:$F$14396),E$2)*10</f>
        <v>1146.4</v>
      </c>
      <c r="F9" s="12" cm="1">
        <f t="array" ref="F9">_xlfn.PERCENTILE.INC(IF('Project List'!$D$2:$D$14396=$B9,'Project List'!$F$2:$F$14396),F$2)*10</f>
        <v>885.999999999999</v>
      </c>
      <c r="G9" s="12" cm="1">
        <f t="array" ref="G9">_xlfn.PERCENTILE.INC(IF('Project List'!$D$2:$D$14396=$B9,'Project List'!$F$2:$F$14396),G$2)*10</f>
        <v>700</v>
      </c>
      <c r="H9" s="12" cm="1">
        <f t="array" ref="H9">_xlfn.PERCENTILE.INC(IF('Project List'!$D$2:$D$14396=$B9,'Project List'!$F$2:$F$14396),H$2)*10</f>
        <v>630</v>
      </c>
      <c r="I9" s="12" cm="1">
        <f t="array" ref="I9">_xlfn.PERCENTILE.INC(IF('Project List'!$D$2:$D$14396=$B9,'Project List'!$F$2:$F$14396),I$2)*10</f>
        <v>300</v>
      </c>
      <c r="J9" s="12" cm="1">
        <f t="array" ref="J9">_xlfn.PERCENTILE.INC(IF('Project List'!$D$2:$D$14396=$B9,'Project List'!$F$2:$F$14396),J$2)*10</f>
        <v>159</v>
      </c>
      <c r="K9" s="12" cm="1">
        <f t="array" ref="K9">_xlfn.PERCENTILE.INC(IF('Project List'!$D$2:$D$14396=$B9,'Project List'!$F$2:$F$14396),K$2)*10</f>
        <v>10.8</v>
      </c>
      <c r="L9" s="12" cm="1">
        <f t="array" ref="L9">_xlfn.PERCENTILE.INC(IF('Project List'!$D$2:$D$14396=$B9,'Project List'!$F$2:$F$14396),L$2)*10</f>
        <v>4.8</v>
      </c>
      <c r="M9" s="12" cm="1">
        <f t="array" ref="M9">_xlfn.PERCENTILE.INC(IF('Project List'!$D$2:$D$14396=$B9,'Project List'!$F$2:$F$14396),M$2)*10</f>
        <v>3.12</v>
      </c>
      <c r="N9" s="12" cm="1">
        <f t="array" ref="N9">_xlfn.PERCENTILE.INC(IF('Project List'!$D$2:$D$14396=$B9,'Project List'!$F$2:$F$14396),N$2)*10</f>
        <v>2.56</v>
      </c>
    </row>
    <row r="10" spans="1:15">
      <c r="A10" s="9" t="s">
        <v>858</v>
      </c>
      <c r="B10" s="9" t="s">
        <v>30</v>
      </c>
      <c r="C10" s="11">
        <f>COUNTIF('Project List'!D:D,Calculation!B10)</f>
        <v>178</v>
      </c>
      <c r="D10" s="12" cm="1">
        <f t="array" ref="D10">_xlfn.PERCENTILE.INC(IF('Project List'!$D$2:$D$14396=$B10,'Project List'!$F$2:$F$14396),D$2)*10</f>
        <v>1314.9</v>
      </c>
      <c r="E10" s="12" cm="1">
        <f t="array" ref="E10">_xlfn.PERCENTILE.INC(IF('Project List'!$D$2:$D$14396=$B10,'Project List'!$F$2:$F$14396),E$2)*10</f>
        <v>1091.6</v>
      </c>
      <c r="F10" s="12" cm="1">
        <f t="array" ref="F10">_xlfn.PERCENTILE.INC(IF('Project List'!$D$2:$D$14396=$B10,'Project List'!$F$2:$F$14396),F$2)*10</f>
        <v>950</v>
      </c>
      <c r="G10" s="12" cm="1">
        <f t="array" ref="G10">_xlfn.PERCENTILE.INC(IF('Project List'!$D$2:$D$14396=$B10,'Project List'!$F$2:$F$14396),G$2)*10</f>
        <v>921.85</v>
      </c>
      <c r="H10" s="12" cm="1">
        <f t="array" ref="H10">_xlfn.PERCENTILE.INC(IF('Project List'!$D$2:$D$14396=$B10,'Project List'!$F$2:$F$14396),H$2)*10</f>
        <v>472.775</v>
      </c>
      <c r="I10" s="12" cm="1">
        <f t="array" ref="I10">_xlfn.PERCENTILE.INC(IF('Project List'!$D$2:$D$14396=$B10,'Project List'!$F$2:$F$14396),I$2)*10</f>
        <v>199.5</v>
      </c>
      <c r="J10" s="12" cm="1">
        <f t="array" ref="J10">_xlfn.PERCENTILE.INC(IF('Project List'!$D$2:$D$14396=$B10,'Project List'!$F$2:$F$14396),J$2)*10</f>
        <v>25</v>
      </c>
      <c r="K10" s="12" cm="1">
        <f t="array" ref="K10">_xlfn.PERCENTILE.INC(IF('Project List'!$D$2:$D$14396=$B10,'Project List'!$F$2:$F$14396),K$2)*10</f>
        <v>6</v>
      </c>
      <c r="L10" s="12" cm="1">
        <f t="array" ref="L10">_xlfn.PERCENTILE.INC(IF('Project List'!$D$2:$D$14396=$B10,'Project List'!$F$2:$F$14396),L$2)*10</f>
        <v>2.75</v>
      </c>
      <c r="M10" s="12" cm="1">
        <f t="array" ref="M10">_xlfn.PERCENTILE.INC(IF('Project List'!$D$2:$D$14396=$B10,'Project List'!$F$2:$F$14396),M$2)*10</f>
        <v>0.95</v>
      </c>
      <c r="N10" s="12" cm="1">
        <f t="array" ref="N10">_xlfn.PERCENTILE.INC(IF('Project List'!$D$2:$D$14396=$B10,'Project List'!$F$2:$F$14396),N$2)*10</f>
        <v>0.475</v>
      </c>
    </row>
    <row r="11" spans="1:15">
      <c r="A11" s="9" t="s">
        <v>859</v>
      </c>
      <c r="B11" s="9" t="s">
        <v>43</v>
      </c>
      <c r="C11" s="11">
        <f>COUNTIF('Project List'!D:D,Calculation!B11)</f>
        <v>17</v>
      </c>
      <c r="D11" s="12" cm="1">
        <f t="array" ref="D11">_xlfn.PERCENTILE.INC(IF('Project List'!$D$2:$D$14396=$B11,'Project List'!$F$2:$F$14396),D$2)*10</f>
        <v>61.896</v>
      </c>
      <c r="E11" s="12" cm="1">
        <f t="array" ref="E11">_xlfn.PERCENTILE.INC(IF('Project List'!$D$2:$D$14396=$B11,'Project List'!$F$2:$F$14396),E$2)*10</f>
        <v>56.392</v>
      </c>
      <c r="F11" s="12" cm="1">
        <f t="array" ref="F11">_xlfn.PERCENTILE.INC(IF('Project List'!$D$2:$D$14396=$B11,'Project List'!$F$2:$F$14396),F$2)*10</f>
        <v>39.88</v>
      </c>
      <c r="G11" s="12" cm="1">
        <f t="array" ref="G11">_xlfn.PERCENTILE.INC(IF('Project List'!$D$2:$D$14396=$B11,'Project List'!$F$2:$F$14396),G$2)*10</f>
        <v>30</v>
      </c>
      <c r="H11" s="12" cm="1">
        <f t="array" ref="H11">_xlfn.PERCENTILE.INC(IF('Project List'!$D$2:$D$14396=$B11,'Project List'!$F$2:$F$14396),H$2)*10</f>
        <v>19.8</v>
      </c>
      <c r="I11" s="12" cm="1">
        <f t="array" ref="I11">_xlfn.PERCENTILE.INC(IF('Project List'!$D$2:$D$14396=$B11,'Project List'!$F$2:$F$14396),I$2)*10</f>
        <v>9.6</v>
      </c>
      <c r="J11" s="12" cm="1">
        <f t="array" ref="J11">_xlfn.PERCENTILE.INC(IF('Project List'!$D$2:$D$14396=$B11,'Project List'!$F$2:$F$14396),J$2)*10</f>
        <v>7.2</v>
      </c>
      <c r="K11" s="12" cm="1">
        <f t="array" ref="K11">_xlfn.PERCENTILE.INC(IF('Project List'!$D$2:$D$14396=$B11,'Project List'!$F$2:$F$14396),K$2)*10</f>
        <v>4.96</v>
      </c>
      <c r="L11" s="12" cm="1">
        <f t="array" ref="L11">_xlfn.PERCENTILE.INC(IF('Project List'!$D$2:$D$14396=$B11,'Project List'!$F$2:$F$14396),L$2)*10</f>
        <v>4.34</v>
      </c>
      <c r="M11" s="12" cm="1">
        <f t="array" ref="M11">_xlfn.PERCENTILE.INC(IF('Project List'!$D$2:$D$14396=$B11,'Project List'!$F$2:$F$14396),M$2)*10</f>
        <v>2.996</v>
      </c>
      <c r="N11" s="12" cm="1">
        <f t="array" ref="N11">_xlfn.PERCENTILE.INC(IF('Project List'!$D$2:$D$14396=$B11,'Project List'!$F$2:$F$14396),N$2)*10</f>
        <v>2.548</v>
      </c>
    </row>
    <row r="12" spans="1:15">
      <c r="A12" s="9" t="s">
        <v>860</v>
      </c>
      <c r="B12" s="10" t="s">
        <v>36</v>
      </c>
      <c r="C12" s="11">
        <f>COUNTIF('Project List'!D:D,Calculation!B12)</f>
        <v>16</v>
      </c>
      <c r="D12" s="12" cm="1">
        <f t="array" ref="D12">_xlfn.PERCENTILE.INC(IF('Project List'!$D$2:$D$14396=$B12,'Project List'!$F$2:$F$14396),D$2)*10</f>
        <v>81.425</v>
      </c>
      <c r="E12" s="12" cm="1">
        <f t="array" ref="E12">_xlfn.PERCENTILE.INC(IF('Project List'!$D$2:$D$14396=$B12,'Project List'!$F$2:$F$14396),E$2)*10</f>
        <v>72.35</v>
      </c>
      <c r="F12" s="12" cm="1">
        <f t="array" ref="F12">_xlfn.PERCENTILE.INC(IF('Project List'!$D$2:$D$14396=$B12,'Project List'!$F$2:$F$14396),F$2)*10</f>
        <v>45.125</v>
      </c>
      <c r="G12" s="12" cm="1">
        <f t="array" ref="G12">_xlfn.PERCENTILE.INC(IF('Project List'!$D$2:$D$14396=$B12,'Project List'!$F$2:$F$14396),G$2)*10</f>
        <v>27</v>
      </c>
      <c r="H12" s="12" cm="1">
        <f t="array" ref="H12">_xlfn.PERCENTILE.INC(IF('Project List'!$D$2:$D$14396=$B12,'Project List'!$F$2:$F$14396),H$2)*10</f>
        <v>10.35</v>
      </c>
      <c r="I12" s="12" cm="1">
        <f t="array" ref="I12">_xlfn.PERCENTILE.INC(IF('Project List'!$D$2:$D$14396=$B12,'Project List'!$F$2:$F$14396),I$2)*10</f>
        <v>6.1</v>
      </c>
      <c r="J12" s="12" cm="1">
        <f t="array" ref="J12">_xlfn.PERCENTILE.INC(IF('Project List'!$D$2:$D$14396=$B12,'Project List'!$F$2:$F$14396),J$2)*10</f>
        <v>3.45</v>
      </c>
      <c r="K12" s="12" cm="1">
        <f t="array" ref="K12">_xlfn.PERCENTILE.INC(IF('Project List'!$D$2:$D$14396=$B12,'Project List'!$F$2:$F$14396),K$2)*10</f>
        <v>1.1</v>
      </c>
      <c r="L12" s="12" cm="1">
        <f t="array" ref="L12">_xlfn.PERCENTILE.INC(IF('Project List'!$D$2:$D$14396=$B12,'Project List'!$F$2:$F$14396),L$2)*10</f>
        <v>1</v>
      </c>
      <c r="M12" s="12" cm="1">
        <f t="array" ref="M12">_xlfn.PERCENTILE.INC(IF('Project List'!$D$2:$D$14396=$B12,'Project List'!$F$2:$F$14396),M$2)*10</f>
        <v>1</v>
      </c>
      <c r="N12" s="12" cm="1">
        <f t="array" ref="N12">_xlfn.PERCENTILE.INC(IF('Project List'!$D$2:$D$14396=$B12,'Project List'!$F$2:$F$14396),N$2)*10</f>
        <v>1</v>
      </c>
    </row>
    <row r="13" spans="1:15">
      <c r="A13" s="9" t="s">
        <v>861</v>
      </c>
      <c r="B13" s="9" t="s">
        <v>45</v>
      </c>
      <c r="C13" s="11">
        <f>COUNTIF('Project List'!D:D,Calculation!B13)</f>
        <v>1</v>
      </c>
      <c r="D13" s="12" cm="1">
        <f t="array" ref="D13">_xlfn.PERCENTILE.INC(IF('Project List'!$D$2:$D$14396=$B13,'Project List'!$F$2:$F$14396),D$2)*10</f>
        <v>150</v>
      </c>
      <c r="E13" s="12" cm="1">
        <f t="array" ref="E13">_xlfn.PERCENTILE.INC(IF('Project List'!$D$2:$D$14396=$B13,'Project List'!$F$2:$F$14396),E$2)*10</f>
        <v>150</v>
      </c>
      <c r="F13" s="12" cm="1">
        <f t="array" ref="F13">_xlfn.PERCENTILE.INC(IF('Project List'!$D$2:$D$14396=$B13,'Project List'!$F$2:$F$14396),F$2)*10</f>
        <v>150</v>
      </c>
      <c r="G13" s="12" cm="1">
        <f t="array" ref="G13">_xlfn.PERCENTILE.INC(IF('Project List'!$D$2:$D$14396=$B13,'Project List'!$F$2:$F$14396),G$2)*10</f>
        <v>150</v>
      </c>
      <c r="H13" s="12" cm="1">
        <f t="array" ref="H13">_xlfn.PERCENTILE.INC(IF('Project List'!$D$2:$D$14396=$B13,'Project List'!$F$2:$F$14396),H$2)*10</f>
        <v>150</v>
      </c>
      <c r="I13" s="12" cm="1">
        <f t="array" ref="I13">_xlfn.PERCENTILE.INC(IF('Project List'!$D$2:$D$14396=$B13,'Project List'!$F$2:$F$14396),I$2)*10</f>
        <v>150</v>
      </c>
      <c r="J13" s="12" cm="1">
        <f t="array" ref="J13">_xlfn.PERCENTILE.INC(IF('Project List'!$D$2:$D$14396=$B13,'Project List'!$F$2:$F$14396),J$2)*10</f>
        <v>150</v>
      </c>
      <c r="K13" s="12" cm="1">
        <f t="array" ref="K13">_xlfn.PERCENTILE.INC(IF('Project List'!$D$2:$D$14396=$B13,'Project List'!$F$2:$F$14396),K$2)*10</f>
        <v>150</v>
      </c>
      <c r="L13" s="12" cm="1">
        <f t="array" ref="L13">_xlfn.PERCENTILE.INC(IF('Project List'!$D$2:$D$14396=$B13,'Project List'!$F$2:$F$14396),L$2)*10</f>
        <v>150</v>
      </c>
      <c r="M13" s="12" cm="1">
        <f t="array" ref="M13">_xlfn.PERCENTILE.INC(IF('Project List'!$D$2:$D$14396=$B13,'Project List'!$F$2:$F$14396),M$2)*10</f>
        <v>150</v>
      </c>
      <c r="N13" s="12" cm="1">
        <f t="array" ref="N13">_xlfn.PERCENTILE.INC(IF('Project List'!$D$2:$D$14396=$B13,'Project List'!$F$2:$F$14396),N$2)*10</f>
        <v>150</v>
      </c>
    </row>
    <row r="14" spans="1:15">
      <c r="A14" s="9" t="s">
        <v>862</v>
      </c>
      <c r="B14" s="10" t="s">
        <v>41</v>
      </c>
      <c r="C14" s="11">
        <f>COUNTIF('Project List'!D:D,Calculation!B14)</f>
        <v>34</v>
      </c>
      <c r="D14" s="12" cm="1">
        <f t="array" ref="D14">_xlfn.PERCENTILE.INC(IF('Project List'!$D$2:$D$14396=$B14,'Project List'!$F$2:$F$14396),D$2)*10</f>
        <v>108.425</v>
      </c>
      <c r="E14" s="12" cm="1">
        <f t="array" ref="E14">_xlfn.PERCENTILE.INC(IF('Project List'!$D$2:$D$14396=$B14,'Project List'!$F$2:$F$14396),E$2)*10</f>
        <v>105.95</v>
      </c>
      <c r="F14" s="12" cm="1">
        <f t="array" ref="F14">_xlfn.PERCENTILE.INC(IF('Project List'!$D$2:$D$14396=$B14,'Project List'!$F$2:$F$14396),F$2)*10</f>
        <v>100.75</v>
      </c>
      <c r="G14" s="12" cm="1">
        <f t="array" ref="G14">_xlfn.PERCENTILE.INC(IF('Project List'!$D$2:$D$14396=$B14,'Project List'!$F$2:$F$14396),G$2)*10</f>
        <v>100</v>
      </c>
      <c r="H14" s="12" cm="1">
        <f t="array" ref="H14">_xlfn.PERCENTILE.INC(IF('Project List'!$D$2:$D$14396=$B14,'Project List'!$F$2:$F$14396),H$2)*10</f>
        <v>52.5</v>
      </c>
      <c r="I14" s="12" cm="1">
        <f t="array" ref="I14">_xlfn.PERCENTILE.INC(IF('Project List'!$D$2:$D$14396=$B14,'Project List'!$F$2:$F$14396),I$2)*10</f>
        <v>15.55</v>
      </c>
      <c r="J14" s="12" cm="1">
        <f t="array" ref="J14">_xlfn.PERCENTILE.INC(IF('Project List'!$D$2:$D$14396=$B14,'Project List'!$F$2:$F$14396),J$2)*10</f>
        <v>8.5</v>
      </c>
      <c r="K14" s="12" cm="1">
        <f t="array" ref="K14">_xlfn.PERCENTILE.INC(IF('Project List'!$D$2:$D$14396=$B14,'Project List'!$F$2:$F$14396),K$2)*10</f>
        <v>5</v>
      </c>
      <c r="L14" s="12" cm="1">
        <f t="array" ref="L14">_xlfn.PERCENTILE.INC(IF('Project List'!$D$2:$D$14396=$B14,'Project List'!$F$2:$F$14396),L$2)*10</f>
        <v>2.75</v>
      </c>
      <c r="M14" s="12" cm="1">
        <f t="array" ref="M14">_xlfn.PERCENTILE.INC(IF('Project List'!$D$2:$D$14396=$B14,'Project List'!$F$2:$F$14396),M$2)*10</f>
        <v>1.8</v>
      </c>
      <c r="N14" s="12" cm="1">
        <f t="array" ref="N14">_xlfn.PERCENTILE.INC(IF('Project List'!$D$2:$D$14396=$B14,'Project List'!$F$2:$F$14396),N$2)*10</f>
        <v>1.7</v>
      </c>
    </row>
    <row r="15" spans="1:15">
      <c r="A15" s="9" t="s">
        <v>863</v>
      </c>
      <c r="B15" s="9" t="s">
        <v>40</v>
      </c>
      <c r="C15" s="11">
        <f>COUNTIF('Project List'!D:D,Calculation!B15)</f>
        <v>1180</v>
      </c>
      <c r="D15" s="12" cm="1">
        <f t="array" ref="D15">_xlfn.PERCENTILE.INC(IF('Project List'!$D$2:$D$14396=$B15,'Project List'!$F$2:$F$14396),D$2)*10</f>
        <v>2400</v>
      </c>
      <c r="E15" s="12" cm="1">
        <f t="array" ref="E15">_xlfn.PERCENTILE.INC(IF('Project List'!$D$2:$D$14396=$B15,'Project List'!$F$2:$F$14396),E$2)*10</f>
        <v>1434.4</v>
      </c>
      <c r="F15" s="12" cm="1">
        <f t="array" ref="F15">_xlfn.PERCENTILE.INC(IF('Project List'!$D$2:$D$14396=$B15,'Project List'!$F$2:$F$14396),F$2)*10</f>
        <v>441.499999999999</v>
      </c>
      <c r="G15" s="12" cm="1">
        <f t="array" ref="G15">_xlfn.PERCENTILE.INC(IF('Project List'!$D$2:$D$14396=$B15,'Project List'!$F$2:$F$14396),G$2)*10</f>
        <v>176.5</v>
      </c>
      <c r="H15" s="12" cm="1">
        <f t="array" ref="H15">_xlfn.PERCENTILE.INC(IF('Project List'!$D$2:$D$14396=$B15,'Project List'!$F$2:$F$14396),H$2)*10</f>
        <v>48</v>
      </c>
      <c r="I15" s="12" cm="1">
        <f t="array" ref="I15">_xlfn.PERCENTILE.INC(IF('Project List'!$D$2:$D$14396=$B15,'Project List'!$F$2:$F$14396),I$2)*10</f>
        <v>16</v>
      </c>
      <c r="J15" s="12" cm="1">
        <f t="array" ref="J15">_xlfn.PERCENTILE.INC(IF('Project List'!$D$2:$D$14396=$B15,'Project List'!$F$2:$F$14396),J$2)*10</f>
        <v>6</v>
      </c>
      <c r="K15" s="12" cm="1">
        <f t="array" ref="K15">_xlfn.PERCENTILE.INC(IF('Project List'!$D$2:$D$14396=$B15,'Project List'!$F$2:$F$14396),K$2)*10</f>
        <v>1.6</v>
      </c>
      <c r="L15" s="12" cm="1">
        <f t="array" ref="L15">_xlfn.PERCENTILE.INC(IF('Project List'!$D$2:$D$14396=$B15,'Project List'!$F$2:$F$14396),L$2)*10</f>
        <v>0.8</v>
      </c>
      <c r="M15" s="12" cm="1">
        <f t="array" ref="M15">_xlfn.PERCENTILE.INC(IF('Project List'!$D$2:$D$14396=$B15,'Project List'!$F$2:$F$14396),M$2)*10</f>
        <v>0.4</v>
      </c>
      <c r="N15" s="12" cm="1">
        <f t="array" ref="N15">_xlfn.PERCENTILE.INC(IF('Project List'!$D$2:$D$14396=$B15,'Project List'!$F$2:$F$14396),N$2)*10</f>
        <v>0.3</v>
      </c>
    </row>
    <row r="16" spans="1:15">
      <c r="A16" s="9" t="s">
        <v>864</v>
      </c>
      <c r="B16" s="9" t="s">
        <v>42</v>
      </c>
      <c r="C16" s="11">
        <f>COUNTIF('Project List'!D:D,Calculation!B16)</f>
        <v>25</v>
      </c>
      <c r="D16" s="12" cm="1">
        <f t="array" ref="D16">_xlfn.PERCENTILE.INC(IF('Project List'!$D$2:$D$14396=$B16,'Project List'!$F$2:$F$14396),D$2)*10</f>
        <v>1500</v>
      </c>
      <c r="E16" s="12" cm="1">
        <f t="array" ref="E16">_xlfn.PERCENTILE.INC(IF('Project List'!$D$2:$D$14396=$B16,'Project List'!$F$2:$F$14396),E$2)*10</f>
        <v>1500</v>
      </c>
      <c r="F16" s="12" cm="1">
        <f t="array" ref="F16">_xlfn.PERCENTILE.INC(IF('Project List'!$D$2:$D$14396=$B16,'Project List'!$F$2:$F$14396),F$2)*10</f>
        <v>1440</v>
      </c>
      <c r="G16" s="12" cm="1">
        <f t="array" ref="G16">_xlfn.PERCENTILE.INC(IF('Project List'!$D$2:$D$14396=$B16,'Project List'!$F$2:$F$14396),G$2)*10</f>
        <v>1200</v>
      </c>
      <c r="H16" s="12" cm="1">
        <f t="array" ref="H16">_xlfn.PERCENTILE.INC(IF('Project List'!$D$2:$D$14396=$B16,'Project List'!$F$2:$F$14396),H$2)*10</f>
        <v>1050</v>
      </c>
      <c r="I16" s="12" cm="1">
        <f t="array" ref="I16">_xlfn.PERCENTILE.INC(IF('Project List'!$D$2:$D$14396=$B16,'Project List'!$F$2:$F$14396),I$2)*10</f>
        <v>600</v>
      </c>
      <c r="J16" s="12" cm="1">
        <f t="array" ref="J16">_xlfn.PERCENTILE.INC(IF('Project List'!$D$2:$D$14396=$B16,'Project List'!$F$2:$F$14396),J$2)*10</f>
        <v>320</v>
      </c>
      <c r="K16" s="12" cm="1">
        <f t="array" ref="K16">_xlfn.PERCENTILE.INC(IF('Project List'!$D$2:$D$14396=$B16,'Project List'!$F$2:$F$14396),K$2)*10</f>
        <v>300</v>
      </c>
      <c r="L16" s="12" cm="1">
        <f t="array" ref="L16">_xlfn.PERCENTILE.INC(IF('Project List'!$D$2:$D$14396=$B16,'Project List'!$F$2:$F$14396),L$2)*10</f>
        <v>300</v>
      </c>
      <c r="M16" s="12" cm="1">
        <f t="array" ref="M16">_xlfn.PERCENTILE.INC(IF('Project List'!$D$2:$D$14396=$B16,'Project List'!$F$2:$F$14396),M$2)*10</f>
        <v>248</v>
      </c>
      <c r="N16" s="12" cm="1">
        <f t="array" ref="N16">_xlfn.PERCENTILE.INC(IF('Project List'!$D$2:$D$14396=$B16,'Project List'!$F$2:$F$14396),N$2)*10</f>
        <v>224</v>
      </c>
    </row>
    <row r="17" spans="1:14">
      <c r="A17" s="9" t="s">
        <v>865</v>
      </c>
      <c r="B17" s="9" t="s">
        <v>31</v>
      </c>
      <c r="C17" s="11">
        <f>COUNTIF('Project List'!D:D,Calculation!B17)</f>
        <v>5346</v>
      </c>
      <c r="D17" s="12" cm="1">
        <f t="array" ref="D17">_xlfn.PERCENTILE.INC(IF('Project List'!$D$2:$D$14396=$B17,'Project List'!$F$2:$F$14396),D$2)*10</f>
        <v>232.185</v>
      </c>
      <c r="E17" s="12" cm="1">
        <f t="array" ref="E17">_xlfn.PERCENTILE.INC(IF('Project List'!$D$2:$D$14396=$B17,'Project List'!$F$2:$F$14396),E$2)*10</f>
        <v>189.799999999999</v>
      </c>
      <c r="F17" s="12" cm="1">
        <f t="array" ref="F17">_xlfn.PERCENTILE.INC(IF('Project List'!$D$2:$D$14396=$B17,'Project List'!$F$2:$F$14396),F$2)*10</f>
        <v>100</v>
      </c>
      <c r="G17" s="12" cm="1">
        <f t="array" ref="G17">_xlfn.PERCENTILE.INC(IF('Project List'!$D$2:$D$14396=$B17,'Project List'!$F$2:$F$14396),G$2)*10</f>
        <v>92.5</v>
      </c>
      <c r="H17" s="12" cm="1">
        <f t="array" ref="H17">_xlfn.PERCENTILE.INC(IF('Project List'!$D$2:$D$14396=$B17,'Project List'!$F$2:$F$14396),H$2)*10</f>
        <v>40</v>
      </c>
      <c r="I17" s="12" cm="1">
        <f t="array" ref="I17">_xlfn.PERCENTILE.INC(IF('Project List'!$D$2:$D$14396=$B17,'Project List'!$F$2:$F$14396),I$2)*10</f>
        <v>20</v>
      </c>
      <c r="J17" s="12" cm="1">
        <f t="array" ref="J17">_xlfn.PERCENTILE.INC(IF('Project List'!$D$2:$D$14396=$B17,'Project List'!$F$2:$F$14396),J$2)*10</f>
        <v>10</v>
      </c>
      <c r="K17" s="12" cm="1">
        <f t="array" ref="K17">_xlfn.PERCENTILE.INC(IF('Project List'!$D$2:$D$14396=$B17,'Project List'!$F$2:$F$14396),K$2)*10</f>
        <v>4.8</v>
      </c>
      <c r="L17" s="12" cm="1">
        <f t="array" ref="L17">_xlfn.PERCENTILE.INC(IF('Project List'!$D$2:$D$14396=$B17,'Project List'!$F$2:$F$14396),L$2)*10</f>
        <v>1.4</v>
      </c>
      <c r="M17" s="12" cm="1">
        <f t="array" ref="M17">_xlfn.PERCENTILE.INC(IF('Project List'!$D$2:$D$14396=$B17,'Project List'!$F$2:$F$14396),M$2)*10</f>
        <v>0.3</v>
      </c>
      <c r="N17" s="12" cm="1">
        <f t="array" ref="N17">_xlfn.PERCENTILE.INC(IF('Project List'!$D$2:$D$14396=$B17,'Project List'!$F$2:$F$14396),N$2)*10</f>
        <v>0.1</v>
      </c>
    </row>
    <row r="21" s="4" customFormat="1" ht="27.75" spans="1:14">
      <c r="B21" s="13"/>
      <c r="C21" s="13" t="s">
        <v>866</v>
      </c>
      <c r="D21" s="13" t="s">
        <v>867</v>
      </c>
      <c r="E21" s="13" t="s">
        <v>868</v>
      </c>
    </row>
    <row r="22" spans="1:14">
      <c r="B22" s="9" t="s">
        <v>869</v>
      </c>
      <c r="C22" s="14">
        <f>L8</f>
        <v>6</v>
      </c>
      <c r="D22" s="15">
        <f>ROUND(C22,0)</f>
        <v>6</v>
      </c>
      <c r="E22" s="16">
        <v>0.05</v>
      </c>
    </row>
    <row r="23" spans="1:14">
      <c r="B23" s="9" t="s">
        <v>870</v>
      </c>
      <c r="C23" s="14">
        <f>L9</f>
        <v>4.8</v>
      </c>
      <c r="D23" s="15">
        <f t="shared" ref="D23:D37" si="0">ROUND(C23,0)</f>
        <v>5</v>
      </c>
      <c r="E23" s="16">
        <v>0.05</v>
      </c>
    </row>
    <row r="24" spans="1:14">
      <c r="B24" s="9" t="s">
        <v>871</v>
      </c>
      <c r="C24" s="14">
        <f>N4</f>
        <v>650</v>
      </c>
      <c r="D24" s="15">
        <f t="shared" si="0"/>
        <v>650</v>
      </c>
      <c r="E24" s="16">
        <v>0.01</v>
      </c>
    </row>
    <row r="25" spans="1:14">
      <c r="B25" s="9" t="s">
        <v>872</v>
      </c>
      <c r="C25" s="14">
        <f>L15</f>
        <v>0.8</v>
      </c>
      <c r="D25" s="15">
        <f t="shared" si="0"/>
        <v>1</v>
      </c>
      <c r="E25" s="16">
        <v>0.05</v>
      </c>
    </row>
    <row r="26" spans="1:14">
      <c r="B26" s="9" t="s">
        <v>873</v>
      </c>
      <c r="C26" s="14">
        <f>N3</f>
        <v>2</v>
      </c>
      <c r="D26" s="15">
        <f t="shared" si="0"/>
        <v>2</v>
      </c>
      <c r="E26" s="16">
        <v>0.01</v>
      </c>
    </row>
    <row r="27" spans="1:14">
      <c r="B27" s="9" t="s">
        <v>874</v>
      </c>
      <c r="C27" s="14">
        <f>L17</f>
        <v>1.4</v>
      </c>
      <c r="D27" s="15">
        <f t="shared" si="0"/>
        <v>1</v>
      </c>
      <c r="E27" s="16">
        <v>0.05</v>
      </c>
    </row>
    <row r="28" spans="1:14">
      <c r="B28" s="9" t="s">
        <v>875</v>
      </c>
      <c r="C28" s="17">
        <f>MIN('Solar Thermal'!F:F)</f>
        <v>50</v>
      </c>
      <c r="D28" s="15">
        <f t="shared" si="0"/>
        <v>50</v>
      </c>
      <c r="E28" s="16" t="s">
        <v>876</v>
      </c>
    </row>
    <row r="29" spans="1:14">
      <c r="B29" s="9" t="s">
        <v>877</v>
      </c>
      <c r="C29" s="14">
        <f>L5</f>
        <v>5.89</v>
      </c>
      <c r="D29" s="15">
        <f t="shared" si="0"/>
        <v>6</v>
      </c>
      <c r="E29" s="16">
        <v>0.05</v>
      </c>
    </row>
    <row r="30" spans="1:14">
      <c r="B30" s="9" t="s">
        <v>878</v>
      </c>
      <c r="C30" s="17">
        <f>MIN(Geothermal!D4:D35)</f>
        <v>5</v>
      </c>
      <c r="D30" s="15">
        <f t="shared" si="0"/>
        <v>5</v>
      </c>
      <c r="E30" s="18" t="s">
        <v>879</v>
      </c>
    </row>
    <row r="31" spans="1:14">
      <c r="B31" s="9" t="s">
        <v>880</v>
      </c>
      <c r="C31" s="14">
        <f>C23</f>
        <v>4.8</v>
      </c>
      <c r="D31" s="15">
        <f t="shared" si="0"/>
        <v>5</v>
      </c>
      <c r="E31" s="18" t="s">
        <v>881</v>
      </c>
    </row>
    <row r="32" spans="1:14">
      <c r="B32" s="9" t="s">
        <v>882</v>
      </c>
      <c r="C32" s="14">
        <f>C23</f>
        <v>4.8</v>
      </c>
      <c r="D32" s="15">
        <f t="shared" si="0"/>
        <v>5</v>
      </c>
      <c r="E32" s="16">
        <v>0.05</v>
      </c>
    </row>
    <row r="33" spans="2:5">
      <c r="B33" s="9" t="s">
        <v>883</v>
      </c>
      <c r="C33" s="14">
        <f>L9</f>
        <v>4.8</v>
      </c>
      <c r="D33" s="15">
        <f t="shared" si="0"/>
        <v>5</v>
      </c>
      <c r="E33" s="16">
        <v>0.05</v>
      </c>
    </row>
    <row r="34" spans="2:5">
      <c r="B34" s="9" t="s">
        <v>884</v>
      </c>
      <c r="C34" s="17">
        <f>_xlfn.PERCENTILE.INC(OffshoreProject!D:D,0.01)</f>
        <v>32.62</v>
      </c>
      <c r="D34" s="15">
        <f t="shared" si="0"/>
        <v>33</v>
      </c>
      <c r="E34" s="18" t="s">
        <v>885</v>
      </c>
    </row>
    <row r="35" spans="2:5">
      <c r="B35" s="9" t="s">
        <v>886</v>
      </c>
      <c r="C35" s="14">
        <f>C31</f>
        <v>4.8</v>
      </c>
      <c r="D35" s="15">
        <f t="shared" si="0"/>
        <v>5</v>
      </c>
      <c r="E35" s="18" t="s">
        <v>881</v>
      </c>
    </row>
    <row r="36" spans="2:5">
      <c r="B36" s="9" t="s">
        <v>887</v>
      </c>
      <c r="C36" s="14">
        <f>C31</f>
        <v>4.8</v>
      </c>
      <c r="D36" s="15">
        <f t="shared" si="0"/>
        <v>5</v>
      </c>
      <c r="E36" s="18" t="s">
        <v>881</v>
      </c>
    </row>
    <row r="37" spans="2:5">
      <c r="B37" s="9" t="s">
        <v>888</v>
      </c>
      <c r="C37" s="14">
        <f>L6</f>
        <v>6</v>
      </c>
      <c r="D37" s="15">
        <f t="shared" si="0"/>
        <v>6</v>
      </c>
      <c r="E37" s="16">
        <v>0.05</v>
      </c>
    </row>
  </sheetData>
  <mergeCells count="4">
    <mergeCell ref="D1:N1"/>
    <mergeCell ref="A1:A2"/>
    <mergeCell ref="B1:B2"/>
    <mergeCell ref="C1:C2"/>
  </mergeCells>
  <conditionalFormatting sqref="D3:N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499984740745262"/>
  </sheetPr>
  <dimension ref="A1:B17"/>
  <sheetViews>
    <sheetView tabSelected="1" workbookViewId="0">
      <selection activeCell="B4" sqref="B4"/>
    </sheetView>
  </sheetViews>
  <sheetFormatPr defaultColWidth="9" defaultRowHeight="13.85" outlineLevelCol="1"/>
  <cols>
    <col min="1" max="1" width="23.6637168141593" style="1" customWidth="1"/>
    <col min="2" max="2" width="14.1061946902655" style="1" customWidth="1"/>
    <col min="3" max="16384" width="9" style="1"/>
  </cols>
  <sheetData>
    <row r="1" spans="1:2">
      <c r="B1" s="2" t="s">
        <v>889</v>
      </c>
    </row>
    <row r="2" spans="1:2">
      <c r="A2" s="1" t="s">
        <v>869</v>
      </c>
      <c r="B2" s="3">
        <f>Calculation!D22</f>
        <v>6</v>
      </c>
    </row>
    <row r="3" spans="1:2">
      <c r="A3" s="1" t="s">
        <v>870</v>
      </c>
      <c r="B3" s="3">
        <f>Calculation!D23</f>
        <v>5</v>
      </c>
    </row>
    <row r="4" spans="1:2">
      <c r="A4" s="1" t="s">
        <v>871</v>
      </c>
      <c r="B4" s="3">
        <f>MIN(Nuclear!M:M)</f>
        <v>125</v>
      </c>
    </row>
    <row r="5" spans="1:2">
      <c r="A5" s="1" t="s">
        <v>872</v>
      </c>
      <c r="B5" s="3">
        <f>Calculation!D25</f>
        <v>1</v>
      </c>
    </row>
    <row r="6" spans="1:2">
      <c r="A6" s="1" t="s">
        <v>873</v>
      </c>
      <c r="B6" s="3">
        <f>Calculation!D26</f>
        <v>2</v>
      </c>
    </row>
    <row r="7" spans="1:2">
      <c r="A7" s="1" t="s">
        <v>874</v>
      </c>
      <c r="B7" s="3">
        <f>Calculation!D27</f>
        <v>1</v>
      </c>
    </row>
    <row r="8" spans="1:2">
      <c r="A8" s="1" t="s">
        <v>875</v>
      </c>
      <c r="B8" s="3">
        <f>Calculation!D28</f>
        <v>50</v>
      </c>
    </row>
    <row r="9" spans="1:2">
      <c r="A9" s="1" t="s">
        <v>877</v>
      </c>
      <c r="B9" s="3">
        <f>Calculation!D29</f>
        <v>6</v>
      </c>
    </row>
    <row r="10" spans="1:2">
      <c r="A10" s="1" t="s">
        <v>878</v>
      </c>
      <c r="B10" s="3">
        <f>Calculation!D30</f>
        <v>5</v>
      </c>
    </row>
    <row r="11" spans="1:2">
      <c r="A11" s="1" t="s">
        <v>880</v>
      </c>
      <c r="B11" s="3">
        <f>Calculation!D31</f>
        <v>5</v>
      </c>
    </row>
    <row r="12" spans="1:2">
      <c r="A12" s="1" t="s">
        <v>882</v>
      </c>
      <c r="B12" s="3">
        <f>Calculation!M10</f>
        <v>0.95</v>
      </c>
    </row>
    <row r="13" spans="1:2">
      <c r="A13" s="1" t="s">
        <v>883</v>
      </c>
      <c r="B13" s="3">
        <f>Calculation!D33</f>
        <v>5</v>
      </c>
    </row>
    <row r="14" spans="1:2">
      <c r="A14" s="1" t="s">
        <v>884</v>
      </c>
      <c r="B14" s="3">
        <f>Calculation!D34</f>
        <v>33</v>
      </c>
    </row>
    <row r="15" spans="1:2">
      <c r="A15" s="1" t="s">
        <v>886</v>
      </c>
      <c r="B15" s="3">
        <f>Calculation!D35</f>
        <v>5</v>
      </c>
    </row>
    <row r="16" spans="1:2">
      <c r="A16" s="1" t="s">
        <v>887</v>
      </c>
      <c r="B16" s="3">
        <f>Calculation!D36</f>
        <v>5</v>
      </c>
    </row>
    <row r="17" spans="1:2">
      <c r="A17" s="1" t="s">
        <v>888</v>
      </c>
      <c r="B17" s="3">
        <f>Calculation!D37</f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About</vt:lpstr>
      <vt:lpstr>Project List</vt:lpstr>
      <vt:lpstr>Solar Thermal</vt:lpstr>
      <vt:lpstr>Geothermal</vt:lpstr>
      <vt:lpstr>OffshoreProject</vt:lpstr>
      <vt:lpstr>Nuclear</vt:lpstr>
      <vt:lpstr>Calculation</vt:lpstr>
      <vt:lpstr>MPPC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仰望星空✨✨</cp:lastModifiedBy>
  <dcterms:created xsi:type="dcterms:W3CDTF">2023-06-14T02:58:00Z</dcterms:created>
  <dcterms:modified xsi:type="dcterms:W3CDTF">2026-04-20T08:38:15Z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9D218DF3173A493BB34EB2EC721499E0_12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