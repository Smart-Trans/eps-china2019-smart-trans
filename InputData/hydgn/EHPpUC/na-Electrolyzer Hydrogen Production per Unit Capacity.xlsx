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Xi Xi\Documents\01_EPS\01_National\00_Model\InputData\hydgn\EHPpUC\"/>
    </mc:Choice>
  </mc:AlternateContent>
  <xr:revisionPtr revIDLastSave="0" documentId="8_{EADEA6E7-3EC5-42AE-8C68-7CF4B566F64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bout" sheetId="1" r:id="rId1"/>
    <sheet name="Calculations" sheetId="3" r:id="rId2"/>
    <sheet name="EHPpU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4" i="3" l="1"/>
  <c r="AO2" i="2" s="1"/>
  <c r="A4" i="3"/>
  <c r="AJ2" i="2"/>
  <c r="AR2" i="2"/>
  <c r="AS2" i="2"/>
  <c r="AP2" i="2" l="1"/>
  <c r="AQ2" i="2"/>
  <c r="AN2" i="2"/>
  <c r="AM2" i="2"/>
  <c r="AL2" i="2"/>
  <c r="AK2" i="2"/>
  <c r="C2" i="2"/>
  <c r="D2" i="2"/>
  <c r="H2" i="2"/>
  <c r="L2" i="2"/>
  <c r="P2" i="2"/>
  <c r="X2" i="2"/>
  <c r="AB2" i="2"/>
  <c r="AF2" i="2"/>
  <c r="E2" i="2"/>
  <c r="I2" i="2"/>
  <c r="M2" i="2"/>
  <c r="Q2" i="2"/>
  <c r="U2" i="2"/>
  <c r="Y2" i="2"/>
  <c r="AC2" i="2"/>
  <c r="AG2" i="2"/>
  <c r="G2" i="2"/>
  <c r="K2" i="2"/>
  <c r="O2" i="2"/>
  <c r="S2" i="2"/>
  <c r="W2" i="2"/>
  <c r="AA2" i="2"/>
  <c r="AE2" i="2"/>
  <c r="AI2" i="2"/>
  <c r="F2" i="2"/>
  <c r="J2" i="2"/>
  <c r="N2" i="2"/>
  <c r="R2" i="2"/>
  <c r="V2" i="2"/>
  <c r="Z2" i="2"/>
  <c r="AD2" i="2"/>
  <c r="AH2" i="2"/>
  <c r="T2" i="2"/>
  <c r="B2" i="2"/>
</calcChain>
</file>

<file path=xl/sharedStrings.xml><?xml version="1.0" encoding="utf-8"?>
<sst xmlns="http://schemas.openxmlformats.org/spreadsheetml/2006/main" count="23" uniqueCount="23">
  <si>
    <t>Source:</t>
  </si>
  <si>
    <t>Notes</t>
  </si>
  <si>
    <t>This variable should contain the minimum input electricity</t>
  </si>
  <si>
    <t>capacity requirements to produce a particular amount</t>
  </si>
  <si>
    <t>of hydrogen per year via electrolysis.  Thus, it assumes</t>
  </si>
  <si>
    <t>the electrolyzer runs 24/7/365.</t>
  </si>
  <si>
    <t>EHPpUC Electrolyzer Hydrogen Production per Unit Capacity</t>
  </si>
  <si>
    <t>tons H2 / MW</t>
  </si>
  <si>
    <t>Hydrogen Energy Density (Higher Heating Value)</t>
  </si>
  <si>
    <t>BTU/lb</t>
  </si>
  <si>
    <t>lb per metric ton</t>
  </si>
  <si>
    <t>lb/metric ton</t>
  </si>
  <si>
    <t>(BTU H2/yr) / MW</t>
  </si>
  <si>
    <t>BTU H2 / MW (annual production)</t>
  </si>
  <si>
    <t>White Paper on China's Hydrogen Energy and Fuel Cell Industry</t>
  </si>
  <si>
    <t>White Paper on China's Hydrogen Energy and Fuel Cell Industry: 143MJ/kg</t>
  </si>
  <si>
    <t xml:space="preserve">Page 3 </t>
  </si>
  <si>
    <t>Page  24</t>
  </si>
  <si>
    <t>Page 24/white paper</t>
  </si>
  <si>
    <t>http://www.h2cn.org/Uploads/2019/08/15/u5d54d41053702.pdf</t>
  </si>
  <si>
    <t>kWh/m3 H2</t>
  </si>
  <si>
    <t>White paper (p24)</t>
  </si>
  <si>
    <t>m3 H2/kg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</si>
</sst>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1" fontId="0" fillId="0" borderId="0" xfId="0" applyNumberFormat="1"/>
    <xf numFmtId="0" fontId="3" fillId="0" borderId="0" xfId="1" applyFont="1"/>
    <xf numFmtId="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2cn.org/Uploads/2019/08/15/u5d54d410537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B5" sqref="B5"/>
    </sheetView>
  </sheetViews>
  <sheetFormatPr defaultColWidth="8.88671875" defaultRowHeight="14.4"/>
  <sheetData>
    <row r="1" spans="1:3">
      <c r="A1" s="1" t="s">
        <v>6</v>
      </c>
    </row>
    <row r="3" spans="1:3">
      <c r="A3" s="1" t="s">
        <v>0</v>
      </c>
      <c r="B3" t="s">
        <v>14</v>
      </c>
    </row>
    <row r="4" spans="1:3">
      <c r="B4" s="2">
        <v>2019</v>
      </c>
    </row>
    <row r="5" spans="1:3">
      <c r="B5" s="3" t="s">
        <v>19</v>
      </c>
    </row>
    <row r="6" spans="1:3">
      <c r="B6" t="s">
        <v>16</v>
      </c>
      <c r="C6" t="s">
        <v>17</v>
      </c>
    </row>
    <row r="8" spans="1:3">
      <c r="A8" s="1" t="s">
        <v>1</v>
      </c>
    </row>
    <row r="9" spans="1:3">
      <c r="A9" t="s">
        <v>2</v>
      </c>
    </row>
    <row r="10" spans="1:3">
      <c r="A10" t="s">
        <v>3</v>
      </c>
    </row>
    <row r="11" spans="1:3">
      <c r="A11" t="s">
        <v>4</v>
      </c>
    </row>
    <row r="12" spans="1:3">
      <c r="A12" t="s">
        <v>5</v>
      </c>
    </row>
  </sheetData>
  <hyperlinks>
    <hyperlink ref="B5" r:id="rId1" xr:uid="{EF071D92-73B8-704C-A649-5FF76D5603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6" sqref="C6"/>
    </sheetView>
  </sheetViews>
  <sheetFormatPr defaultColWidth="8.88671875" defaultRowHeight="14.4"/>
  <cols>
    <col min="1" max="1" width="12" customWidth="1"/>
    <col min="2" max="2" width="25.109375" customWidth="1"/>
    <col min="3" max="3" width="27.44140625" customWidth="1"/>
    <col min="4" max="5" width="14.6640625" customWidth="1"/>
  </cols>
  <sheetData>
    <row r="1" spans="1:3">
      <c r="A1" s="1" t="s">
        <v>18</v>
      </c>
      <c r="B1" t="s">
        <v>21</v>
      </c>
    </row>
    <row r="2" spans="1:3">
      <c r="A2" s="6" t="s">
        <v>7</v>
      </c>
      <c r="B2" t="s">
        <v>20</v>
      </c>
      <c r="C2" t="s">
        <v>22</v>
      </c>
    </row>
    <row r="3" spans="1:3">
      <c r="A3" s="7">
        <v>1.6400000000000001E-2</v>
      </c>
    </row>
    <row r="4" spans="1:3">
      <c r="A4" s="9">
        <f>1/(B4*C4)*8760</f>
        <v>173.8095238095238</v>
      </c>
      <c r="B4">
        <v>4.5</v>
      </c>
      <c r="C4">
        <v>11.2</v>
      </c>
    </row>
    <row r="5" spans="1:3">
      <c r="A5" s="8"/>
    </row>
    <row r="7" spans="1:3">
      <c r="A7" s="1" t="s">
        <v>8</v>
      </c>
    </row>
    <row r="8" spans="1:3">
      <c r="A8">
        <v>61478</v>
      </c>
      <c r="B8" t="s">
        <v>9</v>
      </c>
      <c r="C8" s="5" t="s">
        <v>15</v>
      </c>
    </row>
    <row r="10" spans="1:3">
      <c r="A10" s="1" t="s">
        <v>10</v>
      </c>
    </row>
    <row r="11" spans="1:3">
      <c r="A11">
        <v>2204.62</v>
      </c>
      <c r="B11" t="s">
        <v>11</v>
      </c>
    </row>
    <row r="13" spans="1:3">
      <c r="A13" s="1" t="s">
        <v>13</v>
      </c>
    </row>
    <row r="14" spans="1:3">
      <c r="A14" s="4">
        <f>A4*A11*A8</f>
        <v>23557383024.476185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S2"/>
  <sheetViews>
    <sheetView tabSelected="1" workbookViewId="0">
      <selection activeCell="C15" sqref="C15"/>
    </sheetView>
  </sheetViews>
  <sheetFormatPr defaultColWidth="8.88671875" defaultRowHeight="14.4"/>
  <cols>
    <col min="1" max="1" width="17" customWidth="1"/>
  </cols>
  <sheetData>
    <row r="1" spans="1:45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</row>
    <row r="2" spans="1:45">
      <c r="A2" t="s">
        <v>12</v>
      </c>
      <c r="B2" s="4">
        <f>Calculations!$A$14</f>
        <v>23557383024.476185</v>
      </c>
      <c r="C2" s="4">
        <f>Calculations!$A$14</f>
        <v>23557383024.476185</v>
      </c>
      <c r="D2" s="4">
        <f>Calculations!$A$14</f>
        <v>23557383024.476185</v>
      </c>
      <c r="E2" s="4">
        <f>Calculations!$A$14</f>
        <v>23557383024.476185</v>
      </c>
      <c r="F2" s="4">
        <f>Calculations!$A$14</f>
        <v>23557383024.476185</v>
      </c>
      <c r="G2" s="4">
        <f>Calculations!$A$14</f>
        <v>23557383024.476185</v>
      </c>
      <c r="H2" s="4">
        <f>Calculations!$A$14</f>
        <v>23557383024.476185</v>
      </c>
      <c r="I2" s="4">
        <f>Calculations!$A$14</f>
        <v>23557383024.476185</v>
      </c>
      <c r="J2" s="4">
        <f>Calculations!$A$14</f>
        <v>23557383024.476185</v>
      </c>
      <c r="K2" s="4">
        <f>Calculations!$A$14</f>
        <v>23557383024.476185</v>
      </c>
      <c r="L2" s="4">
        <f>Calculations!$A$14</f>
        <v>23557383024.476185</v>
      </c>
      <c r="M2" s="4">
        <f>Calculations!$A$14</f>
        <v>23557383024.476185</v>
      </c>
      <c r="N2" s="4">
        <f>Calculations!$A$14</f>
        <v>23557383024.476185</v>
      </c>
      <c r="O2" s="4">
        <f>Calculations!$A$14</f>
        <v>23557383024.476185</v>
      </c>
      <c r="P2" s="4">
        <f>Calculations!$A$14</f>
        <v>23557383024.476185</v>
      </c>
      <c r="Q2" s="4">
        <f>Calculations!$A$14</f>
        <v>23557383024.476185</v>
      </c>
      <c r="R2" s="4">
        <f>Calculations!$A$14</f>
        <v>23557383024.476185</v>
      </c>
      <c r="S2" s="4">
        <f>Calculations!$A$14</f>
        <v>23557383024.476185</v>
      </c>
      <c r="T2" s="4">
        <f>Calculations!$A$14</f>
        <v>23557383024.476185</v>
      </c>
      <c r="U2" s="4">
        <f>Calculations!$A$14</f>
        <v>23557383024.476185</v>
      </c>
      <c r="V2" s="4">
        <f>Calculations!$A$14</f>
        <v>23557383024.476185</v>
      </c>
      <c r="W2" s="4">
        <f>Calculations!$A$14</f>
        <v>23557383024.476185</v>
      </c>
      <c r="X2" s="4">
        <f>Calculations!$A$14</f>
        <v>23557383024.476185</v>
      </c>
      <c r="Y2" s="4">
        <f>Calculations!$A$14</f>
        <v>23557383024.476185</v>
      </c>
      <c r="Z2" s="4">
        <f>Calculations!$A$14</f>
        <v>23557383024.476185</v>
      </c>
      <c r="AA2" s="4">
        <f>Calculations!$A$14</f>
        <v>23557383024.476185</v>
      </c>
      <c r="AB2" s="4">
        <f>Calculations!$A$14</f>
        <v>23557383024.476185</v>
      </c>
      <c r="AC2" s="4">
        <f>Calculations!$A$14</f>
        <v>23557383024.476185</v>
      </c>
      <c r="AD2" s="4">
        <f>Calculations!$A$14</f>
        <v>23557383024.476185</v>
      </c>
      <c r="AE2" s="4">
        <f>Calculations!$A$14</f>
        <v>23557383024.476185</v>
      </c>
      <c r="AF2" s="4">
        <f>Calculations!$A$14</f>
        <v>23557383024.476185</v>
      </c>
      <c r="AG2" s="4">
        <f>Calculations!$A$14</f>
        <v>23557383024.476185</v>
      </c>
      <c r="AH2" s="4">
        <f>Calculations!$A$14</f>
        <v>23557383024.476185</v>
      </c>
      <c r="AI2" s="4">
        <f>Calculations!$A$14</f>
        <v>23557383024.476185</v>
      </c>
      <c r="AJ2" s="4">
        <f>Calculations!$A$14</f>
        <v>23557383024.476185</v>
      </c>
      <c r="AK2" s="4">
        <f>Calculations!$A$14</f>
        <v>23557383024.476185</v>
      </c>
      <c r="AL2" s="4">
        <f>Calculations!$A$14</f>
        <v>23557383024.476185</v>
      </c>
      <c r="AM2" s="4">
        <f>Calculations!$A$14</f>
        <v>23557383024.476185</v>
      </c>
      <c r="AN2" s="4">
        <f>Calculations!$A$14</f>
        <v>23557383024.476185</v>
      </c>
      <c r="AO2" s="4">
        <f>Calculations!$A$14</f>
        <v>23557383024.476185</v>
      </c>
      <c r="AP2" s="4">
        <f>Calculations!$A$14</f>
        <v>23557383024.476185</v>
      </c>
      <c r="AQ2" s="4">
        <f>Calculations!$A$14</f>
        <v>23557383024.476185</v>
      </c>
      <c r="AR2" s="4">
        <f>Calculations!$A$14</f>
        <v>23557383024.476185</v>
      </c>
      <c r="AS2" s="4">
        <f>Calculations!$A$14</f>
        <v>23557383024.476185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D0CC07-0C0E-4DDD-B426-DF968E349D8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0A92544-FE8D-4F6A-A7E9-0A441FA939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DA835D-7CB4-4367-BAF1-C41664978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EHPpUC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Xi Xi</cp:lastModifiedBy>
  <dcterms:created xsi:type="dcterms:W3CDTF">2019-07-24T01:16:31Z</dcterms:created>
  <dcterms:modified xsi:type="dcterms:W3CDTF">2023-04-12T06:34:21Z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</Properties>
</file>