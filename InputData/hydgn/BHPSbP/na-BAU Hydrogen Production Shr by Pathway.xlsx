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EPS in github\Github China\eps-china2019-smart-trans\InputData\hydgn\BHPSbP\"/>
    </mc:Choice>
  </mc:AlternateContent>
  <xr:revisionPtr revIDLastSave="0" documentId="13_ncr:1_{39338BF9-C721-4946-ABD9-90411A8E942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bout" sheetId="1" r:id="rId1"/>
    <sheet name="Calculation" sheetId="3" r:id="rId2"/>
    <sheet name="BHPSb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2" i="2"/>
  <c r="B9" i="1"/>
  <c r="C5" i="2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C4" i="2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C3" i="2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B15" i="3"/>
  <c r="B14" i="3"/>
  <c r="B13" i="3"/>
  <c r="D6" i="2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</calcChain>
</file>

<file path=xl/sharedStrings.xml><?xml version="1.0" encoding="utf-8"?>
<sst xmlns="http://schemas.openxmlformats.org/spreadsheetml/2006/main" count="39" uniqueCount="27">
  <si>
    <t>BHPSbP BAU Hydrogen Production Shares by Pathway</t>
  </si>
  <si>
    <t>Sources:</t>
  </si>
  <si>
    <t>electrolysis</t>
  </si>
  <si>
    <t>natural gas reforming</t>
  </si>
  <si>
    <t>coal gasification</t>
  </si>
  <si>
    <t>Production Share (dimensionless)</t>
  </si>
  <si>
    <t>Notes：</t>
    <phoneticPr fontId="3" type="noConversion"/>
  </si>
  <si>
    <t>We assume today's shares are constant in the BAU case.</t>
  </si>
  <si>
    <t>biomass gasification</t>
    <phoneticPr fontId="3" type="noConversion"/>
  </si>
  <si>
    <t>thermochemical water splitting</t>
    <phoneticPr fontId="3" type="noConversion"/>
  </si>
  <si>
    <t xml:space="preserve">For biomass gasification and thermochemical water splitting, are still in the experimental and developmental stages </t>
    <phoneticPr fontId="3" type="noConversion"/>
  </si>
  <si>
    <t>and have not yet reached the requirements for industrial-scale hydrogen production. Therefore, in the BAU scenario, these are set to 0.</t>
    <phoneticPr fontId="3" type="noConversion"/>
  </si>
  <si>
    <t>byproduct hydrogen</t>
  </si>
  <si>
    <t>Notes:</t>
    <phoneticPr fontId="3" type="noConversion"/>
  </si>
  <si>
    <t>So, Table 2 recalculation the production shares.</t>
    <phoneticPr fontId="3" type="noConversion"/>
  </si>
  <si>
    <t>Table1：Including industrial byproduct hydrogen</t>
    <phoneticPr fontId="3" type="noConversion"/>
  </si>
  <si>
    <t>Table2：Excluding industrial byproduct hydrogen</t>
    <phoneticPr fontId="3" type="noConversion"/>
  </si>
  <si>
    <t>Data source:</t>
    <phoneticPr fontId="3" type="noConversion"/>
  </si>
  <si>
    <t>中国氢能产业发展蓝皮书（2023）</t>
    <phoneticPr fontId="3" type="noConversion"/>
  </si>
  <si>
    <t>page 25，Figure 9</t>
    <phoneticPr fontId="3" type="noConversion"/>
  </si>
  <si>
    <t>https://www.lightingchina.com.cn/upload/article/126449/file/1691910458643788.pdf</t>
  </si>
  <si>
    <r>
      <rPr>
        <sz val="11"/>
        <color theme="1"/>
        <rFont val="等线"/>
        <family val="3"/>
        <charset val="134"/>
        <scheme val="minor"/>
      </rPr>
      <t>Hydrogen supply sector represents</t>
    </r>
    <r>
      <rPr>
        <sz val="11"/>
        <color theme="1"/>
        <rFont val="等线 Light"/>
        <family val="3"/>
        <charset val="134"/>
        <scheme val="major"/>
      </rPr>
      <t> </t>
    </r>
    <r>
      <rPr>
        <i/>
        <sz val="10"/>
        <color rgb="FF1C1E21"/>
        <rFont val="等线"/>
        <family val="3"/>
        <charset val="134"/>
        <scheme val="minor"/>
      </rPr>
      <t>dedicated</t>
    </r>
    <r>
      <rPr>
        <sz val="10"/>
        <color rgb="FF1C1E21"/>
        <rFont val="等线"/>
        <family val="3"/>
        <charset val="134"/>
        <scheme val="minor"/>
      </rPr>
      <t> hydrogen production, not hydrogen produced as a byproduct of industrial operations aiming at producing a different product</t>
    </r>
    <r>
      <rPr>
        <sz val="11"/>
        <color theme="1"/>
        <rFont val="等线"/>
        <family val="3"/>
        <charset val="134"/>
        <scheme val="minor"/>
      </rPr>
      <t>.</t>
    </r>
    <phoneticPr fontId="3" type="noConversion"/>
  </si>
  <si>
    <t>Hydrogen Production Shares</t>
    <phoneticPr fontId="3" type="noConversion"/>
  </si>
  <si>
    <t>Page 25，Figure 9</t>
    <phoneticPr fontId="3" type="noConversion"/>
  </si>
  <si>
    <t>Blue Book on the Development of China's Hydrogen Industry</t>
    <phoneticPr fontId="3" type="noConversion"/>
  </si>
  <si>
    <t>KINGZONG Energy   北京金正纵横信息咨询有限公司能源战略研究中心</t>
    <phoneticPr fontId="3" type="noConversion"/>
  </si>
  <si>
    <t>中国氢能产业发展蓝皮书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</si>
</sst>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0"/>
  </numFmts>
  <fonts count="9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 Light"/>
      <family val="3"/>
      <charset val="134"/>
      <scheme val="major"/>
    </font>
    <font>
      <i/>
      <sz val="10"/>
      <color rgb="FF1C1E21"/>
      <name val="等线"/>
      <family val="3"/>
      <charset val="134"/>
      <scheme val="minor"/>
    </font>
    <font>
      <sz val="10"/>
      <color rgb="FF1C1E2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1"/>
    <xf numFmtId="0" fontId="4" fillId="0" borderId="0" xfId="0" applyFont="1"/>
    <xf numFmtId="0" fontId="4" fillId="2" borderId="0" xfId="0" applyFont="1" applyFill="1"/>
    <xf numFmtId="0" fontId="0" fillId="2" borderId="0" xfId="0" applyFill="1"/>
    <xf numFmtId="176" fontId="0" fillId="0" borderId="0" xfId="0" applyNumberFormat="1"/>
    <xf numFmtId="0" fontId="5" fillId="0" borderId="0" xfId="0" applyFont="1"/>
    <xf numFmtId="0" fontId="4" fillId="3" borderId="0" xfId="0" applyFont="1" applyFill="1"/>
    <xf numFmtId="177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0</xdr:row>
      <xdr:rowOff>83821</xdr:rowOff>
    </xdr:from>
    <xdr:to>
      <xdr:col>13</xdr:col>
      <xdr:colOff>303809</xdr:colOff>
      <xdr:row>16</xdr:row>
      <xdr:rowOff>100972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FC377AA-2F4A-C2B3-7906-8753FE4B5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3860" y="83821"/>
          <a:ext cx="5942609" cy="28213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A3" sqref="A3:XFD3"/>
    </sheetView>
  </sheetViews>
  <sheetFormatPr defaultRowHeight="14.25" x14ac:dyDescent="0.2"/>
  <cols>
    <col min="1" max="1" width="12.75" customWidth="1"/>
    <col min="2" max="2" width="72.875" customWidth="1"/>
  </cols>
  <sheetData>
    <row r="1" spans="1:2" x14ac:dyDescent="0.2">
      <c r="A1" s="1" t="s">
        <v>0</v>
      </c>
    </row>
    <row r="2" spans="1:2" x14ac:dyDescent="0.2">
      <c r="A2" s="1"/>
    </row>
    <row r="3" spans="1:2" x14ac:dyDescent="0.2">
      <c r="A3" s="1" t="s">
        <v>1</v>
      </c>
      <c r="B3" s="10" t="s">
        <v>22</v>
      </c>
    </row>
    <row r="4" spans="1:2" x14ac:dyDescent="0.2">
      <c r="B4" t="s">
        <v>25</v>
      </c>
    </row>
    <row r="5" spans="1:2" x14ac:dyDescent="0.2">
      <c r="B5" s="3" t="s">
        <v>24</v>
      </c>
    </row>
    <row r="6" spans="1:2" x14ac:dyDescent="0.2">
      <c r="B6" t="s">
        <v>26</v>
      </c>
    </row>
    <row r="7" spans="1:2" x14ac:dyDescent="0.2">
      <c r="B7" s="3">
        <v>2023</v>
      </c>
    </row>
    <row r="8" spans="1:2" x14ac:dyDescent="0.2">
      <c r="B8" t="s">
        <v>23</v>
      </c>
    </row>
    <row r="9" spans="1:2" x14ac:dyDescent="0.2">
      <c r="B9" t="str">
        <f>Calculation!$A$28</f>
        <v>https://www.lightingchina.com.cn/upload/article/126449/file/1691910458643788.pdf</v>
      </c>
    </row>
    <row r="12" spans="1:2" x14ac:dyDescent="0.2">
      <c r="A12" s="1" t="s">
        <v>6</v>
      </c>
    </row>
    <row r="13" spans="1:2" x14ac:dyDescent="0.2">
      <c r="A13" t="s">
        <v>7</v>
      </c>
    </row>
    <row r="15" spans="1:2" x14ac:dyDescent="0.2">
      <c r="A15" t="s">
        <v>10</v>
      </c>
    </row>
    <row r="16" spans="1:2" x14ac:dyDescent="0.2">
      <c r="A16" t="s">
        <v>11</v>
      </c>
    </row>
    <row r="18" spans="2:2" x14ac:dyDescent="0.2">
      <c r="B18" s="4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2626D-7547-42A0-80D8-5B24780343F2}">
  <dimension ref="A1:D28"/>
  <sheetViews>
    <sheetView workbookViewId="0">
      <selection activeCell="H25" sqref="H25"/>
    </sheetView>
  </sheetViews>
  <sheetFormatPr defaultRowHeight="14.25" x14ac:dyDescent="0.2"/>
  <cols>
    <col min="1" max="1" width="32.5" customWidth="1"/>
    <col min="2" max="2" width="13.5" customWidth="1"/>
  </cols>
  <sheetData>
    <row r="1" spans="1:4" x14ac:dyDescent="0.2">
      <c r="A1" s="6" t="s">
        <v>15</v>
      </c>
      <c r="B1" s="7"/>
    </row>
    <row r="2" spans="1:4" x14ac:dyDescent="0.2">
      <c r="A2" s="1" t="s">
        <v>5</v>
      </c>
    </row>
    <row r="3" spans="1:4" x14ac:dyDescent="0.2">
      <c r="A3" t="s">
        <v>2</v>
      </c>
      <c r="B3">
        <v>0.01</v>
      </c>
    </row>
    <row r="4" spans="1:4" x14ac:dyDescent="0.2">
      <c r="A4" t="s">
        <v>3</v>
      </c>
      <c r="B4">
        <v>0.19</v>
      </c>
    </row>
    <row r="5" spans="1:4" x14ac:dyDescent="0.2">
      <c r="A5" t="s">
        <v>4</v>
      </c>
      <c r="B5">
        <v>0.62</v>
      </c>
    </row>
    <row r="6" spans="1:4" x14ac:dyDescent="0.2">
      <c r="A6" t="s">
        <v>12</v>
      </c>
      <c r="B6">
        <v>0.18</v>
      </c>
    </row>
    <row r="7" spans="1:4" x14ac:dyDescent="0.2">
      <c r="A7" t="s">
        <v>8</v>
      </c>
      <c r="B7">
        <v>0</v>
      </c>
    </row>
    <row r="8" spans="1:4" x14ac:dyDescent="0.2">
      <c r="A8" t="s">
        <v>9</v>
      </c>
      <c r="B8">
        <v>0</v>
      </c>
    </row>
    <row r="11" spans="1:4" x14ac:dyDescent="0.2">
      <c r="A11" s="6" t="s">
        <v>16</v>
      </c>
      <c r="B11" s="7"/>
    </row>
    <row r="12" spans="1:4" x14ac:dyDescent="0.2">
      <c r="A12" s="1" t="s">
        <v>5</v>
      </c>
    </row>
    <row r="13" spans="1:4" x14ac:dyDescent="0.2">
      <c r="A13" t="s">
        <v>2</v>
      </c>
      <c r="B13" s="8">
        <f>B3/SUM(B3:B5)</f>
        <v>1.2195121951219511E-2</v>
      </c>
    </row>
    <row r="14" spans="1:4" x14ac:dyDescent="0.2">
      <c r="A14" t="s">
        <v>3</v>
      </c>
      <c r="B14" s="8">
        <f>B4/SUM(B3:B5)</f>
        <v>0.23170731707317072</v>
      </c>
      <c r="D14" s="5"/>
    </row>
    <row r="15" spans="1:4" x14ac:dyDescent="0.2">
      <c r="A15" t="s">
        <v>4</v>
      </c>
      <c r="B15" s="8">
        <f>B5/SUM(B3:B5)</f>
        <v>0.75609756097560965</v>
      </c>
    </row>
    <row r="16" spans="1:4" x14ac:dyDescent="0.2">
      <c r="A16" t="s">
        <v>8</v>
      </c>
      <c r="B16">
        <v>0</v>
      </c>
    </row>
    <row r="17" spans="1:2" x14ac:dyDescent="0.2">
      <c r="A17" t="s">
        <v>9</v>
      </c>
      <c r="B17">
        <v>0</v>
      </c>
    </row>
    <row r="20" spans="1:2" x14ac:dyDescent="0.2">
      <c r="A20" s="6" t="s">
        <v>13</v>
      </c>
      <c r="B20" s="7"/>
    </row>
    <row r="21" spans="1:2" x14ac:dyDescent="0.2">
      <c r="A21" s="9" t="s">
        <v>21</v>
      </c>
    </row>
    <row r="22" spans="1:2" x14ac:dyDescent="0.2">
      <c r="A22" t="s">
        <v>14</v>
      </c>
    </row>
    <row r="25" spans="1:2" x14ac:dyDescent="0.2">
      <c r="A25" s="6" t="s">
        <v>17</v>
      </c>
      <c r="B25" s="7"/>
    </row>
    <row r="26" spans="1:2" x14ac:dyDescent="0.2">
      <c r="A26" t="s">
        <v>18</v>
      </c>
    </row>
    <row r="27" spans="1:2" x14ac:dyDescent="0.2">
      <c r="A27" t="s">
        <v>19</v>
      </c>
    </row>
    <row r="28" spans="1:2" x14ac:dyDescent="0.2">
      <c r="A28" t="s">
        <v>20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Q6"/>
  <sheetViews>
    <sheetView tabSelected="1" workbookViewId="0">
      <selection activeCell="D12" sqref="D12"/>
    </sheetView>
  </sheetViews>
  <sheetFormatPr defaultRowHeight="14.25" x14ac:dyDescent="0.2"/>
  <cols>
    <col min="1" max="1" width="30.125" customWidth="1"/>
    <col min="2" max="2" width="9.625" customWidth="1"/>
  </cols>
  <sheetData>
    <row r="1" spans="1:43" x14ac:dyDescent="0.2">
      <c r="A1" s="1" t="s">
        <v>5</v>
      </c>
      <c r="B1">
        <v>2019</v>
      </c>
      <c r="C1">
        <v>2020</v>
      </c>
      <c r="D1" s="2">
        <v>2021</v>
      </c>
      <c r="E1">
        <v>2022</v>
      </c>
      <c r="F1" s="2">
        <v>2023</v>
      </c>
      <c r="G1">
        <v>2024</v>
      </c>
      <c r="H1" s="2">
        <v>2025</v>
      </c>
      <c r="I1">
        <v>2026</v>
      </c>
      <c r="J1" s="2">
        <v>2027</v>
      </c>
      <c r="K1">
        <v>2028</v>
      </c>
      <c r="L1" s="2">
        <v>2029</v>
      </c>
      <c r="M1">
        <v>2030</v>
      </c>
      <c r="N1" s="2">
        <v>2031</v>
      </c>
      <c r="O1">
        <v>2032</v>
      </c>
      <c r="P1" s="2">
        <v>2033</v>
      </c>
      <c r="Q1">
        <v>2034</v>
      </c>
      <c r="R1" s="2">
        <v>2035</v>
      </c>
      <c r="S1">
        <v>2036</v>
      </c>
      <c r="T1" s="2">
        <v>2037</v>
      </c>
      <c r="U1">
        <v>2038</v>
      </c>
      <c r="V1" s="2">
        <v>2039</v>
      </c>
      <c r="W1">
        <v>2040</v>
      </c>
      <c r="X1" s="2">
        <v>2041</v>
      </c>
      <c r="Y1">
        <v>2042</v>
      </c>
      <c r="Z1" s="2">
        <v>2043</v>
      </c>
      <c r="AA1">
        <v>2044</v>
      </c>
      <c r="AB1" s="2">
        <v>2045</v>
      </c>
      <c r="AC1">
        <v>2046</v>
      </c>
      <c r="AD1" s="2">
        <v>2047</v>
      </c>
      <c r="AE1">
        <v>2048</v>
      </c>
      <c r="AF1" s="2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 x14ac:dyDescent="0.2">
      <c r="A2" t="s">
        <v>2</v>
      </c>
      <c r="B2" s="11">
        <f>Calculation!B13</f>
        <v>1.2195121951219511E-2</v>
      </c>
      <c r="C2">
        <f>Calculation!B13</f>
        <v>1.2195121951219511E-2</v>
      </c>
      <c r="D2">
        <f>C2</f>
        <v>1.2195121951219511E-2</v>
      </c>
      <c r="E2">
        <f t="shared" ref="E2:AG6" si="0">D2</f>
        <v>1.2195121951219511E-2</v>
      </c>
      <c r="F2">
        <f t="shared" si="0"/>
        <v>1.2195121951219511E-2</v>
      </c>
      <c r="G2">
        <f t="shared" si="0"/>
        <v>1.2195121951219511E-2</v>
      </c>
      <c r="H2">
        <f t="shared" si="0"/>
        <v>1.2195121951219511E-2</v>
      </c>
      <c r="I2">
        <f t="shared" si="0"/>
        <v>1.2195121951219511E-2</v>
      </c>
      <c r="J2">
        <f t="shared" si="0"/>
        <v>1.2195121951219511E-2</v>
      </c>
      <c r="K2">
        <f t="shared" si="0"/>
        <v>1.2195121951219511E-2</v>
      </c>
      <c r="L2">
        <f t="shared" si="0"/>
        <v>1.2195121951219511E-2</v>
      </c>
      <c r="M2">
        <f t="shared" si="0"/>
        <v>1.2195121951219511E-2</v>
      </c>
      <c r="N2">
        <f t="shared" si="0"/>
        <v>1.2195121951219511E-2</v>
      </c>
      <c r="O2">
        <f t="shared" si="0"/>
        <v>1.2195121951219511E-2</v>
      </c>
      <c r="P2">
        <f t="shared" si="0"/>
        <v>1.2195121951219511E-2</v>
      </c>
      <c r="Q2">
        <f t="shared" si="0"/>
        <v>1.2195121951219511E-2</v>
      </c>
      <c r="R2">
        <f t="shared" si="0"/>
        <v>1.2195121951219511E-2</v>
      </c>
      <c r="S2">
        <f t="shared" si="0"/>
        <v>1.2195121951219511E-2</v>
      </c>
      <c r="T2">
        <f t="shared" si="0"/>
        <v>1.2195121951219511E-2</v>
      </c>
      <c r="U2">
        <f t="shared" si="0"/>
        <v>1.2195121951219511E-2</v>
      </c>
      <c r="V2">
        <f t="shared" si="0"/>
        <v>1.2195121951219511E-2</v>
      </c>
      <c r="W2">
        <f t="shared" si="0"/>
        <v>1.2195121951219511E-2</v>
      </c>
      <c r="X2">
        <f t="shared" si="0"/>
        <v>1.2195121951219511E-2</v>
      </c>
      <c r="Y2">
        <f t="shared" si="0"/>
        <v>1.2195121951219511E-2</v>
      </c>
      <c r="Z2">
        <f t="shared" si="0"/>
        <v>1.2195121951219511E-2</v>
      </c>
      <c r="AA2">
        <f t="shared" si="0"/>
        <v>1.2195121951219511E-2</v>
      </c>
      <c r="AB2">
        <f t="shared" si="0"/>
        <v>1.2195121951219511E-2</v>
      </c>
      <c r="AC2">
        <f t="shared" si="0"/>
        <v>1.2195121951219511E-2</v>
      </c>
      <c r="AD2">
        <f t="shared" si="0"/>
        <v>1.2195121951219511E-2</v>
      </c>
      <c r="AE2">
        <f t="shared" si="0"/>
        <v>1.2195121951219511E-2</v>
      </c>
      <c r="AF2">
        <f t="shared" si="0"/>
        <v>1.2195121951219511E-2</v>
      </c>
      <c r="AG2">
        <f t="shared" si="0"/>
        <v>1.2195121951219511E-2</v>
      </c>
      <c r="AH2">
        <f t="shared" ref="AH2:AQ2" si="1">AG2</f>
        <v>1.2195121951219511E-2</v>
      </c>
      <c r="AI2">
        <f t="shared" si="1"/>
        <v>1.2195121951219511E-2</v>
      </c>
      <c r="AJ2">
        <f t="shared" si="1"/>
        <v>1.2195121951219511E-2</v>
      </c>
      <c r="AK2">
        <f t="shared" si="1"/>
        <v>1.2195121951219511E-2</v>
      </c>
      <c r="AL2">
        <f t="shared" si="1"/>
        <v>1.2195121951219511E-2</v>
      </c>
      <c r="AM2">
        <f t="shared" si="1"/>
        <v>1.2195121951219511E-2</v>
      </c>
      <c r="AN2">
        <f t="shared" si="1"/>
        <v>1.2195121951219511E-2</v>
      </c>
      <c r="AO2">
        <f t="shared" si="1"/>
        <v>1.2195121951219511E-2</v>
      </c>
      <c r="AP2">
        <f t="shared" si="1"/>
        <v>1.2195121951219511E-2</v>
      </c>
      <c r="AQ2">
        <f t="shared" si="1"/>
        <v>1.2195121951219511E-2</v>
      </c>
    </row>
    <row r="3" spans="1:43" x14ac:dyDescent="0.2">
      <c r="A3" t="s">
        <v>3</v>
      </c>
      <c r="B3" s="11">
        <f>Calculation!B14</f>
        <v>0.23170731707317072</v>
      </c>
      <c r="C3">
        <f>Calculation!B14</f>
        <v>0.23170731707317072</v>
      </c>
      <c r="D3">
        <f t="shared" ref="D3:S6" si="2">C3</f>
        <v>0.23170731707317072</v>
      </c>
      <c r="E3">
        <f t="shared" si="2"/>
        <v>0.23170731707317072</v>
      </c>
      <c r="F3">
        <f t="shared" si="2"/>
        <v>0.23170731707317072</v>
      </c>
      <c r="G3">
        <f t="shared" si="2"/>
        <v>0.23170731707317072</v>
      </c>
      <c r="H3">
        <f t="shared" si="2"/>
        <v>0.23170731707317072</v>
      </c>
      <c r="I3">
        <f t="shared" si="2"/>
        <v>0.23170731707317072</v>
      </c>
      <c r="J3">
        <f t="shared" si="2"/>
        <v>0.23170731707317072</v>
      </c>
      <c r="K3">
        <f t="shared" si="2"/>
        <v>0.23170731707317072</v>
      </c>
      <c r="L3">
        <f t="shared" si="2"/>
        <v>0.23170731707317072</v>
      </c>
      <c r="M3">
        <f t="shared" si="2"/>
        <v>0.23170731707317072</v>
      </c>
      <c r="N3">
        <f t="shared" si="2"/>
        <v>0.23170731707317072</v>
      </c>
      <c r="O3">
        <f t="shared" si="2"/>
        <v>0.23170731707317072</v>
      </c>
      <c r="P3">
        <f t="shared" si="2"/>
        <v>0.23170731707317072</v>
      </c>
      <c r="Q3">
        <f t="shared" si="2"/>
        <v>0.23170731707317072</v>
      </c>
      <c r="R3">
        <f t="shared" si="2"/>
        <v>0.23170731707317072</v>
      </c>
      <c r="S3">
        <f t="shared" si="2"/>
        <v>0.23170731707317072</v>
      </c>
      <c r="T3">
        <f t="shared" si="0"/>
        <v>0.23170731707317072</v>
      </c>
      <c r="U3">
        <f t="shared" si="0"/>
        <v>0.23170731707317072</v>
      </c>
      <c r="V3">
        <f t="shared" si="0"/>
        <v>0.23170731707317072</v>
      </c>
      <c r="W3">
        <f t="shared" si="0"/>
        <v>0.23170731707317072</v>
      </c>
      <c r="X3">
        <f t="shared" si="0"/>
        <v>0.23170731707317072</v>
      </c>
      <c r="Y3">
        <f t="shared" si="0"/>
        <v>0.23170731707317072</v>
      </c>
      <c r="Z3">
        <f t="shared" si="0"/>
        <v>0.23170731707317072</v>
      </c>
      <c r="AA3">
        <f t="shared" si="0"/>
        <v>0.23170731707317072</v>
      </c>
      <c r="AB3">
        <f t="shared" si="0"/>
        <v>0.23170731707317072</v>
      </c>
      <c r="AC3">
        <f t="shared" si="0"/>
        <v>0.23170731707317072</v>
      </c>
      <c r="AD3">
        <f t="shared" si="0"/>
        <v>0.23170731707317072</v>
      </c>
      <c r="AE3">
        <f t="shared" si="0"/>
        <v>0.23170731707317072</v>
      </c>
      <c r="AF3">
        <f t="shared" si="0"/>
        <v>0.23170731707317072</v>
      </c>
      <c r="AG3">
        <f t="shared" si="0"/>
        <v>0.23170731707317072</v>
      </c>
      <c r="AH3">
        <f t="shared" ref="AH3:AQ3" si="3">AG3</f>
        <v>0.23170731707317072</v>
      </c>
      <c r="AI3">
        <f t="shared" si="3"/>
        <v>0.23170731707317072</v>
      </c>
      <c r="AJ3">
        <f t="shared" si="3"/>
        <v>0.23170731707317072</v>
      </c>
      <c r="AK3">
        <f t="shared" si="3"/>
        <v>0.23170731707317072</v>
      </c>
      <c r="AL3">
        <f t="shared" si="3"/>
        <v>0.23170731707317072</v>
      </c>
      <c r="AM3">
        <f t="shared" si="3"/>
        <v>0.23170731707317072</v>
      </c>
      <c r="AN3">
        <f t="shared" si="3"/>
        <v>0.23170731707317072</v>
      </c>
      <c r="AO3">
        <f t="shared" si="3"/>
        <v>0.23170731707317072</v>
      </c>
      <c r="AP3">
        <f t="shared" si="3"/>
        <v>0.23170731707317072</v>
      </c>
      <c r="AQ3">
        <f t="shared" si="3"/>
        <v>0.23170731707317072</v>
      </c>
    </row>
    <row r="4" spans="1:43" x14ac:dyDescent="0.2">
      <c r="A4" t="s">
        <v>4</v>
      </c>
      <c r="B4" s="11">
        <f>Calculation!B15</f>
        <v>0.75609756097560965</v>
      </c>
      <c r="C4">
        <f>Calculation!B15</f>
        <v>0.75609756097560965</v>
      </c>
      <c r="D4">
        <f t="shared" si="2"/>
        <v>0.75609756097560965</v>
      </c>
      <c r="E4">
        <f t="shared" si="0"/>
        <v>0.75609756097560965</v>
      </c>
      <c r="F4">
        <f t="shared" si="0"/>
        <v>0.75609756097560965</v>
      </c>
      <c r="G4">
        <f t="shared" si="0"/>
        <v>0.75609756097560965</v>
      </c>
      <c r="H4">
        <f t="shared" si="0"/>
        <v>0.75609756097560965</v>
      </c>
      <c r="I4">
        <f t="shared" si="0"/>
        <v>0.75609756097560965</v>
      </c>
      <c r="J4">
        <f t="shared" si="0"/>
        <v>0.75609756097560965</v>
      </c>
      <c r="K4">
        <f t="shared" si="0"/>
        <v>0.75609756097560965</v>
      </c>
      <c r="L4">
        <f t="shared" si="0"/>
        <v>0.75609756097560965</v>
      </c>
      <c r="M4">
        <f t="shared" si="0"/>
        <v>0.75609756097560965</v>
      </c>
      <c r="N4">
        <f t="shared" si="0"/>
        <v>0.75609756097560965</v>
      </c>
      <c r="O4">
        <f t="shared" si="0"/>
        <v>0.75609756097560965</v>
      </c>
      <c r="P4">
        <f t="shared" si="0"/>
        <v>0.75609756097560965</v>
      </c>
      <c r="Q4">
        <f t="shared" si="0"/>
        <v>0.75609756097560965</v>
      </c>
      <c r="R4">
        <f t="shared" si="0"/>
        <v>0.75609756097560965</v>
      </c>
      <c r="S4">
        <f t="shared" si="0"/>
        <v>0.75609756097560965</v>
      </c>
      <c r="T4">
        <f t="shared" si="0"/>
        <v>0.75609756097560965</v>
      </c>
      <c r="U4">
        <f t="shared" si="0"/>
        <v>0.75609756097560965</v>
      </c>
      <c r="V4">
        <f t="shared" si="0"/>
        <v>0.75609756097560965</v>
      </c>
      <c r="W4">
        <f t="shared" si="0"/>
        <v>0.75609756097560965</v>
      </c>
      <c r="X4">
        <f t="shared" si="0"/>
        <v>0.75609756097560965</v>
      </c>
      <c r="Y4">
        <f t="shared" si="0"/>
        <v>0.75609756097560965</v>
      </c>
      <c r="Z4">
        <f t="shared" si="0"/>
        <v>0.75609756097560965</v>
      </c>
      <c r="AA4">
        <f t="shared" si="0"/>
        <v>0.75609756097560965</v>
      </c>
      <c r="AB4">
        <f t="shared" si="0"/>
        <v>0.75609756097560965</v>
      </c>
      <c r="AC4">
        <f t="shared" si="0"/>
        <v>0.75609756097560965</v>
      </c>
      <c r="AD4">
        <f t="shared" si="0"/>
        <v>0.75609756097560965</v>
      </c>
      <c r="AE4">
        <f t="shared" si="0"/>
        <v>0.75609756097560965</v>
      </c>
      <c r="AF4">
        <f t="shared" si="0"/>
        <v>0.75609756097560965</v>
      </c>
      <c r="AG4">
        <f t="shared" si="0"/>
        <v>0.75609756097560965</v>
      </c>
      <c r="AH4">
        <f t="shared" ref="AH4:AQ4" si="4">AG4</f>
        <v>0.75609756097560965</v>
      </c>
      <c r="AI4">
        <f t="shared" si="4"/>
        <v>0.75609756097560965</v>
      </c>
      <c r="AJ4">
        <f t="shared" si="4"/>
        <v>0.75609756097560965</v>
      </c>
      <c r="AK4">
        <f t="shared" si="4"/>
        <v>0.75609756097560965</v>
      </c>
      <c r="AL4">
        <f t="shared" si="4"/>
        <v>0.75609756097560965</v>
      </c>
      <c r="AM4">
        <f t="shared" si="4"/>
        <v>0.75609756097560965</v>
      </c>
      <c r="AN4">
        <f t="shared" si="4"/>
        <v>0.75609756097560965</v>
      </c>
      <c r="AO4">
        <f t="shared" si="4"/>
        <v>0.75609756097560965</v>
      </c>
      <c r="AP4">
        <f t="shared" si="4"/>
        <v>0.75609756097560965</v>
      </c>
      <c r="AQ4">
        <f t="shared" si="4"/>
        <v>0.75609756097560965</v>
      </c>
    </row>
    <row r="5" spans="1:43" x14ac:dyDescent="0.2">
      <c r="A5" t="s">
        <v>8</v>
      </c>
      <c r="B5">
        <f>Calculation!B16</f>
        <v>0</v>
      </c>
      <c r="C5">
        <f>Calculation!B16</f>
        <v>0</v>
      </c>
      <c r="D5">
        <f t="shared" si="2"/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  <c r="AF5">
        <f t="shared" si="0"/>
        <v>0</v>
      </c>
      <c r="AG5">
        <f t="shared" si="0"/>
        <v>0</v>
      </c>
      <c r="AH5">
        <f t="shared" ref="AH5:AQ5" si="5">AG5</f>
        <v>0</v>
      </c>
      <c r="AI5">
        <f t="shared" si="5"/>
        <v>0</v>
      </c>
      <c r="AJ5">
        <f t="shared" si="5"/>
        <v>0</v>
      </c>
      <c r="AK5">
        <f t="shared" si="5"/>
        <v>0</v>
      </c>
      <c r="AL5">
        <f t="shared" si="5"/>
        <v>0</v>
      </c>
      <c r="AM5">
        <f t="shared" si="5"/>
        <v>0</v>
      </c>
      <c r="AN5">
        <f t="shared" si="5"/>
        <v>0</v>
      </c>
      <c r="AO5">
        <f t="shared" si="5"/>
        <v>0</v>
      </c>
      <c r="AP5">
        <f t="shared" si="5"/>
        <v>0</v>
      </c>
      <c r="AQ5">
        <f t="shared" si="5"/>
        <v>0</v>
      </c>
    </row>
    <row r="6" spans="1:43" x14ac:dyDescent="0.2">
      <c r="A6" t="s">
        <v>9</v>
      </c>
      <c r="B6">
        <v>0</v>
      </c>
      <c r="C6">
        <v>0</v>
      </c>
      <c r="D6">
        <f t="shared" si="2"/>
        <v>0</v>
      </c>
      <c r="E6">
        <f t="shared" si="0"/>
        <v>0</v>
      </c>
      <c r="F6">
        <f t="shared" si="0"/>
        <v>0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  <c r="T6">
        <f t="shared" si="0"/>
        <v>0</v>
      </c>
      <c r="U6">
        <f t="shared" si="0"/>
        <v>0</v>
      </c>
      <c r="V6">
        <f t="shared" si="0"/>
        <v>0</v>
      </c>
      <c r="W6">
        <f t="shared" si="0"/>
        <v>0</v>
      </c>
      <c r="X6">
        <f t="shared" si="0"/>
        <v>0</v>
      </c>
      <c r="Y6">
        <f t="shared" si="0"/>
        <v>0</v>
      </c>
      <c r="Z6">
        <f t="shared" si="0"/>
        <v>0</v>
      </c>
      <c r="AA6">
        <f t="shared" si="0"/>
        <v>0</v>
      </c>
      <c r="AB6">
        <f t="shared" si="0"/>
        <v>0</v>
      </c>
      <c r="AC6">
        <f t="shared" si="0"/>
        <v>0</v>
      </c>
      <c r="AD6">
        <f t="shared" si="0"/>
        <v>0</v>
      </c>
      <c r="AE6">
        <f t="shared" si="0"/>
        <v>0</v>
      </c>
      <c r="AF6">
        <f t="shared" si="0"/>
        <v>0</v>
      </c>
      <c r="AG6">
        <f t="shared" si="0"/>
        <v>0</v>
      </c>
      <c r="AH6">
        <f t="shared" ref="AH6:AQ6" si="6">AG6</f>
        <v>0</v>
      </c>
      <c r="AI6">
        <f t="shared" si="6"/>
        <v>0</v>
      </c>
      <c r="AJ6">
        <f t="shared" si="6"/>
        <v>0</v>
      </c>
      <c r="AK6">
        <f t="shared" si="6"/>
        <v>0</v>
      </c>
      <c r="AL6">
        <f t="shared" si="6"/>
        <v>0</v>
      </c>
      <c r="AM6">
        <f t="shared" si="6"/>
        <v>0</v>
      </c>
      <c r="AN6">
        <f t="shared" si="6"/>
        <v>0</v>
      </c>
      <c r="AO6">
        <f t="shared" si="6"/>
        <v>0</v>
      </c>
      <c r="AP6">
        <f t="shared" si="6"/>
        <v>0</v>
      </c>
      <c r="AQ6">
        <f t="shared" si="6"/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Calculation</vt:lpstr>
      <vt:lpstr>BHPSbP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cjwdllj@163.com</cp:lastModifiedBy>
  <dcterms:created xsi:type="dcterms:W3CDTF">2019-07-22T20:16:37Z</dcterms:created>
  <dcterms:modified xsi:type="dcterms:W3CDTF">2026-04-03T06:28:52Z</dcterms:modified>
</cp:coreProperties>
</file>