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G:\Workfile\新建文件夹\EPS Workfile\EPS fuels\FoPTaFbIC\"/>
    </mc:Choice>
  </mc:AlternateContent>
  <xr:revisionPtr revIDLastSave="0" documentId="13_ncr:1_{C1FCBD5C-177F-4BD1-92D7-966C4BF04E79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About" sheetId="2" r:id="rId1"/>
    <sheet name="Calculation" sheetId="3" r:id="rId2"/>
    <sheet name="2020年全国投入产出表" sheetId="4" r:id="rId3"/>
    <sheet name="规模以上工业企业主要经济指标" sheetId="5" r:id="rId4"/>
    <sheet name="FoPTaFbIC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F3" i="4"/>
  <c r="P61" i="3"/>
  <c r="P62" i="3" s="1"/>
  <c r="E2" i="1" s="1"/>
  <c r="P60" i="3"/>
  <c r="M60" i="3"/>
  <c r="O21" i="3"/>
</calcChain>
</file>

<file path=xl/sharedStrings.xml><?xml version="1.0" encoding="utf-8"?>
<sst xmlns="http://schemas.openxmlformats.org/spreadsheetml/2006/main" count="14721" uniqueCount="12177">
  <si>
    <t>FoPTaFbIC Fractions of Products That are Fuels by ISIC Code</t>
  </si>
  <si>
    <t>Sources:</t>
  </si>
  <si>
    <t>工业企业主要经济指标</t>
  </si>
  <si>
    <t>国家统计局</t>
  </si>
  <si>
    <t>https://data.stats.gov.cn/easyquery.htm?cn=C01</t>
  </si>
  <si>
    <t>生物质燃料价格</t>
  </si>
  <si>
    <t>https://www.sohu.com/a/405079882_422316</t>
  </si>
  <si>
    <t>900元/吨</t>
  </si>
  <si>
    <t>https://cn.bing.com/search?q=%E4%B8%AD%E5%9B%BD%E7%94%9F%E7%89%A9%E8%B4%A8%E7%87%83%E6%96%99%E4%BB%B7%E6%A0%BC&amp;form=ANNNB1&amp;refig=a36c55b616894eae852a53dff38b39b8</t>
  </si>
  <si>
    <t>生物燃料产量</t>
  </si>
  <si>
    <t>2683000吨</t>
  </si>
  <si>
    <t>生物质燃料总产值（元）</t>
  </si>
  <si>
    <t>生物质燃料总产值（万元）</t>
  </si>
  <si>
    <t>2020铀矿产量</t>
  </si>
  <si>
    <t>1885吨</t>
  </si>
  <si>
    <t>2020铀矿价格</t>
  </si>
  <si>
    <t>29.5美元/磅</t>
  </si>
  <si>
    <t>美元/吨</t>
  </si>
  <si>
    <t>总产值（美元）</t>
  </si>
  <si>
    <t>人民币年份</t>
  </si>
  <si>
    <t>当年人民币相对2012美元</t>
  </si>
  <si>
    <t>总产值（元）</t>
  </si>
  <si>
    <t>2020</t>
  </si>
  <si>
    <t>总产值（万元）</t>
  </si>
  <si>
    <t>2020年全国投入产出表</t>
  </si>
  <si>
    <t>(按当年生产者价格计算） （Data are calculated at producers' prices in 2020)</t>
  </si>
  <si>
    <t>单位：万元</t>
  </si>
  <si>
    <t xml:space="preserve">   投入                  产出</t>
  </si>
  <si>
    <t>部门名称</t>
  </si>
  <si>
    <t>最终使用</t>
  </si>
  <si>
    <t>进口</t>
  </si>
  <si>
    <t>总产出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</si>
  <si>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</si>
  <si>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</si>
  <si>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</si>
  <si>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</si>
  <si>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</si>
  <si>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</si>
  <si>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</si>
  <si>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</si>
  <si>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</si>
  <si>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</si>
  <si>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</si>
  <si>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</si>
  <si>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</si>
  <si>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</si>
  <si>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</si>
  <si>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</si>
  <si>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</si>
  <si>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</si>
  <si>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</si>
  <si>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</si>
  <si>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</si>
  <si>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</si>
  <si>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</si>
  <si>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</si>
  <si>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</si>
  <si>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</si>
  <si>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</si>
  <si>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</si>
  <si>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</si>
  <si>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</si>
  <si>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</si>
  <si>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</si>
  <si>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</si>
  <si>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</si>
  <si>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</si>
  <si>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</si>
  <si>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</si>
  <si>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</si>
  <si>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</si>
  <si>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</si>
  <si>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</si>
  <si>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</si>
  <si>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中间使用合计</t>
  </si>
  <si>
    <t>农村居民消费支出</t>
  </si>
  <si>
    <t>城镇居民消费支出</t>
  </si>
  <si>
    <t>居民消费支出</t>
  </si>
  <si>
    <t>政府消费支出</t>
  </si>
  <si>
    <t>消费支出合计</t>
  </si>
  <si>
    <t>固定资本形成总额</t>
  </si>
  <si>
    <t>存货变动</t>
  </si>
  <si>
    <t>资本形成总额</t>
  </si>
  <si>
    <t>出口</t>
  </si>
  <si>
    <t>最终使用合计</t>
  </si>
  <si>
    <t>代码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</si>
  <si>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</si>
  <si>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</si>
  <si>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</si>
  <si>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</si>
  <si>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</si>
  <si>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</si>
  <si>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</si>
  <si>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</si>
  <si>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</si>
  <si>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</si>
  <si>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</si>
  <si>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</si>
  <si>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</si>
  <si>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</si>
  <si>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241</t>
  </si>
  <si>
    <t>ISIC 242</t>
  </si>
  <si>
    <t>ISIC 25</t>
  </si>
  <si>
    <t>ISIC 28</t>
  </si>
  <si>
    <t>ISIC 239</t>
  </si>
  <si>
    <t>ISIC 29</t>
  </si>
  <si>
    <t>ISIC 30</t>
  </si>
  <si>
    <t>ISIC 27</t>
  </si>
  <si>
    <t>ISIC 26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</si>
  <si>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</si>
  <si>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</si>
  <si>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</si>
  <si>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</si>
  <si>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</si>
  <si>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</si>
  <si>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</si>
  <si>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</si>
  <si>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</si>
  <si>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64T66</t>
  </si>
  <si>
    <t>ISIC 68</t>
  </si>
  <si>
    <t>ISIC 61</t>
  </si>
  <si>
    <t>ISIC 69T82</t>
  </si>
  <si>
    <t>ISIC 97T98</t>
  </si>
  <si>
    <t>ISIC 85</t>
  </si>
  <si>
    <t>ISIC 86T88</t>
  </si>
  <si>
    <t>ISIC 90T96</t>
  </si>
  <si>
    <t>ISIC 84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</si>
  <si>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</si>
  <si>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</si>
  <si>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</si>
  <si>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</si>
  <si>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</si>
  <si>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</si>
  <si>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</si>
  <si>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</si>
  <si>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</si>
  <si>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</si>
  <si>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TFU</t>
  </si>
  <si>
    <t>IM</t>
  </si>
  <si>
    <t>GO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</si>
  <si>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</si>
  <si>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</si>
  <si>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</si>
  <si>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</si>
  <si>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</si>
  <si>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</si>
  <si>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</si>
  <si>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</si>
  <si>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</si>
  <si>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</si>
  <si>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</si>
  <si>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</si>
  <si>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</si>
  <si>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</si>
  <si>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</si>
  <si>
    <t>Unit: dimensionless</t>
  </si>
  <si>
    <t>ISIC 62T63</t>
  </si>
  <si>
    <t>Fraction of Products that are Fuels</t>
  </si>
  <si>
    <t xml:space="preserve">2-1 规模以上工业企业主要经济指标(大、中、小类行业)
</t>
  </si>
  <si>
    <t xml:space="preserve">单位:亿元
</t>
  </si>
  <si>
    <t>行 业</t>
  </si>
  <si>
    <t>企业单位数
(个)</t>
  </si>
  <si>
    <t>资产总计</t>
  </si>
  <si>
    <t>负债合计</t>
  </si>
  <si>
    <t>所有者
权益合计</t>
  </si>
  <si>
    <t>固定资产
净 额</t>
  </si>
  <si>
    <t>固定资产
原 价</t>
  </si>
  <si>
    <t>累计折旧</t>
  </si>
  <si>
    <t>流动资产
合 计</t>
  </si>
  <si>
    <t>流动负债
合 计</t>
  </si>
  <si>
    <t>实收资本</t>
  </si>
  <si>
    <t>应收账款</t>
  </si>
  <si>
    <t xml:space="preserve">存货 </t>
  </si>
  <si>
    <t>应付账款</t>
  </si>
  <si>
    <t>国家资本</t>
  </si>
  <si>
    <t>集体资本</t>
  </si>
  <si>
    <t>产成品</t>
  </si>
  <si>
    <t>总 计</t>
  </si>
  <si>
    <t>399375</t>
  </si>
  <si>
    <t>1303499.30</t>
  </si>
  <si>
    <t>353369.87</t>
  </si>
  <si>
    <t>684983.51</t>
  </si>
  <si>
    <t>311548.48</t>
  </si>
  <si>
    <t>648817.50</t>
  </si>
  <si>
    <t>167496.23</t>
  </si>
  <si>
    <t>125903.81</t>
  </si>
  <si>
    <t>46626.50</t>
  </si>
  <si>
    <t>735385.85</t>
  </si>
  <si>
    <t>559569.17</t>
  </si>
  <si>
    <t>160756.98</t>
  </si>
  <si>
    <t>566379.65</t>
  </si>
  <si>
    <t>280495.93</t>
  </si>
  <si>
    <t>67260.99</t>
  </si>
  <si>
    <t>4116.96</t>
  </si>
  <si>
    <t>采矿业</t>
  </si>
  <si>
    <t>10667</t>
  </si>
  <si>
    <t>107931.55</t>
  </si>
  <si>
    <t>32894.01</t>
  </si>
  <si>
    <t>73100.53</t>
  </si>
  <si>
    <t>38350.11</t>
  </si>
  <si>
    <t>35855.05</t>
  </si>
  <si>
    <t>4657.45</t>
  </si>
  <si>
    <t>2338.49</t>
  </si>
  <si>
    <t>1115.68</t>
  </si>
  <si>
    <t>65930.07</t>
  </si>
  <si>
    <t>44946.79</t>
  </si>
  <si>
    <t>8330.93</t>
  </si>
  <si>
    <t>41797.27</t>
  </si>
  <si>
    <t>21853.97</t>
  </si>
  <si>
    <t>8842.29</t>
  </si>
  <si>
    <t>234.59</t>
  </si>
  <si>
    <t>煤炭开采和洗选业</t>
  </si>
  <si>
    <t>4331</t>
  </si>
  <si>
    <t>59712.45</t>
  </si>
  <si>
    <t>15384.04</t>
  </si>
  <si>
    <t>28179.27</t>
  </si>
  <si>
    <t>11884.58</t>
  </si>
  <si>
    <t>23324.76</t>
  </si>
  <si>
    <t>2588.77</t>
  </si>
  <si>
    <t>1161.08</t>
  </si>
  <si>
    <t>526.61</t>
  </si>
  <si>
    <t>40570.59</t>
  </si>
  <si>
    <t>28600.90</t>
  </si>
  <si>
    <t>4485.82</t>
  </si>
  <si>
    <t>19058.68</t>
  </si>
  <si>
    <t>8516.34</t>
  </si>
  <si>
    <t>3047.40</t>
  </si>
  <si>
    <t>161.58</t>
  </si>
  <si>
    <t xml:space="preserve">  烟煤和无烟煤开采洗选</t>
  </si>
  <si>
    <t>4234</t>
  </si>
  <si>
    <t>58022.89</t>
  </si>
  <si>
    <t>14935.96</t>
  </si>
  <si>
    <t>27301.41</t>
  </si>
  <si>
    <t>11502.94</t>
  </si>
  <si>
    <t>22879.11</t>
  </si>
  <si>
    <t>2502.53</t>
  </si>
  <si>
    <t>1142.13</t>
  </si>
  <si>
    <t>519.74</t>
  </si>
  <si>
    <t>39525.70</t>
  </si>
  <si>
    <t>27999.57</t>
  </si>
  <si>
    <t>4398.28</t>
  </si>
  <si>
    <t>18399.57</t>
  </si>
  <si>
    <t>8161.46</t>
  </si>
  <si>
    <t>2953.44</t>
  </si>
  <si>
    <t>159.81</t>
  </si>
  <si>
    <t xml:space="preserve">  褐煤开采洗选</t>
  </si>
  <si>
    <t>70</t>
  </si>
  <si>
    <t>1637.47</t>
  </si>
  <si>
    <t>421.34</t>
  </si>
  <si>
    <t>841.71</t>
  </si>
  <si>
    <t>372.67</t>
  </si>
  <si>
    <t>436.06</t>
  </si>
  <si>
    <t>82.82</t>
  </si>
  <si>
    <t>17.20</t>
  </si>
  <si>
    <t>5.77</t>
  </si>
  <si>
    <t>1009.60</t>
  </si>
  <si>
    <t>570.88</t>
  </si>
  <si>
    <t>82.90</t>
  </si>
  <si>
    <t>642.73</t>
  </si>
  <si>
    <t>350.04</t>
  </si>
  <si>
    <t>90.64</t>
  </si>
  <si>
    <t>1.77</t>
  </si>
  <si>
    <t xml:space="preserve">  其他煤炭采选</t>
  </si>
  <si>
    <t>27</t>
  </si>
  <si>
    <t>52.09</t>
  </si>
  <si>
    <t>26.74</t>
  </si>
  <si>
    <t>36.15</t>
  </si>
  <si>
    <t>8.97</t>
  </si>
  <si>
    <t>9.58</t>
  </si>
  <si>
    <t>3.42</t>
  </si>
  <si>
    <t>1.76</t>
  </si>
  <si>
    <t>1.10</t>
  </si>
  <si>
    <t>35.28</t>
  </si>
  <si>
    <t>30.44</t>
  </si>
  <si>
    <t>4.64</t>
  </si>
  <si>
    <t>16.38</t>
  </si>
  <si>
    <t>4.84</t>
  </si>
  <si>
    <t>3.32</t>
  </si>
  <si>
    <t>石油和天然气开采业</t>
  </si>
  <si>
    <t>128</t>
  </si>
  <si>
    <t>21507.69</t>
  </si>
  <si>
    <t>11794.68</t>
  </si>
  <si>
    <t>34114.78</t>
  </si>
  <si>
    <t>21750.79</t>
  </si>
  <si>
    <t>2893.15</t>
  </si>
  <si>
    <t>388.90</t>
  </si>
  <si>
    <t>172.21</t>
  </si>
  <si>
    <t>86.47</t>
  </si>
  <si>
    <t>10143.42</t>
  </si>
  <si>
    <t>5308.22</t>
  </si>
  <si>
    <t>1730.82</t>
  </si>
  <si>
    <t>11307.41</t>
  </si>
  <si>
    <t>7582.23</t>
  </si>
  <si>
    <t>4624.03</t>
  </si>
  <si>
    <t>0.75</t>
  </si>
  <si>
    <t xml:space="preserve">  石油开采</t>
  </si>
  <si>
    <t>69</t>
  </si>
  <si>
    <t>16798.83</t>
  </si>
  <si>
    <t>8939.32</t>
  </si>
  <si>
    <t>27416.68</t>
  </si>
  <si>
    <t>17943.51</t>
  </si>
  <si>
    <t>2165.53</t>
  </si>
  <si>
    <t>139.25</t>
  </si>
  <si>
    <t>139.91</t>
  </si>
  <si>
    <t>78.99</t>
  </si>
  <si>
    <t>8272.86</t>
  </si>
  <si>
    <t>4244.80</t>
  </si>
  <si>
    <t>1329.13</t>
  </si>
  <si>
    <t>8469.11</t>
  </si>
  <si>
    <t>5844.42</t>
  </si>
  <si>
    <t>3046.83</t>
  </si>
  <si>
    <t>0.47</t>
  </si>
  <si>
    <t xml:space="preserve">    陆地石油开采</t>
  </si>
  <si>
    <t>65</t>
  </si>
  <si>
    <t>15254.86</t>
  </si>
  <si>
    <t>7676.65</t>
  </si>
  <si>
    <t>23502.70</t>
  </si>
  <si>
    <t>15292.20</t>
  </si>
  <si>
    <t>2112.48</t>
  </si>
  <si>
    <t>136.32</t>
  </si>
  <si>
    <t>114.12</t>
  </si>
  <si>
    <t>74.25</t>
  </si>
  <si>
    <t>7046.95</t>
  </si>
  <si>
    <t>3327.05</t>
  </si>
  <si>
    <t>1138.65</t>
  </si>
  <si>
    <t>8151.04</t>
  </si>
  <si>
    <t>5834.25</t>
  </si>
  <si>
    <t xml:space="preserve">    海洋石油开采</t>
  </si>
  <si>
    <t>4</t>
  </si>
  <si>
    <t>1543.97</t>
  </si>
  <si>
    <t>1262.67</t>
  </si>
  <si>
    <t>3913.98</t>
  </si>
  <si>
    <t>2651.31</t>
  </si>
  <si>
    <t>53.05</t>
  </si>
  <si>
    <t>2.94</t>
  </si>
  <si>
    <t>25.79</t>
  </si>
  <si>
    <t>4.73</t>
  </si>
  <si>
    <t>1225.91</t>
  </si>
  <si>
    <t>917.75</t>
  </si>
  <si>
    <t>190.48</t>
  </si>
  <si>
    <t>318.07</t>
  </si>
  <si>
    <t>10.17</t>
  </si>
  <si>
    <t xml:space="preserve">  天然气开采</t>
  </si>
  <si>
    <t>59</t>
  </si>
  <si>
    <t>4708.85</t>
  </si>
  <si>
    <t>2855.35</t>
  </si>
  <si>
    <t>6698.09</t>
  </si>
  <si>
    <t>3807.29</t>
  </si>
  <si>
    <t>727.63</t>
  </si>
  <si>
    <t>249.64</t>
  </si>
  <si>
    <t>32.30</t>
  </si>
  <si>
    <t>7.48</t>
  </si>
  <si>
    <t>1870.56</t>
  </si>
  <si>
    <t>1063.41</t>
  </si>
  <si>
    <t>401.69</t>
  </si>
  <si>
    <t>2838.30</t>
  </si>
  <si>
    <t>1737.82</t>
  </si>
  <si>
    <t>1577.19</t>
  </si>
  <si>
    <t>0.28</t>
  </si>
  <si>
    <t xml:space="preserve">    陆地天然气开采</t>
  </si>
  <si>
    <t>55</t>
  </si>
  <si>
    <t>3807.86</t>
  </si>
  <si>
    <t>2269.82</t>
  </si>
  <si>
    <t>5144.53</t>
  </si>
  <si>
    <t>2839.26</t>
  </si>
  <si>
    <t>504.30</t>
  </si>
  <si>
    <t>234.71</t>
  </si>
  <si>
    <t>16.90</t>
  </si>
  <si>
    <t>4.76</t>
  </si>
  <si>
    <t>1303.20</t>
  </si>
  <si>
    <t>695.48</t>
  </si>
  <si>
    <t>334.92</t>
  </si>
  <si>
    <t>2504.66</t>
  </si>
  <si>
    <t>1506.02</t>
  </si>
  <si>
    <t>1354.39</t>
  </si>
  <si>
    <t xml:space="preserve">    海洋天然气及可燃冰开采</t>
  </si>
  <si>
    <t>900.99</t>
  </si>
  <si>
    <t>585.53</t>
  </si>
  <si>
    <t>1553.56</t>
  </si>
  <si>
    <t>968.03</t>
  </si>
  <si>
    <t>223.33</t>
  </si>
  <si>
    <t>14.93</t>
  </si>
  <si>
    <t>15.40</t>
  </si>
  <si>
    <t>2.72</t>
  </si>
  <si>
    <t>567.35</t>
  </si>
  <si>
    <t>367.93</t>
  </si>
  <si>
    <t>66.77</t>
  </si>
  <si>
    <t>333.64</t>
  </si>
  <si>
    <t>231.80</t>
  </si>
  <si>
    <t>222.80</t>
  </si>
  <si>
    <t>黑色金属矿采选业</t>
  </si>
  <si>
    <t>1290</t>
  </si>
  <si>
    <t>11644.98</t>
  </si>
  <si>
    <t>2204.78</t>
  </si>
  <si>
    <t>3834.59</t>
  </si>
  <si>
    <t>1525.93</t>
  </si>
  <si>
    <t>3529.36</t>
  </si>
  <si>
    <t>475.46</t>
  </si>
  <si>
    <t>297.44</t>
  </si>
  <si>
    <t>171.51</t>
  </si>
  <si>
    <t>6778.76</t>
  </si>
  <si>
    <t>4576.43</t>
  </si>
  <si>
    <t>628.08</t>
  </si>
  <si>
    <t>4862.08</t>
  </si>
  <si>
    <t>2092.17</t>
  </si>
  <si>
    <t>497.84</t>
  </si>
  <si>
    <t>32.52</t>
  </si>
  <si>
    <t xml:space="preserve">  铁矿采选</t>
  </si>
  <si>
    <t>1204</t>
  </si>
  <si>
    <t>11470.33</t>
  </si>
  <si>
    <t>2173.24</t>
  </si>
  <si>
    <t>3774.89</t>
  </si>
  <si>
    <t>1500.81</t>
  </si>
  <si>
    <t>3457.48</t>
  </si>
  <si>
    <t>461.20</t>
  </si>
  <si>
    <t>281.50</t>
  </si>
  <si>
    <t>161.21</t>
  </si>
  <si>
    <t>6698.77</t>
  </si>
  <si>
    <t>4510.79</t>
  </si>
  <si>
    <t>610.97</t>
  </si>
  <si>
    <t>4769.29</t>
  </si>
  <si>
    <t>2062.01</t>
  </si>
  <si>
    <t>494.60</t>
  </si>
  <si>
    <t>29.57</t>
  </si>
  <si>
    <t xml:space="preserve">  锰矿、铬矿采选</t>
  </si>
  <si>
    <t>132.72</t>
  </si>
  <si>
    <t>18.21</t>
  </si>
  <si>
    <t>35.30</t>
  </si>
  <si>
    <t>15.82</t>
  </si>
  <si>
    <t>51.84</t>
  </si>
  <si>
    <t>12.59</t>
  </si>
  <si>
    <t>9.54</t>
  </si>
  <si>
    <t>6.42</t>
  </si>
  <si>
    <t>55.24</t>
  </si>
  <si>
    <t>43.50</t>
  </si>
  <si>
    <t>9.91</t>
  </si>
  <si>
    <t>76.09</t>
  </si>
  <si>
    <t>25.07</t>
  </si>
  <si>
    <t>3.24</t>
  </si>
  <si>
    <t>2.20</t>
  </si>
  <si>
    <t xml:space="preserve">  其他黑色金属矿采选</t>
  </si>
  <si>
    <t>16</t>
  </si>
  <si>
    <t>41.93</t>
  </si>
  <si>
    <t>13.32</t>
  </si>
  <si>
    <t>24.40</t>
  </si>
  <si>
    <t>9.29</t>
  </si>
  <si>
    <t>20.03</t>
  </si>
  <si>
    <t>1.67</t>
  </si>
  <si>
    <t>6.40</t>
  </si>
  <si>
    <t>3.88</t>
  </si>
  <si>
    <t>24.75</t>
  </si>
  <si>
    <t>22.14</t>
  </si>
  <si>
    <t>7.20</t>
  </si>
  <si>
    <t>16.70</t>
  </si>
  <si>
    <t>5.09</t>
  </si>
  <si>
    <t>有色金属矿采选业</t>
  </si>
  <si>
    <t>1208</t>
  </si>
  <si>
    <t>6271.10</t>
  </si>
  <si>
    <t>1878.26</t>
  </si>
  <si>
    <t>3218.35</t>
  </si>
  <si>
    <t>1175.85</t>
  </si>
  <si>
    <t>2060.55</t>
  </si>
  <si>
    <t>255.17</t>
  </si>
  <si>
    <t>316.48</t>
  </si>
  <si>
    <t>143.75</t>
  </si>
  <si>
    <t>3604.70</t>
  </si>
  <si>
    <t>2597.56</t>
  </si>
  <si>
    <t>332.75</t>
  </si>
  <si>
    <t>2627.11</t>
  </si>
  <si>
    <t>1109.39</t>
  </si>
  <si>
    <t>381.89</t>
  </si>
  <si>
    <t>21.01</t>
  </si>
  <si>
    <t xml:space="preserve">  常用有色金属矿采选</t>
  </si>
  <si>
    <t>782</t>
  </si>
  <si>
    <t>3772.00</t>
  </si>
  <si>
    <t>1064.50</t>
  </si>
  <si>
    <t>1777.16</t>
  </si>
  <si>
    <t>621.38</t>
  </si>
  <si>
    <t>1319.07</t>
  </si>
  <si>
    <t>181.21</t>
  </si>
  <si>
    <t>154.90</t>
  </si>
  <si>
    <t>67.43</t>
  </si>
  <si>
    <t>2142.94</t>
  </si>
  <si>
    <t>1532.74</t>
  </si>
  <si>
    <t>214.25</t>
  </si>
  <si>
    <t>1596.04</t>
  </si>
  <si>
    <t>706.70</t>
  </si>
  <si>
    <t>223.84</t>
  </si>
  <si>
    <t>15.13</t>
  </si>
  <si>
    <t xml:space="preserve">    铜矿采选</t>
  </si>
  <si>
    <t>159</t>
  </si>
  <si>
    <t>1243.05</t>
  </si>
  <si>
    <t>502.23</t>
  </si>
  <si>
    <t>810.11</t>
  </si>
  <si>
    <t>267.76</t>
  </si>
  <si>
    <t>271.11</t>
  </si>
  <si>
    <t>39.79</t>
  </si>
  <si>
    <t>46.53</t>
  </si>
  <si>
    <t>18.70</t>
  </si>
  <si>
    <t>737.84</t>
  </si>
  <si>
    <t>440.84</t>
  </si>
  <si>
    <t>66.90</t>
  </si>
  <si>
    <t>505.23</t>
  </si>
  <si>
    <t>287.71</t>
  </si>
  <si>
    <t>91.84</t>
  </si>
  <si>
    <t>4.57</t>
  </si>
  <si>
    <t xml:space="preserve">    铅锌矿采选</t>
  </si>
  <si>
    <t>306</t>
  </si>
  <si>
    <t>1484.97</t>
  </si>
  <si>
    <t>407.14</t>
  </si>
  <si>
    <t>677.77</t>
  </si>
  <si>
    <t>251.88</t>
  </si>
  <si>
    <t>485.27</t>
  </si>
  <si>
    <t>53.99</t>
  </si>
  <si>
    <t>50.27</t>
  </si>
  <si>
    <t>22.06</t>
  </si>
  <si>
    <t>718.88</t>
  </si>
  <si>
    <t>549.35</t>
  </si>
  <si>
    <t>71.85</t>
  </si>
  <si>
    <t>765.39</t>
  </si>
  <si>
    <t>270.79</t>
  </si>
  <si>
    <t>81.31</t>
  </si>
  <si>
    <t>7.87</t>
  </si>
  <si>
    <t xml:space="preserve">    镍钴矿采选</t>
  </si>
  <si>
    <t>10</t>
  </si>
  <si>
    <t>39.34</t>
  </si>
  <si>
    <t>19.85</t>
  </si>
  <si>
    <t>34.18</t>
  </si>
  <si>
    <t>12.99</t>
  </si>
  <si>
    <t>6.56</t>
  </si>
  <si>
    <t>0.85</t>
  </si>
  <si>
    <t>2.39</t>
  </si>
  <si>
    <t>1.30</t>
  </si>
  <si>
    <t>25.09</t>
  </si>
  <si>
    <t>20.22</t>
  </si>
  <si>
    <t>1.53</t>
  </si>
  <si>
    <t>14.25</t>
  </si>
  <si>
    <t>10.95</t>
  </si>
  <si>
    <t>8.22</t>
  </si>
  <si>
    <t>1.20</t>
  </si>
  <si>
    <t xml:space="preserve">    锡矿采选</t>
  </si>
  <si>
    <t>42</t>
  </si>
  <si>
    <t>511.62</t>
  </si>
  <si>
    <t>25.94</t>
  </si>
  <si>
    <t>67.53</t>
  </si>
  <si>
    <t>20.32</t>
  </si>
  <si>
    <t>280.28</t>
  </si>
  <si>
    <t>14.57</t>
  </si>
  <si>
    <t>9.89</t>
  </si>
  <si>
    <t>4.91</t>
  </si>
  <si>
    <t>341.42</t>
  </si>
  <si>
    <t>243.18</t>
  </si>
  <si>
    <t>7.03</t>
  </si>
  <si>
    <t>141.23</t>
  </si>
  <si>
    <t>70.96</t>
  </si>
  <si>
    <t>37.12</t>
  </si>
  <si>
    <t>0.29</t>
  </si>
  <si>
    <t xml:space="preserve">    锑矿采选</t>
  </si>
  <si>
    <t>19.82</t>
  </si>
  <si>
    <t>7.14</t>
  </si>
  <si>
    <t>14.77</t>
  </si>
  <si>
    <t>6.08</t>
  </si>
  <si>
    <t>5.48</t>
  </si>
  <si>
    <t>0.26</t>
  </si>
  <si>
    <t>0.88</t>
  </si>
  <si>
    <t>0.37</t>
  </si>
  <si>
    <t>11.32</t>
  </si>
  <si>
    <t>10.45</t>
  </si>
  <si>
    <t>0.56</t>
  </si>
  <si>
    <t>7.30</t>
  </si>
  <si>
    <t>4.11</t>
  </si>
  <si>
    <t>0.01</t>
  </si>
  <si>
    <t xml:space="preserve">    铝矿采选</t>
  </si>
  <si>
    <t>86</t>
  </si>
  <si>
    <t>161.12</t>
  </si>
  <si>
    <t>46.45</t>
  </si>
  <si>
    <t>65.26</t>
  </si>
  <si>
    <t>17.00</t>
  </si>
  <si>
    <t>72.82</t>
  </si>
  <si>
    <t>35.22</t>
  </si>
  <si>
    <t>8.34</t>
  </si>
  <si>
    <t>5.37</t>
  </si>
  <si>
    <t>113.66</t>
  </si>
  <si>
    <t>101.73</t>
  </si>
  <si>
    <t>21.44</t>
  </si>
  <si>
    <t>45.73</t>
  </si>
  <si>
    <t>15.30</t>
  </si>
  <si>
    <t>4.01</t>
  </si>
  <si>
    <t xml:space="preserve">    镁矿采选</t>
  </si>
  <si>
    <t>97</t>
  </si>
  <si>
    <t>171.49</t>
  </si>
  <si>
    <t>25.11</t>
  </si>
  <si>
    <t>55.61</t>
  </si>
  <si>
    <t>25.24</t>
  </si>
  <si>
    <t>116.36</t>
  </si>
  <si>
    <t>27.75</t>
  </si>
  <si>
    <t>16.28</t>
  </si>
  <si>
    <t>10.10</t>
  </si>
  <si>
    <t>120.94</t>
  </si>
  <si>
    <t>106.72</t>
  </si>
  <si>
    <t>18.91</t>
  </si>
  <si>
    <t>50.55</t>
  </si>
  <si>
    <t>23.96</t>
  </si>
  <si>
    <t>0.50</t>
  </si>
  <si>
    <t xml:space="preserve">    其他常用有色金属矿采选</t>
  </si>
  <si>
    <t>72</t>
  </si>
  <si>
    <t>140.58</t>
  </si>
  <si>
    <t>30.64</t>
  </si>
  <si>
    <t>51.92</t>
  </si>
  <si>
    <t>20.10</t>
  </si>
  <si>
    <t>81.17</t>
  </si>
  <si>
    <t>8.78</t>
  </si>
  <si>
    <t>20.33</t>
  </si>
  <si>
    <t>4.61</t>
  </si>
  <si>
    <t>73.79</t>
  </si>
  <si>
    <t>60.25</t>
  </si>
  <si>
    <t>26.03</t>
  </si>
  <si>
    <t>66.36</t>
  </si>
  <si>
    <t>22.92</t>
  </si>
  <si>
    <t>1.35</t>
  </si>
  <si>
    <t>0.41</t>
  </si>
  <si>
    <t xml:space="preserve">  贵金属矿采选</t>
  </si>
  <si>
    <t>231</t>
  </si>
  <si>
    <t>1509.33</t>
  </si>
  <si>
    <t>538.14</t>
  </si>
  <si>
    <t>912.94</t>
  </si>
  <si>
    <t>345.45</t>
  </si>
  <si>
    <t>427.51</t>
  </si>
  <si>
    <t>39.43</t>
  </si>
  <si>
    <t>81.62</t>
  </si>
  <si>
    <t>18.35</t>
  </si>
  <si>
    <t>934.12</t>
  </si>
  <si>
    <t>699.17</t>
  </si>
  <si>
    <t>59.71</t>
  </si>
  <si>
    <t>571.61</t>
  </si>
  <si>
    <t>196.18</t>
  </si>
  <si>
    <t>46.69</t>
  </si>
  <si>
    <t>3.05</t>
  </si>
  <si>
    <t xml:space="preserve">    金矿采选</t>
  </si>
  <si>
    <t>213</t>
  </si>
  <si>
    <t>1454.03</t>
  </si>
  <si>
    <t>515.55</t>
  </si>
  <si>
    <t>867.88</t>
  </si>
  <si>
    <t>325.50</t>
  </si>
  <si>
    <t>410.78</t>
  </si>
  <si>
    <t>38.50</t>
  </si>
  <si>
    <t>77.03</t>
  </si>
  <si>
    <t>16.04</t>
  </si>
  <si>
    <t>908.57</t>
  </si>
  <si>
    <t>676.89</t>
  </si>
  <si>
    <t>55.05</t>
  </si>
  <si>
    <t>541.87</t>
  </si>
  <si>
    <t>186.01</t>
  </si>
  <si>
    <t>44.07</t>
  </si>
  <si>
    <t xml:space="preserve">    银矿采选</t>
  </si>
  <si>
    <t>17</t>
  </si>
  <si>
    <t>54.06</t>
  </si>
  <si>
    <t>22.26</t>
  </si>
  <si>
    <t>44.38</t>
  </si>
  <si>
    <t>19.59</t>
  </si>
  <si>
    <t>16.42</t>
  </si>
  <si>
    <t>0.93</t>
  </si>
  <si>
    <t>4.44</t>
  </si>
  <si>
    <t>2.21</t>
  </si>
  <si>
    <t>24.76</t>
  </si>
  <si>
    <t>21.49</t>
  </si>
  <si>
    <t>4.25</t>
  </si>
  <si>
    <t>29.30</t>
  </si>
  <si>
    <t>9.77</t>
  </si>
  <si>
    <t>2.22</t>
  </si>
  <si>
    <t xml:space="preserve">  稀有稀土金属矿采选</t>
  </si>
  <si>
    <t>195</t>
  </si>
  <si>
    <t>989.78</t>
  </si>
  <si>
    <t>275.63</t>
  </si>
  <si>
    <t>528.25</t>
  </si>
  <si>
    <t>209.03</t>
  </si>
  <si>
    <t>313.97</t>
  </si>
  <si>
    <t>34.53</t>
  </si>
  <si>
    <t>79.96</t>
  </si>
  <si>
    <t>57.96</t>
  </si>
  <si>
    <t>527.63</t>
  </si>
  <si>
    <t>365.65</t>
  </si>
  <si>
    <t>58.78</t>
  </si>
  <si>
    <t>459.45</t>
  </si>
  <si>
    <t>206.51</t>
  </si>
  <si>
    <t>111.36</t>
  </si>
  <si>
    <t>2.83</t>
  </si>
  <si>
    <t xml:space="preserve">    钨钼矿采选</t>
  </si>
  <si>
    <t>152</t>
  </si>
  <si>
    <t>794.04</t>
  </si>
  <si>
    <t>234.41</t>
  </si>
  <si>
    <t>455.38</t>
  </si>
  <si>
    <t>186.73</t>
  </si>
  <si>
    <t>244.42</t>
  </si>
  <si>
    <t>25.17</t>
  </si>
  <si>
    <t>53.20</t>
  </si>
  <si>
    <t>36.66</t>
  </si>
  <si>
    <t>397.20</t>
  </si>
  <si>
    <t>298.00</t>
  </si>
  <si>
    <t>48.41</t>
  </si>
  <si>
    <t>395.18</t>
  </si>
  <si>
    <t>147.28</t>
  </si>
  <si>
    <t>77.28</t>
  </si>
  <si>
    <t>2.78</t>
  </si>
  <si>
    <t xml:space="preserve">    稀土金属矿采选</t>
  </si>
  <si>
    <t>104.85</t>
  </si>
  <si>
    <t>6.44</t>
  </si>
  <si>
    <t>12.13</t>
  </si>
  <si>
    <t>35.52</t>
  </si>
  <si>
    <t>5.23</t>
  </si>
  <si>
    <t>12.61</t>
  </si>
  <si>
    <t>10.99</t>
  </si>
  <si>
    <t>61.74</t>
  </si>
  <si>
    <t>30.29</t>
  </si>
  <si>
    <t>3.49</t>
  </si>
  <si>
    <t>42.46</t>
  </si>
  <si>
    <t>25.84</t>
  </si>
  <si>
    <t>22.63</t>
  </si>
  <si>
    <t>非金属矿采选业</t>
  </si>
  <si>
    <t>3429</t>
  </si>
  <si>
    <t>5698.23</t>
  </si>
  <si>
    <t>941.22</t>
  </si>
  <si>
    <t>1761.27</t>
  </si>
  <si>
    <t>707.87</t>
  </si>
  <si>
    <t>2376.14</t>
  </si>
  <si>
    <t>443.63</t>
  </si>
  <si>
    <t>282.45</t>
  </si>
  <si>
    <t>169.86</t>
  </si>
  <si>
    <t>2869.57</t>
  </si>
  <si>
    <t>2030.88</t>
  </si>
  <si>
    <t>364.52</t>
  </si>
  <si>
    <t>2808.51</t>
  </si>
  <si>
    <t>1016.81</t>
  </si>
  <si>
    <t>243.09</t>
  </si>
  <si>
    <t>15.18</t>
  </si>
  <si>
    <t xml:space="preserve">  土砂石开采</t>
  </si>
  <si>
    <t>2872</t>
  </si>
  <si>
    <t>3997.02</t>
  </si>
  <si>
    <t>617.15</t>
  </si>
  <si>
    <t>1109.01</t>
  </si>
  <si>
    <t>405.87</t>
  </si>
  <si>
    <t>1607.59</t>
  </si>
  <si>
    <t>311.04</t>
  </si>
  <si>
    <t>180.48</t>
  </si>
  <si>
    <t>114.70</t>
  </si>
  <si>
    <t>2057.51</t>
  </si>
  <si>
    <t>1397.54</t>
  </si>
  <si>
    <t>239.83</t>
  </si>
  <si>
    <t>1922.93</t>
  </si>
  <si>
    <t>679.57</t>
  </si>
  <si>
    <t>118.83</t>
  </si>
  <si>
    <t>10.59</t>
  </si>
  <si>
    <t xml:space="preserve">    石灰石、石膏开采</t>
  </si>
  <si>
    <t>764</t>
  </si>
  <si>
    <t>973.66</t>
  </si>
  <si>
    <t>191.09</t>
  </si>
  <si>
    <t>343.96</t>
  </si>
  <si>
    <t>129.11</t>
  </si>
  <si>
    <t>341.12</t>
  </si>
  <si>
    <t>73.14</t>
  </si>
  <si>
    <t>27.53</t>
  </si>
  <si>
    <t>18.41</t>
  </si>
  <si>
    <t>525.55</t>
  </si>
  <si>
    <t>382.98</t>
  </si>
  <si>
    <t>77.30</t>
  </si>
  <si>
    <t>442.02</t>
  </si>
  <si>
    <t>222.76</t>
  </si>
  <si>
    <t>39.99</t>
  </si>
  <si>
    <t>2.12</t>
  </si>
  <si>
    <t xml:space="preserve">    建筑装饰用石开采</t>
  </si>
  <si>
    <t>669</t>
  </si>
  <si>
    <t>1145.93</t>
  </si>
  <si>
    <t>130.63</t>
  </si>
  <si>
    <t>227.69</t>
  </si>
  <si>
    <t>72.57</t>
  </si>
  <si>
    <t>400.63</t>
  </si>
  <si>
    <t>70.42</t>
  </si>
  <si>
    <t>36.18</t>
  </si>
  <si>
    <t>27.17</t>
  </si>
  <si>
    <t>617.55</t>
  </si>
  <si>
    <t>427.77</t>
  </si>
  <si>
    <t>59.23</t>
  </si>
  <si>
    <t>525.89</t>
  </si>
  <si>
    <t>155.21</t>
  </si>
  <si>
    <t>20.82</t>
  </si>
  <si>
    <t>2.62</t>
  </si>
  <si>
    <t xml:space="preserve">    耐火土石开采</t>
  </si>
  <si>
    <t>211</t>
  </si>
  <si>
    <t>168.40</t>
  </si>
  <si>
    <t>43.34</t>
  </si>
  <si>
    <t>96.57</t>
  </si>
  <si>
    <t>46.23</t>
  </si>
  <si>
    <t>76.11</t>
  </si>
  <si>
    <t>17.47</t>
  </si>
  <si>
    <t>14.41</t>
  </si>
  <si>
    <t>8.58</t>
  </si>
  <si>
    <t>85.58</t>
  </si>
  <si>
    <t>69.05</t>
  </si>
  <si>
    <t>16.58</t>
  </si>
  <si>
    <t>82.26</t>
  </si>
  <si>
    <t>36.82</t>
  </si>
  <si>
    <t>1.51</t>
  </si>
  <si>
    <t>0.81</t>
  </si>
  <si>
    <t xml:space="preserve">    粘土及其他土砂石开采</t>
  </si>
  <si>
    <t>1228</t>
  </si>
  <si>
    <t>1709.03</t>
  </si>
  <si>
    <t>252.09</t>
  </si>
  <si>
    <t>440.79</t>
  </si>
  <si>
    <t>157.96</t>
  </si>
  <si>
    <t>789.73</t>
  </si>
  <si>
    <t>150.00</t>
  </si>
  <si>
    <t>102.36</t>
  </si>
  <si>
    <t>60.53</t>
  </si>
  <si>
    <t>828.83</t>
  </si>
  <si>
    <t>517.75</t>
  </si>
  <si>
    <t>86.71</t>
  </si>
  <si>
    <t>872.76</t>
  </si>
  <si>
    <t>264.79</t>
  </si>
  <si>
    <t>56.51</t>
  </si>
  <si>
    <t>5.04</t>
  </si>
  <si>
    <t xml:space="preserve">  化学矿开采</t>
  </si>
  <si>
    <t>587.33</t>
  </si>
  <si>
    <t>130.81</t>
  </si>
  <si>
    <t>247.63</t>
  </si>
  <si>
    <t>103.72</t>
  </si>
  <si>
    <t>275.24</t>
  </si>
  <si>
    <t>58.77</t>
  </si>
  <si>
    <t>44.67</t>
  </si>
  <si>
    <t>20.52</t>
  </si>
  <si>
    <t>349.04</t>
  </si>
  <si>
    <t>278.39</t>
  </si>
  <si>
    <t>56.48</t>
  </si>
  <si>
    <t>236.85</t>
  </si>
  <si>
    <t>128.00</t>
  </si>
  <si>
    <t>46.93</t>
  </si>
  <si>
    <t>3.35</t>
  </si>
  <si>
    <t xml:space="preserve">  采盐</t>
  </si>
  <si>
    <t>80</t>
  </si>
  <si>
    <t>815.19</t>
  </si>
  <si>
    <t>134.28</t>
  </si>
  <si>
    <t>281.21</t>
  </si>
  <si>
    <t>143.50</t>
  </si>
  <si>
    <t>357.80</t>
  </si>
  <si>
    <t>42.38</t>
  </si>
  <si>
    <t>31.24</t>
  </si>
  <si>
    <t>19.43</t>
  </si>
  <si>
    <t>295.43</t>
  </si>
  <si>
    <t>221.04</t>
  </si>
  <si>
    <t>34.70</t>
  </si>
  <si>
    <t>519.76</t>
  </si>
  <si>
    <t>137.10</t>
  </si>
  <si>
    <t>60.52</t>
  </si>
  <si>
    <t>0.99</t>
  </si>
  <si>
    <t xml:space="preserve">2-1 续表1
</t>
  </si>
  <si>
    <t>存货</t>
  </si>
  <si>
    <t xml:space="preserve">  石棉及其他非金属矿采选</t>
  </si>
  <si>
    <t>266</t>
  </si>
  <si>
    <t>298.68</t>
  </si>
  <si>
    <t>58.98</t>
  </si>
  <si>
    <t>123.42</t>
  </si>
  <si>
    <t>54.78</t>
  </si>
  <si>
    <t>135.51</t>
  </si>
  <si>
    <t>31.44</t>
  </si>
  <si>
    <t>26.06</t>
  </si>
  <si>
    <t>15.21</t>
  </si>
  <si>
    <t>167.59</t>
  </si>
  <si>
    <t>133.91</t>
  </si>
  <si>
    <t>33.52</t>
  </si>
  <si>
    <t>128.98</t>
  </si>
  <si>
    <t>72.14</t>
  </si>
  <si>
    <t>16.82</t>
  </si>
  <si>
    <t>0.25</t>
  </si>
  <si>
    <t xml:space="preserve">    石棉、云母矿采选</t>
  </si>
  <si>
    <t>7</t>
  </si>
  <si>
    <t>16.26</t>
  </si>
  <si>
    <t>6.77</t>
  </si>
  <si>
    <t>14.35</t>
  </si>
  <si>
    <t>7.40</t>
  </si>
  <si>
    <t>6.50</t>
  </si>
  <si>
    <t>2.33</t>
  </si>
  <si>
    <t>2.26</t>
  </si>
  <si>
    <t>10.91</t>
  </si>
  <si>
    <t>10.46</t>
  </si>
  <si>
    <t>0.76</t>
  </si>
  <si>
    <t>5.36</t>
  </si>
  <si>
    <t>5.90</t>
  </si>
  <si>
    <t>1.80</t>
  </si>
  <si>
    <t xml:space="preserve">    石墨、滑石采选</t>
  </si>
  <si>
    <t>62</t>
  </si>
  <si>
    <t>132.28</t>
  </si>
  <si>
    <t>25.42</t>
  </si>
  <si>
    <t>46.35</t>
  </si>
  <si>
    <t>19.58</t>
  </si>
  <si>
    <t>56.33</t>
  </si>
  <si>
    <t>14.81</t>
  </si>
  <si>
    <t>10.67</t>
  </si>
  <si>
    <t>5.61</t>
  </si>
  <si>
    <t>72.84</t>
  </si>
  <si>
    <t>60.39</t>
  </si>
  <si>
    <t>13.16</t>
  </si>
  <si>
    <t>59.44</t>
  </si>
  <si>
    <t>27.39</t>
  </si>
  <si>
    <t>9.17</t>
  </si>
  <si>
    <t>0.02</t>
  </si>
  <si>
    <t xml:space="preserve">    其他未列明非金属矿采选</t>
  </si>
  <si>
    <t>145.36</t>
  </si>
  <si>
    <t>26.35</t>
  </si>
  <si>
    <t>61.21</t>
  </si>
  <si>
    <t>26.73</t>
  </si>
  <si>
    <t>69.84</t>
  </si>
  <si>
    <t>14.96</t>
  </si>
  <si>
    <t>11.22</t>
  </si>
  <si>
    <t>5.52</t>
  </si>
  <si>
    <t>81.44</t>
  </si>
  <si>
    <t>60.65</t>
  </si>
  <si>
    <t>19.51</t>
  </si>
  <si>
    <t>61.80</t>
  </si>
  <si>
    <t>36.75</t>
  </si>
  <si>
    <t>5.83</t>
  </si>
  <si>
    <t>0.23</t>
  </si>
  <si>
    <t>开采专业及辅助性活动</t>
  </si>
  <si>
    <t>275</t>
  </si>
  <si>
    <t>3081.12</t>
  </si>
  <si>
    <t>685.11</t>
  </si>
  <si>
    <t>1976.76</t>
  </si>
  <si>
    <t>1296.26</t>
  </si>
  <si>
    <t>1665.08</t>
  </si>
  <si>
    <t>503.07</t>
  </si>
  <si>
    <t>106.79</t>
  </si>
  <si>
    <t>16.97</t>
  </si>
  <si>
    <t>1952.31</t>
  </si>
  <si>
    <t>1829.12</t>
  </si>
  <si>
    <t>787.34</t>
  </si>
  <si>
    <t>1128.51</t>
  </si>
  <si>
    <t>1532.62</t>
  </si>
  <si>
    <t>44.24</t>
  </si>
  <si>
    <t>3.37</t>
  </si>
  <si>
    <t xml:space="preserve">  煤炭开采和洗选专业及辅助性活动</t>
  </si>
  <si>
    <t>8</t>
  </si>
  <si>
    <t>64.13</t>
  </si>
  <si>
    <t>6.13</t>
  </si>
  <si>
    <t>11.91</t>
  </si>
  <si>
    <t>28.43</t>
  </si>
  <si>
    <t>5.72</t>
  </si>
  <si>
    <t>1.18</t>
  </si>
  <si>
    <t>0.77</t>
  </si>
  <si>
    <t>35.38</t>
  </si>
  <si>
    <t>34.16</t>
  </si>
  <si>
    <t>9.09</t>
  </si>
  <si>
    <t>28.75</t>
  </si>
  <si>
    <t>15.41</t>
  </si>
  <si>
    <t>8.99</t>
  </si>
  <si>
    <t xml:space="preserve">  石油和天然气开采专业及辅助性活动</t>
  </si>
  <si>
    <t>257</t>
  </si>
  <si>
    <t>3011.61</t>
  </si>
  <si>
    <t>678.51</t>
  </si>
  <si>
    <t>1963.40</t>
  </si>
  <si>
    <t>1289.91</t>
  </si>
  <si>
    <t>1631.99</t>
  </si>
  <si>
    <t>494.65</t>
  </si>
  <si>
    <t>105.24</t>
  </si>
  <si>
    <t>15.93</t>
  </si>
  <si>
    <t>1912.65</t>
  </si>
  <si>
    <t>1792.40</t>
  </si>
  <si>
    <t>777.91</t>
  </si>
  <si>
    <t>1098.66</t>
  </si>
  <si>
    <t>1516.43</t>
  </si>
  <si>
    <t>35.14</t>
  </si>
  <si>
    <t>3.22</t>
  </si>
  <si>
    <t xml:space="preserve">  其他开采专业及辅助性活动</t>
  </si>
  <si>
    <t>5.38</t>
  </si>
  <si>
    <t>0.46</t>
  </si>
  <si>
    <t>1.45</t>
  </si>
  <si>
    <t>0.58</t>
  </si>
  <si>
    <t>4.66</t>
  </si>
  <si>
    <t>2.70</t>
  </si>
  <si>
    <t>0.27</t>
  </si>
  <si>
    <t>4.28</t>
  </si>
  <si>
    <t>2.56</t>
  </si>
  <si>
    <t>0.34</t>
  </si>
  <si>
    <t>0.78</t>
  </si>
  <si>
    <t>0.11</t>
  </si>
  <si>
    <t>0.15</t>
  </si>
  <si>
    <t>其他采矿业</t>
  </si>
  <si>
    <t>6</t>
  </si>
  <si>
    <t>15.98</t>
  </si>
  <si>
    <t>5.92</t>
  </si>
  <si>
    <t>15.52</t>
  </si>
  <si>
    <t>8.82</t>
  </si>
  <si>
    <t>6.00</t>
  </si>
  <si>
    <t>2.45</t>
  </si>
  <si>
    <t>2.04</t>
  </si>
  <si>
    <t>0.52</t>
  </si>
  <si>
    <t>10.72</t>
  </si>
  <si>
    <t>3.69</t>
  </si>
  <si>
    <t>1.60</t>
  </si>
  <si>
    <t>4.97</t>
  </si>
  <si>
    <t>4.40</t>
  </si>
  <si>
    <t>3.80</t>
  </si>
  <si>
    <t>0.20</t>
  </si>
  <si>
    <t>制造业</t>
  </si>
  <si>
    <t>373498</t>
  </si>
  <si>
    <t>979939.83</t>
  </si>
  <si>
    <t>208029.70</t>
  </si>
  <si>
    <t>407804.20</t>
  </si>
  <si>
    <t>184731.84</t>
  </si>
  <si>
    <t>570561.07</t>
  </si>
  <si>
    <t>152430.25</t>
  </si>
  <si>
    <t>121515.11</t>
  </si>
  <si>
    <t>45309.71</t>
  </si>
  <si>
    <t>541685.19</t>
  </si>
  <si>
    <t>448285.73</t>
  </si>
  <si>
    <t>138343.13</t>
  </si>
  <si>
    <t>436803.96</t>
  </si>
  <si>
    <t>197956.98</t>
  </si>
  <si>
    <t>23568.50</t>
  </si>
  <si>
    <t>3227.22</t>
  </si>
  <si>
    <t>农副食品加工业</t>
  </si>
  <si>
    <t>21881</t>
  </si>
  <si>
    <t>31461.96</t>
  </si>
  <si>
    <t>6521.08</t>
  </si>
  <si>
    <t>12253.02</t>
  </si>
  <si>
    <t>4998.65</t>
  </si>
  <si>
    <t>18587.55</t>
  </si>
  <si>
    <t>2879.51</t>
  </si>
  <si>
    <t>5553.39</t>
  </si>
  <si>
    <t>2194.48</t>
  </si>
  <si>
    <t>18091.63</t>
  </si>
  <si>
    <t>15136.05</t>
  </si>
  <si>
    <t>2894.14</t>
  </si>
  <si>
    <t>13234.57</t>
  </si>
  <si>
    <t>6071.44</t>
  </si>
  <si>
    <t>321.30</t>
  </si>
  <si>
    <t>147.75</t>
  </si>
  <si>
    <t xml:space="preserve">  谷物磨制</t>
  </si>
  <si>
    <t>5314</t>
  </si>
  <si>
    <t>4365.04</t>
  </si>
  <si>
    <t>1061.84</t>
  </si>
  <si>
    <t>2025.65</t>
  </si>
  <si>
    <t>789.53</t>
  </si>
  <si>
    <t>2498.56</t>
  </si>
  <si>
    <t>405.59</t>
  </si>
  <si>
    <t>1025.86</t>
  </si>
  <si>
    <t>302.33</t>
  </si>
  <si>
    <t>2114.78</t>
  </si>
  <si>
    <t>1709.68</t>
  </si>
  <si>
    <t>248.66</t>
  </si>
  <si>
    <t>2208.46</t>
  </si>
  <si>
    <t>953.73</t>
  </si>
  <si>
    <t>74.76</t>
  </si>
  <si>
    <t>30.18</t>
  </si>
  <si>
    <t xml:space="preserve">    稻谷加工</t>
  </si>
  <si>
    <t>3874</t>
  </si>
  <si>
    <t>2643.14</t>
  </si>
  <si>
    <t>628.75</t>
  </si>
  <si>
    <t>1260.41</t>
  </si>
  <si>
    <t>523.98</t>
  </si>
  <si>
    <t>1545.31</t>
  </si>
  <si>
    <t>235.21</t>
  </si>
  <si>
    <t>658.00</t>
  </si>
  <si>
    <t>209.79</t>
  </si>
  <si>
    <t>1290.28</t>
  </si>
  <si>
    <t>1039.56</t>
  </si>
  <si>
    <t>138.62</t>
  </si>
  <si>
    <t>1343.79</t>
  </si>
  <si>
    <t>584.03</t>
  </si>
  <si>
    <t>45.80</t>
  </si>
  <si>
    <t>17.33</t>
  </si>
  <si>
    <t xml:space="preserve">    小麦加工</t>
  </si>
  <si>
    <t>1153</t>
  </si>
  <si>
    <t>1482.75</t>
  </si>
  <si>
    <t>388.21</t>
  </si>
  <si>
    <t>674.88</t>
  </si>
  <si>
    <t>229.91</t>
  </si>
  <si>
    <t>817.63</t>
  </si>
  <si>
    <t>139.65</t>
  </si>
  <si>
    <t>322.14</t>
  </si>
  <si>
    <t>73.63</t>
  </si>
  <si>
    <t>695.91</t>
  </si>
  <si>
    <t>576.51</t>
  </si>
  <si>
    <t>96.61</t>
  </si>
  <si>
    <t>761.53</t>
  </si>
  <si>
    <t>319.72</t>
  </si>
  <si>
    <t>25.26</t>
  </si>
  <si>
    <t>11.12</t>
  </si>
  <si>
    <t xml:space="preserve">    玉米加工</t>
  </si>
  <si>
    <t>48</t>
  </si>
  <si>
    <t>24.66</t>
  </si>
  <si>
    <t>6.53</t>
  </si>
  <si>
    <t>14.97</t>
  </si>
  <si>
    <t>8.29</t>
  </si>
  <si>
    <t>11.96</t>
  </si>
  <si>
    <t>5.05</t>
  </si>
  <si>
    <t>1.62</t>
  </si>
  <si>
    <t>10.54</t>
  </si>
  <si>
    <t>9.53</t>
  </si>
  <si>
    <t>13.88</t>
  </si>
  <si>
    <t>7.13</t>
  </si>
  <si>
    <t>0.12</t>
  </si>
  <si>
    <t xml:space="preserve">    杂粮加工</t>
  </si>
  <si>
    <t>120</t>
  </si>
  <si>
    <t>89.03</t>
  </si>
  <si>
    <t>17.59</t>
  </si>
  <si>
    <t>33.31</t>
  </si>
  <si>
    <t>7.94</t>
  </si>
  <si>
    <t>49.55</t>
  </si>
  <si>
    <t>10.13</t>
  </si>
  <si>
    <t>10.33</t>
  </si>
  <si>
    <t>48.66</t>
  </si>
  <si>
    <t>33.40</t>
  </si>
  <si>
    <t>5.43</t>
  </si>
  <si>
    <t>38.04</t>
  </si>
  <si>
    <t>16.84</t>
  </si>
  <si>
    <t xml:space="preserve">    其他谷物磨制</t>
  </si>
  <si>
    <t>119</t>
  </si>
  <si>
    <t>125.45</t>
  </si>
  <si>
    <t>20.76</t>
  </si>
  <si>
    <t>42.08</t>
  </si>
  <si>
    <t>19.42</t>
  </si>
  <si>
    <t>74.11</t>
  </si>
  <si>
    <t>18.83</t>
  </si>
  <si>
    <t>21.09</t>
  </si>
  <si>
    <t>6.95</t>
  </si>
  <si>
    <t>69.39</t>
  </si>
  <si>
    <t>50.68</t>
  </si>
  <si>
    <t>7.11</t>
  </si>
  <si>
    <t>51.22</t>
  </si>
  <si>
    <t>26.02</t>
  </si>
  <si>
    <t>3.30</t>
  </si>
  <si>
    <t>0.10</t>
  </si>
  <si>
    <t xml:space="preserve">  饲料加工</t>
  </si>
  <si>
    <t>4220</t>
  </si>
  <si>
    <t>7008.32</t>
  </si>
  <si>
    <t>1160.65</t>
  </si>
  <si>
    <t>2241.84</t>
  </si>
  <si>
    <t>945.70</t>
  </si>
  <si>
    <t>4011.64</t>
  </si>
  <si>
    <t>487.51</t>
  </si>
  <si>
    <t>925.74</t>
  </si>
  <si>
    <t>204.44</t>
  </si>
  <si>
    <t>3885.40</t>
  </si>
  <si>
    <t>3277.53</t>
  </si>
  <si>
    <t>575.05</t>
  </si>
  <si>
    <t>3106.06</t>
  </si>
  <si>
    <t>1268.23</t>
  </si>
  <si>
    <t>14.89</t>
  </si>
  <si>
    <t>29.37</t>
  </si>
  <si>
    <t xml:space="preserve">    宠物饲料加工</t>
  </si>
  <si>
    <t>261</t>
  </si>
  <si>
    <t>309.84</t>
  </si>
  <si>
    <t>71.87</t>
  </si>
  <si>
    <t>113.48</t>
  </si>
  <si>
    <t>34.14</t>
  </si>
  <si>
    <t>180.57</t>
  </si>
  <si>
    <t>32.89</t>
  </si>
  <si>
    <t>46.52</t>
  </si>
  <si>
    <t>14.92</t>
  </si>
  <si>
    <t>138.73</t>
  </si>
  <si>
    <t>119.24</t>
  </si>
  <si>
    <t>32.19</t>
  </si>
  <si>
    <t>169.32</t>
  </si>
  <si>
    <t>65.10</t>
  </si>
  <si>
    <t>0.05</t>
  </si>
  <si>
    <t>1.08</t>
  </si>
  <si>
    <t xml:space="preserve">    其他饲料加工</t>
  </si>
  <si>
    <t>3959</t>
  </si>
  <si>
    <t>6698.47</t>
  </si>
  <si>
    <t>1088.78</t>
  </si>
  <si>
    <t>2128.37</t>
  </si>
  <si>
    <t>911.56</t>
  </si>
  <si>
    <t>3831.08</t>
  </si>
  <si>
    <t>454.62</t>
  </si>
  <si>
    <t>879.22</t>
  </si>
  <si>
    <t>189.52</t>
  </si>
  <si>
    <t>3746.68</t>
  </si>
  <si>
    <t>3158.28</t>
  </si>
  <si>
    <t>542.86</t>
  </si>
  <si>
    <t>2936.74</t>
  </si>
  <si>
    <t>1203.13</t>
  </si>
  <si>
    <t>14.84</t>
  </si>
  <si>
    <t>28.29</t>
  </si>
  <si>
    <t xml:space="preserve">  植物油加工</t>
  </si>
  <si>
    <t>1498</t>
  </si>
  <si>
    <t>4908.60</t>
  </si>
  <si>
    <t>767.32</t>
  </si>
  <si>
    <t>1604.84</t>
  </si>
  <si>
    <t>734.26</t>
  </si>
  <si>
    <t>3560.43</t>
  </si>
  <si>
    <t>395.34</t>
  </si>
  <si>
    <t>1095.25</t>
  </si>
  <si>
    <t>424.42</t>
  </si>
  <si>
    <t>3294.46</t>
  </si>
  <si>
    <t>2884.01</t>
  </si>
  <si>
    <t>549.06</t>
  </si>
  <si>
    <t>1589.15</t>
  </si>
  <si>
    <t>824.43</t>
  </si>
  <si>
    <t>75.98</t>
  </si>
  <si>
    <t>21.25</t>
  </si>
  <si>
    <t xml:space="preserve">    食用植物油加工</t>
  </si>
  <si>
    <t>1378</t>
  </si>
  <si>
    <t>4846.93</t>
  </si>
  <si>
    <t>748.76</t>
  </si>
  <si>
    <t>1551.20</t>
  </si>
  <si>
    <t>703.29</t>
  </si>
  <si>
    <t>3529.72</t>
  </si>
  <si>
    <t>388.94</t>
  </si>
  <si>
    <t>1084.85</t>
  </si>
  <si>
    <t>417.98</t>
  </si>
  <si>
    <t>3264.42</t>
  </si>
  <si>
    <t>2862.70</t>
  </si>
  <si>
    <t>544.66</t>
  </si>
  <si>
    <t>1557.56</t>
  </si>
  <si>
    <t>805.91</t>
  </si>
  <si>
    <t>75.97</t>
  </si>
  <si>
    <t>21.15</t>
  </si>
  <si>
    <t xml:space="preserve">    非食用植物油加工</t>
  </si>
  <si>
    <t>61.67</t>
  </si>
  <si>
    <t>18.56</t>
  </si>
  <si>
    <t>53.65</t>
  </si>
  <si>
    <t>30.97</t>
  </si>
  <si>
    <t>30.71</t>
  </si>
  <si>
    <t>6.41</t>
  </si>
  <si>
    <t>10.39</t>
  </si>
  <si>
    <t>30.04</t>
  </si>
  <si>
    <t>21.32</t>
  </si>
  <si>
    <t>31.59</t>
  </si>
  <si>
    <t>18.52</t>
  </si>
  <si>
    <t xml:space="preserve">  制糖业</t>
  </si>
  <si>
    <t>258</t>
  </si>
  <si>
    <t>1483.56</t>
  </si>
  <si>
    <t>290.63</t>
  </si>
  <si>
    <t>653.22</t>
  </si>
  <si>
    <t>351.74</t>
  </si>
  <si>
    <t>973.11</t>
  </si>
  <si>
    <t>103.56</t>
  </si>
  <si>
    <t>210.53</t>
  </si>
  <si>
    <t>138.86</t>
  </si>
  <si>
    <t>1169.64</t>
  </si>
  <si>
    <t>1031.73</t>
  </si>
  <si>
    <t>200.64</t>
  </si>
  <si>
    <t>321.53</t>
  </si>
  <si>
    <t>202.24</t>
  </si>
  <si>
    <t>48.07</t>
  </si>
  <si>
    <t>6.45</t>
  </si>
  <si>
    <t xml:space="preserve">  屠宰及肉类加工</t>
  </si>
  <si>
    <t>3641</t>
  </si>
  <si>
    <t>6126.53</t>
  </si>
  <si>
    <t>1385.17</t>
  </si>
  <si>
    <t>2369.73</t>
  </si>
  <si>
    <t>885.57</t>
  </si>
  <si>
    <t>3283.41</t>
  </si>
  <si>
    <t>523.91</t>
  </si>
  <si>
    <t>720.03</t>
  </si>
  <si>
    <t>371.29</t>
  </si>
  <si>
    <t>3358.27</t>
  </si>
  <si>
    <t>2699.96</t>
  </si>
  <si>
    <t>494.13</t>
  </si>
  <si>
    <t>2747.55</t>
  </si>
  <si>
    <t>1240.75</t>
  </si>
  <si>
    <t>36.22</t>
  </si>
  <si>
    <t>27.73</t>
  </si>
  <si>
    <t xml:space="preserve">    牲畜屠宰</t>
  </si>
  <si>
    <t>1233</t>
  </si>
  <si>
    <t>2071.54</t>
  </si>
  <si>
    <t>420.79</t>
  </si>
  <si>
    <t>730.77</t>
  </si>
  <si>
    <t>271.36</t>
  </si>
  <si>
    <t>1103.07</t>
  </si>
  <si>
    <t>159.22</t>
  </si>
  <si>
    <t>226.98</t>
  </si>
  <si>
    <t>144.59</t>
  </si>
  <si>
    <t>1173.19</t>
  </si>
  <si>
    <t>898.34</t>
  </si>
  <si>
    <t>127.48</t>
  </si>
  <si>
    <t>886.46</t>
  </si>
  <si>
    <t>436.74</t>
  </si>
  <si>
    <t>22.55</t>
  </si>
  <si>
    <t>14.20</t>
  </si>
  <si>
    <t xml:space="preserve">    禽类屠宰</t>
  </si>
  <si>
    <t>1445.76</t>
  </si>
  <si>
    <t>395.42</t>
  </si>
  <si>
    <t>642.96</t>
  </si>
  <si>
    <t>225.06</t>
  </si>
  <si>
    <t>738.90</t>
  </si>
  <si>
    <t>117.40</t>
  </si>
  <si>
    <t>156.33</t>
  </si>
  <si>
    <t>97.01</t>
  </si>
  <si>
    <t>900.46</t>
  </si>
  <si>
    <t>739.73</t>
  </si>
  <si>
    <t>143.42</t>
  </si>
  <si>
    <t>543.78</t>
  </si>
  <si>
    <t>293.05</t>
  </si>
  <si>
    <t>4.36</t>
  </si>
  <si>
    <t>4.70</t>
  </si>
  <si>
    <t xml:space="preserve">    肉制品及副产品加工</t>
  </si>
  <si>
    <t>1739</t>
  </si>
  <si>
    <t>2609.24</t>
  </si>
  <si>
    <t>568.96</t>
  </si>
  <si>
    <t>995.99</t>
  </si>
  <si>
    <t>389.16</t>
  </si>
  <si>
    <t>1441.43</t>
  </si>
  <si>
    <t>247.28</t>
  </si>
  <si>
    <t>336.71</t>
  </si>
  <si>
    <t>129.69</t>
  </si>
  <si>
    <t>1284.62</t>
  </si>
  <si>
    <t>1061.88</t>
  </si>
  <si>
    <t>223.23</t>
  </si>
  <si>
    <t>1317.32</t>
  </si>
  <si>
    <t>510.97</t>
  </si>
  <si>
    <t>9.32</t>
  </si>
  <si>
    <t>8.83</t>
  </si>
  <si>
    <t xml:space="preserve">  水产品加工</t>
  </si>
  <si>
    <t>1616</t>
  </si>
  <si>
    <t>1989.98</t>
  </si>
  <si>
    <t>352.97</t>
  </si>
  <si>
    <t>670.12</t>
  </si>
  <si>
    <t>290.04</t>
  </si>
  <si>
    <t>1310.93</t>
  </si>
  <si>
    <t>307.30</t>
  </si>
  <si>
    <t>565.98</t>
  </si>
  <si>
    <t>327.27</t>
  </si>
  <si>
    <t>1185.21</t>
  </si>
  <si>
    <t>1007.59</t>
  </si>
  <si>
    <t>264.92</t>
  </si>
  <si>
    <t>795.36</t>
  </si>
  <si>
    <t>341.55</t>
  </si>
  <si>
    <t>18.08</t>
  </si>
  <si>
    <t xml:space="preserve">    水产品冷冻加工</t>
  </si>
  <si>
    <t>1185</t>
  </si>
  <si>
    <t>1613.10</t>
  </si>
  <si>
    <t>275.56</t>
  </si>
  <si>
    <t>506.22</t>
  </si>
  <si>
    <t>210.57</t>
  </si>
  <si>
    <t>1087.16</t>
  </si>
  <si>
    <t>257.01</t>
  </si>
  <si>
    <t>475.26</t>
  </si>
  <si>
    <t>286.14</t>
  </si>
  <si>
    <t>999.03</t>
  </si>
  <si>
    <t>855.57</t>
  </si>
  <si>
    <t>230.84</t>
  </si>
  <si>
    <t>607.44</t>
  </si>
  <si>
    <t>265.63</t>
  </si>
  <si>
    <t>16.59</t>
  </si>
  <si>
    <t>2.98</t>
  </si>
  <si>
    <t xml:space="preserve">    鱼糜制品及水产品干腌制加工</t>
  </si>
  <si>
    <t>314</t>
  </si>
  <si>
    <t>264.99</t>
  </si>
  <si>
    <t>54.08</t>
  </si>
  <si>
    <t>113.28</t>
  </si>
  <si>
    <t>53.82</t>
  </si>
  <si>
    <t>159.56</t>
  </si>
  <si>
    <t>37.57</t>
  </si>
  <si>
    <t>64.36</t>
  </si>
  <si>
    <t>29.59</t>
  </si>
  <si>
    <t>138.07</t>
  </si>
  <si>
    <t>110.41</t>
  </si>
  <si>
    <t>24.27</t>
  </si>
  <si>
    <t>124.99</t>
  </si>
  <si>
    <t>51.64</t>
  </si>
  <si>
    <t>1.00</t>
  </si>
  <si>
    <t>0.08</t>
  </si>
  <si>
    <t xml:space="preserve">    鱼油提取及制品制造</t>
  </si>
  <si>
    <t>20</t>
  </si>
  <si>
    <t>22.85</t>
  </si>
  <si>
    <t>5.95</t>
  </si>
  <si>
    <t>12.12</t>
  </si>
  <si>
    <t>6.17</t>
  </si>
  <si>
    <t>14.72</t>
  </si>
  <si>
    <t>2.97</t>
  </si>
  <si>
    <t>4.56</t>
  </si>
  <si>
    <t>1.39</t>
  </si>
  <si>
    <t>13.66</t>
  </si>
  <si>
    <t>3.08</t>
  </si>
  <si>
    <t>8.65</t>
  </si>
  <si>
    <t>4.65</t>
  </si>
  <si>
    <t xml:space="preserve">    其他水产品加工</t>
  </si>
  <si>
    <t>89.04</t>
  </si>
  <si>
    <t>17.38</t>
  </si>
  <si>
    <t>38.49</t>
  </si>
  <si>
    <t>19.49</t>
  </si>
  <si>
    <t>49.49</t>
  </si>
  <si>
    <t>9.75</t>
  </si>
  <si>
    <t>21.81</t>
  </si>
  <si>
    <t>10.15</t>
  </si>
  <si>
    <t>33.91</t>
  </si>
  <si>
    <t>27.96</t>
  </si>
  <si>
    <t>6.73</t>
  </si>
  <si>
    <t>54.28</t>
  </si>
  <si>
    <t>19.62</t>
  </si>
  <si>
    <t>0.21</t>
  </si>
  <si>
    <t xml:space="preserve">  蔬菜、菌类、水果和坚果加工</t>
  </si>
  <si>
    <t>3075</t>
  </si>
  <si>
    <t>2558.44</t>
  </si>
  <si>
    <t>546.34</t>
  </si>
  <si>
    <t>1002.75</t>
  </si>
  <si>
    <t>362.22</t>
  </si>
  <si>
    <t>1505.99</t>
  </si>
  <si>
    <t>371.85</t>
  </si>
  <si>
    <t>485.65</t>
  </si>
  <si>
    <t>207.14</t>
  </si>
  <si>
    <t>1334.35</t>
  </si>
  <si>
    <t>1094.10</t>
  </si>
  <si>
    <t>282.72</t>
  </si>
  <si>
    <t>1204.31</t>
  </si>
  <si>
    <t>532.26</t>
  </si>
  <si>
    <t>17.61</t>
  </si>
  <si>
    <t>9.00</t>
  </si>
  <si>
    <t xml:space="preserve">    蔬菜加工</t>
  </si>
  <si>
    <t>1504</t>
  </si>
  <si>
    <t>1123.72</t>
  </si>
  <si>
    <t>259.05</t>
  </si>
  <si>
    <t>514.62</t>
  </si>
  <si>
    <t>206.94</t>
  </si>
  <si>
    <t>623.42</t>
  </si>
  <si>
    <t>148.93</t>
  </si>
  <si>
    <t>222.21</t>
  </si>
  <si>
    <t>110.79</t>
  </si>
  <si>
    <t>526.95</t>
  </si>
  <si>
    <t>430.58</t>
  </si>
  <si>
    <t>119.55</t>
  </si>
  <si>
    <t>583.65</t>
  </si>
  <si>
    <t>257.90</t>
  </si>
  <si>
    <t>12.69</t>
  </si>
  <si>
    <t>4.86</t>
  </si>
  <si>
    <t xml:space="preserve">    食用菌加工</t>
  </si>
  <si>
    <t>519</t>
  </si>
  <si>
    <t>433.46</t>
  </si>
  <si>
    <t>112.19</t>
  </si>
  <si>
    <t>191.42</t>
  </si>
  <si>
    <t>56.29</t>
  </si>
  <si>
    <t>222.92</t>
  </si>
  <si>
    <t>46.02</t>
  </si>
  <si>
    <t>57.45</t>
  </si>
  <si>
    <t>27.82</t>
  </si>
  <si>
    <t>153.17</t>
  </si>
  <si>
    <t>42.41</t>
  </si>
  <si>
    <t>209.40</t>
  </si>
  <si>
    <t>93.32</t>
  </si>
  <si>
    <t>2.47</t>
  </si>
  <si>
    <t xml:space="preserve">    水果和坚果加工</t>
  </si>
  <si>
    <t>1052</t>
  </si>
  <si>
    <t>1001.25</t>
  </si>
  <si>
    <t>175.09</t>
  </si>
  <si>
    <t>296.71</t>
  </si>
  <si>
    <t>98.99</t>
  </si>
  <si>
    <t>659.65</t>
  </si>
  <si>
    <t>176.90</t>
  </si>
  <si>
    <t>205.98</t>
  </si>
  <si>
    <t>68.53</t>
  </si>
  <si>
    <t>586.36</t>
  </si>
  <si>
    <t>510.35</t>
  </si>
  <si>
    <t>120.76</t>
  </si>
  <si>
    <t>411.26</t>
  </si>
  <si>
    <t>181.04</t>
  </si>
  <si>
    <t>1.66</t>
  </si>
  <si>
    <t xml:space="preserve">  其他农副食品加工</t>
  </si>
  <si>
    <t>2259</t>
  </si>
  <si>
    <t>3021.49</t>
  </si>
  <si>
    <t>956.17</t>
  </si>
  <si>
    <t>1684.86</t>
  </si>
  <si>
    <t>639.58</t>
  </si>
  <si>
    <t>1443.48</t>
  </si>
  <si>
    <t>284.43</t>
  </si>
  <si>
    <t>524.34</t>
  </si>
  <si>
    <t>218.73</t>
  </si>
  <si>
    <t>1749.52</t>
  </si>
  <si>
    <t>1431.46</t>
  </si>
  <si>
    <t>278.97</t>
  </si>
  <si>
    <t>1262.14</t>
  </si>
  <si>
    <t>708.25</t>
  </si>
  <si>
    <t>35.69</t>
  </si>
  <si>
    <t>20.55</t>
  </si>
  <si>
    <t xml:space="preserve">    淀粉及淀粉制品制造</t>
  </si>
  <si>
    <t>621</t>
  </si>
  <si>
    <t>1703.62</t>
  </si>
  <si>
    <t>600.50</t>
  </si>
  <si>
    <t>1025.77</t>
  </si>
  <si>
    <t>382.38</t>
  </si>
  <si>
    <t>754.98</t>
  </si>
  <si>
    <t>125.53</t>
  </si>
  <si>
    <t>279.30</t>
  </si>
  <si>
    <t>112.83</t>
  </si>
  <si>
    <t>1104.56</t>
  </si>
  <si>
    <t>888.96</t>
  </si>
  <si>
    <t>155.27</t>
  </si>
  <si>
    <t>600.46</t>
  </si>
  <si>
    <t>401.90</t>
  </si>
  <si>
    <t>22.30</t>
  </si>
  <si>
    <t>15.49</t>
  </si>
  <si>
    <t xml:space="preserve">    豆制品制造</t>
  </si>
  <si>
    <t>620</t>
  </si>
  <si>
    <t>452.61</t>
  </si>
  <si>
    <t>159.48</t>
  </si>
  <si>
    <t>304.58</t>
  </si>
  <si>
    <t>133.50</t>
  </si>
  <si>
    <t>206.87</t>
  </si>
  <si>
    <t>42.43</t>
  </si>
  <si>
    <t>64.99</t>
  </si>
  <si>
    <t>26.11</t>
  </si>
  <si>
    <t>202.80</t>
  </si>
  <si>
    <t>166.06</t>
  </si>
  <si>
    <t>32.43</t>
  </si>
  <si>
    <t>247.99</t>
  </si>
  <si>
    <t>109.91</t>
  </si>
  <si>
    <t>1.46</t>
  </si>
  <si>
    <t xml:space="preserve">    蛋品加工</t>
  </si>
  <si>
    <t>191</t>
  </si>
  <si>
    <t>162.92</t>
  </si>
  <si>
    <t>48.20</t>
  </si>
  <si>
    <t>80.14</t>
  </si>
  <si>
    <t>28.64</t>
  </si>
  <si>
    <t>82.64</t>
  </si>
  <si>
    <t>24.63</t>
  </si>
  <si>
    <t>25.75</t>
  </si>
  <si>
    <t>15.09</t>
  </si>
  <si>
    <t>79.55</t>
  </si>
  <si>
    <t>63.43</t>
  </si>
  <si>
    <t>13.18</t>
  </si>
  <si>
    <t>82.79</t>
  </si>
  <si>
    <t>40.79</t>
  </si>
  <si>
    <t>0.30</t>
  </si>
  <si>
    <t xml:space="preserve">    其他未列明农副食品加工</t>
  </si>
  <si>
    <t>827</t>
  </si>
  <si>
    <t>702.34</t>
  </si>
  <si>
    <t>147.99</t>
  </si>
  <si>
    <t>274.37</t>
  </si>
  <si>
    <t>95.06</t>
  </si>
  <si>
    <t>398.99</t>
  </si>
  <si>
    <t>91.85</t>
  </si>
  <si>
    <t>154.31</t>
  </si>
  <si>
    <t>64.70</t>
  </si>
  <si>
    <t>362.61</t>
  </si>
  <si>
    <t>313.00</t>
  </si>
  <si>
    <t>78.09</t>
  </si>
  <si>
    <t>330.91</t>
  </si>
  <si>
    <t>155.64</t>
  </si>
  <si>
    <t>11.81</t>
  </si>
  <si>
    <t>3.55</t>
  </si>
  <si>
    <t xml:space="preserve">2-1 续表2
</t>
  </si>
  <si>
    <t>食品制造业</t>
  </si>
  <si>
    <t>8267</t>
  </si>
  <si>
    <t>17291.05</t>
  </si>
  <si>
    <t>4183.93</t>
  </si>
  <si>
    <t>7839.20</t>
  </si>
  <si>
    <t>3378.55</t>
  </si>
  <si>
    <t>9265.97</t>
  </si>
  <si>
    <t>1873.36</t>
  </si>
  <si>
    <t>1897.46</t>
  </si>
  <si>
    <t>800.70</t>
  </si>
  <si>
    <t>8468.85</t>
  </si>
  <si>
    <t>7247.50</t>
  </si>
  <si>
    <t>1886.90</t>
  </si>
  <si>
    <t>8757.14</t>
  </si>
  <si>
    <t>3769.21</t>
  </si>
  <si>
    <t>164.26</t>
  </si>
  <si>
    <t>97.16</t>
  </si>
  <si>
    <t xml:space="preserve">  焙烤食品制造</t>
  </si>
  <si>
    <t>1544</t>
  </si>
  <si>
    <t>1846.85</t>
  </si>
  <si>
    <t>507.47</t>
  </si>
  <si>
    <t>961.97</t>
  </si>
  <si>
    <t>415.41</t>
  </si>
  <si>
    <t>995.49</t>
  </si>
  <si>
    <t>188.85</t>
  </si>
  <si>
    <t>173.60</t>
  </si>
  <si>
    <t>62.04</t>
  </si>
  <si>
    <t>805.50</t>
  </si>
  <si>
    <t>678.95</t>
  </si>
  <si>
    <t>185.22</t>
  </si>
  <si>
    <t>1034.14</t>
  </si>
  <si>
    <t>423.28</t>
  </si>
  <si>
    <t>7.36</t>
  </si>
  <si>
    <t>3.64</t>
  </si>
  <si>
    <t xml:space="preserve">    糕点、面包制造</t>
  </si>
  <si>
    <t>927</t>
  </si>
  <si>
    <t>969.07</t>
  </si>
  <si>
    <t>239.02</t>
  </si>
  <si>
    <t>423.96</t>
  </si>
  <si>
    <t>172.00</t>
  </si>
  <si>
    <t>542.61</t>
  </si>
  <si>
    <t>101.48</t>
  </si>
  <si>
    <t>73.47</t>
  </si>
  <si>
    <t>23.65</t>
  </si>
  <si>
    <t>421.84</t>
  </si>
  <si>
    <t>353.86</t>
  </si>
  <si>
    <t>93.02</t>
  </si>
  <si>
    <t>543.14</t>
  </si>
  <si>
    <t>5.57</t>
  </si>
  <si>
    <t xml:space="preserve">    饼干及其他焙烤食品制造</t>
  </si>
  <si>
    <t>617</t>
  </si>
  <si>
    <t>877.78</t>
  </si>
  <si>
    <t>268.45</t>
  </si>
  <si>
    <t>538.02</t>
  </si>
  <si>
    <t>243.41</t>
  </si>
  <si>
    <t>452.88</t>
  </si>
  <si>
    <t>87.37</t>
  </si>
  <si>
    <t>100.13</t>
  </si>
  <si>
    <t>38.39</t>
  </si>
  <si>
    <t>383.66</t>
  </si>
  <si>
    <t>325.09</t>
  </si>
  <si>
    <t>92.20</t>
  </si>
  <si>
    <t>491.00</t>
  </si>
  <si>
    <t>200.06</t>
  </si>
  <si>
    <t>1.79</t>
  </si>
  <si>
    <t>2.18</t>
  </si>
  <si>
    <t xml:space="preserve">  糖果、巧克力及蜜饯制造</t>
  </si>
  <si>
    <t>605</t>
  </si>
  <si>
    <t>1061.24</t>
  </si>
  <si>
    <t>252.99</t>
  </si>
  <si>
    <t>541.51</t>
  </si>
  <si>
    <t>267.95</t>
  </si>
  <si>
    <t>621.70</t>
  </si>
  <si>
    <t>136.57</t>
  </si>
  <si>
    <t>123.08</t>
  </si>
  <si>
    <t>53.47</t>
  </si>
  <si>
    <t>488.44</t>
  </si>
  <si>
    <t>425.61</t>
  </si>
  <si>
    <t>147.78</t>
  </si>
  <si>
    <t>568.31</t>
  </si>
  <si>
    <t>218.88</t>
  </si>
  <si>
    <t>7.45</t>
  </si>
  <si>
    <t>2.82</t>
  </si>
  <si>
    <t xml:space="preserve">    糖果、巧克力制造</t>
  </si>
  <si>
    <t>357</t>
  </si>
  <si>
    <t>776.15</t>
  </si>
  <si>
    <t>198.06</t>
  </si>
  <si>
    <t>451.75</t>
  </si>
  <si>
    <t>237.52</t>
  </si>
  <si>
    <t>450.47</t>
  </si>
  <si>
    <t>84.31</t>
  </si>
  <si>
    <t>36.89</t>
  </si>
  <si>
    <t>378.17</t>
  </si>
  <si>
    <t>330.60</t>
  </si>
  <si>
    <t>125.87</t>
  </si>
  <si>
    <t>397.04</t>
  </si>
  <si>
    <t>164.48</t>
  </si>
  <si>
    <t xml:space="preserve">    蜜饯制作</t>
  </si>
  <si>
    <t>248</t>
  </si>
  <si>
    <t>285.09</t>
  </si>
  <si>
    <t>54.93</t>
  </si>
  <si>
    <t>89.77</t>
  </si>
  <si>
    <t>30.43</t>
  </si>
  <si>
    <t>171.23</t>
  </si>
  <si>
    <t>35.09</t>
  </si>
  <si>
    <t>38.77</t>
  </si>
  <si>
    <t>110.27</t>
  </si>
  <si>
    <t>95.02</t>
  </si>
  <si>
    <t>21.91</t>
  </si>
  <si>
    <t>171.27</t>
  </si>
  <si>
    <t>54.40</t>
  </si>
  <si>
    <t>0.36</t>
  </si>
  <si>
    <t xml:space="preserve">  方便食品制造</t>
  </si>
  <si>
    <t>1431</t>
  </si>
  <si>
    <t>2146.33</t>
  </si>
  <si>
    <t>561.72</t>
  </si>
  <si>
    <t>1033.96</t>
  </si>
  <si>
    <t>424.84</t>
  </si>
  <si>
    <t>1116.47</t>
  </si>
  <si>
    <t>253.36</t>
  </si>
  <si>
    <t>247.96</t>
  </si>
  <si>
    <t>102.92</t>
  </si>
  <si>
    <t>1063.90</t>
  </si>
  <si>
    <t>925.37</t>
  </si>
  <si>
    <t>265.61</t>
  </si>
  <si>
    <t>1072.22</t>
  </si>
  <si>
    <t>565.63</t>
  </si>
  <si>
    <t>25.77</t>
  </si>
  <si>
    <t>1.47</t>
  </si>
  <si>
    <t xml:space="preserve">    米、面制品制造</t>
  </si>
  <si>
    <t>538</t>
  </si>
  <si>
    <t>468.46</t>
  </si>
  <si>
    <t>116.01</t>
  </si>
  <si>
    <t>232.62</t>
  </si>
  <si>
    <t>95.68</t>
  </si>
  <si>
    <t>224.56</t>
  </si>
  <si>
    <t>37.18</t>
  </si>
  <si>
    <t>64.27</t>
  </si>
  <si>
    <t>25.74</t>
  </si>
  <si>
    <t>216.21</t>
  </si>
  <si>
    <t>178.46</t>
  </si>
  <si>
    <t>35.55</t>
  </si>
  <si>
    <t>249.05</t>
  </si>
  <si>
    <t>111.92</t>
  </si>
  <si>
    <t>6.66</t>
  </si>
  <si>
    <t>1.11</t>
  </si>
  <si>
    <t xml:space="preserve">    速冻食品制造</t>
  </si>
  <si>
    <t>509</t>
  </si>
  <si>
    <t>750.56</t>
  </si>
  <si>
    <t>199.49</t>
  </si>
  <si>
    <t>334.00</t>
  </si>
  <si>
    <t>121.22</t>
  </si>
  <si>
    <t>405.11</t>
  </si>
  <si>
    <t>93.18</t>
  </si>
  <si>
    <t>112.39</t>
  </si>
  <si>
    <t>47.84</t>
  </si>
  <si>
    <t>386.78</t>
  </si>
  <si>
    <t>332.35</t>
  </si>
  <si>
    <t>102.10</t>
  </si>
  <si>
    <t>358.35</t>
  </si>
  <si>
    <t>203.25</t>
  </si>
  <si>
    <t>0.74</t>
  </si>
  <si>
    <t xml:space="preserve">    方便面制造</t>
  </si>
  <si>
    <t>114</t>
  </si>
  <si>
    <t>614.80</t>
  </si>
  <si>
    <t>163.44</t>
  </si>
  <si>
    <t>321.22</t>
  </si>
  <si>
    <t>150.59</t>
  </si>
  <si>
    <t>316.58</t>
  </si>
  <si>
    <t>76.21</t>
  </si>
  <si>
    <t>37.33</t>
  </si>
  <si>
    <t>17.28</t>
  </si>
  <si>
    <t>313.87</t>
  </si>
  <si>
    <t>289.83</t>
  </si>
  <si>
    <t>85.83</t>
  </si>
  <si>
    <t>299.89</t>
  </si>
  <si>
    <t>163.19</t>
  </si>
  <si>
    <t xml:space="preserve">    其他方便食品制造</t>
  </si>
  <si>
    <t>270</t>
  </si>
  <si>
    <t>312.52</t>
  </si>
  <si>
    <t>82.78</t>
  </si>
  <si>
    <t>146.13</t>
  </si>
  <si>
    <t>57.36</t>
  </si>
  <si>
    <t>170.23</t>
  </si>
  <si>
    <t>46.79</t>
  </si>
  <si>
    <t>33.95</t>
  </si>
  <si>
    <t>12.05</t>
  </si>
  <si>
    <t>147.04</t>
  </si>
  <si>
    <t>124.73</t>
  </si>
  <si>
    <t>42.13</t>
  </si>
  <si>
    <t>164.94</t>
  </si>
  <si>
    <t>87.28</t>
  </si>
  <si>
    <t>12.53</t>
  </si>
  <si>
    <t>-0.65</t>
  </si>
  <si>
    <t xml:space="preserve">  乳制品制造</t>
  </si>
  <si>
    <t>570</t>
  </si>
  <si>
    <t>4099.37</t>
  </si>
  <si>
    <t>721.18</t>
  </si>
  <si>
    <t>1386.63</t>
  </si>
  <si>
    <t>604.05</t>
  </si>
  <si>
    <t>2138.75</t>
  </si>
  <si>
    <t>520.28</t>
  </si>
  <si>
    <t>230.47</t>
  </si>
  <si>
    <t>93.28</t>
  </si>
  <si>
    <t>2183.87</t>
  </si>
  <si>
    <t>1986.84</t>
  </si>
  <si>
    <t>565.09</t>
  </si>
  <si>
    <t>1897.22</t>
  </si>
  <si>
    <t>783.99</t>
  </si>
  <si>
    <t>37.89</t>
  </si>
  <si>
    <t>36.94</t>
  </si>
  <si>
    <t xml:space="preserve">    液体乳制造</t>
  </si>
  <si>
    <t>355</t>
  </si>
  <si>
    <t>3026.29</t>
  </si>
  <si>
    <t>526.82</t>
  </si>
  <si>
    <t>1011.98</t>
  </si>
  <si>
    <t>450.49</t>
  </si>
  <si>
    <t>1449.49</t>
  </si>
  <si>
    <t>338.59</t>
  </si>
  <si>
    <t>128.41</t>
  </si>
  <si>
    <t>47.99</t>
  </si>
  <si>
    <t>1569.43</t>
  </si>
  <si>
    <t>1444.68</t>
  </si>
  <si>
    <t>365.03</t>
  </si>
  <si>
    <t>1443.60</t>
  </si>
  <si>
    <t>525.76</t>
  </si>
  <si>
    <t>28.08</t>
  </si>
  <si>
    <t>30.47</t>
  </si>
  <si>
    <t xml:space="preserve">    乳粉制造</t>
  </si>
  <si>
    <t>150</t>
  </si>
  <si>
    <t>906.73</t>
  </si>
  <si>
    <t>133.84</t>
  </si>
  <si>
    <t>279.44</t>
  </si>
  <si>
    <t>120.16</t>
  </si>
  <si>
    <t>616.29</t>
  </si>
  <si>
    <t>165.26</t>
  </si>
  <si>
    <t>81.42</t>
  </si>
  <si>
    <t>38.17</t>
  </si>
  <si>
    <t>529.33</t>
  </si>
  <si>
    <t>467.17</t>
  </si>
  <si>
    <t>173.51</t>
  </si>
  <si>
    <t>375.30</t>
  </si>
  <si>
    <t>213.52</t>
  </si>
  <si>
    <t>9.39</t>
  </si>
  <si>
    <t>5.17</t>
  </si>
  <si>
    <t xml:space="preserve">    其他乳制品制造</t>
  </si>
  <si>
    <t>166.35</t>
  </si>
  <si>
    <t>95.20</t>
  </si>
  <si>
    <t>72.97</t>
  </si>
  <si>
    <t>16.43</t>
  </si>
  <si>
    <t>20.64</t>
  </si>
  <si>
    <t>7.12</t>
  </si>
  <si>
    <t>85.11</t>
  </si>
  <si>
    <t>75.00</t>
  </si>
  <si>
    <t>26.56</t>
  </si>
  <si>
    <t>78.32</t>
  </si>
  <si>
    <t>44.71</t>
  </si>
  <si>
    <t>0.42</t>
  </si>
  <si>
    <t xml:space="preserve">  罐头食品制造</t>
  </si>
  <si>
    <t>659</t>
  </si>
  <si>
    <t>783.36</t>
  </si>
  <si>
    <t>181.43</t>
  </si>
  <si>
    <t>395.72</t>
  </si>
  <si>
    <t>190.19</t>
  </si>
  <si>
    <t>464.15</t>
  </si>
  <si>
    <t>76.42</t>
  </si>
  <si>
    <t>181.86</t>
  </si>
  <si>
    <t>110.62</t>
  </si>
  <si>
    <t>393.88</t>
  </si>
  <si>
    <t>338.42</t>
  </si>
  <si>
    <t>87.11</t>
  </si>
  <si>
    <t>167.68</t>
  </si>
  <si>
    <t>10.74</t>
  </si>
  <si>
    <t>2.05</t>
  </si>
  <si>
    <t xml:space="preserve">    肉、禽类罐头制造</t>
  </si>
  <si>
    <t>148.96</t>
  </si>
  <si>
    <t>31.81</t>
  </si>
  <si>
    <t>59.89</t>
  </si>
  <si>
    <t>26.19</t>
  </si>
  <si>
    <t>73.45</t>
  </si>
  <si>
    <t>15.57</t>
  </si>
  <si>
    <t>29.11</t>
  </si>
  <si>
    <t>11.68</t>
  </si>
  <si>
    <t>68.93</t>
  </si>
  <si>
    <t>63.83</t>
  </si>
  <si>
    <t>19.83</t>
  </si>
  <si>
    <t>79.88</t>
  </si>
  <si>
    <t>43.62</t>
  </si>
  <si>
    <t>0.35</t>
  </si>
  <si>
    <t xml:space="preserve">    水产品罐头制造</t>
  </si>
  <si>
    <t>51</t>
  </si>
  <si>
    <t>69.68</t>
  </si>
  <si>
    <t>23.25</t>
  </si>
  <si>
    <t>51.94</t>
  </si>
  <si>
    <t>5.27</t>
  </si>
  <si>
    <t>15.61</t>
  </si>
  <si>
    <t>9.21</t>
  </si>
  <si>
    <t>34.85</t>
  </si>
  <si>
    <t>31.77</t>
  </si>
  <si>
    <t>4.90</t>
  </si>
  <si>
    <t>33.82</t>
  </si>
  <si>
    <t>10.12</t>
  </si>
  <si>
    <t xml:space="preserve">    蔬菜、水果罐头制造</t>
  </si>
  <si>
    <t>472</t>
  </si>
  <si>
    <t>495.17</t>
  </si>
  <si>
    <t>116.13</t>
  </si>
  <si>
    <t>274.87</t>
  </si>
  <si>
    <t>138.14</t>
  </si>
  <si>
    <t>302.12</t>
  </si>
  <si>
    <t>47.63</t>
  </si>
  <si>
    <t>128.92</t>
  </si>
  <si>
    <t>87.04</t>
  </si>
  <si>
    <t>262.90</t>
  </si>
  <si>
    <t>219.03</t>
  </si>
  <si>
    <t>54.01</t>
  </si>
  <si>
    <t>227.63</t>
  </si>
  <si>
    <t>94.12</t>
  </si>
  <si>
    <t>5.02</t>
  </si>
  <si>
    <t xml:space="preserve">    其他罐头食品制造</t>
  </si>
  <si>
    <t>50</t>
  </si>
  <si>
    <t>69.54</t>
  </si>
  <si>
    <t>21.82</t>
  </si>
  <si>
    <t>37.71</t>
  </si>
  <si>
    <t>14.91</t>
  </si>
  <si>
    <t>36.65</t>
  </si>
  <si>
    <t>7.96</t>
  </si>
  <si>
    <t>8.21</t>
  </si>
  <si>
    <t>2.68</t>
  </si>
  <si>
    <t>27.21</t>
  </si>
  <si>
    <t>23.78</t>
  </si>
  <si>
    <t>8.37</t>
  </si>
  <si>
    <t>42.33</t>
  </si>
  <si>
    <t>2.02</t>
  </si>
  <si>
    <t>0.19</t>
  </si>
  <si>
    <t xml:space="preserve">  调味品、发酵制品制造</t>
  </si>
  <si>
    <t>1117</t>
  </si>
  <si>
    <t>2569.57</t>
  </si>
  <si>
    <t>753.71</t>
  </si>
  <si>
    <t>1424.79</t>
  </si>
  <si>
    <t>646.57</t>
  </si>
  <si>
    <t>1362.94</t>
  </si>
  <si>
    <t>263.43</t>
  </si>
  <si>
    <t>341.26</t>
  </si>
  <si>
    <t>122.12</t>
  </si>
  <si>
    <t>1111.49</t>
  </si>
  <si>
    <t>896.67</t>
  </si>
  <si>
    <t>216.70</t>
  </si>
  <si>
    <t>1454.80</t>
  </si>
  <si>
    <t>561.12</t>
  </si>
  <si>
    <t>30.00</t>
  </si>
  <si>
    <t xml:space="preserve">    味精制造</t>
  </si>
  <si>
    <t>494.08</t>
  </si>
  <si>
    <t>151.87</t>
  </si>
  <si>
    <t>294.20</t>
  </si>
  <si>
    <t>141.06</t>
  </si>
  <si>
    <t>231.47</t>
  </si>
  <si>
    <t>74.65</t>
  </si>
  <si>
    <t>55.18</t>
  </si>
  <si>
    <t>18.95</t>
  </si>
  <si>
    <t>173.55</t>
  </si>
  <si>
    <t>130.96</t>
  </si>
  <si>
    <t>30.75</t>
  </si>
  <si>
    <t>320.53</t>
  </si>
  <si>
    <t>106.16</t>
  </si>
  <si>
    <t xml:space="preserve">    酱油、食醋及类似制品制造</t>
  </si>
  <si>
    <t>271</t>
  </si>
  <si>
    <t>694.54</t>
  </si>
  <si>
    <t>227.65</t>
  </si>
  <si>
    <t>426.83</t>
  </si>
  <si>
    <t>193.35</t>
  </si>
  <si>
    <t>350.46</t>
  </si>
  <si>
    <t>59.22</t>
  </si>
  <si>
    <t>91.53</t>
  </si>
  <si>
    <t>23.39</t>
  </si>
  <si>
    <t>274.24</t>
  </si>
  <si>
    <t>239.89</t>
  </si>
  <si>
    <t>419.80</t>
  </si>
  <si>
    <t>144.52</t>
  </si>
  <si>
    <t>7.97</t>
  </si>
  <si>
    <t>0.66</t>
  </si>
  <si>
    <t xml:space="preserve">    其他调味品、发酵制品制造</t>
  </si>
  <si>
    <t>781</t>
  </si>
  <si>
    <t>1380.95</t>
  </si>
  <si>
    <t>374.19</t>
  </si>
  <si>
    <t>703.76</t>
  </si>
  <si>
    <t>312.17</t>
  </si>
  <si>
    <t>781.02</t>
  </si>
  <si>
    <t>129.56</t>
  </si>
  <si>
    <t>194.55</t>
  </si>
  <si>
    <t>79.78</t>
  </si>
  <si>
    <t>663.70</t>
  </si>
  <si>
    <t>525.82</t>
  </si>
  <si>
    <t>125.56</t>
  </si>
  <si>
    <t>714.48</t>
  </si>
  <si>
    <t>310.44</t>
  </si>
  <si>
    <t>4.59</t>
  </si>
  <si>
    <t xml:space="preserve">  其他食品制造</t>
  </si>
  <si>
    <t>2341</t>
  </si>
  <si>
    <t>4784.32</t>
  </si>
  <si>
    <t>1205.43</t>
  </si>
  <si>
    <t>2094.62</t>
  </si>
  <si>
    <t>829.53</t>
  </si>
  <si>
    <t>2566.46</t>
  </si>
  <si>
    <t>434.45</t>
  </si>
  <si>
    <t>599.23</t>
  </si>
  <si>
    <t>256.25</t>
  </si>
  <si>
    <t>2421.78</t>
  </si>
  <si>
    <t>1995.64</t>
  </si>
  <si>
    <t>419.38</t>
  </si>
  <si>
    <t>2346.78</t>
  </si>
  <si>
    <t>1048.63</t>
  </si>
  <si>
    <t>45.06</t>
  </si>
  <si>
    <t>26.47</t>
  </si>
  <si>
    <t xml:space="preserve">    营养食品制造</t>
  </si>
  <si>
    <t>254</t>
  </si>
  <si>
    <t>468.79</t>
  </si>
  <si>
    <t>130.29</t>
  </si>
  <si>
    <t>96.25</t>
  </si>
  <si>
    <t>247.30</t>
  </si>
  <si>
    <t>50.13</t>
  </si>
  <si>
    <t>56.98</t>
  </si>
  <si>
    <t>22.46</t>
  </si>
  <si>
    <t>233.47</t>
  </si>
  <si>
    <t>45.98</t>
  </si>
  <si>
    <t>237.21</t>
  </si>
  <si>
    <t>116.76</t>
  </si>
  <si>
    <t>0.60</t>
  </si>
  <si>
    <t>6.61</t>
  </si>
  <si>
    <t xml:space="preserve">    保健食品制造</t>
  </si>
  <si>
    <t>439</t>
  </si>
  <si>
    <t>1087.98</t>
  </si>
  <si>
    <t>185.23</t>
  </si>
  <si>
    <t>288.53</t>
  </si>
  <si>
    <t>95.31</t>
  </si>
  <si>
    <t>659.48</t>
  </si>
  <si>
    <t>78.95</t>
  </si>
  <si>
    <t>118.51</t>
  </si>
  <si>
    <t>59.56</t>
  </si>
  <si>
    <t>503.71</t>
  </si>
  <si>
    <t>429.18</t>
  </si>
  <si>
    <t>69.35</t>
  </si>
  <si>
    <t>582.52</t>
  </si>
  <si>
    <t>208.79</t>
  </si>
  <si>
    <t>3.56</t>
  </si>
  <si>
    <t>1.82</t>
  </si>
  <si>
    <t xml:space="preserve">    冷冻饮品及食用冰制造</t>
  </si>
  <si>
    <t>125</t>
  </si>
  <si>
    <t>238.47</t>
  </si>
  <si>
    <t>70.95</t>
  </si>
  <si>
    <t>141.10</t>
  </si>
  <si>
    <t>65.59</t>
  </si>
  <si>
    <t>131.35</t>
  </si>
  <si>
    <t>23.60</t>
  </si>
  <si>
    <t>28.80</t>
  </si>
  <si>
    <t>9.71</t>
  </si>
  <si>
    <t>131.13</t>
  </si>
  <si>
    <t>118.07</t>
  </si>
  <si>
    <t>25.80</t>
  </si>
  <si>
    <t>105.91</t>
  </si>
  <si>
    <t>81.19</t>
  </si>
  <si>
    <t>3.41</t>
  </si>
  <si>
    <t xml:space="preserve">    盐加工</t>
  </si>
  <si>
    <t>334.45</t>
  </si>
  <si>
    <t>103.86</t>
  </si>
  <si>
    <t>193.59</t>
  </si>
  <si>
    <t>87.35</t>
  </si>
  <si>
    <t>131.18</t>
  </si>
  <si>
    <t>20.59</t>
  </si>
  <si>
    <t>16.75</t>
  </si>
  <si>
    <t>8.46</t>
  </si>
  <si>
    <t>173.57</t>
  </si>
  <si>
    <t>134.02</t>
  </si>
  <si>
    <t>24.13</t>
  </si>
  <si>
    <t>160.40</t>
  </si>
  <si>
    <t>71.81</t>
  </si>
  <si>
    <t>29.74</t>
  </si>
  <si>
    <t>8.33</t>
  </si>
  <si>
    <t xml:space="preserve">    食品及饲料添加剂制造</t>
  </si>
  <si>
    <t>1012</t>
  </si>
  <si>
    <t>1976.10</t>
  </si>
  <si>
    <t>556.42</t>
  </si>
  <si>
    <t>966.54</t>
  </si>
  <si>
    <t>383.49</t>
  </si>
  <si>
    <t>1004.04</t>
  </si>
  <si>
    <t>211.07</t>
  </si>
  <si>
    <t>260.66</t>
  </si>
  <si>
    <t>127.66</t>
  </si>
  <si>
    <t>1049.49</t>
  </si>
  <si>
    <t>859.50</t>
  </si>
  <si>
    <t>193.80</t>
  </si>
  <si>
    <t>916.40</t>
  </si>
  <si>
    <t>466.45</t>
  </si>
  <si>
    <t>6.27</t>
  </si>
  <si>
    <t xml:space="preserve">    其他未列明食品制造</t>
  </si>
  <si>
    <t>678.52</t>
  </si>
  <si>
    <t>158.69</t>
  </si>
  <si>
    <t>270.15</t>
  </si>
  <si>
    <t>101.53</t>
  </si>
  <si>
    <t>393.11</t>
  </si>
  <si>
    <t>50.10</t>
  </si>
  <si>
    <t>117.53</t>
  </si>
  <si>
    <t>28.40</t>
  </si>
  <si>
    <t>330.41</t>
  </si>
  <si>
    <t>281.31</t>
  </si>
  <si>
    <t>60.32</t>
  </si>
  <si>
    <t>344.35</t>
  </si>
  <si>
    <t>103.64</t>
  </si>
  <si>
    <t>1.49</t>
  </si>
  <si>
    <t>3.15</t>
  </si>
  <si>
    <t>酒、饮料和精制茶制造业</t>
  </si>
  <si>
    <t>5530</t>
  </si>
  <si>
    <t>18983.23</t>
  </si>
  <si>
    <t>3842.77</t>
  </si>
  <si>
    <t>7483.15</t>
  </si>
  <si>
    <t>3328.28</t>
  </si>
  <si>
    <t>11202.62</t>
  </si>
  <si>
    <t>1063.21</t>
  </si>
  <si>
    <t>3092.22</t>
  </si>
  <si>
    <t>947.12</t>
  </si>
  <si>
    <t>7943.26</t>
  </si>
  <si>
    <t>6892.74</t>
  </si>
  <si>
    <t>10998.31</t>
  </si>
  <si>
    <t>2952.48</t>
  </si>
  <si>
    <t>316.90</t>
  </si>
  <si>
    <t>57.62</t>
  </si>
  <si>
    <t xml:space="preserve">  酒的制造</t>
  </si>
  <si>
    <t>1773</t>
  </si>
  <si>
    <t>13144.72</t>
  </si>
  <si>
    <t>2263.18</t>
  </si>
  <si>
    <t>4189.12</t>
  </si>
  <si>
    <t>1782.73</t>
  </si>
  <si>
    <t>8117.36</t>
  </si>
  <si>
    <t>365.53</t>
  </si>
  <si>
    <t>2441.48</t>
  </si>
  <si>
    <t>616.75</t>
  </si>
  <si>
    <t>5257.55</t>
  </si>
  <si>
    <t>4581.72</t>
  </si>
  <si>
    <t>705.97</t>
  </si>
  <si>
    <t>7865.21</t>
  </si>
  <si>
    <t>1452.26</t>
  </si>
  <si>
    <t>249.78</t>
  </si>
  <si>
    <t>36.20</t>
  </si>
  <si>
    <t xml:space="preserve">    酒精制造</t>
  </si>
  <si>
    <t>576.85</t>
  </si>
  <si>
    <t>163.34</t>
  </si>
  <si>
    <t>273.89</t>
  </si>
  <si>
    <t>102.11</t>
  </si>
  <si>
    <t>298.96</t>
  </si>
  <si>
    <t>33.74</t>
  </si>
  <si>
    <t>75.87</t>
  </si>
  <si>
    <t>25.53</t>
  </si>
  <si>
    <t>476.65</t>
  </si>
  <si>
    <t>410.71</t>
  </si>
  <si>
    <t>99.76</t>
  </si>
  <si>
    <t>100.19</t>
  </si>
  <si>
    <t>72.03</t>
  </si>
  <si>
    <t>13.05</t>
  </si>
  <si>
    <t>2.51</t>
  </si>
  <si>
    <t xml:space="preserve">    白酒制造</t>
  </si>
  <si>
    <t>975</t>
  </si>
  <si>
    <t>9275.73</t>
  </si>
  <si>
    <t>1275.63</t>
  </si>
  <si>
    <t>2250.01</t>
  </si>
  <si>
    <t>885.64</t>
  </si>
  <si>
    <t>6082.11</t>
  </si>
  <si>
    <t>171.67</t>
  </si>
  <si>
    <t>1877.46</t>
  </si>
  <si>
    <t>459.93</t>
  </si>
  <si>
    <t>3317.98</t>
  </si>
  <si>
    <t>2894.38</t>
  </si>
  <si>
    <t>364.93</t>
  </si>
  <si>
    <t>5945.52</t>
  </si>
  <si>
    <t>583.49</t>
  </si>
  <si>
    <t>89.44</t>
  </si>
  <si>
    <t>21.11</t>
  </si>
  <si>
    <t xml:space="preserve">    啤酒制造</t>
  </si>
  <si>
    <t>332</t>
  </si>
  <si>
    <t>2107.92</t>
  </si>
  <si>
    <t>599.32</t>
  </si>
  <si>
    <t>1282.84</t>
  </si>
  <si>
    <t>654.68</t>
  </si>
  <si>
    <t>983.44</t>
  </si>
  <si>
    <t>107.15</t>
  </si>
  <si>
    <t>238.37</t>
  </si>
  <si>
    <t>49.84</t>
  </si>
  <si>
    <t>936.81</t>
  </si>
  <si>
    <t>814.51</t>
  </si>
  <si>
    <t>202.60</t>
  </si>
  <si>
    <t>1169.71</t>
  </si>
  <si>
    <t>633.24</t>
  </si>
  <si>
    <t>126.32</t>
  </si>
  <si>
    <t>10.82</t>
  </si>
  <si>
    <t xml:space="preserve">    黄酒制造</t>
  </si>
  <si>
    <t>96</t>
  </si>
  <si>
    <t>245.63</t>
  </si>
  <si>
    <t>61.24</t>
  </si>
  <si>
    <t>108.89</t>
  </si>
  <si>
    <t>44.65</t>
  </si>
  <si>
    <t>132.71</t>
  </si>
  <si>
    <t>75.62</t>
  </si>
  <si>
    <t>42.34</t>
  </si>
  <si>
    <t>83.22</t>
  </si>
  <si>
    <t>72.64</t>
  </si>
  <si>
    <t>15.69</t>
  </si>
  <si>
    <t>161.62</t>
  </si>
  <si>
    <t>36.93</t>
  </si>
  <si>
    <t>7.51</t>
  </si>
  <si>
    <t>0.04</t>
  </si>
  <si>
    <t xml:space="preserve">    葡萄酒制造</t>
  </si>
  <si>
    <t>115</t>
  </si>
  <si>
    <t>305.50</t>
  </si>
  <si>
    <t>89.92</t>
  </si>
  <si>
    <t>150.89</t>
  </si>
  <si>
    <t>56.79</t>
  </si>
  <si>
    <t>159.65</t>
  </si>
  <si>
    <t>21.77</t>
  </si>
  <si>
    <t>16.06</t>
  </si>
  <si>
    <t>134.35</t>
  </si>
  <si>
    <t>103.11</t>
  </si>
  <si>
    <t>10.70</t>
  </si>
  <si>
    <t>169.96</t>
  </si>
  <si>
    <t>78.08</t>
  </si>
  <si>
    <t>9.26</t>
  </si>
  <si>
    <t>0.95</t>
  </si>
  <si>
    <t xml:space="preserve">    其他酒制造</t>
  </si>
  <si>
    <t>175</t>
  </si>
  <si>
    <t>633.10</t>
  </si>
  <si>
    <t>73.75</t>
  </si>
  <si>
    <t>122.60</t>
  </si>
  <si>
    <t>38.86</t>
  </si>
  <si>
    <t>460.49</t>
  </si>
  <si>
    <t>16.94</t>
  </si>
  <si>
    <t>82.32</t>
  </si>
  <si>
    <t>23.05</t>
  </si>
  <si>
    <t>308.53</t>
  </si>
  <si>
    <t>286.37</t>
  </si>
  <si>
    <t>12.29</t>
  </si>
  <si>
    <t>318.21</t>
  </si>
  <si>
    <t>48.48</t>
  </si>
  <si>
    <t>4.20</t>
  </si>
  <si>
    <t xml:space="preserve">  饮料制造</t>
  </si>
  <si>
    <t>1725</t>
  </si>
  <si>
    <t>4423.56</t>
  </si>
  <si>
    <t>1243.52</t>
  </si>
  <si>
    <t>2662.31</t>
  </si>
  <si>
    <t>1299.67</t>
  </si>
  <si>
    <t>2347.69</t>
  </si>
  <si>
    <t>540.49</t>
  </si>
  <si>
    <t>355.85</t>
  </si>
  <si>
    <t>172.24</t>
  </si>
  <si>
    <t>2117.33</t>
  </si>
  <si>
    <t>1861.78</t>
  </si>
  <si>
    <t>450.42</t>
  </si>
  <si>
    <t>2299.45</t>
  </si>
  <si>
    <t>1220.22</t>
  </si>
  <si>
    <t>53.43</t>
  </si>
  <si>
    <t>13.07</t>
  </si>
  <si>
    <t xml:space="preserve">2-1 续表3
</t>
  </si>
  <si>
    <t xml:space="preserve">    碳酸饮料制造</t>
  </si>
  <si>
    <t>549.23</t>
  </si>
  <si>
    <t>178.12</t>
  </si>
  <si>
    <t>381.03</t>
  </si>
  <si>
    <t>199.70</t>
  </si>
  <si>
    <t>299.75</t>
  </si>
  <si>
    <t>66.53</t>
  </si>
  <si>
    <t>60.58</t>
  </si>
  <si>
    <t>37.42</t>
  </si>
  <si>
    <t>329.01</t>
  </si>
  <si>
    <t>308.03</t>
  </si>
  <si>
    <t>75.09</t>
  </si>
  <si>
    <t>220.22</t>
  </si>
  <si>
    <t>117.03</t>
  </si>
  <si>
    <t>13.09</t>
  </si>
  <si>
    <t>1.92</t>
  </si>
  <si>
    <t xml:space="preserve">    瓶(罐)装饮用水制造</t>
  </si>
  <si>
    <t>928.53</t>
  </si>
  <si>
    <t>316.80</t>
  </si>
  <si>
    <t>592.95</t>
  </si>
  <si>
    <t>247.22</t>
  </si>
  <si>
    <t>377.47</t>
  </si>
  <si>
    <t>62.06</t>
  </si>
  <si>
    <t>40.90</t>
  </si>
  <si>
    <t>483.85</t>
  </si>
  <si>
    <t>425.88</t>
  </si>
  <si>
    <t>78.35</t>
  </si>
  <si>
    <t>441.20</t>
  </si>
  <si>
    <t>257.18</t>
  </si>
  <si>
    <t>16.68</t>
  </si>
  <si>
    <t>1.40</t>
  </si>
  <si>
    <t xml:space="preserve">    果菜汁及果菜汁饮料制造</t>
  </si>
  <si>
    <t>413</t>
  </si>
  <si>
    <t>908.48</t>
  </si>
  <si>
    <t>248.37</t>
  </si>
  <si>
    <t>518.15</t>
  </si>
  <si>
    <t>247.11</t>
  </si>
  <si>
    <t>421.63</t>
  </si>
  <si>
    <t>71.34</t>
  </si>
  <si>
    <t>104.83</t>
  </si>
  <si>
    <t>59.34</t>
  </si>
  <si>
    <t>396.04</t>
  </si>
  <si>
    <t>314.56</t>
  </si>
  <si>
    <t>67.23</t>
  </si>
  <si>
    <t>511.43</t>
  </si>
  <si>
    <t>322.05</t>
  </si>
  <si>
    <t>5.62</t>
  </si>
  <si>
    <t xml:space="preserve">    含乳饮料和植物蛋白饮料制造</t>
  </si>
  <si>
    <t>263</t>
  </si>
  <si>
    <t>840.02</t>
  </si>
  <si>
    <t>214.21</t>
  </si>
  <si>
    <t>477.01</t>
  </si>
  <si>
    <t>233.37</t>
  </si>
  <si>
    <t>497.46</t>
  </si>
  <si>
    <t>92.22</t>
  </si>
  <si>
    <t>60.16</t>
  </si>
  <si>
    <t>19.09</t>
  </si>
  <si>
    <t>317.90</t>
  </si>
  <si>
    <t>271.46</t>
  </si>
  <si>
    <t>70.66</t>
  </si>
  <si>
    <t>520.22</t>
  </si>
  <si>
    <t>226.68</t>
  </si>
  <si>
    <t>4.22</t>
  </si>
  <si>
    <t xml:space="preserve">    固体饮料制造</t>
  </si>
  <si>
    <t>146</t>
  </si>
  <si>
    <t>201.70</t>
  </si>
  <si>
    <t>48.34</t>
  </si>
  <si>
    <t>89.43</t>
  </si>
  <si>
    <t>38.25</t>
  </si>
  <si>
    <t>121.83</t>
  </si>
  <si>
    <t>29.18</t>
  </si>
  <si>
    <t>29.93</t>
  </si>
  <si>
    <t>12.40</t>
  </si>
  <si>
    <t>97.39</t>
  </si>
  <si>
    <t>70.17</t>
  </si>
  <si>
    <t>21.87</t>
  </si>
  <si>
    <t>104.31</t>
  </si>
  <si>
    <t>50.83</t>
  </si>
  <si>
    <t xml:space="preserve">    茶饮料及其他饮料制造</t>
  </si>
  <si>
    <t>246</t>
  </si>
  <si>
    <t>995.61</t>
  </si>
  <si>
    <t>237.68</t>
  </si>
  <si>
    <t>603.73</t>
  </si>
  <si>
    <t>334.02</t>
  </si>
  <si>
    <t>629.56</t>
  </si>
  <si>
    <t>219.17</t>
  </si>
  <si>
    <t>59.45</t>
  </si>
  <si>
    <t>28.91</t>
  </si>
  <si>
    <t>493.14</t>
  </si>
  <si>
    <t>471.69</t>
  </si>
  <si>
    <t>137.23</t>
  </si>
  <si>
    <t>502.07</t>
  </si>
  <si>
    <t>246.45</t>
  </si>
  <si>
    <t>3.36</t>
  </si>
  <si>
    <t xml:space="preserve">  精制茶加工</t>
  </si>
  <si>
    <t>2032</t>
  </si>
  <si>
    <t>1414.94</t>
  </si>
  <si>
    <t>336.06</t>
  </si>
  <si>
    <t>631.72</t>
  </si>
  <si>
    <t>245.89</t>
  </si>
  <si>
    <t>737.57</t>
  </si>
  <si>
    <t>157.18</t>
  </si>
  <si>
    <t>294.89</t>
  </si>
  <si>
    <t>158.13</t>
  </si>
  <si>
    <t>568.38</t>
  </si>
  <si>
    <t>449.24</t>
  </si>
  <si>
    <t>106.27</t>
  </si>
  <si>
    <t>833.65</t>
  </si>
  <si>
    <t>280.01</t>
  </si>
  <si>
    <t>13.69</t>
  </si>
  <si>
    <t>8.36</t>
  </si>
  <si>
    <t>烟草制品业</t>
  </si>
  <si>
    <t>105</t>
  </si>
  <si>
    <t>11052.40</t>
  </si>
  <si>
    <t>1254.89</t>
  </si>
  <si>
    <t>3279.16</t>
  </si>
  <si>
    <t>2016.41</t>
  </si>
  <si>
    <t>7801.84</t>
  </si>
  <si>
    <t>296.83</t>
  </si>
  <si>
    <t>3981.14</t>
  </si>
  <si>
    <t>215.91</t>
  </si>
  <si>
    <t>2322.73</t>
  </si>
  <si>
    <t>2295.76</t>
  </si>
  <si>
    <t>522.75</t>
  </si>
  <si>
    <t>8729.67</t>
  </si>
  <si>
    <t>1081.10</t>
  </si>
  <si>
    <t>535.63</t>
  </si>
  <si>
    <t>2.49</t>
  </si>
  <si>
    <t xml:space="preserve">  烟叶复烤</t>
  </si>
  <si>
    <t>23</t>
  </si>
  <si>
    <t>427.09</t>
  </si>
  <si>
    <t>84.28</t>
  </si>
  <si>
    <t>192.54</t>
  </si>
  <si>
    <t>108.25</t>
  </si>
  <si>
    <t>288.74</t>
  </si>
  <si>
    <t>7.35</t>
  </si>
  <si>
    <t>64.98</t>
  </si>
  <si>
    <t>55.65</t>
  </si>
  <si>
    <t>76.93</t>
  </si>
  <si>
    <t>72.44</t>
  </si>
  <si>
    <t>31.14</t>
  </si>
  <si>
    <t>350.16</t>
  </si>
  <si>
    <t>221.88</t>
  </si>
  <si>
    <t>39.18</t>
  </si>
  <si>
    <t xml:space="preserve">  卷烟制造</t>
  </si>
  <si>
    <t>46</t>
  </si>
  <si>
    <t>10435.10</t>
  </si>
  <si>
    <t>1123.80</t>
  </si>
  <si>
    <t>2994.47</t>
  </si>
  <si>
    <t>1862.83</t>
  </si>
  <si>
    <t>7390.04</t>
  </si>
  <si>
    <t>263.40</t>
  </si>
  <si>
    <t>3886.29</t>
  </si>
  <si>
    <t>139.28</t>
  </si>
  <si>
    <t>2183.20</t>
  </si>
  <si>
    <t>2165.51</t>
  </si>
  <si>
    <t>472.92</t>
  </si>
  <si>
    <t>8251.90</t>
  </si>
  <si>
    <t>827.02</t>
  </si>
  <si>
    <t>487.23</t>
  </si>
  <si>
    <t xml:space="preserve">  其他烟草制品制造</t>
  </si>
  <si>
    <t>36</t>
  </si>
  <si>
    <t>190.22</t>
  </si>
  <si>
    <t>46.81</t>
  </si>
  <si>
    <t>92.15</t>
  </si>
  <si>
    <t>45.33</t>
  </si>
  <si>
    <t>123.06</t>
  </si>
  <si>
    <t>26.08</t>
  </si>
  <si>
    <t>29.87</t>
  </si>
  <si>
    <t>20.99</t>
  </si>
  <si>
    <t>62.61</t>
  </si>
  <si>
    <t>57.82</t>
  </si>
  <si>
    <t>127.61</t>
  </si>
  <si>
    <t>32.20</t>
  </si>
  <si>
    <t>9.22</t>
  </si>
  <si>
    <t>纺织业</t>
  </si>
  <si>
    <t>18510</t>
  </si>
  <si>
    <t>20349.95</t>
  </si>
  <si>
    <t>5248.41</t>
  </si>
  <si>
    <t>10854.60</t>
  </si>
  <si>
    <t>5214.50</t>
  </si>
  <si>
    <t>11553.61</t>
  </si>
  <si>
    <t>2718.29</t>
  </si>
  <si>
    <t>3102.07</t>
  </si>
  <si>
    <t>1544.42</t>
  </si>
  <si>
    <t>11360.29</t>
  </si>
  <si>
    <t>9161.87</t>
  </si>
  <si>
    <t>1915.05</t>
  </si>
  <si>
    <t>8913.74</t>
  </si>
  <si>
    <t>4395.59</t>
  </si>
  <si>
    <t>158.65</t>
  </si>
  <si>
    <t>56.82</t>
  </si>
  <si>
    <t xml:space="preserve">  棉纺织及印染精加工</t>
  </si>
  <si>
    <t>8039</t>
  </si>
  <si>
    <t>10832.27</t>
  </si>
  <si>
    <t>2862.28</t>
  </si>
  <si>
    <t>6177.90</t>
  </si>
  <si>
    <t>3053.55</t>
  </si>
  <si>
    <t>5807.87</t>
  </si>
  <si>
    <t>1181.36</t>
  </si>
  <si>
    <t>1551.24</t>
  </si>
  <si>
    <t>754.10</t>
  </si>
  <si>
    <t>6072.21</t>
  </si>
  <si>
    <t>4813.04</t>
  </si>
  <si>
    <t>906.58</t>
  </si>
  <si>
    <t>4710.45</t>
  </si>
  <si>
    <t>2329.04</t>
  </si>
  <si>
    <t>121.91</t>
  </si>
  <si>
    <t>30.34</t>
  </si>
  <si>
    <t xml:space="preserve">    棉纺纱加工</t>
  </si>
  <si>
    <t>4200</t>
  </si>
  <si>
    <t>5775.56</t>
  </si>
  <si>
    <t>1570.28</t>
  </si>
  <si>
    <t>3215.85</t>
  </si>
  <si>
    <t>1511.08</t>
  </si>
  <si>
    <t>2987.28</t>
  </si>
  <si>
    <t>481.54</t>
  </si>
  <si>
    <t>815.77</t>
  </si>
  <si>
    <t>393.25</t>
  </si>
  <si>
    <t>3300.54</t>
  </si>
  <si>
    <t>2527.15</t>
  </si>
  <si>
    <t>442.60</t>
  </si>
  <si>
    <t>2445.80</t>
  </si>
  <si>
    <t>1246.38</t>
  </si>
  <si>
    <t>107.09</t>
  </si>
  <si>
    <t>23.95</t>
  </si>
  <si>
    <t xml:space="preserve">    棉织造加工</t>
  </si>
  <si>
    <t>2546</t>
  </si>
  <si>
    <t>2753.44</t>
  </si>
  <si>
    <t>609.19</t>
  </si>
  <si>
    <t>1498.69</t>
  </si>
  <si>
    <t>799.79</t>
  </si>
  <si>
    <t>1609.82</t>
  </si>
  <si>
    <t>416.79</t>
  </si>
  <si>
    <t>464.56</t>
  </si>
  <si>
    <t>251.93</t>
  </si>
  <si>
    <t>1419.57</t>
  </si>
  <si>
    <t>1123.40</t>
  </si>
  <si>
    <t>226.31</t>
  </si>
  <si>
    <t>1315.60</t>
  </si>
  <si>
    <t>598.62</t>
  </si>
  <si>
    <t>11.63</t>
  </si>
  <si>
    <t xml:space="preserve">    棉印染精加工</t>
  </si>
  <si>
    <t>1293</t>
  </si>
  <si>
    <t>2303.27</t>
  </si>
  <si>
    <t>682.81</t>
  </si>
  <si>
    <t>1463.37</t>
  </si>
  <si>
    <t>742.68</t>
  </si>
  <si>
    <t>1210.78</t>
  </si>
  <si>
    <t>283.02</t>
  </si>
  <si>
    <t>270.91</t>
  </si>
  <si>
    <t>108.92</t>
  </si>
  <si>
    <t>1352.10</t>
  </si>
  <si>
    <t>1162.49</t>
  </si>
  <si>
    <t>949.04</t>
  </si>
  <si>
    <t>484.03</t>
  </si>
  <si>
    <t>3.19</t>
  </si>
  <si>
    <t>1.75</t>
  </si>
  <si>
    <t xml:space="preserve">  毛纺织及染整精加工</t>
  </si>
  <si>
    <t>866</t>
  </si>
  <si>
    <t>1361.23</t>
  </si>
  <si>
    <t>253.70</t>
  </si>
  <si>
    <t>560.74</t>
  </si>
  <si>
    <t>294.25</t>
  </si>
  <si>
    <t>893.37</t>
  </si>
  <si>
    <t>222.18</t>
  </si>
  <si>
    <t>299.39</t>
  </si>
  <si>
    <t>171.29</t>
  </si>
  <si>
    <t>769.55</t>
  </si>
  <si>
    <t>563.68</t>
  </si>
  <si>
    <t>130.98</t>
  </si>
  <si>
    <t>589.41</t>
  </si>
  <si>
    <t>343.55</t>
  </si>
  <si>
    <t>3.40</t>
  </si>
  <si>
    <t>7.62</t>
  </si>
  <si>
    <t xml:space="preserve">    毛条和毛纱线加工</t>
  </si>
  <si>
    <t>499</t>
  </si>
  <si>
    <t>667.33</t>
  </si>
  <si>
    <t>116.53</t>
  </si>
  <si>
    <t>253.76</t>
  </si>
  <si>
    <t>129.20</t>
  </si>
  <si>
    <t>467.36</t>
  </si>
  <si>
    <t>124.94</t>
  </si>
  <si>
    <t>168.55</t>
  </si>
  <si>
    <t>100.44</t>
  </si>
  <si>
    <t>376.57</t>
  </si>
  <si>
    <t>276.69</t>
  </si>
  <si>
    <t>75.31</t>
  </si>
  <si>
    <t>289.01</t>
  </si>
  <si>
    <t>125.14</t>
  </si>
  <si>
    <t>1.41</t>
  </si>
  <si>
    <t>3.06</t>
  </si>
  <si>
    <t xml:space="preserve">    毛织造加工</t>
  </si>
  <si>
    <t>560.58</t>
  </si>
  <si>
    <t>93.12</t>
  </si>
  <si>
    <t>221.36</t>
  </si>
  <si>
    <t>124.98</t>
  </si>
  <si>
    <t>357.52</t>
  </si>
  <si>
    <t>77.80</t>
  </si>
  <si>
    <t>110.70</t>
  </si>
  <si>
    <t>59.75</t>
  </si>
  <si>
    <t>311.85</t>
  </si>
  <si>
    <t>217.35</t>
  </si>
  <si>
    <t>42.58</t>
  </si>
  <si>
    <t>248.22</t>
  </si>
  <si>
    <t>187.50</t>
  </si>
  <si>
    <t>1.99</t>
  </si>
  <si>
    <t>4.49</t>
  </si>
  <si>
    <t xml:space="preserve">    毛染整精加工</t>
  </si>
  <si>
    <t>104</t>
  </si>
  <si>
    <t>133.31</t>
  </si>
  <si>
    <t>44.05</t>
  </si>
  <si>
    <t>85.61</t>
  </si>
  <si>
    <t>40.07</t>
  </si>
  <si>
    <t>68.49</t>
  </si>
  <si>
    <t>19.44</t>
  </si>
  <si>
    <t>20.14</t>
  </si>
  <si>
    <t>11.09</t>
  </si>
  <si>
    <t>81.13</t>
  </si>
  <si>
    <t>69.64</t>
  </si>
  <si>
    <t>52.19</t>
  </si>
  <si>
    <t>30.92</t>
  </si>
  <si>
    <t>0.07</t>
  </si>
  <si>
    <t xml:space="preserve">  麻纺织及染整精加工</t>
  </si>
  <si>
    <t>241</t>
  </si>
  <si>
    <t>226.65</t>
  </si>
  <si>
    <t>63.15</t>
  </si>
  <si>
    <t>124.59</t>
  </si>
  <si>
    <t>55.75</t>
  </si>
  <si>
    <t>125.74</t>
  </si>
  <si>
    <t>26.51</t>
  </si>
  <si>
    <t>54.77</t>
  </si>
  <si>
    <t>30.90</t>
  </si>
  <si>
    <t>101.17</t>
  </si>
  <si>
    <t>18.44</t>
  </si>
  <si>
    <t>95.54</t>
  </si>
  <si>
    <t>52.77</t>
  </si>
  <si>
    <t>4.10</t>
  </si>
  <si>
    <t>5.51</t>
  </si>
  <si>
    <t xml:space="preserve">    麻纤维纺前加工和纺纱</t>
  </si>
  <si>
    <t>89</t>
  </si>
  <si>
    <t>98.08</t>
  </si>
  <si>
    <t>24.61</t>
  </si>
  <si>
    <t>48.26</t>
  </si>
  <si>
    <t>21.43</t>
  </si>
  <si>
    <t>54.91</t>
  </si>
  <si>
    <t>10.69</t>
  </si>
  <si>
    <t>21.56</t>
  </si>
  <si>
    <t>52.29</t>
  </si>
  <si>
    <t>41.63</t>
  </si>
  <si>
    <t>6.88</t>
  </si>
  <si>
    <t>44.49</t>
  </si>
  <si>
    <t>22.72</t>
  </si>
  <si>
    <t>2.11</t>
  </si>
  <si>
    <t xml:space="preserve">    麻织造加工</t>
  </si>
  <si>
    <t>127.02</t>
  </si>
  <si>
    <t>75.07</t>
  </si>
  <si>
    <t>33.76</t>
  </si>
  <si>
    <t>70.21</t>
  </si>
  <si>
    <t>15.65</t>
  </si>
  <si>
    <t>33.08</t>
  </si>
  <si>
    <t>20.30</t>
  </si>
  <si>
    <t>74.88</t>
  </si>
  <si>
    <t>58.71</t>
  </si>
  <si>
    <t>11.36</t>
  </si>
  <si>
    <t>50.33</t>
  </si>
  <si>
    <t>29.85</t>
  </si>
  <si>
    <t>2.69</t>
  </si>
  <si>
    <t xml:space="preserve">    麻染整精加工</t>
  </si>
  <si>
    <t>1.55</t>
  </si>
  <si>
    <t>0.65</t>
  </si>
  <si>
    <t>1.26</t>
  </si>
  <si>
    <t>0.55</t>
  </si>
  <si>
    <t>0.63</t>
  </si>
  <si>
    <t>0.17</t>
  </si>
  <si>
    <t>0.14</t>
  </si>
  <si>
    <t>0.83</t>
  </si>
  <si>
    <t>0.72</t>
  </si>
  <si>
    <t xml:space="preserve">  丝绢纺织及印染精加工</t>
  </si>
  <si>
    <t>591</t>
  </si>
  <si>
    <t>602.43</t>
  </si>
  <si>
    <t>139.75</t>
  </si>
  <si>
    <t>277.36</t>
  </si>
  <si>
    <t>127.03</t>
  </si>
  <si>
    <t>337.99</t>
  </si>
  <si>
    <t>86.03</t>
  </si>
  <si>
    <t>128.64</t>
  </si>
  <si>
    <t>67.94</t>
  </si>
  <si>
    <t>354.20</t>
  </si>
  <si>
    <t>292.42</t>
  </si>
  <si>
    <t>57.07</t>
  </si>
  <si>
    <t>244.72</t>
  </si>
  <si>
    <t>104.55</t>
  </si>
  <si>
    <t xml:space="preserve">    缫丝加工</t>
  </si>
  <si>
    <t>240</t>
  </si>
  <si>
    <t>234.25</t>
  </si>
  <si>
    <t>51.02</t>
  </si>
  <si>
    <t>102.68</t>
  </si>
  <si>
    <t>45.60</t>
  </si>
  <si>
    <t>129.84</t>
  </si>
  <si>
    <t>23.63</t>
  </si>
  <si>
    <t>56.62</t>
  </si>
  <si>
    <t>28.82</t>
  </si>
  <si>
    <t>141.47</t>
  </si>
  <si>
    <t>103.17</t>
  </si>
  <si>
    <t>14.12</t>
  </si>
  <si>
    <t>92.80</t>
  </si>
  <si>
    <t>37.76</t>
  </si>
  <si>
    <t>0.38</t>
  </si>
  <si>
    <t xml:space="preserve">    绢纺和丝织加工</t>
  </si>
  <si>
    <t>293</t>
  </si>
  <si>
    <t>281.06</t>
  </si>
  <si>
    <t>60.82</t>
  </si>
  <si>
    <t>122.51</t>
  </si>
  <si>
    <t>57.22</t>
  </si>
  <si>
    <t>164.21</t>
  </si>
  <si>
    <t>46.55</t>
  </si>
  <si>
    <t>152.48</t>
  </si>
  <si>
    <t>132.44</t>
  </si>
  <si>
    <t>31.61</t>
  </si>
  <si>
    <t>125.05</t>
  </si>
  <si>
    <t>50.40</t>
  </si>
  <si>
    <t>1.25</t>
  </si>
  <si>
    <t xml:space="preserve">    丝印染精加工</t>
  </si>
  <si>
    <t>58</t>
  </si>
  <si>
    <t>87.12</t>
  </si>
  <si>
    <t>27.90</t>
  </si>
  <si>
    <t>52.17</t>
  </si>
  <si>
    <t>24.21</t>
  </si>
  <si>
    <t>43.94</t>
  </si>
  <si>
    <t>15.84</t>
  </si>
  <si>
    <t>8.18</t>
  </si>
  <si>
    <t>60.26</t>
  </si>
  <si>
    <t>56.81</t>
  </si>
  <si>
    <t>11.35</t>
  </si>
  <si>
    <t>26.86</t>
  </si>
  <si>
    <t>1.17</t>
  </si>
  <si>
    <t xml:space="preserve">  化纤织造及印染精加工</t>
  </si>
  <si>
    <t>1934</t>
  </si>
  <si>
    <t>1644.10</t>
  </si>
  <si>
    <t>484.50</t>
  </si>
  <si>
    <t>921.18</t>
  </si>
  <si>
    <t>417.13</t>
  </si>
  <si>
    <t>949.16</t>
  </si>
  <si>
    <t>248.78</t>
  </si>
  <si>
    <t>275.20</t>
  </si>
  <si>
    <t>152.51</t>
  </si>
  <si>
    <t>1036.28</t>
  </si>
  <si>
    <t>829.09</t>
  </si>
  <si>
    <t>133.57</t>
  </si>
  <si>
    <t>606.08</t>
  </si>
  <si>
    <t>349.57</t>
  </si>
  <si>
    <t>0.40</t>
  </si>
  <si>
    <t>2.01</t>
  </si>
  <si>
    <t xml:space="preserve">    化纤织造加工</t>
  </si>
  <si>
    <t>1674</t>
  </si>
  <si>
    <t>1270.59</t>
  </si>
  <si>
    <t>361.44</t>
  </si>
  <si>
    <t>685.30</t>
  </si>
  <si>
    <t>305.53</t>
  </si>
  <si>
    <t>752.42</t>
  </si>
  <si>
    <t>210.08</t>
  </si>
  <si>
    <t>236.53</t>
  </si>
  <si>
    <t>139.81</t>
  </si>
  <si>
    <t>798.48</t>
  </si>
  <si>
    <t>625.67</t>
  </si>
  <si>
    <t>101.27</t>
  </si>
  <si>
    <t>470.37</t>
  </si>
  <si>
    <t>277.51</t>
  </si>
  <si>
    <t>1.33</t>
  </si>
  <si>
    <t xml:space="preserve">    化纤织物染整精加工</t>
  </si>
  <si>
    <t>260</t>
  </si>
  <si>
    <t>373.51</t>
  </si>
  <si>
    <t>235.88</t>
  </si>
  <si>
    <t>111.60</t>
  </si>
  <si>
    <t>196.75</t>
  </si>
  <si>
    <t>38.70</t>
  </si>
  <si>
    <t>38.67</t>
  </si>
  <si>
    <t>12.70</t>
  </si>
  <si>
    <t>237.80</t>
  </si>
  <si>
    <t>203.42</t>
  </si>
  <si>
    <t>135.71</t>
  </si>
  <si>
    <t>72.06</t>
  </si>
  <si>
    <t>0.67</t>
  </si>
  <si>
    <t xml:space="preserve">  针织或钩针编织物及其制品制造</t>
  </si>
  <si>
    <t>2090</t>
  </si>
  <si>
    <t>1599.87</t>
  </si>
  <si>
    <t>413.06</t>
  </si>
  <si>
    <t>863.21</t>
  </si>
  <si>
    <t>420.75</t>
  </si>
  <si>
    <t>955.21</t>
  </si>
  <si>
    <t>272.68</t>
  </si>
  <si>
    <t>253.84</t>
  </si>
  <si>
    <t>127.16</t>
  </si>
  <si>
    <t>926.71</t>
  </si>
  <si>
    <t>793.70</t>
  </si>
  <si>
    <t>144.83</t>
  </si>
  <si>
    <t>664.25</t>
  </si>
  <si>
    <t>343.82</t>
  </si>
  <si>
    <t>0.97</t>
  </si>
  <si>
    <t xml:space="preserve">    针织或钩针编织物织造</t>
  </si>
  <si>
    <t>1658</t>
  </si>
  <si>
    <t>1214.97</t>
  </si>
  <si>
    <t>301.01</t>
  </si>
  <si>
    <t>631.43</t>
  </si>
  <si>
    <t>311.10</t>
  </si>
  <si>
    <t>741.78</t>
  </si>
  <si>
    <t>215.10</t>
  </si>
  <si>
    <t>201.87</t>
  </si>
  <si>
    <t>101.98</t>
  </si>
  <si>
    <t>700.49</t>
  </si>
  <si>
    <t>613.29</t>
  </si>
  <si>
    <t>102.75</t>
  </si>
  <si>
    <t>507.97</t>
  </si>
  <si>
    <t>261.75</t>
  </si>
  <si>
    <t xml:space="preserve">    针织或钩针编织物印染精加工</t>
  </si>
  <si>
    <t>102</t>
  </si>
  <si>
    <t>96.03</t>
  </si>
  <si>
    <t>39.12</t>
  </si>
  <si>
    <t>26.25</t>
  </si>
  <si>
    <t>40.03</t>
  </si>
  <si>
    <t>14.09</t>
  </si>
  <si>
    <t>9.82</t>
  </si>
  <si>
    <t>4.48</t>
  </si>
  <si>
    <t>65.99</t>
  </si>
  <si>
    <t>53.52</t>
  </si>
  <si>
    <t>12.28</t>
  </si>
  <si>
    <t>21.30</t>
  </si>
  <si>
    <t xml:space="preserve">    针织或钩针编织品制造</t>
  </si>
  <si>
    <t>330</t>
  </si>
  <si>
    <t>288.87</t>
  </si>
  <si>
    <t>72.93</t>
  </si>
  <si>
    <t>162.10</t>
  </si>
  <si>
    <t>83.40</t>
  </si>
  <si>
    <t>173.40</t>
  </si>
  <si>
    <t>43.49</t>
  </si>
  <si>
    <t>42.15</t>
  </si>
  <si>
    <t>20.70</t>
  </si>
  <si>
    <t>160.24</t>
  </si>
  <si>
    <t>126.90</t>
  </si>
  <si>
    <t>29.80</t>
  </si>
  <si>
    <t>126.24</t>
  </si>
  <si>
    <t>60.77</t>
  </si>
  <si>
    <t xml:space="preserve">  家用纺织制成品制造</t>
  </si>
  <si>
    <t>1841</t>
  </si>
  <si>
    <t>1550.11</t>
  </si>
  <si>
    <t>346.14</t>
  </si>
  <si>
    <t>642.44</t>
  </si>
  <si>
    <t>272.51</t>
  </si>
  <si>
    <t>960.75</t>
  </si>
  <si>
    <t>275.09</t>
  </si>
  <si>
    <t>241.21</t>
  </si>
  <si>
    <t>110.23</t>
  </si>
  <si>
    <t>855.81</t>
  </si>
  <si>
    <t>736.92</t>
  </si>
  <si>
    <t>228.64</t>
  </si>
  <si>
    <t>691.06</t>
  </si>
  <si>
    <t>326.45</t>
  </si>
  <si>
    <t>6.38</t>
  </si>
  <si>
    <t>4.81</t>
  </si>
  <si>
    <t xml:space="preserve">    床上用品制造</t>
  </si>
  <si>
    <t>974</t>
  </si>
  <si>
    <t>855.56</t>
  </si>
  <si>
    <t>148.56</t>
  </si>
  <si>
    <t>265.58</t>
  </si>
  <si>
    <t>106.46</t>
  </si>
  <si>
    <t>566.46</t>
  </si>
  <si>
    <t>172.67</t>
  </si>
  <si>
    <t>139.04</t>
  </si>
  <si>
    <t>64.91</t>
  </si>
  <si>
    <t>494.44</t>
  </si>
  <si>
    <t>432.57</t>
  </si>
  <si>
    <t>141.17</t>
  </si>
  <si>
    <t>360.02</t>
  </si>
  <si>
    <t>171.33</t>
  </si>
  <si>
    <t>0.61</t>
  </si>
  <si>
    <t xml:space="preserve">    毛巾类制品制造</t>
  </si>
  <si>
    <t>278.21</t>
  </si>
  <si>
    <t>88.39</t>
  </si>
  <si>
    <t>186.35</t>
  </si>
  <si>
    <t>88.12</t>
  </si>
  <si>
    <t>147.25</t>
  </si>
  <si>
    <t>27.54</t>
  </si>
  <si>
    <t>37.60</t>
  </si>
  <si>
    <t>18.69</t>
  </si>
  <si>
    <t>137.33</t>
  </si>
  <si>
    <t>112.72</t>
  </si>
  <si>
    <t>22.11</t>
  </si>
  <si>
    <t>140.51</t>
  </si>
  <si>
    <t>65.22</t>
  </si>
  <si>
    <t xml:space="preserve">    窗帘、布艺类产品制造</t>
  </si>
  <si>
    <t>301</t>
  </si>
  <si>
    <t>182.30</t>
  </si>
  <si>
    <t>41.26</t>
  </si>
  <si>
    <t>79.43</t>
  </si>
  <si>
    <t>37.08</t>
  </si>
  <si>
    <t>113.84</t>
  </si>
  <si>
    <t>35.57</t>
  </si>
  <si>
    <t>28.93</t>
  </si>
  <si>
    <t>11.61</t>
  </si>
  <si>
    <t>93.97</t>
  </si>
  <si>
    <t>87.31</t>
  </si>
  <si>
    <t>30.54</t>
  </si>
  <si>
    <t>87.94</t>
  </si>
  <si>
    <t>37.41</t>
  </si>
  <si>
    <t>0.06</t>
  </si>
  <si>
    <t xml:space="preserve">    其他家用纺织制成品制造</t>
  </si>
  <si>
    <t>353</t>
  </si>
  <si>
    <t>234.04</t>
  </si>
  <si>
    <t>67.93</t>
  </si>
  <si>
    <t>111.08</t>
  </si>
  <si>
    <t>40.85</t>
  </si>
  <si>
    <t>133.19</t>
  </si>
  <si>
    <t>39.31</t>
  </si>
  <si>
    <t>35.64</t>
  </si>
  <si>
    <t>15.02</t>
  </si>
  <si>
    <t>130.07</t>
  </si>
  <si>
    <t>104.32</t>
  </si>
  <si>
    <t>34.83</t>
  </si>
  <si>
    <t>102.60</t>
  </si>
  <si>
    <t>52.49</t>
  </si>
  <si>
    <t>1.09</t>
  </si>
  <si>
    <t xml:space="preserve">  产业用纺织制成品制造</t>
  </si>
  <si>
    <t>2908</t>
  </si>
  <si>
    <t>2533.30</t>
  </si>
  <si>
    <t>685.83</t>
  </si>
  <si>
    <t>1287.18</t>
  </si>
  <si>
    <t>573.52</t>
  </si>
  <si>
    <t>1523.51</t>
  </si>
  <si>
    <t>405.67</t>
  </si>
  <si>
    <t>297.78</t>
  </si>
  <si>
    <t>1217.53</t>
  </si>
  <si>
    <t>1031.86</t>
  </si>
  <si>
    <t>294.93</t>
  </si>
  <si>
    <t>1312.24</t>
  </si>
  <si>
    <t>545.84</t>
  </si>
  <si>
    <t>19.03</t>
  </si>
  <si>
    <t>3.75</t>
  </si>
  <si>
    <t xml:space="preserve">    非织造布制造</t>
  </si>
  <si>
    <t>1419</t>
  </si>
  <si>
    <t>1310.21</t>
  </si>
  <si>
    <t>366.09</t>
  </si>
  <si>
    <t>701.14</t>
  </si>
  <si>
    <t>318.18</t>
  </si>
  <si>
    <t>760.41</t>
  </si>
  <si>
    <t>189.54</t>
  </si>
  <si>
    <t>136.36</t>
  </si>
  <si>
    <t>61.98</t>
  </si>
  <si>
    <t>618.33</t>
  </si>
  <si>
    <t>515.88</t>
  </si>
  <si>
    <t>132.36</t>
  </si>
  <si>
    <t>690.86</t>
  </si>
  <si>
    <t>293.61</t>
  </si>
  <si>
    <t>7.77</t>
  </si>
  <si>
    <t>2.19</t>
  </si>
  <si>
    <t xml:space="preserve">2-1 续表4
</t>
  </si>
  <si>
    <t xml:space="preserve">  绳、索、缆制造</t>
  </si>
  <si>
    <t>200</t>
  </si>
  <si>
    <t>138.58</t>
  </si>
  <si>
    <t>52.37</t>
  </si>
  <si>
    <t>79.09</t>
  </si>
  <si>
    <t>25.65</t>
  </si>
  <si>
    <t>75.29</t>
  </si>
  <si>
    <t>29.69</t>
  </si>
  <si>
    <t>18.47</t>
  </si>
  <si>
    <t>8.62</t>
  </si>
  <si>
    <t>57.24</t>
  </si>
  <si>
    <t>13.24</t>
  </si>
  <si>
    <t>79.27</t>
  </si>
  <si>
    <t>32.62</t>
  </si>
  <si>
    <t xml:space="preserve">  纺织带和帘子布制造</t>
  </si>
  <si>
    <t>313</t>
  </si>
  <si>
    <t>312.11</t>
  </si>
  <si>
    <t>83.73</t>
  </si>
  <si>
    <t>173.31</t>
  </si>
  <si>
    <t>85.80</t>
  </si>
  <si>
    <t>186.12</t>
  </si>
  <si>
    <t>45.38</t>
  </si>
  <si>
    <t>44.84</t>
  </si>
  <si>
    <t>17.18</t>
  </si>
  <si>
    <t>180.69</t>
  </si>
  <si>
    <t>155.37</t>
  </si>
  <si>
    <t>38.22</t>
  </si>
  <si>
    <t>131.12</t>
  </si>
  <si>
    <t>72.37</t>
  </si>
  <si>
    <t>9.50</t>
  </si>
  <si>
    <t>0.49</t>
  </si>
  <si>
    <t xml:space="preserve">  篷、帆布制造</t>
  </si>
  <si>
    <t>268</t>
  </si>
  <si>
    <t>206.95</t>
  </si>
  <si>
    <t>36.68</t>
  </si>
  <si>
    <t>73.27</t>
  </si>
  <si>
    <t>34.96</t>
  </si>
  <si>
    <t>141.69</t>
  </si>
  <si>
    <t>41.08</t>
  </si>
  <si>
    <t>39.73</t>
  </si>
  <si>
    <t>16.30</t>
  </si>
  <si>
    <t>112.99</t>
  </si>
  <si>
    <t>102.23</t>
  </si>
  <si>
    <t>34.92</t>
  </si>
  <si>
    <t>93.96</t>
  </si>
  <si>
    <t>39.36</t>
  </si>
  <si>
    <t>0.69</t>
  </si>
  <si>
    <t xml:space="preserve">  其他产业用纺织制成品制造</t>
  </si>
  <si>
    <t>708</t>
  </si>
  <si>
    <t>565.45</t>
  </si>
  <si>
    <t>146.96</t>
  </si>
  <si>
    <t>260.37</t>
  </si>
  <si>
    <t>108.93</t>
  </si>
  <si>
    <t>360.01</t>
  </si>
  <si>
    <t>99.98</t>
  </si>
  <si>
    <t>58.38</t>
  </si>
  <si>
    <t>26.21</t>
  </si>
  <si>
    <t>248.28</t>
  </si>
  <si>
    <t>208.54</t>
  </si>
  <si>
    <t>76.20</t>
  </si>
  <si>
    <t>317.03</t>
  </si>
  <si>
    <t>107.87</t>
  </si>
  <si>
    <t>1.05</t>
  </si>
  <si>
    <t>0.43</t>
  </si>
  <si>
    <t>纺织服装、服饰业</t>
  </si>
  <si>
    <t>12706</t>
  </si>
  <si>
    <t>11234.15</t>
  </si>
  <si>
    <t>1969.23</t>
  </si>
  <si>
    <t>3988.58</t>
  </si>
  <si>
    <t>1793.97</t>
  </si>
  <si>
    <t>6777.41</t>
  </si>
  <si>
    <t>1822.54</t>
  </si>
  <si>
    <t>1693.59</t>
  </si>
  <si>
    <t>892.02</t>
  </si>
  <si>
    <t>5640.83</t>
  </si>
  <si>
    <t>4646.95</t>
  </si>
  <si>
    <t>1491.30</t>
  </si>
  <si>
    <t>5544.51</t>
  </si>
  <si>
    <t>2347.80</t>
  </si>
  <si>
    <t>47.16</t>
  </si>
  <si>
    <t>42.54</t>
  </si>
  <si>
    <t xml:space="preserve">  机织服装制造</t>
  </si>
  <si>
    <t>7012</t>
  </si>
  <si>
    <t>7312.93</t>
  </si>
  <si>
    <t>1228.87</t>
  </si>
  <si>
    <t>2534.18</t>
  </si>
  <si>
    <t>1136.47</t>
  </si>
  <si>
    <t>4318.93</t>
  </si>
  <si>
    <t>1111.24</t>
  </si>
  <si>
    <t>1049.07</t>
  </si>
  <si>
    <t>585.61</t>
  </si>
  <si>
    <t>3507.68</t>
  </si>
  <si>
    <t>2828.32</t>
  </si>
  <si>
    <t>895.32</t>
  </si>
  <si>
    <t>3774.77</t>
  </si>
  <si>
    <t>1604.60</t>
  </si>
  <si>
    <t>36.64</t>
  </si>
  <si>
    <t>36.56</t>
  </si>
  <si>
    <t xml:space="preserve">    运动机织服装制造</t>
  </si>
  <si>
    <t>1434</t>
  </si>
  <si>
    <t>1710.44</t>
  </si>
  <si>
    <t>273.63</t>
  </si>
  <si>
    <t>571.93</t>
  </si>
  <si>
    <t>257.60</t>
  </si>
  <si>
    <t>880.24</t>
  </si>
  <si>
    <t>210.76</t>
  </si>
  <si>
    <t>202.69</t>
  </si>
  <si>
    <t>112.62</t>
  </si>
  <si>
    <t>809.35</t>
  </si>
  <si>
    <t>616.98</t>
  </si>
  <si>
    <t>226.37</t>
  </si>
  <si>
    <t>893.72</t>
  </si>
  <si>
    <t>316.60</t>
  </si>
  <si>
    <t>2.95</t>
  </si>
  <si>
    <t xml:space="preserve">    其他机织服装制造</t>
  </si>
  <si>
    <t>5578</t>
  </si>
  <si>
    <t>5602.48</t>
  </si>
  <si>
    <t>955.24</t>
  </si>
  <si>
    <t>1962.24</t>
  </si>
  <si>
    <t>878.86</t>
  </si>
  <si>
    <t>3438.69</t>
  </si>
  <si>
    <t>900.48</t>
  </si>
  <si>
    <t>846.37</t>
  </si>
  <si>
    <t>472.99</t>
  </si>
  <si>
    <t>2698.33</t>
  </si>
  <si>
    <t>2211.34</t>
  </si>
  <si>
    <t>668.95</t>
  </si>
  <si>
    <t>2881.05</t>
  </si>
  <si>
    <t>1288.00</t>
  </si>
  <si>
    <t>32.00</t>
  </si>
  <si>
    <t>33.61</t>
  </si>
  <si>
    <t xml:space="preserve">  针织或钩针编织服装制造</t>
  </si>
  <si>
    <t>3743</t>
  </si>
  <si>
    <t>2939.17</t>
  </si>
  <si>
    <t>501.75</t>
  </si>
  <si>
    <t>1023.03</t>
  </si>
  <si>
    <t>487.75</t>
  </si>
  <si>
    <t>1859.03</t>
  </si>
  <si>
    <t>537.72</t>
  </si>
  <si>
    <t>477.03</t>
  </si>
  <si>
    <t>226.33</t>
  </si>
  <si>
    <t>1583.71</t>
  </si>
  <si>
    <t>1350.04</t>
  </si>
  <si>
    <t>454.77</t>
  </si>
  <si>
    <t>1347.20</t>
  </si>
  <si>
    <t>517.78</t>
  </si>
  <si>
    <t>8.19</t>
  </si>
  <si>
    <t xml:space="preserve">    运动休闲针织服装制造</t>
  </si>
  <si>
    <t>1376</t>
  </si>
  <si>
    <t>1239.37</t>
  </si>
  <si>
    <t>192.87</t>
  </si>
  <si>
    <t>368.59</t>
  </si>
  <si>
    <t>163.26</t>
  </si>
  <si>
    <t>841.56</t>
  </si>
  <si>
    <t>230.52</t>
  </si>
  <si>
    <t>197.38</t>
  </si>
  <si>
    <t>105.31</t>
  </si>
  <si>
    <t>625.95</t>
  </si>
  <si>
    <t>529.62</t>
  </si>
  <si>
    <t>201.84</t>
  </si>
  <si>
    <t>612.26</t>
  </si>
  <si>
    <t>217.51</t>
  </si>
  <si>
    <t>0.32</t>
  </si>
  <si>
    <t>1.34</t>
  </si>
  <si>
    <t xml:space="preserve">    其他针织或钩针编织服装制造</t>
  </si>
  <si>
    <t>2367</t>
  </si>
  <si>
    <t>1699.81</t>
  </si>
  <si>
    <t>308.89</t>
  </si>
  <si>
    <t>654.44</t>
  </si>
  <si>
    <t>324.49</t>
  </si>
  <si>
    <t>1017.47</t>
  </si>
  <si>
    <t>307.20</t>
  </si>
  <si>
    <t>279.65</t>
  </si>
  <si>
    <t>121.03</t>
  </si>
  <si>
    <t>957.76</t>
  </si>
  <si>
    <t>820.43</t>
  </si>
  <si>
    <t>252.94</t>
  </si>
  <si>
    <t>734.94</t>
  </si>
  <si>
    <t>300.27</t>
  </si>
  <si>
    <t>2.31</t>
  </si>
  <si>
    <t xml:space="preserve">  服饰制造</t>
  </si>
  <si>
    <t>1951</t>
  </si>
  <si>
    <t>982.05</t>
  </si>
  <si>
    <t>238.60</t>
  </si>
  <si>
    <t>431.38</t>
  </si>
  <si>
    <t>169.75</t>
  </si>
  <si>
    <t>599.46</t>
  </si>
  <si>
    <t>173.59</t>
  </si>
  <si>
    <t>167.50</t>
  </si>
  <si>
    <t>80.07</t>
  </si>
  <si>
    <t>549.43</t>
  </si>
  <si>
    <t>468.59</t>
  </si>
  <si>
    <t>141.20</t>
  </si>
  <si>
    <t>422.54</t>
  </si>
  <si>
    <t>225.42</t>
  </si>
  <si>
    <t>2.34</t>
  </si>
  <si>
    <t>皮革、毛皮、羽毛及其制品和制鞋业</t>
  </si>
  <si>
    <t>7942</t>
  </si>
  <si>
    <t>6613.83</t>
  </si>
  <si>
    <t>1291.19</t>
  </si>
  <si>
    <t>2575.44</t>
  </si>
  <si>
    <t>1059.47</t>
  </si>
  <si>
    <t>3841.84</t>
  </si>
  <si>
    <t>1086.80</t>
  </si>
  <si>
    <t>985.50</t>
  </si>
  <si>
    <t>427.91</t>
  </si>
  <si>
    <t>3097.08</t>
  </si>
  <si>
    <t>2519.02</t>
  </si>
  <si>
    <t>711.88</t>
  </si>
  <si>
    <t>3451.04</t>
  </si>
  <si>
    <t>1203.15</t>
  </si>
  <si>
    <t>6.80</t>
  </si>
  <si>
    <t xml:space="preserve">  皮革鞣制加工</t>
  </si>
  <si>
    <t>594</t>
  </si>
  <si>
    <t>721.32</t>
  </si>
  <si>
    <t>137.61</t>
  </si>
  <si>
    <t>266.34</t>
  </si>
  <si>
    <t>96.17</t>
  </si>
  <si>
    <t>415.56</t>
  </si>
  <si>
    <t>106.17</t>
  </si>
  <si>
    <t>169.40</t>
  </si>
  <si>
    <t>58.57</t>
  </si>
  <si>
    <t>336.35</t>
  </si>
  <si>
    <t>291.30</t>
  </si>
  <si>
    <t>65.76</t>
  </si>
  <si>
    <t>358.41</t>
  </si>
  <si>
    <t>172.98</t>
  </si>
  <si>
    <t>2.09</t>
  </si>
  <si>
    <t xml:space="preserve">  皮革制品制造</t>
  </si>
  <si>
    <t>2136</t>
  </si>
  <si>
    <t>1714.99</t>
  </si>
  <si>
    <t>332.42</t>
  </si>
  <si>
    <t>557.86</t>
  </si>
  <si>
    <t>181.03</t>
  </si>
  <si>
    <t>866.61</t>
  </si>
  <si>
    <t>201.89</t>
  </si>
  <si>
    <t>209.29</t>
  </si>
  <si>
    <t>77.88</t>
  </si>
  <si>
    <t>708.40</t>
  </si>
  <si>
    <t>566.22</t>
  </si>
  <si>
    <t>151.60</t>
  </si>
  <si>
    <t>1002.40</t>
  </si>
  <si>
    <t>217.58</t>
  </si>
  <si>
    <t>1.12</t>
  </si>
  <si>
    <t xml:space="preserve">    皮革服装制造</t>
  </si>
  <si>
    <t>247</t>
  </si>
  <si>
    <t>469.39</t>
  </si>
  <si>
    <t>59.36</t>
  </si>
  <si>
    <t>77.01</t>
  </si>
  <si>
    <t>91.48</t>
  </si>
  <si>
    <t>25.36</t>
  </si>
  <si>
    <t>9.51</t>
  </si>
  <si>
    <t>131.05</t>
  </si>
  <si>
    <t>14.07</t>
  </si>
  <si>
    <t>329.79</t>
  </si>
  <si>
    <t xml:space="preserve">    皮箱、包(袋)制造</t>
  </si>
  <si>
    <t>1415</t>
  </si>
  <si>
    <t>770.81</t>
  </si>
  <si>
    <t>215.33</t>
  </si>
  <si>
    <t>353.60</t>
  </si>
  <si>
    <t>113.55</t>
  </si>
  <si>
    <t>406.05</t>
  </si>
  <si>
    <t>105.05</t>
  </si>
  <si>
    <t>105.66</t>
  </si>
  <si>
    <t>43.01</t>
  </si>
  <si>
    <t>396.77</t>
  </si>
  <si>
    <t>285.36</t>
  </si>
  <si>
    <t>97.55</t>
  </si>
  <si>
    <t>371.42</t>
  </si>
  <si>
    <t>0.51</t>
  </si>
  <si>
    <t xml:space="preserve">    皮手套及皮装饰制品制造</t>
  </si>
  <si>
    <t>67.22</t>
  </si>
  <si>
    <t>12.97</t>
  </si>
  <si>
    <t>28.41</t>
  </si>
  <si>
    <t>40.30</t>
  </si>
  <si>
    <t>10.88</t>
  </si>
  <si>
    <t>11.01</t>
  </si>
  <si>
    <t>3.78</t>
  </si>
  <si>
    <t>36.45</t>
  </si>
  <si>
    <t>29.71</t>
  </si>
  <si>
    <t>6.89</t>
  </si>
  <si>
    <t>30.59</t>
  </si>
  <si>
    <t>17.56</t>
  </si>
  <si>
    <t>0.16</t>
  </si>
  <si>
    <t xml:space="preserve">    其他皮革制品制造</t>
  </si>
  <si>
    <t>283</t>
  </si>
  <si>
    <t>407.57</t>
  </si>
  <si>
    <t>44.75</t>
  </si>
  <si>
    <t>98.84</t>
  </si>
  <si>
    <t>328.77</t>
  </si>
  <si>
    <t>60.60</t>
  </si>
  <si>
    <t>21.59</t>
  </si>
  <si>
    <t>136.56</t>
  </si>
  <si>
    <t>120.11</t>
  </si>
  <si>
    <t>270.61</t>
  </si>
  <si>
    <t>50.79</t>
  </si>
  <si>
    <t xml:space="preserve">  毛皮鞣制及制品加工</t>
  </si>
  <si>
    <t>473</t>
  </si>
  <si>
    <t>292.83</t>
  </si>
  <si>
    <t>53.54</t>
  </si>
  <si>
    <t>134.78</t>
  </si>
  <si>
    <t>64.35</t>
  </si>
  <si>
    <t>185.48</t>
  </si>
  <si>
    <t>33.60</t>
  </si>
  <si>
    <t>79.69</t>
  </si>
  <si>
    <t>28.33</t>
  </si>
  <si>
    <t>152.94</t>
  </si>
  <si>
    <t>110.07</t>
  </si>
  <si>
    <t>28.84</t>
  </si>
  <si>
    <t>133.20</t>
  </si>
  <si>
    <t>54.15</t>
  </si>
  <si>
    <t>1.50</t>
  </si>
  <si>
    <t xml:space="preserve">    毛皮鞣制加工</t>
  </si>
  <si>
    <t>73</t>
  </si>
  <si>
    <t>61.93</t>
  </si>
  <si>
    <t>16.85</t>
  </si>
  <si>
    <t>30.37</t>
  </si>
  <si>
    <t>7.92</t>
  </si>
  <si>
    <t>30.77</t>
  </si>
  <si>
    <t>5.94</t>
  </si>
  <si>
    <t>10.62</t>
  </si>
  <si>
    <t>4.27</t>
  </si>
  <si>
    <t>27.12</t>
  </si>
  <si>
    <t>4.69</t>
  </si>
  <si>
    <t>30.70</t>
  </si>
  <si>
    <t xml:space="preserve">    毛皮服装加工</t>
  </si>
  <si>
    <t>327</t>
  </si>
  <si>
    <t>125.67</t>
  </si>
  <si>
    <t>14.69</t>
  </si>
  <si>
    <t>63.55</t>
  </si>
  <si>
    <t>37.83</t>
  </si>
  <si>
    <t>85.68</t>
  </si>
  <si>
    <t>18.19</t>
  </si>
  <si>
    <t>27.24</t>
  </si>
  <si>
    <t>10.26</t>
  </si>
  <si>
    <t>61.63</t>
  </si>
  <si>
    <t>52.07</t>
  </si>
  <si>
    <t>17.05</t>
  </si>
  <si>
    <t>61.43</t>
  </si>
  <si>
    <t>17.81</t>
  </si>
  <si>
    <t xml:space="preserve">    其他毛皮制品加工</t>
  </si>
  <si>
    <t>105.22</t>
  </si>
  <si>
    <t>22.00</t>
  </si>
  <si>
    <t>40.86</t>
  </si>
  <si>
    <t>18.60</t>
  </si>
  <si>
    <t>69.03</t>
  </si>
  <si>
    <t>9.46</t>
  </si>
  <si>
    <t>41.83</t>
  </si>
  <si>
    <t>13.81</t>
  </si>
  <si>
    <t>64.19</t>
  </si>
  <si>
    <t>37.49</t>
  </si>
  <si>
    <t>7.10</t>
  </si>
  <si>
    <t>41.07</t>
  </si>
  <si>
    <t>20.74</t>
  </si>
  <si>
    <t xml:space="preserve">  羽毛(绒)加工及制品制造</t>
  </si>
  <si>
    <t>479</t>
  </si>
  <si>
    <t>379.83</t>
  </si>
  <si>
    <t>58.44</t>
  </si>
  <si>
    <t>98.05</t>
  </si>
  <si>
    <t>29.88</t>
  </si>
  <si>
    <t>274.03</t>
  </si>
  <si>
    <t>86.89</t>
  </si>
  <si>
    <t>91.89</t>
  </si>
  <si>
    <t>41.94</t>
  </si>
  <si>
    <t>234.90</t>
  </si>
  <si>
    <t>199.09</t>
  </si>
  <si>
    <t>53.86</t>
  </si>
  <si>
    <t>143.45</t>
  </si>
  <si>
    <t>72.10</t>
  </si>
  <si>
    <t xml:space="preserve">    羽毛(绒)加工</t>
  </si>
  <si>
    <t>265</t>
  </si>
  <si>
    <t>193.45</t>
  </si>
  <si>
    <t>29.82</t>
  </si>
  <si>
    <t>47.02</t>
  </si>
  <si>
    <t>12.16</t>
  </si>
  <si>
    <t>138.32</t>
  </si>
  <si>
    <t>43.19</t>
  </si>
  <si>
    <t>49.89</t>
  </si>
  <si>
    <t>120.21</t>
  </si>
  <si>
    <t>102.45</t>
  </si>
  <si>
    <t>23.71</t>
  </si>
  <si>
    <t>72.21</t>
  </si>
  <si>
    <t>33.98</t>
  </si>
  <si>
    <t xml:space="preserve">    羽毛(绒)制品加工</t>
  </si>
  <si>
    <t>214</t>
  </si>
  <si>
    <t>186.38</t>
  </si>
  <si>
    <t>28.61</t>
  </si>
  <si>
    <t>51.03</t>
  </si>
  <si>
    <t>17.72</t>
  </si>
  <si>
    <t>43.69</t>
  </si>
  <si>
    <t>42.00</t>
  </si>
  <si>
    <t>16.41</t>
  </si>
  <si>
    <t>96.64</t>
  </si>
  <si>
    <t>30.15</t>
  </si>
  <si>
    <t>71.25</t>
  </si>
  <si>
    <t>38.12</t>
  </si>
  <si>
    <t xml:space="preserve">  制鞋业</t>
  </si>
  <si>
    <t>4260</t>
  </si>
  <si>
    <t>3504.86</t>
  </si>
  <si>
    <t>709.19</t>
  </si>
  <si>
    <t>1518.41</t>
  </si>
  <si>
    <t>688.05</t>
  </si>
  <si>
    <t>2100.15</t>
  </si>
  <si>
    <t>658.26</t>
  </si>
  <si>
    <t>435.23</t>
  </si>
  <si>
    <t>221.19</t>
  </si>
  <si>
    <t>1664.48</t>
  </si>
  <si>
    <t>1352.33</t>
  </si>
  <si>
    <t>411.83</t>
  </si>
  <si>
    <t>1813.58</t>
  </si>
  <si>
    <t>686.34</t>
  </si>
  <si>
    <t>4.14</t>
  </si>
  <si>
    <t>3.96</t>
  </si>
  <si>
    <t xml:space="preserve">    纺织面料鞋制造</t>
  </si>
  <si>
    <t>626</t>
  </si>
  <si>
    <t>556.14</t>
  </si>
  <si>
    <t>193.67</t>
  </si>
  <si>
    <t>319.82</t>
  </si>
  <si>
    <t>107.59</t>
  </si>
  <si>
    <t>213.62</t>
  </si>
  <si>
    <t>58.07</t>
  </si>
  <si>
    <t>56.26</t>
  </si>
  <si>
    <t>25.60</t>
  </si>
  <si>
    <t>161.77</t>
  </si>
  <si>
    <t>51.55</t>
  </si>
  <si>
    <t>306.92</t>
  </si>
  <si>
    <t>128.83</t>
  </si>
  <si>
    <t xml:space="preserve">    皮鞋制造</t>
  </si>
  <si>
    <t>2188</t>
  </si>
  <si>
    <t>2163.32</t>
  </si>
  <si>
    <t>339.92</t>
  </si>
  <si>
    <t>715.53</t>
  </si>
  <si>
    <t>309.32</t>
  </si>
  <si>
    <t>1401.31</t>
  </si>
  <si>
    <t>455.34</t>
  </si>
  <si>
    <t>265.89</t>
  </si>
  <si>
    <t>1024.07</t>
  </si>
  <si>
    <t>880.00</t>
  </si>
  <si>
    <t>259.63</t>
  </si>
  <si>
    <t>1118.56</t>
  </si>
  <si>
    <t>380.73</t>
  </si>
  <si>
    <t>1.42</t>
  </si>
  <si>
    <t xml:space="preserve">    塑料鞋制造</t>
  </si>
  <si>
    <t>546</t>
  </si>
  <si>
    <t>205.68</t>
  </si>
  <si>
    <t>41.01</t>
  </si>
  <si>
    <t>194.07</t>
  </si>
  <si>
    <t>132.78</t>
  </si>
  <si>
    <t>33.59</t>
  </si>
  <si>
    <t>15.88</t>
  </si>
  <si>
    <t>107.89</t>
  </si>
  <si>
    <t>80.39</t>
  </si>
  <si>
    <t>18.73</t>
  </si>
  <si>
    <t>97.25</t>
  </si>
  <si>
    <t>53.16</t>
  </si>
  <si>
    <t>0.03</t>
  </si>
  <si>
    <t xml:space="preserve">    橡胶鞋制造</t>
  </si>
  <si>
    <t>476</t>
  </si>
  <si>
    <t>355.11</t>
  </si>
  <si>
    <t>80.33</t>
  </si>
  <si>
    <t>174.21</t>
  </si>
  <si>
    <t>82.10</t>
  </si>
  <si>
    <t>218.67</t>
  </si>
  <si>
    <t>55.46</t>
  </si>
  <si>
    <t>48.04</t>
  </si>
  <si>
    <t>25.38</t>
  </si>
  <si>
    <t>176.62</t>
  </si>
  <si>
    <t>141.45</t>
  </si>
  <si>
    <t>47.07</t>
  </si>
  <si>
    <t>176.64</t>
  </si>
  <si>
    <t>2.35</t>
  </si>
  <si>
    <t xml:space="preserve">    其他制鞋业</t>
  </si>
  <si>
    <t>424</t>
  </si>
  <si>
    <t>224.60</t>
  </si>
  <si>
    <t>54.25</t>
  </si>
  <si>
    <t>114.78</t>
  </si>
  <si>
    <t>48.54</t>
  </si>
  <si>
    <t>133.77</t>
  </si>
  <si>
    <t>55.80</t>
  </si>
  <si>
    <t>25.62</t>
  </si>
  <si>
    <t>108.79</t>
  </si>
  <si>
    <t>88.72</t>
  </si>
  <si>
    <t>114.21</t>
  </si>
  <si>
    <t>56.70</t>
  </si>
  <si>
    <t>0.33</t>
  </si>
  <si>
    <t>木材加工和木、竹、藤、棕、草制品业</t>
  </si>
  <si>
    <t>9887</t>
  </si>
  <si>
    <t>5158.26</t>
  </si>
  <si>
    <t>1139.34</t>
  </si>
  <si>
    <t>2360.19</t>
  </si>
  <si>
    <t>1005.15</t>
  </si>
  <si>
    <t>3035.28</t>
  </si>
  <si>
    <t>843.08</t>
  </si>
  <si>
    <t>783.22</t>
  </si>
  <si>
    <t>380.31</t>
  </si>
  <si>
    <t>2857.54</t>
  </si>
  <si>
    <t>2288.30</t>
  </si>
  <si>
    <t>595.93</t>
  </si>
  <si>
    <t>2262.53</t>
  </si>
  <si>
    <t>1153.06</t>
  </si>
  <si>
    <t>49.40</t>
  </si>
  <si>
    <t>23.68</t>
  </si>
  <si>
    <t xml:space="preserve">  木材加工</t>
  </si>
  <si>
    <t>2098</t>
  </si>
  <si>
    <t>742.85</t>
  </si>
  <si>
    <t>138.34</t>
  </si>
  <si>
    <t>257.13</t>
  </si>
  <si>
    <t>91.09</t>
  </si>
  <si>
    <t>446.30</t>
  </si>
  <si>
    <t>121.46</t>
  </si>
  <si>
    <t>120.93</t>
  </si>
  <si>
    <t>58.32</t>
  </si>
  <si>
    <t>386.74</t>
  </si>
  <si>
    <t>307.22</t>
  </si>
  <si>
    <t>76.34</t>
  </si>
  <si>
    <t>349.39</t>
  </si>
  <si>
    <t>188.41</t>
  </si>
  <si>
    <t>16.10</t>
  </si>
  <si>
    <t>1.97</t>
  </si>
  <si>
    <t xml:space="preserve">    锯材加工</t>
  </si>
  <si>
    <t>828</t>
  </si>
  <si>
    <t>286.99</t>
  </si>
  <si>
    <t>50.09</t>
  </si>
  <si>
    <t>102.04</t>
  </si>
  <si>
    <t>41.24</t>
  </si>
  <si>
    <t>170.29</t>
  </si>
  <si>
    <t>39.85</t>
  </si>
  <si>
    <t>48.93</t>
  </si>
  <si>
    <t>23.51</t>
  </si>
  <si>
    <t>142.64</t>
  </si>
  <si>
    <t>119.04</t>
  </si>
  <si>
    <t>142.10</t>
  </si>
  <si>
    <t>73.04</t>
  </si>
  <si>
    <t xml:space="preserve">    木片加工</t>
  </si>
  <si>
    <t>477</t>
  </si>
  <si>
    <t>166.24</t>
  </si>
  <si>
    <t>33.06</t>
  </si>
  <si>
    <t>60.64</t>
  </si>
  <si>
    <t>18.89</t>
  </si>
  <si>
    <t>81.61</t>
  </si>
  <si>
    <t>24.98</t>
  </si>
  <si>
    <t>13.47</t>
  </si>
  <si>
    <t>84.48</t>
  </si>
  <si>
    <t>72.33</t>
  </si>
  <si>
    <t>16.87</t>
  </si>
  <si>
    <t>41.29</t>
  </si>
  <si>
    <t>0.70</t>
  </si>
  <si>
    <t xml:space="preserve">    单板加工</t>
  </si>
  <si>
    <t>197.44</t>
  </si>
  <si>
    <t>60.95</t>
  </si>
  <si>
    <t>20.56</t>
  </si>
  <si>
    <t>134.15</t>
  </si>
  <si>
    <t>34.91</t>
  </si>
  <si>
    <t>28.69</t>
  </si>
  <si>
    <t>110.02</t>
  </si>
  <si>
    <t>74.48</t>
  </si>
  <si>
    <t>17.67</t>
  </si>
  <si>
    <t>85.57</t>
  </si>
  <si>
    <t>46.65</t>
  </si>
  <si>
    <t>0.09</t>
  </si>
  <si>
    <t xml:space="preserve">    其他木材加工</t>
  </si>
  <si>
    <t>321</t>
  </si>
  <si>
    <t>92.19</t>
  </si>
  <si>
    <t>20.27</t>
  </si>
  <si>
    <t>33.50</t>
  </si>
  <si>
    <t>10.40</t>
  </si>
  <si>
    <t>60.24</t>
  </si>
  <si>
    <t>18.34</t>
  </si>
  <si>
    <t>7.65</t>
  </si>
  <si>
    <t>49.60</t>
  </si>
  <si>
    <t>41.36</t>
  </si>
  <si>
    <t>14.58</t>
  </si>
  <si>
    <t>42.29</t>
  </si>
  <si>
    <t>27.42</t>
  </si>
  <si>
    <t xml:space="preserve">  人造板制造</t>
  </si>
  <si>
    <t>5020</t>
  </si>
  <si>
    <t>2722.63</t>
  </si>
  <si>
    <t>655.18</t>
  </si>
  <si>
    <t>1369.15</t>
  </si>
  <si>
    <t>581.19</t>
  </si>
  <si>
    <t>1536.11</t>
  </si>
  <si>
    <t>400.55</t>
  </si>
  <si>
    <t>380.84</t>
  </si>
  <si>
    <t>184.25</t>
  </si>
  <si>
    <t>1524.81</t>
  </si>
  <si>
    <t>1203.92</t>
  </si>
  <si>
    <t>305.23</t>
  </si>
  <si>
    <t>1176.45</t>
  </si>
  <si>
    <t>597.46</t>
  </si>
  <si>
    <t>24.80</t>
  </si>
  <si>
    <t>18.15</t>
  </si>
  <si>
    <t xml:space="preserve">    胶合板制造</t>
  </si>
  <si>
    <t>3910</t>
  </si>
  <si>
    <t>1299.51</t>
  </si>
  <si>
    <t>255.94</t>
  </si>
  <si>
    <t>550.09</t>
  </si>
  <si>
    <t>830.88</t>
  </si>
  <si>
    <t>281.24</t>
  </si>
  <si>
    <t>198.86</t>
  </si>
  <si>
    <t>93.75</t>
  </si>
  <si>
    <t>752.72</t>
  </si>
  <si>
    <t>592.74</t>
  </si>
  <si>
    <t>192.26</t>
  </si>
  <si>
    <t>536.92</t>
  </si>
  <si>
    <t>233.94</t>
  </si>
  <si>
    <t>3.14</t>
  </si>
  <si>
    <t>4.05</t>
  </si>
  <si>
    <t xml:space="preserve">    纤维板制造</t>
  </si>
  <si>
    <t>415</t>
  </si>
  <si>
    <t>794.38</t>
  </si>
  <si>
    <t>227.71</t>
  </si>
  <si>
    <t>506.43</t>
  </si>
  <si>
    <t>229.21</t>
  </si>
  <si>
    <t>400.53</t>
  </si>
  <si>
    <t>55.70</t>
  </si>
  <si>
    <t>53.55</t>
  </si>
  <si>
    <t>445.06</t>
  </si>
  <si>
    <t>346.39</t>
  </si>
  <si>
    <t>339.21</t>
  </si>
  <si>
    <t>181.49</t>
  </si>
  <si>
    <t>13.70</t>
  </si>
  <si>
    <t>12.62</t>
  </si>
  <si>
    <t xml:space="preserve">    刨花板制造</t>
  </si>
  <si>
    <t>336.24</t>
  </si>
  <si>
    <t>107.37</t>
  </si>
  <si>
    <t>165.11</t>
  </si>
  <si>
    <t>53.49</t>
  </si>
  <si>
    <t>143.41</t>
  </si>
  <si>
    <t>20.25</t>
  </si>
  <si>
    <t>32.15</t>
  </si>
  <si>
    <t>16.91</t>
  </si>
  <si>
    <t>189.59</t>
  </si>
  <si>
    <t>154.40</t>
  </si>
  <si>
    <t>20.38</t>
  </si>
  <si>
    <t>146.69</t>
  </si>
  <si>
    <t>93.62</t>
  </si>
  <si>
    <t>7.07</t>
  </si>
  <si>
    <t xml:space="preserve">    其他人造板制造</t>
  </si>
  <si>
    <t>495</t>
  </si>
  <si>
    <t>292.50</t>
  </si>
  <si>
    <t>64.15</t>
  </si>
  <si>
    <t>147.53</t>
  </si>
  <si>
    <t>73.90</t>
  </si>
  <si>
    <t>161.29</t>
  </si>
  <si>
    <t>43.35</t>
  </si>
  <si>
    <t>44.53</t>
  </si>
  <si>
    <t>20.04</t>
  </si>
  <si>
    <t>137.43</t>
  </si>
  <si>
    <t>110.39</t>
  </si>
  <si>
    <t>32.07</t>
  </si>
  <si>
    <t>153.63</t>
  </si>
  <si>
    <t>88.41</t>
  </si>
  <si>
    <t>0.90</t>
  </si>
  <si>
    <t>1.16</t>
  </si>
  <si>
    <t xml:space="preserve">2-1 续表5
</t>
  </si>
  <si>
    <t xml:space="preserve">  木质制品制造</t>
  </si>
  <si>
    <t>2027</t>
  </si>
  <si>
    <t>1404.76</t>
  </si>
  <si>
    <t>272.83</t>
  </si>
  <si>
    <t>555.33</t>
  </si>
  <si>
    <t>247.65</t>
  </si>
  <si>
    <t>910.66</t>
  </si>
  <si>
    <t>279.54</t>
  </si>
  <si>
    <t>237.25</t>
  </si>
  <si>
    <t>113.74</t>
  </si>
  <si>
    <t>815.32</t>
  </si>
  <si>
    <t>669.18</t>
  </si>
  <si>
    <t>182.51</t>
  </si>
  <si>
    <t>585.51</t>
  </si>
  <si>
    <t>304.73</t>
  </si>
  <si>
    <t>8.24</t>
  </si>
  <si>
    <t xml:space="preserve">    建筑用木料及木材组件加工</t>
  </si>
  <si>
    <t>347</t>
  </si>
  <si>
    <t>165.61</t>
  </si>
  <si>
    <t>36.06</t>
  </si>
  <si>
    <t>29.19</t>
  </si>
  <si>
    <t>108.69</t>
  </si>
  <si>
    <t>31.42</t>
  </si>
  <si>
    <t>31.98</t>
  </si>
  <si>
    <t>15.89</t>
  </si>
  <si>
    <t>97.85</t>
  </si>
  <si>
    <t>72.73</t>
  </si>
  <si>
    <t>66.07</t>
  </si>
  <si>
    <t>41.70</t>
  </si>
  <si>
    <t xml:space="preserve">    木门窗制造</t>
  </si>
  <si>
    <t>493</t>
  </si>
  <si>
    <t>423.10</t>
  </si>
  <si>
    <t>97.91</t>
  </si>
  <si>
    <t>192.42</t>
  </si>
  <si>
    <t>82.15</t>
  </si>
  <si>
    <t>259.09</t>
  </si>
  <si>
    <t>85.07</t>
  </si>
  <si>
    <t>54.62</t>
  </si>
  <si>
    <t>21.47</t>
  </si>
  <si>
    <t>251.37</t>
  </si>
  <si>
    <t>201.58</t>
  </si>
  <si>
    <t>57.51</t>
  </si>
  <si>
    <t>171.26</t>
  </si>
  <si>
    <t>82.62</t>
  </si>
  <si>
    <t xml:space="preserve">    木楼梯制造</t>
  </si>
  <si>
    <t>33</t>
  </si>
  <si>
    <t>15.46</t>
  </si>
  <si>
    <t>3.52</t>
  </si>
  <si>
    <t>7.68</t>
  </si>
  <si>
    <t>9.69</t>
  </si>
  <si>
    <t>4.07</t>
  </si>
  <si>
    <t>8.47</t>
  </si>
  <si>
    <t>2.87</t>
  </si>
  <si>
    <t>6.99</t>
  </si>
  <si>
    <t>3.26</t>
  </si>
  <si>
    <t xml:space="preserve">    木地板制造</t>
  </si>
  <si>
    <t>416</t>
  </si>
  <si>
    <t>443.61</t>
  </si>
  <si>
    <t>68.17</t>
  </si>
  <si>
    <t>138.71</t>
  </si>
  <si>
    <t>63.97</t>
  </si>
  <si>
    <t>302.88</t>
  </si>
  <si>
    <t>85.32</t>
  </si>
  <si>
    <t>39.60</t>
  </si>
  <si>
    <t>257.68</t>
  </si>
  <si>
    <t>211.89</t>
  </si>
  <si>
    <t>59.28</t>
  </si>
  <si>
    <t>184.89</t>
  </si>
  <si>
    <t>92.81</t>
  </si>
  <si>
    <t>1.44</t>
  </si>
  <si>
    <t xml:space="preserve">    木制容器制造</t>
  </si>
  <si>
    <t>299</t>
  </si>
  <si>
    <t>166.95</t>
  </si>
  <si>
    <t>21.13</t>
  </si>
  <si>
    <t>46.83</t>
  </si>
  <si>
    <t>23.44</t>
  </si>
  <si>
    <t>117.79</t>
  </si>
  <si>
    <t>36.67</t>
  </si>
  <si>
    <t>25.66</t>
  </si>
  <si>
    <t>16.18</t>
  </si>
  <si>
    <t>102.49</t>
  </si>
  <si>
    <t>94.04</t>
  </si>
  <si>
    <t>20.41</t>
  </si>
  <si>
    <t>63.95</t>
  </si>
  <si>
    <t>38.20</t>
  </si>
  <si>
    <t>0.91</t>
  </si>
  <si>
    <t xml:space="preserve">    软木制品及其他木制品制造</t>
  </si>
  <si>
    <t>190.03</t>
  </si>
  <si>
    <t>46.03</t>
  </si>
  <si>
    <t>98.44</t>
  </si>
  <si>
    <t>45.96</t>
  </si>
  <si>
    <t>112.52</t>
  </si>
  <si>
    <t>37.67</t>
  </si>
  <si>
    <t>19.77</t>
  </si>
  <si>
    <t>97.45</t>
  </si>
  <si>
    <t>82.13</t>
  </si>
  <si>
    <t>23.99</t>
  </si>
  <si>
    <t>92.35</t>
  </si>
  <si>
    <t>46.14</t>
  </si>
  <si>
    <t xml:space="preserve">  竹、藤、棕、草等制品制造</t>
  </si>
  <si>
    <t>742</t>
  </si>
  <si>
    <t>288.02</t>
  </si>
  <si>
    <t>72.99</t>
  </si>
  <si>
    <t>178.59</t>
  </si>
  <si>
    <t>85.21</t>
  </si>
  <si>
    <t>142.22</t>
  </si>
  <si>
    <t>41.52</t>
  </si>
  <si>
    <t>44.19</t>
  </si>
  <si>
    <t>24.01</t>
  </si>
  <si>
    <t>130.67</t>
  </si>
  <si>
    <t>107.98</t>
  </si>
  <si>
    <t>31.85</t>
  </si>
  <si>
    <t>151.18</t>
  </si>
  <si>
    <t>62.47</t>
  </si>
  <si>
    <t>0.13</t>
  </si>
  <si>
    <t xml:space="preserve">    竹制品制造</t>
  </si>
  <si>
    <t>629</t>
  </si>
  <si>
    <t>251.22</t>
  </si>
  <si>
    <t>63.26</t>
  </si>
  <si>
    <t>158.71</t>
  </si>
  <si>
    <t>79.19</t>
  </si>
  <si>
    <t>123.85</t>
  </si>
  <si>
    <t>36.00</t>
  </si>
  <si>
    <t>92.38</t>
  </si>
  <si>
    <t>27.79</t>
  </si>
  <si>
    <t>135.45</t>
  </si>
  <si>
    <t>56.58</t>
  </si>
  <si>
    <t xml:space="preserve">    藤制品制造</t>
  </si>
  <si>
    <t>7.79</t>
  </si>
  <si>
    <t>1.73</t>
  </si>
  <si>
    <t>0.96</t>
  </si>
  <si>
    <t>4.19</t>
  </si>
  <si>
    <t>0.92</t>
  </si>
  <si>
    <t>3.43</t>
  </si>
  <si>
    <t>2.92</t>
  </si>
  <si>
    <t>1.38</t>
  </si>
  <si>
    <t>4.35</t>
  </si>
  <si>
    <t>1.21</t>
  </si>
  <si>
    <t xml:space="preserve">    棕制品制造</t>
  </si>
  <si>
    <t>7.72</t>
  </si>
  <si>
    <t>1.57</t>
  </si>
  <si>
    <t>4.75</t>
  </si>
  <si>
    <t>2.81</t>
  </si>
  <si>
    <t>1.87</t>
  </si>
  <si>
    <t xml:space="preserve">    草及其他制品制造</t>
  </si>
  <si>
    <t>6.43</t>
  </si>
  <si>
    <t>12.08</t>
  </si>
  <si>
    <t>4.29</t>
  </si>
  <si>
    <t>12.91</t>
  </si>
  <si>
    <t>10.81</t>
  </si>
  <si>
    <t>2.16</t>
  </si>
  <si>
    <t>8.32</t>
  </si>
  <si>
    <t>家具制造业</t>
  </si>
  <si>
    <t>6531</t>
  </si>
  <si>
    <t>6320.73</t>
  </si>
  <si>
    <t>1244.25</t>
  </si>
  <si>
    <t>2137.43</t>
  </si>
  <si>
    <t>780.79</t>
  </si>
  <si>
    <t>3873.95</t>
  </si>
  <si>
    <t>1033.79</t>
  </si>
  <si>
    <t>846.04</t>
  </si>
  <si>
    <t>342.22</t>
  </si>
  <si>
    <t>3576.65</t>
  </si>
  <si>
    <t>3118.79</t>
  </si>
  <si>
    <t>950.48</t>
  </si>
  <si>
    <t>2725.54</t>
  </si>
  <si>
    <t>1263.78</t>
  </si>
  <si>
    <t>9.64</t>
  </si>
  <si>
    <t>7.55</t>
  </si>
  <si>
    <t xml:space="preserve">  木质家具制造</t>
  </si>
  <si>
    <t>4114</t>
  </si>
  <si>
    <t>3801.40</t>
  </si>
  <si>
    <t>748.23</t>
  </si>
  <si>
    <t>1289.27</t>
  </si>
  <si>
    <t>468.06</t>
  </si>
  <si>
    <t>2300.85</t>
  </si>
  <si>
    <t>564.92</t>
  </si>
  <si>
    <t>537.42</t>
  </si>
  <si>
    <t>223.80</t>
  </si>
  <si>
    <t>2175.48</t>
  </si>
  <si>
    <t>1878.82</t>
  </si>
  <si>
    <t>512.60</t>
  </si>
  <si>
    <t>1615.10</t>
  </si>
  <si>
    <t>739.46</t>
  </si>
  <si>
    <t>5.85</t>
  </si>
  <si>
    <t>6.47</t>
  </si>
  <si>
    <t xml:space="preserve">  竹、藤家具制造</t>
  </si>
  <si>
    <t>64.86</t>
  </si>
  <si>
    <t>22.78</t>
  </si>
  <si>
    <t>33.04</t>
  </si>
  <si>
    <t>8.92</t>
  </si>
  <si>
    <t>27.11</t>
  </si>
  <si>
    <t>4.71</t>
  </si>
  <si>
    <t>9.78</t>
  </si>
  <si>
    <t>21.72</t>
  </si>
  <si>
    <t>8.06</t>
  </si>
  <si>
    <t>35.58</t>
  </si>
  <si>
    <t>17.11</t>
  </si>
  <si>
    <t xml:space="preserve">  金属家具制造</t>
  </si>
  <si>
    <t>1144</t>
  </si>
  <si>
    <t>1299.20</t>
  </si>
  <si>
    <t>250.79</t>
  </si>
  <si>
    <t>452.74</t>
  </si>
  <si>
    <t>184.71</t>
  </si>
  <si>
    <t>867.83</t>
  </si>
  <si>
    <t>260.87</t>
  </si>
  <si>
    <t>155.95</t>
  </si>
  <si>
    <t>55.79</t>
  </si>
  <si>
    <t>722.06</t>
  </si>
  <si>
    <t>679.19</t>
  </si>
  <si>
    <t>252.61</t>
  </si>
  <si>
    <t>570.33</t>
  </si>
  <si>
    <t>294.29</t>
  </si>
  <si>
    <t xml:space="preserve">  塑料家具制造</t>
  </si>
  <si>
    <t>78.78</t>
  </si>
  <si>
    <t>20.46</t>
  </si>
  <si>
    <t>12.38</t>
  </si>
  <si>
    <t>11.95</t>
  </si>
  <si>
    <t>12.65</t>
  </si>
  <si>
    <t>4.82</t>
  </si>
  <si>
    <t>36.92</t>
  </si>
  <si>
    <t>31.11</t>
  </si>
  <si>
    <t>9.86</t>
  </si>
  <si>
    <t>41.86</t>
  </si>
  <si>
    <t>21.94</t>
  </si>
  <si>
    <t xml:space="preserve">  其他家具制造</t>
  </si>
  <si>
    <t>1057</t>
  </si>
  <si>
    <t>1076.50</t>
  </si>
  <si>
    <t>201.99</t>
  </si>
  <si>
    <t>328.78</t>
  </si>
  <si>
    <t>634.82</t>
  </si>
  <si>
    <t>191.33</t>
  </si>
  <si>
    <t>130.24</t>
  </si>
  <si>
    <t>54.17</t>
  </si>
  <si>
    <t>613.28</t>
  </si>
  <si>
    <t>507.96</t>
  </si>
  <si>
    <t>167.35</t>
  </si>
  <si>
    <t>462.66</t>
  </si>
  <si>
    <t>190.97</t>
  </si>
  <si>
    <t>0.44</t>
  </si>
  <si>
    <t>0.39</t>
  </si>
  <si>
    <t>造纸和纸制品业</t>
  </si>
  <si>
    <t>6656</t>
  </si>
  <si>
    <t>15107.37</t>
  </si>
  <si>
    <t>4671.57</t>
  </si>
  <si>
    <t>8569.45</t>
  </si>
  <si>
    <t>3682.19</t>
  </si>
  <si>
    <t>7636.80</t>
  </si>
  <si>
    <t>1849.54</t>
  </si>
  <si>
    <t>1413.62</t>
  </si>
  <si>
    <t>529.44</t>
  </si>
  <si>
    <t>8769.83</t>
  </si>
  <si>
    <t>7163.99</t>
  </si>
  <si>
    <t>1581.23</t>
  </si>
  <si>
    <t>6317.09</t>
  </si>
  <si>
    <t>3705.86</t>
  </si>
  <si>
    <t>197.50</t>
  </si>
  <si>
    <t>57.44</t>
  </si>
  <si>
    <t xml:space="preserve">  纸浆制造</t>
  </si>
  <si>
    <t>43</t>
  </si>
  <si>
    <t>367.75</t>
  </si>
  <si>
    <t>181.70</t>
  </si>
  <si>
    <t>301.53</t>
  </si>
  <si>
    <t>109.40</t>
  </si>
  <si>
    <t>126.41</t>
  </si>
  <si>
    <t>31.12</t>
  </si>
  <si>
    <t>25.81</t>
  </si>
  <si>
    <t>5.69</t>
  </si>
  <si>
    <t>265.14</t>
  </si>
  <si>
    <t>213.16</t>
  </si>
  <si>
    <t>49.80</t>
  </si>
  <si>
    <t>101.56</t>
  </si>
  <si>
    <t>126.03</t>
  </si>
  <si>
    <t xml:space="preserve">    木竹浆制造</t>
  </si>
  <si>
    <t>322.37</t>
  </si>
  <si>
    <t>157.09</t>
  </si>
  <si>
    <t>264.91</t>
  </si>
  <si>
    <t>109.68</t>
  </si>
  <si>
    <t>24.32</t>
  </si>
  <si>
    <t>5.59</t>
  </si>
  <si>
    <t>222.58</t>
  </si>
  <si>
    <t>173.38</t>
  </si>
  <si>
    <t>44.26</t>
  </si>
  <si>
    <t>98.74</t>
  </si>
  <si>
    <t>113.15</t>
  </si>
  <si>
    <t>16.86</t>
  </si>
  <si>
    <t xml:space="preserve">    非木竹浆制造</t>
  </si>
  <si>
    <t>24.62</t>
  </si>
  <si>
    <t>36.62</t>
  </si>
  <si>
    <t>12.01</t>
  </si>
  <si>
    <t>16.73</t>
  </si>
  <si>
    <t>4.38</t>
  </si>
  <si>
    <t>42.56</t>
  </si>
  <si>
    <t>5.55</t>
  </si>
  <si>
    <t>12.89</t>
  </si>
  <si>
    <t>0.86</t>
  </si>
  <si>
    <t>2.00</t>
  </si>
  <si>
    <t xml:space="preserve">  造纸</t>
  </si>
  <si>
    <t>2385</t>
  </si>
  <si>
    <t>10242.21</t>
  </si>
  <si>
    <t>3348.07</t>
  </si>
  <si>
    <t>6121.45</t>
  </si>
  <si>
    <t>2646.48</t>
  </si>
  <si>
    <t>4820.79</t>
  </si>
  <si>
    <t>929.85</t>
  </si>
  <si>
    <t>817.29</t>
  </si>
  <si>
    <t>316.55</t>
  </si>
  <si>
    <t>6060.09</t>
  </si>
  <si>
    <t>4856.46</t>
  </si>
  <si>
    <t>915.77</t>
  </si>
  <si>
    <t>4179.34</t>
  </si>
  <si>
    <t>2590.92</t>
  </si>
  <si>
    <t>172.05</t>
  </si>
  <si>
    <t xml:space="preserve">    机制纸及纸板制造</t>
  </si>
  <si>
    <t>1998</t>
  </si>
  <si>
    <t>9782.48</t>
  </si>
  <si>
    <t>3217.85</t>
  </si>
  <si>
    <t>5908.51</t>
  </si>
  <si>
    <t>2569.48</t>
  </si>
  <si>
    <t>4551.47</t>
  </si>
  <si>
    <t>864.02</t>
  </si>
  <si>
    <t>754.06</t>
  </si>
  <si>
    <t>287.42</t>
  </si>
  <si>
    <t>5809.79</t>
  </si>
  <si>
    <t>4641.91</t>
  </si>
  <si>
    <t>857.74</t>
  </si>
  <si>
    <t>3970.91</t>
  </si>
  <si>
    <t>2480.42</t>
  </si>
  <si>
    <t>162.27</t>
  </si>
  <si>
    <t>37.54</t>
  </si>
  <si>
    <t xml:space="preserve">    手工纸制造</t>
  </si>
  <si>
    <t>64.82</t>
  </si>
  <si>
    <t>23.77</t>
  </si>
  <si>
    <t>13.83</t>
  </si>
  <si>
    <t>37.39</t>
  </si>
  <si>
    <t>10.52</t>
  </si>
  <si>
    <t>6.20</t>
  </si>
  <si>
    <t>31.53</t>
  </si>
  <si>
    <t>25.59</t>
  </si>
  <si>
    <t>4.68</t>
  </si>
  <si>
    <t>32.48</t>
  </si>
  <si>
    <t>20.21</t>
  </si>
  <si>
    <t>0.82</t>
  </si>
  <si>
    <t xml:space="preserve">    加工纸制造</t>
  </si>
  <si>
    <t>329</t>
  </si>
  <si>
    <t>394.91</t>
  </si>
  <si>
    <t>106.44</t>
  </si>
  <si>
    <t>63.17</t>
  </si>
  <si>
    <t>231.92</t>
  </si>
  <si>
    <t>57.88</t>
  </si>
  <si>
    <t>52.72</t>
  </si>
  <si>
    <t>22.93</t>
  </si>
  <si>
    <t>218.77</t>
  </si>
  <si>
    <t>188.96</t>
  </si>
  <si>
    <t>53.35</t>
  </si>
  <si>
    <t>175.94</t>
  </si>
  <si>
    <t>90.29</t>
  </si>
  <si>
    <t>8.96</t>
  </si>
  <si>
    <t>1.48</t>
  </si>
  <si>
    <t xml:space="preserve">  纸制品制造</t>
  </si>
  <si>
    <t>4228</t>
  </si>
  <si>
    <t>4497.41</t>
  </si>
  <si>
    <t>1141.80</t>
  </si>
  <si>
    <t>2146.47</t>
  </si>
  <si>
    <t>926.31</t>
  </si>
  <si>
    <t>2689.60</t>
  </si>
  <si>
    <t>888.58</t>
  </si>
  <si>
    <t>570.52</t>
  </si>
  <si>
    <t>207.21</t>
  </si>
  <si>
    <t>2444.60</t>
  </si>
  <si>
    <t>2094.36</t>
  </si>
  <si>
    <t>615.66</t>
  </si>
  <si>
    <t>2036.18</t>
  </si>
  <si>
    <t>988.90</t>
  </si>
  <si>
    <t>7.74</t>
  </si>
  <si>
    <t>15.74</t>
  </si>
  <si>
    <t xml:space="preserve">    纸和纸板容器制造</t>
  </si>
  <si>
    <t>2477</t>
  </si>
  <si>
    <t>2076.95</t>
  </si>
  <si>
    <t>510.68</t>
  </si>
  <si>
    <t>1023.96</t>
  </si>
  <si>
    <t>480.41</t>
  </si>
  <si>
    <t>1214.48</t>
  </si>
  <si>
    <t>443.25</t>
  </si>
  <si>
    <t>84.37</t>
  </si>
  <si>
    <t>1153.70</t>
  </si>
  <si>
    <t>1004.49</t>
  </si>
  <si>
    <t>286.33</t>
  </si>
  <si>
    <t>915.96</t>
  </si>
  <si>
    <t>440.04</t>
  </si>
  <si>
    <t>3.29</t>
  </si>
  <si>
    <t xml:space="preserve">    其他纸制品制造</t>
  </si>
  <si>
    <t>1751</t>
  </si>
  <si>
    <t>2420.46</t>
  </si>
  <si>
    <t>631.13</t>
  </si>
  <si>
    <t>1122.50</t>
  </si>
  <si>
    <t>445.90</t>
  </si>
  <si>
    <t>1475.12</t>
  </si>
  <si>
    <t>445.34</t>
  </si>
  <si>
    <t>304.63</t>
  </si>
  <si>
    <t>122.84</t>
  </si>
  <si>
    <t>1290.91</t>
  </si>
  <si>
    <t>1089.87</t>
  </si>
  <si>
    <t>329.33</t>
  </si>
  <si>
    <t>1120.22</t>
  </si>
  <si>
    <t>548.86</t>
  </si>
  <si>
    <t>4.45</t>
  </si>
  <si>
    <t>10.93</t>
  </si>
  <si>
    <t>印刷和记录媒介复制业</t>
  </si>
  <si>
    <t>5887</t>
  </si>
  <si>
    <t>6381.16</t>
  </si>
  <si>
    <t>1546.02</t>
  </si>
  <si>
    <t>3438.00</t>
  </si>
  <si>
    <t>1781.77</t>
  </si>
  <si>
    <t>3602.21</t>
  </si>
  <si>
    <t>1094.24</t>
  </si>
  <si>
    <t>672.98</t>
  </si>
  <si>
    <t>269.55</t>
  </si>
  <si>
    <t>2924.28</t>
  </si>
  <si>
    <t>2437.51</t>
  </si>
  <si>
    <t>746.15</t>
  </si>
  <si>
    <t>3445.80</t>
  </si>
  <si>
    <t>1640.13</t>
  </si>
  <si>
    <t>145.90</t>
  </si>
  <si>
    <t xml:space="preserve">  印刷</t>
  </si>
  <si>
    <t>5736</t>
  </si>
  <si>
    <t>6117.90</t>
  </si>
  <si>
    <t>1496.72</t>
  </si>
  <si>
    <t>3322.96</t>
  </si>
  <si>
    <t>1716.98</t>
  </si>
  <si>
    <t>3444.24</t>
  </si>
  <si>
    <t>1041.10</t>
  </si>
  <si>
    <t>651.86</t>
  </si>
  <si>
    <t>261.27</t>
  </si>
  <si>
    <t>2810.39</t>
  </si>
  <si>
    <t>2346.14</t>
  </si>
  <si>
    <t>718.69</t>
  </si>
  <si>
    <t>3296.44</t>
  </si>
  <si>
    <t>1586.90</t>
  </si>
  <si>
    <t>145.19</t>
  </si>
  <si>
    <t>23.30</t>
  </si>
  <si>
    <t xml:space="preserve">    书、报刊印刷</t>
  </si>
  <si>
    <t>622</t>
  </si>
  <si>
    <t>747.78</t>
  </si>
  <si>
    <t>209.24</t>
  </si>
  <si>
    <t>536.45</t>
  </si>
  <si>
    <t>313.85</t>
  </si>
  <si>
    <t>409.92</t>
  </si>
  <si>
    <t>97.31</t>
  </si>
  <si>
    <t>71.14</t>
  </si>
  <si>
    <t>25.78</t>
  </si>
  <si>
    <t>362.52</t>
  </si>
  <si>
    <t>298.76</t>
  </si>
  <si>
    <t>79.40</t>
  </si>
  <si>
    <t>382.84</t>
  </si>
  <si>
    <t>313.55</t>
  </si>
  <si>
    <t>57.55</t>
  </si>
  <si>
    <t>2.50</t>
  </si>
  <si>
    <t xml:space="preserve">    本册印制</t>
  </si>
  <si>
    <t>188</t>
  </si>
  <si>
    <t>292.31</t>
  </si>
  <si>
    <t>85.00</t>
  </si>
  <si>
    <t>176.76</t>
  </si>
  <si>
    <t>90.27</t>
  </si>
  <si>
    <t>159.11</t>
  </si>
  <si>
    <t>53.64</t>
  </si>
  <si>
    <t>11.86</t>
  </si>
  <si>
    <t>160.28</t>
  </si>
  <si>
    <t>32.65</t>
  </si>
  <si>
    <t>131.94</t>
  </si>
  <si>
    <t>73.86</t>
  </si>
  <si>
    <t>1.23</t>
  </si>
  <si>
    <t xml:space="preserve">    包装装潢及其他印刷</t>
  </si>
  <si>
    <t>4926</t>
  </si>
  <si>
    <t>5077.81</t>
  </si>
  <si>
    <t>1202.48</t>
  </si>
  <si>
    <t>2609.75</t>
  </si>
  <si>
    <t>1312.86</t>
  </si>
  <si>
    <t>2875.21</t>
  </si>
  <si>
    <t>890.15</t>
  </si>
  <si>
    <t>554.25</t>
  </si>
  <si>
    <t>223.63</t>
  </si>
  <si>
    <t>2287.59</t>
  </si>
  <si>
    <t>1921.63</t>
  </si>
  <si>
    <t>606.64</t>
  </si>
  <si>
    <t>2781.66</t>
  </si>
  <si>
    <t>1199.49</t>
  </si>
  <si>
    <t>86.40</t>
  </si>
  <si>
    <t>20.17</t>
  </si>
  <si>
    <t xml:space="preserve">  装订及印刷相关服务</t>
  </si>
  <si>
    <t>229.82</t>
  </si>
  <si>
    <t>88.78</t>
  </si>
  <si>
    <t>47.12</t>
  </si>
  <si>
    <t>136.75</t>
  </si>
  <si>
    <t>18.23</t>
  </si>
  <si>
    <t>6.71</t>
  </si>
  <si>
    <t>104.88</t>
  </si>
  <si>
    <t>83.29</t>
  </si>
  <si>
    <t>25.29</t>
  </si>
  <si>
    <t>38.59</t>
  </si>
  <si>
    <t>0.71</t>
  </si>
  <si>
    <t>1.32</t>
  </si>
  <si>
    <t xml:space="preserve">  记录媒介复制</t>
  </si>
  <si>
    <t>33.43</t>
  </si>
  <si>
    <t>8.45</t>
  </si>
  <si>
    <t>26.27</t>
  </si>
  <si>
    <t>17.68</t>
  </si>
  <si>
    <t>21.23</t>
  </si>
  <si>
    <t>3.65</t>
  </si>
  <si>
    <t>2.89</t>
  </si>
  <si>
    <t>1.58</t>
  </si>
  <si>
    <t>9.02</t>
  </si>
  <si>
    <t>8.08</t>
  </si>
  <si>
    <t>24.42</t>
  </si>
  <si>
    <t>14.63</t>
  </si>
  <si>
    <t>文教、工美、体育和娱乐用品制造业</t>
  </si>
  <si>
    <t>8936</t>
  </si>
  <si>
    <t>8891.12</t>
  </si>
  <si>
    <t>1605.09</t>
  </si>
  <si>
    <t>3183.29</t>
  </si>
  <si>
    <t>1361.58</t>
  </si>
  <si>
    <t>5781.75</t>
  </si>
  <si>
    <t>1269.18</t>
  </si>
  <si>
    <t>2092.28</t>
  </si>
  <si>
    <t>1029.54</t>
  </si>
  <si>
    <t>4710.04</t>
  </si>
  <si>
    <t>3788.63</t>
  </si>
  <si>
    <t>1069.76</t>
  </si>
  <si>
    <t>4141.47</t>
  </si>
  <si>
    <t>1741.47</t>
  </si>
  <si>
    <t>19.15</t>
  </si>
  <si>
    <t>17.77</t>
  </si>
  <si>
    <t xml:space="preserve">  文教办公用品制造</t>
  </si>
  <si>
    <t>792</t>
  </si>
  <si>
    <t>825.69</t>
  </si>
  <si>
    <t>156.18</t>
  </si>
  <si>
    <t>297.77</t>
  </si>
  <si>
    <t>129.28</t>
  </si>
  <si>
    <t>515.36</t>
  </si>
  <si>
    <t>120.70</t>
  </si>
  <si>
    <t>126.09</t>
  </si>
  <si>
    <t>50.74</t>
  </si>
  <si>
    <t>436.56</t>
  </si>
  <si>
    <t>384.48</t>
  </si>
  <si>
    <t>121.17</t>
  </si>
  <si>
    <t>388.58</t>
  </si>
  <si>
    <t>167.13</t>
  </si>
  <si>
    <t>0.73</t>
  </si>
  <si>
    <t xml:space="preserve">    文具制造</t>
  </si>
  <si>
    <t>418</t>
  </si>
  <si>
    <t>541.10</t>
  </si>
  <si>
    <t>93.23</t>
  </si>
  <si>
    <t>178.73</t>
  </si>
  <si>
    <t>75.73</t>
  </si>
  <si>
    <t>346.62</t>
  </si>
  <si>
    <t>74.82</t>
  </si>
  <si>
    <t>80.66</t>
  </si>
  <si>
    <t>27.09</t>
  </si>
  <si>
    <t>292.47</t>
  </si>
  <si>
    <t>255.54</t>
  </si>
  <si>
    <t>84.35</t>
  </si>
  <si>
    <t>248.08</t>
  </si>
  <si>
    <t>81.71</t>
  </si>
  <si>
    <t xml:space="preserve">    笔的制造</t>
  </si>
  <si>
    <t>149.40</t>
  </si>
  <si>
    <t>40.42</t>
  </si>
  <si>
    <t>73.31</t>
  </si>
  <si>
    <t>30.91</t>
  </si>
  <si>
    <t>79.07</t>
  </si>
  <si>
    <t>18.92</t>
  </si>
  <si>
    <t>24.67</t>
  </si>
  <si>
    <t>12.10</t>
  </si>
  <si>
    <t>77.19</t>
  </si>
  <si>
    <t>68.71</t>
  </si>
  <si>
    <t>18.50</t>
  </si>
  <si>
    <t>48.25</t>
  </si>
  <si>
    <t>0.24</t>
  </si>
  <si>
    <t xml:space="preserve">    教学用模型及教具制造</t>
  </si>
  <si>
    <t>48.45</t>
  </si>
  <si>
    <t>8.74</t>
  </si>
  <si>
    <t>16.29</t>
  </si>
  <si>
    <t>32.59</t>
  </si>
  <si>
    <t>8.30</t>
  </si>
  <si>
    <t>7.60</t>
  </si>
  <si>
    <t>4.32</t>
  </si>
  <si>
    <t>26.17</t>
  </si>
  <si>
    <t>23.20</t>
  </si>
  <si>
    <t>4.94</t>
  </si>
  <si>
    <t>22.29</t>
  </si>
  <si>
    <t>11.55</t>
  </si>
  <si>
    <t xml:space="preserve">2-1 续表6
</t>
  </si>
  <si>
    <t xml:space="preserve">    墨水、墨汁制造</t>
  </si>
  <si>
    <t>21</t>
  </si>
  <si>
    <t>15.79</t>
  </si>
  <si>
    <t>3.90</t>
  </si>
  <si>
    <t>1.78</t>
  </si>
  <si>
    <t>8.70</t>
  </si>
  <si>
    <t>2.29</t>
  </si>
  <si>
    <t>2.63</t>
  </si>
  <si>
    <t>1.28</t>
  </si>
  <si>
    <t>1.15</t>
  </si>
  <si>
    <t>11.31</t>
  </si>
  <si>
    <t>3.82</t>
  </si>
  <si>
    <t xml:space="preserve">    其他文教办公用品制造</t>
  </si>
  <si>
    <t>67</t>
  </si>
  <si>
    <t>11.67</t>
  </si>
  <si>
    <t>25.54</t>
  </si>
  <si>
    <t>13.77</t>
  </si>
  <si>
    <t>48.37</t>
  </si>
  <si>
    <t>10.53</t>
  </si>
  <si>
    <t>36.25</t>
  </si>
  <si>
    <t>32.76</t>
  </si>
  <si>
    <t>12.24</t>
  </si>
  <si>
    <t>34.69</t>
  </si>
  <si>
    <t>21.79</t>
  </si>
  <si>
    <t xml:space="preserve">  乐器制造</t>
  </si>
  <si>
    <t>202</t>
  </si>
  <si>
    <t>247.01</t>
  </si>
  <si>
    <t>66.11</t>
  </si>
  <si>
    <t>126.55</t>
  </si>
  <si>
    <t>57.66</t>
  </si>
  <si>
    <t>147.26</t>
  </si>
  <si>
    <t>24.28</t>
  </si>
  <si>
    <t>19.89</t>
  </si>
  <si>
    <t>100.42</t>
  </si>
  <si>
    <t>86.38</t>
  </si>
  <si>
    <t>32.97</t>
  </si>
  <si>
    <t>146.59</t>
  </si>
  <si>
    <t>86.25</t>
  </si>
  <si>
    <t xml:space="preserve">    中乐器制造</t>
  </si>
  <si>
    <t>25</t>
  </si>
  <si>
    <t>3.70</t>
  </si>
  <si>
    <t>5.93</t>
  </si>
  <si>
    <t>12.30</t>
  </si>
  <si>
    <t>1.88</t>
  </si>
  <si>
    <t>8.71</t>
  </si>
  <si>
    <t>6.67</t>
  </si>
  <si>
    <t xml:space="preserve">    西乐器制造</t>
  </si>
  <si>
    <t>112</t>
  </si>
  <si>
    <t>154.86</t>
  </si>
  <si>
    <t>37.70</t>
  </si>
  <si>
    <t>76.45</t>
  </si>
  <si>
    <t>37.37</t>
  </si>
  <si>
    <t>92.89</t>
  </si>
  <si>
    <t>11.77</t>
  </si>
  <si>
    <t>36.50</t>
  </si>
  <si>
    <t>66.52</t>
  </si>
  <si>
    <t>57.74</t>
  </si>
  <si>
    <t>17.15</t>
  </si>
  <si>
    <t>88.33</t>
  </si>
  <si>
    <t>1.74</t>
  </si>
  <si>
    <t xml:space="preserve">    电子乐器制造</t>
  </si>
  <si>
    <t>47.45</t>
  </si>
  <si>
    <t>18.20</t>
  </si>
  <si>
    <t>32.32</t>
  </si>
  <si>
    <t>26.53</t>
  </si>
  <si>
    <t>8.59</t>
  </si>
  <si>
    <t>3.38</t>
  </si>
  <si>
    <t>12.56</t>
  </si>
  <si>
    <t>9.05</t>
  </si>
  <si>
    <t>34.89</t>
  </si>
  <si>
    <t>22.03</t>
  </si>
  <si>
    <t xml:space="preserve">    其他乐器及零件制造</t>
  </si>
  <si>
    <t>25.87</t>
  </si>
  <si>
    <t>6.51</t>
  </si>
  <si>
    <t>11.85</t>
  </si>
  <si>
    <t>3.95</t>
  </si>
  <si>
    <t>15.55</t>
  </si>
  <si>
    <t>3.74</t>
  </si>
  <si>
    <t>5.11</t>
  </si>
  <si>
    <t>1.95</t>
  </si>
  <si>
    <t>12.63</t>
  </si>
  <si>
    <t>4.47</t>
  </si>
  <si>
    <t xml:space="preserve">  工艺美术及礼仪用品制造</t>
  </si>
  <si>
    <t>4746</t>
  </si>
  <si>
    <t>5185.83</t>
  </si>
  <si>
    <t>846.99</t>
  </si>
  <si>
    <t>1653.82</t>
  </si>
  <si>
    <t>687.98</t>
  </si>
  <si>
    <t>3460.74</t>
  </si>
  <si>
    <t>625.92</t>
  </si>
  <si>
    <t>1457.96</t>
  </si>
  <si>
    <t>784.62</t>
  </si>
  <si>
    <t>2790.75</t>
  </si>
  <si>
    <t>2194.12</t>
  </si>
  <si>
    <t>471.99</t>
  </si>
  <si>
    <t>2362.71</t>
  </si>
  <si>
    <t>792.35</t>
  </si>
  <si>
    <t>13.41</t>
  </si>
  <si>
    <t>10.06</t>
  </si>
  <si>
    <t xml:space="preserve">    雕塑工艺品制造</t>
  </si>
  <si>
    <t>834</t>
  </si>
  <si>
    <t>537.28</t>
  </si>
  <si>
    <t>103.49</t>
  </si>
  <si>
    <t>278.44</t>
  </si>
  <si>
    <t>139.39</t>
  </si>
  <si>
    <t>278.95</t>
  </si>
  <si>
    <t>72.09</t>
  </si>
  <si>
    <t>95.40</t>
  </si>
  <si>
    <t>53.31</t>
  </si>
  <si>
    <t>202.83</t>
  </si>
  <si>
    <t>139.77</t>
  </si>
  <si>
    <t>35.33</t>
  </si>
  <si>
    <t>327.95</t>
  </si>
  <si>
    <t>101.86</t>
  </si>
  <si>
    <t>2.55</t>
  </si>
  <si>
    <t xml:space="preserve">    金属工艺品制造</t>
  </si>
  <si>
    <t>481.28</t>
  </si>
  <si>
    <t>98.63</t>
  </si>
  <si>
    <t>178.19</t>
  </si>
  <si>
    <t>66.79</t>
  </si>
  <si>
    <t>277.91</t>
  </si>
  <si>
    <t>57.39</t>
  </si>
  <si>
    <t>93.42</t>
  </si>
  <si>
    <t>204.54</t>
  </si>
  <si>
    <t>65.49</t>
  </si>
  <si>
    <t>234.42</t>
  </si>
  <si>
    <t>87.96</t>
  </si>
  <si>
    <t>2.25</t>
  </si>
  <si>
    <t xml:space="preserve">    漆器工艺品制造</t>
  </si>
  <si>
    <t>103</t>
  </si>
  <si>
    <t>83.77</t>
  </si>
  <si>
    <t>22.69</t>
  </si>
  <si>
    <t>37.52</t>
  </si>
  <si>
    <t>12.52</t>
  </si>
  <si>
    <t>52.14</t>
  </si>
  <si>
    <t>9.38</t>
  </si>
  <si>
    <t>18.72</t>
  </si>
  <si>
    <t>8.11</t>
  </si>
  <si>
    <t>34.15</t>
  </si>
  <si>
    <t>27.04</t>
  </si>
  <si>
    <t>7.83</t>
  </si>
  <si>
    <t>46.32</t>
  </si>
  <si>
    <t>0.18</t>
  </si>
  <si>
    <t xml:space="preserve">    花画工艺品制造</t>
  </si>
  <si>
    <t>124</t>
  </si>
  <si>
    <t>49.21</t>
  </si>
  <si>
    <t>30.94</t>
  </si>
  <si>
    <t>13.79</t>
  </si>
  <si>
    <t>24.34</t>
  </si>
  <si>
    <t>7.43</t>
  </si>
  <si>
    <t>5.66</t>
  </si>
  <si>
    <t>2.64</t>
  </si>
  <si>
    <t>18.81</t>
  </si>
  <si>
    <t>16.67</t>
  </si>
  <si>
    <t>4.46</t>
  </si>
  <si>
    <t>30.12</t>
  </si>
  <si>
    <t xml:space="preserve">    天然植物纤维编织工艺品制造</t>
  </si>
  <si>
    <t>435</t>
  </si>
  <si>
    <t>205.39</t>
  </si>
  <si>
    <t>48.42</t>
  </si>
  <si>
    <t>88.01</t>
  </si>
  <si>
    <t>35.32</t>
  </si>
  <si>
    <t>112.85</t>
  </si>
  <si>
    <t>36.38</t>
  </si>
  <si>
    <t>38.35</t>
  </si>
  <si>
    <t>18.65</t>
  </si>
  <si>
    <t>101.36</t>
  </si>
  <si>
    <t>82.01</t>
  </si>
  <si>
    <t>20.57</t>
  </si>
  <si>
    <t>101.88</t>
  </si>
  <si>
    <t>33.84</t>
  </si>
  <si>
    <t>3.00</t>
  </si>
  <si>
    <t xml:space="preserve">    抽纱刺绣工艺品制造</t>
  </si>
  <si>
    <t>528</t>
  </si>
  <si>
    <t>387.34</t>
  </si>
  <si>
    <t>97.87</t>
  </si>
  <si>
    <t>203.79</t>
  </si>
  <si>
    <t>99.73</t>
  </si>
  <si>
    <t>232.20</t>
  </si>
  <si>
    <t>58.06</t>
  </si>
  <si>
    <t>34.43</t>
  </si>
  <si>
    <t>221.60</t>
  </si>
  <si>
    <t>182.58</t>
  </si>
  <si>
    <t>41.22</t>
  </si>
  <si>
    <t>164.12</t>
  </si>
  <si>
    <t>79.73</t>
  </si>
  <si>
    <t xml:space="preserve">    地毯、挂毯制造</t>
  </si>
  <si>
    <t>369</t>
  </si>
  <si>
    <t>367.39</t>
  </si>
  <si>
    <t>89.75</t>
  </si>
  <si>
    <t>187.82</t>
  </si>
  <si>
    <t>95.00</t>
  </si>
  <si>
    <t>212.55</t>
  </si>
  <si>
    <t>53.18</t>
  </si>
  <si>
    <t>65.29</t>
  </si>
  <si>
    <t>32.47</t>
  </si>
  <si>
    <t>209.45</t>
  </si>
  <si>
    <t>179.96</t>
  </si>
  <si>
    <t>45.13</t>
  </si>
  <si>
    <t>157.89</t>
  </si>
  <si>
    <t>82.46</t>
  </si>
  <si>
    <t>3.18</t>
  </si>
  <si>
    <t xml:space="preserve">    珠宝首饰及有关物品制造</t>
  </si>
  <si>
    <t>447</t>
  </si>
  <si>
    <t>1907.36</t>
  </si>
  <si>
    <t>118.20</t>
  </si>
  <si>
    <t>189.88</t>
  </si>
  <si>
    <t>64.48</t>
  </si>
  <si>
    <t>1600.12</t>
  </si>
  <si>
    <t>199.97</t>
  </si>
  <si>
    <t>891.60</t>
  </si>
  <si>
    <t>1313.05</t>
  </si>
  <si>
    <t>1001.88</t>
  </si>
  <si>
    <t>138.94</t>
  </si>
  <si>
    <t>590.68</t>
  </si>
  <si>
    <t>172.38</t>
  </si>
  <si>
    <t>2.67</t>
  </si>
  <si>
    <t xml:space="preserve">    其他工艺美术及礼仪用品制造</t>
  </si>
  <si>
    <t>1397</t>
  </si>
  <si>
    <t>1166.82</t>
  </si>
  <si>
    <t>252.42</t>
  </si>
  <si>
    <t>459.24</t>
  </si>
  <si>
    <t>160.96</t>
  </si>
  <si>
    <t>669.68</t>
  </si>
  <si>
    <t>132.04</t>
  </si>
  <si>
    <t>185.57</t>
  </si>
  <si>
    <t>63.61</t>
  </si>
  <si>
    <t>445.08</t>
  </si>
  <si>
    <t>359.66</t>
  </si>
  <si>
    <t>113.03</t>
  </si>
  <si>
    <t>709.34</t>
  </si>
  <si>
    <t>205.95</t>
  </si>
  <si>
    <t>1.36</t>
  </si>
  <si>
    <t xml:space="preserve">  体育用品制造</t>
  </si>
  <si>
    <t>1160</t>
  </si>
  <si>
    <t>1037.22</t>
  </si>
  <si>
    <t>193.27</t>
  </si>
  <si>
    <t>423.17</t>
  </si>
  <si>
    <t>677.36</t>
  </si>
  <si>
    <t>210.50</t>
  </si>
  <si>
    <t>161.47</t>
  </si>
  <si>
    <t>62.72</t>
  </si>
  <si>
    <t>529.09</t>
  </si>
  <si>
    <t>424.77</t>
  </si>
  <si>
    <t>185.78</t>
  </si>
  <si>
    <t>504.81</t>
  </si>
  <si>
    <t>301.83</t>
  </si>
  <si>
    <t>1.61</t>
  </si>
  <si>
    <t xml:space="preserve">    球类制造</t>
  </si>
  <si>
    <t>96.86</t>
  </si>
  <si>
    <t>18.30</t>
  </si>
  <si>
    <t>35.11</t>
  </si>
  <si>
    <t>15.81</t>
  </si>
  <si>
    <t>55.19</t>
  </si>
  <si>
    <t>15.19</t>
  </si>
  <si>
    <t>47.17</t>
  </si>
  <si>
    <t>36.91</t>
  </si>
  <si>
    <t>26.93</t>
  </si>
  <si>
    <t xml:space="preserve">    专项运动器材及配件制造</t>
  </si>
  <si>
    <t>318</t>
  </si>
  <si>
    <t>378.04</t>
  </si>
  <si>
    <t>69.95</t>
  </si>
  <si>
    <t>186.59</t>
  </si>
  <si>
    <t>80.68</t>
  </si>
  <si>
    <t>232.00</t>
  </si>
  <si>
    <t>61.06</t>
  </si>
  <si>
    <t>51.54</t>
  </si>
  <si>
    <t>19.67</t>
  </si>
  <si>
    <t>174.57</t>
  </si>
  <si>
    <t>112.14</t>
  </si>
  <si>
    <t>51.10</t>
  </si>
  <si>
    <t>200.36</t>
  </si>
  <si>
    <t>147.34</t>
  </si>
  <si>
    <t xml:space="preserve">    健身器材制造</t>
  </si>
  <si>
    <t>336</t>
  </si>
  <si>
    <t>308.73</t>
  </si>
  <si>
    <t>53.97</t>
  </si>
  <si>
    <t>99.72</t>
  </si>
  <si>
    <t>41.75</t>
  </si>
  <si>
    <t>218.01</t>
  </si>
  <si>
    <t>85.70</t>
  </si>
  <si>
    <t>47.33</t>
  </si>
  <si>
    <t>184.04</t>
  </si>
  <si>
    <t>164.55</t>
  </si>
  <si>
    <t>73.40</t>
  </si>
  <si>
    <t>124.67</t>
  </si>
  <si>
    <t>64.49</t>
  </si>
  <si>
    <t xml:space="preserve">    运动防护用具制造</t>
  </si>
  <si>
    <t>134</t>
  </si>
  <si>
    <t>69.70</t>
  </si>
  <si>
    <t>32.25</t>
  </si>
  <si>
    <t>15.50</t>
  </si>
  <si>
    <t>45.64</t>
  </si>
  <si>
    <t>11.46</t>
  </si>
  <si>
    <t>13.99</t>
  </si>
  <si>
    <t>32.53</t>
  </si>
  <si>
    <t>29.27</t>
  </si>
  <si>
    <t>13.46</t>
  </si>
  <si>
    <t>37.16</t>
  </si>
  <si>
    <t xml:space="preserve">    其他体育用品制造</t>
  </si>
  <si>
    <t>252</t>
  </si>
  <si>
    <t>183.90</t>
  </si>
  <si>
    <t>34.99</t>
  </si>
  <si>
    <t>69.50</t>
  </si>
  <si>
    <t>126.52</t>
  </si>
  <si>
    <t>40.33</t>
  </si>
  <si>
    <t>33.42</t>
  </si>
  <si>
    <t>13.44</t>
  </si>
  <si>
    <t>90.78</t>
  </si>
  <si>
    <t>81.91</t>
  </si>
  <si>
    <t>38.44</t>
  </si>
  <si>
    <t>38.65</t>
  </si>
  <si>
    <t xml:space="preserve">  玩具制造</t>
  </si>
  <si>
    <t>1665</t>
  </si>
  <si>
    <t>1156.14</t>
  </si>
  <si>
    <t>255.76</t>
  </si>
  <si>
    <t>523.29</t>
  </si>
  <si>
    <t>235.60</t>
  </si>
  <si>
    <t>726.25</t>
  </si>
  <si>
    <t>212.68</t>
  </si>
  <si>
    <t>213.53</t>
  </si>
  <si>
    <t>80.63</t>
  </si>
  <si>
    <t>624.38</t>
  </si>
  <si>
    <t>517.44</t>
  </si>
  <si>
    <t>196.64</t>
  </si>
  <si>
    <t>528.66</t>
  </si>
  <si>
    <t>297.20</t>
  </si>
  <si>
    <t>3.79</t>
  </si>
  <si>
    <t xml:space="preserve">    电玩具制造</t>
  </si>
  <si>
    <t>125.04</t>
  </si>
  <si>
    <t>22.41</t>
  </si>
  <si>
    <t>53.26</t>
  </si>
  <si>
    <t>22.37</t>
  </si>
  <si>
    <t>77.25</t>
  </si>
  <si>
    <t>28.38</t>
  </si>
  <si>
    <t>7.76</t>
  </si>
  <si>
    <t>51.39</t>
  </si>
  <si>
    <t>17.03</t>
  </si>
  <si>
    <t>60.06</t>
  </si>
  <si>
    <t>36.27</t>
  </si>
  <si>
    <t xml:space="preserve">    塑胶玩具制造</t>
  </si>
  <si>
    <t>655</t>
  </si>
  <si>
    <t>562.95</t>
  </si>
  <si>
    <t>138.13</t>
  </si>
  <si>
    <t>257.81</t>
  </si>
  <si>
    <t>107.42</t>
  </si>
  <si>
    <t>341.81</t>
  </si>
  <si>
    <t>107.75</t>
  </si>
  <si>
    <t>109.17</t>
  </si>
  <si>
    <t>36.42</t>
  </si>
  <si>
    <t>294.55</t>
  </si>
  <si>
    <t>241.91</t>
  </si>
  <si>
    <t>99.89</t>
  </si>
  <si>
    <t>265.91</t>
  </si>
  <si>
    <t>161.15</t>
  </si>
  <si>
    <t xml:space="preserve">    金属玩具制造</t>
  </si>
  <si>
    <t>19</t>
  </si>
  <si>
    <t>4.16</t>
  </si>
  <si>
    <t>10.43</t>
  </si>
  <si>
    <t>2.08</t>
  </si>
  <si>
    <t>3.48</t>
  </si>
  <si>
    <t>5.53</t>
  </si>
  <si>
    <t>15.06</t>
  </si>
  <si>
    <t xml:space="preserve">    弹射玩具制造</t>
  </si>
  <si>
    <t>3</t>
  </si>
  <si>
    <t>0.84</t>
  </si>
  <si>
    <t>0.45</t>
  </si>
  <si>
    <t xml:space="preserve">    娃娃玩具制造</t>
  </si>
  <si>
    <t>122</t>
  </si>
  <si>
    <t>49.65</t>
  </si>
  <si>
    <t>10.42</t>
  </si>
  <si>
    <t>20.29</t>
  </si>
  <si>
    <t>8.73</t>
  </si>
  <si>
    <t>29.63</t>
  </si>
  <si>
    <t>9.41</t>
  </si>
  <si>
    <t>7.82</t>
  </si>
  <si>
    <t>28.99</t>
  </si>
  <si>
    <t>8.01</t>
  </si>
  <si>
    <t xml:space="preserve">    儿童乘骑玩耍的童车类产品制造</t>
  </si>
  <si>
    <t>217</t>
  </si>
  <si>
    <t>188.48</t>
  </si>
  <si>
    <t>94.39</t>
  </si>
  <si>
    <t>53.87</t>
  </si>
  <si>
    <t>130.10</t>
  </si>
  <si>
    <t>35.20</t>
  </si>
  <si>
    <t>17.46</t>
  </si>
  <si>
    <t>113.21</t>
  </si>
  <si>
    <t>103.55</t>
  </si>
  <si>
    <t>36.79</t>
  </si>
  <si>
    <t>75.28</t>
  </si>
  <si>
    <t>31.68</t>
  </si>
  <si>
    <t xml:space="preserve">    其他玩具制造</t>
  </si>
  <si>
    <t>529</t>
  </si>
  <si>
    <t>208.07</t>
  </si>
  <si>
    <t>86.93</t>
  </si>
  <si>
    <t>38.94</t>
  </si>
  <si>
    <t>134.10</t>
  </si>
  <si>
    <t>34.81</t>
  </si>
  <si>
    <t>14.02</t>
  </si>
  <si>
    <t>116.44</t>
  </si>
  <si>
    <t>95.63</t>
  </si>
  <si>
    <t>91.62</t>
  </si>
  <si>
    <t>50.31</t>
  </si>
  <si>
    <t xml:space="preserve">  游艺器材及娱乐用品制造</t>
  </si>
  <si>
    <t>371</t>
  </si>
  <si>
    <t>439.24</t>
  </si>
  <si>
    <t>86.77</t>
  </si>
  <si>
    <t>158.68</t>
  </si>
  <si>
    <t>64.67</t>
  </si>
  <si>
    <t>254.79</t>
  </si>
  <si>
    <t>75.12</t>
  </si>
  <si>
    <t>78.18</t>
  </si>
  <si>
    <t>228.84</t>
  </si>
  <si>
    <t>210.12</t>
  </si>
  <si>
    <t>96.72</t>
  </si>
  <si>
    <t xml:space="preserve">    露天游乐场所游乐设备制造</t>
  </si>
  <si>
    <t>169</t>
  </si>
  <si>
    <t>200.04</t>
  </si>
  <si>
    <t>40.82</t>
  </si>
  <si>
    <t>31.22</t>
  </si>
  <si>
    <t>34.29</t>
  </si>
  <si>
    <t>36.63</t>
  </si>
  <si>
    <t>110.36</t>
  </si>
  <si>
    <t>92.00</t>
  </si>
  <si>
    <t>24.82</t>
  </si>
  <si>
    <t>89.68</t>
  </si>
  <si>
    <t>47.30</t>
  </si>
  <si>
    <t xml:space="preserve">    游艺用品及室内游艺器材制造</t>
  </si>
  <si>
    <t>136.09</t>
  </si>
  <si>
    <t>21.64</t>
  </si>
  <si>
    <t>44.09</t>
  </si>
  <si>
    <t>17.75</t>
  </si>
  <si>
    <t>61.82</t>
  </si>
  <si>
    <t>18.77</t>
  </si>
  <si>
    <t>17.13</t>
  </si>
  <si>
    <t>8.57</t>
  </si>
  <si>
    <t>66.29</t>
  </si>
  <si>
    <t>42.95</t>
  </si>
  <si>
    <t>12.73</t>
  </si>
  <si>
    <t>69.53</t>
  </si>
  <si>
    <t>18.11</t>
  </si>
  <si>
    <t xml:space="preserve">    其他娱乐用品制造</t>
  </si>
  <si>
    <t>82</t>
  </si>
  <si>
    <t>24.31</t>
  </si>
  <si>
    <t>41.32</t>
  </si>
  <si>
    <t>15.70</t>
  </si>
  <si>
    <t>62.89</t>
  </si>
  <si>
    <t>22.05</t>
  </si>
  <si>
    <t>14.94</t>
  </si>
  <si>
    <t>46.47</t>
  </si>
  <si>
    <t>23.66</t>
  </si>
  <si>
    <t>50.91</t>
  </si>
  <si>
    <t>31.31</t>
  </si>
  <si>
    <t>石油、煤炭及其他燃料加工业</t>
  </si>
  <si>
    <t>2116</t>
  </si>
  <si>
    <t>37434.26</t>
  </si>
  <si>
    <t>10399.20</t>
  </si>
  <si>
    <t>23148.20</t>
  </si>
  <si>
    <t>11070.52</t>
  </si>
  <si>
    <t>16949.09</t>
  </si>
  <si>
    <t>2014.72</t>
  </si>
  <si>
    <t>4289.37</t>
  </si>
  <si>
    <t>1197.52</t>
  </si>
  <si>
    <t>24167.57</t>
  </si>
  <si>
    <t>18798.78</t>
  </si>
  <si>
    <t>4933.08</t>
  </si>
  <si>
    <t>13263.19</t>
  </si>
  <si>
    <t>6912.38</t>
  </si>
  <si>
    <t>2578.17</t>
  </si>
  <si>
    <t>79.90</t>
  </si>
  <si>
    <t xml:space="preserve">  精炼石油产品制造</t>
  </si>
  <si>
    <t>1114</t>
  </si>
  <si>
    <t>26861.21</t>
  </si>
  <si>
    <t>7445.58</t>
  </si>
  <si>
    <t>17657.52</t>
  </si>
  <si>
    <t>8779.23</t>
  </si>
  <si>
    <t>12215.57</t>
  </si>
  <si>
    <t>1306.64</t>
  </si>
  <si>
    <t>3416.92</t>
  </si>
  <si>
    <t>885.24</t>
  </si>
  <si>
    <t>16781.32</t>
  </si>
  <si>
    <t>12962.23</t>
  </si>
  <si>
    <t>3355.55</t>
  </si>
  <si>
    <t>10078.24</t>
  </si>
  <si>
    <t>4775.96</t>
  </si>
  <si>
    <t>2035.25</t>
  </si>
  <si>
    <t xml:space="preserve">    原油加工及石油制品制造</t>
  </si>
  <si>
    <t>1082</t>
  </si>
  <si>
    <t>26532.80</t>
  </si>
  <si>
    <t>7241.54</t>
  </si>
  <si>
    <t>17365.93</t>
  </si>
  <si>
    <t>8696.09</t>
  </si>
  <si>
    <t>12148.80</t>
  </si>
  <si>
    <t>1301.51</t>
  </si>
  <si>
    <t>3404.32</t>
  </si>
  <si>
    <t>880.68</t>
  </si>
  <si>
    <t>16577.61</t>
  </si>
  <si>
    <t>12832.71</t>
  </si>
  <si>
    <t>3334.24</t>
  </si>
  <si>
    <t>9953.54</t>
  </si>
  <si>
    <t>4692.66</t>
  </si>
  <si>
    <t>1978.92</t>
  </si>
  <si>
    <t>37.34</t>
  </si>
  <si>
    <t xml:space="preserve">    其他原油制造</t>
  </si>
  <si>
    <t>32</t>
  </si>
  <si>
    <t>328.41</t>
  </si>
  <si>
    <t>204.04</t>
  </si>
  <si>
    <t>291.60</t>
  </si>
  <si>
    <t>83.14</t>
  </si>
  <si>
    <t>5.13</t>
  </si>
  <si>
    <t>203.71</t>
  </si>
  <si>
    <t>129.52</t>
  </si>
  <si>
    <t>124.70</t>
  </si>
  <si>
    <t>83.31</t>
  </si>
  <si>
    <t>56.34</t>
  </si>
  <si>
    <t xml:space="preserve">  煤炭加工</t>
  </si>
  <si>
    <t>710</t>
  </si>
  <si>
    <t>9788.87</t>
  </si>
  <si>
    <t>2770.92</t>
  </si>
  <si>
    <t>5209.22</t>
  </si>
  <si>
    <t>2154.37</t>
  </si>
  <si>
    <t>4430.65</t>
  </si>
  <si>
    <t>674.10</t>
  </si>
  <si>
    <t>765.49</t>
  </si>
  <si>
    <t>290.06</t>
  </si>
  <si>
    <t>6899.47</t>
  </si>
  <si>
    <t>5462.04</t>
  </si>
  <si>
    <t>1504.26</t>
  </si>
  <si>
    <t>2888.24</t>
  </si>
  <si>
    <t>1965.24</t>
  </si>
  <si>
    <t>428.03</t>
  </si>
  <si>
    <t>42.24</t>
  </si>
  <si>
    <t xml:space="preserve">    炼焦</t>
  </si>
  <si>
    <t>501</t>
  </si>
  <si>
    <t>8426.96</t>
  </si>
  <si>
    <t>2312.37</t>
  </si>
  <si>
    <t>4443.33</t>
  </si>
  <si>
    <t>1884.17</t>
  </si>
  <si>
    <t>4084.28</t>
  </si>
  <si>
    <t>581.50</t>
  </si>
  <si>
    <t>712.09</t>
  </si>
  <si>
    <t>269.69</t>
  </si>
  <si>
    <t>5900.91</t>
  </si>
  <si>
    <t>4750.50</t>
  </si>
  <si>
    <t>1297.93</t>
  </si>
  <si>
    <t>2530.48</t>
  </si>
  <si>
    <t>1526.86</t>
  </si>
  <si>
    <t>299.70</t>
  </si>
  <si>
    <t>35.48</t>
  </si>
  <si>
    <t xml:space="preserve">    煤制合成气生产</t>
  </si>
  <si>
    <t>115.24</t>
  </si>
  <si>
    <t>35.35</t>
  </si>
  <si>
    <t>58.70</t>
  </si>
  <si>
    <t>21.70</t>
  </si>
  <si>
    <t>39.77</t>
  </si>
  <si>
    <t>4.42</t>
  </si>
  <si>
    <t>2.93</t>
  </si>
  <si>
    <t>90.88</t>
  </si>
  <si>
    <t>77.10</t>
  </si>
  <si>
    <t>12.79</t>
  </si>
  <si>
    <t>24.36</t>
  </si>
  <si>
    <t>17.69</t>
  </si>
  <si>
    <t>1.93</t>
  </si>
  <si>
    <t xml:space="preserve">2-1 续表7
</t>
  </si>
  <si>
    <t xml:space="preserve">    煤制液体燃料生产</t>
  </si>
  <si>
    <t>30</t>
  </si>
  <si>
    <t>1063.31</t>
  </si>
  <si>
    <t>366.43</t>
  </si>
  <si>
    <t>619.78</t>
  </si>
  <si>
    <t>220.62</t>
  </si>
  <si>
    <t>213.19</t>
  </si>
  <si>
    <t>66.14</t>
  </si>
  <si>
    <t>27.71</t>
  </si>
  <si>
    <t>7.75</t>
  </si>
  <si>
    <t>777.08</t>
  </si>
  <si>
    <t>516.99</t>
  </si>
  <si>
    <t>157.33</t>
  </si>
  <si>
    <t>282.79</t>
  </si>
  <si>
    <t>376.90</t>
  </si>
  <si>
    <t>125.59</t>
  </si>
  <si>
    <t>6.30</t>
  </si>
  <si>
    <t xml:space="preserve">    煤制品制造</t>
  </si>
  <si>
    <t>113</t>
  </si>
  <si>
    <t>121.57</t>
  </si>
  <si>
    <t>34.95</t>
  </si>
  <si>
    <t>55.94</t>
  </si>
  <si>
    <t>19.40</t>
  </si>
  <si>
    <t>63.76</t>
  </si>
  <si>
    <t>13.51</t>
  </si>
  <si>
    <t>13.71</t>
  </si>
  <si>
    <t>6.87</t>
  </si>
  <si>
    <t>75.81</t>
  </si>
  <si>
    <t>36.16</t>
  </si>
  <si>
    <t>31.95</t>
  </si>
  <si>
    <t>0.54</t>
  </si>
  <si>
    <t xml:space="preserve">    其他煤炭加工</t>
  </si>
  <si>
    <t>49</t>
  </si>
  <si>
    <t>31.47</t>
  </si>
  <si>
    <t>29.65</t>
  </si>
  <si>
    <t>8.52</t>
  </si>
  <si>
    <t>9.04</t>
  </si>
  <si>
    <t>5.01</t>
  </si>
  <si>
    <t>45.59</t>
  </si>
  <si>
    <t>41.64</t>
  </si>
  <si>
    <t>10.19</t>
  </si>
  <si>
    <t>14.45</t>
  </si>
  <si>
    <t xml:space="preserve">  生物质燃料加工</t>
  </si>
  <si>
    <t>287</t>
  </si>
  <si>
    <t>239.94</t>
  </si>
  <si>
    <t>74.34</t>
  </si>
  <si>
    <t>105.10</t>
  </si>
  <si>
    <t>125.22</t>
  </si>
  <si>
    <t>32.86</t>
  </si>
  <si>
    <t>28.23</t>
  </si>
  <si>
    <t>12.37</t>
  </si>
  <si>
    <t>144.95</t>
  </si>
  <si>
    <t>113.81</t>
  </si>
  <si>
    <t>22.35</t>
  </si>
  <si>
    <t>94.31</t>
  </si>
  <si>
    <t>42.89</t>
  </si>
  <si>
    <t>4.88</t>
  </si>
  <si>
    <t xml:space="preserve">    生物质液体燃料生产</t>
  </si>
  <si>
    <t>54</t>
  </si>
  <si>
    <t>169.07</t>
  </si>
  <si>
    <t>55.38</t>
  </si>
  <si>
    <t>73.01</t>
  </si>
  <si>
    <t>86.54</t>
  </si>
  <si>
    <t>21.05</t>
  </si>
  <si>
    <t>108.19</t>
  </si>
  <si>
    <t>87.97</t>
  </si>
  <si>
    <t>12.93</t>
  </si>
  <si>
    <t>60.83</t>
  </si>
  <si>
    <t>3.87</t>
  </si>
  <si>
    <t xml:space="preserve">    生物质致密成型燃料加工</t>
  </si>
  <si>
    <t>233</t>
  </si>
  <si>
    <t>70.88</t>
  </si>
  <si>
    <t>18.96</t>
  </si>
  <si>
    <t>32.09</t>
  </si>
  <si>
    <t>10.05</t>
  </si>
  <si>
    <t>38.68</t>
  </si>
  <si>
    <t>14.16</t>
  </si>
  <si>
    <t>7.18</t>
  </si>
  <si>
    <t>36.76</t>
  </si>
  <si>
    <t>9.42</t>
  </si>
  <si>
    <t>33.48</t>
  </si>
  <si>
    <t>15.08</t>
  </si>
  <si>
    <t>化学原料和化学制品制造业</t>
  </si>
  <si>
    <t>22008</t>
  </si>
  <si>
    <t>78651.54</t>
  </si>
  <si>
    <t>24896.92</t>
  </si>
  <si>
    <t>46137.21</t>
  </si>
  <si>
    <t>19537.04</t>
  </si>
  <si>
    <t>35428.58</t>
  </si>
  <si>
    <t>7480.51</t>
  </si>
  <si>
    <t>6385.32</t>
  </si>
  <si>
    <t>2787.52</t>
  </si>
  <si>
    <t>42731.43</t>
  </si>
  <si>
    <t>32667.40</t>
  </si>
  <si>
    <t>7987.46</t>
  </si>
  <si>
    <t>35852.53</t>
  </si>
  <si>
    <t>18771.49</t>
  </si>
  <si>
    <t>3336.40</t>
  </si>
  <si>
    <t>338.71</t>
  </si>
  <si>
    <t xml:space="preserve">  基础化学原料制造</t>
  </si>
  <si>
    <t>4826</t>
  </si>
  <si>
    <t>27348.98</t>
  </si>
  <si>
    <t>9948.84</t>
  </si>
  <si>
    <t>18589.23</t>
  </si>
  <si>
    <t>7871.53</t>
  </si>
  <si>
    <t>10669.08</t>
  </si>
  <si>
    <t>1609.64</t>
  </si>
  <si>
    <t>1733.89</t>
  </si>
  <si>
    <t>734.79</t>
  </si>
  <si>
    <t>15870.04</t>
  </si>
  <si>
    <t>2670.51</t>
  </si>
  <si>
    <t>11470.99</t>
  </si>
  <si>
    <t>6588.66</t>
  </si>
  <si>
    <t>1350.25</t>
  </si>
  <si>
    <t>98.78</t>
  </si>
  <si>
    <t xml:space="preserve">    无机酸制造</t>
  </si>
  <si>
    <t>631.65</t>
  </si>
  <si>
    <t>167.81</t>
  </si>
  <si>
    <t>427.46</t>
  </si>
  <si>
    <t>231.52</t>
  </si>
  <si>
    <t>324.11</t>
  </si>
  <si>
    <t>65.39</t>
  </si>
  <si>
    <t>57.70</t>
  </si>
  <si>
    <t>19.30</t>
  </si>
  <si>
    <t>351.34</t>
  </si>
  <si>
    <t>269.16</t>
  </si>
  <si>
    <t>69.67</t>
  </si>
  <si>
    <t>274.27</t>
  </si>
  <si>
    <t>168.35</t>
  </si>
  <si>
    <t>22.17</t>
  </si>
  <si>
    <t>2.96</t>
  </si>
  <si>
    <t xml:space="preserve">    无机碱制造</t>
  </si>
  <si>
    <t>182</t>
  </si>
  <si>
    <t>2688.69</t>
  </si>
  <si>
    <t>1093.54</t>
  </si>
  <si>
    <t>2030.39</t>
  </si>
  <si>
    <t>891.73</t>
  </si>
  <si>
    <t>917.72</t>
  </si>
  <si>
    <t>100.10</t>
  </si>
  <si>
    <t>43.83</t>
  </si>
  <si>
    <t>1778.32</t>
  </si>
  <si>
    <t>1374.61</t>
  </si>
  <si>
    <t>248.36</t>
  </si>
  <si>
    <t>923.97</t>
  </si>
  <si>
    <t>614.41</t>
  </si>
  <si>
    <t>148.81</t>
  </si>
  <si>
    <t xml:space="preserve">    无机盐制造</t>
  </si>
  <si>
    <t>830</t>
  </si>
  <si>
    <t>2568.86</t>
  </si>
  <si>
    <t>762.72</t>
  </si>
  <si>
    <t>1309.82</t>
  </si>
  <si>
    <t>488.70</t>
  </si>
  <si>
    <t>1077.45</t>
  </si>
  <si>
    <t>164.98</t>
  </si>
  <si>
    <t>249.93</t>
  </si>
  <si>
    <t>98.48</t>
  </si>
  <si>
    <t>1538.45</t>
  </si>
  <si>
    <t>1184.68</t>
  </si>
  <si>
    <t>277.39</t>
  </si>
  <si>
    <t>1031.35</t>
  </si>
  <si>
    <t>484.14</t>
  </si>
  <si>
    <t>95.78</t>
  </si>
  <si>
    <t xml:space="preserve">    有机化学原料制造</t>
  </si>
  <si>
    <t>2284</t>
  </si>
  <si>
    <t>17565.67</t>
  </si>
  <si>
    <t>6406.71</t>
  </si>
  <si>
    <t>11918.54</t>
  </si>
  <si>
    <t>4992.63</t>
  </si>
  <si>
    <t>6819.71</t>
  </si>
  <si>
    <t>924.30</t>
  </si>
  <si>
    <t>1115.90</t>
  </si>
  <si>
    <t>479.05</t>
  </si>
  <si>
    <t>10135.62</t>
  </si>
  <si>
    <t>7611.09</t>
  </si>
  <si>
    <t>1656.88</t>
  </si>
  <si>
    <t>7419.11</t>
  </si>
  <si>
    <t>4313.53</t>
  </si>
  <si>
    <t>1010.49</t>
  </si>
  <si>
    <t>58.84</t>
  </si>
  <si>
    <t xml:space="preserve">    其他基础化学原料制造</t>
  </si>
  <si>
    <t>1247</t>
  </si>
  <si>
    <t>3894.11</t>
  </si>
  <si>
    <t>1518.06</t>
  </si>
  <si>
    <t>2903.02</t>
  </si>
  <si>
    <t>1266.96</t>
  </si>
  <si>
    <t>1530.09</t>
  </si>
  <si>
    <t>352.51</t>
  </si>
  <si>
    <t>210.26</t>
  </si>
  <si>
    <t>94.14</t>
  </si>
  <si>
    <t>2066.31</t>
  </si>
  <si>
    <t>1445.05</t>
  </si>
  <si>
    <t>418.20</t>
  </si>
  <si>
    <t>1822.28</t>
  </si>
  <si>
    <t>1008.21</t>
  </si>
  <si>
    <t>73.00</t>
  </si>
  <si>
    <t xml:space="preserve">  肥料制造</t>
  </si>
  <si>
    <t>1790</t>
  </si>
  <si>
    <t>8678.81</t>
  </si>
  <si>
    <t>2991.76</t>
  </si>
  <si>
    <t>5651.40</t>
  </si>
  <si>
    <t>2440.10</t>
  </si>
  <si>
    <t>3631.45</t>
  </si>
  <si>
    <t>410.32</t>
  </si>
  <si>
    <t>746.97</t>
  </si>
  <si>
    <t>285.34</t>
  </si>
  <si>
    <t>5720.99</t>
  </si>
  <si>
    <t>4569.84</t>
  </si>
  <si>
    <t>810.31</t>
  </si>
  <si>
    <t>2942.67</t>
  </si>
  <si>
    <t>1948.86</t>
  </si>
  <si>
    <t>385.14</t>
  </si>
  <si>
    <t>57.99</t>
  </si>
  <si>
    <t xml:space="preserve">    氮肥制造</t>
  </si>
  <si>
    <t>168</t>
  </si>
  <si>
    <t>3563.57</t>
  </si>
  <si>
    <t>1555.50</t>
  </si>
  <si>
    <t>2983.74</t>
  </si>
  <si>
    <t>1313.19</t>
  </si>
  <si>
    <t>1196.30</t>
  </si>
  <si>
    <t>131.04</t>
  </si>
  <si>
    <t>34.73</t>
  </si>
  <si>
    <t>2504.15</t>
  </si>
  <si>
    <t>1966.92</t>
  </si>
  <si>
    <t>325.15</t>
  </si>
  <si>
    <t>1055.02</t>
  </si>
  <si>
    <t>892.00</t>
  </si>
  <si>
    <t>242.09</t>
  </si>
  <si>
    <t xml:space="preserve">    磷肥制造</t>
  </si>
  <si>
    <t>959.00</t>
  </si>
  <si>
    <t>359.82</t>
  </si>
  <si>
    <t>652.44</t>
  </si>
  <si>
    <t>274.30</t>
  </si>
  <si>
    <t>382.62</t>
  </si>
  <si>
    <t>77.77</t>
  </si>
  <si>
    <t>31.17</t>
  </si>
  <si>
    <t>636.51</t>
  </si>
  <si>
    <t>512.17</t>
  </si>
  <si>
    <t>102.20</t>
  </si>
  <si>
    <t>321.34</t>
  </si>
  <si>
    <t>176.16</t>
  </si>
  <si>
    <t xml:space="preserve">    钾肥制造</t>
  </si>
  <si>
    <t>71</t>
  </si>
  <si>
    <t>641.41</t>
  </si>
  <si>
    <t>206.20</t>
  </si>
  <si>
    <t>426.50</t>
  </si>
  <si>
    <t>214.35</t>
  </si>
  <si>
    <t>271.99</t>
  </si>
  <si>
    <t>69.83</t>
  </si>
  <si>
    <t>15.01</t>
  </si>
  <si>
    <t>429.41</t>
  </si>
  <si>
    <t>294.45</t>
  </si>
  <si>
    <t>43.22</t>
  </si>
  <si>
    <t>204.64</t>
  </si>
  <si>
    <t>135.09</t>
  </si>
  <si>
    <t>6.22</t>
  </si>
  <si>
    <t xml:space="preserve">    复混肥料制造</t>
  </si>
  <si>
    <t>785</t>
  </si>
  <si>
    <t>2935.06</t>
  </si>
  <si>
    <t>756.50</t>
  </si>
  <si>
    <t>1388.88</t>
  </si>
  <si>
    <t>580.94</t>
  </si>
  <si>
    <t>1501.26</t>
  </si>
  <si>
    <t>142.92</t>
  </si>
  <si>
    <t>398.05</t>
  </si>
  <si>
    <t>171.43</t>
  </si>
  <si>
    <t>1836.68</t>
  </si>
  <si>
    <t>1571.79</t>
  </si>
  <si>
    <t>288.85</t>
  </si>
  <si>
    <t>1103.59</t>
  </si>
  <si>
    <t>580.53</t>
  </si>
  <si>
    <t>60.45</t>
  </si>
  <si>
    <t>21.53</t>
  </si>
  <si>
    <t xml:space="preserve">    有机肥料及微生物肥料制造</t>
  </si>
  <si>
    <t>590</t>
  </si>
  <si>
    <t>532.03</t>
  </si>
  <si>
    <t>104.44</t>
  </si>
  <si>
    <t>248.33</t>
  </si>
  <si>
    <t>49.58</t>
  </si>
  <si>
    <t>61.59</t>
  </si>
  <si>
    <t>28.76</t>
  </si>
  <si>
    <t>284.08</t>
  </si>
  <si>
    <t>195.60</t>
  </si>
  <si>
    <t>240.67</t>
  </si>
  <si>
    <t>153.76</t>
  </si>
  <si>
    <t>8.28</t>
  </si>
  <si>
    <t>25.41</t>
  </si>
  <si>
    <t xml:space="preserve">    其他肥料制造</t>
  </si>
  <si>
    <t>47.74</t>
  </si>
  <si>
    <t>15.92</t>
  </si>
  <si>
    <t>30.95</t>
  </si>
  <si>
    <t>4.95</t>
  </si>
  <si>
    <t>8.69</t>
  </si>
  <si>
    <t>4.23</t>
  </si>
  <si>
    <t>5.56</t>
  </si>
  <si>
    <t>17.40</t>
  </si>
  <si>
    <t xml:space="preserve">  农药制造</t>
  </si>
  <si>
    <t>729</t>
  </si>
  <si>
    <t>2783.64</t>
  </si>
  <si>
    <t>638.85</t>
  </si>
  <si>
    <t>1116.43</t>
  </si>
  <si>
    <t>452.37</t>
  </si>
  <si>
    <t>1522.83</t>
  </si>
  <si>
    <t>288.64</t>
  </si>
  <si>
    <t>391.90</t>
  </si>
  <si>
    <t>189.73</t>
  </si>
  <si>
    <t>1389.62</t>
  </si>
  <si>
    <t>1189.97</t>
  </si>
  <si>
    <t>295.52</t>
  </si>
  <si>
    <t>1387.95</t>
  </si>
  <si>
    <t>471.04</t>
  </si>
  <si>
    <t>47.39</t>
  </si>
  <si>
    <t>8.56</t>
  </si>
  <si>
    <t xml:space="preserve">    化学农药制造</t>
  </si>
  <si>
    <t>586</t>
  </si>
  <si>
    <t>2414.11</t>
  </si>
  <si>
    <t>541.35</t>
  </si>
  <si>
    <t>946.58</t>
  </si>
  <si>
    <t>386.07</t>
  </si>
  <si>
    <t>248.51</t>
  </si>
  <si>
    <t>342.69</t>
  </si>
  <si>
    <t>167.19</t>
  </si>
  <si>
    <t>1217.26</t>
  </si>
  <si>
    <t>1043.86</t>
  </si>
  <si>
    <t>258.77</t>
  </si>
  <si>
    <t>1191.00</t>
  </si>
  <si>
    <t>393.47</t>
  </si>
  <si>
    <t>38.10</t>
  </si>
  <si>
    <t>1.43</t>
  </si>
  <si>
    <t xml:space="preserve">    生物化学农药及微生物农药制造</t>
  </si>
  <si>
    <t>143</t>
  </si>
  <si>
    <t>369.53</t>
  </si>
  <si>
    <t>97.49</t>
  </si>
  <si>
    <t>169.85</t>
  </si>
  <si>
    <t>66.30</t>
  </si>
  <si>
    <t>205.51</t>
  </si>
  <si>
    <t>40.12</t>
  </si>
  <si>
    <t>49.20</t>
  </si>
  <si>
    <t>22.54</t>
  </si>
  <si>
    <t>172.36</t>
  </si>
  <si>
    <t>146.10</t>
  </si>
  <si>
    <t>196.95</t>
  </si>
  <si>
    <t>77.56</t>
  </si>
  <si>
    <t>9.30</t>
  </si>
  <si>
    <t xml:space="preserve">  涂料、油墨、颜料及类似产品制造</t>
  </si>
  <si>
    <t>3250</t>
  </si>
  <si>
    <t>5678.13</t>
  </si>
  <si>
    <t>1158.36</t>
  </si>
  <si>
    <t>2192.26</t>
  </si>
  <si>
    <t>959.31</t>
  </si>
  <si>
    <t>3320.66</t>
  </si>
  <si>
    <t>1081.81</t>
  </si>
  <si>
    <t>629.18</t>
  </si>
  <si>
    <t>292.77</t>
  </si>
  <si>
    <t>2736.52</t>
  </si>
  <si>
    <t>2351.13</t>
  </si>
  <si>
    <t>741.75</t>
  </si>
  <si>
    <t>2925.82</t>
  </si>
  <si>
    <t>1126.11</t>
  </si>
  <si>
    <t>52.63</t>
  </si>
  <si>
    <t>44.68</t>
  </si>
  <si>
    <t xml:space="preserve">    涂料制造</t>
  </si>
  <si>
    <t>2005</t>
  </si>
  <si>
    <t>2847.00</t>
  </si>
  <si>
    <t>521.12</t>
  </si>
  <si>
    <t>1007.09</t>
  </si>
  <si>
    <t>441.62</t>
  </si>
  <si>
    <t>1817.60</t>
  </si>
  <si>
    <t>694.76</t>
  </si>
  <si>
    <t>279.24</t>
  </si>
  <si>
    <t>1407.71</t>
  </si>
  <si>
    <t>1204.85</t>
  </si>
  <si>
    <t>429.16</t>
  </si>
  <si>
    <t>1436.92</t>
  </si>
  <si>
    <t>586.49</t>
  </si>
  <si>
    <t>27.67</t>
  </si>
  <si>
    <t>26.15</t>
  </si>
  <si>
    <t xml:space="preserve">    油墨及类似产品制造</t>
  </si>
  <si>
    <t>366</t>
  </si>
  <si>
    <t>452.33</t>
  </si>
  <si>
    <t>196.52</t>
  </si>
  <si>
    <t>114.38</t>
  </si>
  <si>
    <t>273.88</t>
  </si>
  <si>
    <t>109.07</t>
  </si>
  <si>
    <t>52.70</t>
  </si>
  <si>
    <t>21.98</t>
  </si>
  <si>
    <t>165.52</t>
  </si>
  <si>
    <t>146.40</t>
  </si>
  <si>
    <t>64.09</t>
  </si>
  <si>
    <t>276.73</t>
  </si>
  <si>
    <t>119.09</t>
  </si>
  <si>
    <t>1.31</t>
  </si>
  <si>
    <t xml:space="preserve">    工业颜料制造</t>
  </si>
  <si>
    <t>294</t>
  </si>
  <si>
    <t>937.79</t>
  </si>
  <si>
    <t>297.58</t>
  </si>
  <si>
    <t>522.58</t>
  </si>
  <si>
    <t>211.12</t>
  </si>
  <si>
    <t>404.77</t>
  </si>
  <si>
    <t>96.93</t>
  </si>
  <si>
    <t>103.12</t>
  </si>
  <si>
    <t>41.78</t>
  </si>
  <si>
    <t>473.84</t>
  </si>
  <si>
    <t>382.37</t>
  </si>
  <si>
    <t>97.58</t>
  </si>
  <si>
    <t>460.63</t>
  </si>
  <si>
    <t>159.06</t>
  </si>
  <si>
    <t>14.50</t>
  </si>
  <si>
    <t>7.89</t>
  </si>
  <si>
    <t xml:space="preserve">    工艺美术颜料制造</t>
  </si>
  <si>
    <t>141.53</t>
  </si>
  <si>
    <t>44.44</t>
  </si>
  <si>
    <t>80.19</t>
  </si>
  <si>
    <t>34.34</t>
  </si>
  <si>
    <t>71.26</t>
  </si>
  <si>
    <t>20.84</t>
  </si>
  <si>
    <t>22.04</t>
  </si>
  <si>
    <t>9.52</t>
  </si>
  <si>
    <t>61.33</t>
  </si>
  <si>
    <t>48.03</t>
  </si>
  <si>
    <t>14.78</t>
  </si>
  <si>
    <t>80.20</t>
  </si>
  <si>
    <t>5.33</t>
  </si>
  <si>
    <t xml:space="preserve">    染料制造</t>
  </si>
  <si>
    <t>249</t>
  </si>
  <si>
    <t>998.97</t>
  </si>
  <si>
    <t>156.64</t>
  </si>
  <si>
    <t>273.93</t>
  </si>
  <si>
    <t>111.18</t>
  </si>
  <si>
    <t>559.59</t>
  </si>
  <si>
    <t>139.12</t>
  </si>
  <si>
    <t>80.23</t>
  </si>
  <si>
    <t>482.22</t>
  </si>
  <si>
    <t>434.44</t>
  </si>
  <si>
    <t>90.19</t>
  </si>
  <si>
    <t>516.75</t>
  </si>
  <si>
    <t>168.79</t>
  </si>
  <si>
    <t>6.54</t>
  </si>
  <si>
    <t>3.93</t>
  </si>
  <si>
    <t xml:space="preserve">    密封用填料及类似品制造</t>
  </si>
  <si>
    <t>256</t>
  </si>
  <si>
    <t>300.50</t>
  </si>
  <si>
    <t>62.38</t>
  </si>
  <si>
    <t>111.94</t>
  </si>
  <si>
    <t>46.67</t>
  </si>
  <si>
    <t>193.57</t>
  </si>
  <si>
    <t>57.61</t>
  </si>
  <si>
    <t>32.96</t>
  </si>
  <si>
    <t>13.52</t>
  </si>
  <si>
    <t>135.04</t>
  </si>
  <si>
    <t>45.95</t>
  </si>
  <si>
    <t>154.59</t>
  </si>
  <si>
    <t>61.71</t>
  </si>
  <si>
    <t xml:space="preserve">  合成材料制造</t>
  </si>
  <si>
    <t>2781</t>
  </si>
  <si>
    <t>17264.38</t>
  </si>
  <si>
    <t>6510.74</t>
  </si>
  <si>
    <t>11477.45</t>
  </si>
  <si>
    <t>4645.48</t>
  </si>
  <si>
    <t>7011.41</t>
  </si>
  <si>
    <t>1381.63</t>
  </si>
  <si>
    <t>1208.74</t>
  </si>
  <si>
    <t>504.60</t>
  </si>
  <si>
    <t>9407.44</t>
  </si>
  <si>
    <t>6455.32</t>
  </si>
  <si>
    <t>1551.01</t>
  </si>
  <si>
    <t>7854.10</t>
  </si>
  <si>
    <t>4907.71</t>
  </si>
  <si>
    <t>1276.76</t>
  </si>
  <si>
    <t>54.53</t>
  </si>
  <si>
    <t xml:space="preserve">    初级形态塑料及合成树脂制造</t>
  </si>
  <si>
    <t>1677</t>
  </si>
  <si>
    <t>11821.69</t>
  </si>
  <si>
    <t>4571.48</t>
  </si>
  <si>
    <t>8045.52</t>
  </si>
  <si>
    <t>3283.57</t>
  </si>
  <si>
    <t>4569.15</t>
  </si>
  <si>
    <t>893.18</t>
  </si>
  <si>
    <t>800.59</t>
  </si>
  <si>
    <t>332.62</t>
  </si>
  <si>
    <t>6249.52</t>
  </si>
  <si>
    <t>4139.40</t>
  </si>
  <si>
    <t>949.43</t>
  </si>
  <si>
    <t>5570.09</t>
  </si>
  <si>
    <t>3404.28</t>
  </si>
  <si>
    <t>1120.78</t>
  </si>
  <si>
    <t>46.59</t>
  </si>
  <si>
    <t xml:space="preserve">    合成橡胶制造</t>
  </si>
  <si>
    <t>1008.70</t>
  </si>
  <si>
    <t>266.59</t>
  </si>
  <si>
    <t>627.00</t>
  </si>
  <si>
    <t>352.69</t>
  </si>
  <si>
    <t>499.71</t>
  </si>
  <si>
    <t>114.58</t>
  </si>
  <si>
    <t>92.98</t>
  </si>
  <si>
    <t>45.54</t>
  </si>
  <si>
    <t>670.40</t>
  </si>
  <si>
    <t>492.59</t>
  </si>
  <si>
    <t>109.95</t>
  </si>
  <si>
    <t>337.85</t>
  </si>
  <si>
    <t>274.49</t>
  </si>
  <si>
    <t xml:space="preserve">    合成纤维单(聚合)体制造</t>
  </si>
  <si>
    <t>157</t>
  </si>
  <si>
    <t>3237.42</t>
  </si>
  <si>
    <t>1324.13</t>
  </si>
  <si>
    <t>2180.83</t>
  </si>
  <si>
    <t>761.40</t>
  </si>
  <si>
    <t>1307.30</t>
  </si>
  <si>
    <t>174.80</t>
  </si>
  <si>
    <t>195.22</t>
  </si>
  <si>
    <t>1959.52</t>
  </si>
  <si>
    <t>1392.24</t>
  </si>
  <si>
    <t>348.84</t>
  </si>
  <si>
    <t>1277.90</t>
  </si>
  <si>
    <t>846.59</t>
  </si>
  <si>
    <t xml:space="preserve">    其他合成材料制造</t>
  </si>
  <si>
    <t>578</t>
  </si>
  <si>
    <t>1196.57</t>
  </si>
  <si>
    <t>348.54</t>
  </si>
  <si>
    <t>624.10</t>
  </si>
  <si>
    <t>247.82</t>
  </si>
  <si>
    <t>635.25</t>
  </si>
  <si>
    <t>199.07</t>
  </si>
  <si>
    <t>119.95</t>
  </si>
  <si>
    <t>59.21</t>
  </si>
  <si>
    <t>528.00</t>
  </si>
  <si>
    <t>431.09</t>
  </si>
  <si>
    <t>142.79</t>
  </si>
  <si>
    <t>668.26</t>
  </si>
  <si>
    <t>382.35</t>
  </si>
  <si>
    <t>31.27</t>
  </si>
  <si>
    <t>1.86</t>
  </si>
  <si>
    <t xml:space="preserve">  专用化学产品制造</t>
  </si>
  <si>
    <t>5759</t>
  </si>
  <si>
    <t>11617.98</t>
  </si>
  <si>
    <t>2582.32</t>
  </si>
  <si>
    <t>5093.17</t>
  </si>
  <si>
    <t>2299.28</t>
  </si>
  <si>
    <t>6315.49</t>
  </si>
  <si>
    <t>1824.31</t>
  </si>
  <si>
    <t>1193.04</t>
  </si>
  <si>
    <t>557.81</t>
  </si>
  <si>
    <t>5322.42</t>
  </si>
  <si>
    <t>4265.42</t>
  </si>
  <si>
    <t>1289.01</t>
  </si>
  <si>
    <t>6293.80</t>
  </si>
  <si>
    <t>2664.35</t>
  </si>
  <si>
    <t>173.13</t>
  </si>
  <si>
    <t>57.04</t>
  </si>
  <si>
    <t xml:space="preserve">    化学试剂和助剂制造</t>
  </si>
  <si>
    <t>2286</t>
  </si>
  <si>
    <t>4335.83</t>
  </si>
  <si>
    <t>899.44</t>
  </si>
  <si>
    <t>1726.54</t>
  </si>
  <si>
    <t>765.88</t>
  </si>
  <si>
    <t>2481.69</t>
  </si>
  <si>
    <t>743.18</t>
  </si>
  <si>
    <t>493.45</t>
  </si>
  <si>
    <t>227.04</t>
  </si>
  <si>
    <t>1951.84</t>
  </si>
  <si>
    <t>1639.80</t>
  </si>
  <si>
    <t>501.97</t>
  </si>
  <si>
    <t>2375.94</t>
  </si>
  <si>
    <t>967.18</t>
  </si>
  <si>
    <t>79.84</t>
  </si>
  <si>
    <t xml:space="preserve">    专项化学用品制造</t>
  </si>
  <si>
    <t>1593</t>
  </si>
  <si>
    <t>4040.25</t>
  </si>
  <si>
    <t>1007.98</t>
  </si>
  <si>
    <t>1931.35</t>
  </si>
  <si>
    <t>858.42</t>
  </si>
  <si>
    <t>2240.31</t>
  </si>
  <si>
    <t>633.35</t>
  </si>
  <si>
    <t>374.20</t>
  </si>
  <si>
    <t>1995.05</t>
  </si>
  <si>
    <t>1527.59</t>
  </si>
  <si>
    <t>483.34</t>
  </si>
  <si>
    <t>2059.29</t>
  </si>
  <si>
    <t>936.97</t>
  </si>
  <si>
    <t>33.70</t>
  </si>
  <si>
    <t xml:space="preserve">    林产化学产品制造</t>
  </si>
  <si>
    <t>441</t>
  </si>
  <si>
    <t>340.07</t>
  </si>
  <si>
    <t>71.80</t>
  </si>
  <si>
    <t>136.39</t>
  </si>
  <si>
    <t>53.66</t>
  </si>
  <si>
    <t>175.08</t>
  </si>
  <si>
    <t>37.31</t>
  </si>
  <si>
    <t>54.71</t>
  </si>
  <si>
    <t>32.67</t>
  </si>
  <si>
    <t>147.18</t>
  </si>
  <si>
    <t>115.27</t>
  </si>
  <si>
    <t>28.66</t>
  </si>
  <si>
    <t>189.70</t>
  </si>
  <si>
    <t>90.73</t>
  </si>
  <si>
    <t xml:space="preserve">    文化用信息化学品制造</t>
  </si>
  <si>
    <t>149</t>
  </si>
  <si>
    <t>657.66</t>
  </si>
  <si>
    <t>145.28</t>
  </si>
  <si>
    <t>309.58</t>
  </si>
  <si>
    <t>142.89</t>
  </si>
  <si>
    <t>325.02</t>
  </si>
  <si>
    <t>91.30</t>
  </si>
  <si>
    <t>62.41</t>
  </si>
  <si>
    <t>24.68</t>
  </si>
  <si>
    <t>307.54</t>
  </si>
  <si>
    <t>56.95</t>
  </si>
  <si>
    <t>349.34</t>
  </si>
  <si>
    <t>173.14</t>
  </si>
  <si>
    <t>9.28</t>
  </si>
  <si>
    <t>4.52</t>
  </si>
  <si>
    <t xml:space="preserve">    医学生产用信息化学品制造</t>
  </si>
  <si>
    <t>83.08</t>
  </si>
  <si>
    <t>7.42</t>
  </si>
  <si>
    <t>21.50</t>
  </si>
  <si>
    <t>43.15</t>
  </si>
  <si>
    <t>2.41</t>
  </si>
  <si>
    <t>28.00</t>
  </si>
  <si>
    <t>26.95</t>
  </si>
  <si>
    <t>6.46</t>
  </si>
  <si>
    <t>54.23</t>
  </si>
  <si>
    <t xml:space="preserve">    环境污染处理专用药剂材料制造</t>
  </si>
  <si>
    <t>375</t>
  </si>
  <si>
    <t>428.57</t>
  </si>
  <si>
    <t>78.84</t>
  </si>
  <si>
    <t>140.71</t>
  </si>
  <si>
    <t>56.91</t>
  </si>
  <si>
    <t>271.03</t>
  </si>
  <si>
    <t>95.70</t>
  </si>
  <si>
    <t>49.83</t>
  </si>
  <si>
    <t>23.08</t>
  </si>
  <si>
    <t>190.18</t>
  </si>
  <si>
    <t>149.27</t>
  </si>
  <si>
    <t>63.75</t>
  </si>
  <si>
    <t>236.27</t>
  </si>
  <si>
    <t>91.91</t>
  </si>
  <si>
    <t>8.61</t>
  </si>
  <si>
    <t xml:space="preserve">2-1 续表8
</t>
  </si>
  <si>
    <t xml:space="preserve">    动物胶制造</t>
  </si>
  <si>
    <t>41</t>
  </si>
  <si>
    <t>60.14</t>
  </si>
  <si>
    <t>30.26</t>
  </si>
  <si>
    <t>14.74</t>
  </si>
  <si>
    <t>6.12</t>
  </si>
  <si>
    <t>25.14</t>
  </si>
  <si>
    <t>23.10</t>
  </si>
  <si>
    <t>5.80</t>
  </si>
  <si>
    <t>35.00</t>
  </si>
  <si>
    <t>25.48</t>
  </si>
  <si>
    <t xml:space="preserve">    其他专用化学产品制造</t>
  </si>
  <si>
    <t>842</t>
  </si>
  <si>
    <t>1672.38</t>
  </si>
  <si>
    <t>349.85</t>
  </si>
  <si>
    <t>790.31</t>
  </si>
  <si>
    <t>397.38</t>
  </si>
  <si>
    <t>748.95</t>
  </si>
  <si>
    <t>204.74</t>
  </si>
  <si>
    <t>134.71</t>
  </si>
  <si>
    <t>56.24</t>
  </si>
  <si>
    <t>677.50</t>
  </si>
  <si>
    <t>517.86</t>
  </si>
  <si>
    <t>142.06</t>
  </si>
  <si>
    <t>994.03</t>
  </si>
  <si>
    <t>356.49</t>
  </si>
  <si>
    <t>39.68</t>
  </si>
  <si>
    <t xml:space="preserve">  炸药、火工及焰火产品制造</t>
  </si>
  <si>
    <t>1051</t>
  </si>
  <si>
    <t>1527.22</t>
  </si>
  <si>
    <t>406.28</t>
  </si>
  <si>
    <t>711.96</t>
  </si>
  <si>
    <t>260.11</t>
  </si>
  <si>
    <t>557.18</t>
  </si>
  <si>
    <t>142.46</t>
  </si>
  <si>
    <t>80.49</t>
  </si>
  <si>
    <t>43.11</t>
  </si>
  <si>
    <t>553.39</t>
  </si>
  <si>
    <t>392.80</t>
  </si>
  <si>
    <t>101.64</t>
  </si>
  <si>
    <t>959.76</t>
  </si>
  <si>
    <t>347.15</t>
  </si>
  <si>
    <t>37.79</t>
  </si>
  <si>
    <t>11.18</t>
  </si>
  <si>
    <t xml:space="preserve">    炸药及火工产品制造</t>
  </si>
  <si>
    <t>225</t>
  </si>
  <si>
    <t>1016.80</t>
  </si>
  <si>
    <t>289.82</t>
  </si>
  <si>
    <t>488.16</t>
  </si>
  <si>
    <t>190.11</t>
  </si>
  <si>
    <t>95.15</t>
  </si>
  <si>
    <t>43.26</t>
  </si>
  <si>
    <t>17.43</t>
  </si>
  <si>
    <t>422.76</t>
  </si>
  <si>
    <t>311.54</t>
  </si>
  <si>
    <t>72.30</t>
  </si>
  <si>
    <t>593.65</t>
  </si>
  <si>
    <t>187.42</t>
  </si>
  <si>
    <t>37.51</t>
  </si>
  <si>
    <t>10.41</t>
  </si>
  <si>
    <t xml:space="preserve">    焰火、鞭炮产品制造</t>
  </si>
  <si>
    <t>826</t>
  </si>
  <si>
    <t>510.41</t>
  </si>
  <si>
    <t>116.45</t>
  </si>
  <si>
    <t>70.00</t>
  </si>
  <si>
    <t>146.86</t>
  </si>
  <si>
    <t>37.23</t>
  </si>
  <si>
    <t>25.68</t>
  </si>
  <si>
    <t>81.26</t>
  </si>
  <si>
    <t>29.33</t>
  </si>
  <si>
    <t>366.11</t>
  </si>
  <si>
    <t>159.73</t>
  </si>
  <si>
    <t xml:space="preserve">  日用化学产品制造</t>
  </si>
  <si>
    <t>1822</t>
  </si>
  <si>
    <t>3752.41</t>
  </si>
  <si>
    <t>659.78</t>
  </si>
  <si>
    <t>1305.31</t>
  </si>
  <si>
    <t>608.86</t>
  </si>
  <si>
    <t>2400.47</t>
  </si>
  <si>
    <t>741.71</t>
  </si>
  <si>
    <t>401.12</t>
  </si>
  <si>
    <t>179.37</t>
  </si>
  <si>
    <t>1731.00</t>
  </si>
  <si>
    <t>1558.35</t>
  </si>
  <si>
    <t>527.72</t>
  </si>
  <si>
    <t>2017.45</t>
  </si>
  <si>
    <t>717.62</t>
  </si>
  <si>
    <t>13.30</t>
  </si>
  <si>
    <t xml:space="preserve">    肥皂及洗涤剂制造</t>
  </si>
  <si>
    <t>411</t>
  </si>
  <si>
    <t>1073.37</t>
  </si>
  <si>
    <t>296.15</t>
  </si>
  <si>
    <t>151.24</t>
  </si>
  <si>
    <t>746.38</t>
  </si>
  <si>
    <t>88.46</t>
  </si>
  <si>
    <t>578.64</t>
  </si>
  <si>
    <t>531.72</t>
  </si>
  <si>
    <t>147.31</t>
  </si>
  <si>
    <t>493.63</t>
  </si>
  <si>
    <t>172.25</t>
  </si>
  <si>
    <t xml:space="preserve">    化妆品制造</t>
  </si>
  <si>
    <t>724</t>
  </si>
  <si>
    <t>1362.61</t>
  </si>
  <si>
    <t>257.63</t>
  </si>
  <si>
    <t>500.11</t>
  </si>
  <si>
    <t>824.38</t>
  </si>
  <si>
    <t>222.16</t>
  </si>
  <si>
    <t>162.89</t>
  </si>
  <si>
    <t>75.63</t>
  </si>
  <si>
    <t>620.73</t>
  </si>
  <si>
    <t>561.64</t>
  </si>
  <si>
    <t>210.11</t>
  </si>
  <si>
    <t>284.32</t>
  </si>
  <si>
    <t xml:space="preserve">    口腔清洁用品制造</t>
  </si>
  <si>
    <t>246.56</t>
  </si>
  <si>
    <t>27.41</t>
  </si>
  <si>
    <t>71.47</t>
  </si>
  <si>
    <t>41.38</t>
  </si>
  <si>
    <t>193.49</t>
  </si>
  <si>
    <t>37.24</t>
  </si>
  <si>
    <t>22.38</t>
  </si>
  <si>
    <t>12.49</t>
  </si>
  <si>
    <t>106.89</t>
  </si>
  <si>
    <t>100.55</t>
  </si>
  <si>
    <t>41.20</t>
  </si>
  <si>
    <t>138.64</t>
  </si>
  <si>
    <t>39.19</t>
  </si>
  <si>
    <t>4.33</t>
  </si>
  <si>
    <t xml:space="preserve">    香料、香精制造</t>
  </si>
  <si>
    <t>334</t>
  </si>
  <si>
    <t>166.15</t>
  </si>
  <si>
    <t>287.44</t>
  </si>
  <si>
    <t>114.87</t>
  </si>
  <si>
    <t>443.99</t>
  </si>
  <si>
    <t>106.55</t>
  </si>
  <si>
    <t>84.96</t>
  </si>
  <si>
    <t>37.35</t>
  </si>
  <si>
    <t>263.80</t>
  </si>
  <si>
    <t>74.14</t>
  </si>
  <si>
    <t>476.98</t>
  </si>
  <si>
    <t>135.10</t>
  </si>
  <si>
    <t xml:space="preserve">    其他日用化学产品制造</t>
  </si>
  <si>
    <t>288</t>
  </si>
  <si>
    <t>328.12</t>
  </si>
  <si>
    <t>150.14</t>
  </si>
  <si>
    <t>192.23</t>
  </si>
  <si>
    <t>50.66</t>
  </si>
  <si>
    <t>160.94</t>
  </si>
  <si>
    <t>149.11</t>
  </si>
  <si>
    <t>54.96</t>
  </si>
  <si>
    <t>166.42</t>
  </si>
  <si>
    <t>86.76</t>
  </si>
  <si>
    <t>0.53</t>
  </si>
  <si>
    <t>8170</t>
  </si>
  <si>
    <t>38010.09</t>
  </si>
  <si>
    <t>6688.34</t>
  </si>
  <si>
    <t>11864.80</t>
  </si>
  <si>
    <t>4827.31</t>
  </si>
  <si>
    <t>21842.82</t>
  </si>
  <si>
    <t>4694.48</t>
  </si>
  <si>
    <t>4801.34</t>
  </si>
  <si>
    <t>2286.82</t>
  </si>
  <si>
    <t>15513.72</t>
  </si>
  <si>
    <t>12591.41</t>
  </si>
  <si>
    <t>2897.49</t>
  </si>
  <si>
    <t>22451.06</t>
  </si>
  <si>
    <t>6337.21</t>
  </si>
  <si>
    <t>454.00</t>
  </si>
  <si>
    <t xml:space="preserve">  化学药品原料药制造</t>
  </si>
  <si>
    <t>1318</t>
  </si>
  <si>
    <t>6501.21</t>
  </si>
  <si>
    <t>1671.91</t>
  </si>
  <si>
    <t>3113.08</t>
  </si>
  <si>
    <t>1322.75</t>
  </si>
  <si>
    <t>3120.65</t>
  </si>
  <si>
    <t>630.58</t>
  </si>
  <si>
    <t>732.11</t>
  </si>
  <si>
    <t>348.05</t>
  </si>
  <si>
    <t>2799.64</t>
  </si>
  <si>
    <t>2191.90</t>
  </si>
  <si>
    <t>451.85</t>
  </si>
  <si>
    <t>3676.17</t>
  </si>
  <si>
    <t>1223.48</t>
  </si>
  <si>
    <t>49.18</t>
  </si>
  <si>
    <t>37.29</t>
  </si>
  <si>
    <t xml:space="preserve">  化学药品制剂制造</t>
  </si>
  <si>
    <t>1155</t>
  </si>
  <si>
    <t>11069.67</t>
  </si>
  <si>
    <t>1683.28</t>
  </si>
  <si>
    <t>3022.99</t>
  </si>
  <si>
    <t>1300.55</t>
  </si>
  <si>
    <t>6823.65</t>
  </si>
  <si>
    <t>1476.38</t>
  </si>
  <si>
    <t>1521.02</t>
  </si>
  <si>
    <t>749.80</t>
  </si>
  <si>
    <t>4599.58</t>
  </si>
  <si>
    <t>3963.23</t>
  </si>
  <si>
    <t>972.61</t>
  </si>
  <si>
    <t>6463.59</t>
  </si>
  <si>
    <t>1724.55</t>
  </si>
  <si>
    <t>133.62</t>
  </si>
  <si>
    <t xml:space="preserve">  中药饮片加工</t>
  </si>
  <si>
    <t>1311</t>
  </si>
  <si>
    <t>2670.78</t>
  </si>
  <si>
    <t>377.15</t>
  </si>
  <si>
    <t>622.80</t>
  </si>
  <si>
    <t>200.39</t>
  </si>
  <si>
    <t>1836.16</t>
  </si>
  <si>
    <t>551.77</t>
  </si>
  <si>
    <t>655.84</t>
  </si>
  <si>
    <t>424.66</t>
  </si>
  <si>
    <t>1456.91</t>
  </si>
  <si>
    <t>1081.34</t>
  </si>
  <si>
    <t>330.54</t>
  </si>
  <si>
    <t>1213.42</t>
  </si>
  <si>
    <t>409.60</t>
  </si>
  <si>
    <t>28.88</t>
  </si>
  <si>
    <t>8.25</t>
  </si>
  <si>
    <t xml:space="preserve">  中成药生产</t>
  </si>
  <si>
    <t>1540</t>
  </si>
  <si>
    <t>8227.23</t>
  </si>
  <si>
    <t>1338.89</t>
  </si>
  <si>
    <t>2365.85</t>
  </si>
  <si>
    <t>950.14</t>
  </si>
  <si>
    <t>4653.31</t>
  </si>
  <si>
    <t>867.59</t>
  </si>
  <si>
    <t>877.34</t>
  </si>
  <si>
    <t>316.10</t>
  </si>
  <si>
    <t>3246.60</t>
  </si>
  <si>
    <t>2688.71</t>
  </si>
  <si>
    <t>522.61</t>
  </si>
  <si>
    <t>4969.46</t>
  </si>
  <si>
    <t>1267.92</t>
  </si>
  <si>
    <t>97.27</t>
  </si>
  <si>
    <t>31.72</t>
  </si>
  <si>
    <t xml:space="preserve">  兽用药品制造</t>
  </si>
  <si>
    <t>438</t>
  </si>
  <si>
    <t>951.24</t>
  </si>
  <si>
    <t>255.50</t>
  </si>
  <si>
    <t>433.32</t>
  </si>
  <si>
    <t>165.43</t>
  </si>
  <si>
    <t>465.08</t>
  </si>
  <si>
    <t>91.75</t>
  </si>
  <si>
    <t>93.98</t>
  </si>
  <si>
    <t>43.32</t>
  </si>
  <si>
    <t>353.95</t>
  </si>
  <si>
    <t>277.48</t>
  </si>
  <si>
    <t>70.92</t>
  </si>
  <si>
    <t>597.29</t>
  </si>
  <si>
    <t>216.44</t>
  </si>
  <si>
    <t>11.69</t>
  </si>
  <si>
    <t>6.79</t>
  </si>
  <si>
    <t xml:space="preserve">  生物药品制品制造</t>
  </si>
  <si>
    <t>909</t>
  </si>
  <si>
    <t>5770.84</t>
  </si>
  <si>
    <t>849.55</t>
  </si>
  <si>
    <t>1424.64</t>
  </si>
  <si>
    <t>549.42</t>
  </si>
  <si>
    <t>3233.05</t>
  </si>
  <si>
    <t>707.34</t>
  </si>
  <si>
    <t>559.36</t>
  </si>
  <si>
    <t>191.53</t>
  </si>
  <si>
    <t>1875.71</t>
  </si>
  <si>
    <t>1515.77</t>
  </si>
  <si>
    <t>282.51</t>
  </si>
  <si>
    <t>3895.13</t>
  </si>
  <si>
    <t>1108.76</t>
  </si>
  <si>
    <t>115.77</t>
  </si>
  <si>
    <t xml:space="preserve">    生物药品制造</t>
  </si>
  <si>
    <t>867</t>
  </si>
  <si>
    <t>4807.33</t>
  </si>
  <si>
    <t>729.75</t>
  </si>
  <si>
    <t>1228.66</t>
  </si>
  <si>
    <t>473.70</t>
  </si>
  <si>
    <t>2677.65</t>
  </si>
  <si>
    <t>563.35</t>
  </si>
  <si>
    <t>509.48</t>
  </si>
  <si>
    <t>177.93</t>
  </si>
  <si>
    <t>1609.32</t>
  </si>
  <si>
    <t>1294.48</t>
  </si>
  <si>
    <t>247.86</t>
  </si>
  <si>
    <t>3198.01</t>
  </si>
  <si>
    <t>932.40</t>
  </si>
  <si>
    <t>87.65</t>
  </si>
  <si>
    <t xml:space="preserve">    基因工程药物和疫苗制造</t>
  </si>
  <si>
    <t>963.51</t>
  </si>
  <si>
    <t>119.80</t>
  </si>
  <si>
    <t>195.98</t>
  </si>
  <si>
    <t>555.40</t>
  </si>
  <si>
    <t>143.98</t>
  </si>
  <si>
    <t>13.60</t>
  </si>
  <si>
    <t>266.40</t>
  </si>
  <si>
    <t>221.29</t>
  </si>
  <si>
    <t>34.65</t>
  </si>
  <si>
    <t>697.12</t>
  </si>
  <si>
    <t>176.36</t>
  </si>
  <si>
    <t>28.12</t>
  </si>
  <si>
    <t xml:space="preserve">  卫生材料及医药用品制造</t>
  </si>
  <si>
    <t>1284</t>
  </si>
  <si>
    <t>2455.37</t>
  </si>
  <si>
    <t>417.48</t>
  </si>
  <si>
    <t>699.10</t>
  </si>
  <si>
    <t>254.83</t>
  </si>
  <si>
    <t>1509.43</t>
  </si>
  <si>
    <t>316.30</t>
  </si>
  <si>
    <t>319.81</t>
  </si>
  <si>
    <t>191.45</t>
  </si>
  <si>
    <t>1025.71</t>
  </si>
  <si>
    <t>753.62</t>
  </si>
  <si>
    <t>237.15</t>
  </si>
  <si>
    <t>1428.59</t>
  </si>
  <si>
    <t>313.84</t>
  </si>
  <si>
    <t xml:space="preserve">  药用辅料及包装材料</t>
  </si>
  <si>
    <t>215</t>
  </si>
  <si>
    <t>363.74</t>
  </si>
  <si>
    <t>94.59</t>
  </si>
  <si>
    <t>183.04</t>
  </si>
  <si>
    <t>83.80</t>
  </si>
  <si>
    <t>201.50</t>
  </si>
  <si>
    <t>52.76</t>
  </si>
  <si>
    <t>41.88</t>
  </si>
  <si>
    <t>21.92</t>
  </si>
  <si>
    <t>155.60</t>
  </si>
  <si>
    <t>119.37</t>
  </si>
  <si>
    <t>207.41</t>
  </si>
  <si>
    <t>72.61</t>
  </si>
  <si>
    <t>化学纤维制造业</t>
  </si>
  <si>
    <t>1937</t>
  </si>
  <si>
    <t>8965.02</t>
  </si>
  <si>
    <t>2381.11</t>
  </si>
  <si>
    <t>4814.91</t>
  </si>
  <si>
    <t>2295.62</t>
  </si>
  <si>
    <t>3871.51</t>
  </si>
  <si>
    <t>588.73</t>
  </si>
  <si>
    <t>807.06</t>
  </si>
  <si>
    <t>438.24</t>
  </si>
  <si>
    <t>5285.32</t>
  </si>
  <si>
    <t>4235.43</t>
  </si>
  <si>
    <t>723.60</t>
  </si>
  <si>
    <t>3675.07</t>
  </si>
  <si>
    <t>2084.24</t>
  </si>
  <si>
    <t>23.55</t>
  </si>
  <si>
    <t xml:space="preserve">  纤维素纤维原料及纤维制造</t>
  </si>
  <si>
    <t>1752.59</t>
  </si>
  <si>
    <t>591.41</t>
  </si>
  <si>
    <t>1074.52</t>
  </si>
  <si>
    <t>467.53</t>
  </si>
  <si>
    <t>747.50</t>
  </si>
  <si>
    <t>98.09</t>
  </si>
  <si>
    <t>168.58</t>
  </si>
  <si>
    <t>1126.35</t>
  </si>
  <si>
    <t>852.50</t>
  </si>
  <si>
    <t>170.54</t>
  </si>
  <si>
    <t>626.02</t>
  </si>
  <si>
    <t>422.35</t>
  </si>
  <si>
    <t>126.82</t>
  </si>
  <si>
    <t xml:space="preserve">    化纤浆粕制造</t>
  </si>
  <si>
    <t>22</t>
  </si>
  <si>
    <t>69.13</t>
  </si>
  <si>
    <t>45.03</t>
  </si>
  <si>
    <t>20.01</t>
  </si>
  <si>
    <t>26.24</t>
  </si>
  <si>
    <t>2.54</t>
  </si>
  <si>
    <t>48.77</t>
  </si>
  <si>
    <t>40.26</t>
  </si>
  <si>
    <t>20.36</t>
  </si>
  <si>
    <t>6.35</t>
  </si>
  <si>
    <t xml:space="preserve">    人造纤维(纤维素纤维)制造</t>
  </si>
  <si>
    <t>192</t>
  </si>
  <si>
    <t>1683.46</t>
  </si>
  <si>
    <t>569.85</t>
  </si>
  <si>
    <t>1029.49</t>
  </si>
  <si>
    <t>447.51</t>
  </si>
  <si>
    <t>721.26</t>
  </si>
  <si>
    <t>91.96</t>
  </si>
  <si>
    <t>161.87</t>
  </si>
  <si>
    <t>71.60</t>
  </si>
  <si>
    <t>1077.58</t>
  </si>
  <si>
    <t>812.24</t>
  </si>
  <si>
    <t>160.72</t>
  </si>
  <si>
    <t>605.66</t>
  </si>
  <si>
    <t>405.68</t>
  </si>
  <si>
    <t>120.47</t>
  </si>
  <si>
    <t xml:space="preserve">  合成纤维制造</t>
  </si>
  <si>
    <t>1625</t>
  </si>
  <si>
    <t>6820.82</t>
  </si>
  <si>
    <t>1672.17</t>
  </si>
  <si>
    <t>3565.44</t>
  </si>
  <si>
    <t>1778.77</t>
  </si>
  <si>
    <t>2938.82</t>
  </si>
  <si>
    <t>474.50</t>
  </si>
  <si>
    <t>607.75</t>
  </si>
  <si>
    <t>350.78</t>
  </si>
  <si>
    <t>3931.11</t>
  </si>
  <si>
    <t>3198.12</t>
  </si>
  <si>
    <t>521.44</t>
  </si>
  <si>
    <t>2884.67</t>
  </si>
  <si>
    <t>1564.47</t>
  </si>
  <si>
    <t xml:space="preserve">    锦纶纤维制造</t>
  </si>
  <si>
    <t>197</t>
  </si>
  <si>
    <t>819.90</t>
  </si>
  <si>
    <t>189.74</t>
  </si>
  <si>
    <t>477.50</t>
  </si>
  <si>
    <t>271.23</t>
  </si>
  <si>
    <t>402.67</t>
  </si>
  <si>
    <t>70.67</t>
  </si>
  <si>
    <t>101.18</t>
  </si>
  <si>
    <t>71.75</t>
  </si>
  <si>
    <t>475.29</t>
  </si>
  <si>
    <t>373.92</t>
  </si>
  <si>
    <t>344.43</t>
  </si>
  <si>
    <t>147.02</t>
  </si>
  <si>
    <t>15.38</t>
  </si>
  <si>
    <t xml:space="preserve">    涤纶纤维制造</t>
  </si>
  <si>
    <t>935</t>
  </si>
  <si>
    <t>4954.82</t>
  </si>
  <si>
    <t>1188.30</t>
  </si>
  <si>
    <t>2449.82</t>
  </si>
  <si>
    <t>1173.80</t>
  </si>
  <si>
    <t>2042.58</t>
  </si>
  <si>
    <t>321.14</t>
  </si>
  <si>
    <t>404.73</t>
  </si>
  <si>
    <t>223.14</t>
  </si>
  <si>
    <t>2917.82</t>
  </si>
  <si>
    <t>2393.10</t>
  </si>
  <si>
    <t>401.56</t>
  </si>
  <si>
    <t>2033.26</t>
  </si>
  <si>
    <t>1100.81</t>
  </si>
  <si>
    <t>45.94</t>
  </si>
  <si>
    <t>6.06</t>
  </si>
  <si>
    <t xml:space="preserve">    腈纶纤维制造</t>
  </si>
  <si>
    <t>12</t>
  </si>
  <si>
    <t>163.70</t>
  </si>
  <si>
    <t>66.95</t>
  </si>
  <si>
    <t>130.71</t>
  </si>
  <si>
    <t>62.77</t>
  </si>
  <si>
    <t>75.30</t>
  </si>
  <si>
    <t>11.52</t>
  </si>
  <si>
    <t>15.94</t>
  </si>
  <si>
    <t>8.53</t>
  </si>
  <si>
    <t>129.71</t>
  </si>
  <si>
    <t>114.75</t>
  </si>
  <si>
    <t>19.94</t>
  </si>
  <si>
    <t>33.99</t>
  </si>
  <si>
    <t>25.20</t>
  </si>
  <si>
    <t>13.02</t>
  </si>
  <si>
    <t xml:space="preserve">    维纶纤维制造</t>
  </si>
  <si>
    <t>16.05</t>
  </si>
  <si>
    <t>12.96</t>
  </si>
  <si>
    <t>6.94</t>
  </si>
  <si>
    <t>6.86</t>
  </si>
  <si>
    <t>9.79</t>
  </si>
  <si>
    <t>1.03</t>
  </si>
  <si>
    <t>6.26</t>
  </si>
  <si>
    <t xml:space="preserve">    丙纶纤维制造</t>
  </si>
  <si>
    <t>63</t>
  </si>
  <si>
    <t>15.34</t>
  </si>
  <si>
    <t>14.61</t>
  </si>
  <si>
    <t>45.37</t>
  </si>
  <si>
    <t>8.42</t>
  </si>
  <si>
    <t>6.97</t>
  </si>
  <si>
    <t>37.02</t>
  </si>
  <si>
    <t>7.64</t>
  </si>
  <si>
    <t>32.54</t>
  </si>
  <si>
    <t>15.39</t>
  </si>
  <si>
    <t xml:space="preserve">    氨纶纤维制造</t>
  </si>
  <si>
    <t>443.18</t>
  </si>
  <si>
    <t>111.73</t>
  </si>
  <si>
    <t>297.53</t>
  </si>
  <si>
    <t>189.92</t>
  </si>
  <si>
    <t>23.45</t>
  </si>
  <si>
    <t>165.86</t>
  </si>
  <si>
    <t>141.40</t>
  </si>
  <si>
    <t>28.13</t>
  </si>
  <si>
    <t>277.32</t>
  </si>
  <si>
    <t>161.92</t>
  </si>
  <si>
    <t>6.81</t>
  </si>
  <si>
    <t xml:space="preserve">    其他合成纤维制造</t>
  </si>
  <si>
    <t>348</t>
  </si>
  <si>
    <t>352.74</t>
  </si>
  <si>
    <t>94.09</t>
  </si>
  <si>
    <t>165.69</t>
  </si>
  <si>
    <t>176.13</t>
  </si>
  <si>
    <t>37.88</t>
  </si>
  <si>
    <t>44.31</t>
  </si>
  <si>
    <t>195.63</t>
  </si>
  <si>
    <t>135.69</t>
  </si>
  <si>
    <t>25.86</t>
  </si>
  <si>
    <t>156.86</t>
  </si>
  <si>
    <t>107.47</t>
  </si>
  <si>
    <t>7.71</t>
  </si>
  <si>
    <t xml:space="preserve">  生物基材料制造</t>
  </si>
  <si>
    <t>98</t>
  </si>
  <si>
    <t>391.61</t>
  </si>
  <si>
    <t>117.54</t>
  </si>
  <si>
    <t>174.95</t>
  </si>
  <si>
    <t>49.33</t>
  </si>
  <si>
    <t>185.19</t>
  </si>
  <si>
    <t>16.14</t>
  </si>
  <si>
    <t>30.73</t>
  </si>
  <si>
    <t>227.86</t>
  </si>
  <si>
    <t>184.81</t>
  </si>
  <si>
    <t>31.62</t>
  </si>
  <si>
    <t>164.38</t>
  </si>
  <si>
    <t>97.42</t>
  </si>
  <si>
    <t>3.51</t>
  </si>
  <si>
    <t>3.01</t>
  </si>
  <si>
    <t xml:space="preserve">    生物基化学纤维制造</t>
  </si>
  <si>
    <t>38</t>
  </si>
  <si>
    <t>193.06</t>
  </si>
  <si>
    <t>76.52</t>
  </si>
  <si>
    <t>108.73</t>
  </si>
  <si>
    <t>77.11</t>
  </si>
  <si>
    <t>16.20</t>
  </si>
  <si>
    <t>111.84</t>
  </si>
  <si>
    <t>88.79</t>
  </si>
  <si>
    <t>13.78</t>
  </si>
  <si>
    <t>81.22</t>
  </si>
  <si>
    <t>56.03</t>
  </si>
  <si>
    <t xml:space="preserve">    生物基、淀粉基新材料制造</t>
  </si>
  <si>
    <t>60</t>
  </si>
  <si>
    <t>198.55</t>
  </si>
  <si>
    <t>41.02</t>
  </si>
  <si>
    <t>66.22</t>
  </si>
  <si>
    <t>23.73</t>
  </si>
  <si>
    <t>108.08</t>
  </si>
  <si>
    <t>9.36</t>
  </si>
  <si>
    <t>14.54</t>
  </si>
  <si>
    <t>116.02</t>
  </si>
  <si>
    <t>96.02</t>
  </si>
  <si>
    <t>17.84</t>
  </si>
  <si>
    <t>83.15</t>
  </si>
  <si>
    <t>41.39</t>
  </si>
  <si>
    <t>20781</t>
  </si>
  <si>
    <t>23964.34</t>
  </si>
  <si>
    <t>5832.11</t>
  </si>
  <si>
    <t>11712.40</t>
  </si>
  <si>
    <t>5560.58</t>
  </si>
  <si>
    <t>13982.29</t>
  </si>
  <si>
    <t>4576.73</t>
  </si>
  <si>
    <t>2898.03</t>
  </si>
  <si>
    <t>1363.27</t>
  </si>
  <si>
    <t>12087.02</t>
  </si>
  <si>
    <t>10244.73</t>
  </si>
  <si>
    <t>-5437.67</t>
  </si>
  <si>
    <t>11830.82</t>
  </si>
  <si>
    <t>5851.32</t>
  </si>
  <si>
    <t>253.21</t>
  </si>
  <si>
    <t>143.18</t>
  </si>
  <si>
    <t xml:space="preserve">  橡胶制品业</t>
  </si>
  <si>
    <t>3129</t>
  </si>
  <si>
    <t>7222.33</t>
  </si>
  <si>
    <t>2143.72</t>
  </si>
  <si>
    <t>4277.55</t>
  </si>
  <si>
    <t>2064.31</t>
  </si>
  <si>
    <t>3840.84</t>
  </si>
  <si>
    <t>1149.74</t>
  </si>
  <si>
    <t>839.75</t>
  </si>
  <si>
    <t>433.58</t>
  </si>
  <si>
    <t>3579.77</t>
  </si>
  <si>
    <t>3029.90</t>
  </si>
  <si>
    <t>889.85</t>
  </si>
  <si>
    <t>3636.02</t>
  </si>
  <si>
    <t>1751.08</t>
  </si>
  <si>
    <t>150.04</t>
  </si>
  <si>
    <t>20.63</t>
  </si>
  <si>
    <t xml:space="preserve">    轮胎制造</t>
  </si>
  <si>
    <t>4134.06</t>
  </si>
  <si>
    <t>1523.95</t>
  </si>
  <si>
    <t>3085.03</t>
  </si>
  <si>
    <t>1532.68</t>
  </si>
  <si>
    <t>1947.15</t>
  </si>
  <si>
    <t>449.43</t>
  </si>
  <si>
    <t>498.64</t>
  </si>
  <si>
    <t>271.80</t>
  </si>
  <si>
    <t>2175.62</t>
  </si>
  <si>
    <t>1869.72</t>
  </si>
  <si>
    <t>472.97</t>
  </si>
  <si>
    <t>1958.43</t>
  </si>
  <si>
    <t>1024.97</t>
  </si>
  <si>
    <t>99.53</t>
  </si>
  <si>
    <t xml:space="preserve">    橡胶板、管、带制造</t>
  </si>
  <si>
    <t>697</t>
  </si>
  <si>
    <t>1027.06</t>
  </si>
  <si>
    <t>205.22</t>
  </si>
  <si>
    <t>408.29</t>
  </si>
  <si>
    <t>184.85</t>
  </si>
  <si>
    <t>591.55</t>
  </si>
  <si>
    <t>238.52</t>
  </si>
  <si>
    <t>107.92</t>
  </si>
  <si>
    <t>56.60</t>
  </si>
  <si>
    <t>443.53</t>
  </si>
  <si>
    <t>367.05</t>
  </si>
  <si>
    <t>118.62</t>
  </si>
  <si>
    <t>578.57</t>
  </si>
  <si>
    <t>284.71</t>
  </si>
  <si>
    <t>42.11</t>
  </si>
  <si>
    <t xml:space="preserve">    橡胶零件制造</t>
  </si>
  <si>
    <t>761</t>
  </si>
  <si>
    <t>771.94</t>
  </si>
  <si>
    <t>151.41</t>
  </si>
  <si>
    <t>309.87</t>
  </si>
  <si>
    <t>149.09</t>
  </si>
  <si>
    <t>475.42</t>
  </si>
  <si>
    <t>191.72</t>
  </si>
  <si>
    <t>78.13</t>
  </si>
  <si>
    <t>37.45</t>
  </si>
  <si>
    <t>333.08</t>
  </si>
  <si>
    <t>286.17</t>
  </si>
  <si>
    <t>121.29</t>
  </si>
  <si>
    <t>438.86</t>
  </si>
  <si>
    <t>166.13</t>
  </si>
  <si>
    <t xml:space="preserve">2-1 续表9
</t>
  </si>
  <si>
    <t xml:space="preserve">    再生橡胶制造</t>
  </si>
  <si>
    <t>61.09</t>
  </si>
  <si>
    <t>16.32</t>
  </si>
  <si>
    <t>30.22</t>
  </si>
  <si>
    <t>32.80</t>
  </si>
  <si>
    <t>6.65</t>
  </si>
  <si>
    <t>3.27</t>
  </si>
  <si>
    <t>29.16</t>
  </si>
  <si>
    <t>23.97</t>
  </si>
  <si>
    <t>5.96</t>
  </si>
  <si>
    <t>15.45</t>
  </si>
  <si>
    <t xml:space="preserve">    日用及医用橡胶制品制造</t>
  </si>
  <si>
    <t>430.12</t>
  </si>
  <si>
    <t>157.84</t>
  </si>
  <si>
    <t>57.08</t>
  </si>
  <si>
    <t>278.89</t>
  </si>
  <si>
    <t>56.36</t>
  </si>
  <si>
    <t>50.94</t>
  </si>
  <si>
    <t>209.88</t>
  </si>
  <si>
    <t>155.73</t>
  </si>
  <si>
    <t>47.56</t>
  </si>
  <si>
    <t>220.05</t>
  </si>
  <si>
    <t>69.19</t>
  </si>
  <si>
    <t xml:space="preserve">    运动场地用塑胶制造</t>
  </si>
  <si>
    <t>57</t>
  </si>
  <si>
    <t>20.31</t>
  </si>
  <si>
    <t>5.28</t>
  </si>
  <si>
    <t>11.56</t>
  </si>
  <si>
    <t>3.21</t>
  </si>
  <si>
    <t>11.04</t>
  </si>
  <si>
    <t>1.68</t>
  </si>
  <si>
    <t>9.19</t>
  </si>
  <si>
    <t>5.06</t>
  </si>
  <si>
    <t xml:space="preserve">    其他橡胶制品制造</t>
  </si>
  <si>
    <t>879</t>
  </si>
  <si>
    <t>777.75</t>
  </si>
  <si>
    <t>144.23</t>
  </si>
  <si>
    <t>275.37</t>
  </si>
  <si>
    <t>123.99</t>
  </si>
  <si>
    <t>503.46</t>
  </si>
  <si>
    <t>199.27</t>
  </si>
  <si>
    <t>94.54</t>
  </si>
  <si>
    <t>37.92</t>
  </si>
  <si>
    <t>320.12</t>
  </si>
  <si>
    <t>121.78</t>
  </si>
  <si>
    <t>399.38</t>
  </si>
  <si>
    <t xml:space="preserve">  塑料制品业</t>
  </si>
  <si>
    <t>17652</t>
  </si>
  <si>
    <t>16742.00</t>
  </si>
  <si>
    <t>3688.39</t>
  </si>
  <si>
    <t>7434.85</t>
  </si>
  <si>
    <t>3496.28</t>
  </si>
  <si>
    <t>10141.45</t>
  </si>
  <si>
    <t>3426.99</t>
  </si>
  <si>
    <t>2058.28</t>
  </si>
  <si>
    <t>929.69</t>
  </si>
  <si>
    <t>8507.25</t>
  </si>
  <si>
    <t>7214.83</t>
  </si>
  <si>
    <t>-6327.52</t>
  </si>
  <si>
    <t>8194.80</t>
  </si>
  <si>
    <t>4100.24</t>
  </si>
  <si>
    <t>122.56</t>
  </si>
  <si>
    <t xml:space="preserve">    塑料薄膜制造</t>
  </si>
  <si>
    <t>2359</t>
  </si>
  <si>
    <t>3240.29</t>
  </si>
  <si>
    <t>828.45</t>
  </si>
  <si>
    <t>1582.69</t>
  </si>
  <si>
    <t>705.48</t>
  </si>
  <si>
    <t>1807.09</t>
  </si>
  <si>
    <t>501.92</t>
  </si>
  <si>
    <t>326.02</t>
  </si>
  <si>
    <t>134.03</t>
  </si>
  <si>
    <t>1711.77</t>
  </si>
  <si>
    <t>1391.74</t>
  </si>
  <si>
    <t>-8218.57</t>
  </si>
  <si>
    <t>1518.93</t>
  </si>
  <si>
    <t>919.42</t>
  </si>
  <si>
    <t>65.19</t>
  </si>
  <si>
    <t>88.74</t>
  </si>
  <si>
    <t xml:space="preserve">    塑料板、管、型材制造</t>
  </si>
  <si>
    <t>3067</t>
  </si>
  <si>
    <t>3329.23</t>
  </si>
  <si>
    <t>678.28</t>
  </si>
  <si>
    <t>1283.36</t>
  </si>
  <si>
    <t>560.16</t>
  </si>
  <si>
    <t>2078.37</t>
  </si>
  <si>
    <t>673.41</t>
  </si>
  <si>
    <t>441.29</t>
  </si>
  <si>
    <t>224.70</t>
  </si>
  <si>
    <t>1562.02</t>
  </si>
  <si>
    <t>1307.15</t>
  </si>
  <si>
    <t>350.72</t>
  </si>
  <si>
    <t>1758.73</t>
  </si>
  <si>
    <t>911.98</t>
  </si>
  <si>
    <t>13.73</t>
  </si>
  <si>
    <t xml:space="preserve">    塑料丝、绳及编织品制造</t>
  </si>
  <si>
    <t>1591</t>
  </si>
  <si>
    <t>1058.00</t>
  </si>
  <si>
    <t>243.44</t>
  </si>
  <si>
    <t>491.72</t>
  </si>
  <si>
    <t>225.78</t>
  </si>
  <si>
    <t>593.68</t>
  </si>
  <si>
    <t>181.10</t>
  </si>
  <si>
    <t>135.47</t>
  </si>
  <si>
    <t>562.01</t>
  </si>
  <si>
    <t>469.73</t>
  </si>
  <si>
    <t>128.74</t>
  </si>
  <si>
    <t>491.30</t>
  </si>
  <si>
    <t>238.26</t>
  </si>
  <si>
    <t>6.04</t>
  </si>
  <si>
    <t xml:space="preserve">    泡沫塑料制造</t>
  </si>
  <si>
    <t>958</t>
  </si>
  <si>
    <t>580.39</t>
  </si>
  <si>
    <t>111.23</t>
  </si>
  <si>
    <t>219.71</t>
  </si>
  <si>
    <t>98.25</t>
  </si>
  <si>
    <t>390.85</t>
  </si>
  <si>
    <t>162.31</t>
  </si>
  <si>
    <t>73.05</t>
  </si>
  <si>
    <t>34.51</t>
  </si>
  <si>
    <t>295.18</t>
  </si>
  <si>
    <t>258.75</t>
  </si>
  <si>
    <t>94.07</t>
  </si>
  <si>
    <t>284.87</t>
  </si>
  <si>
    <t>129.13</t>
  </si>
  <si>
    <t>0.57</t>
  </si>
  <si>
    <t xml:space="preserve">    塑料人造革、合成革制造</t>
  </si>
  <si>
    <t>414</t>
  </si>
  <si>
    <t>607.37</t>
  </si>
  <si>
    <t>135.18</t>
  </si>
  <si>
    <t>331.02</t>
  </si>
  <si>
    <t>182.65</t>
  </si>
  <si>
    <t>348.08</t>
  </si>
  <si>
    <t>77.39</t>
  </si>
  <si>
    <t>103.70</t>
  </si>
  <si>
    <t>37.91</t>
  </si>
  <si>
    <t>306.83</t>
  </si>
  <si>
    <t>271.06</t>
  </si>
  <si>
    <t>66.18</t>
  </si>
  <si>
    <t>298.55</t>
  </si>
  <si>
    <t>149.90</t>
  </si>
  <si>
    <t>0.31</t>
  </si>
  <si>
    <t xml:space="preserve">    塑料包装箱及容器制造</t>
  </si>
  <si>
    <t>1760</t>
  </si>
  <si>
    <t>1429.44</t>
  </si>
  <si>
    <t>347.32</t>
  </si>
  <si>
    <t>750.09</t>
  </si>
  <si>
    <t>379.19</t>
  </si>
  <si>
    <t>805.80</t>
  </si>
  <si>
    <t>271.79</t>
  </si>
  <si>
    <t>142.36</t>
  </si>
  <si>
    <t>64.10</t>
  </si>
  <si>
    <t>719.56</t>
  </si>
  <si>
    <t>613.00</t>
  </si>
  <si>
    <t>180.39</t>
  </si>
  <si>
    <t>706.46</t>
  </si>
  <si>
    <t>349.93</t>
  </si>
  <si>
    <t>4.30</t>
  </si>
  <si>
    <t xml:space="preserve">    日用塑料制品制造</t>
  </si>
  <si>
    <t>1896</t>
  </si>
  <si>
    <t>1358.87</t>
  </si>
  <si>
    <t>343.38</t>
  </si>
  <si>
    <t>690.78</t>
  </si>
  <si>
    <t>328.59</t>
  </si>
  <si>
    <t>796.33</t>
  </si>
  <si>
    <t>251.42</t>
  </si>
  <si>
    <t>187.95</t>
  </si>
  <si>
    <t>83.55</t>
  </si>
  <si>
    <t>719.64</t>
  </si>
  <si>
    <t>627.13</t>
  </si>
  <si>
    <t>198.16</t>
  </si>
  <si>
    <t>635.51</t>
  </si>
  <si>
    <t>300.78</t>
  </si>
  <si>
    <t>4.58</t>
  </si>
  <si>
    <t xml:space="preserve">    人造草坪制造</t>
  </si>
  <si>
    <t>79</t>
  </si>
  <si>
    <t>50.15</t>
  </si>
  <si>
    <t>20.89</t>
  </si>
  <si>
    <t>9.57</t>
  </si>
  <si>
    <t>35.08</t>
  </si>
  <si>
    <t>12.83</t>
  </si>
  <si>
    <t>7.08</t>
  </si>
  <si>
    <t>33.00</t>
  </si>
  <si>
    <t>8.84</t>
  </si>
  <si>
    <t>10.03</t>
  </si>
  <si>
    <t xml:space="preserve">    塑料零件及其他塑料制品制造</t>
  </si>
  <si>
    <t>5528</t>
  </si>
  <si>
    <t>5088.27</t>
  </si>
  <si>
    <t>990.59</t>
  </si>
  <si>
    <t>2064.60</t>
  </si>
  <si>
    <t>1006.60</t>
  </si>
  <si>
    <t>3286.17</t>
  </si>
  <si>
    <t>1294.82</t>
  </si>
  <si>
    <t>641.36</t>
  </si>
  <si>
    <t>277.81</t>
  </si>
  <si>
    <t>2597.25</t>
  </si>
  <si>
    <t>2246.60</t>
  </si>
  <si>
    <t>863.94</t>
  </si>
  <si>
    <t>2483.55</t>
  </si>
  <si>
    <t>1090.79</t>
  </si>
  <si>
    <t>7.57</t>
  </si>
  <si>
    <t>非金属矿物制品业</t>
  </si>
  <si>
    <t>39675</t>
  </si>
  <si>
    <t>62166.57</t>
  </si>
  <si>
    <t>15497.08</t>
  </si>
  <si>
    <t>29540.04</t>
  </si>
  <si>
    <t>12664.81</t>
  </si>
  <si>
    <t>35116.71</t>
  </si>
  <si>
    <t>12700.93</t>
  </si>
  <si>
    <t>5288.21</t>
  </si>
  <si>
    <t>2347.39</t>
  </si>
  <si>
    <t>33891.29</t>
  </si>
  <si>
    <t>28459.82</t>
  </si>
  <si>
    <t>10408.60</t>
  </si>
  <si>
    <t>28175.36</t>
  </si>
  <si>
    <t>13372.98</t>
  </si>
  <si>
    <t>1549.39</t>
  </si>
  <si>
    <t>254.01</t>
  </si>
  <si>
    <t xml:space="preserve">  水泥、石灰和石膏制造</t>
  </si>
  <si>
    <t>3728</t>
  </si>
  <si>
    <t>15357.19</t>
  </si>
  <si>
    <t>5006.63</t>
  </si>
  <si>
    <t>10019.37</t>
  </si>
  <si>
    <t>4754.36</t>
  </si>
  <si>
    <t>7262.82</t>
  </si>
  <si>
    <t>951.69</t>
  </si>
  <si>
    <t>783.67</t>
  </si>
  <si>
    <t>246.78</t>
  </si>
  <si>
    <t>7096.66</t>
  </si>
  <si>
    <t>5891.47</t>
  </si>
  <si>
    <t>1438.59</t>
  </si>
  <si>
    <t>8270.48</t>
  </si>
  <si>
    <t>3294.33</t>
  </si>
  <si>
    <t>891.79</t>
  </si>
  <si>
    <t>79.33</t>
  </si>
  <si>
    <t xml:space="preserve">    水泥制造</t>
  </si>
  <si>
    <t>2926</t>
  </si>
  <si>
    <t>14742.05</t>
  </si>
  <si>
    <t>4823.62</t>
  </si>
  <si>
    <t>9679.69</t>
  </si>
  <si>
    <t>4615.04</t>
  </si>
  <si>
    <t>6957.20</t>
  </si>
  <si>
    <t>852.12</t>
  </si>
  <si>
    <t>744.08</t>
  </si>
  <si>
    <t>230.48</t>
  </si>
  <si>
    <t>6750.75</t>
  </si>
  <si>
    <t>5621.70</t>
  </si>
  <si>
    <t>1345.20</t>
  </si>
  <si>
    <t>8001.67</t>
  </si>
  <si>
    <t>3143.59</t>
  </si>
  <si>
    <t>871.87</t>
  </si>
  <si>
    <t>74.10</t>
  </si>
  <si>
    <t xml:space="preserve">    石灰和石膏制造</t>
  </si>
  <si>
    <t>802</t>
  </si>
  <si>
    <t>615.14</t>
  </si>
  <si>
    <t>183.00</t>
  </si>
  <si>
    <t>339.69</t>
  </si>
  <si>
    <t>139.32</t>
  </si>
  <si>
    <t>305.62</t>
  </si>
  <si>
    <t>99.56</t>
  </si>
  <si>
    <t>39.59</t>
  </si>
  <si>
    <t>345.91</t>
  </si>
  <si>
    <t>269.77</t>
  </si>
  <si>
    <t>93.39</t>
  </si>
  <si>
    <t>268.81</t>
  </si>
  <si>
    <t>150.75</t>
  </si>
  <si>
    <t>19.91</t>
  </si>
  <si>
    <t xml:space="preserve">  石膏、水泥制品及类似制品制造</t>
  </si>
  <si>
    <t>15148</t>
  </si>
  <si>
    <t>18140.11</t>
  </si>
  <si>
    <t>2778.03</t>
  </si>
  <si>
    <t>5536.06</t>
  </si>
  <si>
    <t>2459.47</t>
  </si>
  <si>
    <t>13162.34</t>
  </si>
  <si>
    <t>7565.88</t>
  </si>
  <si>
    <t>1420.20</t>
  </si>
  <si>
    <t>534.30</t>
  </si>
  <si>
    <t>12153.38</t>
  </si>
  <si>
    <t>10718.30</t>
  </si>
  <si>
    <t>5579.30</t>
  </si>
  <si>
    <t>5959.28</t>
  </si>
  <si>
    <t>3381.77</t>
  </si>
  <si>
    <t>260.84</t>
  </si>
  <si>
    <t>57.46</t>
  </si>
  <si>
    <t xml:space="preserve">    水泥制品制造</t>
  </si>
  <si>
    <t>12514</t>
  </si>
  <si>
    <t>14747.51</t>
  </si>
  <si>
    <t>2020.44</t>
  </si>
  <si>
    <t>4287.92</t>
  </si>
  <si>
    <t>2031.35</t>
  </si>
  <si>
    <t>11171.47</t>
  </si>
  <si>
    <t>6619.51</t>
  </si>
  <si>
    <t>1098.21</t>
  </si>
  <si>
    <t>365.08</t>
  </si>
  <si>
    <t>10123.08</t>
  </si>
  <si>
    <t>9039.24</t>
  </si>
  <si>
    <t>4834.44</t>
  </si>
  <si>
    <t>4603.54</t>
  </si>
  <si>
    <t>2382.68</t>
  </si>
  <si>
    <t>168.33</t>
  </si>
  <si>
    <t>43.12</t>
  </si>
  <si>
    <t xml:space="preserve">    砼结构构件制造</t>
  </si>
  <si>
    <t>1352</t>
  </si>
  <si>
    <t>1982.72</t>
  </si>
  <si>
    <t>397.50</t>
  </si>
  <si>
    <t>648.07</t>
  </si>
  <si>
    <t>218.74</t>
  </si>
  <si>
    <t>1274.15</t>
  </si>
  <si>
    <t>665.11</t>
  </si>
  <si>
    <t>211.96</t>
  </si>
  <si>
    <t>1314.70</t>
  </si>
  <si>
    <t>1085.62</t>
  </si>
  <si>
    <t>518.25</t>
  </si>
  <si>
    <t>665.30</t>
  </si>
  <si>
    <t>467.55</t>
  </si>
  <si>
    <t>67.64</t>
  </si>
  <si>
    <t xml:space="preserve">    石棉水泥制品制造</t>
  </si>
  <si>
    <t>31</t>
  </si>
  <si>
    <t>25.76</t>
  </si>
  <si>
    <t>7.29</t>
  </si>
  <si>
    <t>10.22</t>
  </si>
  <si>
    <t>2.53</t>
  </si>
  <si>
    <t>2.74</t>
  </si>
  <si>
    <t>1.02</t>
  </si>
  <si>
    <t>9.81</t>
  </si>
  <si>
    <t>6.01</t>
  </si>
  <si>
    <t>1.54</t>
  </si>
  <si>
    <t xml:space="preserve">    轻质建筑材料制造</t>
  </si>
  <si>
    <t>757</t>
  </si>
  <si>
    <t>973.43</t>
  </si>
  <si>
    <t>271.65</t>
  </si>
  <si>
    <t>428.72</t>
  </si>
  <si>
    <t>137.49</t>
  </si>
  <si>
    <t>426.29</t>
  </si>
  <si>
    <t>127.31</t>
  </si>
  <si>
    <t>69.78</t>
  </si>
  <si>
    <t>36.81</t>
  </si>
  <si>
    <t>461.92</t>
  </si>
  <si>
    <t>370.06</t>
  </si>
  <si>
    <t>109.81</t>
  </si>
  <si>
    <t>507.94</t>
  </si>
  <si>
    <t>228.81</t>
  </si>
  <si>
    <t>18.84</t>
  </si>
  <si>
    <t>3.28</t>
  </si>
  <si>
    <t xml:space="preserve">    其他水泥类似制品制造</t>
  </si>
  <si>
    <t>494</t>
  </si>
  <si>
    <t>410.68</t>
  </si>
  <si>
    <t>81.15</t>
  </si>
  <si>
    <t>67.88</t>
  </si>
  <si>
    <t>280.22</t>
  </si>
  <si>
    <t>151.42</t>
  </si>
  <si>
    <t>11.44</t>
  </si>
  <si>
    <t>243.86</t>
  </si>
  <si>
    <t>217.37</t>
  </si>
  <si>
    <t>115.26</t>
  </si>
  <si>
    <t>166.80</t>
  </si>
  <si>
    <t>298.12</t>
  </si>
  <si>
    <t>5.88</t>
  </si>
  <si>
    <t>1.37</t>
  </si>
  <si>
    <t xml:space="preserve">  砖瓦、石材等建筑材料制造</t>
  </si>
  <si>
    <t>8483</t>
  </si>
  <si>
    <t>6520.36</t>
  </si>
  <si>
    <t>1571.63</t>
  </si>
  <si>
    <t>2780.94</t>
  </si>
  <si>
    <t>971.95</t>
  </si>
  <si>
    <t>3499.29</t>
  </si>
  <si>
    <t>1287.69</t>
  </si>
  <si>
    <t>643.57</t>
  </si>
  <si>
    <t>322.97</t>
  </si>
  <si>
    <t>3220.39</t>
  </si>
  <si>
    <t>2582.77</t>
  </si>
  <si>
    <t>837.66</t>
  </si>
  <si>
    <t>3271.02</t>
  </si>
  <si>
    <t>1647.98</t>
  </si>
  <si>
    <t>58.18</t>
  </si>
  <si>
    <t>31.79</t>
  </si>
  <si>
    <t xml:space="preserve">    粘土砖瓦及建筑砌块制造</t>
  </si>
  <si>
    <t>2888</t>
  </si>
  <si>
    <t>1463.81</t>
  </si>
  <si>
    <t>474.44</t>
  </si>
  <si>
    <t>894.59</t>
  </si>
  <si>
    <t>331.01</t>
  </si>
  <si>
    <t>638.18</t>
  </si>
  <si>
    <t>232.13</t>
  </si>
  <si>
    <t>123.34</t>
  </si>
  <si>
    <t>73.58</t>
  </si>
  <si>
    <t>679.07</t>
  </si>
  <si>
    <t>537.58</t>
  </si>
  <si>
    <t>170.87</t>
  </si>
  <si>
    <t>769.82</t>
  </si>
  <si>
    <t>394.78</t>
  </si>
  <si>
    <t>14.43</t>
  </si>
  <si>
    <t>7.99</t>
  </si>
  <si>
    <t xml:space="preserve">    建筑用石加工</t>
  </si>
  <si>
    <t>2311</t>
  </si>
  <si>
    <t>1751.97</t>
  </si>
  <si>
    <t>415.00</t>
  </si>
  <si>
    <t>743.42</t>
  </si>
  <si>
    <t>246.17</t>
  </si>
  <si>
    <t>856.50</t>
  </si>
  <si>
    <t>195.69</t>
  </si>
  <si>
    <t>221.54</t>
  </si>
  <si>
    <t>115.69</t>
  </si>
  <si>
    <t>763.01</t>
  </si>
  <si>
    <t>570.00</t>
  </si>
  <si>
    <t>132.54</t>
  </si>
  <si>
    <t>978.69</t>
  </si>
  <si>
    <t>428.56</t>
  </si>
  <si>
    <t>11.24</t>
  </si>
  <si>
    <t xml:space="preserve">    防水建筑材料制造</t>
  </si>
  <si>
    <t>811</t>
  </si>
  <si>
    <t>984.62</t>
  </si>
  <si>
    <t>159.03</t>
  </si>
  <si>
    <t>255.39</t>
  </si>
  <si>
    <t>639.20</t>
  </si>
  <si>
    <t>317.40</t>
  </si>
  <si>
    <t>88.95</t>
  </si>
  <si>
    <t>34.04</t>
  </si>
  <si>
    <t>520.61</t>
  </si>
  <si>
    <t>461.84</t>
  </si>
  <si>
    <t>161.83</t>
  </si>
  <si>
    <t>464.77</t>
  </si>
  <si>
    <t>5.00</t>
  </si>
  <si>
    <t>3.72</t>
  </si>
  <si>
    <t xml:space="preserve">    隔热和隔音材料制造</t>
  </si>
  <si>
    <t>905</t>
  </si>
  <si>
    <t>759.14</t>
  </si>
  <si>
    <t>202.26</t>
  </si>
  <si>
    <t>321.20</t>
  </si>
  <si>
    <t>106.08</t>
  </si>
  <si>
    <t>414.40</t>
  </si>
  <si>
    <t>155.42</t>
  </si>
  <si>
    <t>74.71</t>
  </si>
  <si>
    <t>35.17</t>
  </si>
  <si>
    <t>353.74</t>
  </si>
  <si>
    <t>292.94</t>
  </si>
  <si>
    <t>92.54</t>
  </si>
  <si>
    <t>404.42</t>
  </si>
  <si>
    <t>249.74</t>
  </si>
  <si>
    <t>7.54</t>
  </si>
  <si>
    <t>4.50</t>
  </si>
  <si>
    <t xml:space="preserve">    其他建筑材料制造</t>
  </si>
  <si>
    <t>1568</t>
  </si>
  <si>
    <t>1560.82</t>
  </si>
  <si>
    <t>320.90</t>
  </si>
  <si>
    <t>566.34</t>
  </si>
  <si>
    <t>208.81</t>
  </si>
  <si>
    <t>951.01</t>
  </si>
  <si>
    <t>387.05</t>
  </si>
  <si>
    <t>135.03</t>
  </si>
  <si>
    <t>903.96</t>
  </si>
  <si>
    <t>720.40</t>
  </si>
  <si>
    <t>279.88</t>
  </si>
  <si>
    <t>653.31</t>
  </si>
  <si>
    <t>334.95</t>
  </si>
  <si>
    <t>19.97</t>
  </si>
  <si>
    <t xml:space="preserve">  玻璃制造</t>
  </si>
  <si>
    <t>1109</t>
  </si>
  <si>
    <t>3186.59</t>
  </si>
  <si>
    <t>970.28</t>
  </si>
  <si>
    <t>1785.73</t>
  </si>
  <si>
    <t>721.17</t>
  </si>
  <si>
    <t>1556.35</t>
  </si>
  <si>
    <t>300.17</t>
  </si>
  <si>
    <t>245.11</t>
  </si>
  <si>
    <t>96.47</t>
  </si>
  <si>
    <t>1798.54</t>
  </si>
  <si>
    <t>1520.49</t>
  </si>
  <si>
    <t>315.37</t>
  </si>
  <si>
    <t>1387.59</t>
  </si>
  <si>
    <t>833.60</t>
  </si>
  <si>
    <t xml:space="preserve">    平板玻璃制造</t>
  </si>
  <si>
    <t>237</t>
  </si>
  <si>
    <t>1417.25</t>
  </si>
  <si>
    <t>462.46</t>
  </si>
  <si>
    <t>933.45</t>
  </si>
  <si>
    <t>417.24</t>
  </si>
  <si>
    <t>620.37</t>
  </si>
  <si>
    <t>63.56</t>
  </si>
  <si>
    <t>114.72</t>
  </si>
  <si>
    <t>40.92</t>
  </si>
  <si>
    <t>766.80</t>
  </si>
  <si>
    <t>651.06</t>
  </si>
  <si>
    <t>120.46</t>
  </si>
  <si>
    <t>655.09</t>
  </si>
  <si>
    <t>367.57</t>
  </si>
  <si>
    <t>37.95</t>
  </si>
  <si>
    <t>9.61</t>
  </si>
  <si>
    <t xml:space="preserve">    特种玻璃制造</t>
  </si>
  <si>
    <t>542</t>
  </si>
  <si>
    <t>1313.83</t>
  </si>
  <si>
    <t>383.89</t>
  </si>
  <si>
    <t>625.34</t>
  </si>
  <si>
    <t>225.81</t>
  </si>
  <si>
    <t>716.90</t>
  </si>
  <si>
    <t>188.07</t>
  </si>
  <si>
    <t>92.68</t>
  </si>
  <si>
    <t>39.10</t>
  </si>
  <si>
    <t>766.43</t>
  </si>
  <si>
    <t>647.85</t>
  </si>
  <si>
    <t>152.38</t>
  </si>
  <si>
    <t>546.93</t>
  </si>
  <si>
    <t>347.41</t>
  </si>
  <si>
    <t>16.53</t>
  </si>
  <si>
    <t xml:space="preserve">    其他玻璃制造</t>
  </si>
  <si>
    <t>455.51</t>
  </si>
  <si>
    <t>123.94</t>
  </si>
  <si>
    <t>226.93</t>
  </si>
  <si>
    <t>78.11</t>
  </si>
  <si>
    <t>219.08</t>
  </si>
  <si>
    <t>48.55</t>
  </si>
  <si>
    <t>16.45</t>
  </si>
  <si>
    <t>265.31</t>
  </si>
  <si>
    <t>221.58</t>
  </si>
  <si>
    <t>42.53</t>
  </si>
  <si>
    <t>185.56</t>
  </si>
  <si>
    <t>118.61</t>
  </si>
  <si>
    <t xml:space="preserve">  玻璃制品制造</t>
  </si>
  <si>
    <t>1944</t>
  </si>
  <si>
    <t>3057.85</t>
  </si>
  <si>
    <t>920.56</t>
  </si>
  <si>
    <t>1695.43</t>
  </si>
  <si>
    <t>717.09</t>
  </si>
  <si>
    <t>1596.75</t>
  </si>
  <si>
    <t>462.09</t>
  </si>
  <si>
    <t>349.05</t>
  </si>
  <si>
    <t>189.40</t>
  </si>
  <si>
    <t>1651.97</t>
  </si>
  <si>
    <t>1339.09</t>
  </si>
  <si>
    <t>435.19</t>
  </si>
  <si>
    <t>1398.89</t>
  </si>
  <si>
    <t>733.80</t>
  </si>
  <si>
    <t>58.92</t>
  </si>
  <si>
    <t xml:space="preserve">    技术玻璃制品制造</t>
  </si>
  <si>
    <t>533</t>
  </si>
  <si>
    <t>1326.80</t>
  </si>
  <si>
    <t>391.27</t>
  </si>
  <si>
    <t>665.75</t>
  </si>
  <si>
    <t>256.27</t>
  </si>
  <si>
    <t>718.11</t>
  </si>
  <si>
    <t>191.15</t>
  </si>
  <si>
    <t>113.36</t>
  </si>
  <si>
    <t>54.59</t>
  </si>
  <si>
    <t>721.01</t>
  </si>
  <si>
    <t>550.94</t>
  </si>
  <si>
    <t>158.06</t>
  </si>
  <si>
    <t>604.25</t>
  </si>
  <si>
    <t>341.58</t>
  </si>
  <si>
    <t xml:space="preserve">    光学玻璃制造</t>
  </si>
  <si>
    <t>429.65</t>
  </si>
  <si>
    <t>146.62</t>
  </si>
  <si>
    <t>282.23</t>
  </si>
  <si>
    <t>124.43</t>
  </si>
  <si>
    <t>227.84</t>
  </si>
  <si>
    <t>88.43</t>
  </si>
  <si>
    <t>51.75</t>
  </si>
  <si>
    <t>25.25</t>
  </si>
  <si>
    <t>215.53</t>
  </si>
  <si>
    <t>183.94</t>
  </si>
  <si>
    <t>212.70</t>
  </si>
  <si>
    <t>124.95</t>
  </si>
  <si>
    <t xml:space="preserve">    玻璃仪器制造</t>
  </si>
  <si>
    <t>44</t>
  </si>
  <si>
    <t>47.53</t>
  </si>
  <si>
    <t>11.78</t>
  </si>
  <si>
    <t>26.18</t>
  </si>
  <si>
    <t>22.32</t>
  </si>
  <si>
    <t>6.60</t>
  </si>
  <si>
    <t>19.76</t>
  </si>
  <si>
    <t>14.46</t>
  </si>
  <si>
    <t>3.57</t>
  </si>
  <si>
    <t>27.84</t>
  </si>
  <si>
    <t xml:space="preserve">    日用玻璃制品制造</t>
  </si>
  <si>
    <t>474</t>
  </si>
  <si>
    <t>386.39</t>
  </si>
  <si>
    <t>127.52</t>
  </si>
  <si>
    <t>242.77</t>
  </si>
  <si>
    <t>106.49</t>
  </si>
  <si>
    <t>185.75</t>
  </si>
  <si>
    <t>56.00</t>
  </si>
  <si>
    <t>33.34</t>
  </si>
  <si>
    <t>215.52</t>
  </si>
  <si>
    <t>178.80</t>
  </si>
  <si>
    <t>46.11</t>
  </si>
  <si>
    <t>166.86</t>
  </si>
  <si>
    <t>84.16</t>
  </si>
  <si>
    <t xml:space="preserve">    玻璃包装容器制造</t>
  </si>
  <si>
    <t>281</t>
  </si>
  <si>
    <t>545.63</t>
  </si>
  <si>
    <t>172.89</t>
  </si>
  <si>
    <t>334.78</t>
  </si>
  <si>
    <t>252.00</t>
  </si>
  <si>
    <t>58.72</t>
  </si>
  <si>
    <t>79.14</t>
  </si>
  <si>
    <t>51.23</t>
  </si>
  <si>
    <t>301.87</t>
  </si>
  <si>
    <t>263.65</t>
  </si>
  <si>
    <t>85.85</t>
  </si>
  <si>
    <t>243.69</t>
  </si>
  <si>
    <t>106.11</t>
  </si>
  <si>
    <t>8.31</t>
  </si>
  <si>
    <t xml:space="preserve">    玻璃保温容器制造</t>
  </si>
  <si>
    <t>43.74</t>
  </si>
  <si>
    <t>11.51</t>
  </si>
  <si>
    <t>18.76</t>
  </si>
  <si>
    <t>6.98</t>
  </si>
  <si>
    <t>23.61</t>
  </si>
  <si>
    <t>8.27</t>
  </si>
  <si>
    <t>4.89</t>
  </si>
  <si>
    <t>19.23</t>
  </si>
  <si>
    <t>17.97</t>
  </si>
  <si>
    <t xml:space="preserve">    制镜及类似品加工</t>
  </si>
  <si>
    <t>61</t>
  </si>
  <si>
    <t>49.68</t>
  </si>
  <si>
    <t>15.97</t>
  </si>
  <si>
    <t>36.90</t>
  </si>
  <si>
    <t>24.55</t>
  </si>
  <si>
    <t>23.75</t>
  </si>
  <si>
    <t>25.13</t>
  </si>
  <si>
    <t>8.76</t>
  </si>
  <si>
    <t xml:space="preserve">    其他玻璃制品制造</t>
  </si>
  <si>
    <t>228.44</t>
  </si>
  <si>
    <t>51.43</t>
  </si>
  <si>
    <t>109.00</t>
  </si>
  <si>
    <t>45.76</t>
  </si>
  <si>
    <t>130.22</t>
  </si>
  <si>
    <t>47.61</t>
  </si>
  <si>
    <t>28.03</t>
  </si>
  <si>
    <t>127.95</t>
  </si>
  <si>
    <t>40.23</t>
  </si>
  <si>
    <t>100.45</t>
  </si>
  <si>
    <t>51.08</t>
  </si>
  <si>
    <t xml:space="preserve">2-1 续表10
</t>
  </si>
  <si>
    <t xml:space="preserve">  玻璃纤维和玻璃纤维增强塑料制品制造</t>
  </si>
  <si>
    <t>968</t>
  </si>
  <si>
    <t>2141.93</t>
  </si>
  <si>
    <t>661.76</t>
  </si>
  <si>
    <t>1083.32</t>
  </si>
  <si>
    <t>393.77</t>
  </si>
  <si>
    <t>1044.09</t>
  </si>
  <si>
    <t>338.75</t>
  </si>
  <si>
    <t>166.02</t>
  </si>
  <si>
    <t>66.10</t>
  </si>
  <si>
    <t>1087.86</t>
  </si>
  <si>
    <t>840.88</t>
  </si>
  <si>
    <t>234.78</t>
  </si>
  <si>
    <t>1052.84</t>
  </si>
  <si>
    <t>499.92</t>
  </si>
  <si>
    <t>18.06</t>
  </si>
  <si>
    <t xml:space="preserve">    玻璃纤维及制品制造</t>
  </si>
  <si>
    <t>527</t>
  </si>
  <si>
    <t>1550.92</t>
  </si>
  <si>
    <t>570.22</t>
  </si>
  <si>
    <t>919.10</t>
  </si>
  <si>
    <t>331.97</t>
  </si>
  <si>
    <t>672.88</t>
  </si>
  <si>
    <t>211.99</t>
  </si>
  <si>
    <t>86.85</t>
  </si>
  <si>
    <t>40.74</t>
  </si>
  <si>
    <t>771.69</t>
  </si>
  <si>
    <t>570.41</t>
  </si>
  <si>
    <t>168.86</t>
  </si>
  <si>
    <t>778.58</t>
  </si>
  <si>
    <t>382.63</t>
  </si>
  <si>
    <t>77.66</t>
  </si>
  <si>
    <t>17.55</t>
  </si>
  <si>
    <t xml:space="preserve">    玻璃纤维增强塑料制品制造</t>
  </si>
  <si>
    <t>591.02</t>
  </si>
  <si>
    <t>91.54</t>
  </si>
  <si>
    <t>164.22</t>
  </si>
  <si>
    <t>371.20</t>
  </si>
  <si>
    <t>126.75</t>
  </si>
  <si>
    <t>79.17</t>
  </si>
  <si>
    <t>316.17</t>
  </si>
  <si>
    <t>270.47</t>
  </si>
  <si>
    <t>65.93</t>
  </si>
  <si>
    <t>274.26</t>
  </si>
  <si>
    <t>117.29</t>
  </si>
  <si>
    <t xml:space="preserve">  陶瓷制品制造</t>
  </si>
  <si>
    <t>3147</t>
  </si>
  <si>
    <t>5190.44</t>
  </si>
  <si>
    <t>1476.65</t>
  </si>
  <si>
    <t>2978.00</t>
  </si>
  <si>
    <t>1341.12</t>
  </si>
  <si>
    <t>2325.89</t>
  </si>
  <si>
    <t>543.53</t>
  </si>
  <si>
    <t>713.82</t>
  </si>
  <si>
    <t>463.99</t>
  </si>
  <si>
    <t>2412.25</t>
  </si>
  <si>
    <t>1923.39</t>
  </si>
  <si>
    <t>465.77</t>
  </si>
  <si>
    <t>2750.92</t>
  </si>
  <si>
    <t>1096.12</t>
  </si>
  <si>
    <t>7.26</t>
  </si>
  <si>
    <t>9.62</t>
  </si>
  <si>
    <t xml:space="preserve">    建筑陶瓷制品制造</t>
  </si>
  <si>
    <t>1048</t>
  </si>
  <si>
    <t>2436.71</t>
  </si>
  <si>
    <t>773.35</t>
  </si>
  <si>
    <t>1727.86</t>
  </si>
  <si>
    <t>873.40</t>
  </si>
  <si>
    <t>1173.27</t>
  </si>
  <si>
    <t>260.41</t>
  </si>
  <si>
    <t>422.19</t>
  </si>
  <si>
    <t>299.36</t>
  </si>
  <si>
    <t>1300.34</t>
  </si>
  <si>
    <t>1105.66</t>
  </si>
  <si>
    <t>246.00</t>
  </si>
  <si>
    <t>1120.14</t>
  </si>
  <si>
    <t>371.11</t>
  </si>
  <si>
    <t xml:space="preserve">    卫生陶瓷制品制造</t>
  </si>
  <si>
    <t>359</t>
  </si>
  <si>
    <t>703.69</t>
  </si>
  <si>
    <t>317.43</t>
  </si>
  <si>
    <t>139.73</t>
  </si>
  <si>
    <t>345.93</t>
  </si>
  <si>
    <t>80.36</t>
  </si>
  <si>
    <t>83.60</t>
  </si>
  <si>
    <t>42.78</t>
  </si>
  <si>
    <t>312.93</t>
  </si>
  <si>
    <t>271.88</t>
  </si>
  <si>
    <t>77.36</t>
  </si>
  <si>
    <t>390.64</t>
  </si>
  <si>
    <t>172.95</t>
  </si>
  <si>
    <t>1.81</t>
  </si>
  <si>
    <t xml:space="preserve">    特种陶瓷制品制造</t>
  </si>
  <si>
    <t>615</t>
  </si>
  <si>
    <t>920.46</t>
  </si>
  <si>
    <t>240.28</t>
  </si>
  <si>
    <t>161.41</t>
  </si>
  <si>
    <t>396.64</t>
  </si>
  <si>
    <t>123.81</t>
  </si>
  <si>
    <t>86.88</t>
  </si>
  <si>
    <t>327.00</t>
  </si>
  <si>
    <t>255.45</t>
  </si>
  <si>
    <t>78.01</t>
  </si>
  <si>
    <t>593.16</t>
  </si>
  <si>
    <t>284.59</t>
  </si>
  <si>
    <t xml:space="preserve">    日用陶瓷制品制造</t>
  </si>
  <si>
    <t>560</t>
  </si>
  <si>
    <t>648.44</t>
  </si>
  <si>
    <t>161.46</t>
  </si>
  <si>
    <t>249.46</t>
  </si>
  <si>
    <t>78.15</t>
  </si>
  <si>
    <t>218.09</t>
  </si>
  <si>
    <t>40.88</t>
  </si>
  <si>
    <t>58.00</t>
  </si>
  <si>
    <t>34.90</t>
  </si>
  <si>
    <t>289.59</t>
  </si>
  <si>
    <t>148.89</t>
  </si>
  <si>
    <t>32.12</t>
  </si>
  <si>
    <t>358.84</t>
  </si>
  <si>
    <t>162.64</t>
  </si>
  <si>
    <t xml:space="preserve">    陈设艺术陶瓷制造</t>
  </si>
  <si>
    <t>442</t>
  </si>
  <si>
    <t>387.38</t>
  </si>
  <si>
    <t>103.19</t>
  </si>
  <si>
    <t>193.39</t>
  </si>
  <si>
    <t>67.67</t>
  </si>
  <si>
    <t>147.98</t>
  </si>
  <si>
    <t>27.80</t>
  </si>
  <si>
    <t>49.52</t>
  </si>
  <si>
    <t>31.69</t>
  </si>
  <si>
    <t>133.63</t>
  </si>
  <si>
    <t>99.27</t>
  </si>
  <si>
    <t>22.39</t>
  </si>
  <si>
    <t>85.24</t>
  </si>
  <si>
    <t xml:space="preserve">    园艺陶瓷制造</t>
  </si>
  <si>
    <t>46.72</t>
  </si>
  <si>
    <t>34.76</t>
  </si>
  <si>
    <t>4.72</t>
  </si>
  <si>
    <t>6.32</t>
  </si>
  <si>
    <t>3.63</t>
  </si>
  <si>
    <t>19.26</t>
  </si>
  <si>
    <t>3.16</t>
  </si>
  <si>
    <t xml:space="preserve">    其他陶瓷制品制造</t>
  </si>
  <si>
    <t>64</t>
  </si>
  <si>
    <t>47.05</t>
  </si>
  <si>
    <t>12.76</t>
  </si>
  <si>
    <t>18.54</t>
  </si>
  <si>
    <t>24.15</t>
  </si>
  <si>
    <t>29.49</t>
  </si>
  <si>
    <t>27.05</t>
  </si>
  <si>
    <t>15.07</t>
  </si>
  <si>
    <t>8.04</t>
  </si>
  <si>
    <t xml:space="preserve">  耐火材料制品制造</t>
  </si>
  <si>
    <t>1890</t>
  </si>
  <si>
    <t>2441.19</t>
  </si>
  <si>
    <t>394.51</t>
  </si>
  <si>
    <t>812.34</t>
  </si>
  <si>
    <t>380.41</t>
  </si>
  <si>
    <t>1562.31</t>
  </si>
  <si>
    <t>521.21</t>
  </si>
  <si>
    <t>289.46</t>
  </si>
  <si>
    <t>1264.15</t>
  </si>
  <si>
    <t>1138.32</t>
  </si>
  <si>
    <t>376.96</t>
  </si>
  <si>
    <t>1172.29</t>
  </si>
  <si>
    <t>530.50</t>
  </si>
  <si>
    <t>11.27</t>
  </si>
  <si>
    <t xml:space="preserve">    石棉制品制造</t>
  </si>
  <si>
    <t>56</t>
  </si>
  <si>
    <t>31.84</t>
  </si>
  <si>
    <t>16.12</t>
  </si>
  <si>
    <t>5.14</t>
  </si>
  <si>
    <t>16.66</t>
  </si>
  <si>
    <t>6.02</t>
  </si>
  <si>
    <t>10.07</t>
  </si>
  <si>
    <t>3.25</t>
  </si>
  <si>
    <t>17.73</t>
  </si>
  <si>
    <t>7.02</t>
  </si>
  <si>
    <t xml:space="preserve">    云母制品制造</t>
  </si>
  <si>
    <t>52</t>
  </si>
  <si>
    <t>49.03</t>
  </si>
  <si>
    <t>9.40</t>
  </si>
  <si>
    <t>16.88</t>
  </si>
  <si>
    <t>28.52</t>
  </si>
  <si>
    <t>8.44</t>
  </si>
  <si>
    <t>2.79</t>
  </si>
  <si>
    <t>22.89</t>
  </si>
  <si>
    <t>26.14</t>
  </si>
  <si>
    <t>9.06</t>
  </si>
  <si>
    <t xml:space="preserve">    耐火陶瓷制品及其他耐火材料制造</t>
  </si>
  <si>
    <t>1782</t>
  </si>
  <si>
    <t>2360.31</t>
  </si>
  <si>
    <t>375.25</t>
  </si>
  <si>
    <t>779.34</t>
  </si>
  <si>
    <t>368.13</t>
  </si>
  <si>
    <t>1517.13</t>
  </si>
  <si>
    <t>506.76</t>
  </si>
  <si>
    <t>279.57</t>
  </si>
  <si>
    <t>157.29</t>
  </si>
  <si>
    <t>1227.24</t>
  </si>
  <si>
    <t>1109.91</t>
  </si>
  <si>
    <t>367.25</t>
  </si>
  <si>
    <t>1128.43</t>
  </si>
  <si>
    <t>514.42</t>
  </si>
  <si>
    <t xml:space="preserve">  石墨及其他非金属矿物制品制造</t>
  </si>
  <si>
    <t>3258</t>
  </si>
  <si>
    <t>6130.90</t>
  </si>
  <si>
    <t>1717.03</t>
  </si>
  <si>
    <t>2848.86</t>
  </si>
  <si>
    <t>925.46</t>
  </si>
  <si>
    <t>3106.88</t>
  </si>
  <si>
    <t>729.92</t>
  </si>
  <si>
    <t>677.32</t>
  </si>
  <si>
    <t>265.76</t>
  </si>
  <si>
    <t>3206.09</t>
  </si>
  <si>
    <t>2505.11</t>
  </si>
  <si>
    <t>724.97</t>
  </si>
  <si>
    <t>2912.05</t>
  </si>
  <si>
    <t>1354.98</t>
  </si>
  <si>
    <t>29.08</t>
  </si>
  <si>
    <t xml:space="preserve">    石墨及碳素制品制造</t>
  </si>
  <si>
    <t>1024</t>
  </si>
  <si>
    <t>2880.79</t>
  </si>
  <si>
    <t>717.82</t>
  </si>
  <si>
    <t>1194.59</t>
  </si>
  <si>
    <t>434.62</t>
  </si>
  <si>
    <t>1604.02</t>
  </si>
  <si>
    <t>349.43</t>
  </si>
  <si>
    <t>357.48</t>
  </si>
  <si>
    <t>137.04</t>
  </si>
  <si>
    <t>1500.76</t>
  </si>
  <si>
    <t>1266.38</t>
  </si>
  <si>
    <t>386.67</t>
  </si>
  <si>
    <t>1380.74</t>
  </si>
  <si>
    <t>576.31</t>
  </si>
  <si>
    <t>53.91</t>
  </si>
  <si>
    <t>15.91</t>
  </si>
  <si>
    <t xml:space="preserve">    其他非金属矿物制品制造</t>
  </si>
  <si>
    <t>2234</t>
  </si>
  <si>
    <t>3250.11</t>
  </si>
  <si>
    <t>999.20</t>
  </si>
  <si>
    <t>1654.27</t>
  </si>
  <si>
    <t>490.84</t>
  </si>
  <si>
    <t>1502.86</t>
  </si>
  <si>
    <t>380.49</t>
  </si>
  <si>
    <t>319.84</t>
  </si>
  <si>
    <t>128.72</t>
  </si>
  <si>
    <t>1705.33</t>
  </si>
  <si>
    <t>1238.73</t>
  </si>
  <si>
    <t>338.30</t>
  </si>
  <si>
    <t>1531.31</t>
  </si>
  <si>
    <t>778.66</t>
  </si>
  <si>
    <t>52.98</t>
  </si>
  <si>
    <t>13.17</t>
  </si>
  <si>
    <t>黑色金属冶炼和压延加工业</t>
  </si>
  <si>
    <t>5307</t>
  </si>
  <si>
    <t>63240.11</t>
  </si>
  <si>
    <t>19973.67</t>
  </si>
  <si>
    <t>40433.41</t>
  </si>
  <si>
    <t>19653.37</t>
  </si>
  <si>
    <t>28220.83</t>
  </si>
  <si>
    <t>2812.97</t>
  </si>
  <si>
    <t>7126.14</t>
  </si>
  <si>
    <t>2406.53</t>
  </si>
  <si>
    <t>38286.15</t>
  </si>
  <si>
    <t>31517.96</t>
  </si>
  <si>
    <t>8002.99</t>
  </si>
  <si>
    <t>24874.89</t>
  </si>
  <si>
    <t>11918.94</t>
  </si>
  <si>
    <t>2249.44</t>
  </si>
  <si>
    <t xml:space="preserve">  炼铁</t>
  </si>
  <si>
    <t>156</t>
  </si>
  <si>
    <t>1092.04</t>
  </si>
  <si>
    <t>405.51</t>
  </si>
  <si>
    <t>753.08</t>
  </si>
  <si>
    <t>343.09</t>
  </si>
  <si>
    <t>568.05</t>
  </si>
  <si>
    <t>119.48</t>
  </si>
  <si>
    <t>188.18</t>
  </si>
  <si>
    <t>71.69</t>
  </si>
  <si>
    <t>831.40</t>
  </si>
  <si>
    <t>764.79</t>
  </si>
  <si>
    <t>273.54</t>
  </si>
  <si>
    <t>260.02</t>
  </si>
  <si>
    <t>200.66</t>
  </si>
  <si>
    <t>83.70</t>
  </si>
  <si>
    <t xml:space="preserve">  炼钢</t>
  </si>
  <si>
    <t>126</t>
  </si>
  <si>
    <t>7201.88</t>
  </si>
  <si>
    <t>2296.03</t>
  </si>
  <si>
    <t>4455.41</t>
  </si>
  <si>
    <t>2076.60</t>
  </si>
  <si>
    <t>2964.58</t>
  </si>
  <si>
    <t>206.55</t>
  </si>
  <si>
    <t>779.40</t>
  </si>
  <si>
    <t>304.96</t>
  </si>
  <si>
    <t>4778.58</t>
  </si>
  <si>
    <t>3822.98</t>
  </si>
  <si>
    <t>951.73</t>
  </si>
  <si>
    <t>2423.30</t>
  </si>
  <si>
    <t>951.39</t>
  </si>
  <si>
    <t>90.98</t>
  </si>
  <si>
    <t xml:space="preserve">  钢压延加工</t>
  </si>
  <si>
    <t>4181</t>
  </si>
  <si>
    <t>50576.72</t>
  </si>
  <si>
    <t>16458.82</t>
  </si>
  <si>
    <t>33777.60</t>
  </si>
  <si>
    <t>16662.77</t>
  </si>
  <si>
    <t>22730.05</t>
  </si>
  <si>
    <t>2263.93</t>
  </si>
  <si>
    <t>5730.28</t>
  </si>
  <si>
    <t>1832.85</t>
  </si>
  <si>
    <t>30163.83</t>
  </si>
  <si>
    <t>24892.24</t>
  </si>
  <si>
    <t>6119.30</t>
  </si>
  <si>
    <t>20336.36</t>
  </si>
  <si>
    <t>9202.64</t>
  </si>
  <si>
    <t>1977.81</t>
  </si>
  <si>
    <t xml:space="preserve">  铁合金冶炼</t>
  </si>
  <si>
    <t>844</t>
  </si>
  <si>
    <t>4369.47</t>
  </si>
  <si>
    <t>813.31</t>
  </si>
  <si>
    <t>1447.31</t>
  </si>
  <si>
    <t>570.91</t>
  </si>
  <si>
    <t>1958.16</t>
  </si>
  <si>
    <t>223.00</t>
  </si>
  <si>
    <t>428.27</t>
  </si>
  <si>
    <t>197.02</t>
  </si>
  <si>
    <t>2512.34</t>
  </si>
  <si>
    <t>2037.95</t>
  </si>
  <si>
    <t>658.43</t>
  </si>
  <si>
    <t>1855.21</t>
  </si>
  <si>
    <t>1564.25</t>
  </si>
  <si>
    <t>96.95</t>
  </si>
  <si>
    <t>29.32</t>
  </si>
  <si>
    <t>有色金属冶炼和压延加工业</t>
  </si>
  <si>
    <t>7646</t>
  </si>
  <si>
    <t>42707.82</t>
  </si>
  <si>
    <t>11126.60</t>
  </si>
  <si>
    <t>19922.06</t>
  </si>
  <si>
    <t>8129.32</t>
  </si>
  <si>
    <t>21235.59</t>
  </si>
  <si>
    <t>3458.38</t>
  </si>
  <si>
    <t>6051.15</t>
  </si>
  <si>
    <t>1540.66</t>
  </si>
  <si>
    <t>25800.83</t>
  </si>
  <si>
    <t>19725.76</t>
  </si>
  <si>
    <t>4429.36</t>
  </si>
  <si>
    <t>16881.81</t>
  </si>
  <si>
    <t>8933.31</t>
  </si>
  <si>
    <t>1907.20</t>
  </si>
  <si>
    <t>144.33</t>
  </si>
  <si>
    <t xml:space="preserve">  常用有色金属冶炼</t>
  </si>
  <si>
    <t>1168</t>
  </si>
  <si>
    <t>20259.54</t>
  </si>
  <si>
    <t>6418.03</t>
  </si>
  <si>
    <t>11333.64</t>
  </si>
  <si>
    <t>4678.07</t>
  </si>
  <si>
    <t>9150.07</t>
  </si>
  <si>
    <t>3125.60</t>
  </si>
  <si>
    <t>510.39</t>
  </si>
  <si>
    <t>12759.04</t>
  </si>
  <si>
    <t>9669.38</t>
  </si>
  <si>
    <t>2275.41</t>
  </si>
  <si>
    <t>7503.69</t>
  </si>
  <si>
    <t>4124.07</t>
  </si>
  <si>
    <t>1169.00</t>
  </si>
  <si>
    <t>71.97</t>
  </si>
  <si>
    <t xml:space="preserve">    铜冶炼</t>
  </si>
  <si>
    <t>4313.97</t>
  </si>
  <si>
    <t>1087.84</t>
  </si>
  <si>
    <t>2003.38</t>
  </si>
  <si>
    <t>898.95</t>
  </si>
  <si>
    <t>2270.13</t>
  </si>
  <si>
    <t>172.23</t>
  </si>
  <si>
    <t>1101.15</t>
  </si>
  <si>
    <t>131.45</t>
  </si>
  <si>
    <t>2680.33</t>
  </si>
  <si>
    <t>1879.16</t>
  </si>
  <si>
    <t>440.01</t>
  </si>
  <si>
    <t>1628.55</t>
  </si>
  <si>
    <t>600.15</t>
  </si>
  <si>
    <t>185.11</t>
  </si>
  <si>
    <t>8.48</t>
  </si>
  <si>
    <t xml:space="preserve">    铅锌冶炼</t>
  </si>
  <si>
    <t>253</t>
  </si>
  <si>
    <t>2396.78</t>
  </si>
  <si>
    <t>591.73</t>
  </si>
  <si>
    <t>1214.63</t>
  </si>
  <si>
    <t>577.55</t>
  </si>
  <si>
    <t>1220.55</t>
  </si>
  <si>
    <t>109.56</t>
  </si>
  <si>
    <t>543.70</t>
  </si>
  <si>
    <t>108.67</t>
  </si>
  <si>
    <t>1550.76</t>
  </si>
  <si>
    <t>1288.42</t>
  </si>
  <si>
    <t>226.24</t>
  </si>
  <si>
    <t>845.06</t>
  </si>
  <si>
    <t>553.53</t>
  </si>
  <si>
    <t>159.60</t>
  </si>
  <si>
    <t>15.00</t>
  </si>
  <si>
    <t xml:space="preserve">    镍钴冶炼</t>
  </si>
  <si>
    <t>53</t>
  </si>
  <si>
    <t>1593.11</t>
  </si>
  <si>
    <t>271.90</t>
  </si>
  <si>
    <t>494.10</t>
  </si>
  <si>
    <t>206.44</t>
  </si>
  <si>
    <t>790.46</t>
  </si>
  <si>
    <t>79.48</t>
  </si>
  <si>
    <t>856.53</t>
  </si>
  <si>
    <t>604.48</t>
  </si>
  <si>
    <t>160.25</t>
  </si>
  <si>
    <t>736.58</t>
  </si>
  <si>
    <t>333.98</t>
  </si>
  <si>
    <t>235.82</t>
  </si>
  <si>
    <t xml:space="preserve">    锡冶炼</t>
  </si>
  <si>
    <t>426.04</t>
  </si>
  <si>
    <t>127.80</t>
  </si>
  <si>
    <t>207.05</t>
  </si>
  <si>
    <t>76.12</t>
  </si>
  <si>
    <t>138.46</t>
  </si>
  <si>
    <t>8.09</t>
  </si>
  <si>
    <t>23.41</t>
  </si>
  <si>
    <t>286.95</t>
  </si>
  <si>
    <t>265.69</t>
  </si>
  <si>
    <t>55.16</t>
  </si>
  <si>
    <t>139.09</t>
  </si>
  <si>
    <t xml:space="preserve">    锑冶炼</t>
  </si>
  <si>
    <t>45</t>
  </si>
  <si>
    <t>25.64</t>
  </si>
  <si>
    <t>44.80</t>
  </si>
  <si>
    <t>18.42</t>
  </si>
  <si>
    <t>49.05</t>
  </si>
  <si>
    <t>8.13</t>
  </si>
  <si>
    <t>6.64</t>
  </si>
  <si>
    <t>59.87</t>
  </si>
  <si>
    <t>11.92</t>
  </si>
  <si>
    <t>38.01</t>
  </si>
  <si>
    <t>29.44</t>
  </si>
  <si>
    <t>16.81</t>
  </si>
  <si>
    <t xml:space="preserve">    铝冶炼</t>
  </si>
  <si>
    <t>273</t>
  </si>
  <si>
    <t>10286.91</t>
  </si>
  <si>
    <t>3982.91</t>
  </si>
  <si>
    <t>6747.25</t>
  </si>
  <si>
    <t>2671.92</t>
  </si>
  <si>
    <t>4116.14</t>
  </si>
  <si>
    <t>543.64</t>
  </si>
  <si>
    <t>981.76</t>
  </si>
  <si>
    <t>99.78</t>
  </si>
  <si>
    <t>6374.95</t>
  </si>
  <si>
    <t>4839.33</t>
  </si>
  <si>
    <t>1230.47</t>
  </si>
  <si>
    <t>3911.73</t>
  </si>
  <si>
    <t>2314.40</t>
  </si>
  <si>
    <t>539.58</t>
  </si>
  <si>
    <t>24.87</t>
  </si>
  <si>
    <t xml:space="preserve">    镁冶炼</t>
  </si>
  <si>
    <t>160.68</t>
  </si>
  <si>
    <t>81.64</t>
  </si>
  <si>
    <t>35.63</t>
  </si>
  <si>
    <t>72.65</t>
  </si>
  <si>
    <t>16.11</t>
  </si>
  <si>
    <t>139.07</t>
  </si>
  <si>
    <t>115.91</t>
  </si>
  <si>
    <t>17.16</t>
  </si>
  <si>
    <t>21.62</t>
  </si>
  <si>
    <t>49.88</t>
  </si>
  <si>
    <t>1.52</t>
  </si>
  <si>
    <t xml:space="preserve">    硅冶炼</t>
  </si>
  <si>
    <t>109</t>
  </si>
  <si>
    <t>275.83</t>
  </si>
  <si>
    <t>89.35</t>
  </si>
  <si>
    <t>179.21</t>
  </si>
  <si>
    <t>77.99</t>
  </si>
  <si>
    <t>118.69</t>
  </si>
  <si>
    <t>47.50</t>
  </si>
  <si>
    <t>21.76</t>
  </si>
  <si>
    <t>294.58</t>
  </si>
  <si>
    <t>232.08</t>
  </si>
  <si>
    <t>6.63</t>
  </si>
  <si>
    <t>19.92</t>
  </si>
  <si>
    <t xml:space="preserve">    其他常用有色金属冶炼</t>
  </si>
  <si>
    <t>176</t>
  </si>
  <si>
    <t>708.92</t>
  </si>
  <si>
    <t>195.11</t>
  </si>
  <si>
    <t>361.60</t>
  </si>
  <si>
    <t>115.05</t>
  </si>
  <si>
    <t>373.93</t>
  </si>
  <si>
    <t>51.63</t>
  </si>
  <si>
    <t>142.75</t>
  </si>
  <si>
    <t>516.01</t>
  </si>
  <si>
    <t>395.14</t>
  </si>
  <si>
    <t>69.86</t>
  </si>
  <si>
    <t>176.43</t>
  </si>
  <si>
    <t>145.50</t>
  </si>
  <si>
    <t xml:space="preserve">  贵金属冶炼</t>
  </si>
  <si>
    <t>2540.35</t>
  </si>
  <si>
    <t>385.36</t>
  </si>
  <si>
    <t>849.69</t>
  </si>
  <si>
    <t>432.78</t>
  </si>
  <si>
    <t>1076.42</t>
  </si>
  <si>
    <t>420.14</t>
  </si>
  <si>
    <t>68.45</t>
  </si>
  <si>
    <t>1468.16</t>
  </si>
  <si>
    <t>1015.81</t>
  </si>
  <si>
    <t>166.00</t>
  </si>
  <si>
    <t>1070.66</t>
  </si>
  <si>
    <t>216.67</t>
  </si>
  <si>
    <t>82.59</t>
  </si>
  <si>
    <t>10.02</t>
  </si>
  <si>
    <t xml:space="preserve">    金冶炼</t>
  </si>
  <si>
    <t>135</t>
  </si>
  <si>
    <t>2297.45</t>
  </si>
  <si>
    <t>363.82</t>
  </si>
  <si>
    <t>792.25</t>
  </si>
  <si>
    <t>407.01</t>
  </si>
  <si>
    <t>953.84</t>
  </si>
  <si>
    <t>37.30</t>
  </si>
  <si>
    <t>375.08</t>
  </si>
  <si>
    <t>60.28</t>
  </si>
  <si>
    <t>1318.85</t>
  </si>
  <si>
    <t>933.43</t>
  </si>
  <si>
    <t>977.48</t>
  </si>
  <si>
    <t>172.87</t>
  </si>
  <si>
    <t>55.08</t>
  </si>
  <si>
    <t xml:space="preserve">    银冶炼</t>
  </si>
  <si>
    <t>39</t>
  </si>
  <si>
    <t>203.58</t>
  </si>
  <si>
    <t>16.62</t>
  </si>
  <si>
    <t>40.64</t>
  </si>
  <si>
    <t>14.53</t>
  </si>
  <si>
    <t>94.37</t>
  </si>
  <si>
    <t>31.78</t>
  </si>
  <si>
    <t>128.07</t>
  </si>
  <si>
    <t>63.21</t>
  </si>
  <si>
    <t>4.37</t>
  </si>
  <si>
    <t>75.10</t>
  </si>
  <si>
    <t xml:space="preserve">    其他贵金属冶炼</t>
  </si>
  <si>
    <t>26</t>
  </si>
  <si>
    <t>39.32</t>
  </si>
  <si>
    <t>4.93</t>
  </si>
  <si>
    <t>16.80</t>
  </si>
  <si>
    <t>28.21</t>
  </si>
  <si>
    <t>3.71</t>
  </si>
  <si>
    <t>13.28</t>
  </si>
  <si>
    <t>21.24</t>
  </si>
  <si>
    <t>19.17</t>
  </si>
  <si>
    <t>8.16</t>
  </si>
  <si>
    <t xml:space="preserve">  稀有稀土金属冶炼</t>
  </si>
  <si>
    <t>292</t>
  </si>
  <si>
    <t>2123.98</t>
  </si>
  <si>
    <t>410.91</t>
  </si>
  <si>
    <t>704.81</t>
  </si>
  <si>
    <t>285.16</t>
  </si>
  <si>
    <t>1046.77</t>
  </si>
  <si>
    <t>126.27</t>
  </si>
  <si>
    <t>332.02</t>
  </si>
  <si>
    <t>109.16</t>
  </si>
  <si>
    <t>1171.64</t>
  </si>
  <si>
    <t>493.78</t>
  </si>
  <si>
    <t>109.03</t>
  </si>
  <si>
    <t>951.29</t>
  </si>
  <si>
    <t>242.65</t>
  </si>
  <si>
    <t>71.06</t>
  </si>
  <si>
    <t>7.04</t>
  </si>
  <si>
    <t xml:space="preserve">    钨钼冶炼</t>
  </si>
  <si>
    <t>101</t>
  </si>
  <si>
    <t>1308.29</t>
  </si>
  <si>
    <t>285.57</t>
  </si>
  <si>
    <t>463.45</t>
  </si>
  <si>
    <t>172.18</t>
  </si>
  <si>
    <t>511.90</t>
  </si>
  <si>
    <t>38.78</t>
  </si>
  <si>
    <t>110.30</t>
  </si>
  <si>
    <t>38.34</t>
  </si>
  <si>
    <t>751.69</t>
  </si>
  <si>
    <t>214.43</t>
  </si>
  <si>
    <t>35.18</t>
  </si>
  <si>
    <t>555.55</t>
  </si>
  <si>
    <t>78.20</t>
  </si>
  <si>
    <t>10.56</t>
  </si>
  <si>
    <t xml:space="preserve">    稀土金属冶炼</t>
  </si>
  <si>
    <t>127</t>
  </si>
  <si>
    <t>644.16</t>
  </si>
  <si>
    <t>78.83</t>
  </si>
  <si>
    <t>171.85</t>
  </si>
  <si>
    <t>90.18</t>
  </si>
  <si>
    <t>450.23</t>
  </si>
  <si>
    <t>76.92</t>
  </si>
  <si>
    <t>196.13</t>
  </si>
  <si>
    <t>58.56</t>
  </si>
  <si>
    <t>334.58</t>
  </si>
  <si>
    <t>214.41</t>
  </si>
  <si>
    <t>56.43</t>
  </si>
  <si>
    <t>115.02</t>
  </si>
  <si>
    <t>43.84</t>
  </si>
  <si>
    <t xml:space="preserve">    其他稀有金属冶炼</t>
  </si>
  <si>
    <t>171.53</t>
  </si>
  <si>
    <t>46.50</t>
  </si>
  <si>
    <t>69.51</t>
  </si>
  <si>
    <t>22.79</t>
  </si>
  <si>
    <t>84.65</t>
  </si>
  <si>
    <t>10.58</t>
  </si>
  <si>
    <t>12.27</t>
  </si>
  <si>
    <t>85.37</t>
  </si>
  <si>
    <t>64.95</t>
  </si>
  <si>
    <t>17.42</t>
  </si>
  <si>
    <t>86.16</t>
  </si>
  <si>
    <t>49.43</t>
  </si>
  <si>
    <t>16.65</t>
  </si>
  <si>
    <t>5.41</t>
  </si>
  <si>
    <t xml:space="preserve">2-1 续表11
</t>
  </si>
  <si>
    <t xml:space="preserve">  有色金属合金制造</t>
  </si>
  <si>
    <t>1092</t>
  </si>
  <si>
    <t>2688.39</t>
  </si>
  <si>
    <t>577.04</t>
  </si>
  <si>
    <t>989.45</t>
  </si>
  <si>
    <t>369.43</t>
  </si>
  <si>
    <t>1461.33</t>
  </si>
  <si>
    <t>364.56</t>
  </si>
  <si>
    <t>344.53</t>
  </si>
  <si>
    <t>133.74</t>
  </si>
  <si>
    <t>1403.45</t>
  </si>
  <si>
    <t>1084.14</t>
  </si>
  <si>
    <t>291.00</t>
  </si>
  <si>
    <t>1275.74</t>
  </si>
  <si>
    <t>638.34</t>
  </si>
  <si>
    <t>143.07</t>
  </si>
  <si>
    <t xml:space="preserve">  有色金属压延加工</t>
  </si>
  <si>
    <t>4894</t>
  </si>
  <si>
    <t>15095.56</t>
  </si>
  <si>
    <t>3335.25</t>
  </si>
  <si>
    <t>6044.47</t>
  </si>
  <si>
    <t>2363.88</t>
  </si>
  <si>
    <t>8501.00</t>
  </si>
  <si>
    <t>1925.82</t>
  </si>
  <si>
    <t>1828.86</t>
  </si>
  <si>
    <t>718.92</t>
  </si>
  <si>
    <t>8998.54</t>
  </si>
  <si>
    <t>7462.64</t>
  </si>
  <si>
    <t>1587.92</t>
  </si>
  <si>
    <t>6080.41</t>
  </si>
  <si>
    <t>3711.59</t>
  </si>
  <si>
    <t>441.48</t>
  </si>
  <si>
    <t>50.85</t>
  </si>
  <si>
    <t xml:space="preserve">    铜压延加工</t>
  </si>
  <si>
    <t>1327</t>
  </si>
  <si>
    <t>3807.48</t>
  </si>
  <si>
    <t>558.81</t>
  </si>
  <si>
    <t>1086.33</t>
  </si>
  <si>
    <t>478.67</t>
  </si>
  <si>
    <t>2601.16</t>
  </si>
  <si>
    <t>548.41</t>
  </si>
  <si>
    <t>539.97</t>
  </si>
  <si>
    <t>212.72</t>
  </si>
  <si>
    <t>2525.11</t>
  </si>
  <si>
    <t>2144.67</t>
  </si>
  <si>
    <t>414.64</t>
  </si>
  <si>
    <t>1280.40</t>
  </si>
  <si>
    <t>725.53</t>
  </si>
  <si>
    <t>67.39</t>
  </si>
  <si>
    <t>9.83</t>
  </si>
  <si>
    <t xml:space="preserve">    铝压延加工</t>
  </si>
  <si>
    <t>2751</t>
  </si>
  <si>
    <t>9110.39</t>
  </si>
  <si>
    <t>2260.94</t>
  </si>
  <si>
    <t>4047.01</t>
  </si>
  <si>
    <t>1528.09</t>
  </si>
  <si>
    <t>4592.52</t>
  </si>
  <si>
    <t>1087.76</t>
  </si>
  <si>
    <t>891.21</t>
  </si>
  <si>
    <t>353.97</t>
  </si>
  <si>
    <t>5246.38</t>
  </si>
  <si>
    <t>4299.66</t>
  </si>
  <si>
    <t>915.40</t>
  </si>
  <si>
    <t>3851.13</t>
  </si>
  <si>
    <t>2491.55</t>
  </si>
  <si>
    <t>285.90</t>
  </si>
  <si>
    <t>38.18</t>
  </si>
  <si>
    <t xml:space="preserve">    贵金属压延加工</t>
  </si>
  <si>
    <t>87</t>
  </si>
  <si>
    <t>363.21</t>
  </si>
  <si>
    <t>123.37</t>
  </si>
  <si>
    <t>56.53</t>
  </si>
  <si>
    <t>227.09</t>
  </si>
  <si>
    <t>36.53</t>
  </si>
  <si>
    <t>85.19</t>
  </si>
  <si>
    <t>21.42</t>
  </si>
  <si>
    <t>198.66</t>
  </si>
  <si>
    <t>164.60</t>
  </si>
  <si>
    <t>37.53</t>
  </si>
  <si>
    <t>50.07</t>
  </si>
  <si>
    <t xml:space="preserve">    稀有稀土金属压延加工</t>
  </si>
  <si>
    <t>676.11</t>
  </si>
  <si>
    <t>107.86</t>
  </si>
  <si>
    <t>201.21</t>
  </si>
  <si>
    <t>88.89</t>
  </si>
  <si>
    <t>423.86</t>
  </si>
  <si>
    <t>76.39</t>
  </si>
  <si>
    <t>42.90</t>
  </si>
  <si>
    <t>359.97</t>
  </si>
  <si>
    <t>298.61</t>
  </si>
  <si>
    <t>73.13</t>
  </si>
  <si>
    <t>315.22</t>
  </si>
  <si>
    <t>148.62</t>
  </si>
  <si>
    <t>31.92</t>
  </si>
  <si>
    <t xml:space="preserve">    其他有色金属压延加工</t>
  </si>
  <si>
    <t>553</t>
  </si>
  <si>
    <t>1138.37</t>
  </si>
  <si>
    <t>365.71</t>
  </si>
  <si>
    <t>586.55</t>
  </si>
  <si>
    <t>211.70</t>
  </si>
  <si>
    <t>656.36</t>
  </si>
  <si>
    <t>176.74</t>
  </si>
  <si>
    <t>229.59</t>
  </si>
  <si>
    <t>87.91</t>
  </si>
  <si>
    <t>668.42</t>
  </si>
  <si>
    <t>555.10</t>
  </si>
  <si>
    <t>147.21</t>
  </si>
  <si>
    <t>469.55</t>
  </si>
  <si>
    <t>295.81</t>
  </si>
  <si>
    <t>38.51</t>
  </si>
  <si>
    <t>1.70</t>
  </si>
  <si>
    <t>金属制品业</t>
  </si>
  <si>
    <t>26881</t>
  </si>
  <si>
    <t>32971.57</t>
  </si>
  <si>
    <t>6370.85</t>
  </si>
  <si>
    <t>12780.27</t>
  </si>
  <si>
    <t>5863.45</t>
  </si>
  <si>
    <t>20860.77</t>
  </si>
  <si>
    <t>6622.95</t>
  </si>
  <si>
    <t>4696.78</t>
  </si>
  <si>
    <t>1935.02</t>
  </si>
  <si>
    <t>18694.37</t>
  </si>
  <si>
    <t>15815.97</t>
  </si>
  <si>
    <t>4435.00</t>
  </si>
  <si>
    <t>14210.27</t>
  </si>
  <si>
    <t>7336.84</t>
  </si>
  <si>
    <t>471.25</t>
  </si>
  <si>
    <t>102.16</t>
  </si>
  <si>
    <t xml:space="preserve">  结构性金属制品制造</t>
  </si>
  <si>
    <t>8545</t>
  </si>
  <si>
    <t>10129.26</t>
  </si>
  <si>
    <t>1599.92</t>
  </si>
  <si>
    <t>2972.99</t>
  </si>
  <si>
    <t>1221.11</t>
  </si>
  <si>
    <t>6869.30</t>
  </si>
  <si>
    <t>2330.60</t>
  </si>
  <si>
    <t>1600.41</t>
  </si>
  <si>
    <t>692.31</t>
  </si>
  <si>
    <t>6383.51</t>
  </si>
  <si>
    <t>5546.69</t>
  </si>
  <si>
    <t>1589.55</t>
  </si>
  <si>
    <t>3736.22</t>
  </si>
  <si>
    <t>2139.72</t>
  </si>
  <si>
    <t>33.92</t>
  </si>
  <si>
    <t xml:space="preserve">    金属结构制造</t>
  </si>
  <si>
    <t>6231</t>
  </si>
  <si>
    <t>8111.37</t>
  </si>
  <si>
    <t>1259.52</t>
  </si>
  <si>
    <t>2347.14</t>
  </si>
  <si>
    <t>979.60</t>
  </si>
  <si>
    <t>5522.88</t>
  </si>
  <si>
    <t>1817.67</t>
  </si>
  <si>
    <t>1331.12</t>
  </si>
  <si>
    <t>593.49</t>
  </si>
  <si>
    <t>5202.62</t>
  </si>
  <si>
    <t>4523.29</t>
  </si>
  <si>
    <t>1280.39</t>
  </si>
  <si>
    <t>2900.85</t>
  </si>
  <si>
    <t>1583.65</t>
  </si>
  <si>
    <t>127.41</t>
  </si>
  <si>
    <t>28.97</t>
  </si>
  <si>
    <t xml:space="preserve">    金属门窗制造</t>
  </si>
  <si>
    <t>2314</t>
  </si>
  <si>
    <t>2017.89</t>
  </si>
  <si>
    <t>340.41</t>
  </si>
  <si>
    <t>625.85</t>
  </si>
  <si>
    <t>241.51</t>
  </si>
  <si>
    <t>1346.41</t>
  </si>
  <si>
    <t>512.93</t>
  </si>
  <si>
    <t>269.28</t>
  </si>
  <si>
    <t>98.82</t>
  </si>
  <si>
    <t>1180.90</t>
  </si>
  <si>
    <t>1023.40</t>
  </si>
  <si>
    <t>309.16</t>
  </si>
  <si>
    <t>835.37</t>
  </si>
  <si>
    <t>556.06</t>
  </si>
  <si>
    <t>10.08</t>
  </si>
  <si>
    <t xml:space="preserve">  金属工具制造</t>
  </si>
  <si>
    <t>1767.37</t>
  </si>
  <si>
    <t>407.49</t>
  </si>
  <si>
    <t>887.40</t>
  </si>
  <si>
    <t>408.88</t>
  </si>
  <si>
    <t>1005.24</t>
  </si>
  <si>
    <t>318.52</t>
  </si>
  <si>
    <t>250.69</t>
  </si>
  <si>
    <t>108.85</t>
  </si>
  <si>
    <t>784.87</t>
  </si>
  <si>
    <t>671.06</t>
  </si>
  <si>
    <t>237.36</t>
  </si>
  <si>
    <t>981.39</t>
  </si>
  <si>
    <t>371.28</t>
  </si>
  <si>
    <t>15.76</t>
  </si>
  <si>
    <t>5.30</t>
  </si>
  <si>
    <t xml:space="preserve">    切削工具制造</t>
  </si>
  <si>
    <t>623</t>
  </si>
  <si>
    <t>886.27</t>
  </si>
  <si>
    <t>480.49</t>
  </si>
  <si>
    <t>247.00</t>
  </si>
  <si>
    <t>505.29</t>
  </si>
  <si>
    <t>146.68</t>
  </si>
  <si>
    <t>125.90</t>
  </si>
  <si>
    <t>55.48</t>
  </si>
  <si>
    <t>345.62</t>
  </si>
  <si>
    <t>290.56</t>
  </si>
  <si>
    <t>97.51</t>
  </si>
  <si>
    <t>540.27</t>
  </si>
  <si>
    <t>206.47</t>
  </si>
  <si>
    <t>10.64</t>
  </si>
  <si>
    <t xml:space="preserve">    手工具制造</t>
  </si>
  <si>
    <t>254.72</t>
  </si>
  <si>
    <t>72.16</t>
  </si>
  <si>
    <t>127.63</t>
  </si>
  <si>
    <t>54.42</t>
  </si>
  <si>
    <t>152.76</t>
  </si>
  <si>
    <t>53.56</t>
  </si>
  <si>
    <t>39.69</t>
  </si>
  <si>
    <t>18.05</t>
  </si>
  <si>
    <t>141.65</t>
  </si>
  <si>
    <t>116.57</t>
  </si>
  <si>
    <t>46.19</t>
  </si>
  <si>
    <t>112.92</t>
  </si>
  <si>
    <t>52.44</t>
  </si>
  <si>
    <t>1.24</t>
  </si>
  <si>
    <t xml:space="preserve">    农用及园林用金属工具制造</t>
  </si>
  <si>
    <t>123.71</t>
  </si>
  <si>
    <t>20.60</t>
  </si>
  <si>
    <t>81.18</t>
  </si>
  <si>
    <t>26.09</t>
  </si>
  <si>
    <t>21.06</t>
  </si>
  <si>
    <t>7.22</t>
  </si>
  <si>
    <t>66.38</t>
  </si>
  <si>
    <t>23.69</t>
  </si>
  <si>
    <t>51.82</t>
  </si>
  <si>
    <t xml:space="preserve">    刀剪及类似日用金属工具制造</t>
  </si>
  <si>
    <t>121</t>
  </si>
  <si>
    <t>87.75</t>
  </si>
  <si>
    <t>36.09</t>
  </si>
  <si>
    <t>19.47</t>
  </si>
  <si>
    <t>57.83</t>
  </si>
  <si>
    <t>17.87</t>
  </si>
  <si>
    <t>12.17</t>
  </si>
  <si>
    <t>36.74</t>
  </si>
  <si>
    <t>45.46</t>
  </si>
  <si>
    <t>16.54</t>
  </si>
  <si>
    <t xml:space="preserve">    其他金属工具制造</t>
  </si>
  <si>
    <t>414.92</t>
  </si>
  <si>
    <t>66.60</t>
  </si>
  <si>
    <t>192.12</t>
  </si>
  <si>
    <t>208.18</t>
  </si>
  <si>
    <t>74.32</t>
  </si>
  <si>
    <t>51.88</t>
  </si>
  <si>
    <t>183.85</t>
  </si>
  <si>
    <t>160.82</t>
  </si>
  <si>
    <t>57.95</t>
  </si>
  <si>
    <t>230.91</t>
  </si>
  <si>
    <t>74.60</t>
  </si>
  <si>
    <t>4.80</t>
  </si>
  <si>
    <t>1.22</t>
  </si>
  <si>
    <t xml:space="preserve">  集装箱及金属包装容器制造</t>
  </si>
  <si>
    <t>1393</t>
  </si>
  <si>
    <t>2821.67</t>
  </si>
  <si>
    <t>560.67</t>
  </si>
  <si>
    <t>1064.79</t>
  </si>
  <si>
    <t>474.59</t>
  </si>
  <si>
    <t>1743.73</t>
  </si>
  <si>
    <t>523.73</t>
  </si>
  <si>
    <t>416.69</t>
  </si>
  <si>
    <t>148.11</t>
  </si>
  <si>
    <t>1600.27</t>
  </si>
  <si>
    <t>1392.93</t>
  </si>
  <si>
    <t>374.16</t>
  </si>
  <si>
    <t>1219.93</t>
  </si>
  <si>
    <t>726.78</t>
  </si>
  <si>
    <t>64.90</t>
  </si>
  <si>
    <t>12.19</t>
  </si>
  <si>
    <t xml:space="preserve">    集装箱制造</t>
  </si>
  <si>
    <t>118</t>
  </si>
  <si>
    <t>561.96</t>
  </si>
  <si>
    <t>170.31</t>
  </si>
  <si>
    <t>69.46</t>
  </si>
  <si>
    <t>145.31</t>
  </si>
  <si>
    <t>97.46</t>
  </si>
  <si>
    <t>41.62</t>
  </si>
  <si>
    <t>353.67</t>
  </si>
  <si>
    <t>338.11</t>
  </si>
  <si>
    <t>112.93</t>
  </si>
  <si>
    <t>208.29</t>
  </si>
  <si>
    <t>116.61</t>
  </si>
  <si>
    <t>3.77</t>
  </si>
  <si>
    <t xml:space="preserve">    金属压力容器制造</t>
  </si>
  <si>
    <t>510</t>
  </si>
  <si>
    <t>1033.21</t>
  </si>
  <si>
    <t>174.28</t>
  </si>
  <si>
    <t>328.98</t>
  </si>
  <si>
    <t>139.58</t>
  </si>
  <si>
    <t>647.59</t>
  </si>
  <si>
    <t>184.59</t>
  </si>
  <si>
    <t>184.86</t>
  </si>
  <si>
    <t>57.48</t>
  </si>
  <si>
    <t>600.78</t>
  </si>
  <si>
    <t>529.58</t>
  </si>
  <si>
    <t>124.64</t>
  </si>
  <si>
    <t>431.23</t>
  </si>
  <si>
    <t>276.75</t>
  </si>
  <si>
    <t>55.02</t>
  </si>
  <si>
    <t>4.17</t>
  </si>
  <si>
    <t xml:space="preserve">    金属包装容器及材料制造</t>
  </si>
  <si>
    <t>765</t>
  </si>
  <si>
    <t>1226.50</t>
  </si>
  <si>
    <t>286.26</t>
  </si>
  <si>
    <t>565.50</t>
  </si>
  <si>
    <t>265.56</t>
  </si>
  <si>
    <t>691.03</t>
  </si>
  <si>
    <t>193.82</t>
  </si>
  <si>
    <t>134.36</t>
  </si>
  <si>
    <t>49.00</t>
  </si>
  <si>
    <t>645.83</t>
  </si>
  <si>
    <t>525.23</t>
  </si>
  <si>
    <t>136.59</t>
  </si>
  <si>
    <t>580.41</t>
  </si>
  <si>
    <t>333.41</t>
  </si>
  <si>
    <t xml:space="preserve">  金属丝绳及其制品制造</t>
  </si>
  <si>
    <t>1382</t>
  </si>
  <si>
    <t>1781.78</t>
  </si>
  <si>
    <t>364.29</t>
  </si>
  <si>
    <t>801.89</t>
  </si>
  <si>
    <t>416.92</t>
  </si>
  <si>
    <t>1187.28</t>
  </si>
  <si>
    <t>391.12</t>
  </si>
  <si>
    <t>232.64</t>
  </si>
  <si>
    <t>103.77</t>
  </si>
  <si>
    <t>999.56</t>
  </si>
  <si>
    <t>826.05</t>
  </si>
  <si>
    <t>152.41</t>
  </si>
  <si>
    <t>780.56</t>
  </si>
  <si>
    <t>512.45</t>
  </si>
  <si>
    <t>31.18</t>
  </si>
  <si>
    <t>6.14</t>
  </si>
  <si>
    <t xml:space="preserve">  建筑、安全用金属制品制造</t>
  </si>
  <si>
    <t>2927</t>
  </si>
  <si>
    <t>2672.44</t>
  </si>
  <si>
    <t>544.43</t>
  </si>
  <si>
    <t>1035.07</t>
  </si>
  <si>
    <t>1710.45</t>
  </si>
  <si>
    <t>581.09</t>
  </si>
  <si>
    <t>384.13</t>
  </si>
  <si>
    <t>1343.45</t>
  </si>
  <si>
    <t>1153.97</t>
  </si>
  <si>
    <t>1325.56</t>
  </si>
  <si>
    <t>614.72</t>
  </si>
  <si>
    <t>3.46</t>
  </si>
  <si>
    <t>11.62</t>
  </si>
  <si>
    <t xml:space="preserve">    建筑、家具用金属配件制造</t>
  </si>
  <si>
    <t>1177</t>
  </si>
  <si>
    <t>854.84</t>
  </si>
  <si>
    <t>202.35</t>
  </si>
  <si>
    <t>398.97</t>
  </si>
  <si>
    <t>186.58</t>
  </si>
  <si>
    <t>524.58</t>
  </si>
  <si>
    <t>190.02</t>
  </si>
  <si>
    <t>47.49</t>
  </si>
  <si>
    <t>464.86</t>
  </si>
  <si>
    <t>413.89</t>
  </si>
  <si>
    <t>127.29</t>
  </si>
  <si>
    <t>389.07</t>
  </si>
  <si>
    <t>171.04</t>
  </si>
  <si>
    <t xml:space="preserve">    建筑装饰及水暖管道零件制造</t>
  </si>
  <si>
    <t>1055</t>
  </si>
  <si>
    <t>1175.13</t>
  </si>
  <si>
    <t>207.50</t>
  </si>
  <si>
    <t>393.78</t>
  </si>
  <si>
    <t>163.96</t>
  </si>
  <si>
    <t>779.78</t>
  </si>
  <si>
    <t>236.28</t>
  </si>
  <si>
    <t>162.07</t>
  </si>
  <si>
    <t>66.55</t>
  </si>
  <si>
    <t>559.81</t>
  </si>
  <si>
    <t>492.85</t>
  </si>
  <si>
    <t>134.41</t>
  </si>
  <si>
    <t>615.28</t>
  </si>
  <si>
    <t>277.10</t>
  </si>
  <si>
    <t xml:space="preserve">    安全、消防用金属制品制造</t>
  </si>
  <si>
    <t>386</t>
  </si>
  <si>
    <t>354.39</t>
  </si>
  <si>
    <t>77.75</t>
  </si>
  <si>
    <t>138.67</t>
  </si>
  <si>
    <t>50.03</t>
  </si>
  <si>
    <t>208.25</t>
  </si>
  <si>
    <t>70.18</t>
  </si>
  <si>
    <t>48.88</t>
  </si>
  <si>
    <t>22.13</t>
  </si>
  <si>
    <t>152.33</t>
  </si>
  <si>
    <t>117.80</t>
  </si>
  <si>
    <t>39.20</t>
  </si>
  <si>
    <t xml:space="preserve">    其他建筑、安全用金属制品制造</t>
  </si>
  <si>
    <t>309</t>
  </si>
  <si>
    <t>288.09</t>
  </si>
  <si>
    <t>56.83</t>
  </si>
  <si>
    <t>103.65</t>
  </si>
  <si>
    <t>43.04</t>
  </si>
  <si>
    <t>197.83</t>
  </si>
  <si>
    <t>84.61</t>
  </si>
  <si>
    <t>43.98</t>
  </si>
  <si>
    <t>25.30</t>
  </si>
  <si>
    <t>166.46</t>
  </si>
  <si>
    <t>129.43</t>
  </si>
  <si>
    <t>37.82</t>
  </si>
  <si>
    <t>121.51</t>
  </si>
  <si>
    <t>73.78</t>
  </si>
  <si>
    <t xml:space="preserve">  金属表面处理及热处理加工</t>
  </si>
  <si>
    <t>1989</t>
  </si>
  <si>
    <t>2077.38</t>
  </si>
  <si>
    <t>475.85</t>
  </si>
  <si>
    <t>931.50</t>
  </si>
  <si>
    <t>408.27</t>
  </si>
  <si>
    <t>1325.43</t>
  </si>
  <si>
    <t>405.12</t>
  </si>
  <si>
    <t>261.12</t>
  </si>
  <si>
    <t>106.85</t>
  </si>
  <si>
    <t>1326.53</t>
  </si>
  <si>
    <t>1124.78</t>
  </si>
  <si>
    <t>260.98</t>
  </si>
  <si>
    <t>747.67</t>
  </si>
  <si>
    <t>465.16</t>
  </si>
  <si>
    <t>10.18</t>
  </si>
  <si>
    <t xml:space="preserve">  搪瓷制品制造</t>
  </si>
  <si>
    <t>130</t>
  </si>
  <si>
    <t>125.99</t>
  </si>
  <si>
    <t>22.65</t>
  </si>
  <si>
    <t>49.22</t>
  </si>
  <si>
    <t>24.23</t>
  </si>
  <si>
    <t>24.94</t>
  </si>
  <si>
    <t>6.07</t>
  </si>
  <si>
    <t>70.83</t>
  </si>
  <si>
    <t>55.00</t>
  </si>
  <si>
    <t xml:space="preserve">    生产专用搪瓷制品制造</t>
  </si>
  <si>
    <t>25.46</t>
  </si>
  <si>
    <t>7.84</t>
  </si>
  <si>
    <t>4.54</t>
  </si>
  <si>
    <t>3.54</t>
  </si>
  <si>
    <t>0.89</t>
  </si>
  <si>
    <t>13.22</t>
  </si>
  <si>
    <t>11.20</t>
  </si>
  <si>
    <t>12.25</t>
  </si>
  <si>
    <t xml:space="preserve">    建筑装饰搪瓷制品制造</t>
  </si>
  <si>
    <t>27.68</t>
  </si>
  <si>
    <t>7.31</t>
  </si>
  <si>
    <t>12.60</t>
  </si>
  <si>
    <t>5.20</t>
  </si>
  <si>
    <t>10.73</t>
  </si>
  <si>
    <t>5.19</t>
  </si>
  <si>
    <t>11.15</t>
  </si>
  <si>
    <t>2.57</t>
  </si>
  <si>
    <t>6.59</t>
  </si>
  <si>
    <t xml:space="preserve">    搪瓷卫生洁具制造</t>
  </si>
  <si>
    <t>39.24</t>
  </si>
  <si>
    <t>5.70</t>
  </si>
  <si>
    <t>12.90</t>
  </si>
  <si>
    <t>6.33</t>
  </si>
  <si>
    <t>6.16</t>
  </si>
  <si>
    <t>2.60</t>
  </si>
  <si>
    <t>27.65</t>
  </si>
  <si>
    <t>19.16</t>
  </si>
  <si>
    <t>6.90</t>
  </si>
  <si>
    <t>11.58</t>
  </si>
  <si>
    <t xml:space="preserve">    搪瓷日用品及其他搪瓷制品制造</t>
  </si>
  <si>
    <t>21.02</t>
  </si>
  <si>
    <t>4.51</t>
  </si>
  <si>
    <t>2.14</t>
  </si>
  <si>
    <t>18.82</t>
  </si>
  <si>
    <t>17.78</t>
  </si>
  <si>
    <t>14.65</t>
  </si>
  <si>
    <t>6.96</t>
  </si>
  <si>
    <t xml:space="preserve">  金属制日用品制造</t>
  </si>
  <si>
    <t>1911</t>
  </si>
  <si>
    <t>1528.79</t>
  </si>
  <si>
    <t>308.94</t>
  </si>
  <si>
    <t>625.74</t>
  </si>
  <si>
    <t>287.30</t>
  </si>
  <si>
    <t>966.24</t>
  </si>
  <si>
    <t>284.77</t>
  </si>
  <si>
    <t>219.81</t>
  </si>
  <si>
    <t>88.22</t>
  </si>
  <si>
    <t>815.65</t>
  </si>
  <si>
    <t>739.09</t>
  </si>
  <si>
    <t>206.56</t>
  </si>
  <si>
    <t>710.53</t>
  </si>
  <si>
    <t>315.12</t>
  </si>
  <si>
    <t xml:space="preserve">    金属制厨房用器具制造</t>
  </si>
  <si>
    <t>252.60</t>
  </si>
  <si>
    <t>47.95</t>
  </si>
  <si>
    <t>95.29</t>
  </si>
  <si>
    <t>175.56</t>
  </si>
  <si>
    <t>52.16</t>
  </si>
  <si>
    <t>19.63</t>
  </si>
  <si>
    <t>141.01</t>
  </si>
  <si>
    <t>125.66</t>
  </si>
  <si>
    <t>37.62</t>
  </si>
  <si>
    <t>111.51</t>
  </si>
  <si>
    <t>62.97</t>
  </si>
  <si>
    <t xml:space="preserve">    金属制餐具和器皿制造</t>
  </si>
  <si>
    <t>737</t>
  </si>
  <si>
    <t>632.24</t>
  </si>
  <si>
    <t>142.73</t>
  </si>
  <si>
    <t>250.71</t>
  </si>
  <si>
    <t>100.57</t>
  </si>
  <si>
    <t>371.52</t>
  </si>
  <si>
    <t>101.57</t>
  </si>
  <si>
    <t>86.20</t>
  </si>
  <si>
    <t>351.85</t>
  </si>
  <si>
    <t>324.74</t>
  </si>
  <si>
    <t>80.53</t>
  </si>
  <si>
    <t>279.03</t>
  </si>
  <si>
    <t>122.77</t>
  </si>
  <si>
    <t xml:space="preserve">    金属制卫生器具制造</t>
  </si>
  <si>
    <t>105.38</t>
  </si>
  <si>
    <t>42.05</t>
  </si>
  <si>
    <t>73.89</t>
  </si>
  <si>
    <t>24.53</t>
  </si>
  <si>
    <t>61.77</t>
  </si>
  <si>
    <t>57.26</t>
  </si>
  <si>
    <t>17.71</t>
  </si>
  <si>
    <t>43.47</t>
  </si>
  <si>
    <t>22.12</t>
  </si>
  <si>
    <t xml:space="preserve">    其他金属制日用品制造</t>
  </si>
  <si>
    <t>538.57</t>
  </si>
  <si>
    <t>125.54</t>
  </si>
  <si>
    <t>345.27</t>
  </si>
  <si>
    <t>106.51</t>
  </si>
  <si>
    <t>70.55</t>
  </si>
  <si>
    <t>28.25</t>
  </si>
  <si>
    <t>261.01</t>
  </si>
  <si>
    <t>231.43</t>
  </si>
  <si>
    <t>70.70</t>
  </si>
  <si>
    <t>276.52</t>
  </si>
  <si>
    <t>107.26</t>
  </si>
  <si>
    <t xml:space="preserve">  铸造及其他金属制品制造</t>
  </si>
  <si>
    <t>6979</t>
  </si>
  <si>
    <t>10066.90</t>
  </si>
  <si>
    <t>2086.61</t>
  </si>
  <si>
    <t>4411.66</t>
  </si>
  <si>
    <t>2178.53</t>
  </si>
  <si>
    <t>5975.45</t>
  </si>
  <si>
    <t>1763.06</t>
  </si>
  <si>
    <t>1314.46</t>
  </si>
  <si>
    <t>519.35</t>
  </si>
  <si>
    <t>5369.68</t>
  </si>
  <si>
    <t>4302.17</t>
  </si>
  <si>
    <t>1254.38</t>
  </si>
  <si>
    <t>4653.40</t>
  </si>
  <si>
    <t>2162.02</t>
  </si>
  <si>
    <t>207.31</t>
  </si>
  <si>
    <t xml:space="preserve">    黑色金属铸造</t>
  </si>
  <si>
    <t>2547</t>
  </si>
  <si>
    <t>3557.73</t>
  </si>
  <si>
    <t>796.15</t>
  </si>
  <si>
    <t>1738.60</t>
  </si>
  <si>
    <t>847.45</t>
  </si>
  <si>
    <t>1964.57</t>
  </si>
  <si>
    <t>588.96</t>
  </si>
  <si>
    <t>430.92</t>
  </si>
  <si>
    <t>194.17</t>
  </si>
  <si>
    <t>1854.59</t>
  </si>
  <si>
    <t>1360.24</t>
  </si>
  <si>
    <t>382.05</t>
  </si>
  <si>
    <t>1677.21</t>
  </si>
  <si>
    <t>799.26</t>
  </si>
  <si>
    <t>45.50</t>
  </si>
  <si>
    <t xml:space="preserve">    有色金属铸造</t>
  </si>
  <si>
    <t>528.45</t>
  </si>
  <si>
    <t>128.31</t>
  </si>
  <si>
    <t>235.26</t>
  </si>
  <si>
    <t>307.79</t>
  </si>
  <si>
    <t>94.38</t>
  </si>
  <si>
    <t>76.41</t>
  </si>
  <si>
    <t>27.30</t>
  </si>
  <si>
    <t>263.18</t>
  </si>
  <si>
    <t>221.06</t>
  </si>
  <si>
    <t>260.78</t>
  </si>
  <si>
    <t>106.09</t>
  </si>
  <si>
    <t>7.34</t>
  </si>
  <si>
    <t>1.59</t>
  </si>
  <si>
    <t xml:space="preserve">2-1 续表12
</t>
  </si>
  <si>
    <t xml:space="preserve">    锻件及粉末冶金制品制造</t>
  </si>
  <si>
    <t>1588</t>
  </si>
  <si>
    <t>2410.70</t>
  </si>
  <si>
    <t>510.34</t>
  </si>
  <si>
    <t>1063.89</t>
  </si>
  <si>
    <t>521.15</t>
  </si>
  <si>
    <t>1361.74</t>
  </si>
  <si>
    <t>443.05</t>
  </si>
  <si>
    <t>302.26</t>
  </si>
  <si>
    <t>123.46</t>
  </si>
  <si>
    <t>1228.63</t>
  </si>
  <si>
    <t>1008.67</t>
  </si>
  <si>
    <t>280.44</t>
  </si>
  <si>
    <t>1176.20</t>
  </si>
  <si>
    <t>536.02</t>
  </si>
  <si>
    <t>45.41</t>
  </si>
  <si>
    <t xml:space="preserve">    交通及公共管理用金属标牌制造</t>
  </si>
  <si>
    <t>143.34</t>
  </si>
  <si>
    <t>42.26</t>
  </si>
  <si>
    <t>18.28</t>
  </si>
  <si>
    <t>96.69</t>
  </si>
  <si>
    <t>14.64</t>
  </si>
  <si>
    <t>6.09</t>
  </si>
  <si>
    <t>59.94</t>
  </si>
  <si>
    <t>52.73</t>
  </si>
  <si>
    <t>17.82</t>
  </si>
  <si>
    <t>79.94</t>
  </si>
  <si>
    <t>28.81</t>
  </si>
  <si>
    <t>1.85</t>
  </si>
  <si>
    <t xml:space="preserve">    其他未列明金属制品制造</t>
  </si>
  <si>
    <t>2308</t>
  </si>
  <si>
    <t>3426.69</t>
  </si>
  <si>
    <t>629.69</t>
  </si>
  <si>
    <t>1331.66</t>
  </si>
  <si>
    <t>666.91</t>
  </si>
  <si>
    <t>2244.66</t>
  </si>
  <si>
    <t>606.03</t>
  </si>
  <si>
    <t>490.23</t>
  </si>
  <si>
    <t>1963.34</t>
  </si>
  <si>
    <t>1659.47</t>
  </si>
  <si>
    <t>488.50</t>
  </si>
  <si>
    <t>1459.27</t>
  </si>
  <si>
    <t>691.83</t>
  </si>
  <si>
    <t>107.21</t>
  </si>
  <si>
    <t>3.61</t>
  </si>
  <si>
    <t>通用设备制造业</t>
  </si>
  <si>
    <t>26420</t>
  </si>
  <si>
    <t>48383.29</t>
  </si>
  <si>
    <t>7639.32</t>
  </si>
  <si>
    <t>15668.12</t>
  </si>
  <si>
    <t>7423.66</t>
  </si>
  <si>
    <t>32724.94</t>
  </si>
  <si>
    <t>10220.97</t>
  </si>
  <si>
    <t>7490.88</t>
  </si>
  <si>
    <t>2786.90</t>
  </si>
  <si>
    <t>26244.39</t>
  </si>
  <si>
    <t>22588.01</t>
  </si>
  <si>
    <t>7951.87</t>
  </si>
  <si>
    <t>22091.49</t>
  </si>
  <si>
    <t>9222.21</t>
  </si>
  <si>
    <t>828.31</t>
  </si>
  <si>
    <t>121.62</t>
  </si>
  <si>
    <t xml:space="preserve">  锅炉及原动设备制造</t>
  </si>
  <si>
    <t>7474.16</t>
  </si>
  <si>
    <t>1005.56</t>
  </si>
  <si>
    <t>2128.21</t>
  </si>
  <si>
    <t>1059.94</t>
  </si>
  <si>
    <t>5222.79</t>
  </si>
  <si>
    <t>1269.62</t>
  </si>
  <si>
    <t>1069.29</t>
  </si>
  <si>
    <t>329.19</t>
  </si>
  <si>
    <t>4328.51</t>
  </si>
  <si>
    <t>3819.41</t>
  </si>
  <si>
    <t>1317.51</t>
  </si>
  <si>
    <t>3147.07</t>
  </si>
  <si>
    <t>1140.33</t>
  </si>
  <si>
    <t>282.02</t>
  </si>
  <si>
    <t xml:space="preserve">    锅炉及辅助设备制造</t>
  </si>
  <si>
    <t>2069.38</t>
  </si>
  <si>
    <t>254.57</t>
  </si>
  <si>
    <t>546.95</t>
  </si>
  <si>
    <t>271.50</t>
  </si>
  <si>
    <t>1490.44</t>
  </si>
  <si>
    <t>373.13</t>
  </si>
  <si>
    <t>376.43</t>
  </si>
  <si>
    <t>1325.40</t>
  </si>
  <si>
    <t>1183.32</t>
  </si>
  <si>
    <t>358.85</t>
  </si>
  <si>
    <t>745.97</t>
  </si>
  <si>
    <t>308.82</t>
  </si>
  <si>
    <t>79.01</t>
  </si>
  <si>
    <t>4.26</t>
  </si>
  <si>
    <t xml:space="preserve">    内燃机及配件制造</t>
  </si>
  <si>
    <t>470</t>
  </si>
  <si>
    <t>3289.96</t>
  </si>
  <si>
    <t>502.80</t>
  </si>
  <si>
    <t>1013.75</t>
  </si>
  <si>
    <t>476.82</t>
  </si>
  <si>
    <t>2141.37</t>
  </si>
  <si>
    <t>375.57</t>
  </si>
  <si>
    <t>379.53</t>
  </si>
  <si>
    <t>183.22</t>
  </si>
  <si>
    <t>1603.41</t>
  </si>
  <si>
    <t>1366.56</t>
  </si>
  <si>
    <t>555.56</t>
  </si>
  <si>
    <t>1686.55</t>
  </si>
  <si>
    <t>525.04</t>
  </si>
  <si>
    <t>115.37</t>
  </si>
  <si>
    <t>6.10</t>
  </si>
  <si>
    <t xml:space="preserve">    汽轮机及辅机制造</t>
  </si>
  <si>
    <t>99</t>
  </si>
  <si>
    <t>1088.79</t>
  </si>
  <si>
    <t>107.35</t>
  </si>
  <si>
    <t>309.27</t>
  </si>
  <si>
    <t>200.17</t>
  </si>
  <si>
    <t>795.20</t>
  </si>
  <si>
    <t>172.55</t>
  </si>
  <si>
    <t>169.45</t>
  </si>
  <si>
    <t>30.08</t>
  </si>
  <si>
    <t>748.64</t>
  </si>
  <si>
    <t>698.76</t>
  </si>
  <si>
    <t>176.84</t>
  </si>
  <si>
    <t>340.15</t>
  </si>
  <si>
    <t>164.04</t>
  </si>
  <si>
    <t>78.28</t>
  </si>
  <si>
    <t xml:space="preserve">    水轮机及辅机制造</t>
  </si>
  <si>
    <t>116.16</t>
  </si>
  <si>
    <t>25.72</t>
  </si>
  <si>
    <t>72.77</t>
  </si>
  <si>
    <t>25.73</t>
  </si>
  <si>
    <t>4.63</t>
  </si>
  <si>
    <t>65.52</t>
  </si>
  <si>
    <t>58.81</t>
  </si>
  <si>
    <t>20.00</t>
  </si>
  <si>
    <t>50.64</t>
  </si>
  <si>
    <t>2.80</t>
  </si>
  <si>
    <t xml:space="preserve">    风能原动设备制造</t>
  </si>
  <si>
    <t>171</t>
  </si>
  <si>
    <t>885.61</t>
  </si>
  <si>
    <t>178.86</t>
  </si>
  <si>
    <t>66.03</t>
  </si>
  <si>
    <t>702.37</t>
  </si>
  <si>
    <t>313.27</t>
  </si>
  <si>
    <t>122.46</t>
  </si>
  <si>
    <t>45.04</t>
  </si>
  <si>
    <t>569.62</t>
  </si>
  <si>
    <t>498.02</t>
  </si>
  <si>
    <t>201.16</t>
  </si>
  <si>
    <t>315.41</t>
  </si>
  <si>
    <t>116.25</t>
  </si>
  <si>
    <t>6.49</t>
  </si>
  <si>
    <t>1.56</t>
  </si>
  <si>
    <t xml:space="preserve">    其他原动设备制造</t>
  </si>
  <si>
    <t>24.26</t>
  </si>
  <si>
    <t>4.83</t>
  </si>
  <si>
    <t>13.94</t>
  </si>
  <si>
    <t>5.10</t>
  </si>
  <si>
    <t>8.35</t>
  </si>
  <si>
    <t xml:space="preserve">  金属加工机械制造</t>
  </si>
  <si>
    <t>3475</t>
  </si>
  <si>
    <t>5269.69</t>
  </si>
  <si>
    <t>804.42</t>
  </si>
  <si>
    <t>1642.23</t>
  </si>
  <si>
    <t>768.51</t>
  </si>
  <si>
    <t>3427.38</t>
  </si>
  <si>
    <t>861.53</t>
  </si>
  <si>
    <t>894.56</t>
  </si>
  <si>
    <t>302.73</t>
  </si>
  <si>
    <t>2856.40</t>
  </si>
  <si>
    <t>2327.11</t>
  </si>
  <si>
    <t>670.26</t>
  </si>
  <si>
    <t>2400.40</t>
  </si>
  <si>
    <t>1024.25</t>
  </si>
  <si>
    <t>16.99</t>
  </si>
  <si>
    <t xml:space="preserve">    金属切削机床制造</t>
  </si>
  <si>
    <t>870</t>
  </si>
  <si>
    <t>1978.99</t>
  </si>
  <si>
    <t>278.35</t>
  </si>
  <si>
    <t>566.43</t>
  </si>
  <si>
    <t>263.15</t>
  </si>
  <si>
    <t>1291.50</t>
  </si>
  <si>
    <t>259.38</t>
  </si>
  <si>
    <t>338.01</t>
  </si>
  <si>
    <t>114.74</t>
  </si>
  <si>
    <t>1174.62</t>
  </si>
  <si>
    <t>969.30</t>
  </si>
  <si>
    <t>210.18</t>
  </si>
  <si>
    <t>795.38</t>
  </si>
  <si>
    <t>390.44</t>
  </si>
  <si>
    <t>61.61</t>
  </si>
  <si>
    <t xml:space="preserve">    金属成形机床制造</t>
  </si>
  <si>
    <t>524</t>
  </si>
  <si>
    <t>812.37</t>
  </si>
  <si>
    <t>136.30</t>
  </si>
  <si>
    <t>277.95</t>
  </si>
  <si>
    <t>565.44</t>
  </si>
  <si>
    <t>140.39</t>
  </si>
  <si>
    <t>171.06</t>
  </si>
  <si>
    <t>51.18</t>
  </si>
  <si>
    <t>346.36</t>
  </si>
  <si>
    <t>124.10</t>
  </si>
  <si>
    <t>385.27</t>
  </si>
  <si>
    <t>151.12</t>
  </si>
  <si>
    <t>8.72</t>
  </si>
  <si>
    <t>1.71</t>
  </si>
  <si>
    <t xml:space="preserve">    铸造机械制造</t>
  </si>
  <si>
    <t>443.28</t>
  </si>
  <si>
    <t>79.61</t>
  </si>
  <si>
    <t>176.82</t>
  </si>
  <si>
    <t>78.44</t>
  </si>
  <si>
    <t>243.83</t>
  </si>
  <si>
    <t>80.73</t>
  </si>
  <si>
    <t>62.16</t>
  </si>
  <si>
    <t>21.73</t>
  </si>
  <si>
    <t>192.63</t>
  </si>
  <si>
    <t>107.67</t>
  </si>
  <si>
    <t xml:space="preserve">    金属切割及焊接设备制造</t>
  </si>
  <si>
    <t>847.73</t>
  </si>
  <si>
    <t>91.68</t>
  </si>
  <si>
    <t>170.25</t>
  </si>
  <si>
    <t>73.74</t>
  </si>
  <si>
    <t>599.99</t>
  </si>
  <si>
    <t>161.73</t>
  </si>
  <si>
    <t>147.72</t>
  </si>
  <si>
    <t>54.60</t>
  </si>
  <si>
    <t>435.88</t>
  </si>
  <si>
    <t>362.10</t>
  </si>
  <si>
    <t>411.40</t>
  </si>
  <si>
    <t>145.38</t>
  </si>
  <si>
    <t>2.36</t>
  </si>
  <si>
    <t>1.91</t>
  </si>
  <si>
    <t xml:space="preserve">    机床功能部件及附件制造</t>
  </si>
  <si>
    <t>379</t>
  </si>
  <si>
    <t>448.97</t>
  </si>
  <si>
    <t>90.30</t>
  </si>
  <si>
    <t>170.93</t>
  </si>
  <si>
    <t>75.51</t>
  </si>
  <si>
    <t>277.03</t>
  </si>
  <si>
    <t>86.80</t>
  </si>
  <si>
    <t>69.76</t>
  </si>
  <si>
    <t>23.21</t>
  </si>
  <si>
    <t>164.61</t>
  </si>
  <si>
    <t>58.05</t>
  </si>
  <si>
    <t>246.36</t>
  </si>
  <si>
    <t>4.21</t>
  </si>
  <si>
    <t xml:space="preserve">    其他金属加工机械制造</t>
  </si>
  <si>
    <t>685</t>
  </si>
  <si>
    <t>738.35</t>
  </si>
  <si>
    <t>128.18</t>
  </si>
  <si>
    <t>279.85</t>
  </si>
  <si>
    <t>142.21</t>
  </si>
  <si>
    <t>449.59</t>
  </si>
  <si>
    <t>132.50</t>
  </si>
  <si>
    <t>105.85</t>
  </si>
  <si>
    <t>37.27</t>
  </si>
  <si>
    <t>292.12</t>
  </si>
  <si>
    <t>90.08</t>
  </si>
  <si>
    <t>355.03</t>
  </si>
  <si>
    <t>132.95</t>
  </si>
  <si>
    <t>7.23</t>
  </si>
  <si>
    <t xml:space="preserve">  物料搬运设备制造</t>
  </si>
  <si>
    <t>2462</t>
  </si>
  <si>
    <t>7588.47</t>
  </si>
  <si>
    <t>972.87</t>
  </si>
  <si>
    <t>1852.40</t>
  </si>
  <si>
    <t>781.68</t>
  </si>
  <si>
    <t>5421.62</t>
  </si>
  <si>
    <t>1809.73</t>
  </si>
  <si>
    <t>1320.14</t>
  </si>
  <si>
    <t>472.25</t>
  </si>
  <si>
    <t>4693.30</t>
  </si>
  <si>
    <t>4069.40</t>
  </si>
  <si>
    <t>1316.77</t>
  </si>
  <si>
    <t>2890.34</t>
  </si>
  <si>
    <t>1306.58</t>
  </si>
  <si>
    <t>90.14</t>
  </si>
  <si>
    <t xml:space="preserve">    轻小型起重设备制造</t>
  </si>
  <si>
    <t>220</t>
  </si>
  <si>
    <t>215.04</t>
  </si>
  <si>
    <t>39.07</t>
  </si>
  <si>
    <t>81.46</t>
  </si>
  <si>
    <t>146.92</t>
  </si>
  <si>
    <t>36.36</t>
  </si>
  <si>
    <t>117.50</t>
  </si>
  <si>
    <t>99.46</t>
  </si>
  <si>
    <t>35.46</t>
  </si>
  <si>
    <t>97.17</t>
  </si>
  <si>
    <t>47.36</t>
  </si>
  <si>
    <t xml:space="preserve">    生产专用起重机制造</t>
  </si>
  <si>
    <t>556</t>
  </si>
  <si>
    <t>2610.62</t>
  </si>
  <si>
    <t>433.93</t>
  </si>
  <si>
    <t>829.40</t>
  </si>
  <si>
    <t>331.76</t>
  </si>
  <si>
    <t>1734.40</t>
  </si>
  <si>
    <t>672.95</t>
  </si>
  <si>
    <t>514.38</t>
  </si>
  <si>
    <t>101.46</t>
  </si>
  <si>
    <t>1744.36</t>
  </si>
  <si>
    <t>1434.21</t>
  </si>
  <si>
    <t>459.05</t>
  </si>
  <si>
    <t>864.59</t>
  </si>
  <si>
    <t>418.51</t>
  </si>
  <si>
    <t>73.16</t>
  </si>
  <si>
    <t xml:space="preserve">    生产专用车辆制造</t>
  </si>
  <si>
    <t>185</t>
  </si>
  <si>
    <t>465.73</t>
  </si>
  <si>
    <t>158.28</t>
  </si>
  <si>
    <t>72.45</t>
  </si>
  <si>
    <t>300.24</t>
  </si>
  <si>
    <t>86.78</t>
  </si>
  <si>
    <t>28.01</t>
  </si>
  <si>
    <t>232.78</t>
  </si>
  <si>
    <t>209.42</t>
  </si>
  <si>
    <t>102.61</t>
  </si>
  <si>
    <t>232.95</t>
  </si>
  <si>
    <t xml:space="preserve">    连续搬运设备制造</t>
  </si>
  <si>
    <t>429</t>
  </si>
  <si>
    <t>710.10</t>
  </si>
  <si>
    <t>68.40</t>
  </si>
  <si>
    <t>123.57</t>
  </si>
  <si>
    <t>52.35</t>
  </si>
  <si>
    <t>484.90</t>
  </si>
  <si>
    <t>159.50</t>
  </si>
  <si>
    <t>105.28</t>
  </si>
  <si>
    <t>36.40</t>
  </si>
  <si>
    <t>391.47</t>
  </si>
  <si>
    <t>303.24</t>
  </si>
  <si>
    <t>95.27</t>
  </si>
  <si>
    <t>317.56</t>
  </si>
  <si>
    <t>144.63</t>
  </si>
  <si>
    <t>14.90</t>
  </si>
  <si>
    <t xml:space="preserve">    电梯、自动扶梯及升降机制造</t>
  </si>
  <si>
    <t>845</t>
  </si>
  <si>
    <t>3184.70</t>
  </si>
  <si>
    <t>314.05</t>
  </si>
  <si>
    <t>584.05</t>
  </si>
  <si>
    <t>253.27</t>
  </si>
  <si>
    <t>2443.81</t>
  </si>
  <si>
    <t>738.39</t>
  </si>
  <si>
    <t>498.52</t>
  </si>
  <si>
    <t>269.08</t>
  </si>
  <si>
    <t>1985.97</t>
  </si>
  <si>
    <t>1825.00</t>
  </si>
  <si>
    <t>552.43</t>
  </si>
  <si>
    <t>1197.00</t>
  </si>
  <si>
    <t>511.70</t>
  </si>
  <si>
    <t xml:space="preserve">    客运索道制造</t>
  </si>
  <si>
    <t>17.79</t>
  </si>
  <si>
    <t>1.69</t>
  </si>
  <si>
    <t>2.84</t>
  </si>
  <si>
    <t>13.37</t>
  </si>
  <si>
    <t>7.19</t>
  </si>
  <si>
    <t>9.31</t>
  </si>
  <si>
    <t xml:space="preserve">    机械式停车设备制造</t>
  </si>
  <si>
    <t>116.03</t>
  </si>
  <si>
    <t>9.73</t>
  </si>
  <si>
    <t>6.03</t>
  </si>
  <si>
    <t>85.87</t>
  </si>
  <si>
    <t>31.63</t>
  </si>
  <si>
    <t>60.37</t>
  </si>
  <si>
    <t>50.67</t>
  </si>
  <si>
    <t>15.15</t>
  </si>
  <si>
    <t>55.66</t>
  </si>
  <si>
    <t>37.40</t>
  </si>
  <si>
    <t xml:space="preserve">    其他物料搬运设备制造</t>
  </si>
  <si>
    <t>268.47</t>
  </si>
  <si>
    <t>26.44</t>
  </si>
  <si>
    <t>212.11</t>
  </si>
  <si>
    <t>67.70</t>
  </si>
  <si>
    <t>67.71</t>
  </si>
  <si>
    <t>151.53</t>
  </si>
  <si>
    <t>138.70</t>
  </si>
  <si>
    <t>53.04</t>
  </si>
  <si>
    <t>116.93</t>
  </si>
  <si>
    <t>52.47</t>
  </si>
  <si>
    <t xml:space="preserve">  泵、阀门、压缩机及类似机械制造</t>
  </si>
  <si>
    <t>5126</t>
  </si>
  <si>
    <t>8016.43</t>
  </si>
  <si>
    <t>1340.66</t>
  </si>
  <si>
    <t>2780.37</t>
  </si>
  <si>
    <t>1364.23</t>
  </si>
  <si>
    <t>5538.16</t>
  </si>
  <si>
    <t>1843.85</t>
  </si>
  <si>
    <t>1319.78</t>
  </si>
  <si>
    <t>517.29</t>
  </si>
  <si>
    <t>4052.38</t>
  </si>
  <si>
    <t>3562.44</t>
  </si>
  <si>
    <t>1425.81</t>
  </si>
  <si>
    <t>3957.33</t>
  </si>
  <si>
    <t>1714.12</t>
  </si>
  <si>
    <t>79.25</t>
  </si>
  <si>
    <t>18.57</t>
  </si>
  <si>
    <t xml:space="preserve">    泵及真空设备制造</t>
  </si>
  <si>
    <t>1305</t>
  </si>
  <si>
    <t>1981.48</t>
  </si>
  <si>
    <t>309.69</t>
  </si>
  <si>
    <t>632.64</t>
  </si>
  <si>
    <t>280.69</t>
  </si>
  <si>
    <t>1347.17</t>
  </si>
  <si>
    <t>409.78</t>
  </si>
  <si>
    <t>338.19</t>
  </si>
  <si>
    <t>110.89</t>
  </si>
  <si>
    <t>996.48</t>
  </si>
  <si>
    <t>884.02</t>
  </si>
  <si>
    <t>336.64</t>
  </si>
  <si>
    <t>981.16</t>
  </si>
  <si>
    <t>431.07</t>
  </si>
  <si>
    <t>22.82</t>
  </si>
  <si>
    <t>4.43</t>
  </si>
  <si>
    <t xml:space="preserve">    气体压缩机械制造</t>
  </si>
  <si>
    <t>535</t>
  </si>
  <si>
    <t>2173.25</t>
  </si>
  <si>
    <t>765.97</t>
  </si>
  <si>
    <t>437.89</t>
  </si>
  <si>
    <t>1565.72</t>
  </si>
  <si>
    <t>501.51</t>
  </si>
  <si>
    <t>361.59</t>
  </si>
  <si>
    <t>154.00</t>
  </si>
  <si>
    <t>1258.94</t>
  </si>
  <si>
    <t>1135.48</t>
  </si>
  <si>
    <t>481.23</t>
  </si>
  <si>
    <t>913.83</t>
  </si>
  <si>
    <t>393.73</t>
  </si>
  <si>
    <t>31.57</t>
  </si>
  <si>
    <t xml:space="preserve">    阀门和旋塞制造</t>
  </si>
  <si>
    <t>2036</t>
  </si>
  <si>
    <t>2064.67</t>
  </si>
  <si>
    <t>344.71</t>
  </si>
  <si>
    <t>674.48</t>
  </si>
  <si>
    <t>1433.30</t>
  </si>
  <si>
    <t>553.56</t>
  </si>
  <si>
    <t>330.43</t>
  </si>
  <si>
    <t>136.02</t>
  </si>
  <si>
    <t>978.32</t>
  </si>
  <si>
    <t>835.91</t>
  </si>
  <si>
    <t>313.38</t>
  </si>
  <si>
    <t>1084.66</t>
  </si>
  <si>
    <t>531.07</t>
  </si>
  <si>
    <t>4.85</t>
  </si>
  <si>
    <t xml:space="preserve">    液压动力机械及元件制造</t>
  </si>
  <si>
    <t>1102</t>
  </si>
  <si>
    <t>1458.45</t>
  </si>
  <si>
    <t>291.66</t>
  </si>
  <si>
    <t>580.43</t>
  </si>
  <si>
    <t>277.23</t>
  </si>
  <si>
    <t>952.00</t>
  </si>
  <si>
    <t>327.66</t>
  </si>
  <si>
    <t>223.26</t>
  </si>
  <si>
    <t>85.65</t>
  </si>
  <si>
    <t>711.85</t>
  </si>
  <si>
    <t>613.25</t>
  </si>
  <si>
    <t>251.21</t>
  </si>
  <si>
    <t>746.08</t>
  </si>
  <si>
    <t>287.40</t>
  </si>
  <si>
    <t xml:space="preserve">    液力动力机械元件制造</t>
  </si>
  <si>
    <t>14.03</t>
  </si>
  <si>
    <t>10.34</t>
  </si>
  <si>
    <t>7.88</t>
  </si>
  <si>
    <t>3.47</t>
  </si>
  <si>
    <t>6.15</t>
  </si>
  <si>
    <t>4.74</t>
  </si>
  <si>
    <t xml:space="preserve">    气压动力机械及元件制造</t>
  </si>
  <si>
    <t>123</t>
  </si>
  <si>
    <t>324.57</t>
  </si>
  <si>
    <t>70.24</t>
  </si>
  <si>
    <t>121.13</t>
  </si>
  <si>
    <t>50.23</t>
  </si>
  <si>
    <t>229.63</t>
  </si>
  <si>
    <t>63.47</t>
  </si>
  <si>
    <t>29.97</t>
  </si>
  <si>
    <t>98.92</t>
  </si>
  <si>
    <t>86.66</t>
  </si>
  <si>
    <t>39.89</t>
  </si>
  <si>
    <t>225.47</t>
  </si>
  <si>
    <t xml:space="preserve">  轴承、齿轮和传动部件制造</t>
  </si>
  <si>
    <t>2528</t>
  </si>
  <si>
    <t>4559.44</t>
  </si>
  <si>
    <t>1107.68</t>
  </si>
  <si>
    <t>2355.96</t>
  </si>
  <si>
    <t>1152.34</t>
  </si>
  <si>
    <t>2726.69</t>
  </si>
  <si>
    <t>967.06</t>
  </si>
  <si>
    <t>634.46</t>
  </si>
  <si>
    <t>276.01</t>
  </si>
  <si>
    <t>2273.90</t>
  </si>
  <si>
    <t>1843.70</t>
  </si>
  <si>
    <t>660.71</t>
  </si>
  <si>
    <t>2280.78</t>
  </si>
  <si>
    <t>1055.38</t>
  </si>
  <si>
    <t>89.00</t>
  </si>
  <si>
    <t xml:space="preserve">    滚动轴承制造</t>
  </si>
  <si>
    <t>1216</t>
  </si>
  <si>
    <t>2107.79</t>
  </si>
  <si>
    <t>517.21</t>
  </si>
  <si>
    <t>1124.53</t>
  </si>
  <si>
    <t>530.06</t>
  </si>
  <si>
    <t>1196.02</t>
  </si>
  <si>
    <t>447.18</t>
  </si>
  <si>
    <t>143.30</t>
  </si>
  <si>
    <t>1054.14</t>
  </si>
  <si>
    <t>860.81</t>
  </si>
  <si>
    <t>305.39</t>
  </si>
  <si>
    <t>1052.24</t>
  </si>
  <si>
    <t>539.57</t>
  </si>
  <si>
    <t xml:space="preserve">    滑动轴承制造</t>
  </si>
  <si>
    <t>129.42</t>
  </si>
  <si>
    <t>31.50</t>
  </si>
  <si>
    <t>63.94</t>
  </si>
  <si>
    <t>31.96</t>
  </si>
  <si>
    <t>84.36</t>
  </si>
  <si>
    <t>33.35</t>
  </si>
  <si>
    <t>17.22</t>
  </si>
  <si>
    <t>9.18</t>
  </si>
  <si>
    <t>55.53</t>
  </si>
  <si>
    <t>50.35</t>
  </si>
  <si>
    <t>22.34</t>
  </si>
  <si>
    <t>73.70</t>
  </si>
  <si>
    <t>24.84</t>
  </si>
  <si>
    <t>4.15</t>
  </si>
  <si>
    <t xml:space="preserve">    齿轮及齿轮减、变速箱制造</t>
  </si>
  <si>
    <t>864</t>
  </si>
  <si>
    <t>1927.11</t>
  </si>
  <si>
    <t>479.43</t>
  </si>
  <si>
    <t>1007.26</t>
  </si>
  <si>
    <t>512.83</t>
  </si>
  <si>
    <t>1183.85</t>
  </si>
  <si>
    <t>386.71</t>
  </si>
  <si>
    <t>273.76</t>
  </si>
  <si>
    <t>100.58</t>
  </si>
  <si>
    <t>953.57</t>
  </si>
  <si>
    <t>751.31</t>
  </si>
  <si>
    <t>262.35</t>
  </si>
  <si>
    <t>970.48</t>
  </si>
  <si>
    <t>403.93</t>
  </si>
  <si>
    <t>40.02</t>
  </si>
  <si>
    <t xml:space="preserve">    其他传动部件制造</t>
  </si>
  <si>
    <t>395.12</t>
  </si>
  <si>
    <t>79.54</t>
  </si>
  <si>
    <t>77.48</t>
  </si>
  <si>
    <t>262.46</t>
  </si>
  <si>
    <t>99.82</t>
  </si>
  <si>
    <t>56.05</t>
  </si>
  <si>
    <t>22.95</t>
  </si>
  <si>
    <t>210.67</t>
  </si>
  <si>
    <t>181.23</t>
  </si>
  <si>
    <t>70.64</t>
  </si>
  <si>
    <t>184.35</t>
  </si>
  <si>
    <t>87.05</t>
  </si>
  <si>
    <t>3.81</t>
  </si>
  <si>
    <t xml:space="preserve">  烘炉、风机、包装等设备制造</t>
  </si>
  <si>
    <t>3746</t>
  </si>
  <si>
    <t>6986.26</t>
  </si>
  <si>
    <t>952.53</t>
  </si>
  <si>
    <t>1863.46</t>
  </si>
  <si>
    <t>835.79</t>
  </si>
  <si>
    <t>4704.21</t>
  </si>
  <si>
    <t>1513.54</t>
  </si>
  <si>
    <t>951.20</t>
  </si>
  <si>
    <t>396.70</t>
  </si>
  <si>
    <t>3765.88</t>
  </si>
  <si>
    <t>3357.96</t>
  </si>
  <si>
    <t>1227.51</t>
  </si>
  <si>
    <t>3218.02</t>
  </si>
  <si>
    <t>1228.00</t>
  </si>
  <si>
    <t>67.40</t>
  </si>
  <si>
    <t>20.28</t>
  </si>
  <si>
    <t xml:space="preserve">    烘炉、熔炉及电炉制造</t>
  </si>
  <si>
    <t>368.22</t>
  </si>
  <si>
    <t>39.94</t>
  </si>
  <si>
    <t>90.60</t>
  </si>
  <si>
    <t>32.68</t>
  </si>
  <si>
    <t>231.13</t>
  </si>
  <si>
    <t>62.22</t>
  </si>
  <si>
    <t>16.08</t>
  </si>
  <si>
    <t>191.74</t>
  </si>
  <si>
    <t>171.19</t>
  </si>
  <si>
    <t>50.18</t>
  </si>
  <si>
    <t>174.62</t>
  </si>
  <si>
    <t>66.04</t>
  </si>
  <si>
    <t xml:space="preserve">    风机、风扇制造</t>
  </si>
  <si>
    <t>554</t>
  </si>
  <si>
    <t>901.34</t>
  </si>
  <si>
    <t>113.78</t>
  </si>
  <si>
    <t>217.64</t>
  </si>
  <si>
    <t>99.64</t>
  </si>
  <si>
    <t>630.07</t>
  </si>
  <si>
    <t>183.97</t>
  </si>
  <si>
    <t>111.31</t>
  </si>
  <si>
    <t>46.87</t>
  </si>
  <si>
    <t>498.50</t>
  </si>
  <si>
    <t>448.94</t>
  </si>
  <si>
    <t>147.30</t>
  </si>
  <si>
    <t>402.64</t>
  </si>
  <si>
    <t>142.39</t>
  </si>
  <si>
    <t>9.13</t>
  </si>
  <si>
    <t xml:space="preserve">2-1 续表13
</t>
  </si>
  <si>
    <t xml:space="preserve">    气体、液体分离及纯净设备制造</t>
  </si>
  <si>
    <t>689</t>
  </si>
  <si>
    <t>1416.62</t>
  </si>
  <si>
    <t>211.33</t>
  </si>
  <si>
    <t>391.07</t>
  </si>
  <si>
    <t>148.48</t>
  </si>
  <si>
    <t>921.28</t>
  </si>
  <si>
    <t>283.48</t>
  </si>
  <si>
    <t>193.31</t>
  </si>
  <si>
    <t>75.91</t>
  </si>
  <si>
    <t>798.06</t>
  </si>
  <si>
    <t>697.67</t>
  </si>
  <si>
    <t>222.71</t>
  </si>
  <si>
    <t>619.10</t>
  </si>
  <si>
    <t>33.17</t>
  </si>
  <si>
    <t xml:space="preserve">    制冷、空调设备制造</t>
  </si>
  <si>
    <t>1281</t>
  </si>
  <si>
    <t>2951.36</t>
  </si>
  <si>
    <t>379.85</t>
  </si>
  <si>
    <t>731.42</t>
  </si>
  <si>
    <t>333.96</t>
  </si>
  <si>
    <t>1944.41</t>
  </si>
  <si>
    <t>651.78</t>
  </si>
  <si>
    <t>345.50</t>
  </si>
  <si>
    <t>161.98</t>
  </si>
  <si>
    <t>1542.04</t>
  </si>
  <si>
    <t>1399.07</t>
  </si>
  <si>
    <t>527.31</t>
  </si>
  <si>
    <t>1408.48</t>
  </si>
  <si>
    <t>559.30</t>
  </si>
  <si>
    <t>17.53</t>
  </si>
  <si>
    <t xml:space="preserve">    风动和电动工具制造</t>
  </si>
  <si>
    <t>710.90</t>
  </si>
  <si>
    <t>113.11</t>
  </si>
  <si>
    <t>235.65</t>
  </si>
  <si>
    <t>121.99</t>
  </si>
  <si>
    <t>538.00</t>
  </si>
  <si>
    <t>226.00</t>
  </si>
  <si>
    <t>120.24</t>
  </si>
  <si>
    <t>48.08</t>
  </si>
  <si>
    <t>401.45</t>
  </si>
  <si>
    <t>360.17</t>
  </si>
  <si>
    <t>192.71</t>
  </si>
  <si>
    <t>309.45</t>
  </si>
  <si>
    <t>96.82</t>
  </si>
  <si>
    <t xml:space="preserve">    喷枪及类似器具制造</t>
  </si>
  <si>
    <t>113.18</t>
  </si>
  <si>
    <t>24.35</t>
  </si>
  <si>
    <t>48.83</t>
  </si>
  <si>
    <t>74.66</t>
  </si>
  <si>
    <t>22.25</t>
  </si>
  <si>
    <t>52.87</t>
  </si>
  <si>
    <t>19.39</t>
  </si>
  <si>
    <t xml:space="preserve">    包装专用设备制造</t>
  </si>
  <si>
    <t>524.64</t>
  </si>
  <si>
    <t>148.25</t>
  </si>
  <si>
    <t>76.90</t>
  </si>
  <si>
    <t>364.66</t>
  </si>
  <si>
    <t>83.85</t>
  </si>
  <si>
    <t>104.56</t>
  </si>
  <si>
    <t>41.31</t>
  </si>
  <si>
    <t>269.12</t>
  </si>
  <si>
    <t>228.04</t>
  </si>
  <si>
    <t>67.91</t>
  </si>
  <si>
    <t>255.52</t>
  </si>
  <si>
    <t>95.88</t>
  </si>
  <si>
    <t>5.21</t>
  </si>
  <si>
    <t xml:space="preserve">  文化、办公用机械制造</t>
  </si>
  <si>
    <t>608</t>
  </si>
  <si>
    <t>1803.97</t>
  </si>
  <si>
    <t>234.33</t>
  </si>
  <si>
    <t>572.80</t>
  </si>
  <si>
    <t>328.87</t>
  </si>
  <si>
    <t>1301.78</t>
  </si>
  <si>
    <t>425.97</t>
  </si>
  <si>
    <t>284.55</t>
  </si>
  <si>
    <t>109.47</t>
  </si>
  <si>
    <t>807.15</t>
  </si>
  <si>
    <t>686.37</t>
  </si>
  <si>
    <t>319.68</t>
  </si>
  <si>
    <t>996.61</t>
  </si>
  <si>
    <t>371.97</t>
  </si>
  <si>
    <t>17.86</t>
  </si>
  <si>
    <t>2.46</t>
  </si>
  <si>
    <t xml:space="preserve">    电影机械制造</t>
  </si>
  <si>
    <t>14</t>
  </si>
  <si>
    <t>21.16</t>
  </si>
  <si>
    <t>18.22</t>
  </si>
  <si>
    <t>4.12</t>
  </si>
  <si>
    <t>2.59</t>
  </si>
  <si>
    <t>12.80</t>
  </si>
  <si>
    <t>9.59</t>
  </si>
  <si>
    <t>3.92</t>
  </si>
  <si>
    <t xml:space="preserve">    幻灯及投影设备制造</t>
  </si>
  <si>
    <t>76</t>
  </si>
  <si>
    <t>31.16</t>
  </si>
  <si>
    <t>89.39</t>
  </si>
  <si>
    <t>189.61</t>
  </si>
  <si>
    <t>71.77</t>
  </si>
  <si>
    <t>58.73</t>
  </si>
  <si>
    <t>19.78</t>
  </si>
  <si>
    <t>70.45</t>
  </si>
  <si>
    <t>129.51</t>
  </si>
  <si>
    <t>47.98</t>
  </si>
  <si>
    <t xml:space="preserve">    照相机及器材制造</t>
  </si>
  <si>
    <t>90.74</t>
  </si>
  <si>
    <t>188.04</t>
  </si>
  <si>
    <t>93.09</t>
  </si>
  <si>
    <t>267.29</t>
  </si>
  <si>
    <t>86.17</t>
  </si>
  <si>
    <t>64.23</t>
  </si>
  <si>
    <t>20.05</t>
  </si>
  <si>
    <t>179.22</t>
  </si>
  <si>
    <t>156.96</t>
  </si>
  <si>
    <t>73.72</t>
  </si>
  <si>
    <t>106.38</t>
  </si>
  <si>
    <t xml:space="preserve">    复印和胶印设备制造</t>
  </si>
  <si>
    <t>147</t>
  </si>
  <si>
    <t>362.11</t>
  </si>
  <si>
    <t>49.51</t>
  </si>
  <si>
    <t>179.51</t>
  </si>
  <si>
    <t>275.87</t>
  </si>
  <si>
    <t>101.93</t>
  </si>
  <si>
    <t>21.46</t>
  </si>
  <si>
    <t>118.52</t>
  </si>
  <si>
    <t>58.26</t>
  </si>
  <si>
    <t>210.69</t>
  </si>
  <si>
    <t>75.74</t>
  </si>
  <si>
    <t xml:space="preserve">    计算器及货币专用设备制造</t>
  </si>
  <si>
    <t>697.68</t>
  </si>
  <si>
    <t>52.20</t>
  </si>
  <si>
    <t>89.06</t>
  </si>
  <si>
    <t>36.33</t>
  </si>
  <si>
    <t>489.88</t>
  </si>
  <si>
    <t>140.78</t>
  </si>
  <si>
    <t>89.96</t>
  </si>
  <si>
    <t>41.68</t>
  </si>
  <si>
    <t>299.23</t>
  </si>
  <si>
    <t>257.64</t>
  </si>
  <si>
    <t>99.41</t>
  </si>
  <si>
    <t>398.23</t>
  </si>
  <si>
    <t>119.02</t>
  </si>
  <si>
    <t xml:space="preserve">    其他文化、办公用机械制造</t>
  </si>
  <si>
    <t>68</t>
  </si>
  <si>
    <t>9.14</t>
  </si>
  <si>
    <t>23.52</t>
  </si>
  <si>
    <t>14.52</t>
  </si>
  <si>
    <t>60.91</t>
  </si>
  <si>
    <t>21.20</t>
  </si>
  <si>
    <t>3.91</t>
  </si>
  <si>
    <t>39.11</t>
  </si>
  <si>
    <t>13.91</t>
  </si>
  <si>
    <t>33.90</t>
  </si>
  <si>
    <t>20.13</t>
  </si>
  <si>
    <t xml:space="preserve">  通用零部件制造</t>
  </si>
  <si>
    <t>5451</t>
  </si>
  <si>
    <t>4444.49</t>
  </si>
  <si>
    <t>954.42</t>
  </si>
  <si>
    <t>2000.41</t>
  </si>
  <si>
    <t>944.13</t>
  </si>
  <si>
    <t>2804.18</t>
  </si>
  <si>
    <t>1086.62</t>
  </si>
  <si>
    <t>595.61</t>
  </si>
  <si>
    <t>268.89</t>
  </si>
  <si>
    <t>2288.47</t>
  </si>
  <si>
    <t>1899.91</t>
  </si>
  <si>
    <t>666.53</t>
  </si>
  <si>
    <t>2141.65</t>
  </si>
  <si>
    <t>990.27</t>
  </si>
  <si>
    <t>95.77</t>
  </si>
  <si>
    <t>8.49</t>
  </si>
  <si>
    <t xml:space="preserve">    金属密封件制造</t>
  </si>
  <si>
    <t>271.74</t>
  </si>
  <si>
    <t>52.86</t>
  </si>
  <si>
    <t>104.77</t>
  </si>
  <si>
    <t>186.87</t>
  </si>
  <si>
    <t>66.28</t>
  </si>
  <si>
    <t>119.65</t>
  </si>
  <si>
    <t>102.09</t>
  </si>
  <si>
    <t>150.91</t>
  </si>
  <si>
    <t>55.17</t>
  </si>
  <si>
    <t>0.59</t>
  </si>
  <si>
    <t xml:space="preserve">    紧固件制造</t>
  </si>
  <si>
    <t>1417</t>
  </si>
  <si>
    <t>1196.69</t>
  </si>
  <si>
    <t>260.04</t>
  </si>
  <si>
    <t>547.08</t>
  </si>
  <si>
    <t>257.70</t>
  </si>
  <si>
    <t>772.14</t>
  </si>
  <si>
    <t>174.65</t>
  </si>
  <si>
    <t>581.62</t>
  </si>
  <si>
    <t>489.53</t>
  </si>
  <si>
    <t>163.40</t>
  </si>
  <si>
    <t>612.31</t>
  </si>
  <si>
    <t>279.49</t>
  </si>
  <si>
    <t>6.34</t>
  </si>
  <si>
    <t xml:space="preserve">    弹簧制造</t>
  </si>
  <si>
    <t>276</t>
  </si>
  <si>
    <t>275.66</t>
  </si>
  <si>
    <t>122.83</t>
  </si>
  <si>
    <t>56.76</t>
  </si>
  <si>
    <t>177.90</t>
  </si>
  <si>
    <t>69.25</t>
  </si>
  <si>
    <t>33.65</t>
  </si>
  <si>
    <t>108.22</t>
  </si>
  <si>
    <t>37.97</t>
  </si>
  <si>
    <t>142.35</t>
  </si>
  <si>
    <t>58.37</t>
  </si>
  <si>
    <t xml:space="preserve">    机械零部件加工</t>
  </si>
  <si>
    <t>2759</t>
  </si>
  <si>
    <t>1972.71</t>
  </si>
  <si>
    <t>443.51</t>
  </si>
  <si>
    <t>934.00</t>
  </si>
  <si>
    <t>442.57</t>
  </si>
  <si>
    <t>1190.37</t>
  </si>
  <si>
    <t>1069.68</t>
  </si>
  <si>
    <t>877.74</t>
  </si>
  <si>
    <t>316.94</t>
  </si>
  <si>
    <t>896.21</t>
  </si>
  <si>
    <t>463.17</t>
  </si>
  <si>
    <t>80.59</t>
  </si>
  <si>
    <t xml:space="preserve">    其他通用零部件制造</t>
  </si>
  <si>
    <t>734</t>
  </si>
  <si>
    <t>727.69</t>
  </si>
  <si>
    <t>140.27</t>
  </si>
  <si>
    <t>291.73</t>
  </si>
  <si>
    <t>140.28</t>
  </si>
  <si>
    <t>476.90</t>
  </si>
  <si>
    <t>181.07</t>
  </si>
  <si>
    <t>95.80</t>
  </si>
  <si>
    <t>42.52</t>
  </si>
  <si>
    <t>386.55</t>
  </si>
  <si>
    <t>322.34</t>
  </si>
  <si>
    <t>110.92</t>
  </si>
  <si>
    <t>339.87</t>
  </si>
  <si>
    <t>134.06</t>
  </si>
  <si>
    <t xml:space="preserve">  其他通用设备制造业</t>
  </si>
  <si>
    <t>1605</t>
  </si>
  <si>
    <t>2240.37</t>
  </si>
  <si>
    <t>266.84</t>
  </si>
  <si>
    <t>472.28</t>
  </si>
  <si>
    <t>188.16</t>
  </si>
  <si>
    <t>1578.14</t>
  </si>
  <si>
    <t>421.29</t>
  </si>
  <si>
    <t>1178.40</t>
  </si>
  <si>
    <t>1021.71</t>
  </si>
  <si>
    <t>347.09</t>
  </si>
  <si>
    <t>1059.30</t>
  </si>
  <si>
    <t>391.31</t>
  </si>
  <si>
    <t>23.80</t>
  </si>
  <si>
    <t>5.64</t>
  </si>
  <si>
    <t xml:space="preserve">    工业机器人制造</t>
  </si>
  <si>
    <t>459</t>
  </si>
  <si>
    <t>937.46</t>
  </si>
  <si>
    <t>70.43</t>
  </si>
  <si>
    <t>107.64</t>
  </si>
  <si>
    <t>679.15</t>
  </si>
  <si>
    <t>169.44</t>
  </si>
  <si>
    <t>185.02</t>
  </si>
  <si>
    <t>47.67</t>
  </si>
  <si>
    <t>480.96</t>
  </si>
  <si>
    <t>407.67</t>
  </si>
  <si>
    <t>152.25</t>
  </si>
  <si>
    <t>456.22</t>
  </si>
  <si>
    <t>155.01</t>
  </si>
  <si>
    <t xml:space="preserve">    特殊作业机器人制造</t>
  </si>
  <si>
    <t>66.64</t>
  </si>
  <si>
    <t>5.91</t>
  </si>
  <si>
    <t>49.90</t>
  </si>
  <si>
    <t>12.39</t>
  </si>
  <si>
    <t>8.98</t>
  </si>
  <si>
    <t>30.27</t>
  </si>
  <si>
    <t>36.32</t>
  </si>
  <si>
    <t>0.48</t>
  </si>
  <si>
    <t xml:space="preserve">    增材制造装备制造</t>
  </si>
  <si>
    <t>135.82</t>
  </si>
  <si>
    <t>16.19</t>
  </si>
  <si>
    <t>8.90</t>
  </si>
  <si>
    <t>99.80</t>
  </si>
  <si>
    <t>34.19</t>
  </si>
  <si>
    <t>66.00</t>
  </si>
  <si>
    <t>20.39</t>
  </si>
  <si>
    <t>63.04</t>
  </si>
  <si>
    <t>27.43</t>
  </si>
  <si>
    <t xml:space="preserve">    其他未列明通用设备制造业</t>
  </si>
  <si>
    <t>1100.45</t>
  </si>
  <si>
    <t>177.34</t>
  </si>
  <si>
    <t>329.66</t>
  </si>
  <si>
    <t>140.30</t>
  </si>
  <si>
    <t>749.29</t>
  </si>
  <si>
    <t>227.03</t>
  </si>
  <si>
    <t>199.99</t>
  </si>
  <si>
    <t>55.67</t>
  </si>
  <si>
    <t>594.40</t>
  </si>
  <si>
    <t>523.10</t>
  </si>
  <si>
    <t>167.80</t>
  </si>
  <si>
    <t>503.72</t>
  </si>
  <si>
    <t>192.79</t>
  </si>
  <si>
    <t>专用设备制造业</t>
  </si>
  <si>
    <t>21089</t>
  </si>
  <si>
    <t>47463.16</t>
  </si>
  <si>
    <t>6323.66</t>
  </si>
  <si>
    <t>12117.72</t>
  </si>
  <si>
    <t>5388.50</t>
  </si>
  <si>
    <t>31862.82</t>
  </si>
  <si>
    <t>9477.92</t>
  </si>
  <si>
    <t>7405.95</t>
  </si>
  <si>
    <t>2773.34</t>
  </si>
  <si>
    <t>26255.45</t>
  </si>
  <si>
    <t>22190.43</t>
  </si>
  <si>
    <t>7110.85</t>
  </si>
  <si>
    <t>21164.25</t>
  </si>
  <si>
    <t>8580.48</t>
  </si>
  <si>
    <t>820.17</t>
  </si>
  <si>
    <t>150.22</t>
  </si>
  <si>
    <t xml:space="preserve">  采矿、冶金、建筑专用设备制造</t>
  </si>
  <si>
    <t>4082</t>
  </si>
  <si>
    <t>17558.66</t>
  </si>
  <si>
    <t>2229.99</t>
  </si>
  <si>
    <t>4443.74</t>
  </si>
  <si>
    <t>2058.09</t>
  </si>
  <si>
    <t>12053.77</t>
  </si>
  <si>
    <t>3875.90</t>
  </si>
  <si>
    <t>2788.06</t>
  </si>
  <si>
    <t>1207.88</t>
  </si>
  <si>
    <t>10674.68</t>
  </si>
  <si>
    <t>8791.42</t>
  </si>
  <si>
    <t>2906.87</t>
  </si>
  <si>
    <t>6870.18</t>
  </si>
  <si>
    <t>2854.45</t>
  </si>
  <si>
    <t>471.97</t>
  </si>
  <si>
    <t>58.63</t>
  </si>
  <si>
    <t xml:space="preserve">    矿山机械制造</t>
  </si>
  <si>
    <t>1424</t>
  </si>
  <si>
    <t>3732.94</t>
  </si>
  <si>
    <t>617.46</t>
  </si>
  <si>
    <t>1071.65</t>
  </si>
  <si>
    <t>415.82</t>
  </si>
  <si>
    <t>2430.79</t>
  </si>
  <si>
    <t>798.72</t>
  </si>
  <si>
    <t>636.94</t>
  </si>
  <si>
    <t>2199.92</t>
  </si>
  <si>
    <t>1834.47</t>
  </si>
  <si>
    <t>570.60</t>
  </si>
  <si>
    <t>1529.81</t>
  </si>
  <si>
    <t>777.01</t>
  </si>
  <si>
    <t>128.89</t>
  </si>
  <si>
    <t xml:space="preserve">    石油钻采专用设备制造</t>
  </si>
  <si>
    <t>728</t>
  </si>
  <si>
    <t>2297.11</t>
  </si>
  <si>
    <t>334.84</t>
  </si>
  <si>
    <t>768.97</t>
  </si>
  <si>
    <t>400.31</t>
  </si>
  <si>
    <t>1519.42</t>
  </si>
  <si>
    <t>518.37</t>
  </si>
  <si>
    <t>393.05</t>
  </si>
  <si>
    <t>162.91</t>
  </si>
  <si>
    <t>1292.66</t>
  </si>
  <si>
    <t>1128.47</t>
  </si>
  <si>
    <t>390.43</t>
  </si>
  <si>
    <t>1003.33</t>
  </si>
  <si>
    <t>643.71</t>
  </si>
  <si>
    <t>88.38</t>
  </si>
  <si>
    <t xml:space="preserve">    深海石油钻探设备制造</t>
  </si>
  <si>
    <t>111.80</t>
  </si>
  <si>
    <t>19.65</t>
  </si>
  <si>
    <t>70.93</t>
  </si>
  <si>
    <t>23.83</t>
  </si>
  <si>
    <t>15.10</t>
  </si>
  <si>
    <t>42.19</t>
  </si>
  <si>
    <t>34.71</t>
  </si>
  <si>
    <t>14.68</t>
  </si>
  <si>
    <t>69.61</t>
  </si>
  <si>
    <t>37.64</t>
  </si>
  <si>
    <t xml:space="preserve">    建筑工程用机械制造</t>
  </si>
  <si>
    <t>854</t>
  </si>
  <si>
    <t>7615.97</t>
  </si>
  <si>
    <t>677.42</t>
  </si>
  <si>
    <t>1441.99</t>
  </si>
  <si>
    <t>720.94</t>
  </si>
  <si>
    <t>5548.68</t>
  </si>
  <si>
    <t>1895.84</t>
  </si>
  <si>
    <t>1144.31</t>
  </si>
  <si>
    <t>4843.67</t>
  </si>
  <si>
    <t>3935.28</t>
  </si>
  <si>
    <t>1424.48</t>
  </si>
  <si>
    <t>2767.69</t>
  </si>
  <si>
    <t>682.87</t>
  </si>
  <si>
    <t>17.34</t>
  </si>
  <si>
    <t xml:space="preserve">    建筑材料生产专用机械制造</t>
  </si>
  <si>
    <t>450</t>
  </si>
  <si>
    <t>1102.65</t>
  </si>
  <si>
    <t>111.19</t>
  </si>
  <si>
    <t>237.40</t>
  </si>
  <si>
    <t>114.44</t>
  </si>
  <si>
    <t>645.78</t>
  </si>
  <si>
    <t>170.52</t>
  </si>
  <si>
    <t>111.43</t>
  </si>
  <si>
    <t>42.40</t>
  </si>
  <si>
    <t>560.93</t>
  </si>
  <si>
    <t>488.24</t>
  </si>
  <si>
    <t>100.83</t>
  </si>
  <si>
    <t>539.07</t>
  </si>
  <si>
    <t>242.86</t>
  </si>
  <si>
    <t>14.15</t>
  </si>
  <si>
    <t xml:space="preserve">    冶金专用设备制造</t>
  </si>
  <si>
    <t>523</t>
  </si>
  <si>
    <t>2354.20</t>
  </si>
  <si>
    <t>388.89</t>
  </si>
  <si>
    <t>769.53</t>
  </si>
  <si>
    <t>355.37</t>
  </si>
  <si>
    <t>1607.49</t>
  </si>
  <si>
    <t>400.54</t>
  </si>
  <si>
    <t>391.11</t>
  </si>
  <si>
    <t>121.84</t>
  </si>
  <si>
    <t>1500.86</t>
  </si>
  <si>
    <t>1198.26</t>
  </si>
  <si>
    <t>354.76</t>
  </si>
  <si>
    <t>851.19</t>
  </si>
  <si>
    <t>419.89</t>
  </si>
  <si>
    <t>125.82</t>
  </si>
  <si>
    <t xml:space="preserve">    隧道施工专用机械制造</t>
  </si>
  <si>
    <t>344.01</t>
  </si>
  <si>
    <t>80.55</t>
  </si>
  <si>
    <t>105.16</t>
  </si>
  <si>
    <t>230.70</t>
  </si>
  <si>
    <t>68.08</t>
  </si>
  <si>
    <t>96.11</t>
  </si>
  <si>
    <t>234.44</t>
  </si>
  <si>
    <t>171.99</t>
  </si>
  <si>
    <t>109.49</t>
  </si>
  <si>
    <t>50.46</t>
  </si>
  <si>
    <t>23.11</t>
  </si>
  <si>
    <t xml:space="preserve">  化工、木材、非金属加工专用设备制造</t>
  </si>
  <si>
    <t>4147</t>
  </si>
  <si>
    <t>5865.65</t>
  </si>
  <si>
    <t>1090.02</t>
  </si>
  <si>
    <t>2243.24</t>
  </si>
  <si>
    <t>1102.62</t>
  </si>
  <si>
    <t>3870.32</t>
  </si>
  <si>
    <t>1209.59</t>
  </si>
  <si>
    <t>983.46</t>
  </si>
  <si>
    <t>316.76</t>
  </si>
  <si>
    <t>3142.75</t>
  </si>
  <si>
    <t>2775.77</t>
  </si>
  <si>
    <t>906.76</t>
  </si>
  <si>
    <t>2720.13</t>
  </si>
  <si>
    <t>1178.09</t>
  </si>
  <si>
    <t>63.37</t>
  </si>
  <si>
    <t>29.61</t>
  </si>
  <si>
    <t xml:space="preserve">    炼油、化工生产专用设备制造</t>
  </si>
  <si>
    <t>455</t>
  </si>
  <si>
    <t>1155.03</t>
  </si>
  <si>
    <t>189.48</t>
  </si>
  <si>
    <t>175.67</t>
  </si>
  <si>
    <t>807.42</t>
  </si>
  <si>
    <t>236.62</t>
  </si>
  <si>
    <t>212.30</t>
  </si>
  <si>
    <t>713.76</t>
  </si>
  <si>
    <t>635.82</t>
  </si>
  <si>
    <t>155.69</t>
  </si>
  <si>
    <t>440.26</t>
  </si>
  <si>
    <t>238.51</t>
  </si>
  <si>
    <t>31.89</t>
  </si>
  <si>
    <t xml:space="preserve">    橡胶加工专用设备制造</t>
  </si>
  <si>
    <t>151</t>
  </si>
  <si>
    <t>419.35</t>
  </si>
  <si>
    <t>52.57</t>
  </si>
  <si>
    <t>102.39</t>
  </si>
  <si>
    <t>48.62</t>
  </si>
  <si>
    <t>255.66</t>
  </si>
  <si>
    <t>84.29</t>
  </si>
  <si>
    <t>67.36</t>
  </si>
  <si>
    <t>27.59</t>
  </si>
  <si>
    <t>209.12</t>
  </si>
  <si>
    <t>196.65</t>
  </si>
  <si>
    <t>210.23</t>
  </si>
  <si>
    <t>77.15</t>
  </si>
  <si>
    <t>9.34</t>
  </si>
  <si>
    <t xml:space="preserve">    塑料加工专用设备制造</t>
  </si>
  <si>
    <t>555</t>
  </si>
  <si>
    <t>141.11</t>
  </si>
  <si>
    <t>268.05</t>
  </si>
  <si>
    <t>124.54</t>
  </si>
  <si>
    <t>670.73</t>
  </si>
  <si>
    <t>159.51</t>
  </si>
  <si>
    <t>166.26</t>
  </si>
  <si>
    <t>53.53</t>
  </si>
  <si>
    <t>470.91</t>
  </si>
  <si>
    <t>432.39</t>
  </si>
  <si>
    <t>150.31</t>
  </si>
  <si>
    <t>453.05</t>
  </si>
  <si>
    <t>152.50</t>
  </si>
  <si>
    <t>2.48</t>
  </si>
  <si>
    <t>2.32</t>
  </si>
  <si>
    <t xml:space="preserve">    木竹材加工机械制造</t>
  </si>
  <si>
    <t>131</t>
  </si>
  <si>
    <t>122.38</t>
  </si>
  <si>
    <t>41.34</t>
  </si>
  <si>
    <t>73.10</t>
  </si>
  <si>
    <t>8.75</t>
  </si>
  <si>
    <t>24.10</t>
  </si>
  <si>
    <t>9.66</t>
  </si>
  <si>
    <t>52.50</t>
  </si>
  <si>
    <t>15.29</t>
  </si>
  <si>
    <t>69.74</t>
  </si>
  <si>
    <t xml:space="preserve">    模具制造</t>
  </si>
  <si>
    <t>2770</t>
  </si>
  <si>
    <t>3165.27</t>
  </si>
  <si>
    <t>674.20</t>
  </si>
  <si>
    <t>1431.25</t>
  </si>
  <si>
    <t>728.23</t>
  </si>
  <si>
    <t>2004.62</t>
  </si>
  <si>
    <t>705.12</t>
  </si>
  <si>
    <t>499.28</t>
  </si>
  <si>
    <t>1652.59</t>
  </si>
  <si>
    <t>1422.71</t>
  </si>
  <si>
    <t>503.66</t>
  </si>
  <si>
    <t>1511.06</t>
  </si>
  <si>
    <t>673.12</t>
  </si>
  <si>
    <t>16.56</t>
  </si>
  <si>
    <t xml:space="preserve">    其他非金属加工专用设备制造</t>
  </si>
  <si>
    <t>85</t>
  </si>
  <si>
    <t>79.66</t>
  </si>
  <si>
    <t>7.00</t>
  </si>
  <si>
    <t>58.79</t>
  </si>
  <si>
    <t>15.31</t>
  </si>
  <si>
    <t>43.88</t>
  </si>
  <si>
    <t>40.83</t>
  </si>
  <si>
    <t>35.78</t>
  </si>
  <si>
    <t>14.82</t>
  </si>
  <si>
    <t xml:space="preserve">  食品、饮料、烟草及饲料生产专用设备制造</t>
  </si>
  <si>
    <t>739</t>
  </si>
  <si>
    <t>800.17</t>
  </si>
  <si>
    <t>154.42</t>
  </si>
  <si>
    <t>315.33</t>
  </si>
  <si>
    <t>148.44</t>
  </si>
  <si>
    <t>528.56</t>
  </si>
  <si>
    <t>114.34</t>
  </si>
  <si>
    <t>159.27</t>
  </si>
  <si>
    <t>52.01</t>
  </si>
  <si>
    <t>384.55</t>
  </si>
  <si>
    <t>332.03</t>
  </si>
  <si>
    <t>415.09</t>
  </si>
  <si>
    <t>172.90</t>
  </si>
  <si>
    <t xml:space="preserve">    食品、酒、饮料及茶生产专用设备制造</t>
  </si>
  <si>
    <t>308</t>
  </si>
  <si>
    <t>302.17</t>
  </si>
  <si>
    <t>49.74</t>
  </si>
  <si>
    <t>99.07</t>
  </si>
  <si>
    <t>46.94</t>
  </si>
  <si>
    <t>210.15</t>
  </si>
  <si>
    <t>172.31</t>
  </si>
  <si>
    <t>148.06</t>
  </si>
  <si>
    <t>37.75</t>
  </si>
  <si>
    <t>129.25</t>
  </si>
  <si>
    <t>53.75</t>
  </si>
  <si>
    <t xml:space="preserve">    农副食品加工专用设备制造</t>
  </si>
  <si>
    <t>310</t>
  </si>
  <si>
    <t>277.06</t>
  </si>
  <si>
    <t>48.57</t>
  </si>
  <si>
    <t>160.60</t>
  </si>
  <si>
    <t>36.86</t>
  </si>
  <si>
    <t>15.03</t>
  </si>
  <si>
    <t>118.27</t>
  </si>
  <si>
    <t>97.75</t>
  </si>
  <si>
    <t>26.99</t>
  </si>
  <si>
    <t>158.88</t>
  </si>
  <si>
    <t>65.34</t>
  </si>
  <si>
    <t xml:space="preserve">2-1 续表14
</t>
  </si>
  <si>
    <t xml:space="preserve">  烟草生产专用设备制造</t>
  </si>
  <si>
    <t>188.44</t>
  </si>
  <si>
    <t>33.47</t>
  </si>
  <si>
    <t>75.49</t>
  </si>
  <si>
    <t>40.43</t>
  </si>
  <si>
    <t>136.27</t>
  </si>
  <si>
    <t>51.73</t>
  </si>
  <si>
    <t>73.49</t>
  </si>
  <si>
    <t>67.85</t>
  </si>
  <si>
    <t>114.95</t>
  </si>
  <si>
    <t>47.62</t>
  </si>
  <si>
    <t>11.25</t>
  </si>
  <si>
    <t xml:space="preserve">  饲料生产专用设备制造</t>
  </si>
  <si>
    <t>32.50</t>
  </si>
  <si>
    <t>5.15</t>
  </si>
  <si>
    <t>12.50</t>
  </si>
  <si>
    <t>21.54</t>
  </si>
  <si>
    <t>5.84</t>
  </si>
  <si>
    <t>20.49</t>
  </si>
  <si>
    <t>18.37</t>
  </si>
  <si>
    <t>6.18</t>
  </si>
  <si>
    <t>印刷、制药、日化及日用品生产专用设备制造</t>
  </si>
  <si>
    <t>966</t>
  </si>
  <si>
    <t>1450.86</t>
  </si>
  <si>
    <t>212.54</t>
  </si>
  <si>
    <t>447.71</t>
  </si>
  <si>
    <t>196.36</t>
  </si>
  <si>
    <t>871.65</t>
  </si>
  <si>
    <t>211.66</t>
  </si>
  <si>
    <t>257.02</t>
  </si>
  <si>
    <t>77.46</t>
  </si>
  <si>
    <t>785.21</t>
  </si>
  <si>
    <t>650.04</t>
  </si>
  <si>
    <t>198.68</t>
  </si>
  <si>
    <t>664.99</t>
  </si>
  <si>
    <t xml:space="preserve">  制浆和造纸专用设备制造</t>
  </si>
  <si>
    <t>45.91</t>
  </si>
  <si>
    <t>114.36</t>
  </si>
  <si>
    <t>57.75</t>
  </si>
  <si>
    <t>171.55</t>
  </si>
  <si>
    <t>38.98</t>
  </si>
  <si>
    <t>42.03</t>
  </si>
  <si>
    <t>175.41</t>
  </si>
  <si>
    <t>155.66</t>
  </si>
  <si>
    <t>34.41</t>
  </si>
  <si>
    <t>72.52</t>
  </si>
  <si>
    <t>2.10</t>
  </si>
  <si>
    <t xml:space="preserve">  印刷专用设备制造</t>
  </si>
  <si>
    <t>419.54</t>
  </si>
  <si>
    <t>68.03</t>
  </si>
  <si>
    <t>128.15</t>
  </si>
  <si>
    <t>54.90</t>
  </si>
  <si>
    <t>266.51</t>
  </si>
  <si>
    <t>72.31</t>
  </si>
  <si>
    <t>235.46</t>
  </si>
  <si>
    <t>192.55</t>
  </si>
  <si>
    <t>66.81</t>
  </si>
  <si>
    <t>183.92</t>
  </si>
  <si>
    <t xml:space="preserve">  日用化工专用设备制造</t>
  </si>
  <si>
    <t>40.84</t>
  </si>
  <si>
    <t>9.33</t>
  </si>
  <si>
    <t>20.66</t>
  </si>
  <si>
    <t>18.43</t>
  </si>
  <si>
    <t>14.51</t>
  </si>
  <si>
    <t xml:space="preserve">  制药专用设备制造</t>
  </si>
  <si>
    <t>155</t>
  </si>
  <si>
    <t>293.55</t>
  </si>
  <si>
    <t>33.80</t>
  </si>
  <si>
    <t>67.75</t>
  </si>
  <si>
    <t>32.87</t>
  </si>
  <si>
    <t>190.68</t>
  </si>
  <si>
    <t>41.61</t>
  </si>
  <si>
    <t>57.64</t>
  </si>
  <si>
    <t>15.77</t>
  </si>
  <si>
    <t>147.32</t>
  </si>
  <si>
    <t>126.71</t>
  </si>
  <si>
    <t>146.22</t>
  </si>
  <si>
    <t xml:space="preserve">  照明器具生产专用设备制造</t>
  </si>
  <si>
    <t>8.14</t>
  </si>
  <si>
    <t>36.95</t>
  </si>
  <si>
    <t>11.16</t>
  </si>
  <si>
    <t>13.10</t>
  </si>
  <si>
    <t>30.45</t>
  </si>
  <si>
    <t>21.19</t>
  </si>
  <si>
    <t xml:space="preserve">  玻璃、陶瓷和搪瓷制品生产专用设备制造</t>
  </si>
  <si>
    <t>332.07</t>
  </si>
  <si>
    <t>93.20</t>
  </si>
  <si>
    <t>31.23</t>
  </si>
  <si>
    <t>143.17</t>
  </si>
  <si>
    <t>32.77</t>
  </si>
  <si>
    <t>48.24</t>
  </si>
  <si>
    <t>11.26</t>
  </si>
  <si>
    <t>142.58</t>
  </si>
  <si>
    <t>98.36</t>
  </si>
  <si>
    <t>189.49</t>
  </si>
  <si>
    <t>94.68</t>
  </si>
  <si>
    <t xml:space="preserve">  其他日用品生产专用设备制造</t>
  </si>
  <si>
    <t>63.09</t>
  </si>
  <si>
    <t>10.68</t>
  </si>
  <si>
    <t>18.67</t>
  </si>
  <si>
    <t>7.70</t>
  </si>
  <si>
    <t>15.72</t>
  </si>
  <si>
    <t>33.85</t>
  </si>
  <si>
    <t>29.24</t>
  </si>
  <si>
    <t>纺织、服装和皮革加工专用设备制造</t>
  </si>
  <si>
    <t>981</t>
  </si>
  <si>
    <t>1429.11</t>
  </si>
  <si>
    <t>209.49</t>
  </si>
  <si>
    <t>432.81</t>
  </si>
  <si>
    <t>210.72</t>
  </si>
  <si>
    <t>996.39</t>
  </si>
  <si>
    <t>260.99</t>
  </si>
  <si>
    <t>237.96</t>
  </si>
  <si>
    <t>82.24</t>
  </si>
  <si>
    <t>793.00</t>
  </si>
  <si>
    <t>681.07</t>
  </si>
  <si>
    <t>209.43</t>
  </si>
  <si>
    <t>635.39</t>
  </si>
  <si>
    <t>263.58</t>
  </si>
  <si>
    <t>35.27</t>
  </si>
  <si>
    <t>1.64</t>
  </si>
  <si>
    <t xml:space="preserve">  纺织专用设备制造</t>
  </si>
  <si>
    <t>673</t>
  </si>
  <si>
    <t>143.38</t>
  </si>
  <si>
    <t>280.05</t>
  </si>
  <si>
    <t>128.97</t>
  </si>
  <si>
    <t>729.93</t>
  </si>
  <si>
    <t>190.30</t>
  </si>
  <si>
    <t>157.27</t>
  </si>
  <si>
    <t>49.50</t>
  </si>
  <si>
    <t>604.35</t>
  </si>
  <si>
    <t>516.04</t>
  </si>
  <si>
    <t>143.96</t>
  </si>
  <si>
    <t>439.62</t>
  </si>
  <si>
    <t>173.85</t>
  </si>
  <si>
    <t>33.30</t>
  </si>
  <si>
    <t>1.07</t>
  </si>
  <si>
    <t xml:space="preserve">  皮革、毛皮及其制品加工专用设备制造</t>
  </si>
  <si>
    <t>22.47</t>
  </si>
  <si>
    <t>4.08</t>
  </si>
  <si>
    <t>14.75</t>
  </si>
  <si>
    <t>3.03</t>
  </si>
  <si>
    <t>3.86</t>
  </si>
  <si>
    <t>6.78</t>
  </si>
  <si>
    <t xml:space="preserve">  缝制机械制造</t>
  </si>
  <si>
    <t>341.62</t>
  </si>
  <si>
    <t>59.57</t>
  </si>
  <si>
    <t>136.92</t>
  </si>
  <si>
    <t>76.99</t>
  </si>
  <si>
    <t>236.66</t>
  </si>
  <si>
    <t>64.34</t>
  </si>
  <si>
    <t>71.74</t>
  </si>
  <si>
    <t>29.72</t>
  </si>
  <si>
    <t>165.83</t>
  </si>
  <si>
    <t>150.13</t>
  </si>
  <si>
    <t>60.35</t>
  </si>
  <si>
    <t>175.60</t>
  </si>
  <si>
    <t>77.09</t>
  </si>
  <si>
    <t xml:space="preserve">  洗涤机械制造</t>
  </si>
  <si>
    <t>35</t>
  </si>
  <si>
    <t>20.93</t>
  </si>
  <si>
    <t>2.66</t>
  </si>
  <si>
    <t>15.05</t>
  </si>
  <si>
    <t>3.34</t>
  </si>
  <si>
    <t>11.94</t>
  </si>
  <si>
    <t>3.04</t>
  </si>
  <si>
    <t>电子和电工机械专用设备制造</t>
  </si>
  <si>
    <t>1660</t>
  </si>
  <si>
    <t>4050.94</t>
  </si>
  <si>
    <t>550.29</t>
  </si>
  <si>
    <t>201.36</t>
  </si>
  <si>
    <t>2682.49</t>
  </si>
  <si>
    <t>728.64</t>
  </si>
  <si>
    <t>623.64</t>
  </si>
  <si>
    <t>217.04</t>
  </si>
  <si>
    <t>2456.18</t>
  </si>
  <si>
    <t>2081.31</t>
  </si>
  <si>
    <t>519.34</t>
  </si>
  <si>
    <t>1592.48</t>
  </si>
  <si>
    <t>753.64</t>
  </si>
  <si>
    <t xml:space="preserve">  电工机械专用设备制造</t>
  </si>
  <si>
    <t>368</t>
  </si>
  <si>
    <t>531.35</t>
  </si>
  <si>
    <t>55.74</t>
  </si>
  <si>
    <t>105.74</t>
  </si>
  <si>
    <t>48.02</t>
  </si>
  <si>
    <t>385.51</t>
  </si>
  <si>
    <t>112.43</t>
  </si>
  <si>
    <t>69.93</t>
  </si>
  <si>
    <t>22.61</t>
  </si>
  <si>
    <t>305.15</t>
  </si>
  <si>
    <t>245.99</t>
  </si>
  <si>
    <t>100.41</t>
  </si>
  <si>
    <t>225.90</t>
  </si>
  <si>
    <t>91.13</t>
  </si>
  <si>
    <t>16.71</t>
  </si>
  <si>
    <t xml:space="preserve">  半导体器件专用设备制造</t>
  </si>
  <si>
    <t>328</t>
  </si>
  <si>
    <t>961.40</t>
  </si>
  <si>
    <t>89.30</t>
  </si>
  <si>
    <t>153.74</t>
  </si>
  <si>
    <t>662.88</t>
  </si>
  <si>
    <t>178.22</t>
  </si>
  <si>
    <t>151.86</t>
  </si>
  <si>
    <t>61.65</t>
  </si>
  <si>
    <t>448.65</t>
  </si>
  <si>
    <t>370.86</t>
  </si>
  <si>
    <t>127.60</t>
  </si>
  <si>
    <t>512.74</t>
  </si>
  <si>
    <t>225.28</t>
  </si>
  <si>
    <t xml:space="preserve">  电子元器件与机电组件设备制造</t>
  </si>
  <si>
    <t>491</t>
  </si>
  <si>
    <t>646.71</t>
  </si>
  <si>
    <t>108.90</t>
  </si>
  <si>
    <t>160.89</t>
  </si>
  <si>
    <t>48.87</t>
  </si>
  <si>
    <t>459.46</t>
  </si>
  <si>
    <t>156.35</t>
  </si>
  <si>
    <t>45.28</t>
  </si>
  <si>
    <t>387.06</t>
  </si>
  <si>
    <t>235.70</t>
  </si>
  <si>
    <t>94.32</t>
  </si>
  <si>
    <t>257.67</t>
  </si>
  <si>
    <t>132.27</t>
  </si>
  <si>
    <t>6.39</t>
  </si>
  <si>
    <t>3.58</t>
  </si>
  <si>
    <t xml:space="preserve">  其他电子专用设备制造</t>
  </si>
  <si>
    <t>1911.48</t>
  </si>
  <si>
    <t>129.92</t>
  </si>
  <si>
    <t>44.10</t>
  </si>
  <si>
    <t>1174.64</t>
  </si>
  <si>
    <t>281.63</t>
  </si>
  <si>
    <t>283.57</t>
  </si>
  <si>
    <t>87.50</t>
  </si>
  <si>
    <t>1315.31</t>
  </si>
  <si>
    <t>1228.76</t>
  </si>
  <si>
    <t>596.17</t>
  </si>
  <si>
    <t>2.40</t>
  </si>
  <si>
    <t>农、林、牧、渔专用机械制造</t>
  </si>
  <si>
    <t>1210</t>
  </si>
  <si>
    <t>1907.42</t>
  </si>
  <si>
    <t>320.07</t>
  </si>
  <si>
    <t>625.51</t>
  </si>
  <si>
    <t>271.34</t>
  </si>
  <si>
    <t>1267.91</t>
  </si>
  <si>
    <t>317.16</t>
  </si>
  <si>
    <t>343.98</t>
  </si>
  <si>
    <t>1161.48</t>
  </si>
  <si>
    <t>999.88</t>
  </si>
  <si>
    <t>336.55</t>
  </si>
  <si>
    <t>740.53</t>
  </si>
  <si>
    <t>420.60</t>
  </si>
  <si>
    <t>27.15</t>
  </si>
  <si>
    <t xml:space="preserve">  拖拉机制造</t>
  </si>
  <si>
    <t>379.31</t>
  </si>
  <si>
    <t>177.19</t>
  </si>
  <si>
    <t>93.11</t>
  </si>
  <si>
    <t>237.33</t>
  </si>
  <si>
    <t>57.89</t>
  </si>
  <si>
    <t>21.88</t>
  </si>
  <si>
    <t>253.95</t>
  </si>
  <si>
    <t>204.77</t>
  </si>
  <si>
    <t>64.74</t>
  </si>
  <si>
    <t>128.17</t>
  </si>
  <si>
    <t>107.11</t>
  </si>
  <si>
    <t xml:space="preserve">  机械化农业及园艺机具制造</t>
  </si>
  <si>
    <t>559</t>
  </si>
  <si>
    <t>997.70</t>
  </si>
  <si>
    <t>149.04</t>
  </si>
  <si>
    <t>275.38</t>
  </si>
  <si>
    <t>113.58</t>
  </si>
  <si>
    <t>676.91</t>
  </si>
  <si>
    <t>174.98</t>
  </si>
  <si>
    <t>181.92</t>
  </si>
  <si>
    <t>586.81</t>
  </si>
  <si>
    <t>502.82</t>
  </si>
  <si>
    <t>192.13</t>
  </si>
  <si>
    <t>407.41</t>
  </si>
  <si>
    <t>238.62</t>
  </si>
  <si>
    <t>22.50</t>
  </si>
  <si>
    <t xml:space="preserve">  营林及木竹采伐机械制造</t>
  </si>
  <si>
    <t>1.96</t>
  </si>
  <si>
    <t>2.85</t>
  </si>
  <si>
    <t xml:space="preserve">  畜牧机械制造</t>
  </si>
  <si>
    <t>194</t>
  </si>
  <si>
    <t>242.71</t>
  </si>
  <si>
    <t>25.98</t>
  </si>
  <si>
    <t>196.06</t>
  </si>
  <si>
    <t>47.87</t>
  </si>
  <si>
    <t>34.40</t>
  </si>
  <si>
    <t>169.88</t>
  </si>
  <si>
    <t>162.55</t>
  </si>
  <si>
    <t>40.01</t>
  </si>
  <si>
    <t>72.80</t>
  </si>
  <si>
    <t xml:space="preserve">  渔业机械制造</t>
  </si>
  <si>
    <t>4.55</t>
  </si>
  <si>
    <t>1.72</t>
  </si>
  <si>
    <t>8.41</t>
  </si>
  <si>
    <t xml:space="preserve">  农林牧渔机械配件制造</t>
  </si>
  <si>
    <t>196</t>
  </si>
  <si>
    <t>173.12</t>
  </si>
  <si>
    <t>46.39</t>
  </si>
  <si>
    <t>82.60</t>
  </si>
  <si>
    <t>10.85</t>
  </si>
  <si>
    <t>27.31</t>
  </si>
  <si>
    <t>75.65</t>
  </si>
  <si>
    <t>25.57</t>
  </si>
  <si>
    <t xml:space="preserve">  棉花加工机械制造</t>
  </si>
  <si>
    <t>20.83</t>
  </si>
  <si>
    <t>3.02</t>
  </si>
  <si>
    <t>5.78</t>
  </si>
  <si>
    <t>13.13</t>
  </si>
  <si>
    <t>10.29</t>
  </si>
  <si>
    <t xml:space="preserve">  其他农、林、牧、渔业机械制造</t>
  </si>
  <si>
    <t>77.83</t>
  </si>
  <si>
    <t>35.71</t>
  </si>
  <si>
    <t>35.47</t>
  </si>
  <si>
    <t>9.88</t>
  </si>
  <si>
    <t>29.41</t>
  </si>
  <si>
    <t>8.17</t>
  </si>
  <si>
    <t>14.60</t>
  </si>
  <si>
    <t>1.84</t>
  </si>
  <si>
    <t>医疗仪器设备及器械制造</t>
  </si>
  <si>
    <t>2767</t>
  </si>
  <si>
    <t>5955.14</t>
  </si>
  <si>
    <t>846.96</t>
  </si>
  <si>
    <t>1465.91</t>
  </si>
  <si>
    <t>592.14</t>
  </si>
  <si>
    <t>3681.02</t>
  </si>
  <si>
    <t>786.72</t>
  </si>
  <si>
    <t>705.70</t>
  </si>
  <si>
    <t>263.61</t>
  </si>
  <si>
    <t>2238.10</t>
  </si>
  <si>
    <t>1901.21</t>
  </si>
  <si>
    <t>599.18</t>
  </si>
  <si>
    <t>3716.97</t>
  </si>
  <si>
    <t>1116.33</t>
  </si>
  <si>
    <t>14.05</t>
  </si>
  <si>
    <t>12.42</t>
  </si>
  <si>
    <t xml:space="preserve">  医疗诊断、监护及治疗设备制造</t>
  </si>
  <si>
    <t>709</t>
  </si>
  <si>
    <t>2361.80</t>
  </si>
  <si>
    <t>269.04</t>
  </si>
  <si>
    <t>433.03</t>
  </si>
  <si>
    <t>155.04</t>
  </si>
  <si>
    <t>1513.30</t>
  </si>
  <si>
    <t>287.53</t>
  </si>
  <si>
    <t>86.65</t>
  </si>
  <si>
    <t>870.74</t>
  </si>
  <si>
    <t>753.46</t>
  </si>
  <si>
    <t>223.77</t>
  </si>
  <si>
    <t>1491.06</t>
  </si>
  <si>
    <t>393.71</t>
  </si>
  <si>
    <t xml:space="preserve">  口腔科用设备及器具制造</t>
  </si>
  <si>
    <t>78</t>
  </si>
  <si>
    <t>87.44</t>
  </si>
  <si>
    <t>26.50</t>
  </si>
  <si>
    <t>10.83</t>
  </si>
  <si>
    <t>15.51</t>
  </si>
  <si>
    <t>31.75</t>
  </si>
  <si>
    <t>50.62</t>
  </si>
  <si>
    <t>18.80</t>
  </si>
  <si>
    <t xml:space="preserve">  医疗实验室及医用消毒设备和器具制造</t>
  </si>
  <si>
    <t>162.68</t>
  </si>
  <si>
    <t>39.91</t>
  </si>
  <si>
    <t>88.68</t>
  </si>
  <si>
    <t>22.59</t>
  </si>
  <si>
    <t>24.22</t>
  </si>
  <si>
    <t>11.11</t>
  </si>
  <si>
    <t>77.00</t>
  </si>
  <si>
    <t>73.62</t>
  </si>
  <si>
    <t>21.55</t>
  </si>
  <si>
    <t xml:space="preserve">  医疗、外科及兽医用器械制造</t>
  </si>
  <si>
    <t>619</t>
  </si>
  <si>
    <t>1418.10</t>
  </si>
  <si>
    <t>228.96</t>
  </si>
  <si>
    <t>412.66</t>
  </si>
  <si>
    <t>178.14</t>
  </si>
  <si>
    <t>805.16</t>
  </si>
  <si>
    <t>168.70</t>
  </si>
  <si>
    <t>60.71</t>
  </si>
  <si>
    <t>406.18</t>
  </si>
  <si>
    <t>129.03</t>
  </si>
  <si>
    <t>916.18</t>
  </si>
  <si>
    <t>257.45</t>
  </si>
  <si>
    <t>3.76</t>
  </si>
  <si>
    <t xml:space="preserve">  机械治疗及病房护理设备制造</t>
  </si>
  <si>
    <t>218.43</t>
  </si>
  <si>
    <t>28.89</t>
  </si>
  <si>
    <t>49.76</t>
  </si>
  <si>
    <t>157.64</t>
  </si>
  <si>
    <t>22.86</t>
  </si>
  <si>
    <t>30.39</t>
  </si>
  <si>
    <t>10.79</t>
  </si>
  <si>
    <t>82.56</t>
  </si>
  <si>
    <t>76.46</t>
  </si>
  <si>
    <t>22.52</t>
  </si>
  <si>
    <t>135.78</t>
  </si>
  <si>
    <t>42.22</t>
  </si>
  <si>
    <t xml:space="preserve">  康复辅具制造</t>
  </si>
  <si>
    <t>284.64</t>
  </si>
  <si>
    <t>37.36</t>
  </si>
  <si>
    <t>62.43</t>
  </si>
  <si>
    <t>187.99</t>
  </si>
  <si>
    <t>41.73</t>
  </si>
  <si>
    <t>19.86</t>
  </si>
  <si>
    <t>76.94</t>
  </si>
  <si>
    <t>69.45</t>
  </si>
  <si>
    <t>207.70</t>
  </si>
  <si>
    <t>53.28</t>
  </si>
  <si>
    <t xml:space="preserve">  眼镜制造</t>
  </si>
  <si>
    <t>398</t>
  </si>
  <si>
    <t>397.85</t>
  </si>
  <si>
    <t>98.27</t>
  </si>
  <si>
    <t>202.13</t>
  </si>
  <si>
    <t>100.28</t>
  </si>
  <si>
    <t>260.18</t>
  </si>
  <si>
    <t>104.09</t>
  </si>
  <si>
    <t>66.92</t>
  </si>
  <si>
    <t>184.12</t>
  </si>
  <si>
    <t>165.30</t>
  </si>
  <si>
    <t>70.46</t>
  </si>
  <si>
    <t>213.71</t>
  </si>
  <si>
    <t>106.00</t>
  </si>
  <si>
    <t>0.87</t>
  </si>
  <si>
    <t xml:space="preserve">  其他医疗设备及器械制造</t>
  </si>
  <si>
    <t>564</t>
  </si>
  <si>
    <t>1024.21</t>
  </si>
  <si>
    <t>144.19</t>
  </si>
  <si>
    <t>239.50</t>
  </si>
  <si>
    <t>608.74</t>
  </si>
  <si>
    <t>127.06</t>
  </si>
  <si>
    <t>90.79</t>
  </si>
  <si>
    <t>39.03</t>
  </si>
  <si>
    <t>395.94</t>
  </si>
  <si>
    <t>321.61</t>
  </si>
  <si>
    <t>90.10</t>
  </si>
  <si>
    <t>628.30</t>
  </si>
  <si>
    <t>223.32</t>
  </si>
  <si>
    <t>环保、邮政、社会公共服务及其他专用设备制造</t>
  </si>
  <si>
    <t>4537</t>
  </si>
  <si>
    <t>8445.21</t>
  </si>
  <si>
    <t>931.17</t>
  </si>
  <si>
    <t>1593.17</t>
  </si>
  <si>
    <t>5910.70</t>
  </si>
  <si>
    <t>1972.91</t>
  </si>
  <si>
    <t>1306.86</t>
  </si>
  <si>
    <t>396.85</t>
  </si>
  <si>
    <t>4619.49</t>
  </si>
  <si>
    <t>3977.71</t>
  </si>
  <si>
    <t>1328.99</t>
  </si>
  <si>
    <t>3808.49</t>
  </si>
  <si>
    <t>1499.68</t>
  </si>
  <si>
    <t>158.26</t>
  </si>
  <si>
    <t>17.95</t>
  </si>
  <si>
    <t xml:space="preserve">  环境保护专用设备制造</t>
  </si>
  <si>
    <t>2276</t>
  </si>
  <si>
    <t>4702.62</t>
  </si>
  <si>
    <t>472.11</t>
  </si>
  <si>
    <t>778.12</t>
  </si>
  <si>
    <t>277.83</t>
  </si>
  <si>
    <t>3192.80</t>
  </si>
  <si>
    <t>1109.04</t>
  </si>
  <si>
    <t>609.46</t>
  </si>
  <si>
    <t>176.52</t>
  </si>
  <si>
    <t>2587.47</t>
  </si>
  <si>
    <t>2207.13</t>
  </si>
  <si>
    <t>694.81</t>
  </si>
  <si>
    <t>2110.83</t>
  </si>
  <si>
    <t>834.53</t>
  </si>
  <si>
    <t>89.09</t>
  </si>
  <si>
    <t xml:space="preserve">  地质勘查专用设备制造</t>
  </si>
  <si>
    <t>29.62</t>
  </si>
  <si>
    <t>47.52</t>
  </si>
  <si>
    <t>3.66</t>
  </si>
  <si>
    <t>33.14</t>
  </si>
  <si>
    <t>9.49</t>
  </si>
  <si>
    <t>38.43</t>
  </si>
  <si>
    <t>8.85</t>
  </si>
  <si>
    <t>6.19</t>
  </si>
  <si>
    <t xml:space="preserve">  邮政专用机械及器材制造</t>
  </si>
  <si>
    <t>38.91</t>
  </si>
  <si>
    <t>34.23</t>
  </si>
  <si>
    <t>23.19</t>
  </si>
  <si>
    <t>8.66</t>
  </si>
  <si>
    <t>1.04</t>
  </si>
  <si>
    <t xml:space="preserve">2-1 续表15
</t>
  </si>
  <si>
    <t xml:space="preserve">  商业、饮食、服务专用设备制造</t>
  </si>
  <si>
    <t>93.78</t>
  </si>
  <si>
    <t>11.49</t>
  </si>
  <si>
    <t>22.01</t>
  </si>
  <si>
    <t>10.28</t>
  </si>
  <si>
    <t>65.31</t>
  </si>
  <si>
    <t>19.11</t>
  </si>
  <si>
    <t>43.75</t>
  </si>
  <si>
    <t>15.90</t>
  </si>
  <si>
    <t>43.60</t>
  </si>
  <si>
    <t>19.98</t>
  </si>
  <si>
    <t>2.27</t>
  </si>
  <si>
    <t xml:space="preserve">  社会公共安全设备及器材制造</t>
  </si>
  <si>
    <t>443</t>
  </si>
  <si>
    <t>614.77</t>
  </si>
  <si>
    <t>76.05</t>
  </si>
  <si>
    <t>132.58</t>
  </si>
  <si>
    <t>51.83</t>
  </si>
  <si>
    <t>441.37</t>
  </si>
  <si>
    <t>165.73</t>
  </si>
  <si>
    <t>302.69</t>
  </si>
  <si>
    <t>260.58</t>
  </si>
  <si>
    <t>113.65</t>
  </si>
  <si>
    <t>312.08</t>
  </si>
  <si>
    <t>102.73</t>
  </si>
  <si>
    <t xml:space="preserve">  交通安全、管制及类似专用设备制造</t>
  </si>
  <si>
    <t>160</t>
  </si>
  <si>
    <t>210.48</t>
  </si>
  <si>
    <t>15.54</t>
  </si>
  <si>
    <t>26.33</t>
  </si>
  <si>
    <t>159.52</t>
  </si>
  <si>
    <t>45.16</t>
  </si>
  <si>
    <t>30.38</t>
  </si>
  <si>
    <t>11.57</t>
  </si>
  <si>
    <t>117.02</t>
  </si>
  <si>
    <t>96.36</t>
  </si>
  <si>
    <t>91.71</t>
  </si>
  <si>
    <t>37.19</t>
  </si>
  <si>
    <t>1.06</t>
  </si>
  <si>
    <t xml:space="preserve">  水资源专用机械制造</t>
  </si>
  <si>
    <t>275.23</t>
  </si>
  <si>
    <t>39.27</t>
  </si>
  <si>
    <t>78.41</t>
  </si>
  <si>
    <t>180.17</t>
  </si>
  <si>
    <t>58.17</t>
  </si>
  <si>
    <t>33.68</t>
  </si>
  <si>
    <t>160.75</t>
  </si>
  <si>
    <t>142.19</t>
  </si>
  <si>
    <t>38.87</t>
  </si>
  <si>
    <t>112.81</t>
  </si>
  <si>
    <t xml:space="preserve">  其他专用设备制造</t>
  </si>
  <si>
    <t>1371</t>
  </si>
  <si>
    <t>2437.65</t>
  </si>
  <si>
    <t>300.63</t>
  </si>
  <si>
    <t>523.05</t>
  </si>
  <si>
    <t>207.23</t>
  </si>
  <si>
    <t>1789.78</t>
  </si>
  <si>
    <t>550.06</t>
  </si>
  <si>
    <t>494.86</t>
  </si>
  <si>
    <t>156.26</t>
  </si>
  <si>
    <t>1344.73</t>
  </si>
  <si>
    <t>1184.73</t>
  </si>
  <si>
    <t>417.57</t>
  </si>
  <si>
    <t>1083.64</t>
  </si>
  <si>
    <t>431.81</t>
  </si>
  <si>
    <t>50.59</t>
  </si>
  <si>
    <t>7.91</t>
  </si>
  <si>
    <t>16018</t>
  </si>
  <si>
    <t>84079.75</t>
  </si>
  <si>
    <t>15394.99</t>
  </si>
  <si>
    <t>31698.94</t>
  </si>
  <si>
    <t>15471.53</t>
  </si>
  <si>
    <t>50170.74</t>
  </si>
  <si>
    <t>13898.45</t>
  </si>
  <si>
    <t>7480.29</t>
  </si>
  <si>
    <t>3553.25</t>
  </si>
  <si>
    <t>49969.38</t>
  </si>
  <si>
    <t>43229.52</t>
  </si>
  <si>
    <t>17689.79</t>
  </si>
  <si>
    <t>34096.90</t>
  </si>
  <si>
    <t>13936.39</t>
  </si>
  <si>
    <t>2121.20</t>
  </si>
  <si>
    <t>337.13</t>
  </si>
  <si>
    <t xml:space="preserve">  汽车整车制造</t>
  </si>
  <si>
    <t>397</t>
  </si>
  <si>
    <t>40360.85</t>
  </si>
  <si>
    <t>6338.30</t>
  </si>
  <si>
    <t>13474.31</t>
  </si>
  <si>
    <t>6812.00</t>
  </si>
  <si>
    <t>22812.94</t>
  </si>
  <si>
    <t>4185.92</t>
  </si>
  <si>
    <t>2729.12</t>
  </si>
  <si>
    <t>1391.00</t>
  </si>
  <si>
    <t>25813.68</t>
  </si>
  <si>
    <t>22170.09</t>
  </si>
  <si>
    <t>8834.57</t>
  </si>
  <si>
    <t>14588.24</t>
  </si>
  <si>
    <t>5658.29</t>
  </si>
  <si>
    <t>1269.94</t>
  </si>
  <si>
    <t>145.46</t>
  </si>
  <si>
    <t xml:space="preserve">    汽柴油车整车制造</t>
  </si>
  <si>
    <t>36160.92</t>
  </si>
  <si>
    <t>5709.06</t>
  </si>
  <si>
    <t>12594.69</t>
  </si>
  <si>
    <t>6590.32</t>
  </si>
  <si>
    <t>20432.93</t>
  </si>
  <si>
    <t>3188.12</t>
  </si>
  <si>
    <t>2557.88</t>
  </si>
  <si>
    <t>1329.10</t>
  </si>
  <si>
    <t>22683.97</t>
  </si>
  <si>
    <t>19698.07</t>
  </si>
  <si>
    <t>8015.65</t>
  </si>
  <si>
    <t>13520.61</t>
  </si>
  <si>
    <t>4950.27</t>
  </si>
  <si>
    <t>1092.28</t>
  </si>
  <si>
    <t>124.74</t>
  </si>
  <si>
    <t xml:space="preserve">    新能源车整车制造</t>
  </si>
  <si>
    <t>4199.93</t>
  </si>
  <si>
    <t>629.25</t>
  </si>
  <si>
    <t>879.62</t>
  </si>
  <si>
    <t>221.68</t>
  </si>
  <si>
    <t>2380.02</t>
  </si>
  <si>
    <t>997.80</t>
  </si>
  <si>
    <t>171.24</t>
  </si>
  <si>
    <t>61.90</t>
  </si>
  <si>
    <t>3129.71</t>
  </si>
  <si>
    <t>2472.02</t>
  </si>
  <si>
    <t>818.92</t>
  </si>
  <si>
    <t>1067.63</t>
  </si>
  <si>
    <t>708.02</t>
  </si>
  <si>
    <t>177.66</t>
  </si>
  <si>
    <t>20.72</t>
  </si>
  <si>
    <t xml:space="preserve">  汽车用发动机制造</t>
  </si>
  <si>
    <t>116</t>
  </si>
  <si>
    <t>2228.37</t>
  </si>
  <si>
    <t>474.62</t>
  </si>
  <si>
    <t>1100.93</t>
  </si>
  <si>
    <t>575.02</t>
  </si>
  <si>
    <t>1364.13</t>
  </si>
  <si>
    <t>445.02</t>
  </si>
  <si>
    <t>219.62</t>
  </si>
  <si>
    <t>112.76</t>
  </si>
  <si>
    <t>1255.35</t>
  </si>
  <si>
    <t>1109.51</t>
  </si>
  <si>
    <t>447.35</t>
  </si>
  <si>
    <t>971.73</t>
  </si>
  <si>
    <t>548.60</t>
  </si>
  <si>
    <t>156.02</t>
  </si>
  <si>
    <t>30.69</t>
  </si>
  <si>
    <t xml:space="preserve">  改装汽车制造</t>
  </si>
  <si>
    <t>1998.33</t>
  </si>
  <si>
    <t>272.30</t>
  </si>
  <si>
    <t>485.92</t>
  </si>
  <si>
    <t>195.37</t>
  </si>
  <si>
    <t>1361.79</t>
  </si>
  <si>
    <t>479.61</t>
  </si>
  <si>
    <t>276.41</t>
  </si>
  <si>
    <t>93.95</t>
  </si>
  <si>
    <t>1370.13</t>
  </si>
  <si>
    <t>1231.14</t>
  </si>
  <si>
    <t>436.32</t>
  </si>
  <si>
    <t>626.93</t>
  </si>
  <si>
    <t>399.55</t>
  </si>
  <si>
    <t>67.99</t>
  </si>
  <si>
    <t>23.79</t>
  </si>
  <si>
    <t xml:space="preserve">  低速汽车制造</t>
  </si>
  <si>
    <t>127.65</t>
  </si>
  <si>
    <t>17.29</t>
  </si>
  <si>
    <t>32.90</t>
  </si>
  <si>
    <t>67.77</t>
  </si>
  <si>
    <t>22.80</t>
  </si>
  <si>
    <t>66.32</t>
  </si>
  <si>
    <t>62.27</t>
  </si>
  <si>
    <t>10.31</t>
  </si>
  <si>
    <t>61.34</t>
  </si>
  <si>
    <t>27.37</t>
  </si>
  <si>
    <t xml:space="preserve">  电车制造</t>
  </si>
  <si>
    <t>128.28</t>
  </si>
  <si>
    <t>44.66</t>
  </si>
  <si>
    <t>71.71</t>
  </si>
  <si>
    <t>2.90</t>
  </si>
  <si>
    <t>95.34</t>
  </si>
  <si>
    <t>83.03</t>
  </si>
  <si>
    <t>39.74</t>
  </si>
  <si>
    <t>29.79</t>
  </si>
  <si>
    <t>26.12</t>
  </si>
  <si>
    <t xml:space="preserve">  汽车车身、挂车制造</t>
  </si>
  <si>
    <t>618</t>
  </si>
  <si>
    <t>982.97</t>
  </si>
  <si>
    <t>189.84</t>
  </si>
  <si>
    <t>365.10</t>
  </si>
  <si>
    <t>166.04</t>
  </si>
  <si>
    <t>189.24</t>
  </si>
  <si>
    <t>121.39</t>
  </si>
  <si>
    <t>553.27</t>
  </si>
  <si>
    <t>491.59</t>
  </si>
  <si>
    <t>190.90</t>
  </si>
  <si>
    <t>429.24</t>
  </si>
  <si>
    <t>201.66</t>
  </si>
  <si>
    <t xml:space="preserve">  汽车零部件及配件制造</t>
  </si>
  <si>
    <t>14323</t>
  </si>
  <si>
    <t>38253.28</t>
  </si>
  <si>
    <t>8078.96</t>
  </si>
  <si>
    <t>16195.11</t>
  </si>
  <si>
    <t>7689.04</t>
  </si>
  <si>
    <t>23868.75</t>
  </si>
  <si>
    <t>8570.69</t>
  </si>
  <si>
    <t>4100.69</t>
  </si>
  <si>
    <t>1894.34</t>
  </si>
  <si>
    <t>20815.30</t>
  </si>
  <si>
    <t>18081.89</t>
  </si>
  <si>
    <t>7730.58</t>
  </si>
  <si>
    <t>17389.63</t>
  </si>
  <si>
    <t>7074.80</t>
  </si>
  <si>
    <t>592.36</t>
  </si>
  <si>
    <t>铁路、船舶、航空航天和其他运输设备制造业</t>
  </si>
  <si>
    <t>5050</t>
  </si>
  <si>
    <t>25699.37</t>
  </si>
  <si>
    <t>4261.21</t>
  </si>
  <si>
    <t>8024.35</t>
  </si>
  <si>
    <t>3481.67</t>
  </si>
  <si>
    <t>16934.18</t>
  </si>
  <si>
    <t>4293.22</t>
  </si>
  <si>
    <t>4413.52</t>
  </si>
  <si>
    <t>790.04</t>
  </si>
  <si>
    <t>15652.23</t>
  </si>
  <si>
    <t>13278.50</t>
  </si>
  <si>
    <t>5119.13</t>
  </si>
  <si>
    <t>10036.74</t>
  </si>
  <si>
    <t>5892.34</t>
  </si>
  <si>
    <t>1384.16</t>
  </si>
  <si>
    <t>34.31</t>
  </si>
  <si>
    <t xml:space="preserve">  铁路运输设备制造</t>
  </si>
  <si>
    <t>983</t>
  </si>
  <si>
    <t>5929.01</t>
  </si>
  <si>
    <t>744.26</t>
  </si>
  <si>
    <t>1409.37</t>
  </si>
  <si>
    <t>630.46</t>
  </si>
  <si>
    <t>4141.91</t>
  </si>
  <si>
    <t>1565.82</t>
  </si>
  <si>
    <t>844.64</t>
  </si>
  <si>
    <t>226.20</t>
  </si>
  <si>
    <t>3216.85</t>
  </si>
  <si>
    <t>2890.54</t>
  </si>
  <si>
    <t>1579.75</t>
  </si>
  <si>
    <t>2711.55</t>
  </si>
  <si>
    <t>1180.13</t>
  </si>
  <si>
    <t xml:space="preserve">    高铁车组制造</t>
  </si>
  <si>
    <t>1615.32</t>
  </si>
  <si>
    <t>169.65</t>
  </si>
  <si>
    <t>349.72</t>
  </si>
  <si>
    <t>172.45</t>
  </si>
  <si>
    <t>1211.23</t>
  </si>
  <si>
    <t>439.85</t>
  </si>
  <si>
    <t>182.08</t>
  </si>
  <si>
    <t>1029.09</t>
  </si>
  <si>
    <t>962.48</t>
  </si>
  <si>
    <t>586.23</t>
  </si>
  <si>
    <t>192.99</t>
  </si>
  <si>
    <t>121.61</t>
  </si>
  <si>
    <t xml:space="preserve">    铁路机车车辆制造</t>
  </si>
  <si>
    <t>1015.65</t>
  </si>
  <si>
    <t>158.10</t>
  </si>
  <si>
    <t>300.69</t>
  </si>
  <si>
    <t>140.63</t>
  </si>
  <si>
    <t>598.63</t>
  </si>
  <si>
    <t>233.04</t>
  </si>
  <si>
    <t>131.73</t>
  </si>
  <si>
    <t>19.19</t>
  </si>
  <si>
    <t>571.43</t>
  </si>
  <si>
    <t>511.48</t>
  </si>
  <si>
    <t>268.95</t>
  </si>
  <si>
    <t>444.22</t>
  </si>
  <si>
    <t>316.16</t>
  </si>
  <si>
    <t>152.91</t>
  </si>
  <si>
    <t xml:space="preserve">    窄轨机车车辆制造</t>
  </si>
  <si>
    <t>78.56</t>
  </si>
  <si>
    <t>17.85</t>
  </si>
  <si>
    <t>28.27</t>
  </si>
  <si>
    <t>9.25</t>
  </si>
  <si>
    <t>5.16</t>
  </si>
  <si>
    <t>43.67</t>
  </si>
  <si>
    <t>33.29</t>
  </si>
  <si>
    <t>8.67</t>
  </si>
  <si>
    <t>27.62</t>
  </si>
  <si>
    <t xml:space="preserve">    高铁设备、配件制造</t>
  </si>
  <si>
    <t>863.40</t>
  </si>
  <si>
    <t>91.39</t>
  </si>
  <si>
    <t>165.23</t>
  </si>
  <si>
    <t>640.25</t>
  </si>
  <si>
    <t>218.10</t>
  </si>
  <si>
    <t>143.14</t>
  </si>
  <si>
    <t>63.70</t>
  </si>
  <si>
    <t>385.56</t>
  </si>
  <si>
    <t>339.12</t>
  </si>
  <si>
    <t>477.78</t>
  </si>
  <si>
    <t>166.78</t>
  </si>
  <si>
    <t>61.72</t>
  </si>
  <si>
    <t xml:space="preserve">    铁路机车车辆配件制造</t>
  </si>
  <si>
    <t>339</t>
  </si>
  <si>
    <t>807.79</t>
  </si>
  <si>
    <t>117.33</t>
  </si>
  <si>
    <t>232.15</t>
  </si>
  <si>
    <t>106.47</t>
  </si>
  <si>
    <t>570.84</t>
  </si>
  <si>
    <t>178.10</t>
  </si>
  <si>
    <t>138.08</t>
  </si>
  <si>
    <t>65.25</t>
  </si>
  <si>
    <t>444.23</t>
  </si>
  <si>
    <t>386.95</t>
  </si>
  <si>
    <t>169.74</t>
  </si>
  <si>
    <t>363.27</t>
  </si>
  <si>
    <t>156.00</t>
  </si>
  <si>
    <t xml:space="preserve">    铁路专用设备及器材、配件制造</t>
  </si>
  <si>
    <t>1388.91</t>
  </si>
  <si>
    <t>159.46</t>
  </si>
  <si>
    <t>287.01</t>
  </si>
  <si>
    <t>113.25</t>
  </si>
  <si>
    <t>976.03</t>
  </si>
  <si>
    <t>438.32</t>
  </si>
  <si>
    <t>215.57</t>
  </si>
  <si>
    <t>67.78</t>
  </si>
  <si>
    <t>647.75</t>
  </si>
  <si>
    <t>577.74</t>
  </si>
  <si>
    <t>250.40</t>
  </si>
  <si>
    <t>740.89</t>
  </si>
  <si>
    <t>283.13</t>
  </si>
  <si>
    <t>92.08</t>
  </si>
  <si>
    <t xml:space="preserve">    其他铁路运输设备制造</t>
  </si>
  <si>
    <t>159.39</t>
  </si>
  <si>
    <t>46.30</t>
  </si>
  <si>
    <t>15.68</t>
  </si>
  <si>
    <t>41.72</t>
  </si>
  <si>
    <t>95.12</t>
  </si>
  <si>
    <t>79.49</t>
  </si>
  <si>
    <t>45.43</t>
  </si>
  <si>
    <t>37.46</t>
  </si>
  <si>
    <t>8.55</t>
  </si>
  <si>
    <t xml:space="preserve">  城市轨道交通设备制造</t>
  </si>
  <si>
    <t>760.59</t>
  </si>
  <si>
    <t>88.59</t>
  </si>
  <si>
    <t>223.07</t>
  </si>
  <si>
    <t>59.59</t>
  </si>
  <si>
    <t>485.46</t>
  </si>
  <si>
    <t>195.61</t>
  </si>
  <si>
    <t>102.91</t>
  </si>
  <si>
    <t>19.54</t>
  </si>
  <si>
    <t>515.13</t>
  </si>
  <si>
    <t>387.97</t>
  </si>
  <si>
    <t>223.74</t>
  </si>
  <si>
    <t>245.47</t>
  </si>
  <si>
    <t>148.63</t>
  </si>
  <si>
    <t xml:space="preserve">  船舶及相关装置制造</t>
  </si>
  <si>
    <t>954</t>
  </si>
  <si>
    <t>8979.67</t>
  </si>
  <si>
    <t>1679.86</t>
  </si>
  <si>
    <t>3082.61</t>
  </si>
  <si>
    <t>1314.76</t>
  </si>
  <si>
    <t>5713.86</t>
  </si>
  <si>
    <t>753.50</t>
  </si>
  <si>
    <t>1614.13</t>
  </si>
  <si>
    <t>159.09</t>
  </si>
  <si>
    <t>6221.95</t>
  </si>
  <si>
    <t>5107.31</t>
  </si>
  <si>
    <t>1464.60</t>
  </si>
  <si>
    <t>2755.39</t>
  </si>
  <si>
    <t>1998.47</t>
  </si>
  <si>
    <t>470.11</t>
  </si>
  <si>
    <t>6.84</t>
  </si>
  <si>
    <t xml:space="preserve">    金属船舶制造</t>
  </si>
  <si>
    <t>393</t>
  </si>
  <si>
    <t>6737.85</t>
  </si>
  <si>
    <t>1213.07</t>
  </si>
  <si>
    <t>2250.65</t>
  </si>
  <si>
    <t>977.35</t>
  </si>
  <si>
    <t>4286.16</t>
  </si>
  <si>
    <t>395.16</t>
  </si>
  <si>
    <t>1164.93</t>
  </si>
  <si>
    <t>71.11</t>
  </si>
  <si>
    <t>4690.58</t>
  </si>
  <si>
    <t>3906.42</t>
  </si>
  <si>
    <t>1124.47</t>
  </si>
  <si>
    <t>2045.40</t>
  </si>
  <si>
    <t>1327.06</t>
  </si>
  <si>
    <t>327.15</t>
  </si>
  <si>
    <t>5.81</t>
  </si>
  <si>
    <t xml:space="preserve">    非金属船舶制造</t>
  </si>
  <si>
    <t>106.86</t>
  </si>
  <si>
    <t>26.54</t>
  </si>
  <si>
    <t>38.08</t>
  </si>
  <si>
    <t>11.39</t>
  </si>
  <si>
    <t>75.86</t>
  </si>
  <si>
    <t>13.72</t>
  </si>
  <si>
    <t>15.53</t>
  </si>
  <si>
    <t>62.42</t>
  </si>
  <si>
    <t>55.77</t>
  </si>
  <si>
    <t>10.49</t>
  </si>
  <si>
    <t>18.66</t>
  </si>
  <si>
    <t xml:space="preserve">    娱乐船和运动船制造</t>
  </si>
  <si>
    <t>55.32</t>
  </si>
  <si>
    <t>10.27</t>
  </si>
  <si>
    <t>19.90</t>
  </si>
  <si>
    <t>8.63</t>
  </si>
  <si>
    <t>33.75</t>
  </si>
  <si>
    <t>5.12</t>
  </si>
  <si>
    <t>14.28</t>
  </si>
  <si>
    <t xml:space="preserve">    船用配套设备制造</t>
  </si>
  <si>
    <t>370</t>
  </si>
  <si>
    <t>802.58</t>
  </si>
  <si>
    <t>163.91</t>
  </si>
  <si>
    <t>325.75</t>
  </si>
  <si>
    <t>153.67</t>
  </si>
  <si>
    <t>510.56</t>
  </si>
  <si>
    <t>154.57</t>
  </si>
  <si>
    <t>32.63</t>
  </si>
  <si>
    <t>416.07</t>
  </si>
  <si>
    <t>345.05</t>
  </si>
  <si>
    <t>127.12</t>
  </si>
  <si>
    <t>386.51</t>
  </si>
  <si>
    <t>97.79</t>
  </si>
  <si>
    <t xml:space="preserve">    船舶改装</t>
  </si>
  <si>
    <t>59.18</t>
  </si>
  <si>
    <t>14.14</t>
  </si>
  <si>
    <t>34.74</t>
  </si>
  <si>
    <t>28.59</t>
  </si>
  <si>
    <t>30.60</t>
  </si>
  <si>
    <t xml:space="preserve">    船舶拆除</t>
  </si>
  <si>
    <t>73.37</t>
  </si>
  <si>
    <t>10.24</t>
  </si>
  <si>
    <t>20.26</t>
  </si>
  <si>
    <t>9.56</t>
  </si>
  <si>
    <t>76.28</t>
  </si>
  <si>
    <t>62.03</t>
  </si>
  <si>
    <t>7.09</t>
  </si>
  <si>
    <t>-2.91</t>
  </si>
  <si>
    <t>6.69</t>
  </si>
  <si>
    <t xml:space="preserve">    海洋工程装备制造</t>
  </si>
  <si>
    <t>1139.27</t>
  </si>
  <si>
    <t>237.87</t>
  </si>
  <si>
    <t>393.81</t>
  </si>
  <si>
    <t>141.00</t>
  </si>
  <si>
    <t>739.31</t>
  </si>
  <si>
    <t>171.13</t>
  </si>
  <si>
    <t>275.93</t>
  </si>
  <si>
    <t>44.81</t>
  </si>
  <si>
    <t>907.30</t>
  </si>
  <si>
    <t>674.94</t>
  </si>
  <si>
    <t>183.12</t>
  </si>
  <si>
    <t>231.97</t>
  </si>
  <si>
    <t>356.71</t>
  </si>
  <si>
    <t>43.05</t>
  </si>
  <si>
    <t xml:space="preserve">    航标器材及其他相关装置制造</t>
  </si>
  <si>
    <t>9</t>
  </si>
  <si>
    <t>5.24</t>
  </si>
  <si>
    <t>2.24</t>
  </si>
  <si>
    <t>1.14</t>
  </si>
  <si>
    <t xml:space="preserve">  航空、航天器及设备制造</t>
  </si>
  <si>
    <t>577</t>
  </si>
  <si>
    <t>6709.97</t>
  </si>
  <si>
    <t>1159.48</t>
  </si>
  <si>
    <t>2123.80</t>
  </si>
  <si>
    <t>925.97</t>
  </si>
  <si>
    <t>4436.15</t>
  </si>
  <si>
    <t>1111.10</t>
  </si>
  <si>
    <t>1456.73</t>
  </si>
  <si>
    <t>222.81</t>
  </si>
  <si>
    <t>3819.61</t>
  </si>
  <si>
    <t>3201.46</t>
  </si>
  <si>
    <t>1247.07</t>
  </si>
  <si>
    <t>2890.23</t>
  </si>
  <si>
    <t>1895.30</t>
  </si>
  <si>
    <t>366.61</t>
  </si>
  <si>
    <t>9.87</t>
  </si>
  <si>
    <t xml:space="preserve">    飞机制造</t>
  </si>
  <si>
    <t>236</t>
  </si>
  <si>
    <t>4558.57</t>
  </si>
  <si>
    <t>1408.85</t>
  </si>
  <si>
    <t>641.14</t>
  </si>
  <si>
    <t>3040.53</t>
  </si>
  <si>
    <t>756.04</t>
  </si>
  <si>
    <t>1018.06</t>
  </si>
  <si>
    <t>152.03</t>
  </si>
  <si>
    <t>2634.63</t>
  </si>
  <si>
    <t>2211.08</t>
  </si>
  <si>
    <t>912.49</t>
  </si>
  <si>
    <t>1923.93</t>
  </si>
  <si>
    <t>1537.43</t>
  </si>
  <si>
    <t>272.86</t>
  </si>
  <si>
    <t>5.89</t>
  </si>
  <si>
    <t xml:space="preserve">    航天器及运载火箭制造</t>
  </si>
  <si>
    <t>593.60</t>
  </si>
  <si>
    <t>121.35</t>
  </si>
  <si>
    <t>187.63</t>
  </si>
  <si>
    <t>66.26</t>
  </si>
  <si>
    <t>351.70</t>
  </si>
  <si>
    <t>55.54</t>
  </si>
  <si>
    <t>360.34</t>
  </si>
  <si>
    <t>305.41</t>
  </si>
  <si>
    <t>83.11</t>
  </si>
  <si>
    <t>233.25</t>
  </si>
  <si>
    <t>53.21</t>
  </si>
  <si>
    <t>26.60</t>
  </si>
  <si>
    <t xml:space="preserve">    航天相关设备制造</t>
  </si>
  <si>
    <t>93</t>
  </si>
  <si>
    <t>585.75</t>
  </si>
  <si>
    <t>89.82</t>
  </si>
  <si>
    <t>386.43</t>
  </si>
  <si>
    <t>24.65</t>
  </si>
  <si>
    <t>320.13</t>
  </si>
  <si>
    <t>264.86</t>
  </si>
  <si>
    <t>97.12</t>
  </si>
  <si>
    <t>265.62</t>
  </si>
  <si>
    <t>110.26</t>
  </si>
  <si>
    <t xml:space="preserve">    航空相关设备制造</t>
  </si>
  <si>
    <t>592.23</t>
  </si>
  <si>
    <t>94.71</t>
  </si>
  <si>
    <t>169.58</t>
  </si>
  <si>
    <t>73.87</t>
  </si>
  <si>
    <t>393.13</t>
  </si>
  <si>
    <t>115.93</t>
  </si>
  <si>
    <t>108.14</t>
  </si>
  <si>
    <t>29.78</t>
  </si>
  <si>
    <t>305.87</t>
  </si>
  <si>
    <t>251.57</t>
  </si>
  <si>
    <t>100.36</t>
  </si>
  <si>
    <t>286.24</t>
  </si>
  <si>
    <t>128.21</t>
  </si>
  <si>
    <t xml:space="preserve">    其他航空航天器制造</t>
  </si>
  <si>
    <t>58.95</t>
  </si>
  <si>
    <t>54.88</t>
  </si>
  <si>
    <t>264.37</t>
  </si>
  <si>
    <t>89.55</t>
  </si>
  <si>
    <t>13.06</t>
  </si>
  <si>
    <t>198.65</t>
  </si>
  <si>
    <t>168.54</t>
  </si>
  <si>
    <t>181.18</t>
  </si>
  <si>
    <t>66.19</t>
  </si>
  <si>
    <t>16.52</t>
  </si>
  <si>
    <t xml:space="preserve">  摩托车制造</t>
  </si>
  <si>
    <t>1152</t>
  </si>
  <si>
    <t>1959.42</t>
  </si>
  <si>
    <t>354.01</t>
  </si>
  <si>
    <t>766.31</t>
  </si>
  <si>
    <t>385.59</t>
  </si>
  <si>
    <t>1246.53</t>
  </si>
  <si>
    <t>376.98</t>
  </si>
  <si>
    <t>203.67</t>
  </si>
  <si>
    <t>94.15</t>
  </si>
  <si>
    <t>1036.84</t>
  </si>
  <si>
    <t>922.31</t>
  </si>
  <si>
    <t>337.29</t>
  </si>
  <si>
    <t>920.96</t>
  </si>
  <si>
    <t>322.71</t>
  </si>
  <si>
    <t xml:space="preserve">    摩托车整车制造</t>
  </si>
  <si>
    <t>174</t>
  </si>
  <si>
    <t>832.99</t>
  </si>
  <si>
    <t>119.73</t>
  </si>
  <si>
    <t>246.12</t>
  </si>
  <si>
    <t>117.17</t>
  </si>
  <si>
    <t>578.38</t>
  </si>
  <si>
    <t>167.36</t>
  </si>
  <si>
    <t>77.31</t>
  </si>
  <si>
    <t>31.36</t>
  </si>
  <si>
    <t>462.04</t>
  </si>
  <si>
    <t>420.91</t>
  </si>
  <si>
    <t>186.72</t>
  </si>
  <si>
    <t>371.22</t>
  </si>
  <si>
    <t>145.37</t>
  </si>
  <si>
    <t xml:space="preserve">    摩托车零部件及配件制造</t>
  </si>
  <si>
    <t>978</t>
  </si>
  <si>
    <t>1126.42</t>
  </si>
  <si>
    <t>234.28</t>
  </si>
  <si>
    <t>520.19</t>
  </si>
  <si>
    <t>268.42</t>
  </si>
  <si>
    <t>668.15</t>
  </si>
  <si>
    <t>209.63</t>
  </si>
  <si>
    <t>126.36</t>
  </si>
  <si>
    <t>62.79</t>
  </si>
  <si>
    <t>574.80</t>
  </si>
  <si>
    <t>501.40</t>
  </si>
  <si>
    <t>150.57</t>
  </si>
  <si>
    <t>549.74</t>
  </si>
  <si>
    <t xml:space="preserve">2-1 续表16
</t>
  </si>
  <si>
    <t xml:space="preserve">  自行车和残疾人座车制造</t>
  </si>
  <si>
    <t>469</t>
  </si>
  <si>
    <t>438.52</t>
  </si>
  <si>
    <t>81.07</t>
  </si>
  <si>
    <t>153.70</t>
  </si>
  <si>
    <t>70.69</t>
  </si>
  <si>
    <t>302.29</t>
  </si>
  <si>
    <t>105.59</t>
  </si>
  <si>
    <t>263.17</t>
  </si>
  <si>
    <t>245.94</t>
  </si>
  <si>
    <t>174.71</t>
  </si>
  <si>
    <t>184.54</t>
  </si>
  <si>
    <t xml:space="preserve">    自行车制造</t>
  </si>
  <si>
    <t>415.35</t>
  </si>
  <si>
    <t>144.28</t>
  </si>
  <si>
    <t>65.97</t>
  </si>
  <si>
    <t>286.57</t>
  </si>
  <si>
    <t>99.37</t>
  </si>
  <si>
    <t>72.59</t>
  </si>
  <si>
    <t>251.96</t>
  </si>
  <si>
    <t>235.53</t>
  </si>
  <si>
    <t>98.15</t>
  </si>
  <si>
    <t>162.75</t>
  </si>
  <si>
    <t>177.10</t>
  </si>
  <si>
    <t xml:space="preserve">    残疾人座车制造</t>
  </si>
  <si>
    <t>34</t>
  </si>
  <si>
    <t>23.17</t>
  </si>
  <si>
    <t>11.21</t>
  </si>
  <si>
    <t>7.44</t>
  </si>
  <si>
    <t xml:space="preserve">  助动车制造</t>
  </si>
  <si>
    <t>480</t>
  </si>
  <si>
    <t>600.65</t>
  </si>
  <si>
    <t>164.59</t>
  </si>
  <si>
    <t>396.84</t>
  </si>
  <si>
    <t>118.30</t>
  </si>
  <si>
    <t>71.88</t>
  </si>
  <si>
    <t>27.23</t>
  </si>
  <si>
    <t>383.44</t>
  </si>
  <si>
    <t>344.05</t>
  </si>
  <si>
    <t>105.83</t>
  </si>
  <si>
    <t>213.41</t>
  </si>
  <si>
    <t>104.06</t>
  </si>
  <si>
    <t xml:space="preserve">  非公路休闲车及零配件制造</t>
  </si>
  <si>
    <t>206.08</t>
  </si>
  <si>
    <t>32.37</t>
  </si>
  <si>
    <t>63.72</t>
  </si>
  <si>
    <t>29.35</t>
  </si>
  <si>
    <t>142.70</t>
  </si>
  <si>
    <t>44.85</t>
  </si>
  <si>
    <t>129.33</t>
  </si>
  <si>
    <t>125.12</t>
  </si>
  <si>
    <t>39.37</t>
  </si>
  <si>
    <t>75.48</t>
  </si>
  <si>
    <t xml:space="preserve">  潜水救捞及其他未列明运输设备制造</t>
  </si>
  <si>
    <t>108</t>
  </si>
  <si>
    <t>115.47</t>
  </si>
  <si>
    <t>20.09</t>
  </si>
  <si>
    <t>15.71</t>
  </si>
  <si>
    <t>68.43</t>
  </si>
  <si>
    <t>13.03</t>
  </si>
  <si>
    <t>65.91</t>
  </si>
  <si>
    <t>53.81</t>
  </si>
  <si>
    <t>19.04</t>
  </si>
  <si>
    <t>49.56</t>
  </si>
  <si>
    <t>3.13</t>
  </si>
  <si>
    <t xml:space="preserve">    潜水装备制造</t>
  </si>
  <si>
    <t>11</t>
  </si>
  <si>
    <t>14.62</t>
  </si>
  <si>
    <t>1.83</t>
  </si>
  <si>
    <t>2.07</t>
  </si>
  <si>
    <t>8.02</t>
  </si>
  <si>
    <t xml:space="preserve">    水下救捞装备制造</t>
  </si>
  <si>
    <t>5.76</t>
  </si>
  <si>
    <t>2.42</t>
  </si>
  <si>
    <t>3.62</t>
  </si>
  <si>
    <t xml:space="preserve">    其他未列明运输设备制造</t>
  </si>
  <si>
    <t>95.09</t>
  </si>
  <si>
    <t>30.53</t>
  </si>
  <si>
    <t>10.20</t>
  </si>
  <si>
    <t>3.45</t>
  </si>
  <si>
    <t>57.50</t>
  </si>
  <si>
    <t>46.95</t>
  </si>
  <si>
    <t>37.59</t>
  </si>
  <si>
    <t>电气机械和器材制造业</t>
  </si>
  <si>
    <t>26944</t>
  </si>
  <si>
    <t>77118.99</t>
  </si>
  <si>
    <t>10579.21</t>
  </si>
  <si>
    <t>20775.97</t>
  </si>
  <si>
    <t>9300.62</t>
  </si>
  <si>
    <t>51815.23</t>
  </si>
  <si>
    <t>17551.07</t>
  </si>
  <si>
    <t>8650.87</t>
  </si>
  <si>
    <t>3704.44</t>
  </si>
  <si>
    <t>43757.08</t>
  </si>
  <si>
    <t>37054.24</t>
  </si>
  <si>
    <t>14292.14</t>
  </si>
  <si>
    <t>33226.30</t>
  </si>
  <si>
    <t>15909.44</t>
  </si>
  <si>
    <t>913.96</t>
  </si>
  <si>
    <t>353.71</t>
  </si>
  <si>
    <t xml:space="preserve">  电机制造</t>
  </si>
  <si>
    <t>2813</t>
  </si>
  <si>
    <t>10609.27</t>
  </si>
  <si>
    <t>1227.33</t>
  </si>
  <si>
    <t>2381.79</t>
  </si>
  <si>
    <t>1102.16</t>
  </si>
  <si>
    <t>7610.85</t>
  </si>
  <si>
    <t>2384.44</t>
  </si>
  <si>
    <t>1465.68</t>
  </si>
  <si>
    <t>509.66</t>
  </si>
  <si>
    <t>6619.93</t>
  </si>
  <si>
    <t>5842.02</t>
  </si>
  <si>
    <t>2235.30</t>
  </si>
  <si>
    <t>3984.68</t>
  </si>
  <si>
    <t>1688.94</t>
  </si>
  <si>
    <t>219.20</t>
  </si>
  <si>
    <t>6.57</t>
  </si>
  <si>
    <t xml:space="preserve">    发电机及发电机组制造</t>
  </si>
  <si>
    <t>774</t>
  </si>
  <si>
    <t>6561.43</t>
  </si>
  <si>
    <t>512.56</t>
  </si>
  <si>
    <t>981.98</t>
  </si>
  <si>
    <t>445.65</t>
  </si>
  <si>
    <t>4946.56</t>
  </si>
  <si>
    <t>1434.20</t>
  </si>
  <si>
    <t>916.26</t>
  </si>
  <si>
    <t>4566.01</t>
  </si>
  <si>
    <t>4068.21</t>
  </si>
  <si>
    <t>1476.71</t>
  </si>
  <si>
    <t>1991.77</t>
  </si>
  <si>
    <t>925.10</t>
  </si>
  <si>
    <t xml:space="preserve">    电动机制造</t>
  </si>
  <si>
    <t>1137</t>
  </si>
  <si>
    <t>1934.40</t>
  </si>
  <si>
    <t>342.76</t>
  </si>
  <si>
    <t>662.05</t>
  </si>
  <si>
    <t>300.83</t>
  </si>
  <si>
    <t>1306.40</t>
  </si>
  <si>
    <t>443.79</t>
  </si>
  <si>
    <t>294.47</t>
  </si>
  <si>
    <t>124.21</t>
  </si>
  <si>
    <t>1026.15</t>
  </si>
  <si>
    <t>888.73</t>
  </si>
  <si>
    <t>366.73</t>
  </si>
  <si>
    <t>907.79</t>
  </si>
  <si>
    <t>379.46</t>
  </si>
  <si>
    <t>19.38</t>
  </si>
  <si>
    <t xml:space="preserve">    微特电机及组件制造</t>
  </si>
  <si>
    <t>1289.98</t>
  </si>
  <si>
    <t>234.82</t>
  </si>
  <si>
    <t>451.34</t>
  </si>
  <si>
    <t>210.61</t>
  </si>
  <si>
    <t>790.07</t>
  </si>
  <si>
    <t>303.45</t>
  </si>
  <si>
    <t>137.66</t>
  </si>
  <si>
    <t>658.68</t>
  </si>
  <si>
    <t>567.28</t>
  </si>
  <si>
    <t>231.65</t>
  </si>
  <si>
    <t>630.77</t>
  </si>
  <si>
    <t>239.03</t>
  </si>
  <si>
    <t>0.64</t>
  </si>
  <si>
    <t xml:space="preserve">    其他电机制造</t>
  </si>
  <si>
    <t>367</t>
  </si>
  <si>
    <t>823.46</t>
  </si>
  <si>
    <t>137.20</t>
  </si>
  <si>
    <t>286.42</t>
  </si>
  <si>
    <t>145.07</t>
  </si>
  <si>
    <t>567.82</t>
  </si>
  <si>
    <t>203.01</t>
  </si>
  <si>
    <t>51.09</t>
  </si>
  <si>
    <t>369.09</t>
  </si>
  <si>
    <t>317.80</t>
  </si>
  <si>
    <t>160.21</t>
  </si>
  <si>
    <t>454.36</t>
  </si>
  <si>
    <t>145.35</t>
  </si>
  <si>
    <t xml:space="preserve">  输配电及控制设备制造</t>
  </si>
  <si>
    <t>9459</t>
  </si>
  <si>
    <t>24387.50</t>
  </si>
  <si>
    <t>3183.27</t>
  </si>
  <si>
    <t>6201.21</t>
  </si>
  <si>
    <t>2544.16</t>
  </si>
  <si>
    <t>16161.84</t>
  </si>
  <si>
    <t>6380.42</t>
  </si>
  <si>
    <t>2496.63</t>
  </si>
  <si>
    <t>948.04</t>
  </si>
  <si>
    <t>13357.99</t>
  </si>
  <si>
    <t>11281.88</t>
  </si>
  <si>
    <t>4644.41</t>
  </si>
  <si>
    <t>10999.04</t>
  </si>
  <si>
    <t>6604.26</t>
  </si>
  <si>
    <t>344.14</t>
  </si>
  <si>
    <t>120.62</t>
  </si>
  <si>
    <t xml:space="preserve">    变压器、整流器和电感器制造</t>
  </si>
  <si>
    <t>4313.86</t>
  </si>
  <si>
    <t>495.46</t>
  </si>
  <si>
    <t>1086.00</t>
  </si>
  <si>
    <t>539.71</t>
  </si>
  <si>
    <t>2947.00</t>
  </si>
  <si>
    <t>518.74</t>
  </si>
  <si>
    <t>210.28</t>
  </si>
  <si>
    <t>2242.82</t>
  </si>
  <si>
    <t>1926.75</t>
  </si>
  <si>
    <t>749.75</t>
  </si>
  <si>
    <t>2068.23</t>
  </si>
  <si>
    <t>882.75</t>
  </si>
  <si>
    <t>60.41</t>
  </si>
  <si>
    <t xml:space="preserve">    电容器及其配套设备制造</t>
  </si>
  <si>
    <t>228.07</t>
  </si>
  <si>
    <t>38.14</t>
  </si>
  <si>
    <t>40.18</t>
  </si>
  <si>
    <t>159.26</t>
  </si>
  <si>
    <t>68.54</t>
  </si>
  <si>
    <t>30.09</t>
  </si>
  <si>
    <t>115.65</t>
  </si>
  <si>
    <t>104.59</t>
  </si>
  <si>
    <t>42.82</t>
  </si>
  <si>
    <t>112.40</t>
  </si>
  <si>
    <t>56.72</t>
  </si>
  <si>
    <t xml:space="preserve">    配电开关控制设备制造</t>
  </si>
  <si>
    <t>3600</t>
  </si>
  <si>
    <t>6907.84</t>
  </si>
  <si>
    <t>680.96</t>
  </si>
  <si>
    <t>1318.17</t>
  </si>
  <si>
    <t>600.68</t>
  </si>
  <si>
    <t>4813.40</t>
  </si>
  <si>
    <t>1980.56</t>
  </si>
  <si>
    <t>754.67</t>
  </si>
  <si>
    <t>288.07</t>
  </si>
  <si>
    <t>3406.14</t>
  </si>
  <si>
    <t>2942.16</t>
  </si>
  <si>
    <t>1302.31</t>
  </si>
  <si>
    <t>3498.93</t>
  </si>
  <si>
    <t>1486.55</t>
  </si>
  <si>
    <t>152.26</t>
  </si>
  <si>
    <t>37.01</t>
  </si>
  <si>
    <t xml:space="preserve">    电力电子元器件制造</t>
  </si>
  <si>
    <t>1768</t>
  </si>
  <si>
    <t>2560.55</t>
  </si>
  <si>
    <t>412.24</t>
  </si>
  <si>
    <t>811.47</t>
  </si>
  <si>
    <t>364.98</t>
  </si>
  <si>
    <t>1802.08</t>
  </si>
  <si>
    <t>725.29</t>
  </si>
  <si>
    <t>323.08</t>
  </si>
  <si>
    <t>127.45</t>
  </si>
  <si>
    <t>1222.34</t>
  </si>
  <si>
    <t>1070.81</t>
  </si>
  <si>
    <t>527.22</t>
  </si>
  <si>
    <t>1331.31</t>
  </si>
  <si>
    <t>527.16</t>
  </si>
  <si>
    <t>15.64</t>
  </si>
  <si>
    <t xml:space="preserve">    光伏设备及元器件制造</t>
  </si>
  <si>
    <t>7757.88</t>
  </si>
  <si>
    <t>1274.57</t>
  </si>
  <si>
    <t>2407.15</t>
  </si>
  <si>
    <t>809.57</t>
  </si>
  <si>
    <t>4755.53</t>
  </si>
  <si>
    <t>1725.55</t>
  </si>
  <si>
    <t>614.25</t>
  </si>
  <si>
    <t>233.81</t>
  </si>
  <si>
    <t>4829.16</t>
  </si>
  <si>
    <t>3961.81</t>
  </si>
  <si>
    <t>1443.42</t>
  </si>
  <si>
    <t>2914.24</t>
  </si>
  <si>
    <t>1850.50</t>
  </si>
  <si>
    <t>58.49</t>
  </si>
  <si>
    <t>35.05</t>
  </si>
  <si>
    <t xml:space="preserve">    其他输配电及控制设备制造</t>
  </si>
  <si>
    <t>1017</t>
  </si>
  <si>
    <t>2619.31</t>
  </si>
  <si>
    <t>281.89</t>
  </si>
  <si>
    <t>498.81</t>
  </si>
  <si>
    <t>189.04</t>
  </si>
  <si>
    <t>1684.56</t>
  </si>
  <si>
    <t>715.55</t>
  </si>
  <si>
    <t>255.80</t>
  </si>
  <si>
    <t>75.44</t>
  </si>
  <si>
    <t>1541.88</t>
  </si>
  <si>
    <t>1275.77</t>
  </si>
  <si>
    <t>578.89</t>
  </si>
  <si>
    <t>1073.93</t>
  </si>
  <si>
    <t>1800.58</t>
  </si>
  <si>
    <t>62.24</t>
  </si>
  <si>
    <t>16.17</t>
  </si>
  <si>
    <t xml:space="preserve">  电线、电缆、光缆及电工器材制造</t>
  </si>
  <si>
    <t>5280</t>
  </si>
  <si>
    <t>10870.28</t>
  </si>
  <si>
    <t>1469.56</t>
  </si>
  <si>
    <t>2993.16</t>
  </si>
  <si>
    <t>1381.73</t>
  </si>
  <si>
    <t>7430.31</t>
  </si>
  <si>
    <t>3145.82</t>
  </si>
  <si>
    <t>1312.21</t>
  </si>
  <si>
    <t>664.26</t>
  </si>
  <si>
    <t>5643.20</t>
  </si>
  <si>
    <t>4637.57</t>
  </si>
  <si>
    <t>1356.00</t>
  </si>
  <si>
    <t>5225.52</t>
  </si>
  <si>
    <t>2844.49</t>
  </si>
  <si>
    <t>107.93</t>
  </si>
  <si>
    <t>44.58</t>
  </si>
  <si>
    <t xml:space="preserve">    电线、电缆制造</t>
  </si>
  <si>
    <t>4292</t>
  </si>
  <si>
    <t>8006.98</t>
  </si>
  <si>
    <t>1044.58</t>
  </si>
  <si>
    <t>2151.47</t>
  </si>
  <si>
    <t>1022.87</t>
  </si>
  <si>
    <t>5848.42</t>
  </si>
  <si>
    <t>2551.70</t>
  </si>
  <si>
    <t>1077.12</t>
  </si>
  <si>
    <t>544.78</t>
  </si>
  <si>
    <t>4262.63</t>
  </si>
  <si>
    <t>3598.25</t>
  </si>
  <si>
    <t>1017.65</t>
  </si>
  <si>
    <t>3738.20</t>
  </si>
  <si>
    <t>2200.52</t>
  </si>
  <si>
    <t>90.02</t>
  </si>
  <si>
    <t>37.58</t>
  </si>
  <si>
    <t xml:space="preserve">    光纤制造</t>
  </si>
  <si>
    <t>184</t>
  </si>
  <si>
    <t>737.07</t>
  </si>
  <si>
    <t>195.21</t>
  </si>
  <si>
    <t>369.28</t>
  </si>
  <si>
    <t>152.01</t>
  </si>
  <si>
    <t>390.57</t>
  </si>
  <si>
    <t>174.78</t>
  </si>
  <si>
    <t>58.76</t>
  </si>
  <si>
    <t>25.85</t>
  </si>
  <si>
    <t>310.40</t>
  </si>
  <si>
    <t>243.36</t>
  </si>
  <si>
    <t>82.29</t>
  </si>
  <si>
    <t>431.77</t>
  </si>
  <si>
    <t>250.29</t>
  </si>
  <si>
    <t>10.97</t>
  </si>
  <si>
    <t xml:space="preserve">    光缆制造</t>
  </si>
  <si>
    <t>144</t>
  </si>
  <si>
    <t>1379.52</t>
  </si>
  <si>
    <t>86.56</t>
  </si>
  <si>
    <t>176.41</t>
  </si>
  <si>
    <t>711.14</t>
  </si>
  <si>
    <t>214.12</t>
  </si>
  <si>
    <t>92.41</t>
  </si>
  <si>
    <t>57.71</t>
  </si>
  <si>
    <t>720.36</t>
  </si>
  <si>
    <t>514.08</t>
  </si>
  <si>
    <t>144.02</t>
  </si>
  <si>
    <t>658.65</t>
  </si>
  <si>
    <t>216.00</t>
  </si>
  <si>
    <t xml:space="preserve">    绝缘制品制造</t>
  </si>
  <si>
    <t>417</t>
  </si>
  <si>
    <t>496.58</t>
  </si>
  <si>
    <t>98.01</t>
  </si>
  <si>
    <t>192.80</t>
  </si>
  <si>
    <t>83.00</t>
  </si>
  <si>
    <t>313.59</t>
  </si>
  <si>
    <t>135.33</t>
  </si>
  <si>
    <t>23.92</t>
  </si>
  <si>
    <t>234.03</t>
  </si>
  <si>
    <t>194.92</t>
  </si>
  <si>
    <t>75.52</t>
  </si>
  <si>
    <t>262.55</t>
  </si>
  <si>
    <t>117.28</t>
  </si>
  <si>
    <t xml:space="preserve">    其他电工器材制造</t>
  </si>
  <si>
    <t>243</t>
  </si>
  <si>
    <t>250.13</t>
  </si>
  <si>
    <t>45.20</t>
  </si>
  <si>
    <t>37.98</t>
  </si>
  <si>
    <t>166.59</t>
  </si>
  <si>
    <t>69.89</t>
  </si>
  <si>
    <t>12.00</t>
  </si>
  <si>
    <t>115.78</t>
  </si>
  <si>
    <t>86.97</t>
  </si>
  <si>
    <t>36.52</t>
  </si>
  <si>
    <t xml:space="preserve">  电池制造</t>
  </si>
  <si>
    <t>1844</t>
  </si>
  <si>
    <t>11966.21</t>
  </si>
  <si>
    <t>2298.27</t>
  </si>
  <si>
    <t>3649.49</t>
  </si>
  <si>
    <t>1256.47</t>
  </si>
  <si>
    <t>7092.56</t>
  </si>
  <si>
    <t>2135.18</t>
  </si>
  <si>
    <t>486.22</t>
  </si>
  <si>
    <t>6815.64</t>
  </si>
  <si>
    <t>5365.94</t>
  </si>
  <si>
    <t>2003.92</t>
  </si>
  <si>
    <t>5139.51</t>
  </si>
  <si>
    <t>2359.70</t>
  </si>
  <si>
    <t>153.58</t>
  </si>
  <si>
    <t>156.65</t>
  </si>
  <si>
    <t xml:space="preserve">    锂离子电池制造</t>
  </si>
  <si>
    <t>9075.75</t>
  </si>
  <si>
    <t>1805.31</t>
  </si>
  <si>
    <t>2768.28</t>
  </si>
  <si>
    <t>885.52</t>
  </si>
  <si>
    <t>5352.61</t>
  </si>
  <si>
    <t>1681.85</t>
  </si>
  <si>
    <t>919.07</t>
  </si>
  <si>
    <t>369.51</t>
  </si>
  <si>
    <t>5176.23</t>
  </si>
  <si>
    <t>4196.39</t>
  </si>
  <si>
    <t>1636.33</t>
  </si>
  <si>
    <t>3889.06</t>
  </si>
  <si>
    <t>1817.54</t>
  </si>
  <si>
    <t>108.41</t>
  </si>
  <si>
    <t>153.60</t>
  </si>
  <si>
    <t xml:space="preserve">    镍氢电池制造</t>
  </si>
  <si>
    <t>230.69</t>
  </si>
  <si>
    <t>43.14</t>
  </si>
  <si>
    <t>71.92</t>
  </si>
  <si>
    <t>136.64</t>
  </si>
  <si>
    <t>47.15</t>
  </si>
  <si>
    <t>32.35</t>
  </si>
  <si>
    <t>118.85</t>
  </si>
  <si>
    <t>86.21</t>
  </si>
  <si>
    <t>30.67</t>
  </si>
  <si>
    <t>53.42</t>
  </si>
  <si>
    <t xml:space="preserve">    铅蓄电池制造</t>
  </si>
  <si>
    <t>793.02</t>
  </si>
  <si>
    <t>171.12</t>
  </si>
  <si>
    <t>324.07</t>
  </si>
  <si>
    <t>146.81</t>
  </si>
  <si>
    <t>499.34</t>
  </si>
  <si>
    <t>130.03</t>
  </si>
  <si>
    <t>129.34</t>
  </si>
  <si>
    <t>38.24</t>
  </si>
  <si>
    <t>484.22</t>
  </si>
  <si>
    <t>403.62</t>
  </si>
  <si>
    <t>124.51</t>
  </si>
  <si>
    <t>308.80</t>
  </si>
  <si>
    <t>182.97</t>
  </si>
  <si>
    <t xml:space="preserve">    锌锰电池制造</t>
  </si>
  <si>
    <t>110.76</t>
  </si>
  <si>
    <t>24.69</t>
  </si>
  <si>
    <t>64.94</t>
  </si>
  <si>
    <t>20.61</t>
  </si>
  <si>
    <t>17.37</t>
  </si>
  <si>
    <t>59.31</t>
  </si>
  <si>
    <t>53.13</t>
  </si>
  <si>
    <t>20.54</t>
  </si>
  <si>
    <t>51.44</t>
  </si>
  <si>
    <t>29.46</t>
  </si>
  <si>
    <t xml:space="preserve">    其他电池制造</t>
  </si>
  <si>
    <t>298</t>
  </si>
  <si>
    <t>1755.99</t>
  </si>
  <si>
    <t>252.26</t>
  </si>
  <si>
    <t>433.67</t>
  </si>
  <si>
    <t>173.21</t>
  </si>
  <si>
    <t>1039.03</t>
  </si>
  <si>
    <t>255.55</t>
  </si>
  <si>
    <t>156.75</t>
  </si>
  <si>
    <t>54.38</t>
  </si>
  <si>
    <t>977.02</t>
  </si>
  <si>
    <t>626.59</t>
  </si>
  <si>
    <t>191.87</t>
  </si>
  <si>
    <t>778.36</t>
  </si>
  <si>
    <t>276.31</t>
  </si>
  <si>
    <t>35.21</t>
  </si>
  <si>
    <t>0.94</t>
  </si>
  <si>
    <t xml:space="preserve">  家用电力器具制造</t>
  </si>
  <si>
    <t>3459</t>
  </si>
  <si>
    <t>14457.98</t>
  </si>
  <si>
    <t>1657.98</t>
  </si>
  <si>
    <t>4088.70</t>
  </si>
  <si>
    <t>2366.36</t>
  </si>
  <si>
    <t>10353.78</t>
  </si>
  <si>
    <t>2388.63</t>
  </si>
  <si>
    <t>1450.13</t>
  </si>
  <si>
    <t>830.09</t>
  </si>
  <si>
    <t>8905.14</t>
  </si>
  <si>
    <t>7843.88</t>
  </si>
  <si>
    <t>3185.84</t>
  </si>
  <si>
    <t>5531.15</t>
  </si>
  <si>
    <t>1410.27</t>
  </si>
  <si>
    <t>36.73</t>
  </si>
  <si>
    <t xml:space="preserve">    家用制冷电器具制造</t>
  </si>
  <si>
    <t>218</t>
  </si>
  <si>
    <t>2089.72</t>
  </si>
  <si>
    <t>242.26</t>
  </si>
  <si>
    <t>526.63</t>
  </si>
  <si>
    <t>274.97</t>
  </si>
  <si>
    <t>1275.90</t>
  </si>
  <si>
    <t>423.01</t>
  </si>
  <si>
    <t>170.77</t>
  </si>
  <si>
    <t>118.82</t>
  </si>
  <si>
    <t>1283.85</t>
  </si>
  <si>
    <t>1201.55</t>
  </si>
  <si>
    <t>401.58</t>
  </si>
  <si>
    <t>805.68</t>
  </si>
  <si>
    <t>296.35</t>
  </si>
  <si>
    <t>10.92</t>
  </si>
  <si>
    <t xml:space="preserve">    家用空气调节器制造</t>
  </si>
  <si>
    <t>245</t>
  </si>
  <si>
    <t>7010.96</t>
  </si>
  <si>
    <t>676.50</t>
  </si>
  <si>
    <t>2106.03</t>
  </si>
  <si>
    <t>1420.76</t>
  </si>
  <si>
    <t>5159.94</t>
  </si>
  <si>
    <t>771.52</t>
  </si>
  <si>
    <t>559.95</t>
  </si>
  <si>
    <t>4561.43</t>
  </si>
  <si>
    <t>3820.83</t>
  </si>
  <si>
    <t>1545.79</t>
  </si>
  <si>
    <t>2449.53</t>
  </si>
  <si>
    <t>348.14</t>
  </si>
  <si>
    <t>20.35</t>
  </si>
  <si>
    <t xml:space="preserve">    家用通风电器具制造</t>
  </si>
  <si>
    <t>535.77</t>
  </si>
  <si>
    <t>180.24</t>
  </si>
  <si>
    <t>84.84</t>
  </si>
  <si>
    <t>371.02</t>
  </si>
  <si>
    <t>83.44</t>
  </si>
  <si>
    <t>76.29</t>
  </si>
  <si>
    <t>291.86</t>
  </si>
  <si>
    <t>276.02</t>
  </si>
  <si>
    <t>107.39</t>
  </si>
  <si>
    <t>243.87</t>
  </si>
  <si>
    <t>61.28</t>
  </si>
  <si>
    <t xml:space="preserve">    家用厨房电器具制造</t>
  </si>
  <si>
    <t>902</t>
  </si>
  <si>
    <t>1689.58</t>
  </si>
  <si>
    <t>222.47</t>
  </si>
  <si>
    <t>428.19</t>
  </si>
  <si>
    <t>198.40</t>
  </si>
  <si>
    <t>1213.25</t>
  </si>
  <si>
    <t>317.19</t>
  </si>
  <si>
    <t>240.75</t>
  </si>
  <si>
    <t>119.08</t>
  </si>
  <si>
    <t>955.40</t>
  </si>
  <si>
    <t>875.08</t>
  </si>
  <si>
    <t>356.09</t>
  </si>
  <si>
    <t>734.17</t>
  </si>
  <si>
    <t>252.06</t>
  </si>
  <si>
    <t>5.67</t>
  </si>
  <si>
    <t xml:space="preserve">    家用清洁卫生电器具制造</t>
  </si>
  <si>
    <t>1651.63</t>
  </si>
  <si>
    <t>178.02</t>
  </si>
  <si>
    <t>365.33</t>
  </si>
  <si>
    <t>163.81</t>
  </si>
  <si>
    <t>1285.69</t>
  </si>
  <si>
    <t>447.50</t>
  </si>
  <si>
    <t>166.91</t>
  </si>
  <si>
    <t>91.05</t>
  </si>
  <si>
    <t>964.08</t>
  </si>
  <si>
    <t>915.66</t>
  </si>
  <si>
    <t>411.41</t>
  </si>
  <si>
    <t>687.37</t>
  </si>
  <si>
    <t>179.92</t>
  </si>
  <si>
    <t xml:space="preserve">    家用美容、保健护理电器具制造</t>
  </si>
  <si>
    <t>454.65</t>
  </si>
  <si>
    <t>62.83</t>
  </si>
  <si>
    <t>119.28</t>
  </si>
  <si>
    <t>55.83</t>
  </si>
  <si>
    <t>331.36</t>
  </si>
  <si>
    <t>66.56</t>
  </si>
  <si>
    <t>240.70</t>
  </si>
  <si>
    <t>213.84</t>
  </si>
  <si>
    <t>114.33</t>
  </si>
  <si>
    <t>213.95</t>
  </si>
  <si>
    <t>95.98</t>
  </si>
  <si>
    <t xml:space="preserve">2-1 续表17
</t>
  </si>
  <si>
    <t xml:space="preserve">    家用电力器具专用配件制造</t>
  </si>
  <si>
    <t>568.95</t>
  </si>
  <si>
    <t>104.90</t>
  </si>
  <si>
    <t>207.03</t>
  </si>
  <si>
    <t>92.92</t>
  </si>
  <si>
    <t>391.50</t>
  </si>
  <si>
    <t>155.08</t>
  </si>
  <si>
    <t>32.40</t>
  </si>
  <si>
    <t>334.98</t>
  </si>
  <si>
    <t>213.92</t>
  </si>
  <si>
    <t>89.83</t>
  </si>
  <si>
    <t xml:space="preserve">    其他家用电力器具制造</t>
  </si>
  <si>
    <t>456.71</t>
  </si>
  <si>
    <t>155.97</t>
  </si>
  <si>
    <t>74.83</t>
  </si>
  <si>
    <t>325.12</t>
  </si>
  <si>
    <t>95.61</t>
  </si>
  <si>
    <t>89.73</t>
  </si>
  <si>
    <t>41.49</t>
  </si>
  <si>
    <t>272.84</t>
  </si>
  <si>
    <t>252.16</t>
  </si>
  <si>
    <t>120.12</t>
  </si>
  <si>
    <t>182.66</t>
  </si>
  <si>
    <t>86.72</t>
  </si>
  <si>
    <t>0.62</t>
  </si>
  <si>
    <t xml:space="preserve">  非电力家用器具制造</t>
  </si>
  <si>
    <t>567</t>
  </si>
  <si>
    <t>941.70</t>
  </si>
  <si>
    <t>113.56</t>
  </si>
  <si>
    <t>221.61</t>
  </si>
  <si>
    <t>98.58</t>
  </si>
  <si>
    <t>617.79</t>
  </si>
  <si>
    <t>264.35</t>
  </si>
  <si>
    <t>52.32</t>
  </si>
  <si>
    <t>473.89</t>
  </si>
  <si>
    <t>395.51</t>
  </si>
  <si>
    <t>138.15</t>
  </si>
  <si>
    <t>410.35</t>
  </si>
  <si>
    <t xml:space="preserve">    燃气及类似能源家用器具制造</t>
  </si>
  <si>
    <t>518.92</t>
  </si>
  <si>
    <t>58.74</t>
  </si>
  <si>
    <t>360.88</t>
  </si>
  <si>
    <t>147.81</t>
  </si>
  <si>
    <t>290.60</t>
  </si>
  <si>
    <t>262.12</t>
  </si>
  <si>
    <t>100.63</t>
  </si>
  <si>
    <t>92.11</t>
  </si>
  <si>
    <t xml:space="preserve">    太阳能器具制造</t>
  </si>
  <si>
    <t>319.06</t>
  </si>
  <si>
    <t>60.84</t>
  </si>
  <si>
    <t>24.18</t>
  </si>
  <si>
    <t>193.58</t>
  </si>
  <si>
    <t>89.90</t>
  </si>
  <si>
    <t>133.39</t>
  </si>
  <si>
    <t>89.49</t>
  </si>
  <si>
    <t>22.20</t>
  </si>
  <si>
    <t>129.16</t>
  </si>
  <si>
    <t>63.14</t>
  </si>
  <si>
    <t xml:space="preserve">    其他非电力家用器具制造</t>
  </si>
  <si>
    <t>20.98</t>
  </si>
  <si>
    <t>47.93</t>
  </si>
  <si>
    <t>24.04</t>
  </si>
  <si>
    <t>63.34</t>
  </si>
  <si>
    <t>26.64</t>
  </si>
  <si>
    <t>5.39</t>
  </si>
  <si>
    <t>43.91</t>
  </si>
  <si>
    <t>15.32</t>
  </si>
  <si>
    <t>17.88</t>
  </si>
  <si>
    <t xml:space="preserve">  照明器具制造</t>
  </si>
  <si>
    <t>2912</t>
  </si>
  <si>
    <t>3147.72</t>
  </si>
  <si>
    <t>535.42</t>
  </si>
  <si>
    <t>1063.64</t>
  </si>
  <si>
    <t>485.33</t>
  </si>
  <si>
    <t>2052.14</t>
  </si>
  <si>
    <t>651.48</t>
  </si>
  <si>
    <t>438.57</t>
  </si>
  <si>
    <t>177.40</t>
  </si>
  <si>
    <t>1570.53</t>
  </si>
  <si>
    <t>1353.06</t>
  </si>
  <si>
    <t>583.80</t>
  </si>
  <si>
    <t>1568.53</t>
  </si>
  <si>
    <t>661.41</t>
  </si>
  <si>
    <t xml:space="preserve">    电光源制造</t>
  </si>
  <si>
    <t>656.89</t>
  </si>
  <si>
    <t>105.53</t>
  </si>
  <si>
    <t>229.61</t>
  </si>
  <si>
    <t>107.79</t>
  </si>
  <si>
    <t>421.08</t>
  </si>
  <si>
    <t>131.78</t>
  </si>
  <si>
    <t>87.67</t>
  </si>
  <si>
    <t>321.08</t>
  </si>
  <si>
    <t>266.47</t>
  </si>
  <si>
    <t>118.87</t>
  </si>
  <si>
    <t>332.68</t>
  </si>
  <si>
    <t>135.36</t>
  </si>
  <si>
    <t>6.82</t>
  </si>
  <si>
    <t xml:space="preserve">    照明灯具制造</t>
  </si>
  <si>
    <t>1830</t>
  </si>
  <si>
    <t>1814.08</t>
  </si>
  <si>
    <t>304.59</t>
  </si>
  <si>
    <t>594.74</t>
  </si>
  <si>
    <t>268.97</t>
  </si>
  <si>
    <t>1189.71</t>
  </si>
  <si>
    <t>376.68</t>
  </si>
  <si>
    <t>260.83</t>
  </si>
  <si>
    <t>106.90</t>
  </si>
  <si>
    <t>923.31</t>
  </si>
  <si>
    <t>817.81</t>
  </si>
  <si>
    <t>360.36</t>
  </si>
  <si>
    <t>885.88</t>
  </si>
  <si>
    <t>383.50</t>
  </si>
  <si>
    <t xml:space="preserve">    舞台及场地用灯制造</t>
  </si>
  <si>
    <t>282.58</t>
  </si>
  <si>
    <t>58.62</t>
  </si>
  <si>
    <t>119.38</t>
  </si>
  <si>
    <t>58.59</t>
  </si>
  <si>
    <t>174.45</t>
  </si>
  <si>
    <t>49.53</t>
  </si>
  <si>
    <t>37.21</t>
  </si>
  <si>
    <t>138.54</t>
  </si>
  <si>
    <t>104.82</t>
  </si>
  <si>
    <t>143.40</t>
  </si>
  <si>
    <t xml:space="preserve">    智能照明器具制造</t>
  </si>
  <si>
    <t>193.69</t>
  </si>
  <si>
    <t>29.43</t>
  </si>
  <si>
    <t>48.84</t>
  </si>
  <si>
    <t>128.02</t>
  </si>
  <si>
    <t>42.97</t>
  </si>
  <si>
    <t>20.19</t>
  </si>
  <si>
    <t>82.84</t>
  </si>
  <si>
    <t>72.27</t>
  </si>
  <si>
    <t>30.88</t>
  </si>
  <si>
    <t>110.85</t>
  </si>
  <si>
    <t>45.02</t>
  </si>
  <si>
    <t xml:space="preserve">    灯用电器附件及其他照明器具制造</t>
  </si>
  <si>
    <t>200.47</t>
  </si>
  <si>
    <t>37.26</t>
  </si>
  <si>
    <t>71.08</t>
  </si>
  <si>
    <t>138.88</t>
  </si>
  <si>
    <t>50.52</t>
  </si>
  <si>
    <t>104.75</t>
  </si>
  <si>
    <t>95.72</t>
  </si>
  <si>
    <t>40.62</t>
  </si>
  <si>
    <t xml:space="preserve">  其他电气机械及器材制造</t>
  </si>
  <si>
    <t>610</t>
  </si>
  <si>
    <t>738.33</t>
  </si>
  <si>
    <t>93.80</t>
  </si>
  <si>
    <t>176.38</t>
  </si>
  <si>
    <t>65.83</t>
  </si>
  <si>
    <t>495.95</t>
  </si>
  <si>
    <t>200.75</t>
  </si>
  <si>
    <t>370.77</t>
  </si>
  <si>
    <t>334.37</t>
  </si>
  <si>
    <t>144.72</t>
  </si>
  <si>
    <t>367.51</t>
  </si>
  <si>
    <t>167.23</t>
  </si>
  <si>
    <t>24.38</t>
  </si>
  <si>
    <t xml:space="preserve">    电气信号设备装置制造</t>
  </si>
  <si>
    <t>313.86</t>
  </si>
  <si>
    <t>36.07</t>
  </si>
  <si>
    <t>195.59</t>
  </si>
  <si>
    <t>40.29</t>
  </si>
  <si>
    <t>16.13</t>
  </si>
  <si>
    <t>141.15</t>
  </si>
  <si>
    <t>128.14</t>
  </si>
  <si>
    <t>59.67</t>
  </si>
  <si>
    <t>172.64</t>
  </si>
  <si>
    <t>70.71</t>
  </si>
  <si>
    <t xml:space="preserve">    其他未列明电气机械及器材制造</t>
  </si>
  <si>
    <t>424.47</t>
  </si>
  <si>
    <t>57.73</t>
  </si>
  <si>
    <t>109.59</t>
  </si>
  <si>
    <t>37.56</t>
  </si>
  <si>
    <t>300.36</t>
  </si>
  <si>
    <t>114.55</t>
  </si>
  <si>
    <t>65.36</t>
  </si>
  <si>
    <t>229.62</t>
  </si>
  <si>
    <t>206.24</t>
  </si>
  <si>
    <t>85.05</t>
  </si>
  <si>
    <t>194.87</t>
  </si>
  <si>
    <t>96.52</t>
  </si>
  <si>
    <t>21.57</t>
  </si>
  <si>
    <t>计算机、通信和其他电子设备制造业</t>
  </si>
  <si>
    <t>20867</t>
  </si>
  <si>
    <t>129821.05</t>
  </si>
  <si>
    <t>22862.00</t>
  </si>
  <si>
    <t>45130.74</t>
  </si>
  <si>
    <t>21061.67</t>
  </si>
  <si>
    <t>83685.15</t>
  </si>
  <si>
    <t>30494.61</t>
  </si>
  <si>
    <t>14846.03</t>
  </si>
  <si>
    <t>4881.82</t>
  </si>
  <si>
    <t>73329.76</t>
  </si>
  <si>
    <t>60794.93</t>
  </si>
  <si>
    <t>29193.51</t>
  </si>
  <si>
    <t>56324.55</t>
  </si>
  <si>
    <t>27443.73</t>
  </si>
  <si>
    <t>2013.78</t>
  </si>
  <si>
    <t>292.13</t>
  </si>
  <si>
    <t xml:space="preserve">  计算机制造</t>
  </si>
  <si>
    <t>2242</t>
  </si>
  <si>
    <t>15840.30</t>
  </si>
  <si>
    <t>1257.89</t>
  </si>
  <si>
    <t>3728.68</t>
  </si>
  <si>
    <t>2196.67</t>
  </si>
  <si>
    <t>12122.32</t>
  </si>
  <si>
    <t>6076.76</t>
  </si>
  <si>
    <t>1881.67</t>
  </si>
  <si>
    <t>573.59</t>
  </si>
  <si>
    <t>10767.80</t>
  </si>
  <si>
    <t>10080.26</t>
  </si>
  <si>
    <t>6444.84</t>
  </si>
  <si>
    <t>5062.46</t>
  </si>
  <si>
    <t>1706.83</t>
  </si>
  <si>
    <t>87.42</t>
  </si>
  <si>
    <t xml:space="preserve">    计算机整机制造</t>
  </si>
  <si>
    <t>290</t>
  </si>
  <si>
    <t>8756.97</t>
  </si>
  <si>
    <t>399.50</t>
  </si>
  <si>
    <t>1745.57</t>
  </si>
  <si>
    <t>1108.68</t>
  </si>
  <si>
    <t>7437.10</t>
  </si>
  <si>
    <t>4215.04</t>
  </si>
  <si>
    <t>992.58</t>
  </si>
  <si>
    <t>258.95</t>
  </si>
  <si>
    <t>7331.95</t>
  </si>
  <si>
    <t>7213.79</t>
  </si>
  <si>
    <t>4852.40</t>
  </si>
  <si>
    <t>1425.02</t>
  </si>
  <si>
    <t xml:space="preserve">    计算机零部件制造</t>
  </si>
  <si>
    <t>875</t>
  </si>
  <si>
    <t>2899.24</t>
  </si>
  <si>
    <t>456.90</t>
  </si>
  <si>
    <t>1057.88</t>
  </si>
  <si>
    <t>581.20</t>
  </si>
  <si>
    <t>1933.60</t>
  </si>
  <si>
    <t>931.45</t>
  </si>
  <si>
    <t>358.82</t>
  </si>
  <si>
    <t>137.82</t>
  </si>
  <si>
    <t>1571.91</t>
  </si>
  <si>
    <t>1237.32</t>
  </si>
  <si>
    <t>740.64</t>
  </si>
  <si>
    <t>1323.73</t>
  </si>
  <si>
    <t>580.47</t>
  </si>
  <si>
    <t xml:space="preserve">    计算机外围设备制造</t>
  </si>
  <si>
    <t>686</t>
  </si>
  <si>
    <t>2333.17</t>
  </si>
  <si>
    <t>248.23</t>
  </si>
  <si>
    <t>587.52</t>
  </si>
  <si>
    <t>325.37</t>
  </si>
  <si>
    <t>1505.16</t>
  </si>
  <si>
    <t>285.84</t>
  </si>
  <si>
    <t>94.33</t>
  </si>
  <si>
    <t>1117.40</t>
  </si>
  <si>
    <t>979.86</t>
  </si>
  <si>
    <t>514.99</t>
  </si>
  <si>
    <t>1214.38</t>
  </si>
  <si>
    <t>435.86</t>
  </si>
  <si>
    <t>63.78</t>
  </si>
  <si>
    <t xml:space="preserve">    工业控制计算机及系统制造</t>
  </si>
  <si>
    <t>95</t>
  </si>
  <si>
    <t>265.16</t>
  </si>
  <si>
    <t>32.36</t>
  </si>
  <si>
    <t>52.95</t>
  </si>
  <si>
    <t>189.01</t>
  </si>
  <si>
    <t>44.91</t>
  </si>
  <si>
    <t>127.34</t>
  </si>
  <si>
    <t>87.86</t>
  </si>
  <si>
    <t>52.24</t>
  </si>
  <si>
    <t>137.81</t>
  </si>
  <si>
    <t>57.47</t>
  </si>
  <si>
    <t>2.15</t>
  </si>
  <si>
    <t xml:space="preserve">    信息安全设备制造</t>
  </si>
  <si>
    <t>250.81</t>
  </si>
  <si>
    <t>183.50</t>
  </si>
  <si>
    <t>41.47</t>
  </si>
  <si>
    <t>101.58</t>
  </si>
  <si>
    <t>98.90</t>
  </si>
  <si>
    <t>144.82</t>
  </si>
  <si>
    <t>33.09</t>
  </si>
  <si>
    <t xml:space="preserve">    其他计算机制造</t>
  </si>
  <si>
    <t>244</t>
  </si>
  <si>
    <t>1334.96</t>
  </si>
  <si>
    <t>262.48</t>
  </si>
  <si>
    <t>154.73</t>
  </si>
  <si>
    <t>873.96</t>
  </si>
  <si>
    <t>233.12</t>
  </si>
  <si>
    <t>173.89</t>
  </si>
  <si>
    <t>64.16</t>
  </si>
  <si>
    <t>517.62</t>
  </si>
  <si>
    <t>462.53</t>
  </si>
  <si>
    <t>242.00</t>
  </si>
  <si>
    <t>816.71</t>
  </si>
  <si>
    <t>194.08</t>
  </si>
  <si>
    <t xml:space="preserve">  通信设备制造</t>
  </si>
  <si>
    <t>2129</t>
  </si>
  <si>
    <t>34249.71</t>
  </si>
  <si>
    <t>2485.42</t>
  </si>
  <si>
    <t>4851.42</t>
  </si>
  <si>
    <t>2283.38</t>
  </si>
  <si>
    <t>27099.95</t>
  </si>
  <si>
    <t>9321.80</t>
  </si>
  <si>
    <t>5146.83</t>
  </si>
  <si>
    <t>1547.37</t>
  </si>
  <si>
    <t>22688.32</t>
  </si>
  <si>
    <t>19709.77</t>
  </si>
  <si>
    <t>9327.16</t>
  </si>
  <si>
    <t>11562.97</t>
  </si>
  <si>
    <t>3541.37</t>
  </si>
  <si>
    <t>138.61</t>
  </si>
  <si>
    <t>43.39</t>
  </si>
  <si>
    <t xml:space="preserve">    通信系统设备制造</t>
  </si>
  <si>
    <t>1038</t>
  </si>
  <si>
    <t>8829.18</t>
  </si>
  <si>
    <t>650.00</t>
  </si>
  <si>
    <t>1227.84</t>
  </si>
  <si>
    <t>552.63</t>
  </si>
  <si>
    <t>6644.63</t>
  </si>
  <si>
    <t>2366.14</t>
  </si>
  <si>
    <t>1288.19</t>
  </si>
  <si>
    <t>492.93</t>
  </si>
  <si>
    <t>5116.19</t>
  </si>
  <si>
    <t>4214.06</t>
  </si>
  <si>
    <t>1689.81</t>
  </si>
  <si>
    <t>3709.58</t>
  </si>
  <si>
    <t>1066.51</t>
  </si>
  <si>
    <t>93.58</t>
  </si>
  <si>
    <t xml:space="preserve">    通信终端设备制造</t>
  </si>
  <si>
    <t>1091</t>
  </si>
  <si>
    <t>25420.53</t>
  </si>
  <si>
    <t>1835.42</t>
  </si>
  <si>
    <t>3623.58</t>
  </si>
  <si>
    <t>1730.75</t>
  </si>
  <si>
    <t>20455.32</t>
  </si>
  <si>
    <t>6955.65</t>
  </si>
  <si>
    <t>3858.65</t>
  </si>
  <si>
    <t>1054.43</t>
  </si>
  <si>
    <t>17572.13</t>
  </si>
  <si>
    <t>15495.72</t>
  </si>
  <si>
    <t>7637.35</t>
  </si>
  <si>
    <t>7853.39</t>
  </si>
  <si>
    <t>2474.86</t>
  </si>
  <si>
    <t>28.98</t>
  </si>
  <si>
    <t xml:space="preserve">  广播电视设备制造</t>
  </si>
  <si>
    <t>604</t>
  </si>
  <si>
    <t>1923.11</t>
  </si>
  <si>
    <t>379.14</t>
  </si>
  <si>
    <t>690.11</t>
  </si>
  <si>
    <t>293.33</t>
  </si>
  <si>
    <t>1156.44</t>
  </si>
  <si>
    <t>446.21</t>
  </si>
  <si>
    <t>229.76</t>
  </si>
  <si>
    <t>81.81</t>
  </si>
  <si>
    <t>988.85</t>
  </si>
  <si>
    <t>813.36</t>
  </si>
  <si>
    <t>420.32</t>
  </si>
  <si>
    <t>933.60</t>
  </si>
  <si>
    <t>508.21</t>
  </si>
  <si>
    <t>158.05</t>
  </si>
  <si>
    <t xml:space="preserve">    广播电视节目制作及发射设备制造</t>
  </si>
  <si>
    <t>80.41</t>
  </si>
  <si>
    <t>13.57</t>
  </si>
  <si>
    <t>40.44</t>
  </si>
  <si>
    <t>15.23</t>
  </si>
  <si>
    <t>39.98</t>
  </si>
  <si>
    <t>25.27</t>
  </si>
  <si>
    <t xml:space="preserve">    广播电视接收设备制造</t>
  </si>
  <si>
    <t>227</t>
  </si>
  <si>
    <t>612.11</t>
  </si>
  <si>
    <t>107.65</t>
  </si>
  <si>
    <t>296.32</t>
  </si>
  <si>
    <t>182.45</t>
  </si>
  <si>
    <t>368.85</t>
  </si>
  <si>
    <t>139.20</t>
  </si>
  <si>
    <t>82.52</t>
  </si>
  <si>
    <t>31.01</t>
  </si>
  <si>
    <t>223.31</t>
  </si>
  <si>
    <t>200.54</t>
  </si>
  <si>
    <t>96.35</t>
  </si>
  <si>
    <t>388.40</t>
  </si>
  <si>
    <t>187.55</t>
  </si>
  <si>
    <t xml:space="preserve">    广播电视专用配件制造</t>
  </si>
  <si>
    <t>20.45</t>
  </si>
  <si>
    <t>44.59</t>
  </si>
  <si>
    <t>36.29</t>
  </si>
  <si>
    <t>15.11</t>
  </si>
  <si>
    <t>29.90</t>
  </si>
  <si>
    <t xml:space="preserve">    专业音响设备制造</t>
  </si>
  <si>
    <t>84</t>
  </si>
  <si>
    <t>198.92</t>
  </si>
  <si>
    <t>27.27</t>
  </si>
  <si>
    <t>43.58</t>
  </si>
  <si>
    <t>10.55</t>
  </si>
  <si>
    <t>81.14</t>
  </si>
  <si>
    <t>44.40</t>
  </si>
  <si>
    <t>20.90</t>
  </si>
  <si>
    <t>149.62</t>
  </si>
  <si>
    <t>136.49</t>
  </si>
  <si>
    <t>102.67</t>
  </si>
  <si>
    <t>49.30</t>
  </si>
  <si>
    <t>23.38</t>
  </si>
  <si>
    <t xml:space="preserve">    应用电视设备及其他广播电视设备制造</t>
  </si>
  <si>
    <t>207</t>
  </si>
  <si>
    <t>965.48</t>
  </si>
  <si>
    <t>225.01</t>
  </si>
  <si>
    <t>313.12</t>
  </si>
  <si>
    <t>83.02</t>
  </si>
  <si>
    <t>532.32</t>
  </si>
  <si>
    <t>188.39</t>
  </si>
  <si>
    <t>79.08</t>
  </si>
  <si>
    <t>24.78</t>
  </si>
  <si>
    <t>539.19</t>
  </si>
  <si>
    <t>407.90</t>
  </si>
  <si>
    <t>190.95</t>
  </si>
  <si>
    <t>426.03</t>
  </si>
  <si>
    <t>256.48</t>
  </si>
  <si>
    <t>146.74</t>
  </si>
  <si>
    <t xml:space="preserve">  雷达及配套设备制造</t>
  </si>
  <si>
    <t>975.91</t>
  </si>
  <si>
    <t>121.65</t>
  </si>
  <si>
    <t>220.02</t>
  </si>
  <si>
    <t>703.42</t>
  </si>
  <si>
    <t>155.83</t>
  </si>
  <si>
    <t>201.30</t>
  </si>
  <si>
    <t>38.84</t>
  </si>
  <si>
    <t>626.24</t>
  </si>
  <si>
    <t>489.67</t>
  </si>
  <si>
    <t>183.20</t>
  </si>
  <si>
    <t>349.67</t>
  </si>
  <si>
    <t>101.50</t>
  </si>
  <si>
    <t>58.88</t>
  </si>
  <si>
    <t xml:space="preserve">  非专业视听设备制造</t>
  </si>
  <si>
    <t>1146</t>
  </si>
  <si>
    <t>5388.42</t>
  </si>
  <si>
    <t>494.56</t>
  </si>
  <si>
    <t>1015.50</t>
  </si>
  <si>
    <t>489.17</t>
  </si>
  <si>
    <t>4013.46</t>
  </si>
  <si>
    <t>1417.62</t>
  </si>
  <si>
    <t>823.95</t>
  </si>
  <si>
    <t>301.37</t>
  </si>
  <si>
    <t>3488.75</t>
  </si>
  <si>
    <t>3053.97</t>
  </si>
  <si>
    <t>1481.82</t>
  </si>
  <si>
    <t>1901.11</t>
  </si>
  <si>
    <t>800.55</t>
  </si>
  <si>
    <t>49.97</t>
  </si>
  <si>
    <t xml:space="preserve">    电视机制造</t>
  </si>
  <si>
    <t>3454.22</t>
  </si>
  <si>
    <t>258.05</t>
  </si>
  <si>
    <t>506.17</t>
  </si>
  <si>
    <t>235.13</t>
  </si>
  <si>
    <t>2561.67</t>
  </si>
  <si>
    <t>809.44</t>
  </si>
  <si>
    <t>505.98</t>
  </si>
  <si>
    <t>187.81</t>
  </si>
  <si>
    <t>2357.59</t>
  </si>
  <si>
    <t>2119.55</t>
  </si>
  <si>
    <t>890.27</t>
  </si>
  <si>
    <t>1108.55</t>
  </si>
  <si>
    <t>450.27</t>
  </si>
  <si>
    <t>38.27</t>
  </si>
  <si>
    <t xml:space="preserve">    音响设备制造</t>
  </si>
  <si>
    <t>714</t>
  </si>
  <si>
    <t>1087.57</t>
  </si>
  <si>
    <t>158.24</t>
  </si>
  <si>
    <t>331.65</t>
  </si>
  <si>
    <t>168.11</t>
  </si>
  <si>
    <t>789.35</t>
  </si>
  <si>
    <t>315.74</t>
  </si>
  <si>
    <t>176.85</t>
  </si>
  <si>
    <t>63.77</t>
  </si>
  <si>
    <t>593.03</t>
  </si>
  <si>
    <t>528.13</t>
  </si>
  <si>
    <t>318.39</t>
  </si>
  <si>
    <t>493.15</t>
  </si>
  <si>
    <t>197.86</t>
  </si>
  <si>
    <t>8.20</t>
  </si>
  <si>
    <t>3.53</t>
  </si>
  <si>
    <t xml:space="preserve">    影视录放设备制造</t>
  </si>
  <si>
    <t>846.63</t>
  </si>
  <si>
    <t>78.27</t>
  </si>
  <si>
    <t>177.68</t>
  </si>
  <si>
    <t>85.93</t>
  </si>
  <si>
    <t>662.44</t>
  </si>
  <si>
    <t>292.44</t>
  </si>
  <si>
    <t>141.13</t>
  </si>
  <si>
    <t>49.78</t>
  </si>
  <si>
    <t>538.13</t>
  </si>
  <si>
    <t>406.29</t>
  </si>
  <si>
    <t>273.17</t>
  </si>
  <si>
    <t>299.41</t>
  </si>
  <si>
    <t xml:space="preserve">  智能消费设备制造</t>
  </si>
  <si>
    <t>1122</t>
  </si>
  <si>
    <t>4868.13</t>
  </si>
  <si>
    <t>649.00</t>
  </si>
  <si>
    <t>1307.22</t>
  </si>
  <si>
    <t>605.18</t>
  </si>
  <si>
    <t>3477.89</t>
  </si>
  <si>
    <t>1371.07</t>
  </si>
  <si>
    <t>568.71</t>
  </si>
  <si>
    <t>2907.55</t>
  </si>
  <si>
    <t>2636.12</t>
  </si>
  <si>
    <t>1260.02</t>
  </si>
  <si>
    <t>1960.09</t>
  </si>
  <si>
    <t>782.57</t>
  </si>
  <si>
    <t>90.05</t>
  </si>
  <si>
    <t xml:space="preserve">    可穿戴智能设备制造</t>
  </si>
  <si>
    <t>138</t>
  </si>
  <si>
    <t>822.88</t>
  </si>
  <si>
    <t>132.05</t>
  </si>
  <si>
    <t>189.25</t>
  </si>
  <si>
    <t>639.93</t>
  </si>
  <si>
    <t>352.30</t>
  </si>
  <si>
    <t>94.95</t>
  </si>
  <si>
    <t>33.58</t>
  </si>
  <si>
    <t>577.75</t>
  </si>
  <si>
    <t>510.06</t>
  </si>
  <si>
    <t>244.91</t>
  </si>
  <si>
    <t xml:space="preserve">    智能车载设备制造</t>
  </si>
  <si>
    <t>199</t>
  </si>
  <si>
    <t>724.14</t>
  </si>
  <si>
    <t>104.70</t>
  </si>
  <si>
    <t>222.01</t>
  </si>
  <si>
    <t>71.96</t>
  </si>
  <si>
    <t>441.01</t>
  </si>
  <si>
    <t>181.53</t>
  </si>
  <si>
    <t>91.65</t>
  </si>
  <si>
    <t>355.26</t>
  </si>
  <si>
    <t>304.23</t>
  </si>
  <si>
    <t>111.01</t>
  </si>
  <si>
    <t>368.88</t>
  </si>
  <si>
    <t>158.55</t>
  </si>
  <si>
    <t>69.00</t>
  </si>
  <si>
    <t xml:space="preserve">    智能无人飞行器制造</t>
  </si>
  <si>
    <t>66</t>
  </si>
  <si>
    <t>264.27</t>
  </si>
  <si>
    <t>13.15</t>
  </si>
  <si>
    <t>28.73</t>
  </si>
  <si>
    <t>190.96</t>
  </si>
  <si>
    <t>71.93</t>
  </si>
  <si>
    <t>52.80</t>
  </si>
  <si>
    <t>150.58</t>
  </si>
  <si>
    <t>130.90</t>
  </si>
  <si>
    <t>88.13</t>
  </si>
  <si>
    <t>113.70</t>
  </si>
  <si>
    <t>29.12</t>
  </si>
  <si>
    <t xml:space="preserve">    服务消费机器人制造</t>
  </si>
  <si>
    <t>161.22</t>
  </si>
  <si>
    <t>94.21</t>
  </si>
  <si>
    <t>87.73</t>
  </si>
  <si>
    <t xml:space="preserve">    其他智能消费设备制造</t>
  </si>
  <si>
    <t>653</t>
  </si>
  <si>
    <t>2895.62</t>
  </si>
  <si>
    <t>385.21</t>
  </si>
  <si>
    <t>849.26</t>
  </si>
  <si>
    <t>459.27</t>
  </si>
  <si>
    <t>2085.52</t>
  </si>
  <si>
    <t>728.59</t>
  </si>
  <si>
    <t>313.18</t>
  </si>
  <si>
    <t>124.53</t>
  </si>
  <si>
    <t>1729.75</t>
  </si>
  <si>
    <t>1603.20</t>
  </si>
  <si>
    <t>653.92</t>
  </si>
  <si>
    <t>1165.78</t>
  </si>
  <si>
    <t>471.68</t>
  </si>
  <si>
    <t xml:space="preserve">2-1 续表18
</t>
  </si>
  <si>
    <t xml:space="preserve">  电子器件制造</t>
  </si>
  <si>
    <t>4761</t>
  </si>
  <si>
    <t>39652.87</t>
  </si>
  <si>
    <t>11755.11</t>
  </si>
  <si>
    <t>22274.89</t>
  </si>
  <si>
    <t>10198.39</t>
  </si>
  <si>
    <t>19117.28</t>
  </si>
  <si>
    <t>5521.20</t>
  </si>
  <si>
    <t>3081.82</t>
  </si>
  <si>
    <t>1003.25</t>
  </si>
  <si>
    <t>18995.74</t>
  </si>
  <si>
    <t>13491.52</t>
  </si>
  <si>
    <t>5145.80</t>
  </si>
  <si>
    <t>20627.60</t>
  </si>
  <si>
    <t>14010.26</t>
  </si>
  <si>
    <t>1179.72</t>
  </si>
  <si>
    <t>165.40</t>
  </si>
  <si>
    <t xml:space="preserve">    电子真空器件制造</t>
  </si>
  <si>
    <t>489</t>
  </si>
  <si>
    <t>1022.65</t>
  </si>
  <si>
    <t>146.79</t>
  </si>
  <si>
    <t>303.95</t>
  </si>
  <si>
    <t>150.93</t>
  </si>
  <si>
    <t>696.08</t>
  </si>
  <si>
    <t>273.82</t>
  </si>
  <si>
    <t>97.24</t>
  </si>
  <si>
    <t>38.60</t>
  </si>
  <si>
    <t>460.39</t>
  </si>
  <si>
    <t>400.50</t>
  </si>
  <si>
    <t>210.22</t>
  </si>
  <si>
    <t>554.97</t>
  </si>
  <si>
    <t>210.43</t>
  </si>
  <si>
    <t>2.23</t>
  </si>
  <si>
    <t xml:space="preserve">    半导体分立器件制造</t>
  </si>
  <si>
    <t>423</t>
  </si>
  <si>
    <t>1543.53</t>
  </si>
  <si>
    <t>927.69</t>
  </si>
  <si>
    <t>527.06</t>
  </si>
  <si>
    <t>840.43</t>
  </si>
  <si>
    <t>261.06</t>
  </si>
  <si>
    <t>175.07</t>
  </si>
  <si>
    <t>62.76</t>
  </si>
  <si>
    <t>631.15</t>
  </si>
  <si>
    <t>508.80</t>
  </si>
  <si>
    <t>910.55</t>
  </si>
  <si>
    <t>486.95</t>
  </si>
  <si>
    <t>35.90</t>
  </si>
  <si>
    <t xml:space="preserve">    集成电路制造</t>
  </si>
  <si>
    <t>860</t>
  </si>
  <si>
    <t>14524.43</t>
  </si>
  <si>
    <t>4564.85</t>
  </si>
  <si>
    <t>9259.25</t>
  </si>
  <si>
    <t>4610.65</t>
  </si>
  <si>
    <t>6890.40</t>
  </si>
  <si>
    <t>1183.22</t>
  </si>
  <si>
    <t>915.84</t>
  </si>
  <si>
    <t>218.82</t>
  </si>
  <si>
    <t>6514.64</t>
  </si>
  <si>
    <t>4573.07</t>
  </si>
  <si>
    <t>1160.77</t>
  </si>
  <si>
    <t>8007.33</t>
  </si>
  <si>
    <t>5358.66</t>
  </si>
  <si>
    <t>475.40</t>
  </si>
  <si>
    <t xml:space="preserve">    显示器件制造</t>
  </si>
  <si>
    <t>993</t>
  </si>
  <si>
    <t>12863.74</t>
  </si>
  <si>
    <t>4354.41</t>
  </si>
  <si>
    <t>7893.65</t>
  </si>
  <si>
    <t>3374.50</t>
  </si>
  <si>
    <t>5647.32</t>
  </si>
  <si>
    <t>2090.54</t>
  </si>
  <si>
    <t>920.98</t>
  </si>
  <si>
    <t>6510.94</t>
  </si>
  <si>
    <t>4386.36</t>
  </si>
  <si>
    <t>2008.34</t>
  </si>
  <si>
    <t>6349.43</t>
  </si>
  <si>
    <t>4909.96</t>
  </si>
  <si>
    <t>539.41</t>
  </si>
  <si>
    <t xml:space="preserve">    半导体照明器件制造</t>
  </si>
  <si>
    <t>392</t>
  </si>
  <si>
    <t>2894.52</t>
  </si>
  <si>
    <t>710.92</t>
  </si>
  <si>
    <t>590.06</t>
  </si>
  <si>
    <t>1144.12</t>
  </si>
  <si>
    <t>349.91</t>
  </si>
  <si>
    <t>78.73</t>
  </si>
  <si>
    <t>1368.15</t>
  </si>
  <si>
    <t>889.62</t>
  </si>
  <si>
    <t>311.61</t>
  </si>
  <si>
    <t>1521.63</t>
  </si>
  <si>
    <t>1195.31</t>
  </si>
  <si>
    <t>31.48</t>
  </si>
  <si>
    <t xml:space="preserve">    光电子器件制造</t>
  </si>
  <si>
    <t>862</t>
  </si>
  <si>
    <t>4512.27</t>
  </si>
  <si>
    <t>1096.58</t>
  </si>
  <si>
    <t>1698.50</t>
  </si>
  <si>
    <t>574.82</t>
  </si>
  <si>
    <t>2444.49</t>
  </si>
  <si>
    <t>844.88</t>
  </si>
  <si>
    <t>464.28</t>
  </si>
  <si>
    <t>172.26</t>
  </si>
  <si>
    <t>2289.08</t>
  </si>
  <si>
    <t>1691.31</t>
  </si>
  <si>
    <t>681.50</t>
  </si>
  <si>
    <t>2214.63</t>
  </si>
  <si>
    <t>1331.65</t>
  </si>
  <si>
    <t xml:space="preserve">    其他电子器件制造</t>
  </si>
  <si>
    <t>2291.74</t>
  </si>
  <si>
    <t>488.09</t>
  </si>
  <si>
    <t>878.80</t>
  </si>
  <si>
    <t>370.39</t>
  </si>
  <si>
    <t>1454.45</t>
  </si>
  <si>
    <t>517.77</t>
  </si>
  <si>
    <t>348.17</t>
  </si>
  <si>
    <t>95.85</t>
  </si>
  <si>
    <t>1221.40</t>
  </si>
  <si>
    <t>1041.87</t>
  </si>
  <si>
    <t>522.55</t>
  </si>
  <si>
    <t>1069.05</t>
  </si>
  <si>
    <t>517.30</t>
  </si>
  <si>
    <t>35.94</t>
  </si>
  <si>
    <t xml:space="preserve">  电子元件及电子专用材料制造</t>
  </si>
  <si>
    <t>7347</t>
  </si>
  <si>
    <t>22416.85</t>
  </si>
  <si>
    <t>4881.99</t>
  </si>
  <si>
    <t>9809.18</t>
  </si>
  <si>
    <t>4545.80</t>
  </si>
  <si>
    <t>13251.09</t>
  </si>
  <si>
    <t>5198.39</t>
  </si>
  <si>
    <t>2418.07</t>
  </si>
  <si>
    <t>919.03</t>
  </si>
  <si>
    <t>10498.34</t>
  </si>
  <si>
    <t>8671.94</t>
  </si>
  <si>
    <t>4044.46</t>
  </si>
  <si>
    <t>11796.21</t>
  </si>
  <si>
    <t>5141.98</t>
  </si>
  <si>
    <t>219.50</t>
  </si>
  <si>
    <t>52.55</t>
  </si>
  <si>
    <t xml:space="preserve">    电阻电容电感元件制造</t>
  </si>
  <si>
    <t>1205</t>
  </si>
  <si>
    <t>2720.07</t>
  </si>
  <si>
    <t>609.78</t>
  </si>
  <si>
    <t>1309.85</t>
  </si>
  <si>
    <t>655.92</t>
  </si>
  <si>
    <t>1590.89</t>
  </si>
  <si>
    <t>565.58</t>
  </si>
  <si>
    <t>327.65</t>
  </si>
  <si>
    <t>131.59</t>
  </si>
  <si>
    <t>1182.76</t>
  </si>
  <si>
    <t>945.78</t>
  </si>
  <si>
    <t>414.50</t>
  </si>
  <si>
    <t>1529.56</t>
  </si>
  <si>
    <t>624.87</t>
  </si>
  <si>
    <t>37.05</t>
  </si>
  <si>
    <t>11.47</t>
  </si>
  <si>
    <t xml:space="preserve">    电子电路制造</t>
  </si>
  <si>
    <t>5440.52</t>
  </si>
  <si>
    <t>1402.52</t>
  </si>
  <si>
    <t>2883.43</t>
  </si>
  <si>
    <t>1454.04</t>
  </si>
  <si>
    <t>3089.85</t>
  </si>
  <si>
    <t>1373.91</t>
  </si>
  <si>
    <t>548.55</t>
  </si>
  <si>
    <t>193.44</t>
  </si>
  <si>
    <t>2637.44</t>
  </si>
  <si>
    <t>2237.99</t>
  </si>
  <si>
    <t>1136.63</t>
  </si>
  <si>
    <t>2798.67</t>
  </si>
  <si>
    <t>1387.89</t>
  </si>
  <si>
    <t>9.07</t>
  </si>
  <si>
    <t xml:space="preserve">    敏感元件及传感器制造</t>
  </si>
  <si>
    <t>364</t>
  </si>
  <si>
    <t>883.61</t>
  </si>
  <si>
    <t>141.22</t>
  </si>
  <si>
    <t>280.23</t>
  </si>
  <si>
    <t>136.11</t>
  </si>
  <si>
    <t>600.85</t>
  </si>
  <si>
    <t>193.96</t>
  </si>
  <si>
    <t>398.43</t>
  </si>
  <si>
    <t>329.26</t>
  </si>
  <si>
    <t>148.38</t>
  </si>
  <si>
    <t>484.77</t>
  </si>
  <si>
    <t>221.99</t>
  </si>
  <si>
    <t xml:space="preserve">    电声器件及零件制造</t>
  </si>
  <si>
    <t>350</t>
  </si>
  <si>
    <t>977.19</t>
  </si>
  <si>
    <t>209.25</t>
  </si>
  <si>
    <t>357.74</t>
  </si>
  <si>
    <t>145.51</t>
  </si>
  <si>
    <t>591.89</t>
  </si>
  <si>
    <t>88.96</t>
  </si>
  <si>
    <t>40.75</t>
  </si>
  <si>
    <t>559.16</t>
  </si>
  <si>
    <t>465.94</t>
  </si>
  <si>
    <t>251.94</t>
  </si>
  <si>
    <t>417.49</t>
  </si>
  <si>
    <t>130.04</t>
  </si>
  <si>
    <t xml:space="preserve">    电子专用材料制造</t>
  </si>
  <si>
    <t>1374</t>
  </si>
  <si>
    <t>6641.54</t>
  </si>
  <si>
    <t>1509.31</t>
  </si>
  <si>
    <t>2758.61</t>
  </si>
  <si>
    <t>1010.59</t>
  </si>
  <si>
    <t>3444.17</t>
  </si>
  <si>
    <t>1141.21</t>
  </si>
  <si>
    <t>583.39</t>
  </si>
  <si>
    <t>202.81</t>
  </si>
  <si>
    <t>3060.80</t>
  </si>
  <si>
    <t>2407.66</t>
  </si>
  <si>
    <t>871.44</t>
  </si>
  <si>
    <t>3476.18</t>
  </si>
  <si>
    <t>1633.36</t>
  </si>
  <si>
    <t>105.55</t>
  </si>
  <si>
    <t>9.08</t>
  </si>
  <si>
    <t xml:space="preserve">    其他电子元件制造</t>
  </si>
  <si>
    <t>2514</t>
  </si>
  <si>
    <t>5753.92</t>
  </si>
  <si>
    <t>1009.91</t>
  </si>
  <si>
    <t>2219.31</t>
  </si>
  <si>
    <t>1143.64</t>
  </si>
  <si>
    <t>3933.44</t>
  </si>
  <si>
    <t>1614.29</t>
  </si>
  <si>
    <t>751.25</t>
  </si>
  <si>
    <t>294.19</t>
  </si>
  <si>
    <t>2659.75</t>
  </si>
  <si>
    <t>2285.32</t>
  </si>
  <si>
    <t>1221.58</t>
  </si>
  <si>
    <t>3089.53</t>
  </si>
  <si>
    <t>1143.82</t>
  </si>
  <si>
    <t>8.23</t>
  </si>
  <si>
    <t xml:space="preserve">  其他电子设备制造</t>
  </si>
  <si>
    <t>4505.74</t>
  </si>
  <si>
    <t>837.24</t>
  </si>
  <si>
    <t>1233.73</t>
  </si>
  <si>
    <t>354.06</t>
  </si>
  <si>
    <t>2743.28</t>
  </si>
  <si>
    <t>985.73</t>
  </si>
  <si>
    <t>493.91</t>
  </si>
  <si>
    <t>194.98</t>
  </si>
  <si>
    <t>2368.16</t>
  </si>
  <si>
    <t>1848.31</t>
  </si>
  <si>
    <t>885.89</t>
  </si>
  <si>
    <t>2130.84</t>
  </si>
  <si>
    <t>850.47</t>
  </si>
  <si>
    <t>31.56</t>
  </si>
  <si>
    <t>10.30</t>
  </si>
  <si>
    <t>仪器仪表制造业</t>
  </si>
  <si>
    <t>5289</t>
  </si>
  <si>
    <t>11608.21</t>
  </si>
  <si>
    <t>1340.18</t>
  </si>
  <si>
    <t>2529.40</t>
  </si>
  <si>
    <t>1117.46</t>
  </si>
  <si>
    <t>7950.23</t>
  </si>
  <si>
    <t>2459.53</t>
  </si>
  <si>
    <t>1603.97</t>
  </si>
  <si>
    <t>528.60</t>
  </si>
  <si>
    <t>5282.49</t>
  </si>
  <si>
    <t>4568.28</t>
  </si>
  <si>
    <t>1834.93</t>
  </si>
  <si>
    <t>6301.12</t>
  </si>
  <si>
    <t>2073.39</t>
  </si>
  <si>
    <t>144.42</t>
  </si>
  <si>
    <t>21.97</t>
  </si>
  <si>
    <t xml:space="preserve">  通用仪器仪表制造</t>
  </si>
  <si>
    <t>3237</t>
  </si>
  <si>
    <t>7451.48</t>
  </si>
  <si>
    <t>765.22</t>
  </si>
  <si>
    <t>1391.64</t>
  </si>
  <si>
    <t>584.57</t>
  </si>
  <si>
    <t>5095.76</t>
  </si>
  <si>
    <t>1631.46</t>
  </si>
  <si>
    <t>1000.09</t>
  </si>
  <si>
    <t>320.11</t>
  </si>
  <si>
    <t>3423.35</t>
  </si>
  <si>
    <t>2973.08</t>
  </si>
  <si>
    <t>1201.68</t>
  </si>
  <si>
    <t>4026.11</t>
  </si>
  <si>
    <t>1339.63</t>
  </si>
  <si>
    <t>13.48</t>
  </si>
  <si>
    <t xml:space="preserve">    工业自动控制系统装置制造</t>
  </si>
  <si>
    <t>1816</t>
  </si>
  <si>
    <t>4031.47</t>
  </si>
  <si>
    <t>457.22</t>
  </si>
  <si>
    <t>822.18</t>
  </si>
  <si>
    <t>352.63</t>
  </si>
  <si>
    <t>2875.82</t>
  </si>
  <si>
    <t>930.12</t>
  </si>
  <si>
    <t>631.32</t>
  </si>
  <si>
    <t>195.50</t>
  </si>
  <si>
    <t>1928.53</t>
  </si>
  <si>
    <t>1676.53</t>
  </si>
  <si>
    <t>702.92</t>
  </si>
  <si>
    <t>2102.12</t>
  </si>
  <si>
    <t>747.45</t>
  </si>
  <si>
    <t>51.62</t>
  </si>
  <si>
    <t xml:space="preserve">    电工仪器仪表制造</t>
  </si>
  <si>
    <t>436</t>
  </si>
  <si>
    <t>1563.73</t>
  </si>
  <si>
    <t>111.65</t>
  </si>
  <si>
    <t>186.69</t>
  </si>
  <si>
    <t>73.26</t>
  </si>
  <si>
    <t>980.24</t>
  </si>
  <si>
    <t>303.72</t>
  </si>
  <si>
    <t>137.65</t>
  </si>
  <si>
    <t>40.87</t>
  </si>
  <si>
    <t>713.70</t>
  </si>
  <si>
    <t>648.17</t>
  </si>
  <si>
    <t>250.59</t>
  </si>
  <si>
    <t>849.83</t>
  </si>
  <si>
    <t>273.67</t>
  </si>
  <si>
    <t>38.47</t>
  </si>
  <si>
    <t xml:space="preserve">    绘图、计算及测量仪器制造</t>
  </si>
  <si>
    <t>190.50</t>
  </si>
  <si>
    <t>36.37</t>
  </si>
  <si>
    <t>117.23</t>
  </si>
  <si>
    <t>32.60</t>
  </si>
  <si>
    <t>11.70</t>
  </si>
  <si>
    <t>81.34</t>
  </si>
  <si>
    <t>63.88</t>
  </si>
  <si>
    <t>22.24</t>
  </si>
  <si>
    <t>108.16</t>
  </si>
  <si>
    <t>33.55</t>
  </si>
  <si>
    <t xml:space="preserve">    实验分析仪器制造</t>
  </si>
  <si>
    <t>377.42</t>
  </si>
  <si>
    <t>38.55</t>
  </si>
  <si>
    <t>73.24</t>
  </si>
  <si>
    <t>30.80</t>
  </si>
  <si>
    <t>284.74</t>
  </si>
  <si>
    <t>67.00</t>
  </si>
  <si>
    <t>54.87</t>
  </si>
  <si>
    <t>17.80</t>
  </si>
  <si>
    <t>131.28</t>
  </si>
  <si>
    <t>46.82</t>
  </si>
  <si>
    <t>226.66</t>
  </si>
  <si>
    <t>64.07</t>
  </si>
  <si>
    <t xml:space="preserve">    试验机制造</t>
  </si>
  <si>
    <t>145</t>
  </si>
  <si>
    <t>237.11</t>
  </si>
  <si>
    <t>38.07</t>
  </si>
  <si>
    <t>173.77</t>
  </si>
  <si>
    <t>42.20</t>
  </si>
  <si>
    <t>11.08</t>
  </si>
  <si>
    <t>102.65</t>
  </si>
  <si>
    <t>89.17</t>
  </si>
  <si>
    <t>134.46</t>
  </si>
  <si>
    <t xml:space="preserve">    供应用仪器仪表制造</t>
  </si>
  <si>
    <t>102.03</t>
  </si>
  <si>
    <t>159.54</t>
  </si>
  <si>
    <t>26.68</t>
  </si>
  <si>
    <t>273.96</t>
  </si>
  <si>
    <t>212.42</t>
  </si>
  <si>
    <t>88.86</t>
  </si>
  <si>
    <t>417.07</t>
  </si>
  <si>
    <t>3.11</t>
  </si>
  <si>
    <t xml:space="preserve">    其他通用仪器制造</t>
  </si>
  <si>
    <t>177</t>
  </si>
  <si>
    <t>360.22</t>
  </si>
  <si>
    <t>49.70</t>
  </si>
  <si>
    <t>91.14</t>
  </si>
  <si>
    <t>37.77</t>
  </si>
  <si>
    <t>244.15</t>
  </si>
  <si>
    <t>82.22</t>
  </si>
  <si>
    <t>40.09</t>
  </si>
  <si>
    <t>16.48</t>
  </si>
  <si>
    <t>172.42</t>
  </si>
  <si>
    <t>151.64</t>
  </si>
  <si>
    <t>56.66</t>
  </si>
  <si>
    <t>187.80</t>
  </si>
  <si>
    <t>65.64</t>
  </si>
  <si>
    <t>0.68</t>
  </si>
  <si>
    <t xml:space="preserve">  专用仪器仪表制造</t>
  </si>
  <si>
    <t>996</t>
  </si>
  <si>
    <t>2214.30</t>
  </si>
  <si>
    <t>239.13</t>
  </si>
  <si>
    <t>465.17</t>
  </si>
  <si>
    <t>217.45</t>
  </si>
  <si>
    <t>449.26</t>
  </si>
  <si>
    <t>339.06</t>
  </si>
  <si>
    <t>119.06</t>
  </si>
  <si>
    <t>981.44</t>
  </si>
  <si>
    <t>848.25</t>
  </si>
  <si>
    <t>301.99</t>
  </si>
  <si>
    <t>1212.20</t>
  </si>
  <si>
    <t>371.50</t>
  </si>
  <si>
    <t xml:space="preserve">    环境监测专用仪器仪表制造</t>
  </si>
  <si>
    <t>363.38</t>
  </si>
  <si>
    <t>48.61</t>
  </si>
  <si>
    <t>18.71</t>
  </si>
  <si>
    <t>256.43</t>
  </si>
  <si>
    <t>79.15</t>
  </si>
  <si>
    <t>17.08</t>
  </si>
  <si>
    <t>136.45</t>
  </si>
  <si>
    <t>47.48</t>
  </si>
  <si>
    <t>212.78</t>
  </si>
  <si>
    <t>69.26</t>
  </si>
  <si>
    <t>1.13</t>
  </si>
  <si>
    <t xml:space="preserve">    运输设备及生产用计数仪表制造</t>
  </si>
  <si>
    <t>147.88</t>
  </si>
  <si>
    <t>74.91</t>
  </si>
  <si>
    <t>235.20</t>
  </si>
  <si>
    <t>49.94</t>
  </si>
  <si>
    <t>22.16</t>
  </si>
  <si>
    <t>187.48</t>
  </si>
  <si>
    <t>156.51</t>
  </si>
  <si>
    <t>189.09</t>
  </si>
  <si>
    <t xml:space="preserve">    导航、测绘、气象及海洋专用仪器制造</t>
  </si>
  <si>
    <t>283.81</t>
  </si>
  <si>
    <t>63.53</t>
  </si>
  <si>
    <t>197.62</t>
  </si>
  <si>
    <t>56.20</t>
  </si>
  <si>
    <t>141.95</t>
  </si>
  <si>
    <t>116.87</t>
  </si>
  <si>
    <t>141.86</t>
  </si>
  <si>
    <t xml:space="preserve">    农林牧渔专用仪器仪表制造</t>
  </si>
  <si>
    <t>11.97</t>
  </si>
  <si>
    <t>4.02</t>
  </si>
  <si>
    <t>32.16</t>
  </si>
  <si>
    <t>16.72</t>
  </si>
  <si>
    <t>8.77</t>
  </si>
  <si>
    <t>0.80</t>
  </si>
  <si>
    <t xml:space="preserve">    地质勘探和地震专用仪器制造</t>
  </si>
  <si>
    <t>100.69</t>
  </si>
  <si>
    <t>11.14</t>
  </si>
  <si>
    <t>58.75</t>
  </si>
  <si>
    <t>13.19</t>
  </si>
  <si>
    <t>43.18</t>
  </si>
  <si>
    <t>12.09</t>
  </si>
  <si>
    <t>19.35</t>
  </si>
  <si>
    <t xml:space="preserve">    教学专用仪器制造</t>
  </si>
  <si>
    <t>55.28</t>
  </si>
  <si>
    <t>10.14</t>
  </si>
  <si>
    <t>25.19</t>
  </si>
  <si>
    <t xml:space="preserve">    核子及核辐射测量仪器制造</t>
  </si>
  <si>
    <t>26.66</t>
  </si>
  <si>
    <t>20.94</t>
  </si>
  <si>
    <t>8.89</t>
  </si>
  <si>
    <t>17.36</t>
  </si>
  <si>
    <t xml:space="preserve">    电子测量仪器制造</t>
  </si>
  <si>
    <t>519.54</t>
  </si>
  <si>
    <t>46.97</t>
  </si>
  <si>
    <t>92.53</t>
  </si>
  <si>
    <t>44.78</t>
  </si>
  <si>
    <t>418.31</t>
  </si>
  <si>
    <t>90.11</t>
  </si>
  <si>
    <t>210.07</t>
  </si>
  <si>
    <t>186.36</t>
  </si>
  <si>
    <t>74.79</t>
  </si>
  <si>
    <t>309.43</t>
  </si>
  <si>
    <t xml:space="preserve">    其他专用仪器制造</t>
  </si>
  <si>
    <t>439.50</t>
  </si>
  <si>
    <t>34.84</t>
  </si>
  <si>
    <t>62.01</t>
  </si>
  <si>
    <t>25.44</t>
  </si>
  <si>
    <t>307.57</t>
  </si>
  <si>
    <t>90.46</t>
  </si>
  <si>
    <t>61.78</t>
  </si>
  <si>
    <t>182.10</t>
  </si>
  <si>
    <t>155.62</t>
  </si>
  <si>
    <t>238.31</t>
  </si>
  <si>
    <t>74.26</t>
  </si>
  <si>
    <t>11.38</t>
  </si>
  <si>
    <t xml:space="preserve">  钟表与计时仪器制造</t>
  </si>
  <si>
    <t>262.10</t>
  </si>
  <si>
    <t>50.75</t>
  </si>
  <si>
    <t>100.95</t>
  </si>
  <si>
    <t>181.02</t>
  </si>
  <si>
    <t>51.06</t>
  </si>
  <si>
    <t>58.09</t>
  </si>
  <si>
    <t>22.44</t>
  </si>
  <si>
    <t>98.14</t>
  </si>
  <si>
    <t>44.16</t>
  </si>
  <si>
    <t>145.33</t>
  </si>
  <si>
    <t>54.33</t>
  </si>
  <si>
    <t xml:space="preserve">  光学仪器制造</t>
  </si>
  <si>
    <t>449</t>
  </si>
  <si>
    <t>1243.70</t>
  </si>
  <si>
    <t>237.60</t>
  </si>
  <si>
    <t>228.73</t>
  </si>
  <si>
    <t>813.05</t>
  </si>
  <si>
    <t>236.11</t>
  </si>
  <si>
    <t>150.21</t>
  </si>
  <si>
    <t>52.15</t>
  </si>
  <si>
    <t>565.54</t>
  </si>
  <si>
    <t>482.46</t>
  </si>
  <si>
    <t>224.73</t>
  </si>
  <si>
    <t>677.30</t>
  </si>
  <si>
    <t>221.49</t>
  </si>
  <si>
    <t xml:space="preserve">  衡器制造</t>
  </si>
  <si>
    <t>171.38</t>
  </si>
  <si>
    <t>36.08</t>
  </si>
  <si>
    <t>14.49</t>
  </si>
  <si>
    <t>34.37</t>
  </si>
  <si>
    <t>77.08</t>
  </si>
  <si>
    <t>66.97</t>
  </si>
  <si>
    <t>27.32</t>
  </si>
  <si>
    <t>94.30</t>
  </si>
  <si>
    <t>32.38</t>
  </si>
  <si>
    <t>3.23</t>
  </si>
  <si>
    <t>2.13</t>
  </si>
  <si>
    <t xml:space="preserve">  其他仪器仪表制造业</t>
  </si>
  <si>
    <t>205</t>
  </si>
  <si>
    <t>265.25</t>
  </si>
  <si>
    <t>26.28</t>
  </si>
  <si>
    <t>28.24</t>
  </si>
  <si>
    <t>184.29</t>
  </si>
  <si>
    <t>34.46</t>
  </si>
  <si>
    <t>35.04</t>
  </si>
  <si>
    <t>145.88</t>
  </si>
  <si>
    <t>其他制造业</t>
  </si>
  <si>
    <t>1762</t>
  </si>
  <si>
    <t>3022.22</t>
  </si>
  <si>
    <t>720.02</t>
  </si>
  <si>
    <t>1341.43</t>
  </si>
  <si>
    <t>598.97</t>
  </si>
  <si>
    <t>1649.26</t>
  </si>
  <si>
    <t>383.75</t>
  </si>
  <si>
    <t>353.21</t>
  </si>
  <si>
    <t>117.52</t>
  </si>
  <si>
    <t>1811.94</t>
  </si>
  <si>
    <t>1246.92</t>
  </si>
  <si>
    <t>390.82</t>
  </si>
  <si>
    <t>1203.23</t>
  </si>
  <si>
    <t>523.70</t>
  </si>
  <si>
    <t>107.32</t>
  </si>
  <si>
    <t xml:space="preserve">  日用杂品制造</t>
  </si>
  <si>
    <t>1145</t>
  </si>
  <si>
    <t>823.05</t>
  </si>
  <si>
    <t>176.89</t>
  </si>
  <si>
    <t>378.57</t>
  </si>
  <si>
    <t>526.17</t>
  </si>
  <si>
    <t>133.58</t>
  </si>
  <si>
    <t>133.71</t>
  </si>
  <si>
    <t>54.39</t>
  </si>
  <si>
    <t>387.52</t>
  </si>
  <si>
    <t>335.88</t>
  </si>
  <si>
    <t>102.44</t>
  </si>
  <si>
    <t>201.19</t>
  </si>
  <si>
    <t xml:space="preserve">2-1 续表19
</t>
  </si>
  <si>
    <t xml:space="preserve">  鬃毛加工、制刷及清扫工具制造</t>
  </si>
  <si>
    <t>304</t>
  </si>
  <si>
    <t>157.32</t>
  </si>
  <si>
    <t>44.63</t>
  </si>
  <si>
    <t>88.61</t>
  </si>
  <si>
    <t>42.93</t>
  </si>
  <si>
    <t>96.13</t>
  </si>
  <si>
    <t>29.55</t>
  </si>
  <si>
    <t>23.03</t>
  </si>
  <si>
    <t>68.75</t>
  </si>
  <si>
    <t>55.35</t>
  </si>
  <si>
    <t>20.37</t>
  </si>
  <si>
    <t>88.53</t>
  </si>
  <si>
    <t>33.96</t>
  </si>
  <si>
    <t xml:space="preserve">  其他日用杂品制造</t>
  </si>
  <si>
    <t>841</t>
  </si>
  <si>
    <t>665.73</t>
  </si>
  <si>
    <t>132.26</t>
  </si>
  <si>
    <t>289.96</t>
  </si>
  <si>
    <t>148.03</t>
  </si>
  <si>
    <t>430.04</t>
  </si>
  <si>
    <t>104.04</t>
  </si>
  <si>
    <t>110.68</t>
  </si>
  <si>
    <t>45.14</t>
  </si>
  <si>
    <t>318.77</t>
  </si>
  <si>
    <t>280.53</t>
  </si>
  <si>
    <t>82.07</t>
  </si>
  <si>
    <t>340.64</t>
  </si>
  <si>
    <t>废弃资源综合利用业</t>
  </si>
  <si>
    <t>2159</t>
  </si>
  <si>
    <t>3397.45</t>
  </si>
  <si>
    <t>770.83</t>
  </si>
  <si>
    <t>1270.77</t>
  </si>
  <si>
    <t>434.82</t>
  </si>
  <si>
    <t>1963.54</t>
  </si>
  <si>
    <t>464.55</t>
  </si>
  <si>
    <t>526.09</t>
  </si>
  <si>
    <t>262.28</t>
  </si>
  <si>
    <t>1936.31</t>
  </si>
  <si>
    <t>1579.88</t>
  </si>
  <si>
    <t>354.60</t>
  </si>
  <si>
    <t>1458.42</t>
  </si>
  <si>
    <t>815.53</t>
  </si>
  <si>
    <t>63.32</t>
  </si>
  <si>
    <t>21.10</t>
  </si>
  <si>
    <t xml:space="preserve">  金属废料和碎屑加工处理</t>
  </si>
  <si>
    <t>1163</t>
  </si>
  <si>
    <t>2334.89</t>
  </si>
  <si>
    <t>763.87</t>
  </si>
  <si>
    <t>1467.84</t>
  </si>
  <si>
    <t>329.98</t>
  </si>
  <si>
    <t>446.57</t>
  </si>
  <si>
    <t>223.99</t>
  </si>
  <si>
    <t>1401.63</t>
  </si>
  <si>
    <t>1177.40</t>
  </si>
  <si>
    <t>249.41</t>
  </si>
  <si>
    <t>932.42</t>
  </si>
  <si>
    <t>540.50</t>
  </si>
  <si>
    <t>48.00</t>
  </si>
  <si>
    <t xml:space="preserve">  非金属废料和碎屑加工处理</t>
  </si>
  <si>
    <t>1062.56</t>
  </si>
  <si>
    <t>314.12</t>
  </si>
  <si>
    <t>506.90</t>
  </si>
  <si>
    <t>160.79</t>
  </si>
  <si>
    <t>495.70</t>
  </si>
  <si>
    <t>134.57</t>
  </si>
  <si>
    <t>79.52</t>
  </si>
  <si>
    <t>38.30</t>
  </si>
  <si>
    <t>534.68</t>
  </si>
  <si>
    <t>402.48</t>
  </si>
  <si>
    <t>105.19</t>
  </si>
  <si>
    <t>526.00</t>
  </si>
  <si>
    <t>275.03</t>
  </si>
  <si>
    <t>金属制品、机械和设备修理业</t>
  </si>
  <si>
    <t>541</t>
  </si>
  <si>
    <t>2389.82</t>
  </si>
  <si>
    <t>931.95</t>
  </si>
  <si>
    <t>449.61</t>
  </si>
  <si>
    <t>1335.97</t>
  </si>
  <si>
    <t>405.42</t>
  </si>
  <si>
    <t>287.36</t>
  </si>
  <si>
    <t>1225.49</t>
  </si>
  <si>
    <t>1000.64</t>
  </si>
  <si>
    <t>397.34</t>
  </si>
  <si>
    <t>1164.56</t>
  </si>
  <si>
    <t>716.00</t>
  </si>
  <si>
    <t>178.32</t>
  </si>
  <si>
    <t xml:space="preserve">  金属制品修理</t>
  </si>
  <si>
    <t>2.73</t>
  </si>
  <si>
    <t>10.66</t>
  </si>
  <si>
    <t>2.76</t>
  </si>
  <si>
    <t>3.20</t>
  </si>
  <si>
    <t xml:space="preserve">  通用设备修理</t>
  </si>
  <si>
    <t>47</t>
  </si>
  <si>
    <t>45.61</t>
  </si>
  <si>
    <t>5.50</t>
  </si>
  <si>
    <t>11.00</t>
  </si>
  <si>
    <t>25.22</t>
  </si>
  <si>
    <t>3.89</t>
  </si>
  <si>
    <t xml:space="preserve">  专用设备修理</t>
  </si>
  <si>
    <t>573.27</t>
  </si>
  <si>
    <t>106.06</t>
  </si>
  <si>
    <t>65.81</t>
  </si>
  <si>
    <t>199.54</t>
  </si>
  <si>
    <t>200.45</t>
  </si>
  <si>
    <t>156.68</t>
  </si>
  <si>
    <t>372.82</t>
  </si>
  <si>
    <t>202.97</t>
  </si>
  <si>
    <t xml:space="preserve">  铁路、船舶、航空航天等运输设备修理</t>
  </si>
  <si>
    <t>1598.62</t>
  </si>
  <si>
    <t>382.11</t>
  </si>
  <si>
    <t>744.53</t>
  </si>
  <si>
    <t>339.50</t>
  </si>
  <si>
    <t>981.93</t>
  </si>
  <si>
    <t>287.72</t>
  </si>
  <si>
    <t>247.46</t>
  </si>
  <si>
    <t>901.62</t>
  </si>
  <si>
    <t>731.82</t>
  </si>
  <si>
    <t>299.93</t>
  </si>
  <si>
    <t>697.00</t>
  </si>
  <si>
    <t>463.59</t>
  </si>
  <si>
    <t>137.29</t>
  </si>
  <si>
    <t xml:space="preserve">    铁路运输设备修理</t>
  </si>
  <si>
    <t>177.30</t>
  </si>
  <si>
    <t>50.06</t>
  </si>
  <si>
    <t>108.33</t>
  </si>
  <si>
    <t>53.71</t>
  </si>
  <si>
    <t>21.78</t>
  </si>
  <si>
    <t>106.74</t>
  </si>
  <si>
    <t>70.56</t>
  </si>
  <si>
    <t>61.81</t>
  </si>
  <si>
    <t>17.92</t>
  </si>
  <si>
    <t xml:space="preserve">    船舶修理</t>
  </si>
  <si>
    <t>579.52</t>
  </si>
  <si>
    <t>203.90</t>
  </si>
  <si>
    <t>357.82</t>
  </si>
  <si>
    <t>137.13</t>
  </si>
  <si>
    <t>306.27</t>
  </si>
  <si>
    <t>63.96</t>
  </si>
  <si>
    <t>69.55</t>
  </si>
  <si>
    <t>328.55</t>
  </si>
  <si>
    <t>125.25</t>
  </si>
  <si>
    <t>183.48</t>
  </si>
  <si>
    <t>206.81</t>
  </si>
  <si>
    <t>88.97</t>
  </si>
  <si>
    <t xml:space="preserve">    航空航天器修理</t>
  </si>
  <si>
    <t>74</t>
  </si>
  <si>
    <t>704.11</t>
  </si>
  <si>
    <t>139.53</t>
  </si>
  <si>
    <t>312.46</t>
  </si>
  <si>
    <t>167.33</t>
  </si>
  <si>
    <t>449.65</t>
  </si>
  <si>
    <t>156.10</t>
  </si>
  <si>
    <t>133.42</t>
  </si>
  <si>
    <t>12.98</t>
  </si>
  <si>
    <t>342.94</t>
  </si>
  <si>
    <t>273.74</t>
  </si>
  <si>
    <t>361.18</t>
  </si>
  <si>
    <t xml:space="preserve">    其他运输设备修理</t>
  </si>
  <si>
    <t>137.68</t>
  </si>
  <si>
    <t>11.45</t>
  </si>
  <si>
    <t>24.19</t>
  </si>
  <si>
    <t>12.75</t>
  </si>
  <si>
    <t>117.69</t>
  </si>
  <si>
    <t>13.95</t>
  </si>
  <si>
    <t>22.71</t>
  </si>
  <si>
    <t>55.90</t>
  </si>
  <si>
    <t>37.69</t>
  </si>
  <si>
    <t>17.19</t>
  </si>
  <si>
    <t>81.78</t>
  </si>
  <si>
    <t>5.58</t>
  </si>
  <si>
    <t xml:space="preserve">  电气设备修理</t>
  </si>
  <si>
    <t>11.23</t>
  </si>
  <si>
    <t>31.73</t>
  </si>
  <si>
    <t>28.95</t>
  </si>
  <si>
    <t>13.65</t>
  </si>
  <si>
    <t>16.25</t>
  </si>
  <si>
    <t>4.00</t>
  </si>
  <si>
    <t xml:space="preserve">  仪器仪表修理</t>
  </si>
  <si>
    <t>8.51</t>
  </si>
  <si>
    <t>3.67</t>
  </si>
  <si>
    <t xml:space="preserve">  其他机械和设备修理业</t>
  </si>
  <si>
    <t>100.21</t>
  </si>
  <si>
    <t>16.36</t>
  </si>
  <si>
    <t>44.06</t>
  </si>
  <si>
    <t>65.82</t>
  </si>
  <si>
    <t>51.01</t>
  </si>
  <si>
    <t>44.25</t>
  </si>
  <si>
    <t>49.42</t>
  </si>
  <si>
    <t>20.71</t>
  </si>
  <si>
    <t>电力、热力、燃气及水生产和供应业</t>
  </si>
  <si>
    <t>15210</t>
  </si>
  <si>
    <t>215627.92</t>
  </si>
  <si>
    <t>112446.16</t>
  </si>
  <si>
    <t>204078.78</t>
  </si>
  <si>
    <t>88466.52</t>
  </si>
  <si>
    <t>42401.39</t>
  </si>
  <si>
    <t>10408.53</t>
  </si>
  <si>
    <t>2050.22</t>
  </si>
  <si>
    <t>201.11</t>
  </si>
  <si>
    <t>127770.59</t>
  </si>
  <si>
    <t>66336.64</t>
  </si>
  <si>
    <t>14082.92</t>
  </si>
  <si>
    <t>87778.42</t>
  </si>
  <si>
    <t>60684.98</t>
  </si>
  <si>
    <t>34850.20</t>
  </si>
  <si>
    <t>655.14</t>
  </si>
  <si>
    <t>电力、热力生产和供应业</t>
  </si>
  <si>
    <t>9831</t>
  </si>
  <si>
    <t>180566.74</t>
  </si>
  <si>
    <t>100443.08</t>
  </si>
  <si>
    <t>184837.32</t>
  </si>
  <si>
    <t>81647.06</t>
  </si>
  <si>
    <t>31187.79</t>
  </si>
  <si>
    <t>8744.50</t>
  </si>
  <si>
    <t>1499.06</t>
  </si>
  <si>
    <t>106929.12</t>
  </si>
  <si>
    <t>54869.07</t>
  </si>
  <si>
    <t>11815.93</t>
  </si>
  <si>
    <t>73635.62</t>
  </si>
  <si>
    <t>53282.80</t>
  </si>
  <si>
    <t>31220.55</t>
  </si>
  <si>
    <t>426.40</t>
  </si>
  <si>
    <t xml:space="preserve">  电力生产</t>
  </si>
  <si>
    <t>7483</t>
  </si>
  <si>
    <t>99311.21</t>
  </si>
  <si>
    <t>59981.84</t>
  </si>
  <si>
    <t>99950.25</t>
  </si>
  <si>
    <t>37700.27</t>
  </si>
  <si>
    <t>19132.16</t>
  </si>
  <si>
    <t>6559.07</t>
  </si>
  <si>
    <t>1165.26</t>
  </si>
  <si>
    <t>64506.66</t>
  </si>
  <si>
    <t>27245.73</t>
  </si>
  <si>
    <t>4775.60</t>
  </si>
  <si>
    <t>34808.86</t>
  </si>
  <si>
    <t>24205.08</t>
  </si>
  <si>
    <t>8777.13</t>
  </si>
  <si>
    <t>384.23</t>
  </si>
  <si>
    <t xml:space="preserve">    火力发电</t>
  </si>
  <si>
    <t>808</t>
  </si>
  <si>
    <t>22969.17</t>
  </si>
  <si>
    <t>14177.52</t>
  </si>
  <si>
    <t>28907.50</t>
  </si>
  <si>
    <t>14367.25</t>
  </si>
  <si>
    <t>4965.46</t>
  </si>
  <si>
    <t>1272.66</t>
  </si>
  <si>
    <t>404.04</t>
  </si>
  <si>
    <t>17.83</t>
  </si>
  <si>
    <t>14609.41</t>
  </si>
  <si>
    <t>7675.13</t>
  </si>
  <si>
    <t>1628.78</t>
  </si>
  <si>
    <t>8365.41</t>
  </si>
  <si>
    <t>6475.26</t>
  </si>
  <si>
    <t>2697.36</t>
  </si>
  <si>
    <t>83.42</t>
  </si>
  <si>
    <t xml:space="preserve">    热电联产</t>
  </si>
  <si>
    <t>796</t>
  </si>
  <si>
    <t>13933.73</t>
  </si>
  <si>
    <t>8070.20</t>
  </si>
  <si>
    <t>15957.48</t>
  </si>
  <si>
    <t>7501.64</t>
  </si>
  <si>
    <t>3278.27</t>
  </si>
  <si>
    <t>724.41</t>
  </si>
  <si>
    <t>266.55</t>
  </si>
  <si>
    <t>9536.71</t>
  </si>
  <si>
    <t>5703.17</t>
  </si>
  <si>
    <t>1127.64</t>
  </si>
  <si>
    <t>4407.39</t>
  </si>
  <si>
    <t>3713.35</t>
  </si>
  <si>
    <t>1101.44</t>
  </si>
  <si>
    <t>64.40</t>
  </si>
  <si>
    <t xml:space="preserve">    水力发电</t>
  </si>
  <si>
    <t>1428</t>
  </si>
  <si>
    <t>23608.56</t>
  </si>
  <si>
    <t>15486.00</t>
  </si>
  <si>
    <t>24162.50</t>
  </si>
  <si>
    <t>8326.70</t>
  </si>
  <si>
    <t>2169.71</t>
  </si>
  <si>
    <t>296.63</t>
  </si>
  <si>
    <t>14472.21</t>
  </si>
  <si>
    <t>4453.88</t>
  </si>
  <si>
    <t>278.28</t>
  </si>
  <si>
    <t>9133.10</t>
  </si>
  <si>
    <t>4653.02</t>
  </si>
  <si>
    <t>1627.17</t>
  </si>
  <si>
    <t>70.91</t>
  </si>
  <si>
    <t xml:space="preserve">    核力发电</t>
  </si>
  <si>
    <t>7822.05</t>
  </si>
  <si>
    <t>5493.37</t>
  </si>
  <si>
    <t>7395.13</t>
  </si>
  <si>
    <t>1900.36</t>
  </si>
  <si>
    <t>896.23</t>
  </si>
  <si>
    <t>116.21</t>
  </si>
  <si>
    <t>381.08</t>
  </si>
  <si>
    <t>5703.07</t>
  </si>
  <si>
    <t>1488.16</t>
  </si>
  <si>
    <t>201.46</t>
  </si>
  <si>
    <t>2118.99</t>
  </si>
  <si>
    <t>1654.67</t>
  </si>
  <si>
    <t>460.90</t>
  </si>
  <si>
    <t xml:space="preserve">    风力发电</t>
  </si>
  <si>
    <t>1763</t>
  </si>
  <si>
    <t>16481.83</t>
  </si>
  <si>
    <t>10050.68</t>
  </si>
  <si>
    <t>14552.63</t>
  </si>
  <si>
    <t>3893.94</t>
  </si>
  <si>
    <t>3536.01</t>
  </si>
  <si>
    <t>2020.40</t>
  </si>
  <si>
    <t>10543.11</t>
  </si>
  <si>
    <t>3788.18</t>
  </si>
  <si>
    <t>696.90</t>
  </si>
  <si>
    <t>5937.80</t>
  </si>
  <si>
    <t>4302.65</t>
  </si>
  <si>
    <t>1821.48</t>
  </si>
  <si>
    <t>59.51</t>
  </si>
  <si>
    <t xml:space="preserve">    太阳能发电</t>
  </si>
  <si>
    <t>1952</t>
  </si>
  <si>
    <t>10259.16</t>
  </si>
  <si>
    <t>5600.03</t>
  </si>
  <si>
    <t>7400.47</t>
  </si>
  <si>
    <t>1330.87</t>
  </si>
  <si>
    <t>3108.86</t>
  </si>
  <si>
    <t>1693.88</t>
  </si>
  <si>
    <t>19.72</t>
  </si>
  <si>
    <t>6898.39</t>
  </si>
  <si>
    <t>2853.78</t>
  </si>
  <si>
    <t>532.73</t>
  </si>
  <si>
    <t>3354.76</t>
  </si>
  <si>
    <t>2379.11</t>
  </si>
  <si>
    <t>819.32</t>
  </si>
  <si>
    <t>89.53</t>
  </si>
  <si>
    <t xml:space="preserve">    生物质能发电</t>
  </si>
  <si>
    <t>550</t>
  </si>
  <si>
    <t>3243.03</t>
  </si>
  <si>
    <t>873.72</t>
  </si>
  <si>
    <t>1228.37</t>
  </si>
  <si>
    <t>812.01</t>
  </si>
  <si>
    <t>355.17</t>
  </si>
  <si>
    <t>3.31</t>
  </si>
  <si>
    <t>2069.14</t>
  </si>
  <si>
    <t>919.57</t>
  </si>
  <si>
    <t>254.42</t>
  </si>
  <si>
    <t>1173.39</t>
  </si>
  <si>
    <t>855.22</t>
  </si>
  <si>
    <t>192.41</t>
  </si>
  <si>
    <t xml:space="preserve">    其他电力生产</t>
  </si>
  <si>
    <t>161</t>
  </si>
  <si>
    <t>993.70</t>
  </si>
  <si>
    <t>230.33</t>
  </si>
  <si>
    <t>346.18</t>
  </si>
  <si>
    <t>94.74</t>
  </si>
  <si>
    <t>365.62</t>
  </si>
  <si>
    <t>79.71</t>
  </si>
  <si>
    <t>674.63</t>
  </si>
  <si>
    <t>363.86</t>
  </si>
  <si>
    <t>318.02</t>
  </si>
  <si>
    <t>171.80</t>
  </si>
  <si>
    <t>57.05</t>
  </si>
  <si>
    <t xml:space="preserve">  电力供应</t>
  </si>
  <si>
    <t>507</t>
  </si>
  <si>
    <t>71506.22</t>
  </si>
  <si>
    <t>36531.49</t>
  </si>
  <si>
    <t>78250.24</t>
  </si>
  <si>
    <t>41353.71</t>
  </si>
  <si>
    <t>8177.09</t>
  </si>
  <si>
    <t>1706.98</t>
  </si>
  <si>
    <t>135.62</t>
  </si>
  <si>
    <t>35162.65</t>
  </si>
  <si>
    <t>23248.14</t>
  </si>
  <si>
    <t>6087.12</t>
  </si>
  <si>
    <t>36339.94</t>
  </si>
  <si>
    <t>27553.86</t>
  </si>
  <si>
    <t>21953.56</t>
  </si>
  <si>
    <t xml:space="preserve">  热力生产和供应</t>
  </si>
  <si>
    <t>9749.31</t>
  </si>
  <si>
    <t>3929.74</t>
  </si>
  <si>
    <t>6636.82</t>
  </si>
  <si>
    <t>2593.08</t>
  </si>
  <si>
    <t>3878.54</t>
  </si>
  <si>
    <t>478.45</t>
  </si>
  <si>
    <t>198.17</t>
  </si>
  <si>
    <t>7259.82</t>
  </si>
  <si>
    <t>4375.20</t>
  </si>
  <si>
    <t>953.21</t>
  </si>
  <si>
    <t>2486.81</t>
  </si>
  <si>
    <t>1523.86</t>
  </si>
  <si>
    <t>489.86</t>
  </si>
  <si>
    <t>30.24</t>
  </si>
  <si>
    <t>燃气生产和供应业</t>
  </si>
  <si>
    <t>2624</t>
  </si>
  <si>
    <t>13821.02</t>
  </si>
  <si>
    <t>5214.63</t>
  </si>
  <si>
    <t>7780.70</t>
  </si>
  <si>
    <t>2378.97</t>
  </si>
  <si>
    <t>4772.47</t>
  </si>
  <si>
    <t>809.53</t>
  </si>
  <si>
    <t>319.79</t>
  </si>
  <si>
    <t>97.00</t>
  </si>
  <si>
    <t>8291.11</t>
  </si>
  <si>
    <t>5806.13</t>
  </si>
  <si>
    <t>1244.32</t>
  </si>
  <si>
    <t>5497.76</t>
  </si>
  <si>
    <t>2979.71</t>
  </si>
  <si>
    <t>1103.03</t>
  </si>
  <si>
    <t xml:space="preserve">  燃气生产和供应业</t>
  </si>
  <si>
    <t>2599</t>
  </si>
  <si>
    <t>13753.68</t>
  </si>
  <si>
    <t>5194.85</t>
  </si>
  <si>
    <t>7750.98</t>
  </si>
  <si>
    <t>2369.75</t>
  </si>
  <si>
    <t>4742.04</t>
  </si>
  <si>
    <t>798.77</t>
  </si>
  <si>
    <t>94.47</t>
  </si>
  <si>
    <t>8247.06</t>
  </si>
  <si>
    <t>5775.81</t>
  </si>
  <si>
    <t>1233.79</t>
  </si>
  <si>
    <t>5474.46</t>
  </si>
  <si>
    <t>2963.95</t>
  </si>
  <si>
    <t>47.40</t>
  </si>
  <si>
    <t xml:space="preserve">    天然气生产和供应业</t>
  </si>
  <si>
    <t>2452</t>
  </si>
  <si>
    <t>12348.62</t>
  </si>
  <si>
    <t>4664.97</t>
  </si>
  <si>
    <t>6982.27</t>
  </si>
  <si>
    <t>2135.17</t>
  </si>
  <si>
    <t>4317.72</t>
  </si>
  <si>
    <t>742.51</t>
  </si>
  <si>
    <t>273.37</t>
  </si>
  <si>
    <t>76.38</t>
  </si>
  <si>
    <t>7248.32</t>
  </si>
  <si>
    <t>5102.91</t>
  </si>
  <si>
    <t>1093.01</t>
  </si>
  <si>
    <t>5068.16</t>
  </si>
  <si>
    <t>2568.36</t>
  </si>
  <si>
    <t>929.88</t>
  </si>
  <si>
    <t>46.31</t>
  </si>
  <si>
    <t xml:space="preserve">    液化石油气生产和供应业</t>
  </si>
  <si>
    <t>397.29</t>
  </si>
  <si>
    <t>90.83</t>
  </si>
  <si>
    <t>172.49</t>
  </si>
  <si>
    <t>80.56</t>
  </si>
  <si>
    <t>175.98</t>
  </si>
  <si>
    <t>36.99</t>
  </si>
  <si>
    <t>23.54</t>
  </si>
  <si>
    <t>219.72</t>
  </si>
  <si>
    <t>127.18</t>
  </si>
  <si>
    <t>42.62</t>
  </si>
  <si>
    <t>177.56</t>
  </si>
  <si>
    <t>101.31</t>
  </si>
  <si>
    <t>7.05</t>
  </si>
  <si>
    <t xml:space="preserve">    煤气生产和供应业</t>
  </si>
  <si>
    <t>1007.76</t>
  </si>
  <si>
    <t>439.05</t>
  </si>
  <si>
    <t>596.22</t>
  </si>
  <si>
    <t>154.02</t>
  </si>
  <si>
    <t>248.35</t>
  </si>
  <si>
    <t>19.27</t>
  </si>
  <si>
    <t>779.02</t>
  </si>
  <si>
    <t>545.72</t>
  </si>
  <si>
    <t>228.74</t>
  </si>
  <si>
    <t>294.28</t>
  </si>
  <si>
    <t>166.11</t>
  </si>
  <si>
    <t xml:space="preserve">  生物质燃气生产和供应业</t>
  </si>
  <si>
    <t>67.34</t>
  </si>
  <si>
    <t>29.73</t>
  </si>
  <si>
    <t>10.76</t>
  </si>
  <si>
    <t>2.52</t>
  </si>
  <si>
    <t>30.32</t>
  </si>
  <si>
    <t>水的生产和供应业</t>
  </si>
  <si>
    <t>2755</t>
  </si>
  <si>
    <t>21240.17</t>
  </si>
  <si>
    <t>6788.46</t>
  </si>
  <si>
    <t>11460.75</t>
  </si>
  <si>
    <t>4440.49</t>
  </si>
  <si>
    <t>6441.12</t>
  </si>
  <si>
    <t>854.50</t>
  </si>
  <si>
    <t>231.38</t>
  </si>
  <si>
    <t>12550.35</t>
  </si>
  <si>
    <t>5661.44</t>
  </si>
  <si>
    <t>1022.68</t>
  </si>
  <si>
    <t>8645.04</t>
  </si>
  <si>
    <t>4422.47</t>
  </si>
  <si>
    <t>2526.61</t>
  </si>
  <si>
    <t>181.19</t>
  </si>
  <si>
    <t xml:space="preserve">  自来水生产和供应</t>
  </si>
  <si>
    <t>1746</t>
  </si>
  <si>
    <t>15198.55</t>
  </si>
  <si>
    <t>5034.28</t>
  </si>
  <si>
    <t>8797.20</t>
  </si>
  <si>
    <t>3568.31</t>
  </si>
  <si>
    <t>4793.11</t>
  </si>
  <si>
    <t>376.04</t>
  </si>
  <si>
    <t>195.30</t>
  </si>
  <si>
    <t>27.83</t>
  </si>
  <si>
    <t>9062.81</t>
  </si>
  <si>
    <t>4037.80</t>
  </si>
  <si>
    <t>569.03</t>
  </si>
  <si>
    <t>6093.49</t>
  </si>
  <si>
    <t>2978.62</t>
  </si>
  <si>
    <t>1893.82</t>
  </si>
  <si>
    <t>157.74</t>
  </si>
  <si>
    <t xml:space="preserve">  污水处理及其再生利用</t>
  </si>
  <si>
    <t>984</t>
  </si>
  <si>
    <t>5895.94</t>
  </si>
  <si>
    <t>1716.16</t>
  </si>
  <si>
    <t>2599.86</t>
  </si>
  <si>
    <t>847.91</t>
  </si>
  <si>
    <t>1577.47</t>
  </si>
  <si>
    <t>467.18</t>
  </si>
  <si>
    <t>33.93</t>
  </si>
  <si>
    <t>3371.57</t>
  </si>
  <si>
    <t>1566.62</t>
  </si>
  <si>
    <t>445.71</t>
  </si>
  <si>
    <t>2521.84</t>
  </si>
  <si>
    <t>1412.90</t>
  </si>
  <si>
    <t>622.53</t>
  </si>
  <si>
    <t>23.15</t>
  </si>
  <si>
    <t xml:space="preserve">  海水淡化处理</t>
  </si>
  <si>
    <t>28.06</t>
  </si>
  <si>
    <t>15.59</t>
  </si>
  <si>
    <t>16.46</t>
  </si>
  <si>
    <t xml:space="preserve">  其他水的处理、利用与分配</t>
  </si>
  <si>
    <t>117.62</t>
  </si>
  <si>
    <t>22.43</t>
  </si>
  <si>
    <t>13.74</t>
  </si>
  <si>
    <t>91.28</t>
  </si>
  <si>
    <t>43.87</t>
  </si>
  <si>
    <t>26.34</t>
  </si>
  <si>
    <t>14.48</t>
  </si>
  <si>
    <t>7.86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</si>
</sst>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\¥#,##0.00;[Red]\¥\-#,##0.00"/>
    <numFmt numFmtId="167" formatCode="0.0000_ "/>
    <numFmt numFmtId="168" formatCode="0_ "/>
  </numFmts>
  <fonts count="18">
    <font>
      <sz val="11"/>
      <color theme="1"/>
      <name val="Calibri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2"/>
      <name val="宋体"/>
      <charset val="134"/>
    </font>
    <font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name val="宋体"/>
      <charset val="134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name val="Calibri"/>
      <charset val="134"/>
      <scheme val="minor"/>
    </font>
    <font>
      <b/>
      <sz val="9"/>
      <name val="Calibri"/>
      <charset val="134"/>
      <scheme val="minor"/>
    </font>
    <font>
      <b/>
      <sz val="9"/>
      <name val="宋体"/>
      <charset val="134"/>
    </font>
    <font>
      <b/>
      <sz val="9"/>
      <color theme="1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dashDot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 diagonalDown="1">
      <left/>
      <right/>
      <top style="medium">
        <color auto="1"/>
      </top>
      <bottom/>
      <diagonal style="thin">
        <color auto="1"/>
      </diagonal>
    </border>
    <border diagonalDown="1">
      <left/>
      <right style="thin">
        <color auto="1"/>
      </right>
      <top style="medium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 diagonalDown="1">
      <left/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6">
    <xf numFmtId="0" fontId="0" fillId="0" borderId="0">
      <alignment vertical="center"/>
    </xf>
    <xf numFmtId="0" fontId="3" fillId="0" borderId="0"/>
    <xf numFmtId="0" fontId="5" fillId="0" borderId="0"/>
    <xf numFmtId="0" fontId="3" fillId="0" borderId="0"/>
    <xf numFmtId="0" fontId="17" fillId="0" borderId="0">
      <alignment vertical="center"/>
    </xf>
    <xf numFmtId="0" fontId="5" fillId="0" borderId="0">
      <alignment vertical="center"/>
    </xf>
  </cellStyleXfs>
  <cellXfs count="138">
    <xf numFmtId="0" fontId="0" fillId="0" borderId="0" xfId="0">
      <alignment vertical="center"/>
    </xf>
    <xf numFmtId="49" fontId="1" fillId="0" borderId="0" xfId="0" applyNumberFormat="1" applyFont="1" applyAlignment="1">
      <alignment wrapText="1"/>
    </xf>
    <xf numFmtId="0" fontId="1" fillId="0" borderId="0" xfId="0" applyFont="1">
      <alignment vertical="center"/>
    </xf>
    <xf numFmtId="49" fontId="1" fillId="0" borderId="1" xfId="0" applyNumberFormat="1" applyFont="1" applyBorder="1" applyAlignment="1"/>
    <xf numFmtId="0" fontId="1" fillId="0" borderId="1" xfId="0" applyFont="1" applyBorder="1">
      <alignment vertical="center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right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3" fillId="0" borderId="0" xfId="0" applyFont="1">
      <alignment vertical="center"/>
    </xf>
    <xf numFmtId="0" fontId="3" fillId="0" borderId="10" xfId="0" applyFont="1" applyBorder="1">
      <alignment vertical="center"/>
    </xf>
    <xf numFmtId="49" fontId="1" fillId="0" borderId="0" xfId="0" applyNumberFormat="1" applyFont="1" applyAlignment="1"/>
    <xf numFmtId="0" fontId="1" fillId="0" borderId="11" xfId="0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/>
    <xf numFmtId="0" fontId="1" fillId="0" borderId="1" xfId="0" applyFont="1" applyBorder="1" applyAlignme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Alignment="1"/>
    <xf numFmtId="0" fontId="6" fillId="0" borderId="11" xfId="2" applyFont="1" applyBorder="1" applyAlignment="1">
      <alignment horizontal="justify" vertical="center" wrapText="1"/>
    </xf>
    <xf numFmtId="0" fontId="5" fillId="0" borderId="0" xfId="0" applyFont="1" applyAlignment="1">
      <alignment horizontal="left"/>
    </xf>
    <xf numFmtId="0" fontId="6" fillId="0" borderId="2" xfId="2" applyFont="1" applyBorder="1" applyAlignment="1">
      <alignment horizontal="justify" vertical="center" wrapText="1"/>
    </xf>
    <xf numFmtId="0" fontId="7" fillId="0" borderId="0" xfId="5" applyFont="1" applyAlignment="1">
      <alignment horizontal="left" vertical="center"/>
    </xf>
    <xf numFmtId="0" fontId="5" fillId="0" borderId="0" xfId="2"/>
    <xf numFmtId="0" fontId="5" fillId="0" borderId="0" xfId="5" applyAlignment="1">
      <alignment horizontal="left" vertical="center"/>
    </xf>
    <xf numFmtId="1" fontId="8" fillId="0" borderId="0" xfId="2" applyNumberFormat="1" applyFont="1"/>
    <xf numFmtId="0" fontId="0" fillId="0" borderId="14" xfId="0" applyBorder="1" applyAlignment="1"/>
    <xf numFmtId="0" fontId="8" fillId="0" borderId="14" xfId="2" applyFont="1" applyBorder="1"/>
    <xf numFmtId="0" fontId="5" fillId="0" borderId="14" xfId="2" applyBorder="1"/>
    <xf numFmtId="0" fontId="9" fillId="0" borderId="0" xfId="2" applyFont="1" applyAlignment="1">
      <alignment horizontal="center"/>
    </xf>
    <xf numFmtId="0" fontId="8" fillId="0" borderId="12" xfId="3" applyFont="1" applyBorder="1" applyAlignment="1">
      <alignment vertical="center"/>
    </xf>
    <xf numFmtId="0" fontId="6" fillId="0" borderId="9" xfId="2" applyFont="1" applyBorder="1" applyAlignment="1">
      <alignment horizontal="center" vertical="center" wrapText="1"/>
    </xf>
    <xf numFmtId="0" fontId="8" fillId="0" borderId="2" xfId="2" applyFont="1" applyBorder="1" applyAlignment="1">
      <alignment vertical="center"/>
    </xf>
    <xf numFmtId="0" fontId="8" fillId="0" borderId="3" xfId="2" applyFont="1" applyBorder="1" applyAlignment="1">
      <alignment horizontal="center" vertical="center"/>
    </xf>
    <xf numFmtId="49" fontId="8" fillId="0" borderId="12" xfId="2" applyNumberFormat="1" applyFont="1" applyBorder="1" applyAlignment="1">
      <alignment horizontal="center" vertical="center"/>
    </xf>
    <xf numFmtId="49" fontId="11" fillId="0" borderId="21" xfId="2" applyNumberFormat="1" applyFont="1" applyBorder="1" applyAlignment="1">
      <alignment horizontal="center" vertical="center" wrapText="1"/>
    </xf>
    <xf numFmtId="1" fontId="11" fillId="0" borderId="7" xfId="2" applyNumberFormat="1" applyFont="1" applyBorder="1" applyAlignment="1">
      <alignment horizontal="right" vertical="center" wrapText="1"/>
    </xf>
    <xf numFmtId="49" fontId="11" fillId="0" borderId="21" xfId="4" applyNumberFormat="1" applyFont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 wrapText="1"/>
    </xf>
    <xf numFmtId="0" fontId="13" fillId="0" borderId="11" xfId="2" applyFont="1" applyBorder="1" applyAlignment="1">
      <alignment horizontal="justify" vertical="center" wrapText="1"/>
    </xf>
    <xf numFmtId="49" fontId="12" fillId="0" borderId="12" xfId="0" applyNumberFormat="1" applyFont="1" applyBorder="1" applyAlignment="1">
      <alignment horizontal="center" vertical="center" wrapText="1"/>
    </xf>
    <xf numFmtId="1" fontId="12" fillId="0" borderId="9" xfId="2" applyNumberFormat="1" applyFont="1" applyBorder="1" applyAlignment="1">
      <alignment horizontal="right" vertical="center" wrapText="1"/>
    </xf>
    <xf numFmtId="0" fontId="6" fillId="0" borderId="6" xfId="2" applyFont="1" applyBorder="1" applyAlignment="1">
      <alignment horizontal="justify" vertical="center" wrapText="1"/>
    </xf>
    <xf numFmtId="49" fontId="11" fillId="0" borderId="13" xfId="0" applyNumberFormat="1" applyFont="1" applyBorder="1" applyAlignment="1">
      <alignment horizontal="center" vertical="center" wrapText="1"/>
    </xf>
    <xf numFmtId="49" fontId="11" fillId="0" borderId="21" xfId="0" applyNumberFormat="1" applyFont="1" applyBorder="1" applyAlignment="1">
      <alignment horizontal="center" vertical="center" wrapText="1"/>
    </xf>
    <xf numFmtId="0" fontId="13" fillId="0" borderId="6" xfId="2" applyFont="1" applyBorder="1" applyAlignment="1">
      <alignment horizontal="justify" vertical="center" wrapText="1"/>
    </xf>
    <xf numFmtId="49" fontId="12" fillId="0" borderId="21" xfId="0" applyNumberFormat="1" applyFont="1" applyBorder="1" applyAlignment="1">
      <alignment horizontal="center" vertical="center" wrapText="1"/>
    </xf>
    <xf numFmtId="1" fontId="12" fillId="0" borderId="7" xfId="2" applyNumberFormat="1" applyFont="1" applyBorder="1" applyAlignment="1">
      <alignment horizontal="right" vertical="center" wrapText="1"/>
    </xf>
    <xf numFmtId="49" fontId="12" fillId="0" borderId="25" xfId="0" applyNumberFormat="1" applyFont="1" applyBorder="1" applyAlignment="1">
      <alignment horizontal="center" vertical="top" wrapText="1"/>
    </xf>
    <xf numFmtId="1" fontId="14" fillId="0" borderId="26" xfId="2" applyNumberFormat="1" applyFont="1" applyBorder="1" applyAlignment="1">
      <alignment horizontal="right" vertical="center"/>
    </xf>
    <xf numFmtId="0" fontId="6" fillId="0" borderId="8" xfId="2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49" fontId="8" fillId="0" borderId="12" xfId="0" applyNumberFormat="1" applyFont="1" applyBorder="1" applyAlignment="1">
      <alignment horizontal="center" vertical="center"/>
    </xf>
    <xf numFmtId="1" fontId="14" fillId="0" borderId="7" xfId="2" applyNumberFormat="1" applyFont="1" applyBorder="1" applyAlignment="1">
      <alignment horizontal="right" vertical="center"/>
    </xf>
    <xf numFmtId="1" fontId="8" fillId="0" borderId="7" xfId="2" applyNumberFormat="1" applyFont="1" applyBorder="1" applyAlignment="1">
      <alignment horizontal="right" vertical="center"/>
    </xf>
    <xf numFmtId="1" fontId="14" fillId="0" borderId="29" xfId="2" applyNumberFormat="1" applyFont="1" applyBorder="1" applyAlignment="1">
      <alignment horizontal="right" vertical="center"/>
    </xf>
    <xf numFmtId="0" fontId="5" fillId="0" borderId="4" xfId="2" applyBorder="1" applyAlignment="1">
      <alignment horizontal="right" vertical="center"/>
    </xf>
    <xf numFmtId="0" fontId="5" fillId="0" borderId="0" xfId="2" applyAlignment="1">
      <alignment horizontal="right" vertical="center"/>
    </xf>
    <xf numFmtId="1" fontId="5" fillId="0" borderId="0" xfId="2" applyNumberFormat="1" applyAlignment="1">
      <alignment horizontal="right" vertical="center"/>
    </xf>
    <xf numFmtId="1" fontId="14" fillId="0" borderId="30" xfId="2" applyNumberFormat="1" applyFont="1" applyBorder="1" applyAlignment="1">
      <alignment horizontal="right" vertical="center"/>
    </xf>
    <xf numFmtId="0" fontId="5" fillId="0" borderId="14" xfId="2" applyBorder="1" applyAlignment="1">
      <alignment horizontal="right" vertical="center"/>
    </xf>
    <xf numFmtId="0" fontId="7" fillId="0" borderId="0" xfId="2" applyFont="1"/>
    <xf numFmtId="0" fontId="15" fillId="0" borderId="0" xfId="0" applyFont="1" applyAlignment="1"/>
    <xf numFmtId="1" fontId="14" fillId="0" borderId="0" xfId="2" applyNumberFormat="1" applyFont="1"/>
    <xf numFmtId="1" fontId="5" fillId="0" borderId="0" xfId="2" applyNumberFormat="1"/>
    <xf numFmtId="0" fontId="15" fillId="0" borderId="14" xfId="0" applyFont="1" applyBorder="1" applyAlignment="1"/>
    <xf numFmtId="0" fontId="13" fillId="0" borderId="1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49" fontId="14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14" fillId="0" borderId="12" xfId="0" applyFont="1" applyBorder="1" applyAlignment="1">
      <alignment horizontal="center" vertical="center"/>
    </xf>
    <xf numFmtId="168" fontId="14" fillId="0" borderId="7" xfId="0" applyNumberFormat="1" applyFont="1" applyBorder="1" applyAlignment="1">
      <alignment horizontal="right" vertical="center"/>
    </xf>
    <xf numFmtId="0" fontId="7" fillId="0" borderId="4" xfId="2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7" fillId="0" borderId="0" xfId="2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7" fillId="0" borderId="14" xfId="2" applyFont="1" applyBorder="1" applyAlignment="1">
      <alignment horizontal="right" vertical="center"/>
    </xf>
    <xf numFmtId="0" fontId="15" fillId="0" borderId="14" xfId="0" applyFont="1" applyBorder="1" applyAlignment="1">
      <alignment horizontal="right" vertical="center"/>
    </xf>
    <xf numFmtId="0" fontId="8" fillId="0" borderId="1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1" fontId="12" fillId="0" borderId="13" xfId="2" applyNumberFormat="1" applyFont="1" applyBorder="1" applyAlignment="1">
      <alignment horizontal="right" vertical="center" wrapText="1"/>
    </xf>
    <xf numFmtId="0" fontId="0" fillId="2" borderId="0" xfId="0" applyFill="1">
      <alignment vertical="center"/>
    </xf>
    <xf numFmtId="16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67" fontId="0" fillId="0" borderId="0" xfId="0" applyNumberFormat="1" applyAlignment="1">
      <alignment wrapText="1"/>
    </xf>
    <xf numFmtId="167" fontId="0" fillId="0" borderId="0" xfId="0" applyNumberFormat="1">
      <alignment vertical="center"/>
    </xf>
    <xf numFmtId="0" fontId="7" fillId="0" borderId="0" xfId="0" applyFont="1">
      <alignment vertical="center"/>
    </xf>
    <xf numFmtId="0" fontId="16" fillId="0" borderId="0" xfId="0" applyFont="1" applyAlignment="1"/>
    <xf numFmtId="0" fontId="6" fillId="0" borderId="0" xfId="0" applyFont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0" fillId="0" borderId="18" xfId="0" applyBorder="1">
      <alignment vertical="center"/>
    </xf>
    <xf numFmtId="0" fontId="0" fillId="0" borderId="27" xfId="0" applyBorder="1">
      <alignment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top" wrapText="1"/>
    </xf>
    <xf numFmtId="0" fontId="13" fillId="0" borderId="24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textRotation="255"/>
    </xf>
    <xf numFmtId="0" fontId="8" fillId="0" borderId="9" xfId="0" applyFont="1" applyBorder="1" applyAlignment="1">
      <alignment horizontal="center" vertical="center" textRotation="255"/>
    </xf>
    <xf numFmtId="0" fontId="6" fillId="0" borderId="17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</cellXfs>
  <cellStyles count="6">
    <cellStyle name="Normal" xfId="0" builtinId="0"/>
    <cellStyle name="常规 2" xfId="5" xr:uid="{00000000-0005-0000-0000-000035000000}"/>
    <cellStyle name="常规 4" xfId="3" xr:uid="{00000000-0005-0000-0000-000033000000}"/>
    <cellStyle name="常规 5" xfId="2" xr:uid="{00000000-0005-0000-0000-000032000000}"/>
    <cellStyle name="常规_Sheet1" xfId="4" xr:uid="{00000000-0005-0000-0000-000034000000}"/>
    <cellStyle name="常规_Sheet1_1 2" xfId="1" xr:uid="{00000000-0005-0000-0000-00002E000000}"/>
  </cellStyles>
  <dxfs count="1">
    <dxf>
      <fill>
        <patternFill patternType="solid"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2</xdr:row>
      <xdr:rowOff>47625</xdr:rowOff>
    </xdr:from>
    <xdr:to>
      <xdr:col>10</xdr:col>
      <xdr:colOff>600710</xdr:colOff>
      <xdr:row>9</xdr:row>
      <xdr:rowOff>76200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390525"/>
          <a:ext cx="7458075" cy="1228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11</xdr:row>
      <xdr:rowOff>104775</xdr:rowOff>
    </xdr:from>
    <xdr:to>
      <xdr:col>11</xdr:col>
      <xdr:colOff>106045</xdr:colOff>
      <xdr:row>18</xdr:row>
      <xdr:rowOff>111760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1990725"/>
          <a:ext cx="7640320" cy="1207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10160</xdr:colOff>
      <xdr:row>21</xdr:row>
      <xdr:rowOff>85725</xdr:rowOff>
    </xdr:from>
    <xdr:to>
      <xdr:col>12</xdr:col>
      <xdr:colOff>95885</xdr:colOff>
      <xdr:row>29</xdr:row>
      <xdr:rowOff>76200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60" y="3686175"/>
          <a:ext cx="8315325" cy="1362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10</xdr:col>
      <xdr:colOff>352425</xdr:colOff>
      <xdr:row>57</xdr:row>
      <xdr:rowOff>114300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657850"/>
          <a:ext cx="7210425" cy="4229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419735</xdr:colOff>
      <xdr:row>60</xdr:row>
      <xdr:rowOff>133350</xdr:rowOff>
    </xdr:from>
    <xdr:to>
      <xdr:col>8</xdr:col>
      <xdr:colOff>429260</xdr:colOff>
      <xdr:row>80</xdr:row>
      <xdr:rowOff>38100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9735" y="10763250"/>
          <a:ext cx="5495925" cy="3333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stats.gov.cn/easyquery.htm?cn=C0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cn.bing.com/search?q=%E4%B8%AD%E5%9B%BD%E7%94%9F%E7%89%A9%E8%B4%A8%E7%87%83%E6%96%99%E4%BB%B7%E6%A0%BC&amp;form=ANNNB1&amp;refig=a36c55b616894eae852a53dff38b39b8" TargetMode="External"/><Relationship Id="rId1" Type="http://schemas.openxmlformats.org/officeDocument/2006/relationships/hyperlink" Target="https://www.sohu.com/a/405079882_4223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F16" sqref="F16"/>
    </sheetView>
  </sheetViews>
  <sheetFormatPr defaultColWidth="9" defaultRowHeight="14.4"/>
  <sheetData>
    <row r="1" spans="1:2">
      <c r="A1" s="99" t="s">
        <v>0</v>
      </c>
    </row>
    <row r="3" spans="1:2">
      <c r="A3" s="100" t="s">
        <v>1</v>
      </c>
      <c r="B3" s="27" t="s">
        <v>2</v>
      </c>
    </row>
    <row r="4" spans="1:2">
      <c r="A4" s="27"/>
      <c r="B4" s="29">
        <v>2021</v>
      </c>
    </row>
    <row r="5" spans="1:2">
      <c r="A5" s="27"/>
      <c r="B5" s="27" t="s">
        <v>3</v>
      </c>
    </row>
    <row r="6" spans="1:2">
      <c r="B6" t="s">
        <v>4</v>
      </c>
    </row>
  </sheetData>
  <hyperlinks>
    <hyperlink ref="B6" r:id="rId1" tooltip="https://data.stats.gov.cn/easyquery.htm?cn=C01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62"/>
  <sheetViews>
    <sheetView workbookViewId="0">
      <selection activeCell="P62" sqref="P62"/>
    </sheetView>
  </sheetViews>
  <sheetFormatPr defaultColWidth="9" defaultRowHeight="14.4"/>
  <cols>
    <col min="15" max="15" width="11.44140625"/>
    <col min="16" max="16" width="12.6640625"/>
  </cols>
  <sheetData>
    <row r="2" spans="1:10">
      <c r="A2" s="94" t="s">
        <v>5</v>
      </c>
      <c r="C2" t="s">
        <v>6</v>
      </c>
      <c r="I2" s="94" t="s">
        <v>7</v>
      </c>
      <c r="J2">
        <v>900</v>
      </c>
    </row>
    <row r="11" spans="1:10">
      <c r="C11" t="s">
        <v>8</v>
      </c>
    </row>
    <row r="21" spans="1:15">
      <c r="A21" s="94" t="s">
        <v>9</v>
      </c>
      <c r="I21" s="94" t="s">
        <v>10</v>
      </c>
      <c r="J21">
        <v>2683000</v>
      </c>
      <c r="N21" t="s">
        <v>11</v>
      </c>
      <c r="O21">
        <f>J2*J21</f>
        <v>2414700000</v>
      </c>
    </row>
    <row r="22" spans="1:15">
      <c r="N22" t="s">
        <v>12</v>
      </c>
      <c r="O22">
        <v>241470</v>
      </c>
    </row>
    <row r="32" spans="1:15">
      <c r="A32" s="94" t="s">
        <v>13</v>
      </c>
      <c r="I32" t="s">
        <v>14</v>
      </c>
      <c r="J32">
        <v>1885</v>
      </c>
    </row>
    <row r="42" spans="5:5">
      <c r="E42" s="95"/>
    </row>
    <row r="60" spans="1:20" ht="43.2">
      <c r="A60" t="s">
        <v>15</v>
      </c>
      <c r="I60" t="s">
        <v>16</v>
      </c>
      <c r="J60">
        <v>29.5</v>
      </c>
      <c r="L60" t="s">
        <v>17</v>
      </c>
      <c r="M60">
        <f>J60*2204.6</f>
        <v>65035.7</v>
      </c>
      <c r="O60" t="s">
        <v>18</v>
      </c>
      <c r="P60">
        <f>M60*J32</f>
        <v>122592294.5</v>
      </c>
      <c r="S60" s="96" t="s">
        <v>19</v>
      </c>
      <c r="T60" s="97" t="s">
        <v>20</v>
      </c>
    </row>
    <row r="61" spans="1:20">
      <c r="O61" t="s">
        <v>21</v>
      </c>
      <c r="P61">
        <f>P60/T61</f>
        <v>890604363.82651782</v>
      </c>
      <c r="S61" t="s">
        <v>22</v>
      </c>
      <c r="T61" s="98">
        <v>0.13765067798823399</v>
      </c>
    </row>
    <row r="62" spans="1:20">
      <c r="O62" t="s">
        <v>23</v>
      </c>
      <c r="P62">
        <f>P61/10000</f>
        <v>89060.43638265178</v>
      </c>
    </row>
  </sheetData>
  <hyperlinks>
    <hyperlink ref="C2" r:id="rId1" tooltip="https://www.sohu.com/a/405079882_422316" xr:uid="{00000000-0004-0000-0100-000000000000}"/>
    <hyperlink ref="C11" r:id="rId2" tooltip="https://cn.bing.com/search?q=%E4%B8%AD%E5%9B%BD%E7%94%9F%E7%89%A9%E8%B4%A8%E7%87%83%E6%96%99%E4%BB%B7%E6%A0%BC&amp;form=ANNNB1&amp;refig=a36c55b616894eae852a53dff38b39b8" xr:uid="{00000000-0004-0000-0100-000001000000}"/>
  </hyperlinks>
  <pageMargins left="0.75" right="0.75" top="1" bottom="1" header="0.5" footer="0.5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55"/>
  <sheetViews>
    <sheetView workbookViewId="0">
      <pane xSplit="3" ySplit="6" topLeftCell="AK7" activePane="bottomRight" state="frozen"/>
      <selection pane="topRight"/>
      <selection pane="bottomLeft"/>
      <selection pane="bottomRight" activeCell="D7" sqref="D7"/>
    </sheetView>
  </sheetViews>
  <sheetFormatPr defaultColWidth="9" defaultRowHeight="14.4"/>
  <sheetData>
    <row r="1" spans="1:58">
      <c r="A1" s="31" t="s">
        <v>24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72"/>
      <c r="AX1" s="32"/>
      <c r="AY1" s="72"/>
      <c r="AZ1" s="32"/>
      <c r="BA1" s="32"/>
      <c r="BB1" s="72"/>
      <c r="BC1" s="32"/>
      <c r="BD1" s="73"/>
      <c r="BE1" s="32"/>
      <c r="BF1" s="32"/>
    </row>
    <row r="2" spans="1:58">
      <c r="A2" s="33" t="s">
        <v>25</v>
      </c>
      <c r="B2" s="32"/>
      <c r="C2" s="32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2"/>
      <c r="AT2" s="32"/>
      <c r="AU2" s="34"/>
      <c r="AV2" s="34"/>
      <c r="AW2" s="74"/>
      <c r="AX2" s="34"/>
      <c r="AY2" s="74"/>
      <c r="AZ2" s="34"/>
      <c r="BA2" s="34"/>
      <c r="BB2" s="74"/>
      <c r="BC2" s="75"/>
      <c r="BD2" s="73"/>
      <c r="BE2" s="75"/>
      <c r="BF2" s="32"/>
    </row>
    <row r="3" spans="1:58">
      <c r="A3" s="35" t="s">
        <v>26</v>
      </c>
      <c r="B3" s="36"/>
      <c r="C3" s="37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2"/>
      <c r="AT3" s="32"/>
      <c r="AU3" s="101"/>
      <c r="AV3" s="101"/>
      <c r="AW3" s="101"/>
      <c r="AX3" s="101"/>
      <c r="AY3" s="101"/>
      <c r="AZ3" s="101"/>
      <c r="BA3" s="101"/>
      <c r="BB3" s="101"/>
      <c r="BC3" s="101"/>
      <c r="BD3" s="76"/>
      <c r="BE3" s="32"/>
      <c r="BF3" s="32">
        <f>BD7+AT7</f>
        <v>1395945287.9009571</v>
      </c>
    </row>
    <row r="4" spans="1:58">
      <c r="A4" s="121" t="s">
        <v>27</v>
      </c>
      <c r="B4" s="122"/>
      <c r="C4" s="115" t="s">
        <v>28</v>
      </c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3"/>
      <c r="AS4" s="103"/>
      <c r="AT4" s="104"/>
      <c r="AU4" s="105" t="s">
        <v>29</v>
      </c>
      <c r="AV4" s="106"/>
      <c r="AW4" s="106"/>
      <c r="AX4" s="106"/>
      <c r="AY4" s="106"/>
      <c r="AZ4" s="106"/>
      <c r="BA4" s="106"/>
      <c r="BB4" s="106"/>
      <c r="BC4" s="106"/>
      <c r="BD4" s="107"/>
      <c r="BE4" s="117" t="s">
        <v>30</v>
      </c>
      <c r="BF4" s="119" t="s">
        <v>31</v>
      </c>
    </row>
    <row r="5" spans="1:58" ht="84">
      <c r="A5" s="123"/>
      <c r="B5" s="124"/>
      <c r="C5" s="116"/>
      <c r="D5" s="39" t="s">
        <v>32</v>
      </c>
      <c r="E5" s="40" t="s">
        <v>33</v>
      </c>
      <c r="F5" s="40" t="s">
        <v>34</v>
      </c>
      <c r="G5" s="40" t="s">
        <v>35</v>
      </c>
      <c r="H5" s="40" t="s">
        <v>36</v>
      </c>
      <c r="I5" s="40" t="s">
        <v>37</v>
      </c>
      <c r="J5" s="40" t="s">
        <v>38</v>
      </c>
      <c r="K5" s="40" t="s">
        <v>39</v>
      </c>
      <c r="L5" s="40" t="s">
        <v>40</v>
      </c>
      <c r="M5" s="40" t="s">
        <v>41</v>
      </c>
      <c r="N5" s="40" t="s">
        <v>42</v>
      </c>
      <c r="O5" s="40" t="s">
        <v>43</v>
      </c>
      <c r="P5" s="40" t="s">
        <v>44</v>
      </c>
      <c r="Q5" s="59" t="s">
        <v>45</v>
      </c>
      <c r="R5" s="59" t="s">
        <v>46</v>
      </c>
      <c r="S5" s="59" t="s">
        <v>47</v>
      </c>
      <c r="T5" s="59" t="s">
        <v>48</v>
      </c>
      <c r="U5" s="60" t="s">
        <v>49</v>
      </c>
      <c r="V5" s="59" t="s">
        <v>50</v>
      </c>
      <c r="W5" s="59" t="s">
        <v>51</v>
      </c>
      <c r="X5" s="59" t="s">
        <v>52</v>
      </c>
      <c r="Y5" s="59" t="s">
        <v>53</v>
      </c>
      <c r="Z5" s="60" t="s">
        <v>54</v>
      </c>
      <c r="AA5" s="60" t="s">
        <v>55</v>
      </c>
      <c r="AB5" s="60" t="s">
        <v>56</v>
      </c>
      <c r="AC5" s="60" t="s">
        <v>57</v>
      </c>
      <c r="AD5" s="59" t="s">
        <v>58</v>
      </c>
      <c r="AE5" s="59" t="s">
        <v>59</v>
      </c>
      <c r="AF5" s="59" t="s">
        <v>60</v>
      </c>
      <c r="AG5" s="59" t="s">
        <v>61</v>
      </c>
      <c r="AH5" s="59" t="s">
        <v>62</v>
      </c>
      <c r="AI5" s="59" t="s">
        <v>63</v>
      </c>
      <c r="AJ5" s="59" t="s">
        <v>64</v>
      </c>
      <c r="AK5" s="59" t="s">
        <v>65</v>
      </c>
      <c r="AL5" s="59" t="s">
        <v>66</v>
      </c>
      <c r="AM5" s="59" t="s">
        <v>67</v>
      </c>
      <c r="AN5" s="59" t="s">
        <v>68</v>
      </c>
      <c r="AO5" s="59" t="s">
        <v>69</v>
      </c>
      <c r="AP5" s="59" t="s">
        <v>70</v>
      </c>
      <c r="AQ5" s="59" t="s">
        <v>71</v>
      </c>
      <c r="AR5" s="59" t="s">
        <v>72</v>
      </c>
      <c r="AS5" s="59" t="s">
        <v>73</v>
      </c>
      <c r="AT5" s="61" t="s">
        <v>74</v>
      </c>
      <c r="AU5" s="62" t="s">
        <v>75</v>
      </c>
      <c r="AV5" s="62" t="s">
        <v>76</v>
      </c>
      <c r="AW5" s="77" t="s">
        <v>77</v>
      </c>
      <c r="AX5" s="62" t="s">
        <v>78</v>
      </c>
      <c r="AY5" s="77" t="s">
        <v>79</v>
      </c>
      <c r="AZ5" s="62" t="s">
        <v>80</v>
      </c>
      <c r="BA5" s="62" t="s">
        <v>81</v>
      </c>
      <c r="BB5" s="77" t="s">
        <v>82</v>
      </c>
      <c r="BC5" s="78" t="s">
        <v>83</v>
      </c>
      <c r="BD5" s="79" t="s">
        <v>84</v>
      </c>
      <c r="BE5" s="118"/>
      <c r="BF5" s="120"/>
    </row>
    <row r="6" spans="1:58">
      <c r="A6" s="32"/>
      <c r="B6" s="41" t="s">
        <v>28</v>
      </c>
      <c r="C6" s="42" t="s">
        <v>85</v>
      </c>
      <c r="D6" s="43" t="s">
        <v>86</v>
      </c>
      <c r="E6" s="43" t="s">
        <v>87</v>
      </c>
      <c r="F6" s="43" t="s">
        <v>88</v>
      </c>
      <c r="G6" s="43" t="s">
        <v>89</v>
      </c>
      <c r="H6" s="43" t="s">
        <v>90</v>
      </c>
      <c r="I6" s="43" t="s">
        <v>91</v>
      </c>
      <c r="J6" s="43" t="s">
        <v>92</v>
      </c>
      <c r="K6" s="43" t="s">
        <v>93</v>
      </c>
      <c r="L6" s="43" t="s">
        <v>94</v>
      </c>
      <c r="M6" s="43" t="s">
        <v>95</v>
      </c>
      <c r="N6" s="43" t="s">
        <v>96</v>
      </c>
      <c r="O6" s="43" t="s">
        <v>97</v>
      </c>
      <c r="P6" s="43" t="s">
        <v>98</v>
      </c>
      <c r="Q6" s="43" t="s">
        <v>99</v>
      </c>
      <c r="R6" s="43" t="s">
        <v>100</v>
      </c>
      <c r="S6" s="43" t="s">
        <v>101</v>
      </c>
      <c r="T6" s="43" t="s">
        <v>102</v>
      </c>
      <c r="U6" s="43" t="s">
        <v>103</v>
      </c>
      <c r="V6" s="43" t="s">
        <v>104</v>
      </c>
      <c r="W6" s="43" t="s">
        <v>105</v>
      </c>
      <c r="X6" s="43" t="s">
        <v>106</v>
      </c>
      <c r="Y6" s="43" t="s">
        <v>107</v>
      </c>
      <c r="Z6" s="43" t="s">
        <v>108</v>
      </c>
      <c r="AA6" s="43" t="s">
        <v>109</v>
      </c>
      <c r="AB6" s="43" t="s">
        <v>110</v>
      </c>
      <c r="AC6" s="43" t="s">
        <v>111</v>
      </c>
      <c r="AD6" s="43" t="s">
        <v>112</v>
      </c>
      <c r="AE6" s="43" t="s">
        <v>113</v>
      </c>
      <c r="AF6" s="43" t="s">
        <v>114</v>
      </c>
      <c r="AG6" s="43" t="s">
        <v>115</v>
      </c>
      <c r="AH6" s="43" t="s">
        <v>116</v>
      </c>
      <c r="AI6" s="43" t="s">
        <v>117</v>
      </c>
      <c r="AJ6" s="43" t="s">
        <v>118</v>
      </c>
      <c r="AK6" s="43" t="s">
        <v>119</v>
      </c>
      <c r="AL6" s="43" t="s">
        <v>120</v>
      </c>
      <c r="AM6" s="43" t="s">
        <v>118</v>
      </c>
      <c r="AN6" s="43" t="s">
        <v>121</v>
      </c>
      <c r="AO6" s="43" t="s">
        <v>122</v>
      </c>
      <c r="AP6" s="43" t="s">
        <v>123</v>
      </c>
      <c r="AQ6" s="43" t="s">
        <v>124</v>
      </c>
      <c r="AR6" s="43" t="s">
        <v>125</v>
      </c>
      <c r="AS6" s="43" t="s">
        <v>126</v>
      </c>
      <c r="AT6" s="43" t="s">
        <v>127</v>
      </c>
      <c r="AU6" s="63" t="s">
        <v>128</v>
      </c>
      <c r="AV6" s="63" t="s">
        <v>129</v>
      </c>
      <c r="AW6" s="80" t="s">
        <v>130</v>
      </c>
      <c r="AX6" s="63" t="s">
        <v>131</v>
      </c>
      <c r="AY6" s="80" t="s">
        <v>132</v>
      </c>
      <c r="AZ6" s="63" t="s">
        <v>133</v>
      </c>
      <c r="BA6" s="63" t="s">
        <v>134</v>
      </c>
      <c r="BB6" s="80" t="s">
        <v>135</v>
      </c>
      <c r="BC6" s="81" t="s">
        <v>136</v>
      </c>
      <c r="BD6" s="82" t="s">
        <v>137</v>
      </c>
      <c r="BE6" s="91" t="s">
        <v>138</v>
      </c>
      <c r="BF6" s="92" t="s">
        <v>139</v>
      </c>
    </row>
    <row r="7" spans="1:58" ht="32.4">
      <c r="A7" s="110"/>
      <c r="B7" s="28" t="s">
        <v>32</v>
      </c>
      <c r="C7" s="44" t="s">
        <v>86</v>
      </c>
      <c r="D7" s="45">
        <v>183133769.00858301</v>
      </c>
      <c r="E7" s="45">
        <v>203490.68408443301</v>
      </c>
      <c r="F7" s="45">
        <v>2231.1266199760998</v>
      </c>
      <c r="G7" s="45">
        <v>30366.117979029001</v>
      </c>
      <c r="H7" s="45">
        <v>118.548902968788</v>
      </c>
      <c r="I7" s="45">
        <v>467586720.28646201</v>
      </c>
      <c r="J7" s="45">
        <v>82006169.486367702</v>
      </c>
      <c r="K7" s="45">
        <v>31973462.848005898</v>
      </c>
      <c r="L7" s="45">
        <v>53736066.677819602</v>
      </c>
      <c r="M7" s="45">
        <v>15804.3604181711</v>
      </c>
      <c r="N7" s="45">
        <v>11513733.3673205</v>
      </c>
      <c r="O7" s="45">
        <v>44821824.893563502</v>
      </c>
      <c r="P7" s="45">
        <v>7680873.6462266697</v>
      </c>
      <c r="Q7" s="45">
        <v>218881.18769850201</v>
      </c>
      <c r="R7" s="45">
        <v>20627.161501968301</v>
      </c>
      <c r="S7" s="45">
        <v>15998.126294932499</v>
      </c>
      <c r="T7" s="45">
        <v>97311.762035804</v>
      </c>
      <c r="U7" s="45">
        <v>27411.881051118198</v>
      </c>
      <c r="V7" s="45">
        <v>79539.685076425099</v>
      </c>
      <c r="W7" s="45">
        <v>26629.6079430389</v>
      </c>
      <c r="X7" s="45">
        <v>12565.823957512001</v>
      </c>
      <c r="Y7" s="45">
        <v>68073.7608283015</v>
      </c>
      <c r="Z7" s="45">
        <v>2175.5735884985602</v>
      </c>
      <c r="AA7" s="45">
        <v>3451035.1821262799</v>
      </c>
      <c r="AB7" s="45">
        <v>101721.231936442</v>
      </c>
      <c r="AC7" s="45">
        <v>1310.78692957769</v>
      </c>
      <c r="AD7" s="45">
        <v>0</v>
      </c>
      <c r="AE7" s="45">
        <v>18834171.9565458</v>
      </c>
      <c r="AF7" s="45">
        <v>13768.593246832301</v>
      </c>
      <c r="AG7" s="45">
        <v>154389.965643367</v>
      </c>
      <c r="AH7" s="45">
        <v>53857078.585626699</v>
      </c>
      <c r="AI7" s="45">
        <v>509534.91520112101</v>
      </c>
      <c r="AJ7" s="45">
        <v>67279.739160820202</v>
      </c>
      <c r="AK7" s="45">
        <v>336941.12881730997</v>
      </c>
      <c r="AL7" s="45">
        <v>7363183.3790552802</v>
      </c>
      <c r="AM7" s="45">
        <v>4230391.8261997299</v>
      </c>
      <c r="AN7" s="45">
        <v>1149759.56904357</v>
      </c>
      <c r="AO7" s="45">
        <v>2268491.10930721</v>
      </c>
      <c r="AP7" s="45">
        <v>612269.38744812203</v>
      </c>
      <c r="AQ7" s="45">
        <v>605609.60475212894</v>
      </c>
      <c r="AR7" s="45">
        <v>477755.87084350502</v>
      </c>
      <c r="AS7" s="45">
        <v>9519615.66929329</v>
      </c>
      <c r="AT7" s="45">
        <v>954854691.27550101</v>
      </c>
      <c r="AU7" s="45">
        <v>109745451.40185501</v>
      </c>
      <c r="AV7" s="45">
        <v>221055004.42388201</v>
      </c>
      <c r="AW7" s="45">
        <v>330800455.825737</v>
      </c>
      <c r="AX7" s="45">
        <v>19639627.580839101</v>
      </c>
      <c r="AY7" s="45">
        <v>350440083.40657598</v>
      </c>
      <c r="AZ7" s="45">
        <v>17577339.566559002</v>
      </c>
      <c r="BA7" s="45">
        <v>54901501.621725</v>
      </c>
      <c r="BB7" s="45">
        <v>72478841.188283995</v>
      </c>
      <c r="BC7" s="45">
        <v>18171672.030595101</v>
      </c>
      <c r="BD7" s="45">
        <v>441090596.62545598</v>
      </c>
      <c r="BE7" s="45">
        <v>64262037.629985198</v>
      </c>
      <c r="BF7" s="45">
        <v>1331683250.2709701</v>
      </c>
    </row>
    <row r="8" spans="1:58" ht="32.4">
      <c r="A8" s="110"/>
      <c r="B8" s="28" t="s">
        <v>33</v>
      </c>
      <c r="C8" s="44" t="s">
        <v>87</v>
      </c>
      <c r="D8" s="45">
        <v>601665.538401025</v>
      </c>
      <c r="E8" s="45">
        <v>36204793.6824397</v>
      </c>
      <c r="F8" s="45">
        <v>63785.089784693002</v>
      </c>
      <c r="G8" s="45">
        <v>1725453.8706338899</v>
      </c>
      <c r="H8" s="45">
        <v>60512.7785480819</v>
      </c>
      <c r="I8" s="45">
        <v>2167450.15250292</v>
      </c>
      <c r="J8" s="45">
        <v>1809485.7307809701</v>
      </c>
      <c r="K8" s="45">
        <v>280086.13462574099</v>
      </c>
      <c r="L8" s="45">
        <v>3698845.8920788602</v>
      </c>
      <c r="M8" s="45">
        <v>22001119.828746099</v>
      </c>
      <c r="N8" s="45">
        <v>21794626.064204998</v>
      </c>
      <c r="O8" s="45">
        <v>436019.61784148501</v>
      </c>
      <c r="P8" s="45">
        <v>562146.69443158899</v>
      </c>
      <c r="Q8" s="45">
        <v>34167884.2571337</v>
      </c>
      <c r="R8" s="45">
        <v>21281682.9252996</v>
      </c>
      <c r="S8" s="45">
        <v>3302161.3408503002</v>
      </c>
      <c r="T8" s="45">
        <v>494727.50506545597</v>
      </c>
      <c r="U8" s="45">
        <v>360707.784187513</v>
      </c>
      <c r="V8" s="45">
        <v>252507.67466881199</v>
      </c>
      <c r="W8" s="45">
        <v>48318.134936206698</v>
      </c>
      <c r="X8" s="45">
        <v>49904.045640293603</v>
      </c>
      <c r="Y8" s="45">
        <v>214230.20991276501</v>
      </c>
      <c r="Z8" s="45">
        <v>20070.6192482144</v>
      </c>
      <c r="AA8" s="45">
        <v>178085.13534955701</v>
      </c>
      <c r="AB8" s="45">
        <v>93800322.346398696</v>
      </c>
      <c r="AC8" s="45">
        <v>2360515.4870768199</v>
      </c>
      <c r="AD8" s="45">
        <v>0</v>
      </c>
      <c r="AE8" s="45">
        <v>843243.22422716196</v>
      </c>
      <c r="AF8" s="45">
        <v>45563.861165130103</v>
      </c>
      <c r="AG8" s="45">
        <v>128090.518834844</v>
      </c>
      <c r="AH8" s="45">
        <v>50429.8104455348</v>
      </c>
      <c r="AI8" s="45">
        <v>0</v>
      </c>
      <c r="AJ8" s="45">
        <v>17218.229644303101</v>
      </c>
      <c r="AK8" s="45">
        <v>63307.689676131602</v>
      </c>
      <c r="AL8" s="45">
        <v>64.301927438646302</v>
      </c>
      <c r="AM8" s="45">
        <v>234549.26818834001</v>
      </c>
      <c r="AN8" s="45">
        <v>170081.93752087501</v>
      </c>
      <c r="AO8" s="45">
        <v>326757.72811334702</v>
      </c>
      <c r="AP8" s="45">
        <v>607785.81586245506</v>
      </c>
      <c r="AQ8" s="45">
        <v>360760.39266515698</v>
      </c>
      <c r="AR8" s="45">
        <v>41612.685146271499</v>
      </c>
      <c r="AS8" s="45">
        <v>603682.14532045706</v>
      </c>
      <c r="AT8" s="64">
        <v>251150170.0149</v>
      </c>
      <c r="AU8" s="65">
        <v>753293.48323987797</v>
      </c>
      <c r="AV8" s="65">
        <v>468986.09634170099</v>
      </c>
      <c r="AW8" s="64">
        <v>1222279.5795815799</v>
      </c>
      <c r="AX8" s="65">
        <v>0</v>
      </c>
      <c r="AY8" s="64">
        <v>1222279.5795815799</v>
      </c>
      <c r="AZ8" s="65">
        <v>0</v>
      </c>
      <c r="BA8" s="65">
        <v>-2627614.6415468901</v>
      </c>
      <c r="BB8" s="64">
        <v>-2627614.6415468901</v>
      </c>
      <c r="BC8" s="65">
        <v>260795.53562456899</v>
      </c>
      <c r="BD8" s="83">
        <v>-1144539.52634074</v>
      </c>
      <c r="BE8" s="65">
        <v>14933018.4856</v>
      </c>
      <c r="BF8" s="66">
        <v>235072612.00295901</v>
      </c>
    </row>
    <row r="9" spans="1:58" ht="32.4">
      <c r="A9" s="110"/>
      <c r="B9" s="28" t="s">
        <v>34</v>
      </c>
      <c r="C9" s="44" t="s">
        <v>88</v>
      </c>
      <c r="D9" s="45">
        <v>0</v>
      </c>
      <c r="E9" s="45">
        <v>44377.409200752503</v>
      </c>
      <c r="F9" s="45">
        <v>535454.38845314702</v>
      </c>
      <c r="G9" s="45">
        <v>31524.5192237171</v>
      </c>
      <c r="H9" s="45">
        <v>15664.728389906701</v>
      </c>
      <c r="I9" s="45">
        <v>0</v>
      </c>
      <c r="J9" s="45">
        <v>0</v>
      </c>
      <c r="K9" s="45">
        <v>0</v>
      </c>
      <c r="L9" s="45">
        <v>59261.942827036197</v>
      </c>
      <c r="M9" s="45">
        <v>187886293.75204399</v>
      </c>
      <c r="N9" s="45">
        <v>16889359.6350297</v>
      </c>
      <c r="O9" s="45">
        <v>26683.811355182301</v>
      </c>
      <c r="P9" s="45">
        <v>822898.05516862404</v>
      </c>
      <c r="Q9" s="45">
        <v>1363725.1848709099</v>
      </c>
      <c r="R9" s="45">
        <v>372310.778593975</v>
      </c>
      <c r="S9" s="45">
        <v>752409.26404975797</v>
      </c>
      <c r="T9" s="45">
        <v>586961.70180362405</v>
      </c>
      <c r="U9" s="45">
        <v>564473.99473040295</v>
      </c>
      <c r="V9" s="45">
        <v>372468.27386265399</v>
      </c>
      <c r="W9" s="45">
        <v>425241.52690250898</v>
      </c>
      <c r="X9" s="45">
        <v>143883.096274343</v>
      </c>
      <c r="Y9" s="45">
        <v>68067.404685126705</v>
      </c>
      <c r="Z9" s="45">
        <v>0</v>
      </c>
      <c r="AA9" s="45">
        <v>0</v>
      </c>
      <c r="AB9" s="45">
        <v>6735286.1471629096</v>
      </c>
      <c r="AC9" s="45">
        <v>33825563.811464399</v>
      </c>
      <c r="AD9" s="45">
        <v>0</v>
      </c>
      <c r="AE9" s="45">
        <v>0</v>
      </c>
      <c r="AF9" s="45">
        <v>0</v>
      </c>
      <c r="AG9" s="45">
        <v>487.91952830347202</v>
      </c>
      <c r="AH9" s="45">
        <v>0</v>
      </c>
      <c r="AI9" s="45">
        <v>0</v>
      </c>
      <c r="AJ9" s="45">
        <v>0</v>
      </c>
      <c r="AK9" s="45">
        <v>0</v>
      </c>
      <c r="AL9" s="45">
        <v>0</v>
      </c>
      <c r="AM9" s="45">
        <v>2507.1571750275598</v>
      </c>
      <c r="AN9" s="45">
        <v>0</v>
      </c>
      <c r="AO9" s="45">
        <v>0</v>
      </c>
      <c r="AP9" s="45">
        <v>0</v>
      </c>
      <c r="AQ9" s="45">
        <v>34579.890377714801</v>
      </c>
      <c r="AR9" s="45">
        <v>1756.02572738146</v>
      </c>
      <c r="AS9" s="45">
        <v>48307.892179915703</v>
      </c>
      <c r="AT9" s="64">
        <v>251609548.31108099</v>
      </c>
      <c r="AU9" s="65">
        <v>0</v>
      </c>
      <c r="AV9" s="65">
        <v>0</v>
      </c>
      <c r="AW9" s="64">
        <v>0</v>
      </c>
      <c r="AX9" s="65">
        <v>0</v>
      </c>
      <c r="AY9" s="64">
        <v>0</v>
      </c>
      <c r="AZ9" s="65">
        <v>0</v>
      </c>
      <c r="BA9" s="65">
        <v>288640.90826580301</v>
      </c>
      <c r="BB9" s="64">
        <v>288640.90826580301</v>
      </c>
      <c r="BC9" s="65">
        <v>1085317.43329964</v>
      </c>
      <c r="BD9" s="83">
        <v>1373958.3415654399</v>
      </c>
      <c r="BE9" s="65">
        <v>145293939.37647599</v>
      </c>
      <c r="BF9" s="66">
        <v>107689567.27617</v>
      </c>
    </row>
    <row r="10" spans="1:58" ht="32.4">
      <c r="A10" s="110"/>
      <c r="B10" s="28" t="s">
        <v>35</v>
      </c>
      <c r="C10" s="44" t="s">
        <v>89</v>
      </c>
      <c r="D10" s="45">
        <v>2307.8115185747502</v>
      </c>
      <c r="E10" s="45">
        <v>45270.045796420804</v>
      </c>
      <c r="F10" s="45">
        <v>20550.067837663199</v>
      </c>
      <c r="G10" s="45">
        <v>12059564.9586758</v>
      </c>
      <c r="H10" s="45">
        <v>74468.260627687894</v>
      </c>
      <c r="I10" s="45">
        <v>62486.303967056097</v>
      </c>
      <c r="J10" s="45">
        <v>20915.9223997197</v>
      </c>
      <c r="K10" s="45">
        <v>14130.600939591101</v>
      </c>
      <c r="L10" s="45">
        <v>917816.88813265401</v>
      </c>
      <c r="M10" s="45">
        <v>351666.07211173401</v>
      </c>
      <c r="N10" s="45">
        <v>13663939.405401301</v>
      </c>
      <c r="O10" s="45">
        <v>218560.812755461</v>
      </c>
      <c r="P10" s="45">
        <v>57763.343714702503</v>
      </c>
      <c r="Q10" s="45">
        <v>51091548.573826402</v>
      </c>
      <c r="R10" s="45">
        <v>132438838.939999</v>
      </c>
      <c r="S10" s="45">
        <v>78502942.851173803</v>
      </c>
      <c r="T10" s="45">
        <v>6503772.5155035397</v>
      </c>
      <c r="U10" s="45">
        <v>64839.412482434498</v>
      </c>
      <c r="V10" s="45">
        <v>122513.00041072399</v>
      </c>
      <c r="W10" s="45">
        <v>165447.67931237299</v>
      </c>
      <c r="X10" s="45">
        <v>51425.008783817597</v>
      </c>
      <c r="Y10" s="45">
        <v>614877.85152406897</v>
      </c>
      <c r="Z10" s="45">
        <v>90520.249422050794</v>
      </c>
      <c r="AA10" s="45">
        <v>56747.978985439899</v>
      </c>
      <c r="AB10" s="45">
        <v>106588.815233874</v>
      </c>
      <c r="AC10" s="45">
        <v>0</v>
      </c>
      <c r="AD10" s="45">
        <v>0</v>
      </c>
      <c r="AE10" s="45">
        <v>24113818.501206901</v>
      </c>
      <c r="AF10" s="45">
        <v>60555.457465035601</v>
      </c>
      <c r="AG10" s="45">
        <v>179268.14835334101</v>
      </c>
      <c r="AH10" s="45">
        <v>4016.8528267524398</v>
      </c>
      <c r="AI10" s="45">
        <v>87.113671940353896</v>
      </c>
      <c r="AJ10" s="45">
        <v>747.23882856312105</v>
      </c>
      <c r="AK10" s="45">
        <v>376.87523853913302</v>
      </c>
      <c r="AL10" s="45">
        <v>1678.8513859603499</v>
      </c>
      <c r="AM10" s="45">
        <v>333550.55546202097</v>
      </c>
      <c r="AN10" s="45">
        <v>3880.5923173810202</v>
      </c>
      <c r="AO10" s="45">
        <v>3727.6437269153698</v>
      </c>
      <c r="AP10" s="45">
        <v>2965.11773276757</v>
      </c>
      <c r="AQ10" s="45">
        <v>1023.05544281491</v>
      </c>
      <c r="AR10" s="45">
        <v>5435.0280575937004</v>
      </c>
      <c r="AS10" s="45">
        <v>31541.5542402049</v>
      </c>
      <c r="AT10" s="45">
        <v>322048045.35555297</v>
      </c>
      <c r="AU10" s="45">
        <v>0</v>
      </c>
      <c r="AV10" s="45">
        <v>0</v>
      </c>
      <c r="AW10" s="45">
        <v>0</v>
      </c>
      <c r="AX10" s="45">
        <v>0</v>
      </c>
      <c r="AY10" s="45">
        <v>0</v>
      </c>
      <c r="AZ10" s="45">
        <v>0</v>
      </c>
      <c r="BA10" s="45">
        <v>2801192.3120360398</v>
      </c>
      <c r="BB10" s="45">
        <v>2801192.3120360398</v>
      </c>
      <c r="BC10" s="45">
        <v>3333103.89853743</v>
      </c>
      <c r="BD10" s="45">
        <v>6134296.2105734702</v>
      </c>
      <c r="BE10" s="45">
        <v>134647742.327847</v>
      </c>
      <c r="BF10" s="45">
        <v>193534599.23827901</v>
      </c>
    </row>
    <row r="11" spans="1:58" ht="43.2">
      <c r="A11" s="110"/>
      <c r="B11" s="28" t="s">
        <v>36</v>
      </c>
      <c r="C11" s="44" t="s">
        <v>90</v>
      </c>
      <c r="D11" s="45">
        <v>0</v>
      </c>
      <c r="E11" s="45">
        <v>1372272.5958966599</v>
      </c>
      <c r="F11" s="45">
        <v>16942467.356343601</v>
      </c>
      <c r="G11" s="45">
        <v>1047957.68174087</v>
      </c>
      <c r="H11" s="45">
        <v>177012.61799321501</v>
      </c>
      <c r="I11" s="45">
        <v>466046.58840800601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12.6722374204862</v>
      </c>
      <c r="AA11" s="45">
        <v>0</v>
      </c>
      <c r="AB11" s="45">
        <v>231004.90996498999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45">
        <v>0</v>
      </c>
      <c r="AJ11" s="45">
        <v>0</v>
      </c>
      <c r="AK11" s="45">
        <v>0</v>
      </c>
      <c r="AL11" s="45">
        <v>0</v>
      </c>
      <c r="AM11" s="45">
        <v>0</v>
      </c>
      <c r="AN11" s="45">
        <v>0</v>
      </c>
      <c r="AO11" s="45">
        <v>0</v>
      </c>
      <c r="AP11" s="45">
        <v>0</v>
      </c>
      <c r="AQ11" s="45">
        <v>0</v>
      </c>
      <c r="AR11" s="45">
        <v>0</v>
      </c>
      <c r="AS11" s="45">
        <v>0</v>
      </c>
      <c r="AT11" s="64">
        <v>20236774.422584798</v>
      </c>
      <c r="AU11" s="65">
        <v>0</v>
      </c>
      <c r="AV11" s="65">
        <v>0</v>
      </c>
      <c r="AW11" s="64">
        <v>0</v>
      </c>
      <c r="AX11" s="65">
        <v>0</v>
      </c>
      <c r="AY11" s="64">
        <v>0</v>
      </c>
      <c r="AZ11" s="65">
        <v>0</v>
      </c>
      <c r="BA11" s="65">
        <v>0</v>
      </c>
      <c r="BB11" s="64">
        <v>0</v>
      </c>
      <c r="BC11" s="65">
        <v>0</v>
      </c>
      <c r="BD11" s="83">
        <v>0</v>
      </c>
      <c r="BE11" s="65">
        <v>0</v>
      </c>
      <c r="BF11" s="66">
        <v>20236774.422584798</v>
      </c>
    </row>
    <row r="12" spans="1:58" ht="21.6">
      <c r="A12" s="110"/>
      <c r="B12" s="28" t="s">
        <v>37</v>
      </c>
      <c r="C12" s="44" t="s">
        <v>91</v>
      </c>
      <c r="D12" s="45">
        <v>108184867.522413</v>
      </c>
      <c r="E12" s="45">
        <v>413271.65844336699</v>
      </c>
      <c r="F12" s="45">
        <v>79328.1272889104</v>
      </c>
      <c r="G12" s="45">
        <v>942010.64600477298</v>
      </c>
      <c r="H12" s="45">
        <v>15471.0429285469</v>
      </c>
      <c r="I12" s="45">
        <v>249372493.69703001</v>
      </c>
      <c r="J12" s="45">
        <v>14128691.5738324</v>
      </c>
      <c r="K12" s="45">
        <v>1247437.6388638699</v>
      </c>
      <c r="L12" s="45">
        <v>3016090.1708590901</v>
      </c>
      <c r="M12" s="45">
        <v>3256002.5538341198</v>
      </c>
      <c r="N12" s="45">
        <v>25114335.1987531</v>
      </c>
      <c r="O12" s="45">
        <v>7560676.0969755901</v>
      </c>
      <c r="P12" s="45">
        <v>750764.12286723498</v>
      </c>
      <c r="Q12" s="45">
        <v>1766033.0825439</v>
      </c>
      <c r="R12" s="45">
        <v>3822314.4307082701</v>
      </c>
      <c r="S12" s="45">
        <v>4171930.42313954</v>
      </c>
      <c r="T12" s="45">
        <v>2846827.6921563102</v>
      </c>
      <c r="U12" s="45">
        <v>4402856.8840291603</v>
      </c>
      <c r="V12" s="45">
        <v>2451141.56851923</v>
      </c>
      <c r="W12" s="45">
        <v>2157646.3784742099</v>
      </c>
      <c r="X12" s="45">
        <v>1244965.1723612901</v>
      </c>
      <c r="Y12" s="45">
        <v>4524092.6392990705</v>
      </c>
      <c r="Z12" s="45">
        <v>7303684.2971111601</v>
      </c>
      <c r="AA12" s="45">
        <v>618269.90207279206</v>
      </c>
      <c r="AB12" s="45">
        <v>5006459.0918666804</v>
      </c>
      <c r="AC12" s="45">
        <v>538269.50862606696</v>
      </c>
      <c r="AD12" s="45">
        <v>432454.54748725903</v>
      </c>
      <c r="AE12" s="45">
        <v>5743107.4265601104</v>
      </c>
      <c r="AF12" s="45">
        <v>2301664.0439841002</v>
      </c>
      <c r="AG12" s="45">
        <v>7651112.7979270304</v>
      </c>
      <c r="AH12" s="45">
        <v>127743752.704125</v>
      </c>
      <c r="AI12" s="45">
        <v>5595412.7393014701</v>
      </c>
      <c r="AJ12" s="45">
        <v>2856239.8503461499</v>
      </c>
      <c r="AK12" s="45">
        <v>4673588.7287675804</v>
      </c>
      <c r="AL12" s="45">
        <v>16568941.000821199</v>
      </c>
      <c r="AM12" s="45">
        <v>4782871.6076720497</v>
      </c>
      <c r="AN12" s="45">
        <v>3289851.36364205</v>
      </c>
      <c r="AO12" s="45">
        <v>7513197.7088389201</v>
      </c>
      <c r="AP12" s="45">
        <v>12503170.855266299</v>
      </c>
      <c r="AQ12" s="45">
        <v>7006157.6699213404</v>
      </c>
      <c r="AR12" s="45">
        <v>9671567.5998847503</v>
      </c>
      <c r="AS12" s="45">
        <v>7647553.5130842999</v>
      </c>
      <c r="AT12" s="45">
        <v>679669137.639768</v>
      </c>
      <c r="AU12" s="45">
        <v>156188434.73749101</v>
      </c>
      <c r="AV12" s="45">
        <v>452326731.01745701</v>
      </c>
      <c r="AW12" s="45">
        <v>608515165.75494802</v>
      </c>
      <c r="AX12" s="45">
        <v>0</v>
      </c>
      <c r="AY12" s="45">
        <v>608515165.75494802</v>
      </c>
      <c r="AZ12" s="45">
        <v>0</v>
      </c>
      <c r="BA12" s="45">
        <v>8525640.2327463608</v>
      </c>
      <c r="BB12" s="45">
        <v>8525640.2327463608</v>
      </c>
      <c r="BC12" s="45">
        <v>35833494.4737183</v>
      </c>
      <c r="BD12" s="45">
        <v>652874300.46141303</v>
      </c>
      <c r="BE12" s="45">
        <v>81180639.930074707</v>
      </c>
      <c r="BF12" s="45">
        <v>1251362798.1711099</v>
      </c>
    </row>
    <row r="13" spans="1:58" ht="54">
      <c r="A13" s="110"/>
      <c r="B13" s="28" t="s">
        <v>38</v>
      </c>
      <c r="C13" s="44" t="s">
        <v>92</v>
      </c>
      <c r="D13" s="45">
        <v>255022.543439289</v>
      </c>
      <c r="E13" s="45">
        <v>1536716.4615694401</v>
      </c>
      <c r="F13" s="45">
        <v>172891.147199542</v>
      </c>
      <c r="G13" s="45">
        <v>431377.15059935598</v>
      </c>
      <c r="H13" s="45">
        <v>299060.72832192999</v>
      </c>
      <c r="I13" s="45">
        <v>3696564.1752409101</v>
      </c>
      <c r="J13" s="45">
        <v>314846172.317828</v>
      </c>
      <c r="K13" s="45">
        <v>8109575.9068406802</v>
      </c>
      <c r="L13" s="45">
        <v>21141410.3650942</v>
      </c>
      <c r="M13" s="45">
        <v>892568.29669920204</v>
      </c>
      <c r="N13" s="45">
        <v>3692227.01976529</v>
      </c>
      <c r="O13" s="45">
        <v>4066224.9370025401</v>
      </c>
      <c r="P13" s="45">
        <v>3366898.14673525</v>
      </c>
      <c r="Q13" s="45">
        <v>4050298.8980250498</v>
      </c>
      <c r="R13" s="45">
        <v>649060.66057088599</v>
      </c>
      <c r="S13" s="45">
        <v>445858.5484269</v>
      </c>
      <c r="T13" s="45">
        <v>2025532.94802317</v>
      </c>
      <c r="U13" s="45">
        <v>1951908.6158987</v>
      </c>
      <c r="V13" s="45">
        <v>1960493.2319757999</v>
      </c>
      <c r="W13" s="45">
        <v>5639280.4127312796</v>
      </c>
      <c r="X13" s="45">
        <v>1374959.5139363799</v>
      </c>
      <c r="Y13" s="45">
        <v>3039653.0402595601</v>
      </c>
      <c r="Z13" s="45">
        <v>3035965.5310010798</v>
      </c>
      <c r="AA13" s="45">
        <v>4187381.8069357099</v>
      </c>
      <c r="AB13" s="45">
        <v>864761.16908143205</v>
      </c>
      <c r="AC13" s="45">
        <v>343622.08607446298</v>
      </c>
      <c r="AD13" s="45">
        <v>391871.28241978498</v>
      </c>
      <c r="AE13" s="45">
        <v>4541077.5001725396</v>
      </c>
      <c r="AF13" s="45">
        <v>3219495.2731076898</v>
      </c>
      <c r="AG13" s="45">
        <v>5114728.6137928003</v>
      </c>
      <c r="AH13" s="45">
        <v>3509705.2336370898</v>
      </c>
      <c r="AI13" s="45">
        <v>999494.98799007002</v>
      </c>
      <c r="AJ13" s="45">
        <v>4708210.3710430805</v>
      </c>
      <c r="AK13" s="45">
        <v>2106065.8379452401</v>
      </c>
      <c r="AL13" s="45">
        <v>16680634.6777205</v>
      </c>
      <c r="AM13" s="45">
        <v>2606793.12976341</v>
      </c>
      <c r="AN13" s="45">
        <v>1524598.30164377</v>
      </c>
      <c r="AO13" s="45">
        <v>2503390.6033801599</v>
      </c>
      <c r="AP13" s="45">
        <v>1549810.36722802</v>
      </c>
      <c r="AQ13" s="45">
        <v>9533818.8441091105</v>
      </c>
      <c r="AR13" s="45">
        <v>4734179.2707703104</v>
      </c>
      <c r="AS13" s="45">
        <v>25315084.364078</v>
      </c>
      <c r="AT13" s="45">
        <v>473004868.411237</v>
      </c>
      <c r="AU13" s="45">
        <v>23013748.4379359</v>
      </c>
      <c r="AV13" s="45">
        <v>108193778.35794599</v>
      </c>
      <c r="AW13" s="45">
        <v>131207526.795881</v>
      </c>
      <c r="AX13" s="45">
        <v>0</v>
      </c>
      <c r="AY13" s="45">
        <v>131207526.795881</v>
      </c>
      <c r="AZ13" s="45">
        <v>0</v>
      </c>
      <c r="BA13" s="45">
        <v>-3571111.1821360299</v>
      </c>
      <c r="BB13" s="45">
        <v>-3571111.1821360299</v>
      </c>
      <c r="BC13" s="45">
        <v>186801140.367055</v>
      </c>
      <c r="BD13" s="45">
        <v>314437555.98079997</v>
      </c>
      <c r="BE13" s="45">
        <v>30055497.577927399</v>
      </c>
      <c r="BF13" s="45">
        <v>757386926.81410897</v>
      </c>
    </row>
    <row r="14" spans="1:58" ht="21.6">
      <c r="A14" s="110"/>
      <c r="B14" s="28" t="s">
        <v>39</v>
      </c>
      <c r="C14" s="44" t="s">
        <v>93</v>
      </c>
      <c r="D14" s="45">
        <v>336188.94851517997</v>
      </c>
      <c r="E14" s="45">
        <v>3559037.46550998</v>
      </c>
      <c r="F14" s="45">
        <v>156891.29500928399</v>
      </c>
      <c r="G14" s="45">
        <v>254624.37089377199</v>
      </c>
      <c r="H14" s="45">
        <v>6327.7150673874103</v>
      </c>
      <c r="I14" s="45">
        <v>845240.03818156605</v>
      </c>
      <c r="J14" s="45">
        <v>918481.02107663197</v>
      </c>
      <c r="K14" s="45">
        <v>81780666.7864068</v>
      </c>
      <c r="L14" s="45">
        <v>90084970.052630693</v>
      </c>
      <c r="M14" s="45">
        <v>186690.20276233001</v>
      </c>
      <c r="N14" s="45">
        <v>1302287.31358054</v>
      </c>
      <c r="O14" s="45">
        <v>114696.06316618199</v>
      </c>
      <c r="P14" s="45">
        <v>708459.64329744095</v>
      </c>
      <c r="Q14" s="45">
        <v>1957227.2128331601</v>
      </c>
      <c r="R14" s="45">
        <v>49068.255669272301</v>
      </c>
      <c r="S14" s="45">
        <v>185262.26386720801</v>
      </c>
      <c r="T14" s="45">
        <v>4792477.8358831797</v>
      </c>
      <c r="U14" s="45">
        <v>931517.23040675104</v>
      </c>
      <c r="V14" s="45">
        <v>637156.81387395598</v>
      </c>
      <c r="W14" s="45">
        <v>5926683.1802302804</v>
      </c>
      <c r="X14" s="45">
        <v>652732.72847238998</v>
      </c>
      <c r="Y14" s="45">
        <v>1177748.8394233999</v>
      </c>
      <c r="Z14" s="45">
        <v>1019650.00693627</v>
      </c>
      <c r="AA14" s="45">
        <v>1295524.2485475501</v>
      </c>
      <c r="AB14" s="45">
        <v>201717.80041153601</v>
      </c>
      <c r="AC14" s="45">
        <v>4011.85983524315</v>
      </c>
      <c r="AD14" s="45">
        <v>3316.5084622772201</v>
      </c>
      <c r="AE14" s="45">
        <v>57246609.186167397</v>
      </c>
      <c r="AF14" s="45">
        <v>423651.48303005402</v>
      </c>
      <c r="AG14" s="45">
        <v>934919.87192588102</v>
      </c>
      <c r="AH14" s="45">
        <v>196032.426933949</v>
      </c>
      <c r="AI14" s="45">
        <v>922455.744975699</v>
      </c>
      <c r="AJ14" s="45">
        <v>474744.03877929098</v>
      </c>
      <c r="AK14" s="45">
        <v>546486.36108233605</v>
      </c>
      <c r="AL14" s="45">
        <v>599781.95068565605</v>
      </c>
      <c r="AM14" s="45">
        <v>50562.203571571401</v>
      </c>
      <c r="AN14" s="45">
        <v>401102.14532939898</v>
      </c>
      <c r="AO14" s="45">
        <v>635895.59428515099</v>
      </c>
      <c r="AP14" s="45">
        <v>342879.71965333901</v>
      </c>
      <c r="AQ14" s="45">
        <v>75136.026260805404</v>
      </c>
      <c r="AR14" s="45">
        <v>319747.384311979</v>
      </c>
      <c r="AS14" s="45">
        <v>3983063.1081222198</v>
      </c>
      <c r="AT14" s="45">
        <v>184461056.15965801</v>
      </c>
      <c r="AU14" s="45">
        <v>5007508.0162722301</v>
      </c>
      <c r="AV14" s="45">
        <v>17646337.097442199</v>
      </c>
      <c r="AW14" s="45">
        <v>22653845.113714501</v>
      </c>
      <c r="AX14" s="45">
        <v>0</v>
      </c>
      <c r="AY14" s="45">
        <v>22653845.113714501</v>
      </c>
      <c r="AZ14" s="45">
        <v>21595789.2652824</v>
      </c>
      <c r="BA14" s="45">
        <v>1674063.132307</v>
      </c>
      <c r="BB14" s="45">
        <v>23269852.3975894</v>
      </c>
      <c r="BC14" s="45">
        <v>44765296.899224401</v>
      </c>
      <c r="BD14" s="45">
        <v>90688994.410528198</v>
      </c>
      <c r="BE14" s="45">
        <v>9736870.6606359407</v>
      </c>
      <c r="BF14" s="45">
        <v>265413179.90955001</v>
      </c>
    </row>
    <row r="15" spans="1:58" ht="32.4">
      <c r="A15" s="110"/>
      <c r="B15" s="28" t="s">
        <v>40</v>
      </c>
      <c r="C15" s="44" t="s">
        <v>94</v>
      </c>
      <c r="D15" s="45">
        <v>1025682.30896579</v>
      </c>
      <c r="E15" s="45">
        <v>31068.881795914898</v>
      </c>
      <c r="F15" s="45">
        <v>9688.6353693274705</v>
      </c>
      <c r="G15" s="45">
        <v>315134.03242535098</v>
      </c>
      <c r="H15" s="45">
        <v>18042.4084069333</v>
      </c>
      <c r="I15" s="45">
        <v>13214439.554017199</v>
      </c>
      <c r="J15" s="45">
        <v>3599305.40965772</v>
      </c>
      <c r="K15" s="45">
        <v>2513515.6980929798</v>
      </c>
      <c r="L15" s="45">
        <v>105171872.237609</v>
      </c>
      <c r="M15" s="45">
        <v>357515.62733863801</v>
      </c>
      <c r="N15" s="45">
        <v>4061404.6097377101</v>
      </c>
      <c r="O15" s="45">
        <v>4907967.41960839</v>
      </c>
      <c r="P15" s="45">
        <v>1782237.4405934401</v>
      </c>
      <c r="Q15" s="45">
        <v>8915729.5225193892</v>
      </c>
      <c r="R15" s="45">
        <v>89427.250295816906</v>
      </c>
      <c r="S15" s="45">
        <v>336660.36558656598</v>
      </c>
      <c r="T15" s="45">
        <v>1916810.8290677101</v>
      </c>
      <c r="U15" s="45">
        <v>1926288.9358832799</v>
      </c>
      <c r="V15" s="45">
        <v>1841924.1243241299</v>
      </c>
      <c r="W15" s="45">
        <v>1597372.4923795001</v>
      </c>
      <c r="X15" s="45">
        <v>344645.46248240297</v>
      </c>
      <c r="Y15" s="45">
        <v>5512884.4773892304</v>
      </c>
      <c r="Z15" s="45">
        <v>5349964.5754080201</v>
      </c>
      <c r="AA15" s="45">
        <v>807927.26260598504</v>
      </c>
      <c r="AB15" s="45">
        <v>458088.56563187699</v>
      </c>
      <c r="AC15" s="45">
        <v>13078.612930485901</v>
      </c>
      <c r="AD15" s="45">
        <v>21179.986195194899</v>
      </c>
      <c r="AE15" s="45">
        <v>5313846.9508039998</v>
      </c>
      <c r="AF15" s="45">
        <v>8789370.7770565208</v>
      </c>
      <c r="AG15" s="45">
        <v>4327923.8509802902</v>
      </c>
      <c r="AH15" s="45">
        <v>1732626.8138709399</v>
      </c>
      <c r="AI15" s="45">
        <v>27520721.374125499</v>
      </c>
      <c r="AJ15" s="45">
        <v>20038604.196891099</v>
      </c>
      <c r="AK15" s="45">
        <v>5345538.7782828296</v>
      </c>
      <c r="AL15" s="45">
        <v>69510375.7570052</v>
      </c>
      <c r="AM15" s="45">
        <v>2605460.1047098902</v>
      </c>
      <c r="AN15" s="45">
        <v>5513422.1732468205</v>
      </c>
      <c r="AO15" s="45">
        <v>1759661.66398027</v>
      </c>
      <c r="AP15" s="45">
        <v>12646200.961506501</v>
      </c>
      <c r="AQ15" s="45">
        <v>288424.63390770002</v>
      </c>
      <c r="AR15" s="45">
        <v>7453946.5892663701</v>
      </c>
      <c r="AS15" s="45">
        <v>20046564.543822698</v>
      </c>
      <c r="AT15" s="45">
        <v>356519030.19768202</v>
      </c>
      <c r="AU15" s="45">
        <v>6120942.0135803903</v>
      </c>
      <c r="AV15" s="45">
        <v>29346781.884146001</v>
      </c>
      <c r="AW15" s="45">
        <v>35467723.897726402</v>
      </c>
      <c r="AX15" s="45">
        <v>0</v>
      </c>
      <c r="AY15" s="45">
        <v>35467723.897726402</v>
      </c>
      <c r="AZ15" s="45">
        <v>4281134.5776765598</v>
      </c>
      <c r="BA15" s="45">
        <v>-8038986.6264104899</v>
      </c>
      <c r="BB15" s="45">
        <v>-3757852.0487339301</v>
      </c>
      <c r="BC15" s="45">
        <v>66074535.271569103</v>
      </c>
      <c r="BD15" s="45">
        <v>97784407.1205616</v>
      </c>
      <c r="BE15" s="45">
        <v>25910670.934909102</v>
      </c>
      <c r="BF15" s="45">
        <v>428392766.38333398</v>
      </c>
    </row>
    <row r="16" spans="1:58" ht="43.2">
      <c r="A16" s="110"/>
      <c r="B16" s="28" t="s">
        <v>41</v>
      </c>
      <c r="C16" s="44" t="s">
        <v>95</v>
      </c>
      <c r="D16" s="45">
        <v>4991926.8170677004</v>
      </c>
      <c r="E16" s="45">
        <v>700362.54839890404</v>
      </c>
      <c r="F16" s="45">
        <v>395976.19321763498</v>
      </c>
      <c r="G16" s="45">
        <v>7776692.2608783804</v>
      </c>
      <c r="H16" s="45">
        <v>799185.804049714</v>
      </c>
      <c r="I16" s="45">
        <v>1015050.64892136</v>
      </c>
      <c r="J16" s="45">
        <v>1120310.30955065</v>
      </c>
      <c r="K16" s="45">
        <v>1004346.25642645</v>
      </c>
      <c r="L16" s="45">
        <v>1858172.82265521</v>
      </c>
      <c r="M16" s="45">
        <v>22688075.962093201</v>
      </c>
      <c r="N16" s="45">
        <v>63847204.8147908</v>
      </c>
      <c r="O16" s="45">
        <v>474305.05805845698</v>
      </c>
      <c r="P16" s="45">
        <v>2190479.2634456502</v>
      </c>
      <c r="Q16" s="45">
        <v>19987603.867374402</v>
      </c>
      <c r="R16" s="45">
        <v>42144146.633987799</v>
      </c>
      <c r="S16" s="45">
        <v>7221065.2469647899</v>
      </c>
      <c r="T16" s="45">
        <v>3078282.7603366501</v>
      </c>
      <c r="U16" s="45">
        <v>2035296.8308451199</v>
      </c>
      <c r="V16" s="45">
        <v>1035075.19329482</v>
      </c>
      <c r="W16" s="45">
        <v>1106854.0149806901</v>
      </c>
      <c r="X16" s="45">
        <v>444478.81957636902</v>
      </c>
      <c r="Y16" s="45">
        <v>1121539.9099812401</v>
      </c>
      <c r="Z16" s="45">
        <v>1058861.3070405801</v>
      </c>
      <c r="AA16" s="45">
        <v>836932.65424876998</v>
      </c>
      <c r="AB16" s="45">
        <v>10310485.4882796</v>
      </c>
      <c r="AC16" s="45">
        <v>1882494.50116738</v>
      </c>
      <c r="AD16" s="45">
        <v>38463.431520377097</v>
      </c>
      <c r="AE16" s="45">
        <v>37120733.080253102</v>
      </c>
      <c r="AF16" s="45">
        <v>3295901.7849033498</v>
      </c>
      <c r="AG16" s="45">
        <v>96331786.3585812</v>
      </c>
      <c r="AH16" s="45">
        <v>1029117.57201222</v>
      </c>
      <c r="AI16" s="45">
        <v>1116149.5638975999</v>
      </c>
      <c r="AJ16" s="45">
        <v>3729490.5709153502</v>
      </c>
      <c r="AK16" s="45">
        <v>1528256.1230027401</v>
      </c>
      <c r="AL16" s="45">
        <v>19256951.1198758</v>
      </c>
      <c r="AM16" s="45">
        <v>1475382.56939414</v>
      </c>
      <c r="AN16" s="45">
        <v>12374899.301728999</v>
      </c>
      <c r="AO16" s="45">
        <v>1218116.7765680801</v>
      </c>
      <c r="AP16" s="45">
        <v>2786127.9066548198</v>
      </c>
      <c r="AQ16" s="45">
        <v>239725.60842664001</v>
      </c>
      <c r="AR16" s="45">
        <v>469119.17965067498</v>
      </c>
      <c r="AS16" s="45">
        <v>5767313.9905040897</v>
      </c>
      <c r="AT16" s="45">
        <v>387898394.66909498</v>
      </c>
      <c r="AU16" s="45">
        <v>5745628.19309087</v>
      </c>
      <c r="AV16" s="45">
        <v>28313584.6405669</v>
      </c>
      <c r="AW16" s="45">
        <v>34059212.833657697</v>
      </c>
      <c r="AX16" s="45">
        <v>0</v>
      </c>
      <c r="AY16" s="45">
        <v>34059212.833657697</v>
      </c>
      <c r="AZ16" s="45">
        <v>0</v>
      </c>
      <c r="BA16" s="45">
        <v>-5955399.24897708</v>
      </c>
      <c r="BB16" s="45">
        <v>-5955399.24897708</v>
      </c>
      <c r="BC16" s="45">
        <v>15981224.401177</v>
      </c>
      <c r="BD16" s="45">
        <v>44085037.985857598</v>
      </c>
      <c r="BE16" s="45">
        <v>22650148.1800972</v>
      </c>
      <c r="BF16" s="45">
        <v>409333284.47485602</v>
      </c>
    </row>
    <row r="17" spans="1:58" ht="54">
      <c r="A17" s="110"/>
      <c r="B17" s="28" t="s">
        <v>42</v>
      </c>
      <c r="C17" s="44" t="s">
        <v>96</v>
      </c>
      <c r="D17" s="45">
        <v>75932742.213260502</v>
      </c>
      <c r="E17" s="45">
        <v>2724058.15268707</v>
      </c>
      <c r="F17" s="45">
        <v>3946860.51405884</v>
      </c>
      <c r="G17" s="45">
        <v>9732267.0914701205</v>
      </c>
      <c r="H17" s="45">
        <v>1246400.0556822801</v>
      </c>
      <c r="I17" s="45">
        <v>5072727.7006933503</v>
      </c>
      <c r="J17" s="45">
        <v>54593583.318500802</v>
      </c>
      <c r="K17" s="45">
        <v>16223099.5250488</v>
      </c>
      <c r="L17" s="45">
        <v>51348512.5649212</v>
      </c>
      <c r="M17" s="45">
        <v>14670765.357755</v>
      </c>
      <c r="N17" s="45">
        <v>292965053.664608</v>
      </c>
      <c r="O17" s="45">
        <v>11936419.056146599</v>
      </c>
      <c r="P17" s="45">
        <v>110271806.29350699</v>
      </c>
      <c r="Q17" s="45">
        <v>31280002.3053056</v>
      </c>
      <c r="R17" s="45">
        <v>3761258.98916111</v>
      </c>
      <c r="S17" s="45">
        <v>9341339.8389430195</v>
      </c>
      <c r="T17" s="45">
        <v>10641343.791129</v>
      </c>
      <c r="U17" s="45">
        <v>4653059.1683464795</v>
      </c>
      <c r="V17" s="45">
        <v>2243331.55982255</v>
      </c>
      <c r="W17" s="45">
        <v>6970340.16868803</v>
      </c>
      <c r="X17" s="45">
        <v>2118210.80846642</v>
      </c>
      <c r="Y17" s="45">
        <v>26478745.382496499</v>
      </c>
      <c r="Z17" s="45">
        <v>15451768.3835839</v>
      </c>
      <c r="AA17" s="45">
        <v>5086887.5907676704</v>
      </c>
      <c r="AB17" s="45">
        <v>221438.66653513399</v>
      </c>
      <c r="AC17" s="45">
        <v>31293.1657941251</v>
      </c>
      <c r="AD17" s="45">
        <v>2463333.3016807502</v>
      </c>
      <c r="AE17" s="45">
        <v>75178170.055959806</v>
      </c>
      <c r="AF17" s="45">
        <v>101065.70409229099</v>
      </c>
      <c r="AG17" s="45">
        <v>988410.01262835099</v>
      </c>
      <c r="AH17" s="45">
        <v>2502380.8395175301</v>
      </c>
      <c r="AI17" s="45">
        <v>1218070.2521790899</v>
      </c>
      <c r="AJ17" s="45">
        <v>301378.83771868399</v>
      </c>
      <c r="AK17" s="45">
        <v>339047.63523125602</v>
      </c>
      <c r="AL17" s="45">
        <v>4302489.10772241</v>
      </c>
      <c r="AM17" s="45">
        <v>14442888.994406501</v>
      </c>
      <c r="AN17" s="45">
        <v>20348720.0274329</v>
      </c>
      <c r="AO17" s="45">
        <v>13522935.637700999</v>
      </c>
      <c r="AP17" s="45">
        <v>7517280.0777033204</v>
      </c>
      <c r="AQ17" s="45">
        <v>538883.132006158</v>
      </c>
      <c r="AR17" s="45">
        <v>1609725.58352926</v>
      </c>
      <c r="AS17" s="45">
        <v>8727065.8294576202</v>
      </c>
      <c r="AT17" s="45">
        <v>906822060.83129597</v>
      </c>
      <c r="AU17" s="45">
        <v>2773014.2064051102</v>
      </c>
      <c r="AV17" s="45">
        <v>19771296.6729743</v>
      </c>
      <c r="AW17" s="45">
        <v>22544310.879379399</v>
      </c>
      <c r="AX17" s="45">
        <v>0</v>
      </c>
      <c r="AY17" s="45">
        <v>22544310.879379399</v>
      </c>
      <c r="AZ17" s="45">
        <v>0</v>
      </c>
      <c r="BA17" s="45">
        <v>-17407692.4580363</v>
      </c>
      <c r="BB17" s="45">
        <v>-17407692.4580363</v>
      </c>
      <c r="BC17" s="45">
        <v>66207877.6200248</v>
      </c>
      <c r="BD17" s="45">
        <v>71344496.041367993</v>
      </c>
      <c r="BE17" s="45">
        <v>123069963.945637</v>
      </c>
      <c r="BF17" s="45">
        <v>855096592.92702794</v>
      </c>
    </row>
    <row r="18" spans="1:58" ht="21.6">
      <c r="A18" s="110"/>
      <c r="B18" s="28" t="s">
        <v>43</v>
      </c>
      <c r="C18" s="44" t="s">
        <v>97</v>
      </c>
      <c r="D18" s="45">
        <v>6070961.4374369001</v>
      </c>
      <c r="E18" s="45">
        <v>41905.1238799485</v>
      </c>
      <c r="F18" s="45">
        <v>18810.368854661101</v>
      </c>
      <c r="G18" s="45">
        <v>6112.2849642644696</v>
      </c>
      <c r="H18" s="45">
        <v>670.13327881885402</v>
      </c>
      <c r="I18" s="45">
        <v>812022.34228900995</v>
      </c>
      <c r="J18" s="45">
        <v>88147.314917836804</v>
      </c>
      <c r="K18" s="45">
        <v>2763.5261905479001</v>
      </c>
      <c r="L18" s="45">
        <v>656674.06808880798</v>
      </c>
      <c r="M18" s="45">
        <v>14976.675812205</v>
      </c>
      <c r="N18" s="45">
        <v>1196870.9554063</v>
      </c>
      <c r="O18" s="45">
        <v>61912202.1611742</v>
      </c>
      <c r="P18" s="45">
        <v>81220.678649797701</v>
      </c>
      <c r="Q18" s="45">
        <v>569294.79213128798</v>
      </c>
      <c r="R18" s="45">
        <v>104789.230336209</v>
      </c>
      <c r="S18" s="45">
        <v>14108.632184689</v>
      </c>
      <c r="T18" s="45">
        <v>174018.26597316301</v>
      </c>
      <c r="U18" s="45">
        <v>7811.9409713792102</v>
      </c>
      <c r="V18" s="45">
        <v>424487.47467669699</v>
      </c>
      <c r="W18" s="45">
        <v>10204.6638427004</v>
      </c>
      <c r="X18" s="45">
        <v>10869.3228811845</v>
      </c>
      <c r="Y18" s="45">
        <v>124300.882651088</v>
      </c>
      <c r="Z18" s="45">
        <v>501241.91274992801</v>
      </c>
      <c r="AA18" s="45">
        <v>124963.88315405</v>
      </c>
      <c r="AB18" s="45">
        <v>16580.568116655599</v>
      </c>
      <c r="AC18" s="45">
        <v>375.41192867780302</v>
      </c>
      <c r="AD18" s="45">
        <v>16573.3630853305</v>
      </c>
      <c r="AE18" s="45">
        <v>2238386.65971391</v>
      </c>
      <c r="AF18" s="45">
        <v>10825.856603877201</v>
      </c>
      <c r="AG18" s="45">
        <v>152802.03973739099</v>
      </c>
      <c r="AH18" s="45">
        <v>814.26545664270998</v>
      </c>
      <c r="AI18" s="45">
        <v>302859.26629002002</v>
      </c>
      <c r="AJ18" s="45">
        <v>71563.524587609994</v>
      </c>
      <c r="AK18" s="45">
        <v>15249.378604661501</v>
      </c>
      <c r="AL18" s="45">
        <v>178518.27735863501</v>
      </c>
      <c r="AM18" s="45">
        <v>1060731.91296312</v>
      </c>
      <c r="AN18" s="45">
        <v>2592341.7705153902</v>
      </c>
      <c r="AO18" s="45">
        <v>184325.82636609601</v>
      </c>
      <c r="AP18" s="45">
        <v>710406.21710605698</v>
      </c>
      <c r="AQ18" s="45">
        <v>163829848.56430799</v>
      </c>
      <c r="AR18" s="45">
        <v>24625.036891759799</v>
      </c>
      <c r="AS18" s="45">
        <v>264315.06789918197</v>
      </c>
      <c r="AT18" s="64">
        <v>244637807.55383801</v>
      </c>
      <c r="AU18" s="65">
        <v>16266750.555721899</v>
      </c>
      <c r="AV18" s="65">
        <v>47595953.712028898</v>
      </c>
      <c r="AW18" s="64">
        <v>63862704.267750703</v>
      </c>
      <c r="AX18" s="65">
        <v>0</v>
      </c>
      <c r="AY18" s="64">
        <v>63862704.267750703</v>
      </c>
      <c r="AZ18" s="65">
        <v>0</v>
      </c>
      <c r="BA18" s="65">
        <v>-336221.76102223003</v>
      </c>
      <c r="BB18" s="64">
        <v>-336221.76102223003</v>
      </c>
      <c r="BC18" s="65">
        <v>22931108.4346494</v>
      </c>
      <c r="BD18" s="83">
        <v>86457590.941377893</v>
      </c>
      <c r="BE18" s="65">
        <v>31039261.6919652</v>
      </c>
      <c r="BF18" s="66">
        <v>300056136.80325001</v>
      </c>
    </row>
    <row r="19" spans="1:58" ht="21.6">
      <c r="A19" s="110"/>
      <c r="B19" s="28" t="s">
        <v>44</v>
      </c>
      <c r="C19" s="44" t="s">
        <v>98</v>
      </c>
      <c r="D19" s="45">
        <v>8674566.8560292199</v>
      </c>
      <c r="E19" s="45">
        <v>554790.31351451494</v>
      </c>
      <c r="F19" s="45">
        <v>68528.8864528181</v>
      </c>
      <c r="G19" s="45">
        <v>994753.47934881004</v>
      </c>
      <c r="H19" s="45">
        <v>744309.45223715203</v>
      </c>
      <c r="I19" s="45">
        <v>11841214.9098398</v>
      </c>
      <c r="J19" s="45">
        <v>10980215.0053935</v>
      </c>
      <c r="K19" s="45">
        <v>3914342.38141541</v>
      </c>
      <c r="L19" s="45">
        <v>18647978.8345959</v>
      </c>
      <c r="M19" s="45">
        <v>1430383.3507345901</v>
      </c>
      <c r="N19" s="45">
        <v>17479775.9892103</v>
      </c>
      <c r="O19" s="45">
        <v>1643105.08134056</v>
      </c>
      <c r="P19" s="45">
        <v>66951058.3381522</v>
      </c>
      <c r="Q19" s="45">
        <v>6557029.9445980303</v>
      </c>
      <c r="R19" s="45">
        <v>203901.473861746</v>
      </c>
      <c r="S19" s="45">
        <v>669836.43049463094</v>
      </c>
      <c r="T19" s="45">
        <v>5295045.1467806203</v>
      </c>
      <c r="U19" s="45">
        <v>7971170.3617942696</v>
      </c>
      <c r="V19" s="45">
        <v>9663695.9011367802</v>
      </c>
      <c r="W19" s="45">
        <v>23623523.381000299</v>
      </c>
      <c r="X19" s="45">
        <v>5314520.9821037799</v>
      </c>
      <c r="Y19" s="45">
        <v>26318074.354584899</v>
      </c>
      <c r="Z19" s="45">
        <v>20386766.106557</v>
      </c>
      <c r="AA19" s="45">
        <v>3231171.4593421798</v>
      </c>
      <c r="AB19" s="45">
        <v>33464.580271121398</v>
      </c>
      <c r="AC19" s="45">
        <v>49605.9371683766</v>
      </c>
      <c r="AD19" s="45">
        <v>698996.62604487</v>
      </c>
      <c r="AE19" s="45">
        <v>34699536.488755003</v>
      </c>
      <c r="AF19" s="45">
        <v>2792063.86942768</v>
      </c>
      <c r="AG19" s="45">
        <v>11281845.091144601</v>
      </c>
      <c r="AH19" s="45">
        <v>1105133.7167942501</v>
      </c>
      <c r="AI19" s="45">
        <v>1435216.1186581</v>
      </c>
      <c r="AJ19" s="45">
        <v>84412.141204118801</v>
      </c>
      <c r="AK19" s="45">
        <v>381127.87814054202</v>
      </c>
      <c r="AL19" s="45">
        <v>3235527.5466587399</v>
      </c>
      <c r="AM19" s="45">
        <v>1079352.1002815899</v>
      </c>
      <c r="AN19" s="45">
        <v>1638385.26975062</v>
      </c>
      <c r="AO19" s="45">
        <v>2721409.7469974798</v>
      </c>
      <c r="AP19" s="45">
        <v>56410.504601542401</v>
      </c>
      <c r="AQ19" s="45">
        <v>542008.48610851797</v>
      </c>
      <c r="AR19" s="45">
        <v>259882.12780501699</v>
      </c>
      <c r="AS19" s="45">
        <v>2071130.0449797099</v>
      </c>
      <c r="AT19" s="45">
        <v>313410924.31389499</v>
      </c>
      <c r="AU19" s="45">
        <v>1618615.7769835501</v>
      </c>
      <c r="AV19" s="45">
        <v>4802149.2593036797</v>
      </c>
      <c r="AW19" s="45">
        <v>6420765.0362872304</v>
      </c>
      <c r="AX19" s="45">
        <v>0</v>
      </c>
      <c r="AY19" s="45">
        <v>6420765.0362872304</v>
      </c>
      <c r="AZ19" s="45">
        <v>0</v>
      </c>
      <c r="BA19" s="45">
        <v>-1905835.73546151</v>
      </c>
      <c r="BB19" s="45">
        <v>-1905835.73546151</v>
      </c>
      <c r="BC19" s="45">
        <v>57120608.633020498</v>
      </c>
      <c r="BD19" s="45">
        <v>61635537.933846198</v>
      </c>
      <c r="BE19" s="45">
        <v>16854882.888343401</v>
      </c>
      <c r="BF19" s="45">
        <v>358191579.35939801</v>
      </c>
    </row>
    <row r="20" spans="1:58" ht="21.6">
      <c r="A20" s="110"/>
      <c r="B20" s="28" t="s">
        <v>45</v>
      </c>
      <c r="C20" s="44" t="s">
        <v>99</v>
      </c>
      <c r="D20" s="45">
        <v>527672.17759183003</v>
      </c>
      <c r="E20" s="45">
        <v>651313.19079708494</v>
      </c>
      <c r="F20" s="45">
        <v>44591.483799540998</v>
      </c>
      <c r="G20" s="45">
        <v>1669898.4257018401</v>
      </c>
      <c r="H20" s="45">
        <v>621832.46480163594</v>
      </c>
      <c r="I20" s="45">
        <v>4888099.9351435602</v>
      </c>
      <c r="J20" s="45">
        <v>571224.96578001301</v>
      </c>
      <c r="K20" s="45">
        <v>1921176.1345617401</v>
      </c>
      <c r="L20" s="45">
        <v>2831024.8289935598</v>
      </c>
      <c r="M20" s="45">
        <v>2724987.2257891898</v>
      </c>
      <c r="N20" s="45">
        <v>4189217.0565114799</v>
      </c>
      <c r="O20" s="45">
        <v>2706366.3491932498</v>
      </c>
      <c r="P20" s="45">
        <v>1610249.5580941399</v>
      </c>
      <c r="Q20" s="45">
        <v>139143632.92928699</v>
      </c>
      <c r="R20" s="45">
        <v>9435905.6832035594</v>
      </c>
      <c r="S20" s="45">
        <v>5914732.9799443996</v>
      </c>
      <c r="T20" s="45">
        <v>6783958.8157480899</v>
      </c>
      <c r="U20" s="45">
        <v>2873744.3313156501</v>
      </c>
      <c r="V20" s="45">
        <v>4066510.9793166602</v>
      </c>
      <c r="W20" s="45">
        <v>9953436.8281746097</v>
      </c>
      <c r="X20" s="45">
        <v>671083.25344635604</v>
      </c>
      <c r="Y20" s="45">
        <v>19235014.3764924</v>
      </c>
      <c r="Z20" s="45">
        <v>18711839.314458799</v>
      </c>
      <c r="AA20" s="45">
        <v>485772.81758116197</v>
      </c>
      <c r="AB20" s="45">
        <v>1991624.45078551</v>
      </c>
      <c r="AC20" s="45">
        <v>7340.5128802151503</v>
      </c>
      <c r="AD20" s="45">
        <v>22846.396904826601</v>
      </c>
      <c r="AE20" s="45">
        <v>454627661.34888202</v>
      </c>
      <c r="AF20" s="45">
        <v>241247.96405304101</v>
      </c>
      <c r="AG20" s="45">
        <v>461491.74080067402</v>
      </c>
      <c r="AH20" s="45">
        <v>358067.29957438703</v>
      </c>
      <c r="AI20" s="45">
        <v>91296.394104551306</v>
      </c>
      <c r="AJ20" s="45">
        <v>23697.817957801999</v>
      </c>
      <c r="AK20" s="45">
        <v>32694.029898242399</v>
      </c>
      <c r="AL20" s="45">
        <v>260519.45747035</v>
      </c>
      <c r="AM20" s="45">
        <v>2268609.7974372599</v>
      </c>
      <c r="AN20" s="45">
        <v>198547.940541488</v>
      </c>
      <c r="AO20" s="45">
        <v>95799.755972606697</v>
      </c>
      <c r="AP20" s="45">
        <v>1130620.33187729</v>
      </c>
      <c r="AQ20" s="45">
        <v>325720.01134953898</v>
      </c>
      <c r="AR20" s="45">
        <v>4789.9804853633796</v>
      </c>
      <c r="AS20" s="45">
        <v>832366.780787269</v>
      </c>
      <c r="AT20" s="45">
        <v>703287051.98292804</v>
      </c>
      <c r="AU20" s="45">
        <v>1560823.70183441</v>
      </c>
      <c r="AV20" s="45">
        <v>3925831.46539935</v>
      </c>
      <c r="AW20" s="45">
        <v>5486655.1672337595</v>
      </c>
      <c r="AX20" s="45">
        <v>0</v>
      </c>
      <c r="AY20" s="45">
        <v>5486655.1672337595</v>
      </c>
      <c r="AZ20" s="45">
        <v>0</v>
      </c>
      <c r="BA20" s="45">
        <v>2140696.2500745901</v>
      </c>
      <c r="BB20" s="45">
        <v>2140696.2500745901</v>
      </c>
      <c r="BC20" s="45">
        <v>34554204.179467797</v>
      </c>
      <c r="BD20" s="45">
        <v>42181555.596776202</v>
      </c>
      <c r="BE20" s="45">
        <v>12436721.0287978</v>
      </c>
      <c r="BF20" s="45">
        <v>733031886.55090594</v>
      </c>
    </row>
    <row r="21" spans="1:58" ht="32.4">
      <c r="A21" s="110"/>
      <c r="B21" s="28" t="s">
        <v>46</v>
      </c>
      <c r="C21" s="44" t="s">
        <v>100</v>
      </c>
      <c r="D21" s="45">
        <v>231511.56821559201</v>
      </c>
      <c r="E21" s="45">
        <v>5985486.0851936499</v>
      </c>
      <c r="F21" s="45">
        <v>1118312.4937215501</v>
      </c>
      <c r="G21" s="45">
        <v>720856.19657338597</v>
      </c>
      <c r="H21" s="45">
        <v>1121508.83883353</v>
      </c>
      <c r="I21" s="45">
        <v>272337.82113822002</v>
      </c>
      <c r="J21" s="45">
        <v>382742.21567873697</v>
      </c>
      <c r="K21" s="45">
        <v>2368084.2043395499</v>
      </c>
      <c r="L21" s="45">
        <v>4485716.3425042396</v>
      </c>
      <c r="M21" s="45">
        <v>198223.33922962699</v>
      </c>
      <c r="N21" s="45">
        <v>718206.53295077302</v>
      </c>
      <c r="O21" s="45">
        <v>44680.393718689003</v>
      </c>
      <c r="P21" s="45">
        <v>1465016.6010706199</v>
      </c>
      <c r="Q21" s="45">
        <v>13933004.787727</v>
      </c>
      <c r="R21" s="45">
        <v>128395223.97115999</v>
      </c>
      <c r="S21" s="45">
        <v>2760821.3172431001</v>
      </c>
      <c r="T21" s="45">
        <v>109844585.75668301</v>
      </c>
      <c r="U21" s="45">
        <v>45037806.531296797</v>
      </c>
      <c r="V21" s="45">
        <v>24422112.739553999</v>
      </c>
      <c r="W21" s="45">
        <v>24330508.557217401</v>
      </c>
      <c r="X21" s="45">
        <v>7720732.1174316201</v>
      </c>
      <c r="Y21" s="45">
        <v>18090718.1437351</v>
      </c>
      <c r="Z21" s="45">
        <v>4833386.6625495004</v>
      </c>
      <c r="AA21" s="45">
        <v>1307683.8663037501</v>
      </c>
      <c r="AB21" s="45">
        <v>256746.456367951</v>
      </c>
      <c r="AC21" s="45">
        <v>114830.235785861</v>
      </c>
      <c r="AD21" s="45">
        <v>71861.890675810195</v>
      </c>
      <c r="AE21" s="45">
        <v>278702659.949081</v>
      </c>
      <c r="AF21" s="45">
        <v>8351.0433915085505</v>
      </c>
      <c r="AG21" s="45">
        <v>604608.95717440697</v>
      </c>
      <c r="AH21" s="45">
        <v>1823.5000182725</v>
      </c>
      <c r="AI21" s="45">
        <v>6206.6617905018202</v>
      </c>
      <c r="AJ21" s="45">
        <v>11.358825536026099</v>
      </c>
      <c r="AK21" s="45">
        <v>1871.3278520020799</v>
      </c>
      <c r="AL21" s="45">
        <v>1198.28643644775</v>
      </c>
      <c r="AM21" s="45">
        <v>177423.31501094499</v>
      </c>
      <c r="AN21" s="45">
        <v>331864.869519912</v>
      </c>
      <c r="AO21" s="45">
        <v>8411.9484486656202</v>
      </c>
      <c r="AP21" s="45">
        <v>26880.872074540701</v>
      </c>
      <c r="AQ21" s="45">
        <v>329.00023493489903</v>
      </c>
      <c r="AR21" s="45">
        <v>828.99301499868795</v>
      </c>
      <c r="AS21" s="45">
        <v>140681.94973206901</v>
      </c>
      <c r="AT21" s="45">
        <v>677877773.49516499</v>
      </c>
      <c r="AU21" s="45">
        <v>0</v>
      </c>
      <c r="AV21" s="45">
        <v>0</v>
      </c>
      <c r="AW21" s="45">
        <v>0</v>
      </c>
      <c r="AX21" s="45">
        <v>0</v>
      </c>
      <c r="AY21" s="45">
        <v>0</v>
      </c>
      <c r="AZ21" s="45">
        <v>0</v>
      </c>
      <c r="BA21" s="45">
        <v>4405504.3332162499</v>
      </c>
      <c r="BB21" s="45">
        <v>4405504.3332162499</v>
      </c>
      <c r="BC21" s="45">
        <v>27767871.756153099</v>
      </c>
      <c r="BD21" s="45">
        <v>32173376.089369401</v>
      </c>
      <c r="BE21" s="45">
        <v>26541208.673854899</v>
      </c>
      <c r="BF21" s="45">
        <v>683509940.91067898</v>
      </c>
    </row>
    <row r="22" spans="1:58" ht="32.4">
      <c r="A22" s="110"/>
      <c r="B22" s="28" t="s">
        <v>47</v>
      </c>
      <c r="C22" s="44" t="s">
        <v>101</v>
      </c>
      <c r="D22" s="45">
        <v>8900.6755486550392</v>
      </c>
      <c r="E22" s="45">
        <v>15416.107396695001</v>
      </c>
      <c r="F22" s="45">
        <v>227.82763401391099</v>
      </c>
      <c r="G22" s="45">
        <v>443804.90291369101</v>
      </c>
      <c r="H22" s="45">
        <v>166228.30901152801</v>
      </c>
      <c r="I22" s="45">
        <v>109160.627027975</v>
      </c>
      <c r="J22" s="45">
        <v>220462.383442483</v>
      </c>
      <c r="K22" s="45">
        <v>906287.23217680596</v>
      </c>
      <c r="L22" s="45">
        <v>19977459.015090998</v>
      </c>
      <c r="M22" s="45">
        <v>15125.422401429299</v>
      </c>
      <c r="N22" s="45">
        <v>8623449.7674129307</v>
      </c>
      <c r="O22" s="45">
        <v>119933.47570344299</v>
      </c>
      <c r="P22" s="45">
        <v>2202103.6067858599</v>
      </c>
      <c r="Q22" s="45">
        <v>7233885.0167974196</v>
      </c>
      <c r="R22" s="45">
        <v>8479844.5970187299</v>
      </c>
      <c r="S22" s="45">
        <v>196601311.08714399</v>
      </c>
      <c r="T22" s="45">
        <v>48942799.232145399</v>
      </c>
      <c r="U22" s="45">
        <v>37701392.028613701</v>
      </c>
      <c r="V22" s="45">
        <v>12717404.924781101</v>
      </c>
      <c r="W22" s="45">
        <v>34619046.993302003</v>
      </c>
      <c r="X22" s="45">
        <v>7591588.5535006896</v>
      </c>
      <c r="Y22" s="45">
        <v>128393623.886509</v>
      </c>
      <c r="Z22" s="45">
        <v>31542514.349654399</v>
      </c>
      <c r="AA22" s="45">
        <v>5247794.0737348702</v>
      </c>
      <c r="AB22" s="45">
        <v>82372.637321982795</v>
      </c>
      <c r="AC22" s="45">
        <v>775.80563588545499</v>
      </c>
      <c r="AD22" s="45">
        <v>5801.6448365556298</v>
      </c>
      <c r="AE22" s="45">
        <v>10715656.0886856</v>
      </c>
      <c r="AF22" s="45">
        <v>23345.672744347001</v>
      </c>
      <c r="AG22" s="45">
        <v>69400.541344120502</v>
      </c>
      <c r="AH22" s="45">
        <v>3687.67374083509</v>
      </c>
      <c r="AI22" s="45">
        <v>0</v>
      </c>
      <c r="AJ22" s="45">
        <v>0</v>
      </c>
      <c r="AK22" s="45">
        <v>0</v>
      </c>
      <c r="AL22" s="45">
        <v>1660.03780915729</v>
      </c>
      <c r="AM22" s="45">
        <v>173035.62437909801</v>
      </c>
      <c r="AN22" s="45">
        <v>92358.918739074899</v>
      </c>
      <c r="AO22" s="45">
        <v>146370.74051122699</v>
      </c>
      <c r="AP22" s="45">
        <v>45405.512128530303</v>
      </c>
      <c r="AQ22" s="45">
        <v>1123.5706396457699</v>
      </c>
      <c r="AR22" s="45">
        <v>334.00906927717398</v>
      </c>
      <c r="AS22" s="45">
        <v>5.3244188152449801E-3</v>
      </c>
      <c r="AT22" s="45">
        <v>562334805.34648097</v>
      </c>
      <c r="AU22" s="45">
        <v>0</v>
      </c>
      <c r="AV22" s="45">
        <v>0</v>
      </c>
      <c r="AW22" s="45">
        <v>0</v>
      </c>
      <c r="AX22" s="45">
        <v>0</v>
      </c>
      <c r="AY22" s="45">
        <v>0</v>
      </c>
      <c r="AZ22" s="45">
        <v>0</v>
      </c>
      <c r="BA22" s="45">
        <v>-957892.18613737996</v>
      </c>
      <c r="BB22" s="45">
        <v>-957892.18613737996</v>
      </c>
      <c r="BC22" s="45">
        <v>17965733.8081997</v>
      </c>
      <c r="BD22" s="45">
        <v>17007841.6220624</v>
      </c>
      <c r="BE22" s="45">
        <v>54672624.212560698</v>
      </c>
      <c r="BF22" s="45">
        <v>524670022.755983</v>
      </c>
    </row>
    <row r="23" spans="1:58">
      <c r="A23" s="110"/>
      <c r="B23" s="28" t="s">
        <v>48</v>
      </c>
      <c r="C23" s="44" t="s">
        <v>102</v>
      </c>
      <c r="D23" s="45">
        <v>823239.11904421495</v>
      </c>
      <c r="E23" s="45">
        <v>6843894.5905335899</v>
      </c>
      <c r="F23" s="45">
        <v>47481.494058685901</v>
      </c>
      <c r="G23" s="45">
        <v>4175081.2072523101</v>
      </c>
      <c r="H23" s="45">
        <v>587075.01477385801</v>
      </c>
      <c r="I23" s="45">
        <v>3523907.1059125401</v>
      </c>
      <c r="J23" s="45">
        <v>2164374.0390686402</v>
      </c>
      <c r="K23" s="45">
        <v>6160907.4104285799</v>
      </c>
      <c r="L23" s="45">
        <v>9762688.7829015497</v>
      </c>
      <c r="M23" s="45">
        <v>367056.84101174597</v>
      </c>
      <c r="N23" s="45">
        <v>3226326.0254301601</v>
      </c>
      <c r="O23" s="45">
        <v>1210054.81549578</v>
      </c>
      <c r="P23" s="45">
        <v>4964060.1108945403</v>
      </c>
      <c r="Q23" s="45">
        <v>16927420.3252392</v>
      </c>
      <c r="R23" s="45">
        <v>1218101.9140089599</v>
      </c>
      <c r="S23" s="45">
        <v>1056789.4499055899</v>
      </c>
      <c r="T23" s="45">
        <v>69726613.019667506</v>
      </c>
      <c r="U23" s="45">
        <v>27665192.2268015</v>
      </c>
      <c r="V23" s="45">
        <v>16436651.429209201</v>
      </c>
      <c r="W23" s="45">
        <v>14866905.531682801</v>
      </c>
      <c r="X23" s="45">
        <v>5355333.5250885896</v>
      </c>
      <c r="Y23" s="45">
        <v>25722146.776101898</v>
      </c>
      <c r="Z23" s="45">
        <v>16994492.5820494</v>
      </c>
      <c r="AA23" s="45">
        <v>2549699.0505310101</v>
      </c>
      <c r="AB23" s="45">
        <v>275728.82485353999</v>
      </c>
      <c r="AC23" s="45">
        <v>36839.2092825543</v>
      </c>
      <c r="AD23" s="45">
        <v>843476.84553949302</v>
      </c>
      <c r="AE23" s="45">
        <v>132161439.87616301</v>
      </c>
      <c r="AF23" s="45">
        <v>290667.52798172802</v>
      </c>
      <c r="AG23" s="45">
        <v>3135118.8234383902</v>
      </c>
      <c r="AH23" s="45">
        <v>384818.74600209598</v>
      </c>
      <c r="AI23" s="45">
        <v>599301.04505910794</v>
      </c>
      <c r="AJ23" s="45">
        <v>86808.766644974094</v>
      </c>
      <c r="AK23" s="45">
        <v>1196639.3719067799</v>
      </c>
      <c r="AL23" s="45">
        <v>25113883.567990702</v>
      </c>
      <c r="AM23" s="45">
        <v>5682565.0823589396</v>
      </c>
      <c r="AN23" s="45">
        <v>13354998.645677401</v>
      </c>
      <c r="AO23" s="45">
        <v>3302520.2984277802</v>
      </c>
      <c r="AP23" s="45">
        <v>758921.69106769597</v>
      </c>
      <c r="AQ23" s="45">
        <v>53758.700924684599</v>
      </c>
      <c r="AR23" s="45">
        <v>152670.465164302</v>
      </c>
      <c r="AS23" s="45">
        <v>2122995.8596761199</v>
      </c>
      <c r="AT23" s="64">
        <v>425767738.32482201</v>
      </c>
      <c r="AU23" s="65">
        <v>665462.94812565099</v>
      </c>
      <c r="AV23" s="65">
        <v>4215024.1264948603</v>
      </c>
      <c r="AW23" s="64">
        <v>4880487.0746205105</v>
      </c>
      <c r="AX23" s="65">
        <v>0</v>
      </c>
      <c r="AY23" s="64">
        <v>4880487.0746205105</v>
      </c>
      <c r="AZ23" s="65">
        <v>25162931.8981722</v>
      </c>
      <c r="BA23" s="65">
        <v>9509406.9148277901</v>
      </c>
      <c r="BB23" s="64">
        <v>34672338.813000001</v>
      </c>
      <c r="BC23" s="65">
        <v>62348551.232276402</v>
      </c>
      <c r="BD23" s="83">
        <v>101901377.11989699</v>
      </c>
      <c r="BE23" s="65">
        <v>8187441.3282561703</v>
      </c>
      <c r="BF23" s="66">
        <v>519481674.11646301</v>
      </c>
    </row>
    <row r="24" spans="1:58">
      <c r="A24" s="110"/>
      <c r="B24" s="28" t="s">
        <v>49</v>
      </c>
      <c r="C24" s="44" t="s">
        <v>103</v>
      </c>
      <c r="D24" s="45">
        <v>806226.18427011406</v>
      </c>
      <c r="E24" s="45">
        <v>2843363.00046338</v>
      </c>
      <c r="F24" s="45">
        <v>696909.96340312297</v>
      </c>
      <c r="G24" s="45">
        <v>2538535.2640932701</v>
      </c>
      <c r="H24" s="45">
        <v>114281.127685603</v>
      </c>
      <c r="I24" s="45">
        <v>1454621.35317593</v>
      </c>
      <c r="J24" s="45">
        <v>1829431.6301696899</v>
      </c>
      <c r="K24" s="45">
        <v>1278520.9770092999</v>
      </c>
      <c r="L24" s="45">
        <v>2428023.7047939198</v>
      </c>
      <c r="M24" s="45">
        <v>2442105.7796665598</v>
      </c>
      <c r="N24" s="45">
        <v>4521088.9240815099</v>
      </c>
      <c r="O24" s="45">
        <v>549583.609396482</v>
      </c>
      <c r="P24" s="45">
        <v>1114986.9222331999</v>
      </c>
      <c r="Q24" s="45">
        <v>11173708.1146356</v>
      </c>
      <c r="R24" s="45">
        <v>7711312.9210711699</v>
      </c>
      <c r="S24" s="45">
        <v>949139.59365227295</v>
      </c>
      <c r="T24" s="45">
        <v>13379131.6650398</v>
      </c>
      <c r="U24" s="45">
        <v>113487863.806767</v>
      </c>
      <c r="V24" s="45">
        <v>35452640.1347683</v>
      </c>
      <c r="W24" s="45">
        <v>25719680.581695199</v>
      </c>
      <c r="X24" s="45">
        <v>11260438.380139099</v>
      </c>
      <c r="Y24" s="45">
        <v>24040251.918908302</v>
      </c>
      <c r="Z24" s="45">
        <v>9038625.3852601498</v>
      </c>
      <c r="AA24" s="45">
        <v>2159487.8262955402</v>
      </c>
      <c r="AB24" s="45">
        <v>2748010.6879523299</v>
      </c>
      <c r="AC24" s="45">
        <v>160562.279466362</v>
      </c>
      <c r="AD24" s="45">
        <v>150061.209496772</v>
      </c>
      <c r="AE24" s="45">
        <v>21074962.820468999</v>
      </c>
      <c r="AF24" s="45">
        <v>243034.79239735601</v>
      </c>
      <c r="AG24" s="45">
        <v>10091175.5281896</v>
      </c>
      <c r="AH24" s="45">
        <v>297627.994707292</v>
      </c>
      <c r="AI24" s="45">
        <v>403328.36474002502</v>
      </c>
      <c r="AJ24" s="45">
        <v>644747.67425622803</v>
      </c>
      <c r="AK24" s="45">
        <v>308267.21312674601</v>
      </c>
      <c r="AL24" s="45">
        <v>296883.48786970699</v>
      </c>
      <c r="AM24" s="45">
        <v>216508.4433095</v>
      </c>
      <c r="AN24" s="45">
        <v>721127.50449931505</v>
      </c>
      <c r="AO24" s="45">
        <v>131078.39591309801</v>
      </c>
      <c r="AP24" s="45">
        <v>649463.41106906906</v>
      </c>
      <c r="AQ24" s="45">
        <v>107743.552579729</v>
      </c>
      <c r="AR24" s="45">
        <v>51761.111660537899</v>
      </c>
      <c r="AS24" s="45">
        <v>375857.54939213098</v>
      </c>
      <c r="AT24" s="45">
        <v>314383639.81276</v>
      </c>
      <c r="AU24" s="45">
        <v>376403.35212190199</v>
      </c>
      <c r="AV24" s="45">
        <v>1228363.5907578301</v>
      </c>
      <c r="AW24" s="45">
        <v>1604766.9428797399</v>
      </c>
      <c r="AX24" s="45">
        <v>0</v>
      </c>
      <c r="AY24" s="45">
        <v>1604766.9428797399</v>
      </c>
      <c r="AZ24" s="45">
        <v>170362145.94569999</v>
      </c>
      <c r="BA24" s="45">
        <v>9413554.5502387397</v>
      </c>
      <c r="BB24" s="45">
        <v>179775700.495938</v>
      </c>
      <c r="BC24" s="45">
        <v>92569318.362554893</v>
      </c>
      <c r="BD24" s="45">
        <v>273949785.801373</v>
      </c>
      <c r="BE24" s="45">
        <v>55422439.185358502</v>
      </c>
      <c r="BF24" s="45">
        <v>532910986.428774</v>
      </c>
    </row>
    <row r="25" spans="1:58">
      <c r="A25" s="110"/>
      <c r="B25" s="28" t="s">
        <v>50</v>
      </c>
      <c r="C25" s="44" t="s">
        <v>104</v>
      </c>
      <c r="D25" s="45">
        <v>9442062.9280193709</v>
      </c>
      <c r="E25" s="45">
        <v>4363149.3368060002</v>
      </c>
      <c r="F25" s="45">
        <v>2865981.2518185498</v>
      </c>
      <c r="G25" s="45">
        <v>5453583.9108511005</v>
      </c>
      <c r="H25" s="45">
        <v>1809891.30244196</v>
      </c>
      <c r="I25" s="45">
        <v>571460.14655284001</v>
      </c>
      <c r="J25" s="45">
        <v>1222125.93598965</v>
      </c>
      <c r="K25" s="45">
        <v>807146.352519896</v>
      </c>
      <c r="L25" s="45">
        <v>2812881.9783396502</v>
      </c>
      <c r="M25" s="45">
        <v>833887.88345839898</v>
      </c>
      <c r="N25" s="45">
        <v>3285331.7057016301</v>
      </c>
      <c r="O25" s="45">
        <v>235061.27541503901</v>
      </c>
      <c r="P25" s="45">
        <v>1275752.54841213</v>
      </c>
      <c r="Q25" s="45">
        <v>3308438.8618798601</v>
      </c>
      <c r="R25" s="45">
        <v>5251960.0150080603</v>
      </c>
      <c r="S25" s="45">
        <v>3482298.16140767</v>
      </c>
      <c r="T25" s="45">
        <v>3764377.5885242298</v>
      </c>
      <c r="U25" s="45">
        <v>4434748.5168989599</v>
      </c>
      <c r="V25" s="45">
        <v>48823626.045814</v>
      </c>
      <c r="W25" s="45">
        <v>4354380.2918230398</v>
      </c>
      <c r="X25" s="45">
        <v>1023610.76363881</v>
      </c>
      <c r="Y25" s="45">
        <v>4191944.0242041</v>
      </c>
      <c r="Z25" s="45">
        <v>21202968.585347101</v>
      </c>
      <c r="AA25" s="45">
        <v>693670.45465858595</v>
      </c>
      <c r="AB25" s="45">
        <v>179779.53739239901</v>
      </c>
      <c r="AC25" s="45">
        <v>8470.1489079702405</v>
      </c>
      <c r="AD25" s="45">
        <v>108797.71737827901</v>
      </c>
      <c r="AE25" s="45">
        <v>17847619.676196799</v>
      </c>
      <c r="AF25" s="45">
        <v>34879.999182738698</v>
      </c>
      <c r="AG25" s="45">
        <v>1382805.2328975999</v>
      </c>
      <c r="AH25" s="45">
        <v>142728.16216783799</v>
      </c>
      <c r="AI25" s="45">
        <v>102271.22397752901</v>
      </c>
      <c r="AJ25" s="45">
        <v>923602.28535310796</v>
      </c>
      <c r="AK25" s="45">
        <v>8292.9333309210906</v>
      </c>
      <c r="AL25" s="45">
        <v>523390.39074432303</v>
      </c>
      <c r="AM25" s="45">
        <v>39920.178304627298</v>
      </c>
      <c r="AN25" s="45">
        <v>160663.045571544</v>
      </c>
      <c r="AO25" s="45">
        <v>160146.609952256</v>
      </c>
      <c r="AP25" s="45">
        <v>133533.26709046101</v>
      </c>
      <c r="AQ25" s="45">
        <v>16681231.4471724</v>
      </c>
      <c r="AR25" s="45">
        <v>11275.3032369504</v>
      </c>
      <c r="AS25" s="45">
        <v>264818.82299359998</v>
      </c>
      <c r="AT25" s="45">
        <v>173417419.49486199</v>
      </c>
      <c r="AU25" s="45">
        <v>595579.78670823295</v>
      </c>
      <c r="AV25" s="45">
        <v>3720729.2812877698</v>
      </c>
      <c r="AW25" s="45">
        <v>4316309.0679959999</v>
      </c>
      <c r="AX25" s="45">
        <v>0</v>
      </c>
      <c r="AY25" s="45">
        <v>4316309.0679959999</v>
      </c>
      <c r="AZ25" s="45">
        <v>204929596.99676499</v>
      </c>
      <c r="BA25" s="45">
        <v>4556075.6479765102</v>
      </c>
      <c r="BB25" s="45">
        <v>209485672.644741</v>
      </c>
      <c r="BC25" s="45">
        <v>59350299.402435601</v>
      </c>
      <c r="BD25" s="45">
        <v>273152281.11517298</v>
      </c>
      <c r="BE25" s="45">
        <v>59218616.805418603</v>
      </c>
      <c r="BF25" s="45">
        <v>387351083.80461699</v>
      </c>
    </row>
    <row r="26" spans="1:58" ht="21.6">
      <c r="A26" s="110"/>
      <c r="B26" s="28" t="s">
        <v>51</v>
      </c>
      <c r="C26" s="44" t="s">
        <v>105</v>
      </c>
      <c r="D26" s="45">
        <v>1408919.4717485199</v>
      </c>
      <c r="E26" s="45">
        <v>198746.70320897701</v>
      </c>
      <c r="F26" s="45">
        <v>17829.499566618098</v>
      </c>
      <c r="G26" s="45">
        <v>1022626.22236667</v>
      </c>
      <c r="H26" s="45">
        <v>150879.72892678401</v>
      </c>
      <c r="I26" s="45">
        <v>174622.0626038</v>
      </c>
      <c r="J26" s="45">
        <v>253639.82760961601</v>
      </c>
      <c r="K26" s="45">
        <v>118989.438174631</v>
      </c>
      <c r="L26" s="45">
        <v>309975.01103406999</v>
      </c>
      <c r="M26" s="45">
        <v>11160.7151198479</v>
      </c>
      <c r="N26" s="45">
        <v>366530.84219789697</v>
      </c>
      <c r="O26" s="45">
        <v>35280.411469775303</v>
      </c>
      <c r="P26" s="45">
        <v>161696.96047242501</v>
      </c>
      <c r="Q26" s="45">
        <v>2370746.5846731002</v>
      </c>
      <c r="R26" s="45">
        <v>187208.86335535001</v>
      </c>
      <c r="S26" s="45">
        <v>60658.885042088303</v>
      </c>
      <c r="T26" s="45">
        <v>593836.08689967403</v>
      </c>
      <c r="U26" s="45">
        <v>7563616.9372198097</v>
      </c>
      <c r="V26" s="45">
        <v>8848095.2821246609</v>
      </c>
      <c r="W26" s="45">
        <v>237540166.84993601</v>
      </c>
      <c r="X26" s="45">
        <v>988820.12635228306</v>
      </c>
      <c r="Y26" s="45">
        <v>1344462.3825576301</v>
      </c>
      <c r="Z26" s="45">
        <v>694918.87258071196</v>
      </c>
      <c r="AA26" s="45">
        <v>291795.62766576197</v>
      </c>
      <c r="AB26" s="45">
        <v>58968.430252993501</v>
      </c>
      <c r="AC26" s="45">
        <v>10597.370534223301</v>
      </c>
      <c r="AD26" s="45">
        <v>10282.349596240199</v>
      </c>
      <c r="AE26" s="45">
        <v>1111563.2263322801</v>
      </c>
      <c r="AF26" s="45">
        <v>118840.414417673</v>
      </c>
      <c r="AG26" s="45">
        <v>70012316.491765201</v>
      </c>
      <c r="AH26" s="45">
        <v>471817.61011926399</v>
      </c>
      <c r="AI26" s="45">
        <v>259987.74788360999</v>
      </c>
      <c r="AJ26" s="45">
        <v>289071.47100823099</v>
      </c>
      <c r="AK26" s="45">
        <v>28341.215566360999</v>
      </c>
      <c r="AL26" s="45">
        <v>32334152.313072499</v>
      </c>
      <c r="AM26" s="45">
        <v>356407.83469469397</v>
      </c>
      <c r="AN26" s="45">
        <v>3427487.6863864302</v>
      </c>
      <c r="AO26" s="45">
        <v>8061811.8950887304</v>
      </c>
      <c r="AP26" s="45">
        <v>115094.30247296199</v>
      </c>
      <c r="AQ26" s="45">
        <v>44551.655223810303</v>
      </c>
      <c r="AR26" s="45">
        <v>91094.949710739296</v>
      </c>
      <c r="AS26" s="45">
        <v>4080096.6803558799</v>
      </c>
      <c r="AT26" s="45">
        <v>385478717.59921402</v>
      </c>
      <c r="AU26" s="45">
        <v>21454358.9824</v>
      </c>
      <c r="AV26" s="45">
        <v>126837276.97145499</v>
      </c>
      <c r="AW26" s="45">
        <v>148291635.95385399</v>
      </c>
      <c r="AX26" s="45">
        <v>0</v>
      </c>
      <c r="AY26" s="45">
        <v>148291635.95385399</v>
      </c>
      <c r="AZ26" s="45">
        <v>176416405.60986</v>
      </c>
      <c r="BA26" s="45">
        <v>16277173.520149</v>
      </c>
      <c r="BB26" s="45">
        <v>192693579.130009</v>
      </c>
      <c r="BC26" s="45">
        <v>31524411.8740067</v>
      </c>
      <c r="BD26" s="45">
        <v>372509626.95787001</v>
      </c>
      <c r="BE26" s="45">
        <v>51530883.893830098</v>
      </c>
      <c r="BF26" s="45">
        <v>706457460.66325498</v>
      </c>
    </row>
    <row r="27" spans="1:58" ht="54">
      <c r="A27" s="110"/>
      <c r="B27" s="28" t="s">
        <v>52</v>
      </c>
      <c r="C27" s="44" t="s">
        <v>106</v>
      </c>
      <c r="D27" s="45">
        <v>1633653.65806691</v>
      </c>
      <c r="E27" s="45">
        <v>137377.205097078</v>
      </c>
      <c r="F27" s="45">
        <v>3299.56189290866</v>
      </c>
      <c r="G27" s="45">
        <v>67835.345997617202</v>
      </c>
      <c r="H27" s="45">
        <v>4779.0758828880298</v>
      </c>
      <c r="I27" s="45">
        <v>63498.750357734301</v>
      </c>
      <c r="J27" s="45">
        <v>69505.485293589401</v>
      </c>
      <c r="K27" s="45">
        <v>69778.941010616894</v>
      </c>
      <c r="L27" s="45">
        <v>108012.372758994</v>
      </c>
      <c r="M27" s="45">
        <v>42843.272878725897</v>
      </c>
      <c r="N27" s="45">
        <v>152643.88033177101</v>
      </c>
      <c r="O27" s="45">
        <v>41875.393603671699</v>
      </c>
      <c r="P27" s="45">
        <v>24313.253380856</v>
      </c>
      <c r="Q27" s="45">
        <v>62621.1042461217</v>
      </c>
      <c r="R27" s="45">
        <v>37696.937032711998</v>
      </c>
      <c r="S27" s="45">
        <v>1730.54803290979</v>
      </c>
      <c r="T27" s="45">
        <v>65866.299807706106</v>
      </c>
      <c r="U27" s="45">
        <v>2010934.9536918199</v>
      </c>
      <c r="V27" s="45">
        <v>1579977.0574509599</v>
      </c>
      <c r="W27" s="45">
        <v>566701.38138896006</v>
      </c>
      <c r="X27" s="45">
        <v>26429459.433544502</v>
      </c>
      <c r="Y27" s="45">
        <v>415016.33223081799</v>
      </c>
      <c r="Z27" s="45">
        <v>293311.21236644202</v>
      </c>
      <c r="AA27" s="45">
        <v>2270996.1002662899</v>
      </c>
      <c r="AB27" s="45">
        <v>2147.5666799442502</v>
      </c>
      <c r="AC27" s="45">
        <v>2909.1458383651898</v>
      </c>
      <c r="AD27" s="45">
        <v>3349.1709272210301</v>
      </c>
      <c r="AE27" s="45">
        <v>1342301.0627207099</v>
      </c>
      <c r="AF27" s="45">
        <v>33836.107716070197</v>
      </c>
      <c r="AG27" s="45">
        <v>17589480.278308801</v>
      </c>
      <c r="AH27" s="45">
        <v>5954.9325288047003</v>
      </c>
      <c r="AI27" s="45">
        <v>9733.5713622886906</v>
      </c>
      <c r="AJ27" s="45">
        <v>37918.7506338776</v>
      </c>
      <c r="AK27" s="45">
        <v>2136.2818403119099</v>
      </c>
      <c r="AL27" s="45">
        <v>30801.702328791798</v>
      </c>
      <c r="AM27" s="45">
        <v>97615.365861826198</v>
      </c>
      <c r="AN27" s="45">
        <v>159496.18997423799</v>
      </c>
      <c r="AO27" s="45">
        <v>4542218.6420078604</v>
      </c>
      <c r="AP27" s="45">
        <v>18162.665249341801</v>
      </c>
      <c r="AQ27" s="45">
        <v>211712.63319013201</v>
      </c>
      <c r="AR27" s="45">
        <v>18823.8901585928</v>
      </c>
      <c r="AS27" s="45">
        <v>630868.85632389295</v>
      </c>
      <c r="AT27" s="45">
        <v>60823415.429253101</v>
      </c>
      <c r="AU27" s="45">
        <v>5697629.1082278304</v>
      </c>
      <c r="AV27" s="45">
        <v>9025381.5833560508</v>
      </c>
      <c r="AW27" s="45">
        <v>14723010.6915839</v>
      </c>
      <c r="AX27" s="45">
        <v>0</v>
      </c>
      <c r="AY27" s="45">
        <v>14723010.6915839</v>
      </c>
      <c r="AZ27" s="45">
        <v>60601018.913020499</v>
      </c>
      <c r="BA27" s="45">
        <v>109528.026406031</v>
      </c>
      <c r="BB27" s="45">
        <v>60710546.939426497</v>
      </c>
      <c r="BC27" s="45">
        <v>28964418.0481885</v>
      </c>
      <c r="BD27" s="45">
        <v>104397975.679199</v>
      </c>
      <c r="BE27" s="45">
        <v>9207467.0758240409</v>
      </c>
      <c r="BF27" s="45">
        <v>156013924.032628</v>
      </c>
    </row>
    <row r="28" spans="1:58" ht="21.6">
      <c r="A28" s="110"/>
      <c r="B28" s="28" t="s">
        <v>53</v>
      </c>
      <c r="C28" s="44" t="s">
        <v>107</v>
      </c>
      <c r="D28" s="45">
        <v>197717.41518768799</v>
      </c>
      <c r="E28" s="45">
        <v>881627.77806250704</v>
      </c>
      <c r="F28" s="45">
        <v>103121.478636574</v>
      </c>
      <c r="G28" s="45">
        <v>981292.41104552196</v>
      </c>
      <c r="H28" s="45">
        <v>106644.456891027</v>
      </c>
      <c r="I28" s="45">
        <v>653308.46934062603</v>
      </c>
      <c r="J28" s="45">
        <v>495172.500311499</v>
      </c>
      <c r="K28" s="45">
        <v>286554.20689321798</v>
      </c>
      <c r="L28" s="45">
        <v>1752872.2545674001</v>
      </c>
      <c r="M28" s="45">
        <v>180840.089195095</v>
      </c>
      <c r="N28" s="45">
        <v>822089.17390728102</v>
      </c>
      <c r="O28" s="45">
        <v>125439.831913432</v>
      </c>
      <c r="P28" s="45">
        <v>1149003.59757298</v>
      </c>
      <c r="Q28" s="45">
        <v>1447646.24429034</v>
      </c>
      <c r="R28" s="45">
        <v>565778.76574593596</v>
      </c>
      <c r="S28" s="45">
        <v>269475.60754760302</v>
      </c>
      <c r="T28" s="45">
        <v>1218352.28813117</v>
      </c>
      <c r="U28" s="45">
        <v>30663801.736531898</v>
      </c>
      <c r="V28" s="45">
        <v>17420251.047840498</v>
      </c>
      <c r="W28" s="45">
        <v>16970910.7034714</v>
      </c>
      <c r="X28" s="45">
        <v>16325888.3708768</v>
      </c>
      <c r="Y28" s="45">
        <v>117461126.23187301</v>
      </c>
      <c r="Z28" s="45">
        <v>56751423.251501299</v>
      </c>
      <c r="AA28" s="45">
        <v>2060373.1156653999</v>
      </c>
      <c r="AB28" s="45">
        <v>42504095.549183898</v>
      </c>
      <c r="AC28" s="45">
        <v>79167.884545307403</v>
      </c>
      <c r="AD28" s="45">
        <v>81672.392538750602</v>
      </c>
      <c r="AE28" s="45">
        <v>93400845.831815302</v>
      </c>
      <c r="AF28" s="45">
        <v>14542910.593776001</v>
      </c>
      <c r="AG28" s="45">
        <v>5206775.2229577499</v>
      </c>
      <c r="AH28" s="45">
        <v>522242.572353372</v>
      </c>
      <c r="AI28" s="45">
        <v>10616440.492946099</v>
      </c>
      <c r="AJ28" s="45">
        <v>110440.953008636</v>
      </c>
      <c r="AK28" s="45">
        <v>58084.791495129102</v>
      </c>
      <c r="AL28" s="45">
        <v>12746420.9702527</v>
      </c>
      <c r="AM28" s="45">
        <v>7320572.0469589699</v>
      </c>
      <c r="AN28" s="45">
        <v>9868972.9432907794</v>
      </c>
      <c r="AO28" s="45">
        <v>3254772.8784903199</v>
      </c>
      <c r="AP28" s="45">
        <v>94102.024412990198</v>
      </c>
      <c r="AQ28" s="45">
        <v>481029.797254609</v>
      </c>
      <c r="AR28" s="45">
        <v>104873.43936141999</v>
      </c>
      <c r="AS28" s="45">
        <v>3268322.84521895</v>
      </c>
      <c r="AT28" s="45">
        <v>472865900.04996902</v>
      </c>
      <c r="AU28" s="45">
        <v>10878967.9395498</v>
      </c>
      <c r="AV28" s="45">
        <v>29242602.743562698</v>
      </c>
      <c r="AW28" s="45">
        <v>40121570.683112599</v>
      </c>
      <c r="AX28" s="45">
        <v>0</v>
      </c>
      <c r="AY28" s="45">
        <v>40121570.683112599</v>
      </c>
      <c r="AZ28" s="45">
        <v>63813745.932882003</v>
      </c>
      <c r="BA28" s="45">
        <v>752723.18437021005</v>
      </c>
      <c r="BB28" s="45">
        <v>64566469.117252298</v>
      </c>
      <c r="BC28" s="45">
        <v>170548525.74938399</v>
      </c>
      <c r="BD28" s="45">
        <v>275236565.549748</v>
      </c>
      <c r="BE28" s="45">
        <v>50436211.012560003</v>
      </c>
      <c r="BF28" s="45">
        <v>697666254.58715796</v>
      </c>
    </row>
    <row r="29" spans="1:58" ht="54">
      <c r="A29" s="110"/>
      <c r="B29" s="28" t="s">
        <v>54</v>
      </c>
      <c r="C29" s="44" t="s">
        <v>108</v>
      </c>
      <c r="D29" s="45">
        <v>331571.92327286699</v>
      </c>
      <c r="E29" s="45">
        <v>360777.60004878597</v>
      </c>
      <c r="F29" s="45">
        <v>869124.76538268302</v>
      </c>
      <c r="G29" s="45">
        <v>145408.002156292</v>
      </c>
      <c r="H29" s="45">
        <v>375468.67917023</v>
      </c>
      <c r="I29" s="45">
        <v>747037.24195235805</v>
      </c>
      <c r="J29" s="45">
        <v>409009.19244003698</v>
      </c>
      <c r="K29" s="45">
        <v>114685.419699634</v>
      </c>
      <c r="L29" s="45">
        <v>3374013.3855403601</v>
      </c>
      <c r="M29" s="45">
        <v>1119303.6177410099</v>
      </c>
      <c r="N29" s="45">
        <v>1074059.68590883</v>
      </c>
      <c r="O29" s="45">
        <v>481071.44129976898</v>
      </c>
      <c r="P29" s="45">
        <v>1201955.6937511</v>
      </c>
      <c r="Q29" s="45">
        <v>1208113.1755727599</v>
      </c>
      <c r="R29" s="45">
        <v>932509.34751355695</v>
      </c>
      <c r="S29" s="45">
        <v>157946.37516031301</v>
      </c>
      <c r="T29" s="45">
        <v>965077.73084339395</v>
      </c>
      <c r="U29" s="45">
        <v>25381587.3322048</v>
      </c>
      <c r="V29" s="45">
        <v>27022920.555623099</v>
      </c>
      <c r="W29" s="45">
        <v>16792407.243783802</v>
      </c>
      <c r="X29" s="45">
        <v>8374607.9499963196</v>
      </c>
      <c r="Y29" s="45">
        <v>53832828.6339688</v>
      </c>
      <c r="Z29" s="45">
        <v>603819523.000826</v>
      </c>
      <c r="AA29" s="45">
        <v>2302751.1303630099</v>
      </c>
      <c r="AB29" s="45">
        <v>17376246.384032998</v>
      </c>
      <c r="AC29" s="45">
        <v>181125.68877307299</v>
      </c>
      <c r="AD29" s="45">
        <v>131744.26850608201</v>
      </c>
      <c r="AE29" s="45">
        <v>13384228.346578401</v>
      </c>
      <c r="AF29" s="45">
        <v>8333877.7981027002</v>
      </c>
      <c r="AG29" s="45">
        <v>6813502.5938912099</v>
      </c>
      <c r="AH29" s="45">
        <v>1176063.9398599199</v>
      </c>
      <c r="AI29" s="45">
        <v>56611169.591117397</v>
      </c>
      <c r="AJ29" s="45">
        <v>1165549.52734219</v>
      </c>
      <c r="AK29" s="45">
        <v>447000.472689652</v>
      </c>
      <c r="AL29" s="45">
        <v>22296948.636496801</v>
      </c>
      <c r="AM29" s="45">
        <v>16278535.2568956</v>
      </c>
      <c r="AN29" s="45">
        <v>48000174.052217603</v>
      </c>
      <c r="AO29" s="45">
        <v>12802603.0218603</v>
      </c>
      <c r="AP29" s="45">
        <v>5849192.9874777598</v>
      </c>
      <c r="AQ29" s="45">
        <v>1202627.02425139</v>
      </c>
      <c r="AR29" s="45">
        <v>1117205.07324635</v>
      </c>
      <c r="AS29" s="45">
        <v>6557094.8933862802</v>
      </c>
      <c r="AT29" s="45">
        <v>971003963.26124597</v>
      </c>
      <c r="AU29" s="45">
        <v>15240055.9404142</v>
      </c>
      <c r="AV29" s="45">
        <v>51826486.888728797</v>
      </c>
      <c r="AW29" s="45">
        <v>67066542.829143099</v>
      </c>
      <c r="AX29" s="45">
        <v>0</v>
      </c>
      <c r="AY29" s="45">
        <v>67066542.829143099</v>
      </c>
      <c r="AZ29" s="45">
        <v>107099836.458124</v>
      </c>
      <c r="BA29" s="45">
        <v>6140154.9455792503</v>
      </c>
      <c r="BB29" s="45">
        <v>113239991.403703</v>
      </c>
      <c r="BC29" s="45">
        <v>439367334.97759402</v>
      </c>
      <c r="BD29" s="45">
        <v>619673869.21044004</v>
      </c>
      <c r="BE29" s="45">
        <v>402155880.98906702</v>
      </c>
      <c r="BF29" s="45">
        <v>1188521951.48262</v>
      </c>
    </row>
    <row r="30" spans="1:58" ht="75.599999999999994">
      <c r="A30" s="110"/>
      <c r="B30" s="28" t="s">
        <v>55</v>
      </c>
      <c r="C30" s="44" t="s">
        <v>109</v>
      </c>
      <c r="D30" s="45">
        <v>164747.47787442</v>
      </c>
      <c r="E30" s="45">
        <v>405514.02869687701</v>
      </c>
      <c r="F30" s="45">
        <v>146894.390608488</v>
      </c>
      <c r="G30" s="45">
        <v>199118.318682827</v>
      </c>
      <c r="H30" s="45">
        <v>133740.27413289601</v>
      </c>
      <c r="I30" s="45">
        <v>651164.66223560495</v>
      </c>
      <c r="J30" s="45">
        <v>1365889.2419316201</v>
      </c>
      <c r="K30" s="45">
        <v>242435.44420260299</v>
      </c>
      <c r="L30" s="45">
        <v>13403852.7991249</v>
      </c>
      <c r="M30" s="45">
        <v>563622.57549381198</v>
      </c>
      <c r="N30" s="45">
        <v>2080644.8010068401</v>
      </c>
      <c r="O30" s="45">
        <v>113887.729667525</v>
      </c>
      <c r="P30" s="45">
        <v>2943239.5497239898</v>
      </c>
      <c r="Q30" s="45">
        <v>3630070.67910031</v>
      </c>
      <c r="R30" s="45">
        <v>53093165.586032197</v>
      </c>
      <c r="S30" s="45">
        <v>13891355.113508901</v>
      </c>
      <c r="T30" s="45">
        <v>8634157.3163604196</v>
      </c>
      <c r="U30" s="45">
        <v>880502.95925384597</v>
      </c>
      <c r="V30" s="45">
        <v>861292.65728146199</v>
      </c>
      <c r="W30" s="45">
        <v>847818.19447725499</v>
      </c>
      <c r="X30" s="45">
        <v>612599.36564607301</v>
      </c>
      <c r="Y30" s="45">
        <v>953658.57623559504</v>
      </c>
      <c r="Z30" s="45">
        <v>1492023.5335540599</v>
      </c>
      <c r="AA30" s="45">
        <v>13185015.9538418</v>
      </c>
      <c r="AB30" s="45">
        <v>3665815.02354141</v>
      </c>
      <c r="AC30" s="45">
        <v>154857.195317682</v>
      </c>
      <c r="AD30" s="45">
        <v>89102.353197733595</v>
      </c>
      <c r="AE30" s="45">
        <v>3882686.3362354101</v>
      </c>
      <c r="AF30" s="45">
        <v>133738.98332051601</v>
      </c>
      <c r="AG30" s="45">
        <v>1407910.2921991199</v>
      </c>
      <c r="AH30" s="45">
        <v>205188.88588644299</v>
      </c>
      <c r="AI30" s="45">
        <v>462987.37195750099</v>
      </c>
      <c r="AJ30" s="45">
        <v>72347.132271356299</v>
      </c>
      <c r="AK30" s="45">
        <v>1286923.14998262</v>
      </c>
      <c r="AL30" s="45">
        <v>8954361.7373353001</v>
      </c>
      <c r="AM30" s="45">
        <v>1783852.69528289</v>
      </c>
      <c r="AN30" s="45">
        <v>5440678.9545661397</v>
      </c>
      <c r="AO30" s="45">
        <v>2143669.9012925201</v>
      </c>
      <c r="AP30" s="45">
        <v>265892.83775368001</v>
      </c>
      <c r="AQ30" s="45">
        <v>216482.433895731</v>
      </c>
      <c r="AR30" s="45">
        <v>626246.26319446799</v>
      </c>
      <c r="AS30" s="45">
        <v>1384717.8866036299</v>
      </c>
      <c r="AT30" s="45">
        <v>152431435.21830601</v>
      </c>
      <c r="AU30" s="45">
        <v>1188015.9589508199</v>
      </c>
      <c r="AV30" s="45">
        <v>3366560.1635568701</v>
      </c>
      <c r="AW30" s="45">
        <v>4554576.1225076802</v>
      </c>
      <c r="AX30" s="45">
        <v>0</v>
      </c>
      <c r="AY30" s="45">
        <v>0</v>
      </c>
      <c r="AZ30" s="45">
        <v>1945824.4473167399</v>
      </c>
      <c r="BA30" s="45">
        <v>0</v>
      </c>
      <c r="BB30" s="45">
        <v>1945824.4473167399</v>
      </c>
      <c r="BC30" s="45">
        <v>5279719.0121863401</v>
      </c>
      <c r="BD30" s="45">
        <v>7225543.4595030798</v>
      </c>
      <c r="BE30" s="45">
        <v>2317558.0961611802</v>
      </c>
      <c r="BF30" s="45">
        <v>20697060.147269402</v>
      </c>
    </row>
    <row r="31" spans="1:58" ht="32.4">
      <c r="A31" s="110"/>
      <c r="B31" s="28" t="s">
        <v>56</v>
      </c>
      <c r="C31" s="44" t="s">
        <v>110</v>
      </c>
      <c r="D31" s="45">
        <v>10632509.685994901</v>
      </c>
      <c r="E31" s="45">
        <v>8492039.3265241291</v>
      </c>
      <c r="F31" s="45">
        <v>3827929.6782418001</v>
      </c>
      <c r="G31" s="45">
        <v>14593431.6584963</v>
      </c>
      <c r="H31" s="45">
        <v>481039.22682557401</v>
      </c>
      <c r="I31" s="45">
        <v>8337210.0737607097</v>
      </c>
      <c r="J31" s="45">
        <v>9271306.1659300793</v>
      </c>
      <c r="K31" s="45">
        <v>5198622.9815821303</v>
      </c>
      <c r="L31" s="45">
        <v>12650200.924738299</v>
      </c>
      <c r="M31" s="45">
        <v>8918733.7900041603</v>
      </c>
      <c r="N31" s="45">
        <v>41485169.034775697</v>
      </c>
      <c r="O31" s="45">
        <v>4492909.9962751605</v>
      </c>
      <c r="P31" s="45">
        <v>6429846.75502072</v>
      </c>
      <c r="Q31" s="45">
        <v>36511483.283643097</v>
      </c>
      <c r="R31" s="45">
        <v>34770410.734096497</v>
      </c>
      <c r="S31" s="45">
        <v>28693763.723575801</v>
      </c>
      <c r="T31" s="45">
        <v>23642420.6271042</v>
      </c>
      <c r="U31" s="45">
        <v>9037398.2731788196</v>
      </c>
      <c r="V31" s="45">
        <v>5826705.6488526901</v>
      </c>
      <c r="W31" s="45">
        <v>5789468.1708769798</v>
      </c>
      <c r="X31" s="45">
        <v>1608516.3967347201</v>
      </c>
      <c r="Y31" s="45">
        <v>8301003.1445472101</v>
      </c>
      <c r="Z31" s="45">
        <v>11503234.3090018</v>
      </c>
      <c r="AA31" s="45">
        <v>2024340.4440145099</v>
      </c>
      <c r="AB31" s="45">
        <v>207763089.590819</v>
      </c>
      <c r="AC31" s="45">
        <v>1989258.6932657999</v>
      </c>
      <c r="AD31" s="45">
        <v>5177395.5040959297</v>
      </c>
      <c r="AE31" s="45">
        <v>41785891.453726701</v>
      </c>
      <c r="AF31" s="45">
        <v>12653101.4524859</v>
      </c>
      <c r="AG31" s="45">
        <v>16559627.487119701</v>
      </c>
      <c r="AH31" s="45">
        <v>4171232.3615359901</v>
      </c>
      <c r="AI31" s="45">
        <v>9487206.2947387099</v>
      </c>
      <c r="AJ31" s="45">
        <v>4342106.1335527599</v>
      </c>
      <c r="AK31" s="45">
        <v>4550954.1046263101</v>
      </c>
      <c r="AL31" s="45">
        <v>3785533.7397023598</v>
      </c>
      <c r="AM31" s="45">
        <v>3096348.0609721499</v>
      </c>
      <c r="AN31" s="45">
        <v>2489328.2551162899</v>
      </c>
      <c r="AO31" s="45">
        <v>3425610.48251737</v>
      </c>
      <c r="AP31" s="45">
        <v>3442352.6814395399</v>
      </c>
      <c r="AQ31" s="45">
        <v>3190635.0215070802</v>
      </c>
      <c r="AR31" s="45">
        <v>1566849.4882740499</v>
      </c>
      <c r="AS31" s="45">
        <v>10257739.6612089</v>
      </c>
      <c r="AT31" s="64">
        <v>637055331.53891802</v>
      </c>
      <c r="AU31" s="65">
        <v>12007734.9831194</v>
      </c>
      <c r="AV31" s="65">
        <v>49517677.873736903</v>
      </c>
      <c r="AW31" s="64">
        <v>61525412.856856301</v>
      </c>
      <c r="AX31" s="65">
        <v>0</v>
      </c>
      <c r="AY31" s="64">
        <v>61525412.856856301</v>
      </c>
      <c r="AZ31" s="65">
        <v>0</v>
      </c>
      <c r="BA31" s="65">
        <v>0</v>
      </c>
      <c r="BB31" s="64">
        <v>0</v>
      </c>
      <c r="BC31" s="65">
        <v>1045039.7484</v>
      </c>
      <c r="BD31" s="83">
        <v>62570452.605256297</v>
      </c>
      <c r="BE31" s="65">
        <v>123218.4412</v>
      </c>
      <c r="BF31" s="66">
        <v>699502565.70297396</v>
      </c>
    </row>
    <row r="32" spans="1:58" ht="24">
      <c r="A32" s="110"/>
      <c r="B32" s="28" t="s">
        <v>57</v>
      </c>
      <c r="C32" s="46" t="s">
        <v>111</v>
      </c>
      <c r="D32" s="45">
        <v>158734.702636481</v>
      </c>
      <c r="E32" s="45">
        <v>28901.4549832347</v>
      </c>
      <c r="F32" s="45">
        <v>21479.904192603601</v>
      </c>
      <c r="G32" s="45">
        <v>23210.4423339237</v>
      </c>
      <c r="H32" s="45">
        <v>66417.539930823696</v>
      </c>
      <c r="I32" s="45">
        <v>443352.99437906401</v>
      </c>
      <c r="J32" s="45">
        <v>187804.34269080599</v>
      </c>
      <c r="K32" s="45">
        <v>26205.230886828998</v>
      </c>
      <c r="L32" s="45">
        <v>455864.76763070998</v>
      </c>
      <c r="M32" s="45">
        <v>817644.24839578895</v>
      </c>
      <c r="N32" s="45">
        <v>2010632.1788910399</v>
      </c>
      <c r="O32" s="45">
        <v>3228.6624178986499</v>
      </c>
      <c r="P32" s="45">
        <v>5038.3119184469597</v>
      </c>
      <c r="Q32" s="45">
        <v>240915.818847029</v>
      </c>
      <c r="R32" s="45">
        <v>233825.70539204401</v>
      </c>
      <c r="S32" s="45">
        <v>69857.983572238896</v>
      </c>
      <c r="T32" s="45">
        <v>440098.52054863202</v>
      </c>
      <c r="U32" s="45">
        <v>183042.98405176101</v>
      </c>
      <c r="V32" s="45">
        <v>306402.22007457301</v>
      </c>
      <c r="W32" s="45">
        <v>104306.632854689</v>
      </c>
      <c r="X32" s="45">
        <v>136222.61171656</v>
      </c>
      <c r="Y32" s="45">
        <v>250330.61046927501</v>
      </c>
      <c r="Z32" s="45">
        <v>139669.20555458</v>
      </c>
      <c r="AA32" s="45">
        <v>421341.49805195199</v>
      </c>
      <c r="AB32" s="45">
        <v>1999455.2125124999</v>
      </c>
      <c r="AC32" s="45">
        <v>9988214.6152514108</v>
      </c>
      <c r="AD32" s="45">
        <v>577.10973224771101</v>
      </c>
      <c r="AE32" s="45">
        <v>43646.7161920363</v>
      </c>
      <c r="AF32" s="45">
        <v>108729.406380966</v>
      </c>
      <c r="AG32" s="45">
        <v>19661653.7984179</v>
      </c>
      <c r="AH32" s="45">
        <v>2563138.31292585</v>
      </c>
      <c r="AI32" s="45">
        <v>79885.205672357595</v>
      </c>
      <c r="AJ32" s="45">
        <v>29927.4073905187</v>
      </c>
      <c r="AK32" s="45">
        <v>2003956.33127242</v>
      </c>
      <c r="AL32" s="45">
        <v>461291.884655495</v>
      </c>
      <c r="AM32" s="45">
        <v>181897.00048366399</v>
      </c>
      <c r="AN32" s="45">
        <v>211884.969231725</v>
      </c>
      <c r="AO32" s="45">
        <v>1107430.7801409401</v>
      </c>
      <c r="AP32" s="45">
        <v>533949.62356846302</v>
      </c>
      <c r="AQ32" s="45">
        <v>253896.226234584</v>
      </c>
      <c r="AR32" s="45">
        <v>279996.55674751702</v>
      </c>
      <c r="AS32" s="45">
        <v>347185.736217506</v>
      </c>
      <c r="AT32" s="64">
        <v>46605040.234562203</v>
      </c>
      <c r="AU32" s="65">
        <v>1394219.1029457999</v>
      </c>
      <c r="AV32" s="65">
        <v>32378337.354393002</v>
      </c>
      <c r="AW32" s="64">
        <v>33772556.457338803</v>
      </c>
      <c r="AX32" s="65">
        <v>0</v>
      </c>
      <c r="AY32" s="64">
        <v>33772556.457338803</v>
      </c>
      <c r="AZ32" s="65">
        <v>0</v>
      </c>
      <c r="BA32" s="65">
        <v>893408.64044541295</v>
      </c>
      <c r="BB32" s="64">
        <v>893408.64044541295</v>
      </c>
      <c r="BC32" s="65">
        <v>0</v>
      </c>
      <c r="BD32" s="83">
        <v>34665965.097784303</v>
      </c>
      <c r="BE32" s="65">
        <v>0</v>
      </c>
      <c r="BF32" s="66">
        <v>81271005.332346603</v>
      </c>
    </row>
    <row r="33" spans="1:58" ht="21.6">
      <c r="A33" s="110"/>
      <c r="B33" s="28" t="s">
        <v>58</v>
      </c>
      <c r="C33" s="46" t="s">
        <v>112</v>
      </c>
      <c r="D33" s="45">
        <v>41316.588252533198</v>
      </c>
      <c r="E33" s="45">
        <v>56861.257707942998</v>
      </c>
      <c r="F33" s="45">
        <v>66724.691130288003</v>
      </c>
      <c r="G33" s="45">
        <v>75500.916232385003</v>
      </c>
      <c r="H33" s="45">
        <v>15289.876303716201</v>
      </c>
      <c r="I33" s="45">
        <v>1176862.5578435501</v>
      </c>
      <c r="J33" s="45">
        <v>280582.66604564601</v>
      </c>
      <c r="K33" s="45">
        <v>118367.57321422199</v>
      </c>
      <c r="L33" s="45">
        <v>442167.91749623301</v>
      </c>
      <c r="M33" s="45">
        <v>149328.75506023099</v>
      </c>
      <c r="N33" s="45">
        <v>481011.19009596203</v>
      </c>
      <c r="O33" s="45">
        <v>235131.24611225101</v>
      </c>
      <c r="P33" s="45">
        <v>150793.20284570201</v>
      </c>
      <c r="Q33" s="45">
        <v>532732.64514070202</v>
      </c>
      <c r="R33" s="45">
        <v>313577.763558793</v>
      </c>
      <c r="S33" s="45">
        <v>110786.029679926</v>
      </c>
      <c r="T33" s="45">
        <v>157179.32835927201</v>
      </c>
      <c r="U33" s="45">
        <v>340480.59486597299</v>
      </c>
      <c r="V33" s="45">
        <v>185550.30952927901</v>
      </c>
      <c r="W33" s="45">
        <v>167372.94243364499</v>
      </c>
      <c r="X33" s="45">
        <v>121137.104951136</v>
      </c>
      <c r="Y33" s="45">
        <v>405654.938503351</v>
      </c>
      <c r="Z33" s="45">
        <v>532648.03583173396</v>
      </c>
      <c r="AA33" s="45">
        <v>182154.691878221</v>
      </c>
      <c r="AB33" s="45">
        <v>1234128.68752964</v>
      </c>
      <c r="AC33" s="45">
        <v>36613.344005373401</v>
      </c>
      <c r="AD33" s="45">
        <v>2092918.6371561601</v>
      </c>
      <c r="AE33" s="45">
        <v>2894162.0483027301</v>
      </c>
      <c r="AF33" s="45">
        <v>552057.35316751699</v>
      </c>
      <c r="AG33" s="45">
        <v>496240.20191985503</v>
      </c>
      <c r="AH33" s="45">
        <v>1161758.0917028401</v>
      </c>
      <c r="AI33" s="45">
        <v>269693.69170390099</v>
      </c>
      <c r="AJ33" s="45">
        <v>367635.55861132202</v>
      </c>
      <c r="AK33" s="45">
        <v>556423.34696311899</v>
      </c>
      <c r="AL33" s="45">
        <v>119223.28508387999</v>
      </c>
      <c r="AM33" s="45">
        <v>505701.343195469</v>
      </c>
      <c r="AN33" s="45">
        <v>125838.583104519</v>
      </c>
      <c r="AO33" s="45">
        <v>426824.19165027101</v>
      </c>
      <c r="AP33" s="45">
        <v>435482.55695067899</v>
      </c>
      <c r="AQ33" s="45">
        <v>316913.101361849</v>
      </c>
      <c r="AR33" s="45">
        <v>273234.61167785601</v>
      </c>
      <c r="AS33" s="45">
        <v>903821.15177748597</v>
      </c>
      <c r="AT33" s="64">
        <v>18989515.0357229</v>
      </c>
      <c r="AU33" s="65">
        <v>2708952.0732222698</v>
      </c>
      <c r="AV33" s="65">
        <v>18088343.402777299</v>
      </c>
      <c r="AW33" s="64">
        <v>20797295.475999601</v>
      </c>
      <c r="AX33" s="65">
        <v>0</v>
      </c>
      <c r="AY33" s="64">
        <v>20797295.475999601</v>
      </c>
      <c r="AZ33" s="65">
        <v>0</v>
      </c>
      <c r="BA33" s="65">
        <v>891741.45750941802</v>
      </c>
      <c r="BB33" s="64">
        <v>891741.45750941802</v>
      </c>
      <c r="BC33" s="65">
        <v>0</v>
      </c>
      <c r="BD33" s="83">
        <v>21689036.933509</v>
      </c>
      <c r="BE33" s="65">
        <v>0</v>
      </c>
      <c r="BF33" s="66">
        <v>40678551.969231904</v>
      </c>
    </row>
    <row r="34" spans="1:58">
      <c r="A34" s="110"/>
      <c r="B34" s="28" t="s">
        <v>59</v>
      </c>
      <c r="C34" s="46" t="s">
        <v>113</v>
      </c>
      <c r="D34" s="45">
        <v>767866.27291258995</v>
      </c>
      <c r="E34" s="45">
        <v>136712.76462960101</v>
      </c>
      <c r="F34" s="45">
        <v>28483.4786058051</v>
      </c>
      <c r="G34" s="45">
        <v>39555.2327590926</v>
      </c>
      <c r="H34" s="45">
        <v>5924.7935314633096</v>
      </c>
      <c r="I34" s="45">
        <v>215253.65315689999</v>
      </c>
      <c r="J34" s="45">
        <v>226716.426076526</v>
      </c>
      <c r="K34" s="45">
        <v>132624.129456814</v>
      </c>
      <c r="L34" s="45">
        <v>238488.81530050599</v>
      </c>
      <c r="M34" s="45">
        <v>50165.433194638303</v>
      </c>
      <c r="N34" s="45">
        <v>339457.69367522199</v>
      </c>
      <c r="O34" s="45">
        <v>62322.093986348002</v>
      </c>
      <c r="P34" s="45">
        <v>93738.603114202997</v>
      </c>
      <c r="Q34" s="45">
        <v>162675.607305991</v>
      </c>
      <c r="R34" s="45">
        <v>95544.614739968194</v>
      </c>
      <c r="S34" s="45">
        <v>78767.820339656595</v>
      </c>
      <c r="T34" s="45">
        <v>112818.398974717</v>
      </c>
      <c r="U34" s="45">
        <v>310533.93412080401</v>
      </c>
      <c r="V34" s="45">
        <v>124690.040871795</v>
      </c>
      <c r="W34" s="45">
        <v>139887.315349785</v>
      </c>
      <c r="X34" s="45">
        <v>47393.878590150103</v>
      </c>
      <c r="Y34" s="45">
        <v>180123.420648795</v>
      </c>
      <c r="Z34" s="45">
        <v>667409.93998919497</v>
      </c>
      <c r="AA34" s="45">
        <v>89637.304741633401</v>
      </c>
      <c r="AB34" s="45">
        <v>2679712.7946501598</v>
      </c>
      <c r="AC34" s="45">
        <v>28595.2440077961</v>
      </c>
      <c r="AD34" s="45">
        <v>75522.733505083699</v>
      </c>
      <c r="AE34" s="45">
        <v>102777626.861809</v>
      </c>
      <c r="AF34" s="45">
        <v>1487150.4145561899</v>
      </c>
      <c r="AG34" s="45">
        <v>2015285.3911783299</v>
      </c>
      <c r="AH34" s="45">
        <v>901665.81305564696</v>
      </c>
      <c r="AI34" s="45">
        <v>954151.50461212103</v>
      </c>
      <c r="AJ34" s="45">
        <v>2489999.29194621</v>
      </c>
      <c r="AK34" s="45">
        <v>14193938.3943872</v>
      </c>
      <c r="AL34" s="45">
        <v>445793.24860177102</v>
      </c>
      <c r="AM34" s="45">
        <v>424334.51161238598</v>
      </c>
      <c r="AN34" s="45">
        <v>514616.38248372899</v>
      </c>
      <c r="AO34" s="45">
        <v>528902.69084494305</v>
      </c>
      <c r="AP34" s="45">
        <v>3319541.48031619</v>
      </c>
      <c r="AQ34" s="45">
        <v>1071607.6873737201</v>
      </c>
      <c r="AR34" s="45">
        <v>993565.57971969096</v>
      </c>
      <c r="AS34" s="45">
        <v>10876464.686654501</v>
      </c>
      <c r="AT34" s="45">
        <v>149992642.24792999</v>
      </c>
      <c r="AU34" s="45">
        <v>0</v>
      </c>
      <c r="AV34" s="45">
        <v>0</v>
      </c>
      <c r="AW34" s="45">
        <v>0</v>
      </c>
      <c r="AX34" s="45">
        <v>0</v>
      </c>
      <c r="AY34" s="45">
        <v>0</v>
      </c>
      <c r="AZ34" s="45">
        <v>2707176325.74966</v>
      </c>
      <c r="BA34" s="45">
        <v>0</v>
      </c>
      <c r="BB34" s="45">
        <v>2707176325.74966</v>
      </c>
      <c r="BC34" s="45">
        <v>8681061.2808516994</v>
      </c>
      <c r="BD34" s="45">
        <v>2715857387.03052</v>
      </c>
      <c r="BE34" s="45">
        <v>5545047.8637640001</v>
      </c>
      <c r="BF34" s="45">
        <v>2860304981.41468</v>
      </c>
    </row>
    <row r="35" spans="1:58" ht="21.6">
      <c r="A35" s="110"/>
      <c r="B35" s="28" t="s">
        <v>60</v>
      </c>
      <c r="C35" s="46" t="s">
        <v>114</v>
      </c>
      <c r="D35" s="45">
        <v>32445341.8210967</v>
      </c>
      <c r="E35" s="45">
        <v>6037786.7320662104</v>
      </c>
      <c r="F35" s="45">
        <v>775392.27401589404</v>
      </c>
      <c r="G35" s="45">
        <v>4137179.2881825902</v>
      </c>
      <c r="H35" s="45">
        <v>811001.70867601898</v>
      </c>
      <c r="I35" s="45">
        <v>81687886.060643494</v>
      </c>
      <c r="J35" s="45">
        <v>49418319.526525803</v>
      </c>
      <c r="K35" s="45">
        <v>23952570.404968601</v>
      </c>
      <c r="L35" s="45">
        <v>51727062.722152598</v>
      </c>
      <c r="M35" s="45">
        <v>10885899.5352103</v>
      </c>
      <c r="N35" s="45">
        <v>35967199.2637394</v>
      </c>
      <c r="O35" s="45">
        <v>19903155.950842701</v>
      </c>
      <c r="P35" s="45">
        <v>19717113.371896099</v>
      </c>
      <c r="Q35" s="45">
        <v>37090632.127917603</v>
      </c>
      <c r="R35" s="45">
        <v>18088633.433522701</v>
      </c>
      <c r="S35" s="45">
        <v>13482091.1086585</v>
      </c>
      <c r="T35" s="45">
        <v>22175914.737617198</v>
      </c>
      <c r="U35" s="45">
        <v>27687169.007828999</v>
      </c>
      <c r="V35" s="45">
        <v>19596217.765617799</v>
      </c>
      <c r="W35" s="45">
        <v>54110905.513489</v>
      </c>
      <c r="X35" s="45">
        <v>10569374.970818</v>
      </c>
      <c r="Y35" s="45">
        <v>42723961.570809498</v>
      </c>
      <c r="Z35" s="45">
        <v>59473321.116125599</v>
      </c>
      <c r="AA35" s="45">
        <v>4006169.6424203599</v>
      </c>
      <c r="AB35" s="45">
        <v>15451656.157005301</v>
      </c>
      <c r="AC35" s="45">
        <v>2301900.8425521599</v>
      </c>
      <c r="AD35" s="45">
        <v>565625.06653206202</v>
      </c>
      <c r="AE35" s="45">
        <v>143079872.33824301</v>
      </c>
      <c r="AF35" s="45">
        <v>11226156.781745801</v>
      </c>
      <c r="AG35" s="45">
        <v>35456523.308043502</v>
      </c>
      <c r="AH35" s="45">
        <v>28035741.060201</v>
      </c>
      <c r="AI35" s="45">
        <v>15872913.5323215</v>
      </c>
      <c r="AJ35" s="45">
        <v>5735570.8359558098</v>
      </c>
      <c r="AK35" s="45">
        <v>3311533.5759604299</v>
      </c>
      <c r="AL35" s="45">
        <v>34868107.184738502</v>
      </c>
      <c r="AM35" s="45">
        <v>7310894.07936115</v>
      </c>
      <c r="AN35" s="45">
        <v>13897489.3645106</v>
      </c>
      <c r="AO35" s="45">
        <v>8483107.7031672597</v>
      </c>
      <c r="AP35" s="45">
        <v>6371391.4748348603</v>
      </c>
      <c r="AQ35" s="45">
        <v>34246220.181799702</v>
      </c>
      <c r="AR35" s="45">
        <v>4838226.8271174803</v>
      </c>
      <c r="AS35" s="45">
        <v>15105573.595953301</v>
      </c>
      <c r="AT35" s="45">
        <v>1008676233.15992</v>
      </c>
      <c r="AU35" s="45">
        <v>51457511.092132501</v>
      </c>
      <c r="AV35" s="45">
        <v>166522713.313402</v>
      </c>
      <c r="AW35" s="45">
        <v>217980224.405534</v>
      </c>
      <c r="AX35" s="45">
        <v>0</v>
      </c>
      <c r="AY35" s="45">
        <v>217980224.405534</v>
      </c>
      <c r="AZ35" s="45">
        <v>84921149.455762297</v>
      </c>
      <c r="BA35" s="45">
        <v>8345553.6658840599</v>
      </c>
      <c r="BB35" s="45">
        <v>93266703.121646494</v>
      </c>
      <c r="BC35" s="45">
        <v>178591537.87247801</v>
      </c>
      <c r="BD35" s="45">
        <v>489838465.39965898</v>
      </c>
      <c r="BE35" s="45">
        <v>0</v>
      </c>
      <c r="BF35" s="45">
        <v>1498514698.5595801</v>
      </c>
    </row>
    <row r="36" spans="1:58" ht="32.4">
      <c r="A36" s="110"/>
      <c r="B36" s="28" t="s">
        <v>61</v>
      </c>
      <c r="C36" s="46" t="s">
        <v>115</v>
      </c>
      <c r="D36" s="45">
        <v>25502816.8995248</v>
      </c>
      <c r="E36" s="45">
        <v>5466615.4697256703</v>
      </c>
      <c r="F36" s="45">
        <v>662325.93177021295</v>
      </c>
      <c r="G36" s="45">
        <v>3705387.6243679901</v>
      </c>
      <c r="H36" s="45">
        <v>459922.389176214</v>
      </c>
      <c r="I36" s="45">
        <v>33568250.7764825</v>
      </c>
      <c r="J36" s="45">
        <v>30654371.8358142</v>
      </c>
      <c r="K36" s="45">
        <v>8982067.3529972397</v>
      </c>
      <c r="L36" s="45">
        <v>20843806.401541501</v>
      </c>
      <c r="M36" s="45">
        <v>11193285.5741792</v>
      </c>
      <c r="N36" s="45">
        <v>31172179.9123803</v>
      </c>
      <c r="O36" s="45">
        <v>11209228.5782545</v>
      </c>
      <c r="P36" s="45">
        <v>13733058.033603299</v>
      </c>
      <c r="Q36" s="45">
        <v>25345785.753468301</v>
      </c>
      <c r="R36" s="45">
        <v>19869246.551746801</v>
      </c>
      <c r="S36" s="45">
        <v>13197425.411509201</v>
      </c>
      <c r="T36" s="45">
        <v>15073279.3625574</v>
      </c>
      <c r="U36" s="45">
        <v>16500075.924443601</v>
      </c>
      <c r="V36" s="45">
        <v>14118443.387983499</v>
      </c>
      <c r="W36" s="45">
        <v>24769356.2474804</v>
      </c>
      <c r="X36" s="45">
        <v>4521511.0037380997</v>
      </c>
      <c r="Y36" s="45">
        <v>22153380.483358599</v>
      </c>
      <c r="Z36" s="45">
        <v>18528288.710067999</v>
      </c>
      <c r="AA36" s="45">
        <v>2444020.0275438898</v>
      </c>
      <c r="AB36" s="45">
        <v>12897844.057169201</v>
      </c>
      <c r="AC36" s="45">
        <v>1690453.88206179</v>
      </c>
      <c r="AD36" s="45">
        <v>399060.12304012902</v>
      </c>
      <c r="AE36" s="45">
        <v>77457881.624707803</v>
      </c>
      <c r="AF36" s="45">
        <v>90975726.641584098</v>
      </c>
      <c r="AG36" s="45">
        <v>173252511.26195401</v>
      </c>
      <c r="AH36" s="45">
        <v>15280892.5786233</v>
      </c>
      <c r="AI36" s="45">
        <v>13780271.547948699</v>
      </c>
      <c r="AJ36" s="45">
        <v>13542347.8239497</v>
      </c>
      <c r="AK36" s="45">
        <v>4279025.9934587199</v>
      </c>
      <c r="AL36" s="45">
        <v>57539641.480696499</v>
      </c>
      <c r="AM36" s="45">
        <v>9247844.2679492496</v>
      </c>
      <c r="AN36" s="45">
        <v>18900788.576480001</v>
      </c>
      <c r="AO36" s="45">
        <v>7465876.5164753599</v>
      </c>
      <c r="AP36" s="45">
        <v>12170731.8832801</v>
      </c>
      <c r="AQ36" s="45">
        <v>15774297.659290999</v>
      </c>
      <c r="AR36" s="45">
        <v>5216650.8288543904</v>
      </c>
      <c r="AS36" s="45">
        <v>30875236.414519198</v>
      </c>
      <c r="AT36" s="45">
        <v>925439145.45276201</v>
      </c>
      <c r="AU36" s="45">
        <v>30607379.101441901</v>
      </c>
      <c r="AV36" s="45">
        <v>107378578.754783</v>
      </c>
      <c r="AW36" s="45">
        <v>137985957.85622501</v>
      </c>
      <c r="AX36" s="45">
        <v>42787710.951599598</v>
      </c>
      <c r="AY36" s="45">
        <v>180773668.807825</v>
      </c>
      <c r="AZ36" s="45">
        <v>34380961.708352</v>
      </c>
      <c r="BA36" s="45">
        <v>2787948.9429763998</v>
      </c>
      <c r="BB36" s="45">
        <v>37168910.651328497</v>
      </c>
      <c r="BC36" s="45">
        <v>95111712.935939193</v>
      </c>
      <c r="BD36" s="45">
        <v>313054292.39509201</v>
      </c>
      <c r="BE36" s="45">
        <v>39322169.213351302</v>
      </c>
      <c r="BF36" s="45">
        <v>1199171268.6345</v>
      </c>
    </row>
    <row r="37" spans="1:58" ht="21.6">
      <c r="A37" s="110"/>
      <c r="B37" s="28" t="s">
        <v>62</v>
      </c>
      <c r="C37" s="46" t="s">
        <v>116</v>
      </c>
      <c r="D37" s="45">
        <v>2365578.9880881701</v>
      </c>
      <c r="E37" s="45">
        <v>762175.49667994701</v>
      </c>
      <c r="F37" s="45">
        <v>199599.92691240201</v>
      </c>
      <c r="G37" s="45">
        <v>842149.98613457906</v>
      </c>
      <c r="H37" s="45">
        <v>109283.546670268</v>
      </c>
      <c r="I37" s="45">
        <v>5081633.5890060896</v>
      </c>
      <c r="J37" s="45">
        <v>2389261.74244902</v>
      </c>
      <c r="K37" s="45">
        <v>1133676.64022426</v>
      </c>
      <c r="L37" s="45">
        <v>3087924.9706234699</v>
      </c>
      <c r="M37" s="45">
        <v>858498.177586523</v>
      </c>
      <c r="N37" s="45">
        <v>3499576.9477412901</v>
      </c>
      <c r="O37" s="45">
        <v>3967101.9921749802</v>
      </c>
      <c r="P37" s="45">
        <v>1394763.17711906</v>
      </c>
      <c r="Q37" s="45">
        <v>4067231.6033907202</v>
      </c>
      <c r="R37" s="45">
        <v>2414344.96716937</v>
      </c>
      <c r="S37" s="45">
        <v>1033268.47012779</v>
      </c>
      <c r="T37" s="45">
        <v>2894258.5718172202</v>
      </c>
      <c r="U37" s="45">
        <v>2733036.73885831</v>
      </c>
      <c r="V37" s="45">
        <v>3475131.3451918298</v>
      </c>
      <c r="W37" s="45">
        <v>2884251.2143198401</v>
      </c>
      <c r="X37" s="45">
        <v>837981.49521439301</v>
      </c>
      <c r="Y37" s="45">
        <v>3803760.4041102901</v>
      </c>
      <c r="Z37" s="45">
        <v>4571761.3817649903</v>
      </c>
      <c r="AA37" s="45">
        <v>553103.52908509702</v>
      </c>
      <c r="AB37" s="45">
        <v>2051215.08631479</v>
      </c>
      <c r="AC37" s="45">
        <v>224739.51470622499</v>
      </c>
      <c r="AD37" s="45">
        <v>196672.810478203</v>
      </c>
      <c r="AE37" s="45">
        <v>14884407.391132699</v>
      </c>
      <c r="AF37" s="45">
        <v>7190141.5956000304</v>
      </c>
      <c r="AG37" s="45">
        <v>21824752.656176601</v>
      </c>
      <c r="AH37" s="45">
        <v>939543.14637547301</v>
      </c>
      <c r="AI37" s="45">
        <v>5890208.15955415</v>
      </c>
      <c r="AJ37" s="45">
        <v>28451801.880011</v>
      </c>
      <c r="AK37" s="45">
        <v>4188796.83246565</v>
      </c>
      <c r="AL37" s="45">
        <v>46050709.454658702</v>
      </c>
      <c r="AM37" s="45">
        <v>9505464.4839702006</v>
      </c>
      <c r="AN37" s="45">
        <v>17842364.908427902</v>
      </c>
      <c r="AO37" s="45">
        <v>3362199.60532963</v>
      </c>
      <c r="AP37" s="45">
        <v>12682565.3168176</v>
      </c>
      <c r="AQ37" s="45">
        <v>1987214.01266115</v>
      </c>
      <c r="AR37" s="45">
        <v>5104499.0634741597</v>
      </c>
      <c r="AS37" s="45">
        <v>38154941.923845701</v>
      </c>
      <c r="AT37" s="45">
        <v>274357916.10423601</v>
      </c>
      <c r="AU37" s="45">
        <v>26632162.7816424</v>
      </c>
      <c r="AV37" s="45">
        <v>156061116.80866599</v>
      </c>
      <c r="AW37" s="45">
        <v>182693279.59030801</v>
      </c>
      <c r="AX37" s="45">
        <v>0</v>
      </c>
      <c r="AY37" s="45">
        <v>182693279.59030801</v>
      </c>
      <c r="AZ37" s="45">
        <v>0</v>
      </c>
      <c r="BA37" s="45">
        <v>0</v>
      </c>
      <c r="BB37" s="45">
        <v>0</v>
      </c>
      <c r="BC37" s="45">
        <v>2705954.49598409</v>
      </c>
      <c r="BD37" s="45">
        <v>185399234.08629301</v>
      </c>
      <c r="BE37" s="45">
        <v>27767390.085102599</v>
      </c>
      <c r="BF37" s="45">
        <v>431989760.105425</v>
      </c>
    </row>
    <row r="38" spans="1:58" ht="43.2">
      <c r="A38" s="110"/>
      <c r="B38" s="28" t="s">
        <v>63</v>
      </c>
      <c r="C38" s="46" t="s">
        <v>117</v>
      </c>
      <c r="D38" s="45">
        <v>2380372.7882407499</v>
      </c>
      <c r="E38" s="45">
        <v>321232.86135543702</v>
      </c>
      <c r="F38" s="45">
        <v>130830.941198361</v>
      </c>
      <c r="G38" s="45">
        <v>660885.16421326098</v>
      </c>
      <c r="H38" s="45">
        <v>51314.843354326003</v>
      </c>
      <c r="I38" s="45">
        <v>2985457.2071557702</v>
      </c>
      <c r="J38" s="45">
        <v>2795304.3033230598</v>
      </c>
      <c r="K38" s="45">
        <v>702160.28093722498</v>
      </c>
      <c r="L38" s="45">
        <v>2870632.0237698499</v>
      </c>
      <c r="M38" s="45">
        <v>297324.707152127</v>
      </c>
      <c r="N38" s="45">
        <v>2928437.6155691799</v>
      </c>
      <c r="O38" s="45">
        <v>1802778.23692655</v>
      </c>
      <c r="P38" s="45">
        <v>1073247.9677768799</v>
      </c>
      <c r="Q38" s="45">
        <v>1879832.34809695</v>
      </c>
      <c r="R38" s="45">
        <v>758487.52028575598</v>
      </c>
      <c r="S38" s="45">
        <v>759639.70492993901</v>
      </c>
      <c r="T38" s="45">
        <v>1666606.6070314299</v>
      </c>
      <c r="U38" s="45">
        <v>3216940.16125764</v>
      </c>
      <c r="V38" s="45">
        <v>2097447.4664449599</v>
      </c>
      <c r="W38" s="45">
        <v>2312784.1849024901</v>
      </c>
      <c r="X38" s="45">
        <v>739434.71481951897</v>
      </c>
      <c r="Y38" s="45">
        <v>3891181.9173671198</v>
      </c>
      <c r="Z38" s="45">
        <v>26849254.1742833</v>
      </c>
      <c r="AA38" s="45">
        <v>290368.47980838799</v>
      </c>
      <c r="AB38" s="45">
        <v>4714676.0832067998</v>
      </c>
      <c r="AC38" s="45">
        <v>378597.82045240502</v>
      </c>
      <c r="AD38" s="45">
        <v>364023.25841085502</v>
      </c>
      <c r="AE38" s="45">
        <v>39431330.986085199</v>
      </c>
      <c r="AF38" s="45">
        <v>11266280.2419986</v>
      </c>
      <c r="AG38" s="45">
        <v>36361881.152962402</v>
      </c>
      <c r="AH38" s="45">
        <v>3189231.6805301402</v>
      </c>
      <c r="AI38" s="45">
        <v>194104989.05070299</v>
      </c>
      <c r="AJ38" s="45">
        <v>41502192.8395724</v>
      </c>
      <c r="AK38" s="45">
        <v>8707730.9318200592</v>
      </c>
      <c r="AL38" s="45">
        <v>14421754.3457487</v>
      </c>
      <c r="AM38" s="45">
        <v>3120866.5165921198</v>
      </c>
      <c r="AN38" s="45">
        <v>11332785.543717699</v>
      </c>
      <c r="AO38" s="45">
        <v>1805080.1013281799</v>
      </c>
      <c r="AP38" s="45">
        <v>10760607.881895101</v>
      </c>
      <c r="AQ38" s="45">
        <v>10365566.128374999</v>
      </c>
      <c r="AR38" s="45">
        <v>2895577.2704651402</v>
      </c>
      <c r="AS38" s="45">
        <v>51257794.8407465</v>
      </c>
      <c r="AT38" s="45">
        <v>508740762.61387402</v>
      </c>
      <c r="AU38" s="45">
        <v>27729871.4639141</v>
      </c>
      <c r="AV38" s="45">
        <v>96992063.336868405</v>
      </c>
      <c r="AW38" s="45">
        <v>124721934.80078299</v>
      </c>
      <c r="AX38" s="45">
        <v>0</v>
      </c>
      <c r="AY38" s="45">
        <v>124721934.80078299</v>
      </c>
      <c r="AZ38" s="45">
        <v>328686630.65903503</v>
      </c>
      <c r="BA38" s="45">
        <v>0</v>
      </c>
      <c r="BB38" s="45">
        <v>328686630.65903503</v>
      </c>
      <c r="BC38" s="45">
        <v>30745009.333072402</v>
      </c>
      <c r="BD38" s="45">
        <v>484153574.79289001</v>
      </c>
      <c r="BE38" s="45">
        <v>27651547.580722298</v>
      </c>
      <c r="BF38" s="45">
        <v>965242789.82604098</v>
      </c>
    </row>
    <row r="39" spans="1:58">
      <c r="A39" s="110"/>
      <c r="B39" s="28" t="s">
        <v>64</v>
      </c>
      <c r="C39" s="46" t="s">
        <v>118</v>
      </c>
      <c r="D39" s="45">
        <v>15766818.180193</v>
      </c>
      <c r="E39" s="45">
        <v>11355297.9950202</v>
      </c>
      <c r="F39" s="45">
        <v>3523955.0546134901</v>
      </c>
      <c r="G39" s="45">
        <v>5093818.7846388901</v>
      </c>
      <c r="H39" s="45">
        <v>364840.56967419299</v>
      </c>
      <c r="I39" s="45">
        <v>6436987.4079373898</v>
      </c>
      <c r="J39" s="45">
        <v>6249925.8013545396</v>
      </c>
      <c r="K39" s="45">
        <v>2488537.4583907099</v>
      </c>
      <c r="L39" s="45">
        <v>8811327.1266631093</v>
      </c>
      <c r="M39" s="45">
        <v>5416578.4359622402</v>
      </c>
      <c r="N39" s="45">
        <v>13092551.2328758</v>
      </c>
      <c r="O39" s="45">
        <v>6602747.3756686496</v>
      </c>
      <c r="P39" s="45">
        <v>4242624.0443470702</v>
      </c>
      <c r="Q39" s="45">
        <v>14297153.9563694</v>
      </c>
      <c r="R39" s="45">
        <v>20570210.4352994</v>
      </c>
      <c r="S39" s="45">
        <v>12597606.312720601</v>
      </c>
      <c r="T39" s="45">
        <v>9590467.50565698</v>
      </c>
      <c r="U39" s="45">
        <v>7295027.1000640998</v>
      </c>
      <c r="V39" s="45">
        <v>7663645.7644708296</v>
      </c>
      <c r="W39" s="45">
        <v>5381052.8415667396</v>
      </c>
      <c r="X39" s="45">
        <v>1960594.08092552</v>
      </c>
      <c r="Y39" s="45">
        <v>9787171.45932322</v>
      </c>
      <c r="Z39" s="45">
        <v>19032060.787423901</v>
      </c>
      <c r="AA39" s="45">
        <v>1872017.3346531701</v>
      </c>
      <c r="AB39" s="45">
        <v>30701715.880519599</v>
      </c>
      <c r="AC39" s="45">
        <v>2949098.61340047</v>
      </c>
      <c r="AD39" s="45">
        <v>2337898.0729335099</v>
      </c>
      <c r="AE39" s="45">
        <v>104688408.690953</v>
      </c>
      <c r="AF39" s="45">
        <v>66615980.037014998</v>
      </c>
      <c r="AG39" s="45">
        <v>112449320.143672</v>
      </c>
      <c r="AH39" s="45">
        <v>4074223.4112146799</v>
      </c>
      <c r="AI39" s="45">
        <v>19132082.7698179</v>
      </c>
      <c r="AJ39" s="45">
        <v>88119497.319638893</v>
      </c>
      <c r="AK39" s="45">
        <v>120667640.234183</v>
      </c>
      <c r="AL39" s="45">
        <v>66178193.697203703</v>
      </c>
      <c r="AM39" s="45">
        <v>2215790.5328792399</v>
      </c>
      <c r="AN39" s="45">
        <v>20409284.7257853</v>
      </c>
      <c r="AO39" s="45">
        <v>3820089.7894017198</v>
      </c>
      <c r="AP39" s="45">
        <v>14202032.2973217</v>
      </c>
      <c r="AQ39" s="45">
        <v>3588207.51262978</v>
      </c>
      <c r="AR39" s="45">
        <v>3870128.1601535399</v>
      </c>
      <c r="AS39" s="45">
        <v>24922671.979609702</v>
      </c>
      <c r="AT39" s="45">
        <v>887946743.45575595</v>
      </c>
      <c r="AU39" s="45">
        <v>42322847.945521198</v>
      </c>
      <c r="AV39" s="45">
        <v>257666069.66063899</v>
      </c>
      <c r="AW39" s="45">
        <v>299988917.606161</v>
      </c>
      <c r="AX39" s="45">
        <v>45102452.991895698</v>
      </c>
      <c r="AY39" s="45">
        <v>345091370.59805697</v>
      </c>
      <c r="AZ39" s="45">
        <v>0</v>
      </c>
      <c r="BA39" s="45">
        <v>0</v>
      </c>
      <c r="BB39" s="45">
        <v>0</v>
      </c>
      <c r="BC39" s="45">
        <v>6895161.3437699499</v>
      </c>
      <c r="BD39" s="45">
        <v>351986531.94182599</v>
      </c>
      <c r="BE39" s="45">
        <v>10563119.925339</v>
      </c>
      <c r="BF39" s="45">
        <v>1229370155.47224</v>
      </c>
    </row>
    <row r="40" spans="1:58">
      <c r="A40" s="110"/>
      <c r="B40" s="28" t="s">
        <v>65</v>
      </c>
      <c r="C40" s="46" t="s">
        <v>119</v>
      </c>
      <c r="D40" s="45">
        <v>20082.659692497</v>
      </c>
      <c r="E40" s="45">
        <v>154368.02123161001</v>
      </c>
      <c r="F40" s="45">
        <v>30567.8260411511</v>
      </c>
      <c r="G40" s="45">
        <v>19898.1266009709</v>
      </c>
      <c r="H40" s="45">
        <v>23226.7155544534</v>
      </c>
      <c r="I40" s="45">
        <v>368861.65740346297</v>
      </c>
      <c r="J40" s="45">
        <v>288885.35468097398</v>
      </c>
      <c r="K40" s="45">
        <v>231530.11877910901</v>
      </c>
      <c r="L40" s="45">
        <v>416231.79099395499</v>
      </c>
      <c r="M40" s="45">
        <v>11998.50796184</v>
      </c>
      <c r="N40" s="45">
        <v>162231.238773794</v>
      </c>
      <c r="O40" s="45">
        <v>83152.339185095101</v>
      </c>
      <c r="P40" s="45">
        <v>382335.98193726502</v>
      </c>
      <c r="Q40" s="45">
        <v>308749.03082849999</v>
      </c>
      <c r="R40" s="45">
        <v>13759.602691317399</v>
      </c>
      <c r="S40" s="45">
        <v>26366.781774939202</v>
      </c>
      <c r="T40" s="45">
        <v>274687.64752175601</v>
      </c>
      <c r="U40" s="45">
        <v>363253.37029321102</v>
      </c>
      <c r="V40" s="45">
        <v>219130.96665667699</v>
      </c>
      <c r="W40" s="45">
        <v>250810.52486964199</v>
      </c>
      <c r="X40" s="45">
        <v>146868.164765758</v>
      </c>
      <c r="Y40" s="45">
        <v>470907.96131708898</v>
      </c>
      <c r="Z40" s="45">
        <v>699524.37305979105</v>
      </c>
      <c r="AA40" s="45">
        <v>307943.65353746398</v>
      </c>
      <c r="AB40" s="45">
        <v>142396.25576479899</v>
      </c>
      <c r="AC40" s="45">
        <v>67003.995144613596</v>
      </c>
      <c r="AD40" s="45">
        <v>57196.021567538002</v>
      </c>
      <c r="AE40" s="45">
        <v>529996.06552817405</v>
      </c>
      <c r="AF40" s="45">
        <v>109562548.179287</v>
      </c>
      <c r="AG40" s="45">
        <v>15294260.5489939</v>
      </c>
      <c r="AH40" s="45">
        <v>18203225.337623</v>
      </c>
      <c r="AI40" s="45">
        <v>63369467.412171103</v>
      </c>
      <c r="AJ40" s="45">
        <v>74704849.541175306</v>
      </c>
      <c r="AK40" s="45">
        <v>44133548.918102302</v>
      </c>
      <c r="AL40" s="45">
        <v>58013520.616728298</v>
      </c>
      <c r="AM40" s="45">
        <v>3738744.5800551898</v>
      </c>
      <c r="AN40" s="45">
        <v>8758746.6943565309</v>
      </c>
      <c r="AO40" s="45">
        <v>30523399.633694999</v>
      </c>
      <c r="AP40" s="45">
        <v>21605085.831631999</v>
      </c>
      <c r="AQ40" s="45">
        <v>7425864.63189016</v>
      </c>
      <c r="AR40" s="45">
        <v>6106378.2433424303</v>
      </c>
      <c r="AS40" s="45">
        <v>16933128.687311999</v>
      </c>
      <c r="AT40" s="64">
        <v>484213203.49174303</v>
      </c>
      <c r="AU40" s="65">
        <v>106799901.48438001</v>
      </c>
      <c r="AV40" s="65">
        <v>442660375.35766399</v>
      </c>
      <c r="AW40" s="64">
        <v>549460276.842044</v>
      </c>
      <c r="AX40" s="65">
        <v>0</v>
      </c>
      <c r="AY40" s="64">
        <v>549460276.842044</v>
      </c>
      <c r="AZ40" s="65">
        <v>32960000</v>
      </c>
      <c r="BA40" s="65">
        <v>0</v>
      </c>
      <c r="BB40" s="64">
        <v>32960000</v>
      </c>
      <c r="BC40" s="65">
        <v>0</v>
      </c>
      <c r="BD40" s="83">
        <v>582420276.842044</v>
      </c>
      <c r="BE40" s="65">
        <v>0</v>
      </c>
      <c r="BF40" s="66">
        <v>1066633480.3337899</v>
      </c>
    </row>
    <row r="41" spans="1:58" ht="21.6">
      <c r="A41" s="110"/>
      <c r="B41" s="28" t="s">
        <v>66</v>
      </c>
      <c r="C41" s="46" t="s">
        <v>120</v>
      </c>
      <c r="D41" s="45">
        <v>3129882.2488734</v>
      </c>
      <c r="E41" s="45">
        <v>7849725.1383739896</v>
      </c>
      <c r="F41" s="45">
        <v>1555028.2144507901</v>
      </c>
      <c r="G41" s="45">
        <v>4119545.5737890298</v>
      </c>
      <c r="H41" s="45">
        <v>372693.72858292999</v>
      </c>
      <c r="I41" s="45">
        <v>29453725.832132298</v>
      </c>
      <c r="J41" s="45">
        <v>13137051.9205012</v>
      </c>
      <c r="K41" s="45">
        <v>3192072.9113833299</v>
      </c>
      <c r="L41" s="45">
        <v>13280152.6862859</v>
      </c>
      <c r="M41" s="45">
        <v>5462401.4564253297</v>
      </c>
      <c r="N41" s="45">
        <v>12564972.5615984</v>
      </c>
      <c r="O41" s="45">
        <v>17577354.936966401</v>
      </c>
      <c r="P41" s="45">
        <v>7884997.0104298303</v>
      </c>
      <c r="Q41" s="45">
        <v>12561166.321784901</v>
      </c>
      <c r="R41" s="45">
        <v>4776147.5989378104</v>
      </c>
      <c r="S41" s="45">
        <v>2689490.4995318698</v>
      </c>
      <c r="T41" s="45">
        <v>8356979.5537029998</v>
      </c>
      <c r="U41" s="45">
        <v>11688945.121528801</v>
      </c>
      <c r="V41" s="45">
        <v>10242614.5158324</v>
      </c>
      <c r="W41" s="45">
        <v>17330624.9111703</v>
      </c>
      <c r="X41" s="45">
        <v>2164350.08201198</v>
      </c>
      <c r="Y41" s="45">
        <v>13481919.167808199</v>
      </c>
      <c r="Z41" s="45">
        <v>20098279.286866501</v>
      </c>
      <c r="AA41" s="45">
        <v>1727034.3058073199</v>
      </c>
      <c r="AB41" s="45">
        <v>4572205.4078474399</v>
      </c>
      <c r="AC41" s="45">
        <v>1778231.98856279</v>
      </c>
      <c r="AD41" s="45">
        <v>496311.83405932301</v>
      </c>
      <c r="AE41" s="45">
        <v>52549966.346371099</v>
      </c>
      <c r="AF41" s="45">
        <v>159935089.74753299</v>
      </c>
      <c r="AG41" s="45">
        <v>36186483.1966158</v>
      </c>
      <c r="AH41" s="45">
        <v>8687960.0839802604</v>
      </c>
      <c r="AI41" s="45">
        <v>74215811.333413094</v>
      </c>
      <c r="AJ41" s="45">
        <v>77042668.512262002</v>
      </c>
      <c r="AK41" s="45">
        <v>65627876.7691359</v>
      </c>
      <c r="AL41" s="45">
        <v>104609027.14887901</v>
      </c>
      <c r="AM41" s="45">
        <v>8846749.5698839799</v>
      </c>
      <c r="AN41" s="45">
        <v>27453542.088415399</v>
      </c>
      <c r="AO41" s="45">
        <v>7215213.4638893995</v>
      </c>
      <c r="AP41" s="45">
        <v>5708290.1259355703</v>
      </c>
      <c r="AQ41" s="45">
        <v>2729915.7078018002</v>
      </c>
      <c r="AR41" s="45">
        <v>7213133.8737245798</v>
      </c>
      <c r="AS41" s="45">
        <v>28124552.034899201</v>
      </c>
      <c r="AT41" s="45">
        <v>894498111.90660298</v>
      </c>
      <c r="AU41" s="45">
        <v>1757638.98538596</v>
      </c>
      <c r="AV41" s="45">
        <v>34063051.8751361</v>
      </c>
      <c r="AW41" s="45">
        <v>35820690.860522099</v>
      </c>
      <c r="AX41" s="45">
        <v>22155634.737713002</v>
      </c>
      <c r="AY41" s="45">
        <v>57976325.598235101</v>
      </c>
      <c r="AZ41" s="45">
        <v>0</v>
      </c>
      <c r="BA41" s="45">
        <v>0</v>
      </c>
      <c r="BB41" s="45">
        <v>0</v>
      </c>
      <c r="BC41" s="45">
        <v>40525349.164613903</v>
      </c>
      <c r="BD41" s="45">
        <v>98501674.762849003</v>
      </c>
      <c r="BE41" s="45">
        <v>30437186.0607545</v>
      </c>
      <c r="BF41" s="45">
        <v>962562600.60869706</v>
      </c>
    </row>
    <row r="42" spans="1:58" ht="21.6">
      <c r="A42" s="110"/>
      <c r="B42" s="28" t="s">
        <v>67</v>
      </c>
      <c r="C42" s="46" t="s">
        <v>118</v>
      </c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45">
        <v>0</v>
      </c>
      <c r="AH42" s="45">
        <v>0</v>
      </c>
      <c r="AI42" s="45">
        <v>0</v>
      </c>
      <c r="AJ42" s="45">
        <v>0</v>
      </c>
      <c r="AK42" s="45">
        <v>0</v>
      </c>
      <c r="AL42" s="45">
        <v>0</v>
      </c>
      <c r="AM42" s="45">
        <v>860250.38824139803</v>
      </c>
      <c r="AN42" s="45">
        <v>0</v>
      </c>
      <c r="AO42" s="45">
        <v>0</v>
      </c>
      <c r="AP42" s="45">
        <v>0</v>
      </c>
      <c r="AQ42" s="45">
        <v>0</v>
      </c>
      <c r="AR42" s="45">
        <v>0</v>
      </c>
      <c r="AS42" s="45">
        <v>0</v>
      </c>
      <c r="AT42" s="64">
        <v>860250.38824139803</v>
      </c>
      <c r="AU42" s="65">
        <v>0</v>
      </c>
      <c r="AV42" s="65">
        <v>0</v>
      </c>
      <c r="AW42" s="64">
        <v>0</v>
      </c>
      <c r="AX42" s="65">
        <v>60926779.103685901</v>
      </c>
      <c r="AY42" s="64">
        <v>60926779.103685901</v>
      </c>
      <c r="AZ42" s="65">
        <v>187839985.89905101</v>
      </c>
      <c r="BA42" s="65">
        <v>0</v>
      </c>
      <c r="BB42" s="64">
        <v>187839985.89905101</v>
      </c>
      <c r="BC42" s="65">
        <v>9676778.9460403305</v>
      </c>
      <c r="BD42" s="83">
        <v>258443543.94877699</v>
      </c>
      <c r="BE42" s="65">
        <v>27747226.1777905</v>
      </c>
      <c r="BF42" s="66">
        <v>231556568.159228</v>
      </c>
    </row>
    <row r="43" spans="1:58" ht="21.6">
      <c r="A43" s="110"/>
      <c r="B43" s="28" t="s">
        <v>68</v>
      </c>
      <c r="C43" s="46" t="s">
        <v>121</v>
      </c>
      <c r="D43" s="45">
        <v>8183686.4984879</v>
      </c>
      <c r="E43" s="45">
        <v>2051462.5413861801</v>
      </c>
      <c r="F43" s="45">
        <v>439977.22522319399</v>
      </c>
      <c r="G43" s="45">
        <v>2152967.3999973601</v>
      </c>
      <c r="H43" s="45">
        <v>231921.08252613299</v>
      </c>
      <c r="I43" s="45">
        <v>1676472.6376771899</v>
      </c>
      <c r="J43" s="45">
        <v>1471681.3707582799</v>
      </c>
      <c r="K43" s="45">
        <v>953469.34393643099</v>
      </c>
      <c r="L43" s="45">
        <v>2297490.7446818901</v>
      </c>
      <c r="M43" s="45">
        <v>231164.630889436</v>
      </c>
      <c r="N43" s="45">
        <v>7275667.2874377202</v>
      </c>
      <c r="O43" s="45">
        <v>1930217.26939713</v>
      </c>
      <c r="P43" s="45">
        <v>1274308.3404329901</v>
      </c>
      <c r="Q43" s="45">
        <v>2805612.4768574801</v>
      </c>
      <c r="R43" s="45">
        <v>2192418.97039587</v>
      </c>
      <c r="S43" s="45">
        <v>1092155.93932901</v>
      </c>
      <c r="T43" s="45">
        <v>2353821.5669880202</v>
      </c>
      <c r="U43" s="45">
        <v>2501260.76717408</v>
      </c>
      <c r="V43" s="45">
        <v>3941338.7136013</v>
      </c>
      <c r="W43" s="45">
        <v>7517546.71555347</v>
      </c>
      <c r="X43" s="45">
        <v>1917876.8857104699</v>
      </c>
      <c r="Y43" s="45">
        <v>3565826.6950027798</v>
      </c>
      <c r="Z43" s="45">
        <v>10154751.005095899</v>
      </c>
      <c r="AA43" s="45">
        <v>228523.154110395</v>
      </c>
      <c r="AB43" s="45">
        <v>3652469.7056428902</v>
      </c>
      <c r="AC43" s="45">
        <v>10048.662790447601</v>
      </c>
      <c r="AD43" s="45">
        <v>43760.738152455699</v>
      </c>
      <c r="AE43" s="45">
        <v>240915312.73825899</v>
      </c>
      <c r="AF43" s="45">
        <v>11282048.0261098</v>
      </c>
      <c r="AG43" s="45">
        <v>3801996.45327027</v>
      </c>
      <c r="AH43" s="45">
        <v>167826.700410252</v>
      </c>
      <c r="AI43" s="45">
        <v>3281325.0035332399</v>
      </c>
      <c r="AJ43" s="45">
        <v>841145.41304402298</v>
      </c>
      <c r="AK43" s="45">
        <v>886848.71732186596</v>
      </c>
      <c r="AL43" s="45">
        <v>123358.933337507</v>
      </c>
      <c r="AM43" s="45">
        <v>13591265.8409639</v>
      </c>
      <c r="AN43" s="45">
        <v>72827591.494632795</v>
      </c>
      <c r="AO43" s="45">
        <v>14101.0968310876</v>
      </c>
      <c r="AP43" s="45">
        <v>1373597.44737479</v>
      </c>
      <c r="AQ43" s="45">
        <v>250745.104060527</v>
      </c>
      <c r="AR43" s="45">
        <v>31778.2614969229</v>
      </c>
      <c r="AS43" s="45">
        <v>690117.10367164598</v>
      </c>
      <c r="AT43" s="45">
        <v>421273487.35961699</v>
      </c>
      <c r="AU43" s="45">
        <v>845712.72625391802</v>
      </c>
      <c r="AV43" s="45">
        <v>3554225.2271068501</v>
      </c>
      <c r="AW43" s="45">
        <v>4399937.9533607699</v>
      </c>
      <c r="AX43" s="45">
        <v>85393018.048174903</v>
      </c>
      <c r="AY43" s="45">
        <v>89792956.001535699</v>
      </c>
      <c r="AZ43" s="45">
        <v>8718585.0500000007</v>
      </c>
      <c r="BA43" s="45">
        <v>0</v>
      </c>
      <c r="BB43" s="45">
        <v>8718585.0500000007</v>
      </c>
      <c r="BC43" s="45">
        <v>1387.71592662749</v>
      </c>
      <c r="BD43" s="45">
        <v>98512928.767462298</v>
      </c>
      <c r="BE43" s="45">
        <v>546.59866212170198</v>
      </c>
      <c r="BF43" s="45">
        <v>519785869.52841699</v>
      </c>
    </row>
    <row r="44" spans="1:58" ht="32.4">
      <c r="A44" s="110"/>
      <c r="B44" s="28" t="s">
        <v>69</v>
      </c>
      <c r="C44" s="44" t="s">
        <v>122</v>
      </c>
      <c r="D44" s="45">
        <v>1162397.39834427</v>
      </c>
      <c r="E44" s="45">
        <v>1569830.502662</v>
      </c>
      <c r="F44" s="45">
        <v>159386.41042071499</v>
      </c>
      <c r="G44" s="45">
        <v>318946.29647918901</v>
      </c>
      <c r="H44" s="45">
        <v>31443.2389671735</v>
      </c>
      <c r="I44" s="45">
        <v>1801970.03318312</v>
      </c>
      <c r="J44" s="45">
        <v>1266265.8232640999</v>
      </c>
      <c r="K44" s="45">
        <v>748904.04015807004</v>
      </c>
      <c r="L44" s="45">
        <v>1959896.55437019</v>
      </c>
      <c r="M44" s="45">
        <v>696299.77172118402</v>
      </c>
      <c r="N44" s="45">
        <v>1882933.6113621099</v>
      </c>
      <c r="O44" s="45">
        <v>1374331.9906798201</v>
      </c>
      <c r="P44" s="45">
        <v>1144520.54790092</v>
      </c>
      <c r="Q44" s="45">
        <v>2152188.0837502601</v>
      </c>
      <c r="R44" s="45">
        <v>1142727.12728802</v>
      </c>
      <c r="S44" s="45">
        <v>369600.17646541999</v>
      </c>
      <c r="T44" s="45">
        <v>1871053.2094211699</v>
      </c>
      <c r="U44" s="45">
        <v>2177435.0947761</v>
      </c>
      <c r="V44" s="45">
        <v>1440596.56517176</v>
      </c>
      <c r="W44" s="45">
        <v>3661165.3887218498</v>
      </c>
      <c r="X44" s="45">
        <v>475779.72318513901</v>
      </c>
      <c r="Y44" s="45">
        <v>2650589.9530470702</v>
      </c>
      <c r="Z44" s="45">
        <v>3183056.1609925302</v>
      </c>
      <c r="AA44" s="45">
        <v>353088.74108188797</v>
      </c>
      <c r="AB44" s="45">
        <v>2395782.91856207</v>
      </c>
      <c r="AC44" s="45">
        <v>247361.96540363299</v>
      </c>
      <c r="AD44" s="45">
        <v>377392.45383433398</v>
      </c>
      <c r="AE44" s="45">
        <v>18589278.348517202</v>
      </c>
      <c r="AF44" s="45">
        <v>10936817.248268301</v>
      </c>
      <c r="AG44" s="45">
        <v>17956064.926748902</v>
      </c>
      <c r="AH44" s="45">
        <v>2370048.7500258801</v>
      </c>
      <c r="AI44" s="45">
        <v>2165345.5165395201</v>
      </c>
      <c r="AJ44" s="45">
        <v>3686570.7058681101</v>
      </c>
      <c r="AK44" s="45">
        <v>1817217.87257167</v>
      </c>
      <c r="AL44" s="45">
        <v>7553140.62261423</v>
      </c>
      <c r="AM44" s="45">
        <v>3501305.2251438298</v>
      </c>
      <c r="AN44" s="45">
        <v>6088183.5300455596</v>
      </c>
      <c r="AO44" s="45">
        <v>5478387.8782970803</v>
      </c>
      <c r="AP44" s="45">
        <v>6387727.0345332203</v>
      </c>
      <c r="AQ44" s="45">
        <v>3728248.68452788</v>
      </c>
      <c r="AR44" s="45">
        <v>2160584.8214631998</v>
      </c>
      <c r="AS44" s="45">
        <v>21334218.202364098</v>
      </c>
      <c r="AT44" s="45">
        <v>149619179.108585</v>
      </c>
      <c r="AU44" s="45">
        <v>25532574.6362359</v>
      </c>
      <c r="AV44" s="45">
        <v>126223906.314163</v>
      </c>
      <c r="AW44" s="45">
        <v>151756480.95039901</v>
      </c>
      <c r="AX44" s="45">
        <v>0</v>
      </c>
      <c r="AY44" s="45">
        <v>151756480.95039901</v>
      </c>
      <c r="AZ44" s="45">
        <v>0</v>
      </c>
      <c r="BA44" s="45">
        <v>0</v>
      </c>
      <c r="BB44" s="45">
        <v>0</v>
      </c>
      <c r="BC44" s="45">
        <v>97675.720235379995</v>
      </c>
      <c r="BD44" s="45">
        <v>151854156.670634</v>
      </c>
      <c r="BE44" s="45">
        <v>1135747.05678996</v>
      </c>
      <c r="BF44" s="45">
        <v>300337588.72242898</v>
      </c>
    </row>
    <row r="45" spans="1:58">
      <c r="A45" s="110"/>
      <c r="B45" s="28" t="s">
        <v>70</v>
      </c>
      <c r="C45" s="44" t="s">
        <v>123</v>
      </c>
      <c r="D45" s="45">
        <v>167081.06331998101</v>
      </c>
      <c r="E45" s="45">
        <v>84289.854237092994</v>
      </c>
      <c r="F45" s="45">
        <v>10224.641401065899</v>
      </c>
      <c r="G45" s="45">
        <v>24879.367741705501</v>
      </c>
      <c r="H45" s="45">
        <v>2741.1637729004301</v>
      </c>
      <c r="I45" s="45">
        <v>142405.141809283</v>
      </c>
      <c r="J45" s="45">
        <v>107412.081915253</v>
      </c>
      <c r="K45" s="45">
        <v>64124.256356654798</v>
      </c>
      <c r="L45" s="45">
        <v>108319.73984558</v>
      </c>
      <c r="M45" s="45">
        <v>38711.843107244502</v>
      </c>
      <c r="N45" s="45">
        <v>101524.864179033</v>
      </c>
      <c r="O45" s="45">
        <v>107005.794391859</v>
      </c>
      <c r="P45" s="45">
        <v>53348.195398323602</v>
      </c>
      <c r="Q45" s="45">
        <v>126924.069557151</v>
      </c>
      <c r="R45" s="45">
        <v>33654.308581612502</v>
      </c>
      <c r="S45" s="45">
        <v>28190.028241189699</v>
      </c>
      <c r="T45" s="45">
        <v>113665.885247161</v>
      </c>
      <c r="U45" s="45">
        <v>153989.56078336501</v>
      </c>
      <c r="V45" s="45">
        <v>99155.720747533502</v>
      </c>
      <c r="W45" s="45">
        <v>104298.948935405</v>
      </c>
      <c r="X45" s="45">
        <v>28793.430408637301</v>
      </c>
      <c r="Y45" s="45">
        <v>91487.399886738101</v>
      </c>
      <c r="Z45" s="45">
        <v>136697.887802376</v>
      </c>
      <c r="AA45" s="45">
        <v>37989.488503676097</v>
      </c>
      <c r="AB45" s="45">
        <v>21622.444301002401</v>
      </c>
      <c r="AC45" s="45">
        <v>20627.188815816298</v>
      </c>
      <c r="AD45" s="45">
        <v>25220.108459746101</v>
      </c>
      <c r="AE45" s="45">
        <v>864553.12834388402</v>
      </c>
      <c r="AF45" s="45">
        <v>1556026.8212163199</v>
      </c>
      <c r="AG45" s="45">
        <v>1314848.2779828501</v>
      </c>
      <c r="AH45" s="45">
        <v>298521.32652886497</v>
      </c>
      <c r="AI45" s="45">
        <v>578304.51939634897</v>
      </c>
      <c r="AJ45" s="45">
        <v>3102120.9427249501</v>
      </c>
      <c r="AK45" s="45">
        <v>274596.44974074</v>
      </c>
      <c r="AL45" s="45">
        <v>576898.76788159704</v>
      </c>
      <c r="AM45" s="45">
        <v>142839.265608974</v>
      </c>
      <c r="AN45" s="45">
        <v>492632.15666866698</v>
      </c>
      <c r="AO45" s="45">
        <v>189130.321780453</v>
      </c>
      <c r="AP45" s="45">
        <v>7696008.6095650997</v>
      </c>
      <c r="AQ45" s="45">
        <v>792734.63606964098</v>
      </c>
      <c r="AR45" s="45">
        <v>245179.80757904201</v>
      </c>
      <c r="AS45" s="45">
        <v>7577069.9852550402</v>
      </c>
      <c r="AT45" s="64">
        <v>27671725.2377332</v>
      </c>
      <c r="AU45" s="65">
        <v>51147978.3054616</v>
      </c>
      <c r="AV45" s="65">
        <v>183950274.18251199</v>
      </c>
      <c r="AW45" s="64">
        <v>235098252.48797399</v>
      </c>
      <c r="AX45" s="65">
        <v>269717581.40908903</v>
      </c>
      <c r="AY45" s="64">
        <v>504815833.89706302</v>
      </c>
      <c r="AZ45" s="65">
        <v>0</v>
      </c>
      <c r="BA45" s="65">
        <v>0</v>
      </c>
      <c r="BB45" s="64">
        <v>0</v>
      </c>
      <c r="BC45" s="65">
        <v>0</v>
      </c>
      <c r="BD45" s="83">
        <v>504815833.89706302</v>
      </c>
      <c r="BE45" s="65">
        <v>0</v>
      </c>
      <c r="BF45" s="66">
        <v>532487559.13479602</v>
      </c>
    </row>
    <row r="46" spans="1:58" ht="21.6">
      <c r="A46" s="110"/>
      <c r="B46" s="28" t="s">
        <v>71</v>
      </c>
      <c r="C46" s="44" t="s">
        <v>124</v>
      </c>
      <c r="D46" s="45">
        <v>106215.237680217</v>
      </c>
      <c r="E46" s="45">
        <v>145358.06994113699</v>
      </c>
      <c r="F46" s="45">
        <v>13148.4182333425</v>
      </c>
      <c r="G46" s="45">
        <v>97022.232795075601</v>
      </c>
      <c r="H46" s="45">
        <v>0</v>
      </c>
      <c r="I46" s="45">
        <v>74031.800856356902</v>
      </c>
      <c r="J46" s="45">
        <v>124131.532760006</v>
      </c>
      <c r="K46" s="45">
        <v>48373.441422995304</v>
      </c>
      <c r="L46" s="45">
        <v>136284.37427054701</v>
      </c>
      <c r="M46" s="45">
        <v>838032.64446160104</v>
      </c>
      <c r="N46" s="45">
        <v>95879.754534086795</v>
      </c>
      <c r="O46" s="45">
        <v>62106.358939058096</v>
      </c>
      <c r="P46" s="45">
        <v>11596.239364290401</v>
      </c>
      <c r="Q46" s="45">
        <v>239737.57158259401</v>
      </c>
      <c r="R46" s="45">
        <v>295395.38169873803</v>
      </c>
      <c r="S46" s="45">
        <v>97498.299766050404</v>
      </c>
      <c r="T46" s="45">
        <v>270233.491610175</v>
      </c>
      <c r="U46" s="45">
        <v>412737.91321225301</v>
      </c>
      <c r="V46" s="45">
        <v>261703.144700056</v>
      </c>
      <c r="W46" s="45">
        <v>235573.381728295</v>
      </c>
      <c r="X46" s="45">
        <v>109811.424117341</v>
      </c>
      <c r="Y46" s="45">
        <v>307450.819624611</v>
      </c>
      <c r="Z46" s="45">
        <v>179407.08534904299</v>
      </c>
      <c r="AA46" s="45">
        <v>18328.046797860901</v>
      </c>
      <c r="AB46" s="45">
        <v>352667.83560781798</v>
      </c>
      <c r="AC46" s="45">
        <v>37394.683584889899</v>
      </c>
      <c r="AD46" s="45">
        <v>1848.0922850486199</v>
      </c>
      <c r="AE46" s="45">
        <v>1215493.8554378501</v>
      </c>
      <c r="AF46" s="45">
        <v>406174.54678361397</v>
      </c>
      <c r="AG46" s="45">
        <v>587224.05550180702</v>
      </c>
      <c r="AH46" s="45">
        <v>11028.5522628691</v>
      </c>
      <c r="AI46" s="45">
        <v>25143.2503734001</v>
      </c>
      <c r="AJ46" s="45">
        <v>276897.04805117298</v>
      </c>
      <c r="AK46" s="45">
        <v>2491.9250806641799</v>
      </c>
      <c r="AL46" s="45">
        <v>6425.4900946637299</v>
      </c>
      <c r="AM46" s="45">
        <v>19498.6720649739</v>
      </c>
      <c r="AN46" s="45">
        <v>42542.071286025603</v>
      </c>
      <c r="AO46" s="45">
        <v>73930.962060457401</v>
      </c>
      <c r="AP46" s="45">
        <v>205486.83568988601</v>
      </c>
      <c r="AQ46" s="45">
        <v>2877366.5264608702</v>
      </c>
      <c r="AR46" s="45">
        <v>50119.284817291198</v>
      </c>
      <c r="AS46" s="45">
        <v>2428769.2972212601</v>
      </c>
      <c r="AT46" s="45">
        <v>12752186.2086873</v>
      </c>
      <c r="AU46" s="45">
        <v>42485967.983507901</v>
      </c>
      <c r="AV46" s="45">
        <v>129168822.75693101</v>
      </c>
      <c r="AW46" s="45">
        <v>171654790.740439</v>
      </c>
      <c r="AX46" s="45">
        <v>316703292.12673497</v>
      </c>
      <c r="AY46" s="45">
        <v>488358082.86717498</v>
      </c>
      <c r="AZ46" s="45">
        <v>0</v>
      </c>
      <c r="BA46" s="45">
        <v>0</v>
      </c>
      <c r="BB46" s="45">
        <v>0</v>
      </c>
      <c r="BC46" s="45">
        <v>156974.417010226</v>
      </c>
      <c r="BD46" s="45">
        <v>488515057.28418499</v>
      </c>
      <c r="BE46" s="45">
        <v>1195045.7535647999</v>
      </c>
      <c r="BF46" s="45">
        <v>500072197.73930699</v>
      </c>
    </row>
    <row r="47" spans="1:58" ht="21.6">
      <c r="A47" s="111"/>
      <c r="B47" s="28" t="s">
        <v>72</v>
      </c>
      <c r="C47" s="44" t="s">
        <v>125</v>
      </c>
      <c r="D47" s="45">
        <v>101045.02514810501</v>
      </c>
      <c r="E47" s="45">
        <v>272786.24574653298</v>
      </c>
      <c r="F47" s="45">
        <v>124921.03606311799</v>
      </c>
      <c r="G47" s="45">
        <v>173463.23050387</v>
      </c>
      <c r="H47" s="45">
        <v>14812.9162275039</v>
      </c>
      <c r="I47" s="45">
        <v>892690.76597648195</v>
      </c>
      <c r="J47" s="45">
        <v>884858.03298067697</v>
      </c>
      <c r="K47" s="45">
        <v>293822.58571970498</v>
      </c>
      <c r="L47" s="45">
        <v>602336.95172100305</v>
      </c>
      <c r="M47" s="45">
        <v>314077.591861205</v>
      </c>
      <c r="N47" s="45">
        <v>651094.05702456005</v>
      </c>
      <c r="O47" s="45">
        <v>589693.41626355704</v>
      </c>
      <c r="P47" s="45">
        <v>512136.73889198498</v>
      </c>
      <c r="Q47" s="45">
        <v>908100.80465258402</v>
      </c>
      <c r="R47" s="45">
        <v>616659.72771512298</v>
      </c>
      <c r="S47" s="45">
        <v>354148.93016056699</v>
      </c>
      <c r="T47" s="45">
        <v>453650.45673186501</v>
      </c>
      <c r="U47" s="45">
        <v>1050252.89346804</v>
      </c>
      <c r="V47" s="45">
        <v>537971.46867107402</v>
      </c>
      <c r="W47" s="45">
        <v>1486140.9349438499</v>
      </c>
      <c r="X47" s="45">
        <v>118962.458864416</v>
      </c>
      <c r="Y47" s="45">
        <v>840454.18709472299</v>
      </c>
      <c r="Z47" s="45">
        <v>1170344.7401956799</v>
      </c>
      <c r="AA47" s="45">
        <v>133269.637445689</v>
      </c>
      <c r="AB47" s="45">
        <v>1003080.19417144</v>
      </c>
      <c r="AC47" s="45">
        <v>100502.293601321</v>
      </c>
      <c r="AD47" s="45">
        <v>133827.511142723</v>
      </c>
      <c r="AE47" s="45">
        <v>2820755.1566284001</v>
      </c>
      <c r="AF47" s="45">
        <v>1726967.78773693</v>
      </c>
      <c r="AG47" s="45">
        <v>2556352.1957594301</v>
      </c>
      <c r="AH47" s="45">
        <v>673854.67137308198</v>
      </c>
      <c r="AI47" s="45">
        <v>3618427.7880632998</v>
      </c>
      <c r="AJ47" s="45">
        <v>10689187.563694401</v>
      </c>
      <c r="AK47" s="45">
        <v>1317653.5526413701</v>
      </c>
      <c r="AL47" s="45">
        <v>3954591.75091724</v>
      </c>
      <c r="AM47" s="45">
        <v>1136981.26714152</v>
      </c>
      <c r="AN47" s="45">
        <v>1310351.5431092801</v>
      </c>
      <c r="AO47" s="45">
        <v>1135591.42365731</v>
      </c>
      <c r="AP47" s="45">
        <v>2393374.7948408402</v>
      </c>
      <c r="AQ47" s="45">
        <v>320154.61876981898</v>
      </c>
      <c r="AR47" s="45">
        <v>9232824.9229271002</v>
      </c>
      <c r="AS47" s="45">
        <v>7009132.01954374</v>
      </c>
      <c r="AT47" s="45">
        <v>63937483.304071501</v>
      </c>
      <c r="AU47" s="45">
        <v>6949619.4697179999</v>
      </c>
      <c r="AV47" s="45">
        <v>46077777.730733201</v>
      </c>
      <c r="AW47" s="45">
        <v>53027397.2004513</v>
      </c>
      <c r="AX47" s="45">
        <v>42038587.777548403</v>
      </c>
      <c r="AY47" s="45">
        <v>95065984.977999702</v>
      </c>
      <c r="AZ47" s="45">
        <v>5234595.2386050001</v>
      </c>
      <c r="BA47" s="45">
        <v>0</v>
      </c>
      <c r="BB47" s="45">
        <v>5234595.2386050001</v>
      </c>
      <c r="BC47" s="45">
        <v>2845384.0510386499</v>
      </c>
      <c r="BD47" s="45">
        <v>103145964.267643</v>
      </c>
      <c r="BE47" s="45">
        <v>11240037.806422999</v>
      </c>
      <c r="BF47" s="45">
        <v>155843409.76529199</v>
      </c>
    </row>
    <row r="48" spans="1:58" ht="75.599999999999994">
      <c r="A48" s="111"/>
      <c r="B48" s="30" t="s">
        <v>73</v>
      </c>
      <c r="C48" s="47" t="s">
        <v>126</v>
      </c>
      <c r="D48" s="45">
        <v>2218338.16994897</v>
      </c>
      <c r="E48" s="45">
        <v>170589.800633999</v>
      </c>
      <c r="F48" s="45">
        <v>68564.346294652496</v>
      </c>
      <c r="G48" s="45">
        <v>381286.092953121</v>
      </c>
      <c r="H48" s="45">
        <v>6404.45782702217</v>
      </c>
      <c r="I48" s="45">
        <v>744385.28616053297</v>
      </c>
      <c r="J48" s="45">
        <v>1061636.42096733</v>
      </c>
      <c r="K48" s="45">
        <v>206439.772357999</v>
      </c>
      <c r="L48" s="45">
        <v>1142978.60926435</v>
      </c>
      <c r="M48" s="45">
        <v>311356.10523940402</v>
      </c>
      <c r="N48" s="45">
        <v>791949.19199301605</v>
      </c>
      <c r="O48" s="45">
        <v>435720.76876894699</v>
      </c>
      <c r="P48" s="45">
        <v>309871.61828668701</v>
      </c>
      <c r="Q48" s="45">
        <v>856417.18560591305</v>
      </c>
      <c r="R48" s="45">
        <v>784447.27819461201</v>
      </c>
      <c r="S48" s="45">
        <v>306087.66247642698</v>
      </c>
      <c r="T48" s="45">
        <v>464907.68478573702</v>
      </c>
      <c r="U48" s="45">
        <v>572919.98814629402</v>
      </c>
      <c r="V48" s="45">
        <v>527225.18052168202</v>
      </c>
      <c r="W48" s="45">
        <v>475969.02719961503</v>
      </c>
      <c r="X48" s="45">
        <v>150409.71021635999</v>
      </c>
      <c r="Y48" s="45">
        <v>491132.18928094301</v>
      </c>
      <c r="Z48" s="45">
        <v>693755.09776254999</v>
      </c>
      <c r="AA48" s="45">
        <v>255387.07343101999</v>
      </c>
      <c r="AB48" s="45">
        <v>2290386.2312107701</v>
      </c>
      <c r="AC48" s="45">
        <v>42898.682570969402</v>
      </c>
      <c r="AD48" s="45">
        <v>2249050.71523877</v>
      </c>
      <c r="AE48" s="45">
        <v>1559132.3260945501</v>
      </c>
      <c r="AF48" s="45">
        <v>2371629.7879335298</v>
      </c>
      <c r="AG48" s="45">
        <v>2600955.7611404499</v>
      </c>
      <c r="AH48" s="45">
        <v>438174.50092017598</v>
      </c>
      <c r="AI48" s="45">
        <v>1620394.8104171399</v>
      </c>
      <c r="AJ48" s="45">
        <v>2570161.0492694802</v>
      </c>
      <c r="AK48" s="45">
        <v>1739467.0457202799</v>
      </c>
      <c r="AL48" s="45">
        <v>5069918.3359142998</v>
      </c>
      <c r="AM48" s="45">
        <v>882539.290159881</v>
      </c>
      <c r="AN48" s="45">
        <v>1181929.4120684301</v>
      </c>
      <c r="AO48" s="45">
        <v>698723.42318731395</v>
      </c>
      <c r="AP48" s="45">
        <v>1484594.00087425</v>
      </c>
      <c r="AQ48" s="45">
        <v>564644.29917350505</v>
      </c>
      <c r="AR48" s="45">
        <v>505031.57338165899</v>
      </c>
      <c r="AS48" s="45">
        <v>26343336.572392602</v>
      </c>
      <c r="AT48" s="45">
        <v>67434706.763627201</v>
      </c>
      <c r="AU48" s="45">
        <v>1372114.9414001999</v>
      </c>
      <c r="AV48" s="45">
        <v>10228084.0427323</v>
      </c>
      <c r="AW48" s="45">
        <v>11600198.9841325</v>
      </c>
      <c r="AX48" s="45">
        <v>831789109.69228995</v>
      </c>
      <c r="AY48" s="45">
        <v>843389308.67642295</v>
      </c>
      <c r="AZ48" s="45">
        <v>0</v>
      </c>
      <c r="BA48" s="45">
        <v>0</v>
      </c>
      <c r="BB48" s="45">
        <v>0</v>
      </c>
      <c r="BC48" s="45">
        <v>2027457.97120951</v>
      </c>
      <c r="BD48" s="45">
        <v>845416766.647632</v>
      </c>
      <c r="BE48" s="45">
        <v>5145286.0546714598</v>
      </c>
      <c r="BF48" s="45">
        <v>907706187.35658896</v>
      </c>
    </row>
    <row r="49" spans="1:58" ht="21.6">
      <c r="A49" s="112"/>
      <c r="B49" s="48" t="s">
        <v>140</v>
      </c>
      <c r="C49" s="49" t="s">
        <v>141</v>
      </c>
      <c r="D49" s="45">
        <v>509936007.83290499</v>
      </c>
      <c r="E49" s="50">
        <v>115074114.182427</v>
      </c>
      <c r="F49" s="50">
        <v>39965777.405821703</v>
      </c>
      <c r="G49" s="45">
        <v>89225006.090691999</v>
      </c>
      <c r="H49" s="50">
        <v>11697851.3445873</v>
      </c>
      <c r="I49" s="45">
        <v>944349112.04855895</v>
      </c>
      <c r="J49" s="45">
        <v>612910570.17605805</v>
      </c>
      <c r="K49" s="45">
        <v>209811561.58664599</v>
      </c>
      <c r="L49" s="45">
        <v>532655360.11431199</v>
      </c>
      <c r="M49" s="45">
        <v>308742520.01074702</v>
      </c>
      <c r="N49" s="45">
        <v>657082874.06989598</v>
      </c>
      <c r="O49" s="50">
        <v>214220106.74311599</v>
      </c>
      <c r="P49" s="45">
        <v>271752322.20946503</v>
      </c>
      <c r="Q49" s="45">
        <v>502451885.34110802</v>
      </c>
      <c r="R49" s="45">
        <v>527215627.05245101</v>
      </c>
      <c r="S49" s="45">
        <v>405092577.33342397</v>
      </c>
      <c r="T49" s="50">
        <v>392283911.70928401</v>
      </c>
      <c r="U49" s="45">
        <v>408823033.829274</v>
      </c>
      <c r="V49" s="45">
        <v>289399787.58034599</v>
      </c>
      <c r="W49" s="45">
        <v>560981019.69476998</v>
      </c>
      <c r="X49" s="45">
        <v>123772340.76138601</v>
      </c>
      <c r="Y49" s="45">
        <v>576339416.35805202</v>
      </c>
      <c r="Z49" s="45">
        <v>997209171.28219903</v>
      </c>
      <c r="AA49" s="45">
        <v>67374684.173955798</v>
      </c>
      <c r="AB49" s="50">
        <v>481153559.47209102</v>
      </c>
      <c r="AC49" s="50">
        <v>61699158.676141098</v>
      </c>
      <c r="AD49" s="50">
        <v>20179486.0771177</v>
      </c>
      <c r="AE49" s="45">
        <v>2140212041.6698599</v>
      </c>
      <c r="AF49" s="45">
        <v>544911283.67056894</v>
      </c>
      <c r="AG49" s="45">
        <v>742396331.70950198</v>
      </c>
      <c r="AH49" s="45">
        <v>286469176.51749498</v>
      </c>
      <c r="AI49" s="45">
        <v>517228345.932208</v>
      </c>
      <c r="AJ49" s="45">
        <v>393198764.34313899</v>
      </c>
      <c r="AK49" s="50">
        <v>296965938.19792998</v>
      </c>
      <c r="AL49" s="45">
        <v>644035496.54548001</v>
      </c>
      <c r="AM49" s="50">
        <v>135629401.96656099</v>
      </c>
      <c r="AN49" s="45">
        <v>334643313.50259602</v>
      </c>
      <c r="AO49" s="45">
        <v>143060914.191484</v>
      </c>
      <c r="AP49" s="50">
        <v>159195396.710307</v>
      </c>
      <c r="AQ49" s="45">
        <v>291866517.47499102</v>
      </c>
      <c r="AR49" s="45">
        <v>77833015.035403907</v>
      </c>
      <c r="AS49" s="45">
        <v>396824813.745969</v>
      </c>
      <c r="AT49" s="50">
        <v>16826058032.783701</v>
      </c>
      <c r="AU49" s="50">
        <v>816642871.61719298</v>
      </c>
      <c r="AV49" s="50">
        <v>3023440277.9689298</v>
      </c>
      <c r="AW49" s="50">
        <v>3840083149.5861201</v>
      </c>
      <c r="AX49" s="50">
        <v>1736253794.41957</v>
      </c>
      <c r="AY49" s="50">
        <v>5576336944.0056896</v>
      </c>
      <c r="AZ49" s="50">
        <v>4243704003.37183</v>
      </c>
      <c r="BA49" s="50">
        <v>91509937.677221596</v>
      </c>
      <c r="BB49" s="50">
        <v>4335213941.0490599</v>
      </c>
      <c r="BC49" s="50">
        <v>1879260657.23314</v>
      </c>
      <c r="BD49" s="50">
        <v>11790811542.287901</v>
      </c>
      <c r="BE49" s="50">
        <v>1626591529.6393001</v>
      </c>
      <c r="BF49" s="93">
        <v>26990278045.432301</v>
      </c>
    </row>
    <row r="50" spans="1:58" ht="21.6">
      <c r="A50" s="113" t="s">
        <v>142</v>
      </c>
      <c r="B50" s="51" t="s">
        <v>143</v>
      </c>
      <c r="C50" s="52" t="s">
        <v>144</v>
      </c>
      <c r="D50" s="45">
        <v>821109376.63205099</v>
      </c>
      <c r="E50" s="45">
        <v>49156975.956210703</v>
      </c>
      <c r="F50" s="45">
        <v>10684586.807827801</v>
      </c>
      <c r="G50" s="45">
        <v>34146732.260801703</v>
      </c>
      <c r="H50" s="45">
        <v>9070894.7857753504</v>
      </c>
      <c r="I50" s="45">
        <v>92288059.905675799</v>
      </c>
      <c r="J50" s="45">
        <v>78070178.610044703</v>
      </c>
      <c r="K50" s="45">
        <v>25339700.688776899</v>
      </c>
      <c r="L50" s="45">
        <v>70607744.963608101</v>
      </c>
      <c r="M50" s="45">
        <v>12815275.321341099</v>
      </c>
      <c r="N50" s="45">
        <v>47509590.242770404</v>
      </c>
      <c r="O50" s="45">
        <v>30588660.7146926</v>
      </c>
      <c r="P50" s="45">
        <v>35944267.486501202</v>
      </c>
      <c r="Q50" s="45">
        <v>74959951.978375494</v>
      </c>
      <c r="R50" s="45">
        <v>39116758.517672099</v>
      </c>
      <c r="S50" s="45">
        <v>35418933.993041903</v>
      </c>
      <c r="T50" s="45">
        <v>57488356.150157198</v>
      </c>
      <c r="U50" s="45">
        <v>46988959.725912601</v>
      </c>
      <c r="V50" s="45">
        <v>51031136.414665803</v>
      </c>
      <c r="W50" s="45">
        <v>36758514.018456601</v>
      </c>
      <c r="X50" s="45">
        <v>17700419.379848599</v>
      </c>
      <c r="Y50" s="45">
        <v>47111753.584501401</v>
      </c>
      <c r="Z50" s="45">
        <v>100330129.04252701</v>
      </c>
      <c r="AA50" s="45">
        <v>25541967.525668599</v>
      </c>
      <c r="AB50" s="45">
        <v>61395231.162410103</v>
      </c>
      <c r="AC50" s="45">
        <v>7256304.22228311</v>
      </c>
      <c r="AD50" s="45">
        <v>8632889.7918775491</v>
      </c>
      <c r="AE50" s="45">
        <v>469645429.01066202</v>
      </c>
      <c r="AF50" s="45">
        <v>519792503.26379198</v>
      </c>
      <c r="AG50" s="45">
        <v>230523925.74021101</v>
      </c>
      <c r="AH50" s="45">
        <v>85067117.100898802</v>
      </c>
      <c r="AI50" s="45">
        <v>206973736.679317</v>
      </c>
      <c r="AJ50" s="45">
        <v>215281976.520711</v>
      </c>
      <c r="AK50" s="45">
        <v>192733122.55735001</v>
      </c>
      <c r="AL50" s="45">
        <v>252757212.79392499</v>
      </c>
      <c r="AM50" s="45">
        <v>65841576.822612002</v>
      </c>
      <c r="AN50" s="45">
        <v>115418456.21231601</v>
      </c>
      <c r="AO50" s="45">
        <v>127689767.85801201</v>
      </c>
      <c r="AP50" s="45">
        <v>281650493.11452001</v>
      </c>
      <c r="AQ50" s="45">
        <v>171783188.52536699</v>
      </c>
      <c r="AR50" s="45">
        <v>51172539.734950997</v>
      </c>
      <c r="AS50" s="45">
        <v>407600705.01487601</v>
      </c>
      <c r="AT50" s="66">
        <v>5295655400.1442204</v>
      </c>
      <c r="AU50" s="67"/>
      <c r="AV50" s="67"/>
      <c r="AW50" s="84"/>
      <c r="AX50" s="67"/>
      <c r="AY50" s="84"/>
      <c r="AZ50" s="67"/>
      <c r="BA50" s="67"/>
      <c r="BB50" s="84"/>
      <c r="BC50" s="67"/>
      <c r="BD50" s="85"/>
      <c r="BE50" s="67"/>
      <c r="BF50" s="67"/>
    </row>
    <row r="51" spans="1:58" ht="21.6">
      <c r="A51" s="114"/>
      <c r="B51" s="51" t="s">
        <v>145</v>
      </c>
      <c r="C51" s="53" t="s">
        <v>146</v>
      </c>
      <c r="D51" s="45">
        <v>-45528240.6524828</v>
      </c>
      <c r="E51" s="45">
        <v>23728883.970035002</v>
      </c>
      <c r="F51" s="45">
        <v>26393586.367127001</v>
      </c>
      <c r="G51" s="45">
        <v>29203561.313999999</v>
      </c>
      <c r="H51" s="45">
        <v>1127941.29772883</v>
      </c>
      <c r="I51" s="45">
        <v>82927929.567150205</v>
      </c>
      <c r="J51" s="45">
        <v>1055456.5261335</v>
      </c>
      <c r="K51" s="45">
        <v>5439494.6023760298</v>
      </c>
      <c r="L51" s="45">
        <v>11735859.5567258</v>
      </c>
      <c r="M51" s="45">
        <v>49155195.521414101</v>
      </c>
      <c r="N51" s="45">
        <v>37768625.129487202</v>
      </c>
      <c r="O51" s="45">
        <v>11543781.6746586</v>
      </c>
      <c r="P51" s="45">
        <v>9432919.72683331</v>
      </c>
      <c r="Q51" s="45">
        <v>23472866.7779206</v>
      </c>
      <c r="R51" s="45">
        <v>16809803.985219501</v>
      </c>
      <c r="S51" s="45">
        <v>20103752.8548938</v>
      </c>
      <c r="T51" s="45">
        <v>11219546.986150701</v>
      </c>
      <c r="U51" s="45">
        <v>16723537.968313601</v>
      </c>
      <c r="V51" s="45">
        <v>14548976.722464001</v>
      </c>
      <c r="W51" s="45">
        <v>41488605.881302997</v>
      </c>
      <c r="X51" s="45">
        <v>2028721.9790923099</v>
      </c>
      <c r="Y51" s="45">
        <v>4541468.4707145998</v>
      </c>
      <c r="Z51" s="45">
        <v>-3678836.27294552</v>
      </c>
      <c r="AA51" s="45">
        <v>13432368.474347601</v>
      </c>
      <c r="AB51" s="45">
        <v>20698377.631525099</v>
      </c>
      <c r="AC51" s="45">
        <v>1010550.4523641299</v>
      </c>
      <c r="AD51" s="45">
        <v>1860447.1837464201</v>
      </c>
      <c r="AE51" s="45">
        <v>98116385.596828699</v>
      </c>
      <c r="AF51" s="45">
        <v>95383190.280476794</v>
      </c>
      <c r="AG51" s="45">
        <v>8513567.4421984609</v>
      </c>
      <c r="AH51" s="45">
        <v>1360038.6625977701</v>
      </c>
      <c r="AI51" s="45">
        <v>13092894.4785477</v>
      </c>
      <c r="AJ51" s="45">
        <v>82718115.887338698</v>
      </c>
      <c r="AK51" s="45">
        <v>123442718.311865</v>
      </c>
      <c r="AL51" s="45">
        <v>27690530.6917165</v>
      </c>
      <c r="AM51" s="45">
        <v>1588413.5683403399</v>
      </c>
      <c r="AN51" s="45">
        <v>11715874.608684899</v>
      </c>
      <c r="AO51" s="45">
        <v>5023484.24607627</v>
      </c>
      <c r="AP51" s="45">
        <v>625840.58906758903</v>
      </c>
      <c r="AQ51" s="45">
        <v>119102.009382813</v>
      </c>
      <c r="AR51" s="45">
        <v>1590021.0493161599</v>
      </c>
      <c r="AS51" s="45">
        <v>2016363.5215086001</v>
      </c>
      <c r="AT51" s="66">
        <v>895802230.037866</v>
      </c>
      <c r="AU51" s="68"/>
      <c r="AV51" s="68"/>
      <c r="AW51" s="86"/>
      <c r="AX51" s="68"/>
      <c r="AY51" s="86"/>
      <c r="AZ51" s="68"/>
      <c r="BA51" s="68"/>
      <c r="BB51" s="86"/>
      <c r="BC51" s="68"/>
      <c r="BD51" s="87"/>
      <c r="BE51" s="68"/>
      <c r="BF51" s="68"/>
    </row>
    <row r="52" spans="1:58" ht="21.6">
      <c r="A52" s="114"/>
      <c r="B52" s="51" t="s">
        <v>147</v>
      </c>
      <c r="C52" s="53" t="s">
        <v>148</v>
      </c>
      <c r="D52" s="45">
        <v>23048579.701509301</v>
      </c>
      <c r="E52" s="45">
        <v>11857466.9359743</v>
      </c>
      <c r="F52" s="45">
        <v>23934531.664067499</v>
      </c>
      <c r="G52" s="45">
        <v>14045534.8444722</v>
      </c>
      <c r="H52" s="45">
        <v>881427.48909159401</v>
      </c>
      <c r="I52" s="45">
        <v>30616039.479662899</v>
      </c>
      <c r="J52" s="45">
        <v>17159912.398409501</v>
      </c>
      <c r="K52" s="45">
        <v>7115541.1852337504</v>
      </c>
      <c r="L52" s="45">
        <v>23476685.1205348</v>
      </c>
      <c r="M52" s="45">
        <v>11540322.9497796</v>
      </c>
      <c r="N52" s="45">
        <v>37261752.784207501</v>
      </c>
      <c r="O52" s="45">
        <v>7442373.4576655598</v>
      </c>
      <c r="P52" s="45">
        <v>13681348.159869701</v>
      </c>
      <c r="Q52" s="45">
        <v>36252424.842486702</v>
      </c>
      <c r="R52" s="45">
        <v>31732255.920472398</v>
      </c>
      <c r="S52" s="45">
        <v>20256127.164829802</v>
      </c>
      <c r="T52" s="45">
        <v>17451919.758611701</v>
      </c>
      <c r="U52" s="45">
        <v>16689439.146307001</v>
      </c>
      <c r="V52" s="45">
        <v>12133972.5831076</v>
      </c>
      <c r="W52" s="45">
        <v>15404029.9075229</v>
      </c>
      <c r="X52" s="45">
        <v>3816835.0280198702</v>
      </c>
      <c r="Y52" s="45">
        <v>15983410.4130126</v>
      </c>
      <c r="Z52" s="45">
        <v>35286959.999098003</v>
      </c>
      <c r="AA52" s="45">
        <v>6722131.4276251802</v>
      </c>
      <c r="AB52" s="45">
        <v>97784316.348265097</v>
      </c>
      <c r="AC52" s="45">
        <v>5463403.9663039697</v>
      </c>
      <c r="AD52" s="45">
        <v>6900167.0847543897</v>
      </c>
      <c r="AE52" s="45">
        <v>27714363.679958399</v>
      </c>
      <c r="AF52" s="45">
        <v>118467134.625324</v>
      </c>
      <c r="AG52" s="45">
        <v>200221941.68550199</v>
      </c>
      <c r="AH52" s="45">
        <v>46183808.013787799</v>
      </c>
      <c r="AI52" s="45">
        <v>126694176.647774</v>
      </c>
      <c r="AJ52" s="45">
        <v>36197643.623248503</v>
      </c>
      <c r="AK52" s="45">
        <v>70284261.245119199</v>
      </c>
      <c r="AL52" s="45">
        <v>35220354.322564296</v>
      </c>
      <c r="AM52" s="45">
        <v>20894697.107667901</v>
      </c>
      <c r="AN52" s="45">
        <v>47257245.823209397</v>
      </c>
      <c r="AO52" s="45">
        <v>18811000.584729899</v>
      </c>
      <c r="AP52" s="45">
        <v>77784703.209432706</v>
      </c>
      <c r="AQ52" s="45">
        <v>31476065.1203941</v>
      </c>
      <c r="AR52" s="45">
        <v>19443051.9030816</v>
      </c>
      <c r="AS52" s="45">
        <v>92345943.103720903</v>
      </c>
      <c r="AT52" s="66">
        <v>1505819759.2711799</v>
      </c>
      <c r="AU52" s="68"/>
      <c r="AV52" s="68"/>
      <c r="AW52" s="86"/>
      <c r="AX52" s="68"/>
      <c r="AY52" s="86"/>
      <c r="AZ52" s="68"/>
      <c r="BA52" s="68"/>
      <c r="BB52" s="86"/>
      <c r="BC52" s="68"/>
      <c r="BD52" s="88"/>
      <c r="BE52" s="68"/>
      <c r="BF52" s="68"/>
    </row>
    <row r="53" spans="1:58">
      <c r="A53" s="114"/>
      <c r="B53" s="51" t="s">
        <v>149</v>
      </c>
      <c r="C53" s="53" t="s">
        <v>150</v>
      </c>
      <c r="D53" s="45">
        <v>23117526.7569887</v>
      </c>
      <c r="E53" s="45">
        <v>35255170.9583124</v>
      </c>
      <c r="F53" s="45">
        <v>6711085.0313259903</v>
      </c>
      <c r="G53" s="45">
        <v>26913764.728313699</v>
      </c>
      <c r="H53" s="45">
        <v>-2541340.4945982499</v>
      </c>
      <c r="I53" s="45">
        <v>101181657.170058</v>
      </c>
      <c r="J53" s="45">
        <v>48190809.103463501</v>
      </c>
      <c r="K53" s="45">
        <v>17706881.846517999</v>
      </c>
      <c r="L53" s="45">
        <v>55330296.5377042</v>
      </c>
      <c r="M53" s="45">
        <v>27079970.671574298</v>
      </c>
      <c r="N53" s="45">
        <v>75473750.700666696</v>
      </c>
      <c r="O53" s="45">
        <v>36261214.213117696</v>
      </c>
      <c r="P53" s="45">
        <v>27380721.776728999</v>
      </c>
      <c r="Q53" s="45">
        <v>95894757.611015007</v>
      </c>
      <c r="R53" s="45">
        <v>68635495.434864804</v>
      </c>
      <c r="S53" s="45">
        <v>43798631.409793504</v>
      </c>
      <c r="T53" s="45">
        <v>41037939.512259103</v>
      </c>
      <c r="U53" s="45">
        <v>43686015.758966699</v>
      </c>
      <c r="V53" s="45">
        <v>20237210.504032802</v>
      </c>
      <c r="W53" s="45">
        <v>51825291.161202297</v>
      </c>
      <c r="X53" s="45">
        <v>8695606.8842817899</v>
      </c>
      <c r="Y53" s="45">
        <v>53690205.760876298</v>
      </c>
      <c r="Z53" s="45">
        <v>59374527.431741104</v>
      </c>
      <c r="AA53" s="45">
        <v>51110402.078424901</v>
      </c>
      <c r="AB53" s="45">
        <v>38471081.088682704</v>
      </c>
      <c r="AC53" s="45">
        <v>5841588.0152542796</v>
      </c>
      <c r="AD53" s="45">
        <v>3105561.8317358401</v>
      </c>
      <c r="AE53" s="45">
        <v>124616761.457381</v>
      </c>
      <c r="AF53" s="45">
        <v>219960586.71941301</v>
      </c>
      <c r="AG53" s="45">
        <v>17515502.057090301</v>
      </c>
      <c r="AH53" s="45">
        <v>12909619.810646201</v>
      </c>
      <c r="AI53" s="45">
        <v>101253636.088194</v>
      </c>
      <c r="AJ53" s="45">
        <v>501973655.09780598</v>
      </c>
      <c r="AK53" s="45">
        <v>383207440.02152199</v>
      </c>
      <c r="AL53" s="45">
        <v>2859006.25501044</v>
      </c>
      <c r="AM53" s="45">
        <v>7602478.6940469798</v>
      </c>
      <c r="AN53" s="45">
        <v>10750979.3816108</v>
      </c>
      <c r="AO53" s="45">
        <v>5752421.8421264105</v>
      </c>
      <c r="AP53" s="45">
        <v>13231125.5114678</v>
      </c>
      <c r="AQ53" s="45">
        <v>4827324.6091729896</v>
      </c>
      <c r="AR53" s="45">
        <v>5804782.0425391896</v>
      </c>
      <c r="AS53" s="45">
        <v>8918361.9705148209</v>
      </c>
      <c r="AT53" s="66">
        <v>2466942623.1953301</v>
      </c>
      <c r="AU53" s="68"/>
      <c r="AV53" s="68"/>
      <c r="AW53" s="86"/>
      <c r="AX53" s="68"/>
      <c r="AY53" s="86"/>
      <c r="AZ53" s="68"/>
      <c r="BA53" s="68"/>
      <c r="BB53" s="86"/>
      <c r="BC53" s="68"/>
      <c r="BD53" s="88"/>
      <c r="BE53" s="68"/>
      <c r="BF53" s="68"/>
    </row>
    <row r="54" spans="1:58" ht="21.6">
      <c r="A54" s="114"/>
      <c r="B54" s="54" t="s">
        <v>151</v>
      </c>
      <c r="C54" s="55" t="s">
        <v>152</v>
      </c>
      <c r="D54" s="45">
        <v>821747242.43806601</v>
      </c>
      <c r="E54" s="56">
        <v>119998497.82053199</v>
      </c>
      <c r="F54" s="56">
        <v>67723789.870348305</v>
      </c>
      <c r="G54" s="45">
        <v>104309593.147588</v>
      </c>
      <c r="H54" s="56">
        <v>8538923.0779975299</v>
      </c>
      <c r="I54" s="45">
        <v>307013686.12254697</v>
      </c>
      <c r="J54" s="45">
        <v>144476356.638051</v>
      </c>
      <c r="K54" s="45">
        <v>55601618.322904602</v>
      </c>
      <c r="L54" s="45">
        <v>161150586.17857301</v>
      </c>
      <c r="M54" s="45">
        <v>100590764.464109</v>
      </c>
      <c r="N54" s="45">
        <v>198013718.85713199</v>
      </c>
      <c r="O54" s="56">
        <v>85836030.0601345</v>
      </c>
      <c r="P54" s="45">
        <v>86439257.149933204</v>
      </c>
      <c r="Q54" s="45">
        <v>230580001.20979801</v>
      </c>
      <c r="R54" s="45">
        <v>156294313.85822901</v>
      </c>
      <c r="S54" s="45">
        <v>119577445.42255899</v>
      </c>
      <c r="T54" s="56">
        <v>127197762.407179</v>
      </c>
      <c r="U54" s="45">
        <v>124087952.5995</v>
      </c>
      <c r="V54" s="45">
        <v>97951296.224270299</v>
      </c>
      <c r="W54" s="45">
        <v>145476440.968485</v>
      </c>
      <c r="X54" s="45">
        <v>32241583.2712426</v>
      </c>
      <c r="Y54" s="45">
        <v>121326838.229105</v>
      </c>
      <c r="Z54" s="45">
        <v>191312780.20041999</v>
      </c>
      <c r="AA54" s="45">
        <v>96806869.506066203</v>
      </c>
      <c r="AB54" s="56">
        <v>218349006.230883</v>
      </c>
      <c r="AC54" s="56">
        <v>19571846.656205501</v>
      </c>
      <c r="AD54" s="56">
        <v>20499065.8921142</v>
      </c>
      <c r="AE54" s="45">
        <v>720092939.74483001</v>
      </c>
      <c r="AF54" s="45">
        <v>953603414.88900602</v>
      </c>
      <c r="AG54" s="45">
        <v>456774936.92500198</v>
      </c>
      <c r="AH54" s="45">
        <v>145520583.58793101</v>
      </c>
      <c r="AI54" s="45">
        <v>448014443.89383298</v>
      </c>
      <c r="AJ54" s="45">
        <v>836171391.12910402</v>
      </c>
      <c r="AK54" s="56">
        <v>769667542.13585603</v>
      </c>
      <c r="AL54" s="45">
        <v>318527104.06321698</v>
      </c>
      <c r="AM54" s="56">
        <v>95927166.192667201</v>
      </c>
      <c r="AN54" s="45">
        <v>185142556.025821</v>
      </c>
      <c r="AO54" s="45">
        <v>157276674.530945</v>
      </c>
      <c r="AP54" s="56">
        <v>373292162.42448801</v>
      </c>
      <c r="AQ54" s="45">
        <v>208205680.26431701</v>
      </c>
      <c r="AR54" s="45">
        <v>78010394.729888007</v>
      </c>
      <c r="AS54" s="45">
        <v>510881373.61062002</v>
      </c>
      <c r="AT54" s="66">
        <v>10164220012.6486</v>
      </c>
      <c r="AU54" s="69"/>
      <c r="AV54" s="68"/>
      <c r="AW54" s="86"/>
      <c r="AX54" s="68"/>
      <c r="AY54" s="86"/>
      <c r="AZ54" s="68"/>
      <c r="BA54" s="68"/>
      <c r="BB54" s="86"/>
      <c r="BC54" s="68"/>
      <c r="BD54" s="88"/>
      <c r="BE54" s="68"/>
      <c r="BF54" s="68"/>
    </row>
    <row r="55" spans="1:58">
      <c r="A55" s="108" t="s">
        <v>153</v>
      </c>
      <c r="B55" s="109"/>
      <c r="C55" s="57" t="s">
        <v>154</v>
      </c>
      <c r="D55" s="45">
        <v>1331683250.2709701</v>
      </c>
      <c r="E55" s="58">
        <v>235072612.00295901</v>
      </c>
      <c r="F55" s="58">
        <v>107689567.27617</v>
      </c>
      <c r="G55" s="45">
        <v>193534599.23827901</v>
      </c>
      <c r="H55" s="58">
        <v>20236774.422584798</v>
      </c>
      <c r="I55" s="45">
        <v>1251362798.1711099</v>
      </c>
      <c r="J55" s="45">
        <v>757386926.81410897</v>
      </c>
      <c r="K55" s="45">
        <v>265413179.90955001</v>
      </c>
      <c r="L55" s="45">
        <v>693805946.29288495</v>
      </c>
      <c r="M55" s="45">
        <v>409333284.47485602</v>
      </c>
      <c r="N55" s="45">
        <v>855096592.92702794</v>
      </c>
      <c r="O55" s="58">
        <v>300056136.80325001</v>
      </c>
      <c r="P55" s="45">
        <v>358191579.35939801</v>
      </c>
      <c r="Q55" s="45">
        <v>733031886.55090594</v>
      </c>
      <c r="R55" s="45">
        <v>683509940.91067898</v>
      </c>
      <c r="S55" s="45">
        <v>524670022.755983</v>
      </c>
      <c r="T55" s="58">
        <v>519481674.11646301</v>
      </c>
      <c r="U55" s="45">
        <v>532910986.428774</v>
      </c>
      <c r="V55" s="45">
        <v>387351083.80461699</v>
      </c>
      <c r="W55" s="45">
        <v>706457460.66325498</v>
      </c>
      <c r="X55" s="45">
        <v>156013924.032628</v>
      </c>
      <c r="Y55" s="45">
        <v>697666254.58715701</v>
      </c>
      <c r="Z55" s="45">
        <v>1188521951.48262</v>
      </c>
      <c r="AA55" s="45">
        <v>164181553.680022</v>
      </c>
      <c r="AB55" s="58">
        <v>699502565.70297396</v>
      </c>
      <c r="AC55" s="58">
        <v>81271005.332346603</v>
      </c>
      <c r="AD55" s="58">
        <v>40678551.969231904</v>
      </c>
      <c r="AE55" s="45">
        <v>2860304981.41469</v>
      </c>
      <c r="AF55" s="45">
        <v>1498514698.5595801</v>
      </c>
      <c r="AG55" s="45">
        <v>1199171268.6345</v>
      </c>
      <c r="AH55" s="45">
        <v>431989760.105425</v>
      </c>
      <c r="AI55" s="45">
        <v>965242789.82604098</v>
      </c>
      <c r="AJ55" s="45">
        <v>1229370155.47224</v>
      </c>
      <c r="AK55" s="58">
        <v>1066633480.3337899</v>
      </c>
      <c r="AL55" s="45">
        <v>962562600.60869706</v>
      </c>
      <c r="AM55" s="58">
        <v>231556568.159228</v>
      </c>
      <c r="AN55" s="45">
        <v>519785869.52841699</v>
      </c>
      <c r="AO55" s="45">
        <v>300337588.72242802</v>
      </c>
      <c r="AP55" s="58">
        <v>532487559.13479602</v>
      </c>
      <c r="AQ55" s="45">
        <v>500072197.73930699</v>
      </c>
      <c r="AR55" s="45">
        <v>155843409.76529199</v>
      </c>
      <c r="AS55" s="45">
        <v>907706187.35658896</v>
      </c>
      <c r="AT55" s="70">
        <v>26990278045.432301</v>
      </c>
      <c r="AU55" s="71"/>
      <c r="AV55" s="71"/>
      <c r="AW55" s="89"/>
      <c r="AX55" s="71"/>
      <c r="AY55" s="89"/>
      <c r="AZ55" s="71"/>
      <c r="BA55" s="71"/>
      <c r="BB55" s="89"/>
      <c r="BC55" s="71"/>
      <c r="BD55" s="90"/>
      <c r="BE55" s="71"/>
      <c r="BF55" s="71"/>
    </row>
  </sheetData>
  <mergeCells count="10">
    <mergeCell ref="BE4:BE5"/>
    <mergeCell ref="BF4:BF5"/>
    <mergeCell ref="A4:B5"/>
    <mergeCell ref="AU3:BC3"/>
    <mergeCell ref="D4:AT4"/>
    <mergeCell ref="AU4:BD4"/>
    <mergeCell ref="A55:B55"/>
    <mergeCell ref="A7:A49"/>
    <mergeCell ref="A50:A54"/>
    <mergeCell ref="C4:C5"/>
  </mergeCells>
  <conditionalFormatting sqref="T8:X9 T11:X11 T18:X18 T23:X23 T31:X33 T40:X40 T42:X42 T45:X45 U49:X55">
    <cfRule type="cellIs" dxfId="0" priority="1" operator="less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97"/>
  <sheetViews>
    <sheetView topLeftCell="A6" workbookViewId="0">
      <selection activeCell="L24" sqref="L24"/>
    </sheetView>
  </sheetViews>
  <sheetFormatPr defaultColWidth="9" defaultRowHeight="14.4"/>
  <sheetData>
    <row r="1" spans="1:17" ht="96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3" t="s">
        <v>159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127" t="s">
        <v>160</v>
      </c>
      <c r="B3" s="131" t="s">
        <v>161</v>
      </c>
      <c r="C3" s="135" t="s">
        <v>162</v>
      </c>
      <c r="D3" s="125"/>
      <c r="E3" s="125"/>
      <c r="F3" s="125"/>
      <c r="G3" s="125"/>
      <c r="H3" s="125"/>
      <c r="I3" s="125"/>
      <c r="J3" s="126"/>
      <c r="K3" s="135" t="s">
        <v>163</v>
      </c>
      <c r="L3" s="125"/>
      <c r="M3" s="126"/>
      <c r="N3" s="135" t="s">
        <v>164</v>
      </c>
      <c r="O3" s="125"/>
      <c r="P3" s="125"/>
      <c r="Q3" s="125"/>
    </row>
    <row r="4" spans="1:17">
      <c r="A4" s="128"/>
      <c r="B4" s="132"/>
      <c r="C4" s="132"/>
      <c r="D4" s="131" t="s">
        <v>165</v>
      </c>
      <c r="E4" s="131" t="s">
        <v>166</v>
      </c>
      <c r="F4" s="131" t="s">
        <v>167</v>
      </c>
      <c r="G4" s="135" t="s">
        <v>168</v>
      </c>
      <c r="H4" s="125"/>
      <c r="I4" s="125"/>
      <c r="J4" s="126"/>
      <c r="K4" s="132"/>
      <c r="L4" s="135" t="s">
        <v>169</v>
      </c>
      <c r="M4" s="13"/>
      <c r="N4" s="132"/>
      <c r="O4" s="135" t="s">
        <v>170</v>
      </c>
      <c r="P4" s="125"/>
      <c r="Q4" s="125"/>
    </row>
    <row r="5" spans="1:17">
      <c r="A5" s="128"/>
      <c r="B5" s="132"/>
      <c r="C5" s="132"/>
      <c r="D5" s="132"/>
      <c r="E5" s="132"/>
      <c r="F5" s="132"/>
      <c r="G5" s="132"/>
      <c r="H5" s="131" t="s">
        <v>171</v>
      </c>
      <c r="I5" s="135" t="s">
        <v>172</v>
      </c>
      <c r="J5" s="13"/>
      <c r="K5" s="132"/>
      <c r="L5" s="132"/>
      <c r="M5" s="131" t="s">
        <v>173</v>
      </c>
      <c r="N5" s="132"/>
      <c r="O5" s="132"/>
      <c r="P5" s="131" t="s">
        <v>174</v>
      </c>
      <c r="Q5" s="135" t="s">
        <v>175</v>
      </c>
    </row>
    <row r="6" spans="1:17">
      <c r="A6" s="129"/>
      <c r="B6" s="133"/>
      <c r="C6" s="133"/>
      <c r="D6" s="133"/>
      <c r="E6" s="133"/>
      <c r="F6" s="133"/>
      <c r="G6" s="133"/>
      <c r="H6" s="133"/>
      <c r="I6" s="133"/>
      <c r="J6" s="14" t="s">
        <v>176</v>
      </c>
      <c r="K6" s="133"/>
      <c r="L6" s="133"/>
      <c r="M6" s="133"/>
      <c r="N6" s="133"/>
      <c r="O6" s="133"/>
      <c r="P6" s="133"/>
      <c r="Q6" s="137"/>
    </row>
    <row r="7" spans="1:17" ht="24">
      <c r="A7" s="5" t="s">
        <v>177</v>
      </c>
      <c r="B7" s="6" t="s">
        <v>178</v>
      </c>
      <c r="C7" s="6" t="s">
        <v>179</v>
      </c>
      <c r="D7" s="6" t="s">
        <v>180</v>
      </c>
      <c r="E7" s="6" t="s">
        <v>181</v>
      </c>
      <c r="F7" s="6" t="s">
        <v>182</v>
      </c>
      <c r="G7" s="6" t="s">
        <v>183</v>
      </c>
      <c r="H7" s="6" t="s">
        <v>184</v>
      </c>
      <c r="I7" s="6" t="s">
        <v>185</v>
      </c>
      <c r="J7" s="6" t="s">
        <v>186</v>
      </c>
      <c r="K7" s="6" t="s">
        <v>187</v>
      </c>
      <c r="L7" s="6" t="s">
        <v>188</v>
      </c>
      <c r="M7" s="6" t="s">
        <v>189</v>
      </c>
      <c r="N7" s="6" t="s">
        <v>190</v>
      </c>
      <c r="O7" s="6" t="s">
        <v>191</v>
      </c>
      <c r="P7" s="6" t="s">
        <v>192</v>
      </c>
      <c r="Q7" s="6" t="s">
        <v>193</v>
      </c>
    </row>
    <row r="8" spans="1:17" ht="24">
      <c r="A8" s="5" t="s">
        <v>194</v>
      </c>
      <c r="B8" s="6" t="s">
        <v>195</v>
      </c>
      <c r="C8" s="6" t="s">
        <v>196</v>
      </c>
      <c r="D8" s="6" t="s">
        <v>197</v>
      </c>
      <c r="E8" s="6" t="s">
        <v>198</v>
      </c>
      <c r="F8" s="6" t="s">
        <v>199</v>
      </c>
      <c r="G8" s="6" t="s">
        <v>200</v>
      </c>
      <c r="H8" s="6" t="s">
        <v>201</v>
      </c>
      <c r="I8" s="6" t="s">
        <v>202</v>
      </c>
      <c r="J8" s="6" t="s">
        <v>203</v>
      </c>
      <c r="K8" s="6" t="s">
        <v>204</v>
      </c>
      <c r="L8" s="6" t="s">
        <v>205</v>
      </c>
      <c r="M8" s="6" t="s">
        <v>206</v>
      </c>
      <c r="N8" s="6" t="s">
        <v>207</v>
      </c>
      <c r="O8" s="6" t="s">
        <v>208</v>
      </c>
      <c r="P8" s="6" t="s">
        <v>209</v>
      </c>
      <c r="Q8" s="6" t="s">
        <v>210</v>
      </c>
    </row>
    <row r="9" spans="1:17" ht="24">
      <c r="A9" s="7" t="s">
        <v>211</v>
      </c>
      <c r="B9" s="6" t="s">
        <v>212</v>
      </c>
      <c r="C9" s="6" t="s">
        <v>213</v>
      </c>
      <c r="D9" s="6" t="s">
        <v>214</v>
      </c>
      <c r="E9" s="6" t="s">
        <v>215</v>
      </c>
      <c r="F9" s="6" t="s">
        <v>216</v>
      </c>
      <c r="G9" s="6" t="s">
        <v>217</v>
      </c>
      <c r="H9" s="6" t="s">
        <v>218</v>
      </c>
      <c r="I9" s="6" t="s">
        <v>219</v>
      </c>
      <c r="J9" s="6" t="s">
        <v>220</v>
      </c>
      <c r="K9" s="6" t="s">
        <v>221</v>
      </c>
      <c r="L9" s="6" t="s">
        <v>222</v>
      </c>
      <c r="M9" s="6" t="s">
        <v>223</v>
      </c>
      <c r="N9" s="6" t="s">
        <v>224</v>
      </c>
      <c r="O9" s="6" t="s">
        <v>225</v>
      </c>
      <c r="P9" s="6" t="s">
        <v>226</v>
      </c>
      <c r="Q9" s="6" t="s">
        <v>227</v>
      </c>
    </row>
    <row r="10" spans="1:17" ht="48">
      <c r="A10" s="7" t="s">
        <v>228</v>
      </c>
      <c r="B10" s="6" t="s">
        <v>229</v>
      </c>
      <c r="C10" s="6" t="s">
        <v>230</v>
      </c>
      <c r="D10" s="6" t="s">
        <v>231</v>
      </c>
      <c r="E10" s="6" t="s">
        <v>232</v>
      </c>
      <c r="F10" s="6" t="s">
        <v>233</v>
      </c>
      <c r="G10" s="6" t="s">
        <v>234</v>
      </c>
      <c r="H10" s="6" t="s">
        <v>235</v>
      </c>
      <c r="I10" s="6" t="s">
        <v>236</v>
      </c>
      <c r="J10" s="6" t="s">
        <v>237</v>
      </c>
      <c r="K10" s="6" t="s">
        <v>238</v>
      </c>
      <c r="L10" s="6" t="s">
        <v>239</v>
      </c>
      <c r="M10" s="6" t="s">
        <v>240</v>
      </c>
      <c r="N10" s="6" t="s">
        <v>241</v>
      </c>
      <c r="O10" s="6" t="s">
        <v>242</v>
      </c>
      <c r="P10" s="6" t="s">
        <v>243</v>
      </c>
      <c r="Q10" s="6" t="s">
        <v>244</v>
      </c>
    </row>
    <row r="11" spans="1:17" ht="36">
      <c r="A11" s="7" t="s">
        <v>245</v>
      </c>
      <c r="B11" s="6" t="s">
        <v>246</v>
      </c>
      <c r="C11" s="6" t="s">
        <v>247</v>
      </c>
      <c r="D11" s="6" t="s">
        <v>248</v>
      </c>
      <c r="E11" s="6" t="s">
        <v>249</v>
      </c>
      <c r="F11" s="6" t="s">
        <v>250</v>
      </c>
      <c r="G11" s="6" t="s">
        <v>251</v>
      </c>
      <c r="H11" s="6" t="s">
        <v>252</v>
      </c>
      <c r="I11" s="6" t="s">
        <v>253</v>
      </c>
      <c r="J11" s="6" t="s">
        <v>254</v>
      </c>
      <c r="K11" s="6" t="s">
        <v>255</v>
      </c>
      <c r="L11" s="6" t="s">
        <v>256</v>
      </c>
      <c r="M11" s="6" t="s">
        <v>257</v>
      </c>
      <c r="N11" s="6" t="s">
        <v>258</v>
      </c>
      <c r="O11" s="6" t="s">
        <v>259</v>
      </c>
      <c r="P11" s="6" t="s">
        <v>260</v>
      </c>
      <c r="Q11" s="6" t="s">
        <v>261</v>
      </c>
    </row>
    <row r="12" spans="1:17" ht="36">
      <c r="A12" s="7" t="s">
        <v>262</v>
      </c>
      <c r="B12" s="6" t="s">
        <v>263</v>
      </c>
      <c r="C12" s="6" t="s">
        <v>264</v>
      </c>
      <c r="D12" s="6" t="s">
        <v>265</v>
      </c>
      <c r="E12" s="6" t="s">
        <v>266</v>
      </c>
      <c r="F12" s="6" t="s">
        <v>267</v>
      </c>
      <c r="G12" s="6" t="s">
        <v>268</v>
      </c>
      <c r="H12" s="6" t="s">
        <v>269</v>
      </c>
      <c r="I12" s="6" t="s">
        <v>270</v>
      </c>
      <c r="J12" s="6" t="s">
        <v>271</v>
      </c>
      <c r="K12" s="6" t="s">
        <v>272</v>
      </c>
      <c r="L12" s="6" t="s">
        <v>273</v>
      </c>
      <c r="M12" s="6" t="s">
        <v>274</v>
      </c>
      <c r="N12" s="6" t="s">
        <v>275</v>
      </c>
      <c r="O12" s="6" t="s">
        <v>276</v>
      </c>
      <c r="P12" s="6" t="s">
        <v>277</v>
      </c>
      <c r="Q12" s="15"/>
    </row>
    <row r="13" spans="1:17" ht="36">
      <c r="A13" s="7" t="s">
        <v>278</v>
      </c>
      <c r="B13" s="6" t="s">
        <v>279</v>
      </c>
      <c r="C13" s="6" t="s">
        <v>280</v>
      </c>
      <c r="D13" s="6" t="s">
        <v>281</v>
      </c>
      <c r="E13" s="6" t="s">
        <v>282</v>
      </c>
      <c r="F13" s="6" t="s">
        <v>283</v>
      </c>
      <c r="G13" s="6" t="s">
        <v>284</v>
      </c>
      <c r="H13" s="6" t="s">
        <v>285</v>
      </c>
      <c r="I13" s="6" t="s">
        <v>286</v>
      </c>
      <c r="J13" s="6" t="s">
        <v>287</v>
      </c>
      <c r="K13" s="6" t="s">
        <v>288</v>
      </c>
      <c r="L13" s="6" t="s">
        <v>289</v>
      </c>
      <c r="M13" s="6" t="s">
        <v>290</v>
      </c>
      <c r="N13" s="6" t="s">
        <v>291</v>
      </c>
      <c r="O13" s="6" t="s">
        <v>292</v>
      </c>
      <c r="P13" s="6" t="s">
        <v>293</v>
      </c>
      <c r="Q13" s="6" t="s">
        <v>294</v>
      </c>
    </row>
    <row r="14" spans="1:17" ht="24">
      <c r="A14" s="7" t="s">
        <v>295</v>
      </c>
      <c r="B14" s="6" t="s">
        <v>296</v>
      </c>
      <c r="C14" s="6" t="s">
        <v>297</v>
      </c>
      <c r="D14" s="6" t="s">
        <v>298</v>
      </c>
      <c r="E14" s="6" t="s">
        <v>299</v>
      </c>
      <c r="F14" s="6" t="s">
        <v>300</v>
      </c>
      <c r="G14" s="6" t="s">
        <v>301</v>
      </c>
      <c r="H14" s="6" t="s">
        <v>302</v>
      </c>
      <c r="I14" s="6" t="s">
        <v>303</v>
      </c>
      <c r="J14" s="6" t="s">
        <v>304</v>
      </c>
      <c r="K14" s="6" t="s">
        <v>305</v>
      </c>
      <c r="L14" s="6" t="s">
        <v>306</v>
      </c>
      <c r="M14" s="6" t="s">
        <v>307</v>
      </c>
      <c r="N14" s="6" t="s">
        <v>308</v>
      </c>
      <c r="O14" s="6" t="s">
        <v>309</v>
      </c>
      <c r="P14" s="6" t="s">
        <v>310</v>
      </c>
      <c r="Q14" s="6" t="s">
        <v>311</v>
      </c>
    </row>
    <row r="15" spans="1:17" ht="36">
      <c r="A15" s="7" t="s">
        <v>312</v>
      </c>
      <c r="B15" s="6" t="s">
        <v>313</v>
      </c>
      <c r="C15" s="6" t="s">
        <v>314</v>
      </c>
      <c r="D15" s="6" t="s">
        <v>315</v>
      </c>
      <c r="E15" s="6" t="s">
        <v>316</v>
      </c>
      <c r="F15" s="6" t="s">
        <v>317</v>
      </c>
      <c r="G15" s="6" t="s">
        <v>318</v>
      </c>
      <c r="H15" s="6" t="s">
        <v>319</v>
      </c>
      <c r="I15" s="6" t="s">
        <v>320</v>
      </c>
      <c r="J15" s="6" t="s">
        <v>321</v>
      </c>
      <c r="K15" s="6" t="s">
        <v>322</v>
      </c>
      <c r="L15" s="6" t="s">
        <v>323</v>
      </c>
      <c r="M15" s="6" t="s">
        <v>324</v>
      </c>
      <c r="N15" s="6" t="s">
        <v>325</v>
      </c>
      <c r="O15" s="6" t="s">
        <v>326</v>
      </c>
      <c r="P15" s="6" t="s">
        <v>310</v>
      </c>
      <c r="Q15" s="6" t="s">
        <v>311</v>
      </c>
    </row>
    <row r="16" spans="1:17" ht="36">
      <c r="A16" s="7" t="s">
        <v>327</v>
      </c>
      <c r="B16" s="6" t="s">
        <v>328</v>
      </c>
      <c r="C16" s="6" t="s">
        <v>329</v>
      </c>
      <c r="D16" s="6" t="s">
        <v>330</v>
      </c>
      <c r="E16" s="6" t="s">
        <v>331</v>
      </c>
      <c r="F16" s="6" t="s">
        <v>332</v>
      </c>
      <c r="G16" s="6" t="s">
        <v>333</v>
      </c>
      <c r="H16" s="6" t="s">
        <v>334</v>
      </c>
      <c r="I16" s="6" t="s">
        <v>335</v>
      </c>
      <c r="J16" s="6" t="s">
        <v>336</v>
      </c>
      <c r="K16" s="6" t="s">
        <v>337</v>
      </c>
      <c r="L16" s="6" t="s">
        <v>338</v>
      </c>
      <c r="M16" s="6" t="s">
        <v>339</v>
      </c>
      <c r="N16" s="6" t="s">
        <v>340</v>
      </c>
      <c r="O16" s="6" t="s">
        <v>341</v>
      </c>
      <c r="P16" s="15"/>
      <c r="Q16" s="15"/>
    </row>
    <row r="17" spans="1:17" ht="36">
      <c r="A17" s="7" t="s">
        <v>342</v>
      </c>
      <c r="B17" s="6" t="s">
        <v>343</v>
      </c>
      <c r="C17" s="6" t="s">
        <v>344</v>
      </c>
      <c r="D17" s="6" t="s">
        <v>345</v>
      </c>
      <c r="E17" s="6" t="s">
        <v>346</v>
      </c>
      <c r="F17" s="6" t="s">
        <v>347</v>
      </c>
      <c r="G17" s="6" t="s">
        <v>348</v>
      </c>
      <c r="H17" s="6" t="s">
        <v>349</v>
      </c>
      <c r="I17" s="6" t="s">
        <v>350</v>
      </c>
      <c r="J17" s="6" t="s">
        <v>351</v>
      </c>
      <c r="K17" s="6" t="s">
        <v>352</v>
      </c>
      <c r="L17" s="6" t="s">
        <v>353</v>
      </c>
      <c r="M17" s="6" t="s">
        <v>354</v>
      </c>
      <c r="N17" s="6" t="s">
        <v>355</v>
      </c>
      <c r="O17" s="6" t="s">
        <v>356</v>
      </c>
      <c r="P17" s="6" t="s">
        <v>357</v>
      </c>
      <c r="Q17" s="6" t="s">
        <v>358</v>
      </c>
    </row>
    <row r="18" spans="1:17" ht="36">
      <c r="A18" s="7" t="s">
        <v>359</v>
      </c>
      <c r="B18" s="6" t="s">
        <v>360</v>
      </c>
      <c r="C18" s="6" t="s">
        <v>361</v>
      </c>
      <c r="D18" s="6" t="s">
        <v>362</v>
      </c>
      <c r="E18" s="6" t="s">
        <v>363</v>
      </c>
      <c r="F18" s="6" t="s">
        <v>364</v>
      </c>
      <c r="G18" s="6" t="s">
        <v>365</v>
      </c>
      <c r="H18" s="6" t="s">
        <v>366</v>
      </c>
      <c r="I18" s="6" t="s">
        <v>367</v>
      </c>
      <c r="J18" s="6" t="s">
        <v>368</v>
      </c>
      <c r="K18" s="6" t="s">
        <v>369</v>
      </c>
      <c r="L18" s="6" t="s">
        <v>370</v>
      </c>
      <c r="M18" s="6" t="s">
        <v>371</v>
      </c>
      <c r="N18" s="6" t="s">
        <v>372</v>
      </c>
      <c r="O18" s="6" t="s">
        <v>373</v>
      </c>
      <c r="P18" s="6" t="s">
        <v>374</v>
      </c>
      <c r="Q18" s="6" t="s">
        <v>358</v>
      </c>
    </row>
    <row r="19" spans="1:17" ht="48">
      <c r="A19" s="7" t="s">
        <v>375</v>
      </c>
      <c r="B19" s="6" t="s">
        <v>328</v>
      </c>
      <c r="C19" s="6" t="s">
        <v>376</v>
      </c>
      <c r="D19" s="6" t="s">
        <v>377</v>
      </c>
      <c r="E19" s="6" t="s">
        <v>378</v>
      </c>
      <c r="F19" s="6" t="s">
        <v>379</v>
      </c>
      <c r="G19" s="6" t="s">
        <v>380</v>
      </c>
      <c r="H19" s="6" t="s">
        <v>381</v>
      </c>
      <c r="I19" s="6" t="s">
        <v>382</v>
      </c>
      <c r="J19" s="6" t="s">
        <v>383</v>
      </c>
      <c r="K19" s="6" t="s">
        <v>384</v>
      </c>
      <c r="L19" s="6" t="s">
        <v>385</v>
      </c>
      <c r="M19" s="6" t="s">
        <v>386</v>
      </c>
      <c r="N19" s="6" t="s">
        <v>387</v>
      </c>
      <c r="O19" s="6" t="s">
        <v>388</v>
      </c>
      <c r="P19" s="6" t="s">
        <v>389</v>
      </c>
      <c r="Q19" s="15"/>
    </row>
    <row r="20" spans="1:17" ht="24">
      <c r="A20" s="7" t="s">
        <v>390</v>
      </c>
      <c r="B20" s="6" t="s">
        <v>391</v>
      </c>
      <c r="C20" s="6" t="s">
        <v>392</v>
      </c>
      <c r="D20" s="6" t="s">
        <v>393</v>
      </c>
      <c r="E20" s="6" t="s">
        <v>394</v>
      </c>
      <c r="F20" s="6" t="s">
        <v>395</v>
      </c>
      <c r="G20" s="6" t="s">
        <v>396</v>
      </c>
      <c r="H20" s="6" t="s">
        <v>397</v>
      </c>
      <c r="I20" s="6" t="s">
        <v>398</v>
      </c>
      <c r="J20" s="6" t="s">
        <v>399</v>
      </c>
      <c r="K20" s="6" t="s">
        <v>400</v>
      </c>
      <c r="L20" s="6" t="s">
        <v>401</v>
      </c>
      <c r="M20" s="6" t="s">
        <v>402</v>
      </c>
      <c r="N20" s="6" t="s">
        <v>403</v>
      </c>
      <c r="O20" s="6" t="s">
        <v>404</v>
      </c>
      <c r="P20" s="6" t="s">
        <v>405</v>
      </c>
      <c r="Q20" s="6" t="s">
        <v>406</v>
      </c>
    </row>
    <row r="21" spans="1:17" ht="24">
      <c r="A21" s="7" t="s">
        <v>407</v>
      </c>
      <c r="B21" s="6" t="s">
        <v>408</v>
      </c>
      <c r="C21" s="6" t="s">
        <v>409</v>
      </c>
      <c r="D21" s="6" t="s">
        <v>410</v>
      </c>
      <c r="E21" s="6" t="s">
        <v>411</v>
      </c>
      <c r="F21" s="6" t="s">
        <v>412</v>
      </c>
      <c r="G21" s="6" t="s">
        <v>413</v>
      </c>
      <c r="H21" s="6" t="s">
        <v>414</v>
      </c>
      <c r="I21" s="6" t="s">
        <v>415</v>
      </c>
      <c r="J21" s="6" t="s">
        <v>416</v>
      </c>
      <c r="K21" s="6" t="s">
        <v>417</v>
      </c>
      <c r="L21" s="6" t="s">
        <v>418</v>
      </c>
      <c r="M21" s="6" t="s">
        <v>419</v>
      </c>
      <c r="N21" s="6" t="s">
        <v>420</v>
      </c>
      <c r="O21" s="6" t="s">
        <v>421</v>
      </c>
      <c r="P21" s="6" t="s">
        <v>422</v>
      </c>
      <c r="Q21" s="6" t="s">
        <v>423</v>
      </c>
    </row>
    <row r="22" spans="1:17" ht="36">
      <c r="A22" s="7" t="s">
        <v>424</v>
      </c>
      <c r="B22" s="6" t="s">
        <v>246</v>
      </c>
      <c r="C22" s="6" t="s">
        <v>425</v>
      </c>
      <c r="D22" s="6" t="s">
        <v>426</v>
      </c>
      <c r="E22" s="6" t="s">
        <v>427</v>
      </c>
      <c r="F22" s="6" t="s">
        <v>428</v>
      </c>
      <c r="G22" s="6" t="s">
        <v>429</v>
      </c>
      <c r="H22" s="6" t="s">
        <v>430</v>
      </c>
      <c r="I22" s="6" t="s">
        <v>431</v>
      </c>
      <c r="J22" s="6" t="s">
        <v>432</v>
      </c>
      <c r="K22" s="6" t="s">
        <v>433</v>
      </c>
      <c r="L22" s="6" t="s">
        <v>434</v>
      </c>
      <c r="M22" s="6" t="s">
        <v>435</v>
      </c>
      <c r="N22" s="6" t="s">
        <v>436</v>
      </c>
      <c r="O22" s="6" t="s">
        <v>437</v>
      </c>
      <c r="P22" s="6" t="s">
        <v>438</v>
      </c>
      <c r="Q22" s="6" t="s">
        <v>439</v>
      </c>
    </row>
    <row r="23" spans="1:17" ht="48">
      <c r="A23" s="7" t="s">
        <v>440</v>
      </c>
      <c r="B23" s="6" t="s">
        <v>441</v>
      </c>
      <c r="C23" s="6" t="s">
        <v>442</v>
      </c>
      <c r="D23" s="6" t="s">
        <v>443</v>
      </c>
      <c r="E23" s="6" t="s">
        <v>444</v>
      </c>
      <c r="F23" s="6" t="s">
        <v>445</v>
      </c>
      <c r="G23" s="6" t="s">
        <v>446</v>
      </c>
      <c r="H23" s="6" t="s">
        <v>447</v>
      </c>
      <c r="I23" s="6" t="s">
        <v>448</v>
      </c>
      <c r="J23" s="6" t="s">
        <v>449</v>
      </c>
      <c r="K23" s="6" t="s">
        <v>450</v>
      </c>
      <c r="L23" s="6" t="s">
        <v>451</v>
      </c>
      <c r="M23" s="6" t="s">
        <v>452</v>
      </c>
      <c r="N23" s="6" t="s">
        <v>453</v>
      </c>
      <c r="O23" s="6" t="s">
        <v>454</v>
      </c>
      <c r="P23" s="15"/>
      <c r="Q23" s="6" t="s">
        <v>294</v>
      </c>
    </row>
    <row r="24" spans="1:17" ht="24">
      <c r="A24" s="7" t="s">
        <v>455</v>
      </c>
      <c r="B24" s="6" t="s">
        <v>456</v>
      </c>
      <c r="C24" s="6" t="s">
        <v>457</v>
      </c>
      <c r="D24" s="6" t="s">
        <v>458</v>
      </c>
      <c r="E24" s="6" t="s">
        <v>459</v>
      </c>
      <c r="F24" s="6" t="s">
        <v>460</v>
      </c>
      <c r="G24" s="6" t="s">
        <v>461</v>
      </c>
      <c r="H24" s="6" t="s">
        <v>462</v>
      </c>
      <c r="I24" s="6" t="s">
        <v>463</v>
      </c>
      <c r="J24" s="6" t="s">
        <v>464</v>
      </c>
      <c r="K24" s="6" t="s">
        <v>465</v>
      </c>
      <c r="L24" s="6" t="s">
        <v>466</v>
      </c>
      <c r="M24" s="6" t="s">
        <v>467</v>
      </c>
      <c r="N24" s="6" t="s">
        <v>468</v>
      </c>
      <c r="O24" s="6" t="s">
        <v>469</v>
      </c>
      <c r="P24" s="6" t="s">
        <v>470</v>
      </c>
      <c r="Q24" s="6" t="s">
        <v>471</v>
      </c>
    </row>
    <row r="25" spans="1:17" ht="48">
      <c r="A25" s="7" t="s">
        <v>472</v>
      </c>
      <c r="B25" s="6" t="s">
        <v>473</v>
      </c>
      <c r="C25" s="6" t="s">
        <v>474</v>
      </c>
      <c r="D25" s="6" t="s">
        <v>475</v>
      </c>
      <c r="E25" s="6" t="s">
        <v>476</v>
      </c>
      <c r="F25" s="6" t="s">
        <v>477</v>
      </c>
      <c r="G25" s="6" t="s">
        <v>478</v>
      </c>
      <c r="H25" s="6" t="s">
        <v>479</v>
      </c>
      <c r="I25" s="6" t="s">
        <v>480</v>
      </c>
      <c r="J25" s="6" t="s">
        <v>481</v>
      </c>
      <c r="K25" s="6" t="s">
        <v>482</v>
      </c>
      <c r="L25" s="6" t="s">
        <v>483</v>
      </c>
      <c r="M25" s="6" t="s">
        <v>484</v>
      </c>
      <c r="N25" s="6" t="s">
        <v>485</v>
      </c>
      <c r="O25" s="6" t="s">
        <v>486</v>
      </c>
      <c r="P25" s="6" t="s">
        <v>487</v>
      </c>
      <c r="Q25" s="6" t="s">
        <v>488</v>
      </c>
    </row>
    <row r="26" spans="1:17" ht="24">
      <c r="A26" s="7" t="s">
        <v>489</v>
      </c>
      <c r="B26" s="6" t="s">
        <v>490</v>
      </c>
      <c r="C26" s="6" t="s">
        <v>491</v>
      </c>
      <c r="D26" s="6" t="s">
        <v>492</v>
      </c>
      <c r="E26" s="6" t="s">
        <v>493</v>
      </c>
      <c r="F26" s="6" t="s">
        <v>494</v>
      </c>
      <c r="G26" s="6" t="s">
        <v>495</v>
      </c>
      <c r="H26" s="6" t="s">
        <v>496</v>
      </c>
      <c r="I26" s="6" t="s">
        <v>497</v>
      </c>
      <c r="J26" s="6" t="s">
        <v>498</v>
      </c>
      <c r="K26" s="6" t="s">
        <v>499</v>
      </c>
      <c r="L26" s="6" t="s">
        <v>500</v>
      </c>
      <c r="M26" s="6" t="s">
        <v>501</v>
      </c>
      <c r="N26" s="6" t="s">
        <v>502</v>
      </c>
      <c r="O26" s="6" t="s">
        <v>503</v>
      </c>
      <c r="P26" s="6" t="s">
        <v>504</v>
      </c>
      <c r="Q26" s="6" t="s">
        <v>505</v>
      </c>
    </row>
    <row r="27" spans="1:17" ht="36">
      <c r="A27" s="7" t="s">
        <v>506</v>
      </c>
      <c r="B27" s="6" t="s">
        <v>507</v>
      </c>
      <c r="C27" s="6" t="s">
        <v>508</v>
      </c>
      <c r="D27" s="6" t="s">
        <v>509</v>
      </c>
      <c r="E27" s="6" t="s">
        <v>510</v>
      </c>
      <c r="F27" s="6" t="s">
        <v>511</v>
      </c>
      <c r="G27" s="6" t="s">
        <v>512</v>
      </c>
      <c r="H27" s="6" t="s">
        <v>513</v>
      </c>
      <c r="I27" s="6" t="s">
        <v>514</v>
      </c>
      <c r="J27" s="6" t="s">
        <v>515</v>
      </c>
      <c r="K27" s="6" t="s">
        <v>516</v>
      </c>
      <c r="L27" s="6" t="s">
        <v>517</v>
      </c>
      <c r="M27" s="6" t="s">
        <v>518</v>
      </c>
      <c r="N27" s="6" t="s">
        <v>519</v>
      </c>
      <c r="O27" s="6" t="s">
        <v>520</v>
      </c>
      <c r="P27" s="6" t="s">
        <v>521</v>
      </c>
      <c r="Q27" s="6" t="s">
        <v>522</v>
      </c>
    </row>
    <row r="28" spans="1:17" ht="36">
      <c r="A28" s="7" t="s">
        <v>523</v>
      </c>
      <c r="B28" s="6" t="s">
        <v>524</v>
      </c>
      <c r="C28" s="6" t="s">
        <v>525</v>
      </c>
      <c r="D28" s="6" t="s">
        <v>526</v>
      </c>
      <c r="E28" s="6" t="s">
        <v>527</v>
      </c>
      <c r="F28" s="6" t="s">
        <v>528</v>
      </c>
      <c r="G28" s="6" t="s">
        <v>529</v>
      </c>
      <c r="H28" s="6" t="s">
        <v>530</v>
      </c>
      <c r="I28" s="6" t="s">
        <v>531</v>
      </c>
      <c r="J28" s="6" t="s">
        <v>532</v>
      </c>
      <c r="K28" s="6" t="s">
        <v>533</v>
      </c>
      <c r="L28" s="6" t="s">
        <v>534</v>
      </c>
      <c r="M28" s="6" t="s">
        <v>535</v>
      </c>
      <c r="N28" s="6" t="s">
        <v>536</v>
      </c>
      <c r="O28" s="6" t="s">
        <v>537</v>
      </c>
      <c r="P28" s="6" t="s">
        <v>538</v>
      </c>
      <c r="Q28" s="6" t="s">
        <v>539</v>
      </c>
    </row>
    <row r="29" spans="1:17" ht="24">
      <c r="A29" s="7" t="s">
        <v>540</v>
      </c>
      <c r="B29" s="6" t="s">
        <v>541</v>
      </c>
      <c r="C29" s="6" t="s">
        <v>542</v>
      </c>
      <c r="D29" s="6" t="s">
        <v>543</v>
      </c>
      <c r="E29" s="6" t="s">
        <v>544</v>
      </c>
      <c r="F29" s="6" t="s">
        <v>545</v>
      </c>
      <c r="G29" s="6" t="s">
        <v>546</v>
      </c>
      <c r="H29" s="6" t="s">
        <v>547</v>
      </c>
      <c r="I29" s="6" t="s">
        <v>548</v>
      </c>
      <c r="J29" s="6" t="s">
        <v>549</v>
      </c>
      <c r="K29" s="6" t="s">
        <v>550</v>
      </c>
      <c r="L29" s="6" t="s">
        <v>551</v>
      </c>
      <c r="M29" s="6" t="s">
        <v>552</v>
      </c>
      <c r="N29" s="6" t="s">
        <v>553</v>
      </c>
      <c r="O29" s="6" t="s">
        <v>554</v>
      </c>
      <c r="P29" s="6" t="s">
        <v>555</v>
      </c>
      <c r="Q29" s="6" t="s">
        <v>556</v>
      </c>
    </row>
    <row r="30" spans="1:17" ht="24">
      <c r="A30" s="7" t="s">
        <v>557</v>
      </c>
      <c r="B30" s="6" t="s">
        <v>524</v>
      </c>
      <c r="C30" s="6" t="s">
        <v>558</v>
      </c>
      <c r="D30" s="6" t="s">
        <v>559</v>
      </c>
      <c r="E30" s="6" t="s">
        <v>560</v>
      </c>
      <c r="F30" s="6" t="s">
        <v>561</v>
      </c>
      <c r="G30" s="6" t="s">
        <v>562</v>
      </c>
      <c r="H30" s="6" t="s">
        <v>563</v>
      </c>
      <c r="I30" s="6" t="s">
        <v>564</v>
      </c>
      <c r="J30" s="6" t="s">
        <v>565</v>
      </c>
      <c r="K30" s="6" t="s">
        <v>566</v>
      </c>
      <c r="L30" s="6" t="s">
        <v>567</v>
      </c>
      <c r="M30" s="6" t="s">
        <v>568</v>
      </c>
      <c r="N30" s="6" t="s">
        <v>569</v>
      </c>
      <c r="O30" s="6" t="s">
        <v>570</v>
      </c>
      <c r="P30" s="6" t="s">
        <v>571</v>
      </c>
      <c r="Q30" s="15"/>
    </row>
    <row r="31" spans="1:17" ht="24">
      <c r="A31" s="7" t="s">
        <v>572</v>
      </c>
      <c r="B31" s="6" t="s">
        <v>573</v>
      </c>
      <c r="C31" s="6" t="s">
        <v>574</v>
      </c>
      <c r="D31" s="6" t="s">
        <v>575</v>
      </c>
      <c r="E31" s="6" t="s">
        <v>576</v>
      </c>
      <c r="F31" s="6" t="s">
        <v>577</v>
      </c>
      <c r="G31" s="6" t="s">
        <v>578</v>
      </c>
      <c r="H31" s="6" t="s">
        <v>579</v>
      </c>
      <c r="I31" s="6" t="s">
        <v>580</v>
      </c>
      <c r="J31" s="6" t="s">
        <v>581</v>
      </c>
      <c r="K31" s="6" t="s">
        <v>582</v>
      </c>
      <c r="L31" s="6" t="s">
        <v>583</v>
      </c>
      <c r="M31" s="6" t="s">
        <v>584</v>
      </c>
      <c r="N31" s="6" t="s">
        <v>585</v>
      </c>
      <c r="O31" s="6" t="s">
        <v>586</v>
      </c>
      <c r="P31" s="6" t="s">
        <v>587</v>
      </c>
      <c r="Q31" s="6" t="s">
        <v>556</v>
      </c>
    </row>
    <row r="32" spans="1:17" ht="24">
      <c r="A32" s="7" t="s">
        <v>588</v>
      </c>
      <c r="B32" s="6" t="s">
        <v>589</v>
      </c>
      <c r="C32" s="6" t="s">
        <v>590</v>
      </c>
      <c r="D32" s="6" t="s">
        <v>591</v>
      </c>
      <c r="E32" s="6" t="s">
        <v>592</v>
      </c>
      <c r="F32" s="6" t="s">
        <v>593</v>
      </c>
      <c r="G32" s="6" t="s">
        <v>594</v>
      </c>
      <c r="H32" s="6" t="s">
        <v>595</v>
      </c>
      <c r="I32" s="6" t="s">
        <v>596</v>
      </c>
      <c r="J32" s="6" t="s">
        <v>597</v>
      </c>
      <c r="K32" s="6" t="s">
        <v>598</v>
      </c>
      <c r="L32" s="6" t="s">
        <v>599</v>
      </c>
      <c r="M32" s="6" t="s">
        <v>600</v>
      </c>
      <c r="N32" s="6" t="s">
        <v>601</v>
      </c>
      <c r="O32" s="6" t="s">
        <v>602</v>
      </c>
      <c r="P32" s="15"/>
      <c r="Q32" s="6" t="s">
        <v>603</v>
      </c>
    </row>
    <row r="33" spans="1:17" ht="48">
      <c r="A33" s="7" t="s">
        <v>604</v>
      </c>
      <c r="B33" s="6" t="s">
        <v>605</v>
      </c>
      <c r="C33" s="6" t="s">
        <v>606</v>
      </c>
      <c r="D33" s="6" t="s">
        <v>607</v>
      </c>
      <c r="E33" s="6" t="s">
        <v>608</v>
      </c>
      <c r="F33" s="6" t="s">
        <v>609</v>
      </c>
      <c r="G33" s="6" t="s">
        <v>610</v>
      </c>
      <c r="H33" s="6" t="s">
        <v>611</v>
      </c>
      <c r="I33" s="6" t="s">
        <v>612</v>
      </c>
      <c r="J33" s="6" t="s">
        <v>613</v>
      </c>
      <c r="K33" s="6" t="s">
        <v>614</v>
      </c>
      <c r="L33" s="6" t="s">
        <v>615</v>
      </c>
      <c r="M33" s="6" t="s">
        <v>616</v>
      </c>
      <c r="N33" s="6" t="s">
        <v>617</v>
      </c>
      <c r="O33" s="6" t="s">
        <v>618</v>
      </c>
      <c r="P33" s="6" t="s">
        <v>619</v>
      </c>
      <c r="Q33" s="6" t="s">
        <v>620</v>
      </c>
    </row>
    <row r="34" spans="1:17" ht="36">
      <c r="A34" s="7" t="s">
        <v>621</v>
      </c>
      <c r="B34" s="6" t="s">
        <v>622</v>
      </c>
      <c r="C34" s="6" t="s">
        <v>623</v>
      </c>
      <c r="D34" s="6" t="s">
        <v>624</v>
      </c>
      <c r="E34" s="6" t="s">
        <v>625</v>
      </c>
      <c r="F34" s="6" t="s">
        <v>626</v>
      </c>
      <c r="G34" s="6" t="s">
        <v>627</v>
      </c>
      <c r="H34" s="6" t="s">
        <v>628</v>
      </c>
      <c r="I34" s="6" t="s">
        <v>629</v>
      </c>
      <c r="J34" s="6" t="s">
        <v>630</v>
      </c>
      <c r="K34" s="6" t="s">
        <v>631</v>
      </c>
      <c r="L34" s="6" t="s">
        <v>632</v>
      </c>
      <c r="M34" s="6" t="s">
        <v>633</v>
      </c>
      <c r="N34" s="6" t="s">
        <v>634</v>
      </c>
      <c r="O34" s="6" t="s">
        <v>635</v>
      </c>
      <c r="P34" s="6" t="s">
        <v>636</v>
      </c>
      <c r="Q34" s="6" t="s">
        <v>637</v>
      </c>
    </row>
    <row r="35" spans="1:17" ht="24">
      <c r="A35" s="7" t="s">
        <v>638</v>
      </c>
      <c r="B35" s="6" t="s">
        <v>639</v>
      </c>
      <c r="C35" s="6" t="s">
        <v>640</v>
      </c>
      <c r="D35" s="6" t="s">
        <v>641</v>
      </c>
      <c r="E35" s="6" t="s">
        <v>642</v>
      </c>
      <c r="F35" s="6" t="s">
        <v>643</v>
      </c>
      <c r="G35" s="6" t="s">
        <v>644</v>
      </c>
      <c r="H35" s="6" t="s">
        <v>645</v>
      </c>
      <c r="I35" s="6" t="s">
        <v>646</v>
      </c>
      <c r="J35" s="6" t="s">
        <v>647</v>
      </c>
      <c r="K35" s="6" t="s">
        <v>648</v>
      </c>
      <c r="L35" s="6" t="s">
        <v>649</v>
      </c>
      <c r="M35" s="6" t="s">
        <v>650</v>
      </c>
      <c r="N35" s="6" t="s">
        <v>651</v>
      </c>
      <c r="O35" s="6" t="s">
        <v>652</v>
      </c>
      <c r="P35" s="6" t="s">
        <v>653</v>
      </c>
      <c r="Q35" s="6" t="s">
        <v>637</v>
      </c>
    </row>
    <row r="36" spans="1:17" ht="24">
      <c r="A36" s="7" t="s">
        <v>654</v>
      </c>
      <c r="B36" s="6" t="s">
        <v>655</v>
      </c>
      <c r="C36" s="6" t="s">
        <v>656</v>
      </c>
      <c r="D36" s="6" t="s">
        <v>657</v>
      </c>
      <c r="E36" s="6" t="s">
        <v>658</v>
      </c>
      <c r="F36" s="6" t="s">
        <v>659</v>
      </c>
      <c r="G36" s="6" t="s">
        <v>660</v>
      </c>
      <c r="H36" s="6" t="s">
        <v>661</v>
      </c>
      <c r="I36" s="6" t="s">
        <v>662</v>
      </c>
      <c r="J36" s="6" t="s">
        <v>663</v>
      </c>
      <c r="K36" s="6" t="s">
        <v>664</v>
      </c>
      <c r="L36" s="6" t="s">
        <v>665</v>
      </c>
      <c r="M36" s="6" t="s">
        <v>666</v>
      </c>
      <c r="N36" s="6" t="s">
        <v>667</v>
      </c>
      <c r="O36" s="6" t="s">
        <v>668</v>
      </c>
      <c r="P36" s="6" t="s">
        <v>669</v>
      </c>
      <c r="Q36" s="15"/>
    </row>
    <row r="37" spans="1:17" ht="48">
      <c r="A37" s="7" t="s">
        <v>670</v>
      </c>
      <c r="B37" s="6" t="s">
        <v>671</v>
      </c>
      <c r="C37" s="6" t="s">
        <v>672</v>
      </c>
      <c r="D37" s="6" t="s">
        <v>673</v>
      </c>
      <c r="E37" s="6" t="s">
        <v>674</v>
      </c>
      <c r="F37" s="6" t="s">
        <v>675</v>
      </c>
      <c r="G37" s="6" t="s">
        <v>676</v>
      </c>
      <c r="H37" s="6" t="s">
        <v>677</v>
      </c>
      <c r="I37" s="6" t="s">
        <v>678</v>
      </c>
      <c r="J37" s="6" t="s">
        <v>679</v>
      </c>
      <c r="K37" s="6" t="s">
        <v>680</v>
      </c>
      <c r="L37" s="6" t="s">
        <v>681</v>
      </c>
      <c r="M37" s="6" t="s">
        <v>682</v>
      </c>
      <c r="N37" s="6" t="s">
        <v>683</v>
      </c>
      <c r="O37" s="6" t="s">
        <v>684</v>
      </c>
      <c r="P37" s="6" t="s">
        <v>685</v>
      </c>
      <c r="Q37" s="6" t="s">
        <v>686</v>
      </c>
    </row>
    <row r="38" spans="1:17" ht="36">
      <c r="A38" s="7" t="s">
        <v>687</v>
      </c>
      <c r="B38" s="6" t="s">
        <v>688</v>
      </c>
      <c r="C38" s="6" t="s">
        <v>689</v>
      </c>
      <c r="D38" s="6" t="s">
        <v>690</v>
      </c>
      <c r="E38" s="6" t="s">
        <v>691</v>
      </c>
      <c r="F38" s="6" t="s">
        <v>692</v>
      </c>
      <c r="G38" s="6" t="s">
        <v>693</v>
      </c>
      <c r="H38" s="6" t="s">
        <v>694</v>
      </c>
      <c r="I38" s="6" t="s">
        <v>695</v>
      </c>
      <c r="J38" s="6" t="s">
        <v>696</v>
      </c>
      <c r="K38" s="6" t="s">
        <v>697</v>
      </c>
      <c r="L38" s="6" t="s">
        <v>698</v>
      </c>
      <c r="M38" s="6" t="s">
        <v>699</v>
      </c>
      <c r="N38" s="6" t="s">
        <v>700</v>
      </c>
      <c r="O38" s="6" t="s">
        <v>701</v>
      </c>
      <c r="P38" s="6" t="s">
        <v>702</v>
      </c>
      <c r="Q38" s="6" t="s">
        <v>703</v>
      </c>
    </row>
    <row r="39" spans="1:17" ht="36">
      <c r="A39" s="7" t="s">
        <v>704</v>
      </c>
      <c r="B39" s="6" t="s">
        <v>441</v>
      </c>
      <c r="C39" s="6" t="s">
        <v>705</v>
      </c>
      <c r="D39" s="6" t="s">
        <v>706</v>
      </c>
      <c r="E39" s="6" t="s">
        <v>707</v>
      </c>
      <c r="F39" s="6" t="s">
        <v>454</v>
      </c>
      <c r="G39" s="6" t="s">
        <v>708</v>
      </c>
      <c r="H39" s="6" t="s">
        <v>709</v>
      </c>
      <c r="I39" s="6" t="s">
        <v>710</v>
      </c>
      <c r="J39" s="6" t="s">
        <v>711</v>
      </c>
      <c r="K39" s="6" t="s">
        <v>712</v>
      </c>
      <c r="L39" s="6" t="s">
        <v>713</v>
      </c>
      <c r="M39" s="6" t="s">
        <v>714</v>
      </c>
      <c r="N39" s="6" t="s">
        <v>715</v>
      </c>
      <c r="O39" s="6" t="s">
        <v>716</v>
      </c>
      <c r="P39" s="6" t="s">
        <v>717</v>
      </c>
      <c r="Q39" s="15"/>
    </row>
    <row r="40" spans="1:17" ht="24">
      <c r="A40" s="7" t="s">
        <v>718</v>
      </c>
      <c r="B40" s="6" t="s">
        <v>719</v>
      </c>
      <c r="C40" s="6" t="s">
        <v>720</v>
      </c>
      <c r="D40" s="6" t="s">
        <v>721</v>
      </c>
      <c r="E40" s="6" t="s">
        <v>722</v>
      </c>
      <c r="F40" s="6" t="s">
        <v>723</v>
      </c>
      <c r="G40" s="6" t="s">
        <v>724</v>
      </c>
      <c r="H40" s="6" t="s">
        <v>725</v>
      </c>
      <c r="I40" s="6" t="s">
        <v>726</v>
      </c>
      <c r="J40" s="6" t="s">
        <v>727</v>
      </c>
      <c r="K40" s="6" t="s">
        <v>728</v>
      </c>
      <c r="L40" s="6" t="s">
        <v>729</v>
      </c>
      <c r="M40" s="6" t="s">
        <v>730</v>
      </c>
      <c r="N40" s="6" t="s">
        <v>731</v>
      </c>
      <c r="O40" s="6" t="s">
        <v>732</v>
      </c>
      <c r="P40" s="6" t="s">
        <v>733</v>
      </c>
      <c r="Q40" s="6" t="s">
        <v>734</v>
      </c>
    </row>
    <row r="41" spans="1:17" ht="36">
      <c r="A41" s="7" t="s">
        <v>735</v>
      </c>
      <c r="B41" s="6" t="s">
        <v>736</v>
      </c>
      <c r="C41" s="6" t="s">
        <v>737</v>
      </c>
      <c r="D41" s="6" t="s">
        <v>738</v>
      </c>
      <c r="E41" s="6" t="s">
        <v>739</v>
      </c>
      <c r="F41" s="6" t="s">
        <v>740</v>
      </c>
      <c r="G41" s="6" t="s">
        <v>741</v>
      </c>
      <c r="H41" s="6" t="s">
        <v>742</v>
      </c>
      <c r="I41" s="6" t="s">
        <v>743</v>
      </c>
      <c r="J41" s="6" t="s">
        <v>744</v>
      </c>
      <c r="K41" s="6" t="s">
        <v>745</v>
      </c>
      <c r="L41" s="6" t="s">
        <v>746</v>
      </c>
      <c r="M41" s="6" t="s">
        <v>747</v>
      </c>
      <c r="N41" s="6" t="s">
        <v>748</v>
      </c>
      <c r="O41" s="6" t="s">
        <v>749</v>
      </c>
      <c r="P41" s="6" t="s">
        <v>750</v>
      </c>
      <c r="Q41" s="6" t="s">
        <v>751</v>
      </c>
    </row>
    <row r="42" spans="1:17" ht="36">
      <c r="A42" s="7" t="s">
        <v>752</v>
      </c>
      <c r="B42" s="6" t="s">
        <v>753</v>
      </c>
      <c r="C42" s="6" t="s">
        <v>754</v>
      </c>
      <c r="D42" s="6" t="s">
        <v>755</v>
      </c>
      <c r="E42" s="6" t="s">
        <v>756</v>
      </c>
      <c r="F42" s="6" t="s">
        <v>757</v>
      </c>
      <c r="G42" s="6" t="s">
        <v>758</v>
      </c>
      <c r="H42" s="6" t="s">
        <v>759</v>
      </c>
      <c r="I42" s="6" t="s">
        <v>760</v>
      </c>
      <c r="J42" s="6" t="s">
        <v>761</v>
      </c>
      <c r="K42" s="6" t="s">
        <v>762</v>
      </c>
      <c r="L42" s="6" t="s">
        <v>763</v>
      </c>
      <c r="M42" s="6" t="s">
        <v>764</v>
      </c>
      <c r="N42" s="6" t="s">
        <v>765</v>
      </c>
      <c r="O42" s="6" t="s">
        <v>766</v>
      </c>
      <c r="P42" s="6" t="s">
        <v>767</v>
      </c>
      <c r="Q42" s="6" t="s">
        <v>768</v>
      </c>
    </row>
    <row r="43" spans="1:17" ht="36">
      <c r="A43" s="7" t="s">
        <v>769</v>
      </c>
      <c r="B43" s="6" t="s">
        <v>770</v>
      </c>
      <c r="C43" s="6" t="s">
        <v>771</v>
      </c>
      <c r="D43" s="6" t="s">
        <v>772</v>
      </c>
      <c r="E43" s="6" t="s">
        <v>773</v>
      </c>
      <c r="F43" s="6" t="s">
        <v>774</v>
      </c>
      <c r="G43" s="6" t="s">
        <v>775</v>
      </c>
      <c r="H43" s="6" t="s">
        <v>776</v>
      </c>
      <c r="I43" s="6" t="s">
        <v>777</v>
      </c>
      <c r="J43" s="6" t="s">
        <v>778</v>
      </c>
      <c r="K43" s="6" t="s">
        <v>779</v>
      </c>
      <c r="L43" s="6" t="s">
        <v>780</v>
      </c>
      <c r="M43" s="6" t="s">
        <v>781</v>
      </c>
      <c r="N43" s="6" t="s">
        <v>782</v>
      </c>
      <c r="O43" s="6" t="s">
        <v>783</v>
      </c>
      <c r="P43" s="6" t="s">
        <v>784</v>
      </c>
      <c r="Q43" s="6" t="s">
        <v>785</v>
      </c>
    </row>
    <row r="44" spans="1:17" ht="36">
      <c r="A44" s="7" t="s">
        <v>786</v>
      </c>
      <c r="B44" s="6" t="s">
        <v>787</v>
      </c>
      <c r="C44" s="6" t="s">
        <v>788</v>
      </c>
      <c r="D44" s="6" t="s">
        <v>789</v>
      </c>
      <c r="E44" s="6" t="s">
        <v>790</v>
      </c>
      <c r="F44" s="6" t="s">
        <v>791</v>
      </c>
      <c r="G44" s="6" t="s">
        <v>792</v>
      </c>
      <c r="H44" s="6" t="s">
        <v>793</v>
      </c>
      <c r="I44" s="6" t="s">
        <v>794</v>
      </c>
      <c r="J44" s="6" t="s">
        <v>795</v>
      </c>
      <c r="K44" s="6" t="s">
        <v>796</v>
      </c>
      <c r="L44" s="6" t="s">
        <v>797</v>
      </c>
      <c r="M44" s="6" t="s">
        <v>798</v>
      </c>
      <c r="N44" s="6" t="s">
        <v>799</v>
      </c>
      <c r="O44" s="6" t="s">
        <v>800</v>
      </c>
      <c r="P44" s="6" t="s">
        <v>801</v>
      </c>
      <c r="Q44" s="6" t="s">
        <v>802</v>
      </c>
    </row>
    <row r="45" spans="1:17" ht="48">
      <c r="A45" s="7" t="s">
        <v>803</v>
      </c>
      <c r="B45" s="6" t="s">
        <v>804</v>
      </c>
      <c r="C45" s="6" t="s">
        <v>805</v>
      </c>
      <c r="D45" s="6" t="s">
        <v>806</v>
      </c>
      <c r="E45" s="6" t="s">
        <v>807</v>
      </c>
      <c r="F45" s="6" t="s">
        <v>808</v>
      </c>
      <c r="G45" s="6" t="s">
        <v>809</v>
      </c>
      <c r="H45" s="6" t="s">
        <v>810</v>
      </c>
      <c r="I45" s="6" t="s">
        <v>811</v>
      </c>
      <c r="J45" s="6" t="s">
        <v>812</v>
      </c>
      <c r="K45" s="6" t="s">
        <v>813</v>
      </c>
      <c r="L45" s="6" t="s">
        <v>814</v>
      </c>
      <c r="M45" s="6" t="s">
        <v>815</v>
      </c>
      <c r="N45" s="6" t="s">
        <v>816</v>
      </c>
      <c r="O45" s="6" t="s">
        <v>817</v>
      </c>
      <c r="P45" s="6" t="s">
        <v>818</v>
      </c>
      <c r="Q45" s="6" t="s">
        <v>819</v>
      </c>
    </row>
    <row r="46" spans="1:17" ht="36">
      <c r="A46" s="7" t="s">
        <v>820</v>
      </c>
      <c r="B46" s="6" t="s">
        <v>787</v>
      </c>
      <c r="C46" s="6" t="s">
        <v>821</v>
      </c>
      <c r="D46" s="6" t="s">
        <v>822</v>
      </c>
      <c r="E46" s="6" t="s">
        <v>823</v>
      </c>
      <c r="F46" s="6" t="s">
        <v>824</v>
      </c>
      <c r="G46" s="6" t="s">
        <v>825</v>
      </c>
      <c r="H46" s="6" t="s">
        <v>826</v>
      </c>
      <c r="I46" s="6" t="s">
        <v>827</v>
      </c>
      <c r="J46" s="6" t="s">
        <v>828</v>
      </c>
      <c r="K46" s="6" t="s">
        <v>829</v>
      </c>
      <c r="L46" s="6" t="s">
        <v>830</v>
      </c>
      <c r="M46" s="6" t="s">
        <v>831</v>
      </c>
      <c r="N46" s="6" t="s">
        <v>832</v>
      </c>
      <c r="O46" s="6" t="s">
        <v>833</v>
      </c>
      <c r="P46" s="6" t="s">
        <v>834</v>
      </c>
      <c r="Q46" s="6" t="s">
        <v>835</v>
      </c>
    </row>
    <row r="47" spans="1:17">
      <c r="A47" s="8" t="s">
        <v>836</v>
      </c>
      <c r="B47" s="9" t="s">
        <v>837</v>
      </c>
      <c r="C47" s="9" t="s">
        <v>838</v>
      </c>
      <c r="D47" s="9" t="s">
        <v>839</v>
      </c>
      <c r="E47" s="9" t="s">
        <v>840</v>
      </c>
      <c r="F47" s="9" t="s">
        <v>841</v>
      </c>
      <c r="G47" s="9" t="s">
        <v>842</v>
      </c>
      <c r="H47" s="9" t="s">
        <v>843</v>
      </c>
      <c r="I47" s="9" t="s">
        <v>844</v>
      </c>
      <c r="J47" s="9" t="s">
        <v>845</v>
      </c>
      <c r="K47" s="9" t="s">
        <v>846</v>
      </c>
      <c r="L47" s="9" t="s">
        <v>847</v>
      </c>
      <c r="M47" s="9" t="s">
        <v>848</v>
      </c>
      <c r="N47" s="9" t="s">
        <v>849</v>
      </c>
      <c r="O47" s="9" t="s">
        <v>850</v>
      </c>
      <c r="P47" s="9" t="s">
        <v>851</v>
      </c>
      <c r="Q47" s="9" t="s">
        <v>852</v>
      </c>
    </row>
    <row r="48" spans="1:17" ht="15.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 spans="1:17" ht="15.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>
      <c r="A50" s="12" t="s">
        <v>853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3" t="s">
        <v>159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>
      <c r="A52" s="127" t="s">
        <v>160</v>
      </c>
      <c r="B52" s="131" t="s">
        <v>161</v>
      </c>
      <c r="C52" s="135" t="s">
        <v>162</v>
      </c>
      <c r="D52" s="125"/>
      <c r="E52" s="125"/>
      <c r="F52" s="125"/>
      <c r="G52" s="125"/>
      <c r="H52" s="125"/>
      <c r="I52" s="125"/>
      <c r="J52" s="126"/>
      <c r="K52" s="135" t="s">
        <v>163</v>
      </c>
      <c r="L52" s="125"/>
      <c r="M52" s="126"/>
      <c r="N52" s="135" t="s">
        <v>164</v>
      </c>
      <c r="O52" s="125"/>
      <c r="P52" s="125"/>
      <c r="Q52" s="125"/>
    </row>
    <row r="53" spans="1:17">
      <c r="A53" s="128"/>
      <c r="B53" s="132"/>
      <c r="C53" s="132"/>
      <c r="D53" s="131" t="s">
        <v>165</v>
      </c>
      <c r="E53" s="131" t="s">
        <v>166</v>
      </c>
      <c r="F53" s="131" t="s">
        <v>167</v>
      </c>
      <c r="G53" s="135" t="s">
        <v>168</v>
      </c>
      <c r="H53" s="125"/>
      <c r="I53" s="125"/>
      <c r="J53" s="126"/>
      <c r="K53" s="132"/>
      <c r="L53" s="135" t="s">
        <v>169</v>
      </c>
      <c r="M53" s="13"/>
      <c r="N53" s="132"/>
      <c r="O53" s="135" t="s">
        <v>170</v>
      </c>
      <c r="P53" s="125"/>
      <c r="Q53" s="125"/>
    </row>
    <row r="54" spans="1:17">
      <c r="A54" s="128"/>
      <c r="B54" s="132"/>
      <c r="C54" s="132"/>
      <c r="D54" s="132"/>
      <c r="E54" s="132"/>
      <c r="F54" s="132"/>
      <c r="G54" s="132"/>
      <c r="H54" s="131" t="s">
        <v>171</v>
      </c>
      <c r="I54" s="135" t="s">
        <v>854</v>
      </c>
      <c r="J54" s="13"/>
      <c r="K54" s="132"/>
      <c r="L54" s="132"/>
      <c r="M54" s="131" t="s">
        <v>173</v>
      </c>
      <c r="N54" s="132"/>
      <c r="O54" s="132"/>
      <c r="P54" s="131" t="s">
        <v>174</v>
      </c>
      <c r="Q54" s="135" t="s">
        <v>175</v>
      </c>
    </row>
    <row r="55" spans="1:17">
      <c r="A55" s="129"/>
      <c r="B55" s="133"/>
      <c r="C55" s="133"/>
      <c r="D55" s="133"/>
      <c r="E55" s="133"/>
      <c r="F55" s="133"/>
      <c r="G55" s="133"/>
      <c r="H55" s="133"/>
      <c r="I55" s="133"/>
      <c r="J55" s="14" t="s">
        <v>176</v>
      </c>
      <c r="K55" s="133"/>
      <c r="L55" s="133"/>
      <c r="M55" s="133"/>
      <c r="N55" s="133"/>
      <c r="O55" s="133"/>
      <c r="P55" s="133"/>
      <c r="Q55" s="137"/>
    </row>
    <row r="56" spans="1:17" ht="48">
      <c r="A56" s="7" t="s">
        <v>855</v>
      </c>
      <c r="B56" s="6" t="s">
        <v>856</v>
      </c>
      <c r="C56" s="6" t="s">
        <v>857</v>
      </c>
      <c r="D56" s="6" t="s">
        <v>858</v>
      </c>
      <c r="E56" s="6" t="s">
        <v>859</v>
      </c>
      <c r="F56" s="6" t="s">
        <v>860</v>
      </c>
      <c r="G56" s="6" t="s">
        <v>861</v>
      </c>
      <c r="H56" s="6" t="s">
        <v>862</v>
      </c>
      <c r="I56" s="6" t="s">
        <v>863</v>
      </c>
      <c r="J56" s="6" t="s">
        <v>864</v>
      </c>
      <c r="K56" s="6" t="s">
        <v>865</v>
      </c>
      <c r="L56" s="6" t="s">
        <v>866</v>
      </c>
      <c r="M56" s="6" t="s">
        <v>867</v>
      </c>
      <c r="N56" s="6" t="s">
        <v>868</v>
      </c>
      <c r="O56" s="6" t="s">
        <v>869</v>
      </c>
      <c r="P56" s="6" t="s">
        <v>870</v>
      </c>
      <c r="Q56" s="6" t="s">
        <v>871</v>
      </c>
    </row>
    <row r="57" spans="1:17" ht="36">
      <c r="A57" s="7" t="s">
        <v>872</v>
      </c>
      <c r="B57" s="6" t="s">
        <v>873</v>
      </c>
      <c r="C57" s="6" t="s">
        <v>874</v>
      </c>
      <c r="D57" s="6" t="s">
        <v>875</v>
      </c>
      <c r="E57" s="6" t="s">
        <v>876</v>
      </c>
      <c r="F57" s="6" t="s">
        <v>877</v>
      </c>
      <c r="G57" s="6" t="s">
        <v>878</v>
      </c>
      <c r="H57" s="6" t="s">
        <v>619</v>
      </c>
      <c r="I57" s="6" t="s">
        <v>879</v>
      </c>
      <c r="J57" s="6" t="s">
        <v>880</v>
      </c>
      <c r="K57" s="6" t="s">
        <v>881</v>
      </c>
      <c r="L57" s="6" t="s">
        <v>882</v>
      </c>
      <c r="M57" s="6" t="s">
        <v>883</v>
      </c>
      <c r="N57" s="6" t="s">
        <v>884</v>
      </c>
      <c r="O57" s="6" t="s">
        <v>885</v>
      </c>
      <c r="P57" s="6" t="s">
        <v>886</v>
      </c>
      <c r="Q57" s="15"/>
    </row>
    <row r="58" spans="1:17" ht="36">
      <c r="A58" s="7" t="s">
        <v>887</v>
      </c>
      <c r="B58" s="6" t="s">
        <v>888</v>
      </c>
      <c r="C58" s="6" t="s">
        <v>889</v>
      </c>
      <c r="D58" s="6" t="s">
        <v>890</v>
      </c>
      <c r="E58" s="6" t="s">
        <v>891</v>
      </c>
      <c r="F58" s="6" t="s">
        <v>892</v>
      </c>
      <c r="G58" s="6" t="s">
        <v>893</v>
      </c>
      <c r="H58" s="6" t="s">
        <v>894</v>
      </c>
      <c r="I58" s="6" t="s">
        <v>895</v>
      </c>
      <c r="J58" s="6" t="s">
        <v>896</v>
      </c>
      <c r="K58" s="6" t="s">
        <v>897</v>
      </c>
      <c r="L58" s="6" t="s">
        <v>898</v>
      </c>
      <c r="M58" s="6" t="s">
        <v>899</v>
      </c>
      <c r="N58" s="6" t="s">
        <v>900</v>
      </c>
      <c r="O58" s="6" t="s">
        <v>901</v>
      </c>
      <c r="P58" s="6" t="s">
        <v>902</v>
      </c>
      <c r="Q58" s="6" t="s">
        <v>903</v>
      </c>
    </row>
    <row r="59" spans="1:17" ht="48">
      <c r="A59" s="7" t="s">
        <v>904</v>
      </c>
      <c r="B59" s="6" t="s">
        <v>671</v>
      </c>
      <c r="C59" s="6" t="s">
        <v>905</v>
      </c>
      <c r="D59" s="6" t="s">
        <v>906</v>
      </c>
      <c r="E59" s="6" t="s">
        <v>907</v>
      </c>
      <c r="F59" s="6" t="s">
        <v>908</v>
      </c>
      <c r="G59" s="6" t="s">
        <v>909</v>
      </c>
      <c r="H59" s="6" t="s">
        <v>910</v>
      </c>
      <c r="I59" s="6" t="s">
        <v>911</v>
      </c>
      <c r="J59" s="6" t="s">
        <v>912</v>
      </c>
      <c r="K59" s="6" t="s">
        <v>913</v>
      </c>
      <c r="L59" s="6" t="s">
        <v>914</v>
      </c>
      <c r="M59" s="6" t="s">
        <v>915</v>
      </c>
      <c r="N59" s="6" t="s">
        <v>916</v>
      </c>
      <c r="O59" s="6" t="s">
        <v>917</v>
      </c>
      <c r="P59" s="6" t="s">
        <v>918</v>
      </c>
      <c r="Q59" s="6" t="s">
        <v>919</v>
      </c>
    </row>
    <row r="60" spans="1:17" ht="36">
      <c r="A60" s="7" t="s">
        <v>920</v>
      </c>
      <c r="B60" s="6" t="s">
        <v>921</v>
      </c>
      <c r="C60" s="6" t="s">
        <v>922</v>
      </c>
      <c r="D60" s="6" t="s">
        <v>923</v>
      </c>
      <c r="E60" s="6" t="s">
        <v>924</v>
      </c>
      <c r="F60" s="6" t="s">
        <v>925</v>
      </c>
      <c r="G60" s="6" t="s">
        <v>926</v>
      </c>
      <c r="H60" s="6" t="s">
        <v>927</v>
      </c>
      <c r="I60" s="6" t="s">
        <v>928</v>
      </c>
      <c r="J60" s="6" t="s">
        <v>929</v>
      </c>
      <c r="K60" s="6" t="s">
        <v>930</v>
      </c>
      <c r="L60" s="6" t="s">
        <v>931</v>
      </c>
      <c r="M60" s="6" t="s">
        <v>932</v>
      </c>
      <c r="N60" s="6" t="s">
        <v>933</v>
      </c>
      <c r="O60" s="6" t="s">
        <v>934</v>
      </c>
      <c r="P60" s="6" t="s">
        <v>935</v>
      </c>
      <c r="Q60" s="6" t="s">
        <v>936</v>
      </c>
    </row>
    <row r="61" spans="1:17" ht="60">
      <c r="A61" s="7" t="s">
        <v>937</v>
      </c>
      <c r="B61" s="6" t="s">
        <v>938</v>
      </c>
      <c r="C61" s="6" t="s">
        <v>939</v>
      </c>
      <c r="D61" s="6" t="s">
        <v>940</v>
      </c>
      <c r="E61" s="6" t="s">
        <v>941</v>
      </c>
      <c r="F61" s="6" t="s">
        <v>254</v>
      </c>
      <c r="G61" s="6" t="s">
        <v>942</v>
      </c>
      <c r="H61" s="6" t="s">
        <v>943</v>
      </c>
      <c r="I61" s="6" t="s">
        <v>944</v>
      </c>
      <c r="J61" s="6" t="s">
        <v>945</v>
      </c>
      <c r="K61" s="6" t="s">
        <v>946</v>
      </c>
      <c r="L61" s="6" t="s">
        <v>947</v>
      </c>
      <c r="M61" s="6" t="s">
        <v>948</v>
      </c>
      <c r="N61" s="6" t="s">
        <v>949</v>
      </c>
      <c r="O61" s="6" t="s">
        <v>950</v>
      </c>
      <c r="P61" s="6" t="s">
        <v>951</v>
      </c>
      <c r="Q61" s="15"/>
    </row>
    <row r="62" spans="1:17" ht="60">
      <c r="A62" s="7" t="s">
        <v>952</v>
      </c>
      <c r="B62" s="6" t="s">
        <v>953</v>
      </c>
      <c r="C62" s="6" t="s">
        <v>954</v>
      </c>
      <c r="D62" s="6" t="s">
        <v>955</v>
      </c>
      <c r="E62" s="6" t="s">
        <v>956</v>
      </c>
      <c r="F62" s="6" t="s">
        <v>957</v>
      </c>
      <c r="G62" s="6" t="s">
        <v>958</v>
      </c>
      <c r="H62" s="6" t="s">
        <v>959</v>
      </c>
      <c r="I62" s="6" t="s">
        <v>960</v>
      </c>
      <c r="J62" s="6" t="s">
        <v>961</v>
      </c>
      <c r="K62" s="6" t="s">
        <v>962</v>
      </c>
      <c r="L62" s="6" t="s">
        <v>963</v>
      </c>
      <c r="M62" s="6" t="s">
        <v>964</v>
      </c>
      <c r="N62" s="6" t="s">
        <v>965</v>
      </c>
      <c r="O62" s="6" t="s">
        <v>966</v>
      </c>
      <c r="P62" s="6" t="s">
        <v>967</v>
      </c>
      <c r="Q62" s="6" t="s">
        <v>968</v>
      </c>
    </row>
    <row r="63" spans="1:17" ht="48">
      <c r="A63" s="7" t="s">
        <v>969</v>
      </c>
      <c r="B63" s="6" t="s">
        <v>524</v>
      </c>
      <c r="C63" s="6" t="s">
        <v>970</v>
      </c>
      <c r="D63" s="6" t="s">
        <v>971</v>
      </c>
      <c r="E63" s="6" t="s">
        <v>972</v>
      </c>
      <c r="F63" s="6" t="s">
        <v>973</v>
      </c>
      <c r="G63" s="6" t="s">
        <v>974</v>
      </c>
      <c r="H63" s="6" t="s">
        <v>975</v>
      </c>
      <c r="I63" s="6" t="s">
        <v>565</v>
      </c>
      <c r="J63" s="6" t="s">
        <v>976</v>
      </c>
      <c r="K63" s="6" t="s">
        <v>977</v>
      </c>
      <c r="L63" s="6" t="s">
        <v>978</v>
      </c>
      <c r="M63" s="6" t="s">
        <v>979</v>
      </c>
      <c r="N63" s="6" t="s">
        <v>271</v>
      </c>
      <c r="O63" s="6" t="s">
        <v>980</v>
      </c>
      <c r="P63" s="6" t="s">
        <v>981</v>
      </c>
      <c r="Q63" s="6" t="s">
        <v>982</v>
      </c>
    </row>
    <row r="64" spans="1:17" ht="24">
      <c r="A64" s="7" t="s">
        <v>983</v>
      </c>
      <c r="B64" s="6" t="s">
        <v>984</v>
      </c>
      <c r="C64" s="6" t="s">
        <v>985</v>
      </c>
      <c r="D64" s="6" t="s">
        <v>986</v>
      </c>
      <c r="E64" s="6" t="s">
        <v>987</v>
      </c>
      <c r="F64" s="6" t="s">
        <v>988</v>
      </c>
      <c r="G64" s="6" t="s">
        <v>989</v>
      </c>
      <c r="H64" s="6" t="s">
        <v>990</v>
      </c>
      <c r="I64" s="6" t="s">
        <v>991</v>
      </c>
      <c r="J64" s="6" t="s">
        <v>992</v>
      </c>
      <c r="K64" s="6" t="s">
        <v>993</v>
      </c>
      <c r="L64" s="6" t="s">
        <v>994</v>
      </c>
      <c r="M64" s="6" t="s">
        <v>995</v>
      </c>
      <c r="N64" s="6" t="s">
        <v>996</v>
      </c>
      <c r="O64" s="6" t="s">
        <v>997</v>
      </c>
      <c r="P64" s="6" t="s">
        <v>998</v>
      </c>
      <c r="Q64" s="6" t="s">
        <v>999</v>
      </c>
    </row>
    <row r="65" spans="1:17" ht="24">
      <c r="A65" s="5" t="s">
        <v>1000</v>
      </c>
      <c r="B65" s="6" t="s">
        <v>1001</v>
      </c>
      <c r="C65" s="6" t="s">
        <v>1002</v>
      </c>
      <c r="D65" s="6" t="s">
        <v>1003</v>
      </c>
      <c r="E65" s="6" t="s">
        <v>1004</v>
      </c>
      <c r="F65" s="6" t="s">
        <v>1005</v>
      </c>
      <c r="G65" s="6" t="s">
        <v>1006</v>
      </c>
      <c r="H65" s="6" t="s">
        <v>1007</v>
      </c>
      <c r="I65" s="6" t="s">
        <v>1008</v>
      </c>
      <c r="J65" s="6" t="s">
        <v>1009</v>
      </c>
      <c r="K65" s="6" t="s">
        <v>1010</v>
      </c>
      <c r="L65" s="6" t="s">
        <v>1011</v>
      </c>
      <c r="M65" s="6" t="s">
        <v>1012</v>
      </c>
      <c r="N65" s="6" t="s">
        <v>1013</v>
      </c>
      <c r="O65" s="6" t="s">
        <v>1014</v>
      </c>
      <c r="P65" s="6" t="s">
        <v>1015</v>
      </c>
      <c r="Q65" s="6" t="s">
        <v>1016</v>
      </c>
    </row>
    <row r="66" spans="1:17" ht="24">
      <c r="A66" s="7" t="s">
        <v>1017</v>
      </c>
      <c r="B66" s="6" t="s">
        <v>1018</v>
      </c>
      <c r="C66" s="6" t="s">
        <v>1019</v>
      </c>
      <c r="D66" s="6" t="s">
        <v>1020</v>
      </c>
      <c r="E66" s="6" t="s">
        <v>1021</v>
      </c>
      <c r="F66" s="6" t="s">
        <v>1022</v>
      </c>
      <c r="G66" s="6" t="s">
        <v>1023</v>
      </c>
      <c r="H66" s="6" t="s">
        <v>1024</v>
      </c>
      <c r="I66" s="6" t="s">
        <v>1025</v>
      </c>
      <c r="J66" s="6" t="s">
        <v>1026</v>
      </c>
      <c r="K66" s="6" t="s">
        <v>1027</v>
      </c>
      <c r="L66" s="6" t="s">
        <v>1028</v>
      </c>
      <c r="M66" s="6" t="s">
        <v>1029</v>
      </c>
      <c r="N66" s="6" t="s">
        <v>1030</v>
      </c>
      <c r="O66" s="6" t="s">
        <v>1031</v>
      </c>
      <c r="P66" s="6" t="s">
        <v>1032</v>
      </c>
      <c r="Q66" s="6" t="s">
        <v>1033</v>
      </c>
    </row>
    <row r="67" spans="1:17" ht="24">
      <c r="A67" s="7" t="s">
        <v>1034</v>
      </c>
      <c r="B67" s="6" t="s">
        <v>1035</v>
      </c>
      <c r="C67" s="6" t="s">
        <v>1036</v>
      </c>
      <c r="D67" s="6" t="s">
        <v>1037</v>
      </c>
      <c r="E67" s="6" t="s">
        <v>1038</v>
      </c>
      <c r="F67" s="6" t="s">
        <v>1039</v>
      </c>
      <c r="G67" s="6" t="s">
        <v>1040</v>
      </c>
      <c r="H67" s="6" t="s">
        <v>1041</v>
      </c>
      <c r="I67" s="6" t="s">
        <v>1042</v>
      </c>
      <c r="J67" s="6" t="s">
        <v>1043</v>
      </c>
      <c r="K67" s="6" t="s">
        <v>1044</v>
      </c>
      <c r="L67" s="6" t="s">
        <v>1045</v>
      </c>
      <c r="M67" s="6" t="s">
        <v>1046</v>
      </c>
      <c r="N67" s="6" t="s">
        <v>1047</v>
      </c>
      <c r="O67" s="6" t="s">
        <v>1048</v>
      </c>
      <c r="P67" s="6" t="s">
        <v>1049</v>
      </c>
      <c r="Q67" s="6" t="s">
        <v>1050</v>
      </c>
    </row>
    <row r="68" spans="1:17" ht="24">
      <c r="A68" s="7" t="s">
        <v>1051</v>
      </c>
      <c r="B68" s="6" t="s">
        <v>1052</v>
      </c>
      <c r="C68" s="6" t="s">
        <v>1053</v>
      </c>
      <c r="D68" s="6" t="s">
        <v>1054</v>
      </c>
      <c r="E68" s="6" t="s">
        <v>1055</v>
      </c>
      <c r="F68" s="6" t="s">
        <v>1056</v>
      </c>
      <c r="G68" s="6" t="s">
        <v>1057</v>
      </c>
      <c r="H68" s="6" t="s">
        <v>1058</v>
      </c>
      <c r="I68" s="6" t="s">
        <v>1059</v>
      </c>
      <c r="J68" s="6" t="s">
        <v>1060</v>
      </c>
      <c r="K68" s="6" t="s">
        <v>1061</v>
      </c>
      <c r="L68" s="6" t="s">
        <v>1062</v>
      </c>
      <c r="M68" s="6" t="s">
        <v>1063</v>
      </c>
      <c r="N68" s="6" t="s">
        <v>1064</v>
      </c>
      <c r="O68" s="6" t="s">
        <v>1065</v>
      </c>
      <c r="P68" s="6" t="s">
        <v>1066</v>
      </c>
      <c r="Q68" s="6" t="s">
        <v>1067</v>
      </c>
    </row>
    <row r="69" spans="1:17" ht="24">
      <c r="A69" s="7" t="s">
        <v>1068</v>
      </c>
      <c r="B69" s="6" t="s">
        <v>1069</v>
      </c>
      <c r="C69" s="6" t="s">
        <v>1070</v>
      </c>
      <c r="D69" s="6" t="s">
        <v>1071</v>
      </c>
      <c r="E69" s="6" t="s">
        <v>1072</v>
      </c>
      <c r="F69" s="6" t="s">
        <v>1073</v>
      </c>
      <c r="G69" s="6" t="s">
        <v>1074</v>
      </c>
      <c r="H69" s="6" t="s">
        <v>1075</v>
      </c>
      <c r="I69" s="6" t="s">
        <v>1076</v>
      </c>
      <c r="J69" s="6" t="s">
        <v>1077</v>
      </c>
      <c r="K69" s="6" t="s">
        <v>1078</v>
      </c>
      <c r="L69" s="6" t="s">
        <v>1079</v>
      </c>
      <c r="M69" s="6" t="s">
        <v>1080</v>
      </c>
      <c r="N69" s="6" t="s">
        <v>1081</v>
      </c>
      <c r="O69" s="6" t="s">
        <v>1082</v>
      </c>
      <c r="P69" s="6" t="s">
        <v>1083</v>
      </c>
      <c r="Q69" s="6" t="s">
        <v>1084</v>
      </c>
    </row>
    <row r="70" spans="1:17" ht="24">
      <c r="A70" s="7" t="s">
        <v>1085</v>
      </c>
      <c r="B70" s="6" t="s">
        <v>1086</v>
      </c>
      <c r="C70" s="6" t="s">
        <v>1087</v>
      </c>
      <c r="D70" s="6" t="s">
        <v>1088</v>
      </c>
      <c r="E70" s="6" t="s">
        <v>1089</v>
      </c>
      <c r="F70" s="6" t="s">
        <v>1090</v>
      </c>
      <c r="G70" s="6" t="s">
        <v>1091</v>
      </c>
      <c r="H70" s="6" t="s">
        <v>261</v>
      </c>
      <c r="I70" s="6" t="s">
        <v>1092</v>
      </c>
      <c r="J70" s="6" t="s">
        <v>1093</v>
      </c>
      <c r="K70" s="6" t="s">
        <v>1094</v>
      </c>
      <c r="L70" s="6" t="s">
        <v>1095</v>
      </c>
      <c r="M70" s="6" t="s">
        <v>564</v>
      </c>
      <c r="N70" s="6" t="s">
        <v>1096</v>
      </c>
      <c r="O70" s="6" t="s">
        <v>1097</v>
      </c>
      <c r="P70" s="15"/>
      <c r="Q70" s="6" t="s">
        <v>1098</v>
      </c>
    </row>
    <row r="71" spans="1:17" ht="24">
      <c r="A71" s="7" t="s">
        <v>1099</v>
      </c>
      <c r="B71" s="6" t="s">
        <v>1100</v>
      </c>
      <c r="C71" s="6" t="s">
        <v>1101</v>
      </c>
      <c r="D71" s="6" t="s">
        <v>1102</v>
      </c>
      <c r="E71" s="6" t="s">
        <v>1103</v>
      </c>
      <c r="F71" s="6" t="s">
        <v>1104</v>
      </c>
      <c r="G71" s="6" t="s">
        <v>1105</v>
      </c>
      <c r="H71" s="6" t="s">
        <v>1106</v>
      </c>
      <c r="I71" s="6" t="s">
        <v>659</v>
      </c>
      <c r="J71" s="6" t="s">
        <v>1107</v>
      </c>
      <c r="K71" s="6" t="s">
        <v>1108</v>
      </c>
      <c r="L71" s="6" t="s">
        <v>1109</v>
      </c>
      <c r="M71" s="6" t="s">
        <v>1110</v>
      </c>
      <c r="N71" s="6" t="s">
        <v>1111</v>
      </c>
      <c r="O71" s="6" t="s">
        <v>1112</v>
      </c>
      <c r="P71" s="6" t="s">
        <v>620</v>
      </c>
      <c r="Q71" s="6" t="s">
        <v>801</v>
      </c>
    </row>
    <row r="72" spans="1:17" ht="36">
      <c r="A72" s="7" t="s">
        <v>1113</v>
      </c>
      <c r="B72" s="6" t="s">
        <v>1114</v>
      </c>
      <c r="C72" s="6" t="s">
        <v>1115</v>
      </c>
      <c r="D72" s="6" t="s">
        <v>1116</v>
      </c>
      <c r="E72" s="6" t="s">
        <v>1117</v>
      </c>
      <c r="F72" s="6" t="s">
        <v>1118</v>
      </c>
      <c r="G72" s="6" t="s">
        <v>1119</v>
      </c>
      <c r="H72" s="6" t="s">
        <v>1120</v>
      </c>
      <c r="I72" s="6" t="s">
        <v>1121</v>
      </c>
      <c r="J72" s="6" t="s">
        <v>1122</v>
      </c>
      <c r="K72" s="6" t="s">
        <v>1123</v>
      </c>
      <c r="L72" s="6" t="s">
        <v>1124</v>
      </c>
      <c r="M72" s="6" t="s">
        <v>1125</v>
      </c>
      <c r="N72" s="6" t="s">
        <v>1126</v>
      </c>
      <c r="O72" s="6" t="s">
        <v>1127</v>
      </c>
      <c r="P72" s="6" t="s">
        <v>1128</v>
      </c>
      <c r="Q72" s="6" t="s">
        <v>1129</v>
      </c>
    </row>
    <row r="73" spans="1:17" ht="24">
      <c r="A73" s="7" t="s">
        <v>1130</v>
      </c>
      <c r="B73" s="6" t="s">
        <v>1131</v>
      </c>
      <c r="C73" s="6" t="s">
        <v>1132</v>
      </c>
      <c r="D73" s="6" t="s">
        <v>1133</v>
      </c>
      <c r="E73" s="6" t="s">
        <v>1134</v>
      </c>
      <c r="F73" s="6" t="s">
        <v>1135</v>
      </c>
      <c r="G73" s="6" t="s">
        <v>1136</v>
      </c>
      <c r="H73" s="6" t="s">
        <v>1137</v>
      </c>
      <c r="I73" s="6" t="s">
        <v>1138</v>
      </c>
      <c r="J73" s="6" t="s">
        <v>1139</v>
      </c>
      <c r="K73" s="6" t="s">
        <v>1140</v>
      </c>
      <c r="L73" s="6" t="s">
        <v>1141</v>
      </c>
      <c r="M73" s="6" t="s">
        <v>1142</v>
      </c>
      <c r="N73" s="6" t="s">
        <v>1143</v>
      </c>
      <c r="O73" s="6" t="s">
        <v>1144</v>
      </c>
      <c r="P73" s="6" t="s">
        <v>1145</v>
      </c>
      <c r="Q73" s="6" t="s">
        <v>1146</v>
      </c>
    </row>
    <row r="74" spans="1:17" ht="36">
      <c r="A74" s="7" t="s">
        <v>1147</v>
      </c>
      <c r="B74" s="6" t="s">
        <v>1148</v>
      </c>
      <c r="C74" s="6" t="s">
        <v>1149</v>
      </c>
      <c r="D74" s="6" t="s">
        <v>1150</v>
      </c>
      <c r="E74" s="6" t="s">
        <v>1151</v>
      </c>
      <c r="F74" s="6" t="s">
        <v>1152</v>
      </c>
      <c r="G74" s="6" t="s">
        <v>1153</v>
      </c>
      <c r="H74" s="6" t="s">
        <v>1154</v>
      </c>
      <c r="I74" s="6" t="s">
        <v>1155</v>
      </c>
      <c r="J74" s="6" t="s">
        <v>1156</v>
      </c>
      <c r="K74" s="6" t="s">
        <v>1157</v>
      </c>
      <c r="L74" s="6" t="s">
        <v>1158</v>
      </c>
      <c r="M74" s="6" t="s">
        <v>1159</v>
      </c>
      <c r="N74" s="6" t="s">
        <v>1160</v>
      </c>
      <c r="O74" s="6" t="s">
        <v>1161</v>
      </c>
      <c r="P74" s="6" t="s">
        <v>1162</v>
      </c>
      <c r="Q74" s="6" t="s">
        <v>1163</v>
      </c>
    </row>
    <row r="75" spans="1:17" ht="36">
      <c r="A75" s="7" t="s">
        <v>1164</v>
      </c>
      <c r="B75" s="6" t="s">
        <v>1165</v>
      </c>
      <c r="C75" s="6" t="s">
        <v>1166</v>
      </c>
      <c r="D75" s="6" t="s">
        <v>1167</v>
      </c>
      <c r="E75" s="6" t="s">
        <v>1168</v>
      </c>
      <c r="F75" s="6" t="s">
        <v>1169</v>
      </c>
      <c r="G75" s="6" t="s">
        <v>1170</v>
      </c>
      <c r="H75" s="6" t="s">
        <v>1171</v>
      </c>
      <c r="I75" s="6" t="s">
        <v>1172</v>
      </c>
      <c r="J75" s="6" t="s">
        <v>1173</v>
      </c>
      <c r="K75" s="6" t="s">
        <v>1174</v>
      </c>
      <c r="L75" s="6" t="s">
        <v>1175</v>
      </c>
      <c r="M75" s="6" t="s">
        <v>1176</v>
      </c>
      <c r="N75" s="6" t="s">
        <v>1177</v>
      </c>
      <c r="O75" s="6" t="s">
        <v>1178</v>
      </c>
      <c r="P75" s="6" t="s">
        <v>1179</v>
      </c>
      <c r="Q75" s="6" t="s">
        <v>1180</v>
      </c>
    </row>
    <row r="76" spans="1:17" ht="36">
      <c r="A76" s="7" t="s">
        <v>1181</v>
      </c>
      <c r="B76" s="6" t="s">
        <v>1182</v>
      </c>
      <c r="C76" s="6" t="s">
        <v>1183</v>
      </c>
      <c r="D76" s="6" t="s">
        <v>1184</v>
      </c>
      <c r="E76" s="6" t="s">
        <v>1185</v>
      </c>
      <c r="F76" s="6" t="s">
        <v>1186</v>
      </c>
      <c r="G76" s="6" t="s">
        <v>1187</v>
      </c>
      <c r="H76" s="6" t="s">
        <v>1188</v>
      </c>
      <c r="I76" s="6" t="s">
        <v>1189</v>
      </c>
      <c r="J76" s="6" t="s">
        <v>1190</v>
      </c>
      <c r="K76" s="6" t="s">
        <v>1191</v>
      </c>
      <c r="L76" s="6" t="s">
        <v>1192</v>
      </c>
      <c r="M76" s="6" t="s">
        <v>1193</v>
      </c>
      <c r="N76" s="6" t="s">
        <v>1194</v>
      </c>
      <c r="O76" s="6" t="s">
        <v>1195</v>
      </c>
      <c r="P76" s="6" t="s">
        <v>1196</v>
      </c>
      <c r="Q76" s="6" t="s">
        <v>1197</v>
      </c>
    </row>
    <row r="77" spans="1:17" ht="36">
      <c r="A77" s="7" t="s">
        <v>1198</v>
      </c>
      <c r="B77" s="6" t="s">
        <v>1199</v>
      </c>
      <c r="C77" s="6" t="s">
        <v>1200</v>
      </c>
      <c r="D77" s="6" t="s">
        <v>1201</v>
      </c>
      <c r="E77" s="6" t="s">
        <v>1202</v>
      </c>
      <c r="F77" s="6" t="s">
        <v>1203</v>
      </c>
      <c r="G77" s="6" t="s">
        <v>1204</v>
      </c>
      <c r="H77" s="6" t="s">
        <v>1205</v>
      </c>
      <c r="I77" s="6" t="s">
        <v>1206</v>
      </c>
      <c r="J77" s="6" t="s">
        <v>1207</v>
      </c>
      <c r="K77" s="6" t="s">
        <v>1208</v>
      </c>
      <c r="L77" s="6" t="s">
        <v>1209</v>
      </c>
      <c r="M77" s="6" t="s">
        <v>1210</v>
      </c>
      <c r="N77" s="6" t="s">
        <v>1211</v>
      </c>
      <c r="O77" s="6" t="s">
        <v>1212</v>
      </c>
      <c r="P77" s="6" t="s">
        <v>1213</v>
      </c>
      <c r="Q77" s="6" t="s">
        <v>1214</v>
      </c>
    </row>
    <row r="78" spans="1:17" ht="36">
      <c r="A78" s="7" t="s">
        <v>1215</v>
      </c>
      <c r="B78" s="6" t="s">
        <v>1100</v>
      </c>
      <c r="C78" s="6" t="s">
        <v>1216</v>
      </c>
      <c r="D78" s="6" t="s">
        <v>1217</v>
      </c>
      <c r="E78" s="6" t="s">
        <v>1218</v>
      </c>
      <c r="F78" s="6" t="s">
        <v>1219</v>
      </c>
      <c r="G78" s="6" t="s">
        <v>1220</v>
      </c>
      <c r="H78" s="6" t="s">
        <v>1221</v>
      </c>
      <c r="I78" s="6" t="s">
        <v>1222</v>
      </c>
      <c r="J78" s="6" t="s">
        <v>706</v>
      </c>
      <c r="K78" s="6" t="s">
        <v>1223</v>
      </c>
      <c r="L78" s="6" t="s">
        <v>1224</v>
      </c>
      <c r="M78" s="6" t="s">
        <v>997</v>
      </c>
      <c r="N78" s="6" t="s">
        <v>1225</v>
      </c>
      <c r="O78" s="6" t="s">
        <v>1226</v>
      </c>
      <c r="P78" s="6" t="s">
        <v>903</v>
      </c>
      <c r="Q78" s="6" t="s">
        <v>1129</v>
      </c>
    </row>
    <row r="79" spans="1:17">
      <c r="A79" s="7" t="s">
        <v>1227</v>
      </c>
      <c r="B79" s="6" t="s">
        <v>1228</v>
      </c>
      <c r="C79" s="6" t="s">
        <v>1229</v>
      </c>
      <c r="D79" s="6" t="s">
        <v>1230</v>
      </c>
      <c r="E79" s="6" t="s">
        <v>1231</v>
      </c>
      <c r="F79" s="6" t="s">
        <v>1232</v>
      </c>
      <c r="G79" s="6" t="s">
        <v>1233</v>
      </c>
      <c r="H79" s="6" t="s">
        <v>1234</v>
      </c>
      <c r="I79" s="6" t="s">
        <v>1235</v>
      </c>
      <c r="J79" s="6" t="s">
        <v>1236</v>
      </c>
      <c r="K79" s="6" t="s">
        <v>1237</v>
      </c>
      <c r="L79" s="6" t="s">
        <v>1238</v>
      </c>
      <c r="M79" s="6" t="s">
        <v>1239</v>
      </c>
      <c r="N79" s="6" t="s">
        <v>1240</v>
      </c>
      <c r="O79" s="6" t="s">
        <v>1241</v>
      </c>
      <c r="P79" s="6" t="s">
        <v>1242</v>
      </c>
      <c r="Q79" s="6" t="s">
        <v>1243</v>
      </c>
    </row>
    <row r="80" spans="1:17" ht="36">
      <c r="A80" s="7" t="s">
        <v>1244</v>
      </c>
      <c r="B80" s="6" t="s">
        <v>1245</v>
      </c>
      <c r="C80" s="6" t="s">
        <v>1246</v>
      </c>
      <c r="D80" s="6" t="s">
        <v>1247</v>
      </c>
      <c r="E80" s="6" t="s">
        <v>1248</v>
      </c>
      <c r="F80" s="6" t="s">
        <v>1249</v>
      </c>
      <c r="G80" s="6" t="s">
        <v>1250</v>
      </c>
      <c r="H80" s="6" t="s">
        <v>1251</v>
      </c>
      <c r="I80" s="6" t="s">
        <v>1252</v>
      </c>
      <c r="J80" s="6" t="s">
        <v>1253</v>
      </c>
      <c r="K80" s="6" t="s">
        <v>1254</v>
      </c>
      <c r="L80" s="6" t="s">
        <v>1255</v>
      </c>
      <c r="M80" s="6" t="s">
        <v>1256</v>
      </c>
      <c r="N80" s="6" t="s">
        <v>1257</v>
      </c>
      <c r="O80" s="6" t="s">
        <v>1258</v>
      </c>
      <c r="P80" s="6" t="s">
        <v>1259</v>
      </c>
      <c r="Q80" s="6" t="s">
        <v>1260</v>
      </c>
    </row>
    <row r="81" spans="1:17" ht="24">
      <c r="A81" s="7" t="s">
        <v>1261</v>
      </c>
      <c r="B81" s="6" t="s">
        <v>1262</v>
      </c>
      <c r="C81" s="6" t="s">
        <v>1263</v>
      </c>
      <c r="D81" s="6" t="s">
        <v>1264</v>
      </c>
      <c r="E81" s="6" t="s">
        <v>1265</v>
      </c>
      <c r="F81" s="6" t="s">
        <v>1266</v>
      </c>
      <c r="G81" s="6" t="s">
        <v>1267</v>
      </c>
      <c r="H81" s="6" t="s">
        <v>1268</v>
      </c>
      <c r="I81" s="6" t="s">
        <v>1269</v>
      </c>
      <c r="J81" s="6" t="s">
        <v>1270</v>
      </c>
      <c r="K81" s="6" t="s">
        <v>1271</v>
      </c>
      <c r="L81" s="6" t="s">
        <v>1272</v>
      </c>
      <c r="M81" s="6" t="s">
        <v>1273</v>
      </c>
      <c r="N81" s="6" t="s">
        <v>1274</v>
      </c>
      <c r="O81" s="6" t="s">
        <v>1275</v>
      </c>
      <c r="P81" s="6" t="s">
        <v>1276</v>
      </c>
      <c r="Q81" s="6" t="s">
        <v>1277</v>
      </c>
    </row>
    <row r="82" spans="1:17" ht="24">
      <c r="A82" s="7" t="s">
        <v>1278</v>
      </c>
      <c r="B82" s="6" t="s">
        <v>770</v>
      </c>
      <c r="C82" s="6" t="s">
        <v>1279</v>
      </c>
      <c r="D82" s="6" t="s">
        <v>1280</v>
      </c>
      <c r="E82" s="6" t="s">
        <v>1281</v>
      </c>
      <c r="F82" s="6" t="s">
        <v>1282</v>
      </c>
      <c r="G82" s="6" t="s">
        <v>1283</v>
      </c>
      <c r="H82" s="6" t="s">
        <v>1284</v>
      </c>
      <c r="I82" s="6" t="s">
        <v>1285</v>
      </c>
      <c r="J82" s="6" t="s">
        <v>1286</v>
      </c>
      <c r="K82" s="6" t="s">
        <v>1287</v>
      </c>
      <c r="L82" s="6" t="s">
        <v>1288</v>
      </c>
      <c r="M82" s="6" t="s">
        <v>1289</v>
      </c>
      <c r="N82" s="6" t="s">
        <v>1290</v>
      </c>
      <c r="O82" s="6" t="s">
        <v>1291</v>
      </c>
      <c r="P82" s="6" t="s">
        <v>1292</v>
      </c>
      <c r="Q82" s="6" t="s">
        <v>1293</v>
      </c>
    </row>
    <row r="83" spans="1:17" ht="48">
      <c r="A83" s="7" t="s">
        <v>1294</v>
      </c>
      <c r="B83" s="6" t="s">
        <v>1295</v>
      </c>
      <c r="C83" s="6" t="s">
        <v>1296</v>
      </c>
      <c r="D83" s="6" t="s">
        <v>1297</v>
      </c>
      <c r="E83" s="6" t="s">
        <v>1298</v>
      </c>
      <c r="F83" s="6" t="s">
        <v>1299</v>
      </c>
      <c r="G83" s="6" t="s">
        <v>1300</v>
      </c>
      <c r="H83" s="6" t="s">
        <v>1301</v>
      </c>
      <c r="I83" s="6" t="s">
        <v>1302</v>
      </c>
      <c r="J83" s="6" t="s">
        <v>1303</v>
      </c>
      <c r="K83" s="6" t="s">
        <v>1304</v>
      </c>
      <c r="L83" s="6" t="s">
        <v>1305</v>
      </c>
      <c r="M83" s="6" t="s">
        <v>1306</v>
      </c>
      <c r="N83" s="6" t="s">
        <v>1307</v>
      </c>
      <c r="O83" s="6" t="s">
        <v>1308</v>
      </c>
      <c r="P83" s="6" t="s">
        <v>1309</v>
      </c>
      <c r="Q83" s="6" t="s">
        <v>1310</v>
      </c>
    </row>
    <row r="84" spans="1:17" ht="36">
      <c r="A84" s="7" t="s">
        <v>1311</v>
      </c>
      <c r="B84" s="6" t="s">
        <v>1312</v>
      </c>
      <c r="C84" s="6" t="s">
        <v>1313</v>
      </c>
      <c r="D84" s="6" t="s">
        <v>1314</v>
      </c>
      <c r="E84" s="6" t="s">
        <v>1315</v>
      </c>
      <c r="F84" s="6" t="s">
        <v>1316</v>
      </c>
      <c r="G84" s="6" t="s">
        <v>1317</v>
      </c>
      <c r="H84" s="6" t="s">
        <v>1318</v>
      </c>
      <c r="I84" s="6" t="s">
        <v>1319</v>
      </c>
      <c r="J84" s="6" t="s">
        <v>1320</v>
      </c>
      <c r="K84" s="6" t="s">
        <v>1321</v>
      </c>
      <c r="L84" s="6" t="s">
        <v>1322</v>
      </c>
      <c r="M84" s="6" t="s">
        <v>1323</v>
      </c>
      <c r="N84" s="6" t="s">
        <v>1324</v>
      </c>
      <c r="O84" s="6" t="s">
        <v>1325</v>
      </c>
      <c r="P84" s="6" t="s">
        <v>1326</v>
      </c>
      <c r="Q84" s="6" t="s">
        <v>968</v>
      </c>
    </row>
    <row r="85" spans="1:17" ht="36">
      <c r="A85" s="7" t="s">
        <v>1327</v>
      </c>
      <c r="B85" s="6" t="s">
        <v>1328</v>
      </c>
      <c r="C85" s="6" t="s">
        <v>1329</v>
      </c>
      <c r="D85" s="6" t="s">
        <v>1330</v>
      </c>
      <c r="E85" s="6" t="s">
        <v>1331</v>
      </c>
      <c r="F85" s="6" t="s">
        <v>1332</v>
      </c>
      <c r="G85" s="6" t="s">
        <v>1333</v>
      </c>
      <c r="H85" s="6" t="s">
        <v>1334</v>
      </c>
      <c r="I85" s="6" t="s">
        <v>1335</v>
      </c>
      <c r="J85" s="6" t="s">
        <v>1336</v>
      </c>
      <c r="K85" s="6" t="s">
        <v>1337</v>
      </c>
      <c r="L85" s="6" t="s">
        <v>1338</v>
      </c>
      <c r="M85" s="6" t="s">
        <v>1339</v>
      </c>
      <c r="N85" s="6" t="s">
        <v>1340</v>
      </c>
      <c r="O85" s="6" t="s">
        <v>1341</v>
      </c>
      <c r="P85" s="6" t="s">
        <v>1342</v>
      </c>
      <c r="Q85" s="6" t="s">
        <v>1343</v>
      </c>
    </row>
    <row r="86" spans="1:17" ht="60">
      <c r="A86" s="7" t="s">
        <v>1344</v>
      </c>
      <c r="B86" s="6" t="s">
        <v>1345</v>
      </c>
      <c r="C86" s="6" t="s">
        <v>1346</v>
      </c>
      <c r="D86" s="6" t="s">
        <v>1347</v>
      </c>
      <c r="E86" s="6" t="s">
        <v>1348</v>
      </c>
      <c r="F86" s="6" t="s">
        <v>1349</v>
      </c>
      <c r="G86" s="6" t="s">
        <v>1350</v>
      </c>
      <c r="H86" s="6" t="s">
        <v>1351</v>
      </c>
      <c r="I86" s="6" t="s">
        <v>1352</v>
      </c>
      <c r="J86" s="6" t="s">
        <v>1353</v>
      </c>
      <c r="K86" s="6" t="s">
        <v>1354</v>
      </c>
      <c r="L86" s="6" t="s">
        <v>1355</v>
      </c>
      <c r="M86" s="6" t="s">
        <v>1356</v>
      </c>
      <c r="N86" s="6" t="s">
        <v>1357</v>
      </c>
      <c r="O86" s="6" t="s">
        <v>1358</v>
      </c>
      <c r="P86" s="6" t="s">
        <v>1359</v>
      </c>
      <c r="Q86" s="6" t="s">
        <v>1360</v>
      </c>
    </row>
    <row r="87" spans="1:17" ht="48">
      <c r="A87" s="7" t="s">
        <v>1361</v>
      </c>
      <c r="B87" s="6" t="s">
        <v>1362</v>
      </c>
      <c r="C87" s="6" t="s">
        <v>1363</v>
      </c>
      <c r="D87" s="6" t="s">
        <v>1364</v>
      </c>
      <c r="E87" s="6" t="s">
        <v>1365</v>
      </c>
      <c r="F87" s="6" t="s">
        <v>1366</v>
      </c>
      <c r="G87" s="6" t="s">
        <v>1367</v>
      </c>
      <c r="H87" s="6" t="s">
        <v>1368</v>
      </c>
      <c r="I87" s="6" t="s">
        <v>1369</v>
      </c>
      <c r="J87" s="6" t="s">
        <v>1370</v>
      </c>
      <c r="K87" s="6" t="s">
        <v>1277</v>
      </c>
      <c r="L87" s="6" t="s">
        <v>1371</v>
      </c>
      <c r="M87" s="6" t="s">
        <v>1372</v>
      </c>
      <c r="N87" s="6" t="s">
        <v>1373</v>
      </c>
      <c r="O87" s="6" t="s">
        <v>1374</v>
      </c>
      <c r="P87" s="6" t="s">
        <v>358</v>
      </c>
      <c r="Q87" s="15"/>
    </row>
    <row r="88" spans="1:17" ht="36">
      <c r="A88" s="7" t="s">
        <v>1375</v>
      </c>
      <c r="B88" s="6" t="s">
        <v>589</v>
      </c>
      <c r="C88" s="6" t="s">
        <v>1376</v>
      </c>
      <c r="D88" s="6" t="s">
        <v>1377</v>
      </c>
      <c r="E88" s="6" t="s">
        <v>1378</v>
      </c>
      <c r="F88" s="6" t="s">
        <v>1379</v>
      </c>
      <c r="G88" s="6" t="s">
        <v>1380</v>
      </c>
      <c r="H88" s="6" t="s">
        <v>1381</v>
      </c>
      <c r="I88" s="6" t="s">
        <v>1382</v>
      </c>
      <c r="J88" s="6" t="s">
        <v>1383</v>
      </c>
      <c r="K88" s="6" t="s">
        <v>1384</v>
      </c>
      <c r="L88" s="6" t="s">
        <v>1385</v>
      </c>
      <c r="M88" s="6" t="s">
        <v>1386</v>
      </c>
      <c r="N88" s="6" t="s">
        <v>1387</v>
      </c>
      <c r="O88" s="6" t="s">
        <v>1388</v>
      </c>
      <c r="P88" s="6" t="s">
        <v>1389</v>
      </c>
      <c r="Q88" s="6" t="s">
        <v>982</v>
      </c>
    </row>
    <row r="89" spans="1:17" ht="60">
      <c r="A89" s="7" t="s">
        <v>1390</v>
      </c>
      <c r="B89" s="6" t="s">
        <v>1391</v>
      </c>
      <c r="C89" s="6" t="s">
        <v>1392</v>
      </c>
      <c r="D89" s="6" t="s">
        <v>1393</v>
      </c>
      <c r="E89" s="6" t="s">
        <v>1394</v>
      </c>
      <c r="F89" s="6" t="s">
        <v>1395</v>
      </c>
      <c r="G89" s="6" t="s">
        <v>1396</v>
      </c>
      <c r="H89" s="6" t="s">
        <v>1397</v>
      </c>
      <c r="I89" s="6" t="s">
        <v>1398</v>
      </c>
      <c r="J89" s="6" t="s">
        <v>1399</v>
      </c>
      <c r="K89" s="6" t="s">
        <v>1400</v>
      </c>
      <c r="L89" s="6" t="s">
        <v>1401</v>
      </c>
      <c r="M89" s="6" t="s">
        <v>1402</v>
      </c>
      <c r="N89" s="6" t="s">
        <v>1403</v>
      </c>
      <c r="O89" s="6" t="s">
        <v>1404</v>
      </c>
      <c r="P89" s="6" t="s">
        <v>1405</v>
      </c>
      <c r="Q89" s="6" t="s">
        <v>1406</v>
      </c>
    </row>
    <row r="90" spans="1:17" ht="24">
      <c r="A90" s="7" t="s">
        <v>1407</v>
      </c>
      <c r="B90" s="6" t="s">
        <v>1408</v>
      </c>
      <c r="C90" s="6" t="s">
        <v>1409</v>
      </c>
      <c r="D90" s="6" t="s">
        <v>1410</v>
      </c>
      <c r="E90" s="6" t="s">
        <v>1411</v>
      </c>
      <c r="F90" s="6" t="s">
        <v>1412</v>
      </c>
      <c r="G90" s="6" t="s">
        <v>1413</v>
      </c>
      <c r="H90" s="6" t="s">
        <v>1414</v>
      </c>
      <c r="I90" s="6" t="s">
        <v>1415</v>
      </c>
      <c r="J90" s="6" t="s">
        <v>1416</v>
      </c>
      <c r="K90" s="6" t="s">
        <v>1417</v>
      </c>
      <c r="L90" s="6" t="s">
        <v>1418</v>
      </c>
      <c r="M90" s="6" t="s">
        <v>1419</v>
      </c>
      <c r="N90" s="6" t="s">
        <v>1420</v>
      </c>
      <c r="O90" s="6" t="s">
        <v>1421</v>
      </c>
      <c r="P90" s="6" t="s">
        <v>1422</v>
      </c>
      <c r="Q90" s="6" t="s">
        <v>1423</v>
      </c>
    </row>
    <row r="91" spans="1:17" ht="36">
      <c r="A91" s="7" t="s">
        <v>1424</v>
      </c>
      <c r="B91" s="6" t="s">
        <v>1425</v>
      </c>
      <c r="C91" s="6" t="s">
        <v>1426</v>
      </c>
      <c r="D91" s="6" t="s">
        <v>1427</v>
      </c>
      <c r="E91" s="6" t="s">
        <v>1428</v>
      </c>
      <c r="F91" s="6" t="s">
        <v>1429</v>
      </c>
      <c r="G91" s="6" t="s">
        <v>1430</v>
      </c>
      <c r="H91" s="6" t="s">
        <v>1431</v>
      </c>
      <c r="I91" s="6" t="s">
        <v>1432</v>
      </c>
      <c r="J91" s="6" t="s">
        <v>1433</v>
      </c>
      <c r="K91" s="6" t="s">
        <v>847</v>
      </c>
      <c r="L91" s="6" t="s">
        <v>1434</v>
      </c>
      <c r="M91" s="6" t="s">
        <v>1435</v>
      </c>
      <c r="N91" s="6" t="s">
        <v>1436</v>
      </c>
      <c r="O91" s="6" t="s">
        <v>1437</v>
      </c>
      <c r="P91" s="6" t="s">
        <v>358</v>
      </c>
      <c r="Q91" s="6" t="s">
        <v>1438</v>
      </c>
    </row>
    <row r="92" spans="1:17" ht="36">
      <c r="A92" s="7" t="s">
        <v>1439</v>
      </c>
      <c r="B92" s="6" t="s">
        <v>1440</v>
      </c>
      <c r="C92" s="6" t="s">
        <v>1441</v>
      </c>
      <c r="D92" s="6" t="s">
        <v>1442</v>
      </c>
      <c r="E92" s="6" t="s">
        <v>1443</v>
      </c>
      <c r="F92" s="6" t="s">
        <v>1444</v>
      </c>
      <c r="G92" s="6" t="s">
        <v>1445</v>
      </c>
      <c r="H92" s="6" t="s">
        <v>1446</v>
      </c>
      <c r="I92" s="6" t="s">
        <v>1447</v>
      </c>
      <c r="J92" s="6" t="s">
        <v>1448</v>
      </c>
      <c r="K92" s="6" t="s">
        <v>1449</v>
      </c>
      <c r="L92" s="6" t="s">
        <v>1450</v>
      </c>
      <c r="M92" s="6" t="s">
        <v>1451</v>
      </c>
      <c r="N92" s="6" t="s">
        <v>1452</v>
      </c>
      <c r="O92" s="6" t="s">
        <v>1453</v>
      </c>
      <c r="P92" s="6" t="s">
        <v>274</v>
      </c>
      <c r="Q92" s="6" t="s">
        <v>1454</v>
      </c>
    </row>
    <row r="93" spans="1:17" ht="36">
      <c r="A93" s="7" t="s">
        <v>1455</v>
      </c>
      <c r="B93" s="6" t="s">
        <v>1456</v>
      </c>
      <c r="C93" s="6" t="s">
        <v>1457</v>
      </c>
      <c r="D93" s="6" t="s">
        <v>1458</v>
      </c>
      <c r="E93" s="6" t="s">
        <v>1459</v>
      </c>
      <c r="F93" s="6" t="s">
        <v>1460</v>
      </c>
      <c r="G93" s="6" t="s">
        <v>1461</v>
      </c>
      <c r="H93" s="6" t="s">
        <v>1462</v>
      </c>
      <c r="I93" s="6" t="s">
        <v>1463</v>
      </c>
      <c r="J93" s="6" t="s">
        <v>1464</v>
      </c>
      <c r="K93" s="6" t="s">
        <v>1465</v>
      </c>
      <c r="L93" s="6" t="s">
        <v>1466</v>
      </c>
      <c r="M93" s="6" t="s">
        <v>1467</v>
      </c>
      <c r="N93" s="6" t="s">
        <v>1468</v>
      </c>
      <c r="O93" s="6" t="s">
        <v>1469</v>
      </c>
      <c r="P93" s="6" t="s">
        <v>1470</v>
      </c>
      <c r="Q93" s="6" t="s">
        <v>1471</v>
      </c>
    </row>
    <row r="94" spans="1:17" ht="48">
      <c r="A94" s="7" t="s">
        <v>1472</v>
      </c>
      <c r="B94" s="6" t="s">
        <v>1473</v>
      </c>
      <c r="C94" s="6" t="s">
        <v>1474</v>
      </c>
      <c r="D94" s="6" t="s">
        <v>1475</v>
      </c>
      <c r="E94" s="6" t="s">
        <v>1476</v>
      </c>
      <c r="F94" s="6" t="s">
        <v>1477</v>
      </c>
      <c r="G94" s="6" t="s">
        <v>1478</v>
      </c>
      <c r="H94" s="6" t="s">
        <v>1479</v>
      </c>
      <c r="I94" s="6" t="s">
        <v>1480</v>
      </c>
      <c r="J94" s="6" t="s">
        <v>1481</v>
      </c>
      <c r="K94" s="6" t="s">
        <v>1482</v>
      </c>
      <c r="L94" s="6" t="s">
        <v>1483</v>
      </c>
      <c r="M94" s="6" t="s">
        <v>1484</v>
      </c>
      <c r="N94" s="6" t="s">
        <v>1485</v>
      </c>
      <c r="O94" s="6" t="s">
        <v>1486</v>
      </c>
      <c r="P94" s="6" t="s">
        <v>1487</v>
      </c>
      <c r="Q94" s="6" t="s">
        <v>1488</v>
      </c>
    </row>
    <row r="95" spans="1:17" ht="36">
      <c r="A95" s="7" t="s">
        <v>1489</v>
      </c>
      <c r="B95" s="6" t="s">
        <v>1490</v>
      </c>
      <c r="C95" s="6" t="s">
        <v>1491</v>
      </c>
      <c r="D95" s="6" t="s">
        <v>1492</v>
      </c>
      <c r="E95" s="6" t="s">
        <v>1493</v>
      </c>
      <c r="F95" s="6" t="s">
        <v>1494</v>
      </c>
      <c r="G95" s="6" t="s">
        <v>1495</v>
      </c>
      <c r="H95" s="6" t="s">
        <v>1496</v>
      </c>
      <c r="I95" s="6" t="s">
        <v>1497</v>
      </c>
      <c r="J95" s="6" t="s">
        <v>1498</v>
      </c>
      <c r="K95" s="6" t="s">
        <v>1499</v>
      </c>
      <c r="L95" s="6" t="s">
        <v>1500</v>
      </c>
      <c r="M95" s="6" t="s">
        <v>1501</v>
      </c>
      <c r="N95" s="6" t="s">
        <v>1502</v>
      </c>
      <c r="O95" s="6" t="s">
        <v>1503</v>
      </c>
      <c r="P95" s="6" t="s">
        <v>1504</v>
      </c>
      <c r="Q95" s="6" t="s">
        <v>539</v>
      </c>
    </row>
    <row r="96" spans="1:17" ht="24">
      <c r="A96" s="7" t="s">
        <v>1505</v>
      </c>
      <c r="B96" s="6" t="s">
        <v>1506</v>
      </c>
      <c r="C96" s="6" t="s">
        <v>1507</v>
      </c>
      <c r="D96" s="6" t="s">
        <v>1508</v>
      </c>
      <c r="E96" s="6" t="s">
        <v>1509</v>
      </c>
      <c r="F96" s="6" t="s">
        <v>1510</v>
      </c>
      <c r="G96" s="6" t="s">
        <v>1511</v>
      </c>
      <c r="H96" s="6" t="s">
        <v>1512</v>
      </c>
      <c r="I96" s="6" t="s">
        <v>1513</v>
      </c>
      <c r="J96" s="6" t="s">
        <v>1514</v>
      </c>
      <c r="K96" s="6" t="s">
        <v>1515</v>
      </c>
      <c r="L96" s="6" t="s">
        <v>1516</v>
      </c>
      <c r="M96" s="6" t="s">
        <v>1517</v>
      </c>
      <c r="N96" s="6" t="s">
        <v>1518</v>
      </c>
      <c r="O96" s="6" t="s">
        <v>1519</v>
      </c>
      <c r="P96" s="6" t="s">
        <v>1098</v>
      </c>
      <c r="Q96" s="6" t="s">
        <v>1520</v>
      </c>
    </row>
    <row r="97" spans="1:17" ht="48">
      <c r="A97" s="8" t="s">
        <v>1521</v>
      </c>
      <c r="B97" s="9" t="s">
        <v>1522</v>
      </c>
      <c r="C97" s="9" t="s">
        <v>1523</v>
      </c>
      <c r="D97" s="9" t="s">
        <v>1524</v>
      </c>
      <c r="E97" s="9" t="s">
        <v>1525</v>
      </c>
      <c r="F97" s="9" t="s">
        <v>1526</v>
      </c>
      <c r="G97" s="9" t="s">
        <v>1527</v>
      </c>
      <c r="H97" s="9" t="s">
        <v>1528</v>
      </c>
      <c r="I97" s="9" t="s">
        <v>1529</v>
      </c>
      <c r="J97" s="9" t="s">
        <v>1530</v>
      </c>
      <c r="K97" s="9" t="s">
        <v>1531</v>
      </c>
      <c r="L97" s="9" t="s">
        <v>1532</v>
      </c>
      <c r="M97" s="9" t="s">
        <v>1533</v>
      </c>
      <c r="N97" s="9" t="s">
        <v>1534</v>
      </c>
      <c r="O97" s="9" t="s">
        <v>1535</v>
      </c>
      <c r="P97" s="9" t="s">
        <v>1536</v>
      </c>
      <c r="Q97" s="9" t="s">
        <v>1537</v>
      </c>
    </row>
    <row r="98" spans="1:17" ht="15.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</row>
    <row r="99" spans="1:17" ht="15.6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spans="1:17">
      <c r="A100" s="12" t="s">
        <v>1538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>
      <c r="A101" s="3" t="s">
        <v>159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spans="1:17">
      <c r="A102" s="127" t="s">
        <v>160</v>
      </c>
      <c r="B102" s="131" t="s">
        <v>161</v>
      </c>
      <c r="C102" s="135" t="s">
        <v>162</v>
      </c>
      <c r="D102" s="125"/>
      <c r="E102" s="125"/>
      <c r="F102" s="125"/>
      <c r="G102" s="125"/>
      <c r="H102" s="125"/>
      <c r="I102" s="125"/>
      <c r="J102" s="126"/>
      <c r="K102" s="135" t="s">
        <v>163</v>
      </c>
      <c r="L102" s="125"/>
      <c r="M102" s="126"/>
      <c r="N102" s="135" t="s">
        <v>164</v>
      </c>
      <c r="O102" s="125"/>
      <c r="P102" s="125"/>
      <c r="Q102" s="125"/>
    </row>
    <row r="103" spans="1:17">
      <c r="A103" s="128"/>
      <c r="B103" s="132"/>
      <c r="C103" s="132"/>
      <c r="D103" s="131" t="s">
        <v>165</v>
      </c>
      <c r="E103" s="131" t="s">
        <v>166</v>
      </c>
      <c r="F103" s="131" t="s">
        <v>167</v>
      </c>
      <c r="G103" s="135" t="s">
        <v>168</v>
      </c>
      <c r="H103" s="125"/>
      <c r="I103" s="125"/>
      <c r="J103" s="126"/>
      <c r="K103" s="132"/>
      <c r="L103" s="135" t="s">
        <v>169</v>
      </c>
      <c r="M103" s="13"/>
      <c r="N103" s="132"/>
      <c r="O103" s="135" t="s">
        <v>170</v>
      </c>
      <c r="P103" s="125"/>
      <c r="Q103" s="125"/>
    </row>
    <row r="104" spans="1:17">
      <c r="A104" s="128"/>
      <c r="B104" s="132"/>
      <c r="C104" s="132"/>
      <c r="D104" s="132"/>
      <c r="E104" s="132"/>
      <c r="F104" s="132"/>
      <c r="G104" s="132"/>
      <c r="H104" s="131" t="s">
        <v>171</v>
      </c>
      <c r="I104" s="135" t="s">
        <v>854</v>
      </c>
      <c r="J104" s="13"/>
      <c r="K104" s="132"/>
      <c r="L104" s="132"/>
      <c r="M104" s="131" t="s">
        <v>173</v>
      </c>
      <c r="N104" s="132"/>
      <c r="O104" s="132"/>
      <c r="P104" s="131" t="s">
        <v>174</v>
      </c>
      <c r="Q104" s="135" t="s">
        <v>175</v>
      </c>
    </row>
    <row r="105" spans="1:17">
      <c r="A105" s="129"/>
      <c r="B105" s="133"/>
      <c r="C105" s="133"/>
      <c r="D105" s="133"/>
      <c r="E105" s="133"/>
      <c r="F105" s="133"/>
      <c r="G105" s="133"/>
      <c r="H105" s="133"/>
      <c r="I105" s="133"/>
      <c r="J105" s="14" t="s">
        <v>176</v>
      </c>
      <c r="K105" s="133"/>
      <c r="L105" s="133"/>
      <c r="M105" s="133"/>
      <c r="N105" s="133"/>
      <c r="O105" s="133"/>
      <c r="P105" s="133"/>
      <c r="Q105" s="137"/>
    </row>
    <row r="106" spans="1:17" ht="24">
      <c r="A106" s="7" t="s">
        <v>1539</v>
      </c>
      <c r="B106" s="6" t="s">
        <v>1540</v>
      </c>
      <c r="C106" s="6" t="s">
        <v>1541</v>
      </c>
      <c r="D106" s="6" t="s">
        <v>1542</v>
      </c>
      <c r="E106" s="6" t="s">
        <v>1543</v>
      </c>
      <c r="F106" s="6" t="s">
        <v>1544</v>
      </c>
      <c r="G106" s="6" t="s">
        <v>1545</v>
      </c>
      <c r="H106" s="6" t="s">
        <v>1546</v>
      </c>
      <c r="I106" s="6" t="s">
        <v>1547</v>
      </c>
      <c r="J106" s="6" t="s">
        <v>1548</v>
      </c>
      <c r="K106" s="6" t="s">
        <v>1549</v>
      </c>
      <c r="L106" s="6" t="s">
        <v>1550</v>
      </c>
      <c r="M106" s="6" t="s">
        <v>1551</v>
      </c>
      <c r="N106" s="6" t="s">
        <v>1552</v>
      </c>
      <c r="O106" s="6" t="s">
        <v>1553</v>
      </c>
      <c r="P106" s="6" t="s">
        <v>1554</v>
      </c>
      <c r="Q106" s="6" t="s">
        <v>1555</v>
      </c>
    </row>
    <row r="107" spans="1:17" ht="36">
      <c r="A107" s="7" t="s">
        <v>1556</v>
      </c>
      <c r="B107" s="6" t="s">
        <v>1557</v>
      </c>
      <c r="C107" s="6" t="s">
        <v>1558</v>
      </c>
      <c r="D107" s="6" t="s">
        <v>1559</v>
      </c>
      <c r="E107" s="6" t="s">
        <v>1560</v>
      </c>
      <c r="F107" s="6" t="s">
        <v>1561</v>
      </c>
      <c r="G107" s="6" t="s">
        <v>1562</v>
      </c>
      <c r="H107" s="6" t="s">
        <v>1563</v>
      </c>
      <c r="I107" s="6" t="s">
        <v>1564</v>
      </c>
      <c r="J107" s="6" t="s">
        <v>1565</v>
      </c>
      <c r="K107" s="6" t="s">
        <v>1566</v>
      </c>
      <c r="L107" s="6" t="s">
        <v>1567</v>
      </c>
      <c r="M107" s="6" t="s">
        <v>1568</v>
      </c>
      <c r="N107" s="6" t="s">
        <v>1569</v>
      </c>
      <c r="O107" s="6" t="s">
        <v>1570</v>
      </c>
      <c r="P107" s="6" t="s">
        <v>1571</v>
      </c>
      <c r="Q107" s="6" t="s">
        <v>1572</v>
      </c>
    </row>
    <row r="108" spans="1:17" ht="36">
      <c r="A108" s="7" t="s">
        <v>1573</v>
      </c>
      <c r="B108" s="6" t="s">
        <v>1574</v>
      </c>
      <c r="C108" s="6" t="s">
        <v>1575</v>
      </c>
      <c r="D108" s="6" t="s">
        <v>1576</v>
      </c>
      <c r="E108" s="6" t="s">
        <v>1577</v>
      </c>
      <c r="F108" s="6" t="s">
        <v>1578</v>
      </c>
      <c r="G108" s="6" t="s">
        <v>1579</v>
      </c>
      <c r="H108" s="6" t="s">
        <v>1580</v>
      </c>
      <c r="I108" s="6" t="s">
        <v>1581</v>
      </c>
      <c r="J108" s="6" t="s">
        <v>1582</v>
      </c>
      <c r="K108" s="6" t="s">
        <v>1583</v>
      </c>
      <c r="L108" s="6" t="s">
        <v>1584</v>
      </c>
      <c r="M108" s="6" t="s">
        <v>1585</v>
      </c>
      <c r="N108" s="6" t="s">
        <v>1586</v>
      </c>
      <c r="O108" s="6" t="s">
        <v>1306</v>
      </c>
      <c r="P108" s="6" t="s">
        <v>1587</v>
      </c>
      <c r="Q108" s="6" t="s">
        <v>1504</v>
      </c>
    </row>
    <row r="109" spans="1:17" ht="48">
      <c r="A109" s="7" t="s">
        <v>1588</v>
      </c>
      <c r="B109" s="6" t="s">
        <v>1589</v>
      </c>
      <c r="C109" s="6" t="s">
        <v>1590</v>
      </c>
      <c r="D109" s="6" t="s">
        <v>1591</v>
      </c>
      <c r="E109" s="6" t="s">
        <v>1592</v>
      </c>
      <c r="F109" s="6" t="s">
        <v>1593</v>
      </c>
      <c r="G109" s="6" t="s">
        <v>1594</v>
      </c>
      <c r="H109" s="6" t="s">
        <v>1595</v>
      </c>
      <c r="I109" s="6" t="s">
        <v>1596</v>
      </c>
      <c r="J109" s="6" t="s">
        <v>1597</v>
      </c>
      <c r="K109" s="6" t="s">
        <v>1598</v>
      </c>
      <c r="L109" s="6" t="s">
        <v>1599</v>
      </c>
      <c r="M109" s="6" t="s">
        <v>1600</v>
      </c>
      <c r="N109" s="6" t="s">
        <v>1601</v>
      </c>
      <c r="O109" s="6" t="s">
        <v>1602</v>
      </c>
      <c r="P109" s="6" t="s">
        <v>1603</v>
      </c>
      <c r="Q109" s="6" t="s">
        <v>1604</v>
      </c>
    </row>
    <row r="110" spans="1:17" ht="48">
      <c r="A110" s="7" t="s">
        <v>1605</v>
      </c>
      <c r="B110" s="6" t="s">
        <v>1606</v>
      </c>
      <c r="C110" s="6" t="s">
        <v>1607</v>
      </c>
      <c r="D110" s="6" t="s">
        <v>1608</v>
      </c>
      <c r="E110" s="6" t="s">
        <v>1609</v>
      </c>
      <c r="F110" s="6" t="s">
        <v>1610</v>
      </c>
      <c r="G110" s="6" t="s">
        <v>1611</v>
      </c>
      <c r="H110" s="6" t="s">
        <v>1612</v>
      </c>
      <c r="I110" s="6" t="s">
        <v>1613</v>
      </c>
      <c r="J110" s="6" t="s">
        <v>1614</v>
      </c>
      <c r="K110" s="6" t="s">
        <v>1615</v>
      </c>
      <c r="L110" s="6" t="s">
        <v>1616</v>
      </c>
      <c r="M110" s="6" t="s">
        <v>1617</v>
      </c>
      <c r="N110" s="6" t="s">
        <v>1618</v>
      </c>
      <c r="O110" s="6" t="s">
        <v>1619</v>
      </c>
      <c r="P110" s="6" t="s">
        <v>1620</v>
      </c>
      <c r="Q110" s="6" t="s">
        <v>1621</v>
      </c>
    </row>
    <row r="111" spans="1:17" ht="36">
      <c r="A111" s="7" t="s">
        <v>1622</v>
      </c>
      <c r="B111" s="6" t="s">
        <v>1623</v>
      </c>
      <c r="C111" s="6" t="s">
        <v>1624</v>
      </c>
      <c r="D111" s="6" t="s">
        <v>1625</v>
      </c>
      <c r="E111" s="6" t="s">
        <v>1626</v>
      </c>
      <c r="F111" s="6" t="s">
        <v>1627</v>
      </c>
      <c r="G111" s="6" t="s">
        <v>1628</v>
      </c>
      <c r="H111" s="6" t="s">
        <v>1580</v>
      </c>
      <c r="I111" s="6" t="s">
        <v>1629</v>
      </c>
      <c r="J111" s="6" t="s">
        <v>1630</v>
      </c>
      <c r="K111" s="6" t="s">
        <v>1631</v>
      </c>
      <c r="L111" s="6" t="s">
        <v>1632</v>
      </c>
      <c r="M111" s="6" t="s">
        <v>1633</v>
      </c>
      <c r="N111" s="6" t="s">
        <v>1634</v>
      </c>
      <c r="O111" s="6" t="s">
        <v>1635</v>
      </c>
      <c r="P111" s="6" t="s">
        <v>1620</v>
      </c>
      <c r="Q111" s="6" t="s">
        <v>990</v>
      </c>
    </row>
    <row r="112" spans="1:17" ht="24">
      <c r="A112" s="7" t="s">
        <v>1636</v>
      </c>
      <c r="B112" s="6" t="s">
        <v>1637</v>
      </c>
      <c r="C112" s="6" t="s">
        <v>1638</v>
      </c>
      <c r="D112" s="6" t="s">
        <v>1639</v>
      </c>
      <c r="E112" s="6" t="s">
        <v>1640</v>
      </c>
      <c r="F112" s="6" t="s">
        <v>1641</v>
      </c>
      <c r="G112" s="6" t="s">
        <v>1642</v>
      </c>
      <c r="H112" s="6" t="s">
        <v>1643</v>
      </c>
      <c r="I112" s="6" t="s">
        <v>1644</v>
      </c>
      <c r="J112" s="6" t="s">
        <v>798</v>
      </c>
      <c r="K112" s="6" t="s">
        <v>1645</v>
      </c>
      <c r="L112" s="6" t="s">
        <v>1646</v>
      </c>
      <c r="M112" s="6" t="s">
        <v>1647</v>
      </c>
      <c r="N112" s="6" t="s">
        <v>1648</v>
      </c>
      <c r="O112" s="6" t="s">
        <v>1649</v>
      </c>
      <c r="P112" s="15"/>
      <c r="Q112" s="6" t="s">
        <v>1650</v>
      </c>
    </row>
    <row r="113" spans="1:17" ht="36">
      <c r="A113" s="7" t="s">
        <v>1651</v>
      </c>
      <c r="B113" s="6" t="s">
        <v>1652</v>
      </c>
      <c r="C113" s="6" t="s">
        <v>1653</v>
      </c>
      <c r="D113" s="6" t="s">
        <v>1654</v>
      </c>
      <c r="E113" s="6" t="s">
        <v>1655</v>
      </c>
      <c r="F113" s="6" t="s">
        <v>1656</v>
      </c>
      <c r="G113" s="6" t="s">
        <v>1657</v>
      </c>
      <c r="H113" s="6" t="s">
        <v>1658</v>
      </c>
      <c r="I113" s="6" t="s">
        <v>1659</v>
      </c>
      <c r="J113" s="6" t="s">
        <v>1660</v>
      </c>
      <c r="K113" s="6" t="s">
        <v>1661</v>
      </c>
      <c r="L113" s="6" t="s">
        <v>1662</v>
      </c>
      <c r="M113" s="6" t="s">
        <v>1663</v>
      </c>
      <c r="N113" s="6" t="s">
        <v>1664</v>
      </c>
      <c r="O113" s="6" t="s">
        <v>1665</v>
      </c>
      <c r="P113" s="6" t="s">
        <v>1666</v>
      </c>
      <c r="Q113" s="6" t="s">
        <v>1667</v>
      </c>
    </row>
    <row r="114" spans="1:17" ht="36">
      <c r="A114" s="7" t="s">
        <v>1668</v>
      </c>
      <c r="B114" s="6" t="s">
        <v>1669</v>
      </c>
      <c r="C114" s="6" t="s">
        <v>1670</v>
      </c>
      <c r="D114" s="6" t="s">
        <v>1671</v>
      </c>
      <c r="E114" s="6" t="s">
        <v>1672</v>
      </c>
      <c r="F114" s="6" t="s">
        <v>1673</v>
      </c>
      <c r="G114" s="6" t="s">
        <v>1674</v>
      </c>
      <c r="H114" s="6" t="s">
        <v>1675</v>
      </c>
      <c r="I114" s="6" t="s">
        <v>1676</v>
      </c>
      <c r="J114" s="6" t="s">
        <v>1677</v>
      </c>
      <c r="K114" s="6" t="s">
        <v>1678</v>
      </c>
      <c r="L114" s="6" t="s">
        <v>1679</v>
      </c>
      <c r="M114" s="6" t="s">
        <v>1680</v>
      </c>
      <c r="N114" s="6" t="s">
        <v>1681</v>
      </c>
      <c r="O114" s="6" t="s">
        <v>1682</v>
      </c>
      <c r="P114" s="6" t="s">
        <v>1683</v>
      </c>
      <c r="Q114" s="6" t="s">
        <v>1684</v>
      </c>
    </row>
    <row r="115" spans="1:17" ht="36">
      <c r="A115" s="7" t="s">
        <v>1685</v>
      </c>
      <c r="B115" s="6" t="s">
        <v>1686</v>
      </c>
      <c r="C115" s="6" t="s">
        <v>1687</v>
      </c>
      <c r="D115" s="6" t="s">
        <v>1688</v>
      </c>
      <c r="E115" s="6" t="s">
        <v>1689</v>
      </c>
      <c r="F115" s="6" t="s">
        <v>1690</v>
      </c>
      <c r="G115" s="6" t="s">
        <v>1691</v>
      </c>
      <c r="H115" s="6" t="s">
        <v>1692</v>
      </c>
      <c r="I115" s="6" t="s">
        <v>1693</v>
      </c>
      <c r="J115" s="6" t="s">
        <v>1694</v>
      </c>
      <c r="K115" s="6" t="s">
        <v>1695</v>
      </c>
      <c r="L115" s="6" t="s">
        <v>1696</v>
      </c>
      <c r="M115" s="6" t="s">
        <v>1697</v>
      </c>
      <c r="N115" s="6" t="s">
        <v>1698</v>
      </c>
      <c r="O115" s="6" t="s">
        <v>1699</v>
      </c>
      <c r="P115" s="6" t="s">
        <v>432</v>
      </c>
      <c r="Q115" s="6" t="s">
        <v>1700</v>
      </c>
    </row>
    <row r="116" spans="1:17" ht="36">
      <c r="A116" s="7" t="s">
        <v>1701</v>
      </c>
      <c r="B116" s="6" t="s">
        <v>1702</v>
      </c>
      <c r="C116" s="6" t="s">
        <v>1703</v>
      </c>
      <c r="D116" s="6" t="s">
        <v>1704</v>
      </c>
      <c r="E116" s="6" t="s">
        <v>1705</v>
      </c>
      <c r="F116" s="6" t="s">
        <v>1706</v>
      </c>
      <c r="G116" s="6" t="s">
        <v>1707</v>
      </c>
      <c r="H116" s="6" t="s">
        <v>1708</v>
      </c>
      <c r="I116" s="6" t="s">
        <v>1709</v>
      </c>
      <c r="J116" s="6" t="s">
        <v>1710</v>
      </c>
      <c r="K116" s="6" t="s">
        <v>1711</v>
      </c>
      <c r="L116" s="6" t="s">
        <v>1712</v>
      </c>
      <c r="M116" s="6" t="s">
        <v>1713</v>
      </c>
      <c r="N116" s="6" t="s">
        <v>1714</v>
      </c>
      <c r="O116" s="6" t="s">
        <v>1715</v>
      </c>
      <c r="P116" s="6" t="s">
        <v>982</v>
      </c>
      <c r="Q116" s="6" t="s">
        <v>563</v>
      </c>
    </row>
    <row r="117" spans="1:17" ht="36">
      <c r="A117" s="7" t="s">
        <v>1716</v>
      </c>
      <c r="B117" s="6" t="s">
        <v>1717</v>
      </c>
      <c r="C117" s="6" t="s">
        <v>1718</v>
      </c>
      <c r="D117" s="6" t="s">
        <v>1719</v>
      </c>
      <c r="E117" s="6" t="s">
        <v>1720</v>
      </c>
      <c r="F117" s="6" t="s">
        <v>1721</v>
      </c>
      <c r="G117" s="6" t="s">
        <v>1722</v>
      </c>
      <c r="H117" s="6" t="s">
        <v>1723</v>
      </c>
      <c r="I117" s="6" t="s">
        <v>1724</v>
      </c>
      <c r="J117" s="6" t="s">
        <v>1725</v>
      </c>
      <c r="K117" s="6" t="s">
        <v>1726</v>
      </c>
      <c r="L117" s="6" t="s">
        <v>1727</v>
      </c>
      <c r="M117" s="6" t="s">
        <v>1728</v>
      </c>
      <c r="N117" s="6" t="s">
        <v>1729</v>
      </c>
      <c r="O117" s="6" t="s">
        <v>1730</v>
      </c>
      <c r="P117" s="6" t="s">
        <v>1731</v>
      </c>
      <c r="Q117" s="6" t="s">
        <v>1732</v>
      </c>
    </row>
    <row r="118" spans="1:17" ht="36">
      <c r="A118" s="7" t="s">
        <v>1733</v>
      </c>
      <c r="B118" s="6" t="s">
        <v>1734</v>
      </c>
      <c r="C118" s="6" t="s">
        <v>1735</v>
      </c>
      <c r="D118" s="6" t="s">
        <v>1736</v>
      </c>
      <c r="E118" s="6" t="s">
        <v>1737</v>
      </c>
      <c r="F118" s="6" t="s">
        <v>1738</v>
      </c>
      <c r="G118" s="6" t="s">
        <v>1739</v>
      </c>
      <c r="H118" s="6" t="s">
        <v>1740</v>
      </c>
      <c r="I118" s="6" t="s">
        <v>1741</v>
      </c>
      <c r="J118" s="6" t="s">
        <v>1742</v>
      </c>
      <c r="K118" s="6" t="s">
        <v>1743</v>
      </c>
      <c r="L118" s="6" t="s">
        <v>1744</v>
      </c>
      <c r="M118" s="6" t="s">
        <v>1745</v>
      </c>
      <c r="N118" s="6" t="s">
        <v>1746</v>
      </c>
      <c r="O118" s="6" t="s">
        <v>1747</v>
      </c>
      <c r="P118" s="6" t="s">
        <v>1748</v>
      </c>
      <c r="Q118" s="6" t="s">
        <v>1749</v>
      </c>
    </row>
    <row r="119" spans="1:17" ht="36">
      <c r="A119" s="7" t="s">
        <v>1750</v>
      </c>
      <c r="B119" s="6" t="s">
        <v>1751</v>
      </c>
      <c r="C119" s="6" t="s">
        <v>1752</v>
      </c>
      <c r="D119" s="6" t="s">
        <v>1753</v>
      </c>
      <c r="E119" s="6" t="s">
        <v>1754</v>
      </c>
      <c r="F119" s="6" t="s">
        <v>1755</v>
      </c>
      <c r="G119" s="6" t="s">
        <v>1756</v>
      </c>
      <c r="H119" s="6" t="s">
        <v>1757</v>
      </c>
      <c r="I119" s="6" t="s">
        <v>1758</v>
      </c>
      <c r="J119" s="6" t="s">
        <v>1759</v>
      </c>
      <c r="K119" s="6" t="s">
        <v>1760</v>
      </c>
      <c r="L119" s="6" t="s">
        <v>1761</v>
      </c>
      <c r="M119" s="6" t="s">
        <v>1762</v>
      </c>
      <c r="N119" s="6" t="s">
        <v>1763</v>
      </c>
      <c r="O119" s="6" t="s">
        <v>1764</v>
      </c>
      <c r="P119" s="6" t="s">
        <v>1765</v>
      </c>
      <c r="Q119" s="6" t="s">
        <v>1766</v>
      </c>
    </row>
    <row r="120" spans="1:17" ht="24">
      <c r="A120" s="7" t="s">
        <v>1767</v>
      </c>
      <c r="B120" s="6" t="s">
        <v>1768</v>
      </c>
      <c r="C120" s="6" t="s">
        <v>1769</v>
      </c>
      <c r="D120" s="6" t="s">
        <v>1770</v>
      </c>
      <c r="E120" s="6" t="s">
        <v>1771</v>
      </c>
      <c r="F120" s="6" t="s">
        <v>1772</v>
      </c>
      <c r="G120" s="6" t="s">
        <v>1773</v>
      </c>
      <c r="H120" s="6" t="s">
        <v>1774</v>
      </c>
      <c r="I120" s="6" t="s">
        <v>1775</v>
      </c>
      <c r="J120" s="6" t="s">
        <v>1776</v>
      </c>
      <c r="K120" s="6" t="s">
        <v>1777</v>
      </c>
      <c r="L120" s="6" t="s">
        <v>1778</v>
      </c>
      <c r="M120" s="6" t="s">
        <v>1779</v>
      </c>
      <c r="N120" s="6" t="s">
        <v>1780</v>
      </c>
      <c r="O120" s="6" t="s">
        <v>1781</v>
      </c>
      <c r="P120" s="6" t="s">
        <v>1782</v>
      </c>
      <c r="Q120" s="6" t="s">
        <v>1783</v>
      </c>
    </row>
    <row r="121" spans="1:17" ht="36">
      <c r="A121" s="7" t="s">
        <v>1784</v>
      </c>
      <c r="B121" s="6" t="s">
        <v>313</v>
      </c>
      <c r="C121" s="6" t="s">
        <v>1785</v>
      </c>
      <c r="D121" s="6" t="s">
        <v>851</v>
      </c>
      <c r="E121" s="6" t="s">
        <v>1786</v>
      </c>
      <c r="F121" s="6" t="s">
        <v>1109</v>
      </c>
      <c r="G121" s="6" t="s">
        <v>1787</v>
      </c>
      <c r="H121" s="6" t="s">
        <v>1788</v>
      </c>
      <c r="I121" s="6" t="s">
        <v>1789</v>
      </c>
      <c r="J121" s="6" t="s">
        <v>1790</v>
      </c>
      <c r="K121" s="6" t="s">
        <v>1791</v>
      </c>
      <c r="L121" s="6" t="s">
        <v>1792</v>
      </c>
      <c r="M121" s="6" t="s">
        <v>1793</v>
      </c>
      <c r="N121" s="6" t="s">
        <v>1794</v>
      </c>
      <c r="O121" s="6" t="s">
        <v>1795</v>
      </c>
      <c r="P121" s="6" t="s">
        <v>1796</v>
      </c>
      <c r="Q121" s="6" t="s">
        <v>532</v>
      </c>
    </row>
    <row r="122" spans="1:17" ht="36">
      <c r="A122" s="7" t="s">
        <v>1797</v>
      </c>
      <c r="B122" s="6" t="s">
        <v>1798</v>
      </c>
      <c r="C122" s="6" t="s">
        <v>1799</v>
      </c>
      <c r="D122" s="6" t="s">
        <v>1800</v>
      </c>
      <c r="E122" s="6" t="s">
        <v>1801</v>
      </c>
      <c r="F122" s="6" t="s">
        <v>1802</v>
      </c>
      <c r="G122" s="6" t="s">
        <v>1803</v>
      </c>
      <c r="H122" s="6" t="s">
        <v>1804</v>
      </c>
      <c r="I122" s="6" t="s">
        <v>1805</v>
      </c>
      <c r="J122" s="6" t="s">
        <v>1806</v>
      </c>
      <c r="K122" s="6" t="s">
        <v>1807</v>
      </c>
      <c r="L122" s="6" t="s">
        <v>1808</v>
      </c>
      <c r="M122" s="6" t="s">
        <v>1809</v>
      </c>
      <c r="N122" s="6" t="s">
        <v>1598</v>
      </c>
      <c r="O122" s="6" t="s">
        <v>1810</v>
      </c>
      <c r="P122" s="6" t="s">
        <v>1811</v>
      </c>
      <c r="Q122" s="6" t="s">
        <v>1812</v>
      </c>
    </row>
    <row r="123" spans="1:17" ht="36">
      <c r="A123" s="7" t="s">
        <v>1813</v>
      </c>
      <c r="B123" s="6" t="s">
        <v>573</v>
      </c>
      <c r="C123" s="6" t="s">
        <v>1814</v>
      </c>
      <c r="D123" s="6" t="s">
        <v>1815</v>
      </c>
      <c r="E123" s="6" t="s">
        <v>1816</v>
      </c>
      <c r="F123" s="6" t="s">
        <v>1817</v>
      </c>
      <c r="G123" s="6" t="s">
        <v>1818</v>
      </c>
      <c r="H123" s="6" t="s">
        <v>1819</v>
      </c>
      <c r="I123" s="6" t="s">
        <v>1820</v>
      </c>
      <c r="J123" s="6" t="s">
        <v>1821</v>
      </c>
      <c r="K123" s="6" t="s">
        <v>1822</v>
      </c>
      <c r="L123" s="6" t="s">
        <v>1823</v>
      </c>
      <c r="M123" s="6" t="s">
        <v>1824</v>
      </c>
      <c r="N123" s="6" t="s">
        <v>1825</v>
      </c>
      <c r="O123" s="6" t="s">
        <v>1826</v>
      </c>
      <c r="P123" s="6" t="s">
        <v>975</v>
      </c>
      <c r="Q123" s="6" t="s">
        <v>1827</v>
      </c>
    </row>
    <row r="124" spans="1:17" ht="36">
      <c r="A124" s="7" t="s">
        <v>1828</v>
      </c>
      <c r="B124" s="6" t="s">
        <v>1829</v>
      </c>
      <c r="C124" s="6" t="s">
        <v>1830</v>
      </c>
      <c r="D124" s="6" t="s">
        <v>1821</v>
      </c>
      <c r="E124" s="6" t="s">
        <v>1831</v>
      </c>
      <c r="F124" s="6" t="s">
        <v>537</v>
      </c>
      <c r="G124" s="6" t="s">
        <v>1832</v>
      </c>
      <c r="H124" s="6" t="s">
        <v>1833</v>
      </c>
      <c r="I124" s="6" t="s">
        <v>1834</v>
      </c>
      <c r="J124" s="6" t="s">
        <v>1835</v>
      </c>
      <c r="K124" s="6" t="s">
        <v>1836</v>
      </c>
      <c r="L124" s="6" t="s">
        <v>1837</v>
      </c>
      <c r="M124" s="6" t="s">
        <v>1838</v>
      </c>
      <c r="N124" s="6" t="s">
        <v>1839</v>
      </c>
      <c r="O124" s="6" t="s">
        <v>1840</v>
      </c>
      <c r="P124" s="6" t="s">
        <v>1359</v>
      </c>
      <c r="Q124" s="6" t="s">
        <v>1389</v>
      </c>
    </row>
    <row r="125" spans="1:17" ht="48">
      <c r="A125" s="7" t="s">
        <v>1841</v>
      </c>
      <c r="B125" s="6" t="s">
        <v>1842</v>
      </c>
      <c r="C125" s="6" t="s">
        <v>1843</v>
      </c>
      <c r="D125" s="6" t="s">
        <v>1844</v>
      </c>
      <c r="E125" s="6" t="s">
        <v>1845</v>
      </c>
      <c r="F125" s="6" t="s">
        <v>1846</v>
      </c>
      <c r="G125" s="6" t="s">
        <v>1847</v>
      </c>
      <c r="H125" s="6" t="s">
        <v>1848</v>
      </c>
      <c r="I125" s="6" t="s">
        <v>1849</v>
      </c>
      <c r="J125" s="6" t="s">
        <v>1850</v>
      </c>
      <c r="K125" s="6" t="s">
        <v>1851</v>
      </c>
      <c r="L125" s="6" t="s">
        <v>1852</v>
      </c>
      <c r="M125" s="6" t="s">
        <v>1853</v>
      </c>
      <c r="N125" s="6" t="s">
        <v>1854</v>
      </c>
      <c r="O125" s="6" t="s">
        <v>1855</v>
      </c>
      <c r="P125" s="6" t="s">
        <v>1856</v>
      </c>
      <c r="Q125" s="6" t="s">
        <v>532</v>
      </c>
    </row>
    <row r="126" spans="1:17" ht="36">
      <c r="A126" s="7" t="s">
        <v>1857</v>
      </c>
      <c r="B126" s="6" t="s">
        <v>1858</v>
      </c>
      <c r="C126" s="6" t="s">
        <v>1859</v>
      </c>
      <c r="D126" s="6" t="s">
        <v>1860</v>
      </c>
      <c r="E126" s="6" t="s">
        <v>1861</v>
      </c>
      <c r="F126" s="6" t="s">
        <v>1862</v>
      </c>
      <c r="G126" s="6" t="s">
        <v>1863</v>
      </c>
      <c r="H126" s="6" t="s">
        <v>1864</v>
      </c>
      <c r="I126" s="6" t="s">
        <v>1865</v>
      </c>
      <c r="J126" s="6" t="s">
        <v>1866</v>
      </c>
      <c r="K126" s="6" t="s">
        <v>1867</v>
      </c>
      <c r="L126" s="6" t="s">
        <v>1868</v>
      </c>
      <c r="M126" s="6" t="s">
        <v>1869</v>
      </c>
      <c r="N126" s="6" t="s">
        <v>1870</v>
      </c>
      <c r="O126" s="6" t="s">
        <v>1824</v>
      </c>
      <c r="P126" s="6" t="s">
        <v>1871</v>
      </c>
      <c r="Q126" s="6" t="s">
        <v>1872</v>
      </c>
    </row>
    <row r="127" spans="1:17" ht="48">
      <c r="A127" s="7" t="s">
        <v>1873</v>
      </c>
      <c r="B127" s="6" t="s">
        <v>1874</v>
      </c>
      <c r="C127" s="6" t="s">
        <v>1875</v>
      </c>
      <c r="D127" s="6" t="s">
        <v>1876</v>
      </c>
      <c r="E127" s="6" t="s">
        <v>1877</v>
      </c>
      <c r="F127" s="6" t="s">
        <v>1878</v>
      </c>
      <c r="G127" s="6" t="s">
        <v>1879</v>
      </c>
      <c r="H127" s="6" t="s">
        <v>1880</v>
      </c>
      <c r="I127" s="6" t="s">
        <v>1881</v>
      </c>
      <c r="J127" s="6" t="s">
        <v>1882</v>
      </c>
      <c r="K127" s="6" t="s">
        <v>1883</v>
      </c>
      <c r="L127" s="6" t="s">
        <v>1884</v>
      </c>
      <c r="M127" s="6" t="s">
        <v>1885</v>
      </c>
      <c r="N127" s="6" t="s">
        <v>1886</v>
      </c>
      <c r="O127" s="6" t="s">
        <v>1887</v>
      </c>
      <c r="P127" s="6" t="s">
        <v>1888</v>
      </c>
      <c r="Q127" s="6" t="s">
        <v>1868</v>
      </c>
    </row>
    <row r="128" spans="1:17" ht="24">
      <c r="A128" s="7" t="s">
        <v>1889</v>
      </c>
      <c r="B128" s="6" t="s">
        <v>313</v>
      </c>
      <c r="C128" s="6" t="s">
        <v>1890</v>
      </c>
      <c r="D128" s="6" t="s">
        <v>1891</v>
      </c>
      <c r="E128" s="6" t="s">
        <v>1892</v>
      </c>
      <c r="F128" s="6" t="s">
        <v>1893</v>
      </c>
      <c r="G128" s="6" t="s">
        <v>1894</v>
      </c>
      <c r="H128" s="6" t="s">
        <v>1895</v>
      </c>
      <c r="I128" s="6" t="s">
        <v>1896</v>
      </c>
      <c r="J128" s="6" t="s">
        <v>1897</v>
      </c>
      <c r="K128" s="6" t="s">
        <v>1898</v>
      </c>
      <c r="L128" s="6" t="s">
        <v>1899</v>
      </c>
      <c r="M128" s="6" t="s">
        <v>1900</v>
      </c>
      <c r="N128" s="6" t="s">
        <v>1901</v>
      </c>
      <c r="O128" s="6" t="s">
        <v>1902</v>
      </c>
      <c r="P128" s="6" t="s">
        <v>1293</v>
      </c>
      <c r="Q128" s="6" t="s">
        <v>1226</v>
      </c>
    </row>
    <row r="129" spans="1:17" ht="48">
      <c r="A129" s="7" t="s">
        <v>1903</v>
      </c>
      <c r="B129" s="6" t="s">
        <v>1904</v>
      </c>
      <c r="C129" s="6" t="s">
        <v>1905</v>
      </c>
      <c r="D129" s="6" t="s">
        <v>1906</v>
      </c>
      <c r="E129" s="6" t="s">
        <v>1907</v>
      </c>
      <c r="F129" s="6" t="s">
        <v>1908</v>
      </c>
      <c r="G129" s="6" t="s">
        <v>1909</v>
      </c>
      <c r="H129" s="6" t="s">
        <v>1910</v>
      </c>
      <c r="I129" s="6" t="s">
        <v>1911</v>
      </c>
      <c r="J129" s="6" t="s">
        <v>1912</v>
      </c>
      <c r="K129" s="6" t="s">
        <v>1913</v>
      </c>
      <c r="L129" s="6" t="s">
        <v>1914</v>
      </c>
      <c r="M129" s="6" t="s">
        <v>898</v>
      </c>
      <c r="N129" s="6" t="s">
        <v>1915</v>
      </c>
      <c r="O129" s="6" t="s">
        <v>1916</v>
      </c>
      <c r="P129" s="6" t="s">
        <v>1917</v>
      </c>
      <c r="Q129" s="6" t="s">
        <v>1918</v>
      </c>
    </row>
    <row r="130" spans="1:17" ht="48">
      <c r="A130" s="7" t="s">
        <v>1919</v>
      </c>
      <c r="B130" s="6" t="s">
        <v>1920</v>
      </c>
      <c r="C130" s="6" t="s">
        <v>1921</v>
      </c>
      <c r="D130" s="6" t="s">
        <v>1922</v>
      </c>
      <c r="E130" s="6" t="s">
        <v>1923</v>
      </c>
      <c r="F130" s="6" t="s">
        <v>1924</v>
      </c>
      <c r="G130" s="6" t="s">
        <v>1925</v>
      </c>
      <c r="H130" s="6" t="s">
        <v>1926</v>
      </c>
      <c r="I130" s="6" t="s">
        <v>1927</v>
      </c>
      <c r="J130" s="6" t="s">
        <v>1928</v>
      </c>
      <c r="K130" s="6" t="s">
        <v>1929</v>
      </c>
      <c r="L130" s="6" t="s">
        <v>1930</v>
      </c>
      <c r="M130" s="6" t="s">
        <v>1931</v>
      </c>
      <c r="N130" s="6" t="s">
        <v>1932</v>
      </c>
      <c r="O130" s="6" t="s">
        <v>1933</v>
      </c>
      <c r="P130" s="6" t="s">
        <v>1067</v>
      </c>
      <c r="Q130" s="6" t="s">
        <v>1934</v>
      </c>
    </row>
    <row r="131" spans="1:17" ht="36">
      <c r="A131" s="7" t="s">
        <v>1935</v>
      </c>
      <c r="B131" s="6" t="s">
        <v>1936</v>
      </c>
      <c r="C131" s="6" t="s">
        <v>1937</v>
      </c>
      <c r="D131" s="6" t="s">
        <v>1938</v>
      </c>
      <c r="E131" s="6" t="s">
        <v>1939</v>
      </c>
      <c r="F131" s="6" t="s">
        <v>1940</v>
      </c>
      <c r="G131" s="6" t="s">
        <v>1941</v>
      </c>
      <c r="H131" s="6" t="s">
        <v>1942</v>
      </c>
      <c r="I131" s="6" t="s">
        <v>1943</v>
      </c>
      <c r="J131" s="6" t="s">
        <v>1944</v>
      </c>
      <c r="K131" s="6" t="s">
        <v>1945</v>
      </c>
      <c r="L131" s="6" t="s">
        <v>1946</v>
      </c>
      <c r="M131" s="6" t="s">
        <v>1947</v>
      </c>
      <c r="N131" s="6" t="s">
        <v>1948</v>
      </c>
      <c r="O131" s="6" t="s">
        <v>1949</v>
      </c>
      <c r="P131" s="6" t="s">
        <v>1950</v>
      </c>
      <c r="Q131" s="6" t="s">
        <v>1951</v>
      </c>
    </row>
    <row r="132" spans="1:17" ht="36">
      <c r="A132" s="7" t="s">
        <v>1952</v>
      </c>
      <c r="B132" s="6" t="s">
        <v>1953</v>
      </c>
      <c r="C132" s="6" t="s">
        <v>1954</v>
      </c>
      <c r="D132" s="6" t="s">
        <v>1955</v>
      </c>
      <c r="E132" s="6" t="s">
        <v>366</v>
      </c>
      <c r="F132" s="6" t="s">
        <v>1956</v>
      </c>
      <c r="G132" s="6" t="s">
        <v>1957</v>
      </c>
      <c r="H132" s="6" t="s">
        <v>1958</v>
      </c>
      <c r="I132" s="6" t="s">
        <v>1959</v>
      </c>
      <c r="J132" s="6" t="s">
        <v>1960</v>
      </c>
      <c r="K132" s="6" t="s">
        <v>1961</v>
      </c>
      <c r="L132" s="6" t="s">
        <v>1898</v>
      </c>
      <c r="M132" s="6" t="s">
        <v>1962</v>
      </c>
      <c r="N132" s="6" t="s">
        <v>1963</v>
      </c>
      <c r="O132" s="6" t="s">
        <v>1964</v>
      </c>
      <c r="P132" s="6" t="s">
        <v>1965</v>
      </c>
      <c r="Q132" s="6" t="s">
        <v>1966</v>
      </c>
    </row>
    <row r="133" spans="1:17" ht="36">
      <c r="A133" s="7" t="s">
        <v>1967</v>
      </c>
      <c r="B133" s="6" t="s">
        <v>1968</v>
      </c>
      <c r="C133" s="6" t="s">
        <v>1969</v>
      </c>
      <c r="D133" s="6" t="s">
        <v>1970</v>
      </c>
      <c r="E133" s="6" t="s">
        <v>1971</v>
      </c>
      <c r="F133" s="6" t="s">
        <v>1972</v>
      </c>
      <c r="G133" s="6" t="s">
        <v>1973</v>
      </c>
      <c r="H133" s="6" t="s">
        <v>1974</v>
      </c>
      <c r="I133" s="6" t="s">
        <v>1975</v>
      </c>
      <c r="J133" s="6" t="s">
        <v>1976</v>
      </c>
      <c r="K133" s="6" t="s">
        <v>1977</v>
      </c>
      <c r="L133" s="6" t="s">
        <v>1978</v>
      </c>
      <c r="M133" s="6" t="s">
        <v>1979</v>
      </c>
      <c r="N133" s="6" t="s">
        <v>1980</v>
      </c>
      <c r="O133" s="6" t="s">
        <v>1981</v>
      </c>
      <c r="P133" s="6" t="s">
        <v>1982</v>
      </c>
      <c r="Q133" s="6" t="s">
        <v>1983</v>
      </c>
    </row>
    <row r="134" spans="1:17" ht="48">
      <c r="A134" s="7" t="s">
        <v>1984</v>
      </c>
      <c r="B134" s="6" t="s">
        <v>1985</v>
      </c>
      <c r="C134" s="6" t="s">
        <v>1986</v>
      </c>
      <c r="D134" s="6" t="s">
        <v>1987</v>
      </c>
      <c r="E134" s="6" t="s">
        <v>1988</v>
      </c>
      <c r="F134" s="6" t="s">
        <v>1989</v>
      </c>
      <c r="G134" s="6" t="s">
        <v>1990</v>
      </c>
      <c r="H134" s="6" t="s">
        <v>1991</v>
      </c>
      <c r="I134" s="6" t="s">
        <v>1992</v>
      </c>
      <c r="J134" s="6" t="s">
        <v>1993</v>
      </c>
      <c r="K134" s="6" t="s">
        <v>1994</v>
      </c>
      <c r="L134" s="6" t="s">
        <v>1995</v>
      </c>
      <c r="M134" s="6" t="s">
        <v>1996</v>
      </c>
      <c r="N134" s="6" t="s">
        <v>1997</v>
      </c>
      <c r="O134" s="6" t="s">
        <v>1998</v>
      </c>
      <c r="P134" s="6" t="s">
        <v>1999</v>
      </c>
      <c r="Q134" s="6" t="s">
        <v>571</v>
      </c>
    </row>
    <row r="135" spans="1:17" ht="24">
      <c r="A135" s="7" t="s">
        <v>2000</v>
      </c>
      <c r="B135" s="6" t="s">
        <v>605</v>
      </c>
      <c r="C135" s="6" t="s">
        <v>2001</v>
      </c>
      <c r="D135" s="6" t="s">
        <v>2002</v>
      </c>
      <c r="E135" s="6" t="s">
        <v>2003</v>
      </c>
      <c r="F135" s="6" t="s">
        <v>2004</v>
      </c>
      <c r="G135" s="6" t="s">
        <v>2005</v>
      </c>
      <c r="H135" s="6" t="s">
        <v>2006</v>
      </c>
      <c r="I135" s="6" t="s">
        <v>2007</v>
      </c>
      <c r="J135" s="6" t="s">
        <v>2008</v>
      </c>
      <c r="K135" s="6" t="s">
        <v>2009</v>
      </c>
      <c r="L135" s="6" t="s">
        <v>2010</v>
      </c>
      <c r="M135" s="6" t="s">
        <v>2011</v>
      </c>
      <c r="N135" s="6" t="s">
        <v>2012</v>
      </c>
      <c r="O135" s="6" t="s">
        <v>2013</v>
      </c>
      <c r="P135" s="6" t="s">
        <v>2014</v>
      </c>
      <c r="Q135" s="6" t="s">
        <v>2015</v>
      </c>
    </row>
    <row r="136" spans="1:17" ht="48">
      <c r="A136" s="7" t="s">
        <v>2016</v>
      </c>
      <c r="B136" s="6" t="s">
        <v>2017</v>
      </c>
      <c r="C136" s="6" t="s">
        <v>2018</v>
      </c>
      <c r="D136" s="6" t="s">
        <v>2019</v>
      </c>
      <c r="E136" s="6" t="s">
        <v>2020</v>
      </c>
      <c r="F136" s="6" t="s">
        <v>2021</v>
      </c>
      <c r="G136" s="6" t="s">
        <v>2022</v>
      </c>
      <c r="H136" s="6" t="s">
        <v>2023</v>
      </c>
      <c r="I136" s="6" t="s">
        <v>2024</v>
      </c>
      <c r="J136" s="6" t="s">
        <v>2025</v>
      </c>
      <c r="K136" s="6" t="s">
        <v>2026</v>
      </c>
      <c r="L136" s="6" t="s">
        <v>2027</v>
      </c>
      <c r="M136" s="6" t="s">
        <v>2028</v>
      </c>
      <c r="N136" s="6" t="s">
        <v>2029</v>
      </c>
      <c r="O136" s="6" t="s">
        <v>2030</v>
      </c>
      <c r="P136" s="6" t="s">
        <v>2031</v>
      </c>
      <c r="Q136" s="6" t="s">
        <v>529</v>
      </c>
    </row>
    <row r="137" spans="1:17" ht="48">
      <c r="A137" s="7" t="s">
        <v>2032</v>
      </c>
      <c r="B137" s="6" t="s">
        <v>1968</v>
      </c>
      <c r="C137" s="6" t="s">
        <v>2033</v>
      </c>
      <c r="D137" s="6" t="s">
        <v>2034</v>
      </c>
      <c r="E137" s="6" t="s">
        <v>2035</v>
      </c>
      <c r="F137" s="6" t="s">
        <v>2036</v>
      </c>
      <c r="G137" s="6" t="s">
        <v>2037</v>
      </c>
      <c r="H137" s="6" t="s">
        <v>2038</v>
      </c>
      <c r="I137" s="6" t="s">
        <v>2039</v>
      </c>
      <c r="J137" s="6" t="s">
        <v>2040</v>
      </c>
      <c r="K137" s="6" t="s">
        <v>2041</v>
      </c>
      <c r="L137" s="6" t="s">
        <v>2042</v>
      </c>
      <c r="M137" s="6" t="s">
        <v>2043</v>
      </c>
      <c r="N137" s="6" t="s">
        <v>2044</v>
      </c>
      <c r="O137" s="6" t="s">
        <v>2045</v>
      </c>
      <c r="P137" s="6" t="s">
        <v>2046</v>
      </c>
      <c r="Q137" s="6" t="s">
        <v>2047</v>
      </c>
    </row>
    <row r="138" spans="1:17" ht="36">
      <c r="A138" s="7" t="s">
        <v>2048</v>
      </c>
      <c r="B138" s="6" t="s">
        <v>2049</v>
      </c>
      <c r="C138" s="6" t="s">
        <v>2050</v>
      </c>
      <c r="D138" s="6" t="s">
        <v>2051</v>
      </c>
      <c r="E138" s="6" t="s">
        <v>2052</v>
      </c>
      <c r="F138" s="6" t="s">
        <v>2053</v>
      </c>
      <c r="G138" s="6" t="s">
        <v>2054</v>
      </c>
      <c r="H138" s="6" t="s">
        <v>2055</v>
      </c>
      <c r="I138" s="6" t="s">
        <v>2056</v>
      </c>
      <c r="J138" s="6" t="s">
        <v>2057</v>
      </c>
      <c r="K138" s="6" t="s">
        <v>2058</v>
      </c>
      <c r="L138" s="6" t="s">
        <v>2059</v>
      </c>
      <c r="M138" s="6" t="s">
        <v>330</v>
      </c>
      <c r="N138" s="6" t="s">
        <v>2060</v>
      </c>
      <c r="O138" s="6" t="s">
        <v>2061</v>
      </c>
      <c r="P138" s="6" t="s">
        <v>2062</v>
      </c>
      <c r="Q138" s="6" t="s">
        <v>2063</v>
      </c>
    </row>
    <row r="139" spans="1:17" ht="24">
      <c r="A139" s="7" t="s">
        <v>2064</v>
      </c>
      <c r="B139" s="6" t="s">
        <v>2065</v>
      </c>
      <c r="C139" s="6" t="s">
        <v>2066</v>
      </c>
      <c r="D139" s="6" t="s">
        <v>2067</v>
      </c>
      <c r="E139" s="6" t="s">
        <v>2068</v>
      </c>
      <c r="F139" s="6" t="s">
        <v>2069</v>
      </c>
      <c r="G139" s="6" t="s">
        <v>2070</v>
      </c>
      <c r="H139" s="6" t="s">
        <v>2071</v>
      </c>
      <c r="I139" s="6" t="s">
        <v>2072</v>
      </c>
      <c r="J139" s="6" t="s">
        <v>2073</v>
      </c>
      <c r="K139" s="6" t="s">
        <v>2074</v>
      </c>
      <c r="L139" s="6" t="s">
        <v>2075</v>
      </c>
      <c r="M139" s="6" t="s">
        <v>2076</v>
      </c>
      <c r="N139" s="6" t="s">
        <v>2077</v>
      </c>
      <c r="O139" s="6" t="s">
        <v>2078</v>
      </c>
      <c r="P139" s="6" t="s">
        <v>2079</v>
      </c>
      <c r="Q139" s="6" t="s">
        <v>2080</v>
      </c>
    </row>
    <row r="140" spans="1:17" ht="24">
      <c r="A140" s="7" t="s">
        <v>2081</v>
      </c>
      <c r="B140" s="6" t="s">
        <v>837</v>
      </c>
      <c r="C140" s="6" t="s">
        <v>2082</v>
      </c>
      <c r="D140" s="6" t="s">
        <v>2083</v>
      </c>
      <c r="E140" s="6" t="s">
        <v>2084</v>
      </c>
      <c r="F140" s="6" t="s">
        <v>2085</v>
      </c>
      <c r="G140" s="6" t="s">
        <v>2086</v>
      </c>
      <c r="H140" s="6" t="s">
        <v>2087</v>
      </c>
      <c r="I140" s="6" t="s">
        <v>2088</v>
      </c>
      <c r="J140" s="6" t="s">
        <v>2089</v>
      </c>
      <c r="K140" s="6" t="s">
        <v>2090</v>
      </c>
      <c r="L140" s="6" t="s">
        <v>2091</v>
      </c>
      <c r="M140" s="6" t="s">
        <v>2092</v>
      </c>
      <c r="N140" s="6" t="s">
        <v>2093</v>
      </c>
      <c r="O140" s="6" t="s">
        <v>2094</v>
      </c>
      <c r="P140" s="6" t="s">
        <v>2095</v>
      </c>
      <c r="Q140" s="6" t="s">
        <v>2096</v>
      </c>
    </row>
    <row r="141" spans="1:17" ht="24">
      <c r="A141" s="7" t="s">
        <v>2097</v>
      </c>
      <c r="B141" s="6" t="s">
        <v>2098</v>
      </c>
      <c r="C141" s="6" t="s">
        <v>2099</v>
      </c>
      <c r="D141" s="6" t="s">
        <v>2100</v>
      </c>
      <c r="E141" s="6" t="s">
        <v>2101</v>
      </c>
      <c r="F141" s="6" t="s">
        <v>2102</v>
      </c>
      <c r="G141" s="6" t="s">
        <v>2103</v>
      </c>
      <c r="H141" s="6" t="s">
        <v>2104</v>
      </c>
      <c r="I141" s="6" t="s">
        <v>2105</v>
      </c>
      <c r="J141" s="6" t="s">
        <v>2106</v>
      </c>
      <c r="K141" s="6" t="s">
        <v>2107</v>
      </c>
      <c r="L141" s="6" t="s">
        <v>2108</v>
      </c>
      <c r="M141" s="6" t="s">
        <v>2109</v>
      </c>
      <c r="N141" s="6" t="s">
        <v>2110</v>
      </c>
      <c r="O141" s="6" t="s">
        <v>2111</v>
      </c>
      <c r="P141" s="6" t="s">
        <v>2112</v>
      </c>
      <c r="Q141" s="6" t="s">
        <v>2113</v>
      </c>
    </row>
    <row r="142" spans="1:17" ht="24">
      <c r="A142" s="7" t="s">
        <v>2114</v>
      </c>
      <c r="B142" s="6" t="s">
        <v>2115</v>
      </c>
      <c r="C142" s="6" t="s">
        <v>2116</v>
      </c>
      <c r="D142" s="6" t="s">
        <v>2117</v>
      </c>
      <c r="E142" s="6" t="s">
        <v>2118</v>
      </c>
      <c r="F142" s="6" t="s">
        <v>2119</v>
      </c>
      <c r="G142" s="6" t="s">
        <v>2120</v>
      </c>
      <c r="H142" s="6" t="s">
        <v>2121</v>
      </c>
      <c r="I142" s="6" t="s">
        <v>2122</v>
      </c>
      <c r="J142" s="6" t="s">
        <v>2123</v>
      </c>
      <c r="K142" s="6" t="s">
        <v>2124</v>
      </c>
      <c r="L142" s="6" t="s">
        <v>2125</v>
      </c>
      <c r="M142" s="6" t="s">
        <v>2126</v>
      </c>
      <c r="N142" s="6" t="s">
        <v>2127</v>
      </c>
      <c r="O142" s="6" t="s">
        <v>2128</v>
      </c>
      <c r="P142" s="6" t="s">
        <v>2129</v>
      </c>
      <c r="Q142" s="6" t="s">
        <v>2130</v>
      </c>
    </row>
    <row r="143" spans="1:17" ht="24">
      <c r="A143" s="7" t="s">
        <v>2131</v>
      </c>
      <c r="B143" s="6" t="s">
        <v>2132</v>
      </c>
      <c r="C143" s="6" t="s">
        <v>2133</v>
      </c>
      <c r="D143" s="6" t="s">
        <v>2134</v>
      </c>
      <c r="E143" s="6" t="s">
        <v>2135</v>
      </c>
      <c r="F143" s="6" t="s">
        <v>2136</v>
      </c>
      <c r="G143" s="6" t="s">
        <v>2137</v>
      </c>
      <c r="H143" s="6" t="s">
        <v>536</v>
      </c>
      <c r="I143" s="6" t="s">
        <v>2138</v>
      </c>
      <c r="J143" s="6" t="s">
        <v>2139</v>
      </c>
      <c r="K143" s="6" t="s">
        <v>2140</v>
      </c>
      <c r="L143" s="6" t="s">
        <v>2141</v>
      </c>
      <c r="M143" s="6" t="s">
        <v>2142</v>
      </c>
      <c r="N143" s="6" t="s">
        <v>2143</v>
      </c>
      <c r="O143" s="6" t="s">
        <v>2144</v>
      </c>
      <c r="P143" s="6" t="s">
        <v>2145</v>
      </c>
      <c r="Q143" s="6" t="s">
        <v>2146</v>
      </c>
    </row>
    <row r="144" spans="1:17" ht="36">
      <c r="A144" s="7" t="s">
        <v>2147</v>
      </c>
      <c r="B144" s="6" t="s">
        <v>2148</v>
      </c>
      <c r="C144" s="6" t="s">
        <v>2149</v>
      </c>
      <c r="D144" s="6" t="s">
        <v>2150</v>
      </c>
      <c r="E144" s="6" t="s">
        <v>2151</v>
      </c>
      <c r="F144" s="6" t="s">
        <v>2152</v>
      </c>
      <c r="G144" s="6" t="s">
        <v>2153</v>
      </c>
      <c r="H144" s="6" t="s">
        <v>2154</v>
      </c>
      <c r="I144" s="6" t="s">
        <v>504</v>
      </c>
      <c r="J144" s="6" t="s">
        <v>2155</v>
      </c>
      <c r="K144" s="6" t="s">
        <v>2156</v>
      </c>
      <c r="L144" s="6" t="s">
        <v>2157</v>
      </c>
      <c r="M144" s="6" t="s">
        <v>2158</v>
      </c>
      <c r="N144" s="6" t="s">
        <v>2159</v>
      </c>
      <c r="O144" s="6" t="s">
        <v>2160</v>
      </c>
      <c r="P144" s="6" t="s">
        <v>2161</v>
      </c>
      <c r="Q144" s="6" t="s">
        <v>2162</v>
      </c>
    </row>
    <row r="145" spans="1:17" ht="36">
      <c r="A145" s="7" t="s">
        <v>2163</v>
      </c>
      <c r="B145" s="6" t="s">
        <v>2164</v>
      </c>
      <c r="C145" s="6" t="s">
        <v>2165</v>
      </c>
      <c r="D145" s="6" t="s">
        <v>2166</v>
      </c>
      <c r="E145" s="6" t="s">
        <v>2167</v>
      </c>
      <c r="F145" s="6" t="s">
        <v>2168</v>
      </c>
      <c r="G145" s="6" t="s">
        <v>2169</v>
      </c>
      <c r="H145" s="6" t="s">
        <v>2170</v>
      </c>
      <c r="I145" s="6" t="s">
        <v>2171</v>
      </c>
      <c r="J145" s="6" t="s">
        <v>2172</v>
      </c>
      <c r="K145" s="6" t="s">
        <v>2173</v>
      </c>
      <c r="L145" s="6" t="s">
        <v>2174</v>
      </c>
      <c r="M145" s="6" t="s">
        <v>2175</v>
      </c>
      <c r="N145" s="6" t="s">
        <v>2176</v>
      </c>
      <c r="O145" s="6" t="s">
        <v>2177</v>
      </c>
      <c r="P145" s="6" t="s">
        <v>2178</v>
      </c>
      <c r="Q145" s="6" t="s">
        <v>883</v>
      </c>
    </row>
    <row r="146" spans="1:17" ht="24">
      <c r="A146" s="8" t="s">
        <v>2179</v>
      </c>
      <c r="B146" s="9" t="s">
        <v>2180</v>
      </c>
      <c r="C146" s="9" t="s">
        <v>2181</v>
      </c>
      <c r="D146" s="9" t="s">
        <v>2182</v>
      </c>
      <c r="E146" s="9" t="s">
        <v>2183</v>
      </c>
      <c r="F146" s="9" t="s">
        <v>2184</v>
      </c>
      <c r="G146" s="9" t="s">
        <v>2185</v>
      </c>
      <c r="H146" s="9" t="s">
        <v>2186</v>
      </c>
      <c r="I146" s="9" t="s">
        <v>2187</v>
      </c>
      <c r="J146" s="9" t="s">
        <v>2188</v>
      </c>
      <c r="K146" s="9" t="s">
        <v>2189</v>
      </c>
      <c r="L146" s="9" t="s">
        <v>2190</v>
      </c>
      <c r="M146" s="9" t="s">
        <v>2191</v>
      </c>
      <c r="N146" s="9" t="s">
        <v>2192</v>
      </c>
      <c r="O146" s="9" t="s">
        <v>2193</v>
      </c>
      <c r="P146" s="9" t="s">
        <v>2194</v>
      </c>
      <c r="Q146" s="9" t="s">
        <v>2195</v>
      </c>
    </row>
    <row r="147" spans="1:17" ht="15.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</row>
    <row r="148" spans="1:17" ht="15.6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spans="1:17">
      <c r="A149" s="12" t="s">
        <v>2196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>
      <c r="A150" s="3" t="s">
        <v>159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1:17">
      <c r="A151" s="127" t="s">
        <v>160</v>
      </c>
      <c r="B151" s="131" t="s">
        <v>161</v>
      </c>
      <c r="C151" s="135" t="s">
        <v>162</v>
      </c>
      <c r="D151" s="125"/>
      <c r="E151" s="125"/>
      <c r="F151" s="125"/>
      <c r="G151" s="125"/>
      <c r="H151" s="125"/>
      <c r="I151" s="125"/>
      <c r="J151" s="126"/>
      <c r="K151" s="135" t="s">
        <v>163</v>
      </c>
      <c r="L151" s="125"/>
      <c r="M151" s="126"/>
      <c r="N151" s="135" t="s">
        <v>164</v>
      </c>
      <c r="O151" s="125"/>
      <c r="P151" s="125"/>
      <c r="Q151" s="125"/>
    </row>
    <row r="152" spans="1:17">
      <c r="A152" s="128"/>
      <c r="B152" s="132"/>
      <c r="C152" s="132"/>
      <c r="D152" s="131" t="s">
        <v>165</v>
      </c>
      <c r="E152" s="131" t="s">
        <v>166</v>
      </c>
      <c r="F152" s="131" t="s">
        <v>167</v>
      </c>
      <c r="G152" s="135" t="s">
        <v>168</v>
      </c>
      <c r="H152" s="125"/>
      <c r="I152" s="125"/>
      <c r="J152" s="126"/>
      <c r="K152" s="132"/>
      <c r="L152" s="135" t="s">
        <v>169</v>
      </c>
      <c r="M152" s="13"/>
      <c r="N152" s="132"/>
      <c r="O152" s="135" t="s">
        <v>170</v>
      </c>
      <c r="P152" s="125"/>
      <c r="Q152" s="125"/>
    </row>
    <row r="153" spans="1:17">
      <c r="A153" s="128"/>
      <c r="B153" s="132"/>
      <c r="C153" s="132"/>
      <c r="D153" s="132"/>
      <c r="E153" s="132"/>
      <c r="F153" s="132"/>
      <c r="G153" s="132"/>
      <c r="H153" s="131" t="s">
        <v>171</v>
      </c>
      <c r="I153" s="135" t="s">
        <v>854</v>
      </c>
      <c r="J153" s="13"/>
      <c r="K153" s="132"/>
      <c r="L153" s="132"/>
      <c r="M153" s="131" t="s">
        <v>173</v>
      </c>
      <c r="N153" s="132"/>
      <c r="O153" s="132"/>
      <c r="P153" s="131" t="s">
        <v>174</v>
      </c>
      <c r="Q153" s="135" t="s">
        <v>175</v>
      </c>
    </row>
    <row r="154" spans="1:17">
      <c r="A154" s="129"/>
      <c r="B154" s="133"/>
      <c r="C154" s="133"/>
      <c r="D154" s="133"/>
      <c r="E154" s="133"/>
      <c r="F154" s="133"/>
      <c r="G154" s="133"/>
      <c r="H154" s="133"/>
      <c r="I154" s="133"/>
      <c r="J154" s="14" t="s">
        <v>176</v>
      </c>
      <c r="K154" s="133"/>
      <c r="L154" s="133"/>
      <c r="M154" s="133"/>
      <c r="N154" s="133"/>
      <c r="O154" s="133"/>
      <c r="P154" s="133"/>
      <c r="Q154" s="137"/>
    </row>
    <row r="155" spans="1:17" ht="36">
      <c r="A155" s="7" t="s">
        <v>2197</v>
      </c>
      <c r="B155" s="6" t="s">
        <v>1114</v>
      </c>
      <c r="C155" s="6" t="s">
        <v>2198</v>
      </c>
      <c r="D155" s="6" t="s">
        <v>2199</v>
      </c>
      <c r="E155" s="6" t="s">
        <v>2200</v>
      </c>
      <c r="F155" s="6" t="s">
        <v>2201</v>
      </c>
      <c r="G155" s="6" t="s">
        <v>2202</v>
      </c>
      <c r="H155" s="6" t="s">
        <v>2203</v>
      </c>
      <c r="I155" s="6" t="s">
        <v>2204</v>
      </c>
      <c r="J155" s="6" t="s">
        <v>2205</v>
      </c>
      <c r="K155" s="6" t="s">
        <v>2206</v>
      </c>
      <c r="L155" s="6" t="s">
        <v>2207</v>
      </c>
      <c r="M155" s="6" t="s">
        <v>2208</v>
      </c>
      <c r="N155" s="6" t="s">
        <v>2209</v>
      </c>
      <c r="O155" s="6" t="s">
        <v>2210</v>
      </c>
      <c r="P155" s="6" t="s">
        <v>2211</v>
      </c>
      <c r="Q155" s="6" t="s">
        <v>2212</v>
      </c>
    </row>
    <row r="156" spans="1:17" ht="48">
      <c r="A156" s="7" t="s">
        <v>2213</v>
      </c>
      <c r="B156" s="6" t="s">
        <v>1669</v>
      </c>
      <c r="C156" s="6" t="s">
        <v>2214</v>
      </c>
      <c r="D156" s="6" t="s">
        <v>2215</v>
      </c>
      <c r="E156" s="6" t="s">
        <v>2216</v>
      </c>
      <c r="F156" s="6" t="s">
        <v>2217</v>
      </c>
      <c r="G156" s="6" t="s">
        <v>2218</v>
      </c>
      <c r="H156" s="6" t="s">
        <v>2219</v>
      </c>
      <c r="I156" s="6" t="s">
        <v>2220</v>
      </c>
      <c r="J156" s="6" t="s">
        <v>1514</v>
      </c>
      <c r="K156" s="6" t="s">
        <v>2221</v>
      </c>
      <c r="L156" s="6" t="s">
        <v>2222</v>
      </c>
      <c r="M156" s="6" t="s">
        <v>2223</v>
      </c>
      <c r="N156" s="6" t="s">
        <v>2224</v>
      </c>
      <c r="O156" s="6" t="s">
        <v>2225</v>
      </c>
      <c r="P156" s="6" t="s">
        <v>2226</v>
      </c>
      <c r="Q156" s="6" t="s">
        <v>2227</v>
      </c>
    </row>
    <row r="157" spans="1:17" ht="48">
      <c r="A157" s="7" t="s">
        <v>2228</v>
      </c>
      <c r="B157" s="6" t="s">
        <v>2229</v>
      </c>
      <c r="C157" s="6" t="s">
        <v>2230</v>
      </c>
      <c r="D157" s="6" t="s">
        <v>2231</v>
      </c>
      <c r="E157" s="6" t="s">
        <v>2232</v>
      </c>
      <c r="F157" s="6" t="s">
        <v>2233</v>
      </c>
      <c r="G157" s="6" t="s">
        <v>2234</v>
      </c>
      <c r="H157" s="6" t="s">
        <v>2235</v>
      </c>
      <c r="I157" s="6" t="s">
        <v>2236</v>
      </c>
      <c r="J157" s="6" t="s">
        <v>2237</v>
      </c>
      <c r="K157" s="6" t="s">
        <v>2238</v>
      </c>
      <c r="L157" s="6" t="s">
        <v>2239</v>
      </c>
      <c r="M157" s="6" t="s">
        <v>2240</v>
      </c>
      <c r="N157" s="6" t="s">
        <v>2241</v>
      </c>
      <c r="O157" s="6" t="s">
        <v>2242</v>
      </c>
      <c r="P157" s="6" t="s">
        <v>1095</v>
      </c>
      <c r="Q157" s="6" t="s">
        <v>2243</v>
      </c>
    </row>
    <row r="158" spans="1:17" ht="60">
      <c r="A158" s="7" t="s">
        <v>2244</v>
      </c>
      <c r="B158" s="6" t="s">
        <v>2245</v>
      </c>
      <c r="C158" s="6" t="s">
        <v>2246</v>
      </c>
      <c r="D158" s="6" t="s">
        <v>2247</v>
      </c>
      <c r="E158" s="6" t="s">
        <v>2248</v>
      </c>
      <c r="F158" s="6" t="s">
        <v>2249</v>
      </c>
      <c r="G158" s="6" t="s">
        <v>2250</v>
      </c>
      <c r="H158" s="6" t="s">
        <v>2251</v>
      </c>
      <c r="I158" s="6" t="s">
        <v>2252</v>
      </c>
      <c r="J158" s="6" t="s">
        <v>2253</v>
      </c>
      <c r="K158" s="6" t="s">
        <v>2254</v>
      </c>
      <c r="L158" s="6" t="s">
        <v>2255</v>
      </c>
      <c r="M158" s="6" t="s">
        <v>2256</v>
      </c>
      <c r="N158" s="6" t="s">
        <v>2257</v>
      </c>
      <c r="O158" s="6" t="s">
        <v>2258</v>
      </c>
      <c r="P158" s="6" t="s">
        <v>2259</v>
      </c>
      <c r="Q158" s="6" t="s">
        <v>945</v>
      </c>
    </row>
    <row r="159" spans="1:17" ht="36">
      <c r="A159" s="7" t="s">
        <v>2260</v>
      </c>
      <c r="B159" s="6" t="s">
        <v>2261</v>
      </c>
      <c r="C159" s="6" t="s">
        <v>2262</v>
      </c>
      <c r="D159" s="6" t="s">
        <v>2263</v>
      </c>
      <c r="E159" s="6" t="s">
        <v>2264</v>
      </c>
      <c r="F159" s="6" t="s">
        <v>2265</v>
      </c>
      <c r="G159" s="6" t="s">
        <v>2266</v>
      </c>
      <c r="H159" s="6" t="s">
        <v>2267</v>
      </c>
      <c r="I159" s="6" t="s">
        <v>2268</v>
      </c>
      <c r="J159" s="6" t="s">
        <v>2269</v>
      </c>
      <c r="K159" s="6" t="s">
        <v>2270</v>
      </c>
      <c r="L159" s="6" t="s">
        <v>2271</v>
      </c>
      <c r="M159" s="6" t="s">
        <v>2272</v>
      </c>
      <c r="N159" s="6" t="s">
        <v>2273</v>
      </c>
      <c r="O159" s="6" t="s">
        <v>2274</v>
      </c>
      <c r="P159" s="6" t="s">
        <v>982</v>
      </c>
      <c r="Q159" s="15"/>
    </row>
    <row r="160" spans="1:17" ht="48">
      <c r="A160" s="7" t="s">
        <v>2275</v>
      </c>
      <c r="B160" s="6" t="s">
        <v>2276</v>
      </c>
      <c r="C160" s="6" t="s">
        <v>2277</v>
      </c>
      <c r="D160" s="6" t="s">
        <v>2278</v>
      </c>
      <c r="E160" s="6" t="s">
        <v>2279</v>
      </c>
      <c r="F160" s="6" t="s">
        <v>2280</v>
      </c>
      <c r="G160" s="6" t="s">
        <v>2281</v>
      </c>
      <c r="H160" s="6" t="s">
        <v>2282</v>
      </c>
      <c r="I160" s="6" t="s">
        <v>2283</v>
      </c>
      <c r="J160" s="6" t="s">
        <v>2284</v>
      </c>
      <c r="K160" s="6" t="s">
        <v>2285</v>
      </c>
      <c r="L160" s="6" t="s">
        <v>2286</v>
      </c>
      <c r="M160" s="6" t="s">
        <v>2287</v>
      </c>
      <c r="N160" s="6" t="s">
        <v>2288</v>
      </c>
      <c r="O160" s="6" t="s">
        <v>2289</v>
      </c>
      <c r="P160" s="6" t="s">
        <v>668</v>
      </c>
      <c r="Q160" s="6" t="s">
        <v>2290</v>
      </c>
    </row>
    <row r="161" spans="1:17" ht="36">
      <c r="A161" s="7" t="s">
        <v>2291</v>
      </c>
      <c r="B161" s="6" t="s">
        <v>2292</v>
      </c>
      <c r="C161" s="6" t="s">
        <v>2293</v>
      </c>
      <c r="D161" s="6" t="s">
        <v>2294</v>
      </c>
      <c r="E161" s="6" t="s">
        <v>2295</v>
      </c>
      <c r="F161" s="6" t="s">
        <v>2296</v>
      </c>
      <c r="G161" s="6" t="s">
        <v>2297</v>
      </c>
      <c r="H161" s="6" t="s">
        <v>2298</v>
      </c>
      <c r="I161" s="6" t="s">
        <v>2299</v>
      </c>
      <c r="J161" s="6" t="s">
        <v>2300</v>
      </c>
      <c r="K161" s="6" t="s">
        <v>2301</v>
      </c>
      <c r="L161" s="6" t="s">
        <v>2302</v>
      </c>
      <c r="M161" s="6" t="s">
        <v>2303</v>
      </c>
      <c r="N161" s="6" t="s">
        <v>2304</v>
      </c>
      <c r="O161" s="6" t="s">
        <v>2305</v>
      </c>
      <c r="P161" s="6" t="s">
        <v>2306</v>
      </c>
      <c r="Q161" s="6" t="s">
        <v>2307</v>
      </c>
    </row>
    <row r="162" spans="1:17" ht="24">
      <c r="A162" s="7" t="s">
        <v>2308</v>
      </c>
      <c r="B162" s="6" t="s">
        <v>2309</v>
      </c>
      <c r="C162" s="6" t="s">
        <v>2310</v>
      </c>
      <c r="D162" s="6" t="s">
        <v>2311</v>
      </c>
      <c r="E162" s="6" t="s">
        <v>2312</v>
      </c>
      <c r="F162" s="6" t="s">
        <v>2313</v>
      </c>
      <c r="G162" s="6" t="s">
        <v>2314</v>
      </c>
      <c r="H162" s="6" t="s">
        <v>2315</v>
      </c>
      <c r="I162" s="6" t="s">
        <v>2316</v>
      </c>
      <c r="J162" s="6" t="s">
        <v>2317</v>
      </c>
      <c r="K162" s="6" t="s">
        <v>2318</v>
      </c>
      <c r="L162" s="6" t="s">
        <v>2319</v>
      </c>
      <c r="M162" s="6" t="s">
        <v>2320</v>
      </c>
      <c r="N162" s="6" t="s">
        <v>2321</v>
      </c>
      <c r="O162" s="6" t="s">
        <v>2322</v>
      </c>
      <c r="P162" s="6" t="s">
        <v>2323</v>
      </c>
      <c r="Q162" s="6" t="s">
        <v>2324</v>
      </c>
    </row>
    <row r="163" spans="1:17" ht="24">
      <c r="A163" s="7" t="s">
        <v>2325</v>
      </c>
      <c r="B163" s="6" t="s">
        <v>2326</v>
      </c>
      <c r="C163" s="6" t="s">
        <v>2327</v>
      </c>
      <c r="D163" s="6" t="s">
        <v>2328</v>
      </c>
      <c r="E163" s="6" t="s">
        <v>2329</v>
      </c>
      <c r="F163" s="6" t="s">
        <v>2330</v>
      </c>
      <c r="G163" s="6" t="s">
        <v>2331</v>
      </c>
      <c r="H163" s="6" t="s">
        <v>2332</v>
      </c>
      <c r="I163" s="6" t="s">
        <v>2333</v>
      </c>
      <c r="J163" s="6" t="s">
        <v>2334</v>
      </c>
      <c r="K163" s="6" t="s">
        <v>2335</v>
      </c>
      <c r="L163" s="6" t="s">
        <v>2336</v>
      </c>
      <c r="M163" s="6" t="s">
        <v>2337</v>
      </c>
      <c r="N163" s="6" t="s">
        <v>2338</v>
      </c>
      <c r="O163" s="6" t="s">
        <v>2339</v>
      </c>
      <c r="P163" s="6" t="s">
        <v>2340</v>
      </c>
      <c r="Q163" s="15"/>
    </row>
    <row r="164" spans="1:17" ht="24">
      <c r="A164" s="7" t="s">
        <v>2341</v>
      </c>
      <c r="B164" s="6" t="s">
        <v>2342</v>
      </c>
      <c r="C164" s="6" t="s">
        <v>2343</v>
      </c>
      <c r="D164" s="6" t="s">
        <v>2344</v>
      </c>
      <c r="E164" s="6" t="s">
        <v>2345</v>
      </c>
      <c r="F164" s="6" t="s">
        <v>2346</v>
      </c>
      <c r="G164" s="6" t="s">
        <v>2347</v>
      </c>
      <c r="H164" s="6" t="s">
        <v>2348</v>
      </c>
      <c r="I164" s="6" t="s">
        <v>2349</v>
      </c>
      <c r="J164" s="6" t="s">
        <v>2350</v>
      </c>
      <c r="K164" s="6" t="s">
        <v>2351</v>
      </c>
      <c r="L164" s="6" t="s">
        <v>2352</v>
      </c>
      <c r="M164" s="6" t="s">
        <v>2353</v>
      </c>
      <c r="N164" s="6" t="s">
        <v>2354</v>
      </c>
      <c r="O164" s="6" t="s">
        <v>2355</v>
      </c>
      <c r="P164" s="6" t="s">
        <v>2356</v>
      </c>
      <c r="Q164" s="15"/>
    </row>
    <row r="165" spans="1:17" ht="36">
      <c r="A165" s="7" t="s">
        <v>2357</v>
      </c>
      <c r="B165" s="6" t="s">
        <v>2358</v>
      </c>
      <c r="C165" s="6" t="s">
        <v>2359</v>
      </c>
      <c r="D165" s="6" t="s">
        <v>2360</v>
      </c>
      <c r="E165" s="6" t="s">
        <v>2361</v>
      </c>
      <c r="F165" s="6" t="s">
        <v>2362</v>
      </c>
      <c r="G165" s="6" t="s">
        <v>2363</v>
      </c>
      <c r="H165" s="6" t="s">
        <v>2364</v>
      </c>
      <c r="I165" s="6" t="s">
        <v>2365</v>
      </c>
      <c r="J165" s="6" t="s">
        <v>2366</v>
      </c>
      <c r="K165" s="6" t="s">
        <v>2367</v>
      </c>
      <c r="L165" s="6" t="s">
        <v>2368</v>
      </c>
      <c r="M165" s="6" t="s">
        <v>498</v>
      </c>
      <c r="N165" s="6" t="s">
        <v>2369</v>
      </c>
      <c r="O165" s="6" t="s">
        <v>2370</v>
      </c>
      <c r="P165" s="6" t="s">
        <v>2371</v>
      </c>
      <c r="Q165" s="6" t="s">
        <v>2324</v>
      </c>
    </row>
    <row r="166" spans="1:17">
      <c r="A166" s="7" t="s">
        <v>2372</v>
      </c>
      <c r="B166" s="6" t="s">
        <v>2373</v>
      </c>
      <c r="C166" s="6" t="s">
        <v>2374</v>
      </c>
      <c r="D166" s="6" t="s">
        <v>2375</v>
      </c>
      <c r="E166" s="6" t="s">
        <v>2376</v>
      </c>
      <c r="F166" s="6" t="s">
        <v>2377</v>
      </c>
      <c r="G166" s="6" t="s">
        <v>2378</v>
      </c>
      <c r="H166" s="6" t="s">
        <v>2379</v>
      </c>
      <c r="I166" s="6" t="s">
        <v>2380</v>
      </c>
      <c r="J166" s="6" t="s">
        <v>2381</v>
      </c>
      <c r="K166" s="6" t="s">
        <v>2382</v>
      </c>
      <c r="L166" s="6" t="s">
        <v>2383</v>
      </c>
      <c r="M166" s="6" t="s">
        <v>2384</v>
      </c>
      <c r="N166" s="6" t="s">
        <v>2385</v>
      </c>
      <c r="O166" s="6" t="s">
        <v>2386</v>
      </c>
      <c r="P166" s="6" t="s">
        <v>2387</v>
      </c>
      <c r="Q166" s="6" t="s">
        <v>2388</v>
      </c>
    </row>
    <row r="167" spans="1:17" ht="48">
      <c r="A167" s="7" t="s">
        <v>2389</v>
      </c>
      <c r="B167" s="6" t="s">
        <v>2390</v>
      </c>
      <c r="C167" s="6" t="s">
        <v>2391</v>
      </c>
      <c r="D167" s="6" t="s">
        <v>2392</v>
      </c>
      <c r="E167" s="6" t="s">
        <v>2393</v>
      </c>
      <c r="F167" s="6" t="s">
        <v>2394</v>
      </c>
      <c r="G167" s="6" t="s">
        <v>2395</v>
      </c>
      <c r="H167" s="6" t="s">
        <v>2396</v>
      </c>
      <c r="I167" s="6" t="s">
        <v>2397</v>
      </c>
      <c r="J167" s="6" t="s">
        <v>2398</v>
      </c>
      <c r="K167" s="6" t="s">
        <v>2399</v>
      </c>
      <c r="L167" s="6" t="s">
        <v>2400</v>
      </c>
      <c r="M167" s="6" t="s">
        <v>2401</v>
      </c>
      <c r="N167" s="6" t="s">
        <v>2402</v>
      </c>
      <c r="O167" s="6" t="s">
        <v>2403</v>
      </c>
      <c r="P167" s="6" t="s">
        <v>2404</v>
      </c>
      <c r="Q167" s="6" t="s">
        <v>2405</v>
      </c>
    </row>
    <row r="168" spans="1:17" ht="36">
      <c r="A168" s="7" t="s">
        <v>2406</v>
      </c>
      <c r="B168" s="6" t="s">
        <v>2407</v>
      </c>
      <c r="C168" s="6" t="s">
        <v>2408</v>
      </c>
      <c r="D168" s="6" t="s">
        <v>2409</v>
      </c>
      <c r="E168" s="6" t="s">
        <v>2410</v>
      </c>
      <c r="F168" s="6" t="s">
        <v>2411</v>
      </c>
      <c r="G168" s="6" t="s">
        <v>2412</v>
      </c>
      <c r="H168" s="6" t="s">
        <v>2413</v>
      </c>
      <c r="I168" s="6" t="s">
        <v>2414</v>
      </c>
      <c r="J168" s="6" t="s">
        <v>2415</v>
      </c>
      <c r="K168" s="6" t="s">
        <v>2416</v>
      </c>
      <c r="L168" s="6" t="s">
        <v>2417</v>
      </c>
      <c r="M168" s="6" t="s">
        <v>2418</v>
      </c>
      <c r="N168" s="6" t="s">
        <v>2419</v>
      </c>
      <c r="O168" s="6" t="s">
        <v>2420</v>
      </c>
      <c r="P168" s="6" t="s">
        <v>2421</v>
      </c>
      <c r="Q168" s="6" t="s">
        <v>2422</v>
      </c>
    </row>
    <row r="169" spans="1:17" ht="36">
      <c r="A169" s="7" t="s">
        <v>2423</v>
      </c>
      <c r="B169" s="6" t="s">
        <v>2424</v>
      </c>
      <c r="C169" s="6" t="s">
        <v>2425</v>
      </c>
      <c r="D169" s="6" t="s">
        <v>2426</v>
      </c>
      <c r="E169" s="6" t="s">
        <v>2427</v>
      </c>
      <c r="F169" s="6" t="s">
        <v>2428</v>
      </c>
      <c r="G169" s="6" t="s">
        <v>2429</v>
      </c>
      <c r="H169" s="6" t="s">
        <v>2430</v>
      </c>
      <c r="I169" s="6" t="s">
        <v>2431</v>
      </c>
      <c r="J169" s="6" t="s">
        <v>2432</v>
      </c>
      <c r="K169" s="6" t="s">
        <v>2433</v>
      </c>
      <c r="L169" s="6" t="s">
        <v>2434</v>
      </c>
      <c r="M169" s="6" t="s">
        <v>2435</v>
      </c>
      <c r="N169" s="6" t="s">
        <v>2436</v>
      </c>
      <c r="O169" s="6" t="s">
        <v>2437</v>
      </c>
      <c r="P169" s="6" t="s">
        <v>2438</v>
      </c>
      <c r="Q169" s="6" t="s">
        <v>1374</v>
      </c>
    </row>
    <row r="170" spans="1:17" ht="36">
      <c r="A170" s="7" t="s">
        <v>2439</v>
      </c>
      <c r="B170" s="6" t="s">
        <v>2440</v>
      </c>
      <c r="C170" s="6" t="s">
        <v>2441</v>
      </c>
      <c r="D170" s="6" t="s">
        <v>2442</v>
      </c>
      <c r="E170" s="6" t="s">
        <v>2443</v>
      </c>
      <c r="F170" s="6" t="s">
        <v>2444</v>
      </c>
      <c r="G170" s="6" t="s">
        <v>2445</v>
      </c>
      <c r="H170" s="6" t="s">
        <v>2446</v>
      </c>
      <c r="I170" s="6" t="s">
        <v>2447</v>
      </c>
      <c r="J170" s="6" t="s">
        <v>2448</v>
      </c>
      <c r="K170" s="6" t="s">
        <v>2449</v>
      </c>
      <c r="L170" s="6" t="s">
        <v>2450</v>
      </c>
      <c r="M170" s="6" t="s">
        <v>2278</v>
      </c>
      <c r="N170" s="6" t="s">
        <v>2451</v>
      </c>
      <c r="O170" s="6" t="s">
        <v>2452</v>
      </c>
      <c r="P170" s="6" t="s">
        <v>2453</v>
      </c>
      <c r="Q170" s="6" t="s">
        <v>2454</v>
      </c>
    </row>
    <row r="171" spans="1:17" ht="48">
      <c r="A171" s="7" t="s">
        <v>2455</v>
      </c>
      <c r="B171" s="6" t="s">
        <v>2456</v>
      </c>
      <c r="C171" s="6" t="s">
        <v>2457</v>
      </c>
      <c r="D171" s="6" t="s">
        <v>2458</v>
      </c>
      <c r="E171" s="6" t="s">
        <v>2459</v>
      </c>
      <c r="F171" s="6" t="s">
        <v>2460</v>
      </c>
      <c r="G171" s="6" t="s">
        <v>2461</v>
      </c>
      <c r="H171" s="6" t="s">
        <v>2462</v>
      </c>
      <c r="I171" s="6" t="s">
        <v>2463</v>
      </c>
      <c r="J171" s="6" t="s">
        <v>2464</v>
      </c>
      <c r="K171" s="6" t="s">
        <v>2465</v>
      </c>
      <c r="L171" s="6" t="s">
        <v>2466</v>
      </c>
      <c r="M171" s="6" t="s">
        <v>2467</v>
      </c>
      <c r="N171" s="6" t="s">
        <v>2468</v>
      </c>
      <c r="O171" s="6" t="s">
        <v>2469</v>
      </c>
      <c r="P171" s="6" t="s">
        <v>2470</v>
      </c>
      <c r="Q171" s="6" t="s">
        <v>2471</v>
      </c>
    </row>
    <row r="172" spans="1:17" ht="36">
      <c r="A172" s="7" t="s">
        <v>2472</v>
      </c>
      <c r="B172" s="6" t="s">
        <v>2473</v>
      </c>
      <c r="C172" s="6" t="s">
        <v>2474</v>
      </c>
      <c r="D172" s="6" t="s">
        <v>2475</v>
      </c>
      <c r="E172" s="6" t="s">
        <v>2476</v>
      </c>
      <c r="F172" s="6" t="s">
        <v>2477</v>
      </c>
      <c r="G172" s="6" t="s">
        <v>2478</v>
      </c>
      <c r="H172" s="6" t="s">
        <v>2479</v>
      </c>
      <c r="I172" s="6" t="s">
        <v>2480</v>
      </c>
      <c r="J172" s="6" t="s">
        <v>2481</v>
      </c>
      <c r="K172" s="6" t="s">
        <v>2482</v>
      </c>
      <c r="L172" s="6" t="s">
        <v>2483</v>
      </c>
      <c r="M172" s="6" t="s">
        <v>2484</v>
      </c>
      <c r="N172" s="6" t="s">
        <v>2485</v>
      </c>
      <c r="O172" s="6" t="s">
        <v>2486</v>
      </c>
      <c r="P172" s="6" t="s">
        <v>2487</v>
      </c>
      <c r="Q172" s="6" t="s">
        <v>2488</v>
      </c>
    </row>
    <row r="173" spans="1:17" ht="36">
      <c r="A173" s="7" t="s">
        <v>2489</v>
      </c>
      <c r="B173" s="6" t="s">
        <v>2245</v>
      </c>
      <c r="C173" s="6" t="s">
        <v>2490</v>
      </c>
      <c r="D173" s="6" t="s">
        <v>2491</v>
      </c>
      <c r="E173" s="6" t="s">
        <v>2492</v>
      </c>
      <c r="F173" s="6" t="s">
        <v>2493</v>
      </c>
      <c r="G173" s="6" t="s">
        <v>2494</v>
      </c>
      <c r="H173" s="6" t="s">
        <v>2495</v>
      </c>
      <c r="I173" s="6" t="s">
        <v>2496</v>
      </c>
      <c r="J173" s="6" t="s">
        <v>2497</v>
      </c>
      <c r="K173" s="6" t="s">
        <v>2498</v>
      </c>
      <c r="L173" s="6" t="s">
        <v>2499</v>
      </c>
      <c r="M173" s="6" t="s">
        <v>2500</v>
      </c>
      <c r="N173" s="6" t="s">
        <v>2501</v>
      </c>
      <c r="O173" s="6" t="s">
        <v>2502</v>
      </c>
      <c r="P173" s="6" t="s">
        <v>2503</v>
      </c>
      <c r="Q173" s="6" t="s">
        <v>2504</v>
      </c>
    </row>
    <row r="174" spans="1:17" ht="36">
      <c r="A174" s="7" t="s">
        <v>2505</v>
      </c>
      <c r="B174" s="6" t="s">
        <v>2506</v>
      </c>
      <c r="C174" s="6" t="s">
        <v>2507</v>
      </c>
      <c r="D174" s="6" t="s">
        <v>2508</v>
      </c>
      <c r="E174" s="6" t="s">
        <v>2509</v>
      </c>
      <c r="F174" s="6" t="s">
        <v>2510</v>
      </c>
      <c r="G174" s="6" t="s">
        <v>2511</v>
      </c>
      <c r="H174" s="6" t="s">
        <v>2512</v>
      </c>
      <c r="I174" s="6" t="s">
        <v>2513</v>
      </c>
      <c r="J174" s="6" t="s">
        <v>2514</v>
      </c>
      <c r="K174" s="6" t="s">
        <v>2515</v>
      </c>
      <c r="L174" s="6" t="s">
        <v>2516</v>
      </c>
      <c r="M174" s="6" t="s">
        <v>2211</v>
      </c>
      <c r="N174" s="6" t="s">
        <v>2517</v>
      </c>
      <c r="O174" s="6" t="s">
        <v>2518</v>
      </c>
      <c r="P174" s="6" t="s">
        <v>571</v>
      </c>
      <c r="Q174" s="6" t="s">
        <v>2519</v>
      </c>
    </row>
    <row r="175" spans="1:17" ht="48">
      <c r="A175" s="7" t="s">
        <v>2520</v>
      </c>
      <c r="B175" s="6" t="s">
        <v>2521</v>
      </c>
      <c r="C175" s="6" t="s">
        <v>2522</v>
      </c>
      <c r="D175" s="6" t="s">
        <v>2523</v>
      </c>
      <c r="E175" s="6" t="s">
        <v>2524</v>
      </c>
      <c r="F175" s="6" t="s">
        <v>2525</v>
      </c>
      <c r="G175" s="6" t="s">
        <v>2526</v>
      </c>
      <c r="H175" s="6" t="s">
        <v>2527</v>
      </c>
      <c r="I175" s="6" t="s">
        <v>2528</v>
      </c>
      <c r="J175" s="6" t="s">
        <v>2529</v>
      </c>
      <c r="K175" s="6" t="s">
        <v>833</v>
      </c>
      <c r="L175" s="6" t="s">
        <v>2530</v>
      </c>
      <c r="M175" s="6" t="s">
        <v>2531</v>
      </c>
      <c r="N175" s="6" t="s">
        <v>2532</v>
      </c>
      <c r="O175" s="6" t="s">
        <v>2533</v>
      </c>
      <c r="P175" s="6" t="s">
        <v>2534</v>
      </c>
      <c r="Q175" s="6" t="s">
        <v>2535</v>
      </c>
    </row>
    <row r="176" spans="1:17" ht="48">
      <c r="A176" s="7" t="s">
        <v>2536</v>
      </c>
      <c r="B176" s="6" t="s">
        <v>2537</v>
      </c>
      <c r="C176" s="6" t="s">
        <v>2538</v>
      </c>
      <c r="D176" s="6" t="s">
        <v>2539</v>
      </c>
      <c r="E176" s="6" t="s">
        <v>2540</v>
      </c>
      <c r="F176" s="6" t="s">
        <v>2541</v>
      </c>
      <c r="G176" s="6" t="s">
        <v>2542</v>
      </c>
      <c r="H176" s="6" t="s">
        <v>2543</v>
      </c>
      <c r="I176" s="6" t="s">
        <v>2544</v>
      </c>
      <c r="J176" s="6" t="s">
        <v>1094</v>
      </c>
      <c r="K176" s="6" t="s">
        <v>2545</v>
      </c>
      <c r="L176" s="6" t="s">
        <v>2546</v>
      </c>
      <c r="M176" s="6" t="s">
        <v>2547</v>
      </c>
      <c r="N176" s="6" t="s">
        <v>2548</v>
      </c>
      <c r="O176" s="6" t="s">
        <v>2549</v>
      </c>
      <c r="P176" s="6" t="s">
        <v>2550</v>
      </c>
      <c r="Q176" s="6" t="s">
        <v>1621</v>
      </c>
    </row>
    <row r="177" spans="1:17" ht="36">
      <c r="A177" s="7" t="s">
        <v>2551</v>
      </c>
      <c r="B177" s="6" t="s">
        <v>2261</v>
      </c>
      <c r="C177" s="6" t="s">
        <v>2552</v>
      </c>
      <c r="D177" s="6" t="s">
        <v>1748</v>
      </c>
      <c r="E177" s="6" t="s">
        <v>2553</v>
      </c>
      <c r="F177" s="6" t="s">
        <v>2554</v>
      </c>
      <c r="G177" s="6" t="s">
        <v>2555</v>
      </c>
      <c r="H177" s="6" t="s">
        <v>2556</v>
      </c>
      <c r="I177" s="6" t="s">
        <v>2557</v>
      </c>
      <c r="J177" s="6" t="s">
        <v>2558</v>
      </c>
      <c r="K177" s="6" t="s">
        <v>2559</v>
      </c>
      <c r="L177" s="6" t="s">
        <v>2560</v>
      </c>
      <c r="M177" s="6" t="s">
        <v>2561</v>
      </c>
      <c r="N177" s="6" t="s">
        <v>2562</v>
      </c>
      <c r="O177" s="6" t="s">
        <v>2563</v>
      </c>
      <c r="P177" s="6" t="s">
        <v>2503</v>
      </c>
      <c r="Q177" s="6" t="s">
        <v>2564</v>
      </c>
    </row>
    <row r="178" spans="1:17" ht="36">
      <c r="A178" s="7" t="s">
        <v>2565</v>
      </c>
      <c r="B178" s="6" t="s">
        <v>984</v>
      </c>
      <c r="C178" s="6" t="s">
        <v>2566</v>
      </c>
      <c r="D178" s="6" t="s">
        <v>2567</v>
      </c>
      <c r="E178" s="6" t="s">
        <v>2568</v>
      </c>
      <c r="F178" s="6" t="s">
        <v>2569</v>
      </c>
      <c r="G178" s="6" t="s">
        <v>2570</v>
      </c>
      <c r="H178" s="6" t="s">
        <v>2571</v>
      </c>
      <c r="I178" s="6" t="s">
        <v>2572</v>
      </c>
      <c r="J178" s="6" t="s">
        <v>2519</v>
      </c>
      <c r="K178" s="6" t="s">
        <v>2573</v>
      </c>
      <c r="L178" s="6" t="s">
        <v>2573</v>
      </c>
      <c r="M178" s="6" t="s">
        <v>999</v>
      </c>
      <c r="N178" s="6" t="s">
        <v>2574</v>
      </c>
      <c r="O178" s="6" t="s">
        <v>1389</v>
      </c>
      <c r="P178" s="15"/>
      <c r="Q178" s="15"/>
    </row>
    <row r="179" spans="1:17" ht="48">
      <c r="A179" s="7" t="s">
        <v>2575</v>
      </c>
      <c r="B179" s="6" t="s">
        <v>2576</v>
      </c>
      <c r="C179" s="6" t="s">
        <v>2577</v>
      </c>
      <c r="D179" s="6" t="s">
        <v>2578</v>
      </c>
      <c r="E179" s="6" t="s">
        <v>2579</v>
      </c>
      <c r="F179" s="6" t="s">
        <v>2580</v>
      </c>
      <c r="G179" s="6" t="s">
        <v>2581</v>
      </c>
      <c r="H179" s="6" t="s">
        <v>2582</v>
      </c>
      <c r="I179" s="6" t="s">
        <v>2583</v>
      </c>
      <c r="J179" s="6" t="s">
        <v>2584</v>
      </c>
      <c r="K179" s="6" t="s">
        <v>2585</v>
      </c>
      <c r="L179" s="6" t="s">
        <v>2586</v>
      </c>
      <c r="M179" s="6" t="s">
        <v>2587</v>
      </c>
      <c r="N179" s="6" t="s">
        <v>2588</v>
      </c>
      <c r="O179" s="6" t="s">
        <v>2589</v>
      </c>
      <c r="P179" s="6" t="s">
        <v>261</v>
      </c>
      <c r="Q179" s="6" t="s">
        <v>886</v>
      </c>
    </row>
    <row r="180" spans="1:17" ht="24">
      <c r="A180" s="7" t="s">
        <v>2590</v>
      </c>
      <c r="B180" s="6" t="s">
        <v>2591</v>
      </c>
      <c r="C180" s="6" t="s">
        <v>2592</v>
      </c>
      <c r="D180" s="6" t="s">
        <v>2593</v>
      </c>
      <c r="E180" s="6" t="s">
        <v>2594</v>
      </c>
      <c r="F180" s="6" t="s">
        <v>2595</v>
      </c>
      <c r="G180" s="6" t="s">
        <v>2596</v>
      </c>
      <c r="H180" s="6" t="s">
        <v>2597</v>
      </c>
      <c r="I180" s="6" t="s">
        <v>2598</v>
      </c>
      <c r="J180" s="6" t="s">
        <v>2599</v>
      </c>
      <c r="K180" s="6" t="s">
        <v>2600</v>
      </c>
      <c r="L180" s="6" t="s">
        <v>2601</v>
      </c>
      <c r="M180" s="6" t="s">
        <v>2602</v>
      </c>
      <c r="N180" s="6" t="s">
        <v>2603</v>
      </c>
      <c r="O180" s="6" t="s">
        <v>2604</v>
      </c>
      <c r="P180" s="6" t="s">
        <v>992</v>
      </c>
      <c r="Q180" s="6" t="s">
        <v>2605</v>
      </c>
    </row>
    <row r="181" spans="1:17" ht="36">
      <c r="A181" s="7" t="s">
        <v>2606</v>
      </c>
      <c r="B181" s="6" t="s">
        <v>2607</v>
      </c>
      <c r="C181" s="6" t="s">
        <v>2608</v>
      </c>
      <c r="D181" s="6" t="s">
        <v>2609</v>
      </c>
      <c r="E181" s="6" t="s">
        <v>2610</v>
      </c>
      <c r="F181" s="6" t="s">
        <v>2611</v>
      </c>
      <c r="G181" s="6" t="s">
        <v>2612</v>
      </c>
      <c r="H181" s="6" t="s">
        <v>2613</v>
      </c>
      <c r="I181" s="6" t="s">
        <v>1823</v>
      </c>
      <c r="J181" s="6" t="s">
        <v>1749</v>
      </c>
      <c r="K181" s="6" t="s">
        <v>2614</v>
      </c>
      <c r="L181" s="6" t="s">
        <v>2615</v>
      </c>
      <c r="M181" s="6" t="s">
        <v>2616</v>
      </c>
      <c r="N181" s="6" t="s">
        <v>2617</v>
      </c>
      <c r="O181" s="6" t="s">
        <v>2618</v>
      </c>
      <c r="P181" s="6" t="s">
        <v>2619</v>
      </c>
      <c r="Q181" s="6" t="s">
        <v>563</v>
      </c>
    </row>
    <row r="182" spans="1:17" ht="36">
      <c r="A182" s="7" t="s">
        <v>2620</v>
      </c>
      <c r="B182" s="6" t="s">
        <v>2621</v>
      </c>
      <c r="C182" s="6" t="s">
        <v>2622</v>
      </c>
      <c r="D182" s="6" t="s">
        <v>2623</v>
      </c>
      <c r="E182" s="6" t="s">
        <v>2624</v>
      </c>
      <c r="F182" s="6" t="s">
        <v>2625</v>
      </c>
      <c r="G182" s="6" t="s">
        <v>2626</v>
      </c>
      <c r="H182" s="6" t="s">
        <v>2627</v>
      </c>
      <c r="I182" s="6" t="s">
        <v>2628</v>
      </c>
      <c r="J182" s="6" t="s">
        <v>1604</v>
      </c>
      <c r="K182" s="6" t="s">
        <v>2629</v>
      </c>
      <c r="L182" s="6" t="s">
        <v>2630</v>
      </c>
      <c r="M182" s="6" t="s">
        <v>2631</v>
      </c>
      <c r="N182" s="6" t="s">
        <v>2632</v>
      </c>
      <c r="O182" s="6" t="s">
        <v>275</v>
      </c>
      <c r="P182" s="15"/>
      <c r="Q182" s="6" t="s">
        <v>2633</v>
      </c>
    </row>
    <row r="183" spans="1:17" ht="48">
      <c r="A183" s="7" t="s">
        <v>2634</v>
      </c>
      <c r="B183" s="6" t="s">
        <v>2635</v>
      </c>
      <c r="C183" s="6" t="s">
        <v>2636</v>
      </c>
      <c r="D183" s="6" t="s">
        <v>2637</v>
      </c>
      <c r="E183" s="6" t="s">
        <v>2638</v>
      </c>
      <c r="F183" s="6" t="s">
        <v>2639</v>
      </c>
      <c r="G183" s="6" t="s">
        <v>2640</v>
      </c>
      <c r="H183" s="6" t="s">
        <v>2641</v>
      </c>
      <c r="I183" s="6" t="s">
        <v>2642</v>
      </c>
      <c r="J183" s="6" t="s">
        <v>2643</v>
      </c>
      <c r="K183" s="6" t="s">
        <v>2644</v>
      </c>
      <c r="L183" s="6" t="s">
        <v>2645</v>
      </c>
      <c r="M183" s="6" t="s">
        <v>2646</v>
      </c>
      <c r="N183" s="6" t="s">
        <v>2647</v>
      </c>
      <c r="O183" s="6" t="s">
        <v>2648</v>
      </c>
      <c r="P183" s="6" t="s">
        <v>2649</v>
      </c>
      <c r="Q183" s="6" t="s">
        <v>2650</v>
      </c>
    </row>
    <row r="184" spans="1:17" ht="36">
      <c r="A184" s="7" t="s">
        <v>2651</v>
      </c>
      <c r="B184" s="6" t="s">
        <v>2652</v>
      </c>
      <c r="C184" s="6" t="s">
        <v>2653</v>
      </c>
      <c r="D184" s="6" t="s">
        <v>2654</v>
      </c>
      <c r="E184" s="6" t="s">
        <v>2655</v>
      </c>
      <c r="F184" s="6" t="s">
        <v>2656</v>
      </c>
      <c r="G184" s="6" t="s">
        <v>2657</v>
      </c>
      <c r="H184" s="6" t="s">
        <v>2658</v>
      </c>
      <c r="I184" s="6" t="s">
        <v>2659</v>
      </c>
      <c r="J184" s="6" t="s">
        <v>2660</v>
      </c>
      <c r="K184" s="6" t="s">
        <v>2661</v>
      </c>
      <c r="L184" s="6" t="s">
        <v>2662</v>
      </c>
      <c r="M184" s="6" t="s">
        <v>2663</v>
      </c>
      <c r="N184" s="6" t="s">
        <v>2664</v>
      </c>
      <c r="O184" s="6" t="s">
        <v>2665</v>
      </c>
      <c r="P184" s="6" t="s">
        <v>2649</v>
      </c>
      <c r="Q184" s="6" t="s">
        <v>2666</v>
      </c>
    </row>
    <row r="185" spans="1:17" ht="48">
      <c r="A185" s="7" t="s">
        <v>2667</v>
      </c>
      <c r="B185" s="6" t="s">
        <v>2668</v>
      </c>
      <c r="C185" s="6" t="s">
        <v>2669</v>
      </c>
      <c r="D185" s="6" t="s">
        <v>2363</v>
      </c>
      <c r="E185" s="6" t="s">
        <v>2670</v>
      </c>
      <c r="F185" s="6" t="s">
        <v>2671</v>
      </c>
      <c r="G185" s="6" t="s">
        <v>2672</v>
      </c>
      <c r="H185" s="6" t="s">
        <v>2673</v>
      </c>
      <c r="I185" s="6" t="s">
        <v>2674</v>
      </c>
      <c r="J185" s="6" t="s">
        <v>2675</v>
      </c>
      <c r="K185" s="6" t="s">
        <v>2676</v>
      </c>
      <c r="L185" s="6" t="s">
        <v>2677</v>
      </c>
      <c r="M185" s="6" t="s">
        <v>350</v>
      </c>
      <c r="N185" s="6" t="s">
        <v>2678</v>
      </c>
      <c r="O185" s="6" t="s">
        <v>2679</v>
      </c>
      <c r="P185" s="15"/>
      <c r="Q185" s="6" t="s">
        <v>2680</v>
      </c>
    </row>
    <row r="186" spans="1:17" ht="60">
      <c r="A186" s="7" t="s">
        <v>2681</v>
      </c>
      <c r="B186" s="6" t="s">
        <v>2682</v>
      </c>
      <c r="C186" s="6" t="s">
        <v>2683</v>
      </c>
      <c r="D186" s="6" t="s">
        <v>2684</v>
      </c>
      <c r="E186" s="6" t="s">
        <v>2685</v>
      </c>
      <c r="F186" s="6" t="s">
        <v>2686</v>
      </c>
      <c r="G186" s="6" t="s">
        <v>2687</v>
      </c>
      <c r="H186" s="6" t="s">
        <v>2688</v>
      </c>
      <c r="I186" s="6" t="s">
        <v>2689</v>
      </c>
      <c r="J186" s="6" t="s">
        <v>2690</v>
      </c>
      <c r="K186" s="6" t="s">
        <v>2691</v>
      </c>
      <c r="L186" s="6" t="s">
        <v>2692</v>
      </c>
      <c r="M186" s="6" t="s">
        <v>2693</v>
      </c>
      <c r="N186" s="6" t="s">
        <v>2694</v>
      </c>
      <c r="O186" s="6" t="s">
        <v>2695</v>
      </c>
      <c r="P186" s="6" t="s">
        <v>1454</v>
      </c>
      <c r="Q186" s="6" t="s">
        <v>2696</v>
      </c>
    </row>
    <row r="187" spans="1:17" ht="48">
      <c r="A187" s="7" t="s">
        <v>2697</v>
      </c>
      <c r="B187" s="6" t="s">
        <v>2698</v>
      </c>
      <c r="C187" s="6" t="s">
        <v>2699</v>
      </c>
      <c r="D187" s="6" t="s">
        <v>2700</v>
      </c>
      <c r="E187" s="6" t="s">
        <v>2701</v>
      </c>
      <c r="F187" s="6" t="s">
        <v>2702</v>
      </c>
      <c r="G187" s="6" t="s">
        <v>2703</v>
      </c>
      <c r="H187" s="6" t="s">
        <v>2704</v>
      </c>
      <c r="I187" s="6" t="s">
        <v>2705</v>
      </c>
      <c r="J187" s="6" t="s">
        <v>2706</v>
      </c>
      <c r="K187" s="6" t="s">
        <v>2707</v>
      </c>
      <c r="L187" s="6" t="s">
        <v>2708</v>
      </c>
      <c r="M187" s="6" t="s">
        <v>2709</v>
      </c>
      <c r="N187" s="6" t="s">
        <v>2710</v>
      </c>
      <c r="O187" s="6" t="s">
        <v>2711</v>
      </c>
      <c r="P187" s="6" t="s">
        <v>1454</v>
      </c>
      <c r="Q187" s="6" t="s">
        <v>2649</v>
      </c>
    </row>
    <row r="188" spans="1:17" ht="60">
      <c r="A188" s="7" t="s">
        <v>2712</v>
      </c>
      <c r="B188" s="6" t="s">
        <v>2713</v>
      </c>
      <c r="C188" s="6" t="s">
        <v>2714</v>
      </c>
      <c r="D188" s="6" t="s">
        <v>2715</v>
      </c>
      <c r="E188" s="6" t="s">
        <v>1830</v>
      </c>
      <c r="F188" s="6" t="s">
        <v>2716</v>
      </c>
      <c r="G188" s="6" t="s">
        <v>2717</v>
      </c>
      <c r="H188" s="6" t="s">
        <v>2718</v>
      </c>
      <c r="I188" s="6" t="s">
        <v>2719</v>
      </c>
      <c r="J188" s="6" t="s">
        <v>2720</v>
      </c>
      <c r="K188" s="6" t="s">
        <v>2721</v>
      </c>
      <c r="L188" s="6" t="s">
        <v>2722</v>
      </c>
      <c r="M188" s="6" t="s">
        <v>2723</v>
      </c>
      <c r="N188" s="6" t="s">
        <v>1223</v>
      </c>
      <c r="O188" s="6" t="s">
        <v>2724</v>
      </c>
      <c r="P188" s="15"/>
      <c r="Q188" s="6" t="s">
        <v>1162</v>
      </c>
    </row>
    <row r="189" spans="1:17" ht="48">
      <c r="A189" s="7" t="s">
        <v>2725</v>
      </c>
      <c r="B189" s="6" t="s">
        <v>2726</v>
      </c>
      <c r="C189" s="6" t="s">
        <v>2727</v>
      </c>
      <c r="D189" s="6" t="s">
        <v>2728</v>
      </c>
      <c r="E189" s="6" t="s">
        <v>2729</v>
      </c>
      <c r="F189" s="6" t="s">
        <v>2730</v>
      </c>
      <c r="G189" s="6" t="s">
        <v>2731</v>
      </c>
      <c r="H189" s="6" t="s">
        <v>2732</v>
      </c>
      <c r="I189" s="6" t="s">
        <v>2733</v>
      </c>
      <c r="J189" s="6" t="s">
        <v>2734</v>
      </c>
      <c r="K189" s="6" t="s">
        <v>2735</v>
      </c>
      <c r="L189" s="6" t="s">
        <v>2736</v>
      </c>
      <c r="M189" s="6" t="s">
        <v>2737</v>
      </c>
      <c r="N189" s="6" t="s">
        <v>2738</v>
      </c>
      <c r="O189" s="6" t="s">
        <v>2739</v>
      </c>
      <c r="P189" s="6" t="s">
        <v>571</v>
      </c>
      <c r="Q189" s="6" t="s">
        <v>992</v>
      </c>
    </row>
    <row r="190" spans="1:17" ht="48">
      <c r="A190" s="7" t="s">
        <v>2740</v>
      </c>
      <c r="B190" s="6" t="s">
        <v>2741</v>
      </c>
      <c r="C190" s="6" t="s">
        <v>2742</v>
      </c>
      <c r="D190" s="6" t="s">
        <v>2743</v>
      </c>
      <c r="E190" s="6" t="s">
        <v>2744</v>
      </c>
      <c r="F190" s="6" t="s">
        <v>2745</v>
      </c>
      <c r="G190" s="6" t="s">
        <v>2746</v>
      </c>
      <c r="H190" s="6" t="s">
        <v>2747</v>
      </c>
      <c r="I190" s="6" t="s">
        <v>2748</v>
      </c>
      <c r="J190" s="6" t="s">
        <v>2749</v>
      </c>
      <c r="K190" s="6" t="s">
        <v>2750</v>
      </c>
      <c r="L190" s="6" t="s">
        <v>2751</v>
      </c>
      <c r="M190" s="6" t="s">
        <v>2752</v>
      </c>
      <c r="N190" s="6" t="s">
        <v>2753</v>
      </c>
      <c r="O190" s="6" t="s">
        <v>2754</v>
      </c>
      <c r="P190" s="6" t="s">
        <v>2755</v>
      </c>
      <c r="Q190" s="6" t="s">
        <v>2756</v>
      </c>
    </row>
    <row r="191" spans="1:17" ht="36">
      <c r="A191" s="7" t="s">
        <v>2757</v>
      </c>
      <c r="B191" s="6" t="s">
        <v>2758</v>
      </c>
      <c r="C191" s="6" t="s">
        <v>2759</v>
      </c>
      <c r="D191" s="6" t="s">
        <v>2760</v>
      </c>
      <c r="E191" s="6" t="s">
        <v>2761</v>
      </c>
      <c r="F191" s="6" t="s">
        <v>2762</v>
      </c>
      <c r="G191" s="6" t="s">
        <v>2763</v>
      </c>
      <c r="H191" s="6" t="s">
        <v>2764</v>
      </c>
      <c r="I191" s="6" t="s">
        <v>2765</v>
      </c>
      <c r="J191" s="6" t="s">
        <v>2766</v>
      </c>
      <c r="K191" s="6" t="s">
        <v>2767</v>
      </c>
      <c r="L191" s="6" t="s">
        <v>2768</v>
      </c>
      <c r="M191" s="6" t="s">
        <v>2769</v>
      </c>
      <c r="N191" s="6" t="s">
        <v>2770</v>
      </c>
      <c r="O191" s="6" t="s">
        <v>2771</v>
      </c>
      <c r="P191" s="6" t="s">
        <v>2772</v>
      </c>
      <c r="Q191" s="6" t="s">
        <v>936</v>
      </c>
    </row>
    <row r="192" spans="1:17" ht="36">
      <c r="A192" s="7" t="s">
        <v>2773</v>
      </c>
      <c r="B192" s="6" t="s">
        <v>639</v>
      </c>
      <c r="C192" s="6" t="s">
        <v>2774</v>
      </c>
      <c r="D192" s="6" t="s">
        <v>2775</v>
      </c>
      <c r="E192" s="6" t="s">
        <v>2776</v>
      </c>
      <c r="F192" s="6" t="s">
        <v>2777</v>
      </c>
      <c r="G192" s="6" t="s">
        <v>2778</v>
      </c>
      <c r="H192" s="6" t="s">
        <v>2779</v>
      </c>
      <c r="I192" s="6" t="s">
        <v>2780</v>
      </c>
      <c r="J192" s="6" t="s">
        <v>2781</v>
      </c>
      <c r="K192" s="6" t="s">
        <v>2782</v>
      </c>
      <c r="L192" s="6" t="s">
        <v>2783</v>
      </c>
      <c r="M192" s="6" t="s">
        <v>2784</v>
      </c>
      <c r="N192" s="6" t="s">
        <v>2785</v>
      </c>
      <c r="O192" s="6" t="s">
        <v>2786</v>
      </c>
      <c r="P192" s="6" t="s">
        <v>254</v>
      </c>
      <c r="Q192" s="6" t="s">
        <v>556</v>
      </c>
    </row>
    <row r="193" spans="1:17" ht="48">
      <c r="A193" s="7" t="s">
        <v>2787</v>
      </c>
      <c r="B193" s="6" t="s">
        <v>2788</v>
      </c>
      <c r="C193" s="6" t="s">
        <v>2789</v>
      </c>
      <c r="D193" s="6" t="s">
        <v>2790</v>
      </c>
      <c r="E193" s="6" t="s">
        <v>2791</v>
      </c>
      <c r="F193" s="6" t="s">
        <v>2792</v>
      </c>
      <c r="G193" s="6" t="s">
        <v>2793</v>
      </c>
      <c r="H193" s="6" t="s">
        <v>2794</v>
      </c>
      <c r="I193" s="6" t="s">
        <v>2795</v>
      </c>
      <c r="J193" s="6" t="s">
        <v>2796</v>
      </c>
      <c r="K193" s="6" t="s">
        <v>2797</v>
      </c>
      <c r="L193" s="6" t="s">
        <v>2798</v>
      </c>
      <c r="M193" s="6" t="s">
        <v>2799</v>
      </c>
      <c r="N193" s="6" t="s">
        <v>2800</v>
      </c>
      <c r="O193" s="6" t="s">
        <v>2801</v>
      </c>
      <c r="P193" s="15"/>
      <c r="Q193" s="6" t="s">
        <v>2802</v>
      </c>
    </row>
    <row r="194" spans="1:17" ht="48">
      <c r="A194" s="7" t="s">
        <v>2803</v>
      </c>
      <c r="B194" s="6" t="s">
        <v>2804</v>
      </c>
      <c r="C194" s="6" t="s">
        <v>2805</v>
      </c>
      <c r="D194" s="6" t="s">
        <v>2806</v>
      </c>
      <c r="E194" s="6" t="s">
        <v>2807</v>
      </c>
      <c r="F194" s="6" t="s">
        <v>2808</v>
      </c>
      <c r="G194" s="6" t="s">
        <v>2809</v>
      </c>
      <c r="H194" s="6" t="s">
        <v>2810</v>
      </c>
      <c r="I194" s="6" t="s">
        <v>2811</v>
      </c>
      <c r="J194" s="6" t="s">
        <v>2812</v>
      </c>
      <c r="K194" s="6" t="s">
        <v>2813</v>
      </c>
      <c r="L194" s="6" t="s">
        <v>2814</v>
      </c>
      <c r="M194" s="6" t="s">
        <v>2815</v>
      </c>
      <c r="N194" s="6" t="s">
        <v>2816</v>
      </c>
      <c r="O194" s="6" t="s">
        <v>2817</v>
      </c>
      <c r="P194" s="6" t="s">
        <v>571</v>
      </c>
      <c r="Q194" s="6" t="s">
        <v>2818</v>
      </c>
    </row>
    <row r="195" spans="1:17" ht="48">
      <c r="A195" s="7" t="s">
        <v>2819</v>
      </c>
      <c r="B195" s="6" t="s">
        <v>2820</v>
      </c>
      <c r="C195" s="6" t="s">
        <v>2821</v>
      </c>
      <c r="D195" s="6" t="s">
        <v>2822</v>
      </c>
      <c r="E195" s="6" t="s">
        <v>2823</v>
      </c>
      <c r="F195" s="6" t="s">
        <v>2824</v>
      </c>
      <c r="G195" s="6" t="s">
        <v>2825</v>
      </c>
      <c r="H195" s="6" t="s">
        <v>2826</v>
      </c>
      <c r="I195" s="6" t="s">
        <v>2827</v>
      </c>
      <c r="J195" s="6" t="s">
        <v>1955</v>
      </c>
      <c r="K195" s="6" t="s">
        <v>2828</v>
      </c>
      <c r="L195" s="6" t="s">
        <v>2829</v>
      </c>
      <c r="M195" s="6" t="s">
        <v>2830</v>
      </c>
      <c r="N195" s="6" t="s">
        <v>2831</v>
      </c>
      <c r="O195" s="6" t="s">
        <v>2832</v>
      </c>
      <c r="P195" s="6" t="s">
        <v>2833</v>
      </c>
      <c r="Q195" s="6" t="s">
        <v>2834</v>
      </c>
    </row>
    <row r="196" spans="1:17" ht="36">
      <c r="A196" s="8" t="s">
        <v>2835</v>
      </c>
      <c r="B196" s="9" t="s">
        <v>2836</v>
      </c>
      <c r="C196" s="9" t="s">
        <v>2837</v>
      </c>
      <c r="D196" s="9" t="s">
        <v>2838</v>
      </c>
      <c r="E196" s="9" t="s">
        <v>2839</v>
      </c>
      <c r="F196" s="9" t="s">
        <v>2840</v>
      </c>
      <c r="G196" s="9" t="s">
        <v>2841</v>
      </c>
      <c r="H196" s="9" t="s">
        <v>2842</v>
      </c>
      <c r="I196" s="9" t="s">
        <v>2843</v>
      </c>
      <c r="J196" s="9" t="s">
        <v>2844</v>
      </c>
      <c r="K196" s="9" t="s">
        <v>2845</v>
      </c>
      <c r="L196" s="9" t="s">
        <v>2846</v>
      </c>
      <c r="M196" s="9" t="s">
        <v>2847</v>
      </c>
      <c r="N196" s="9" t="s">
        <v>2848</v>
      </c>
      <c r="O196" s="9" t="s">
        <v>2849</v>
      </c>
      <c r="P196" s="9" t="s">
        <v>2850</v>
      </c>
      <c r="Q196" s="9" t="s">
        <v>2851</v>
      </c>
    </row>
    <row r="197" spans="1:17" ht="15.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</row>
    <row r="198" spans="1:17" ht="15.6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spans="1:17">
      <c r="A199" s="16" t="s">
        <v>2852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>
      <c r="A200" s="17" t="s">
        <v>159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spans="1:17">
      <c r="A201" s="130" t="s">
        <v>160</v>
      </c>
      <c r="B201" s="134" t="s">
        <v>161</v>
      </c>
      <c r="C201" s="136" t="s">
        <v>162</v>
      </c>
      <c r="D201" s="125"/>
      <c r="E201" s="125"/>
      <c r="F201" s="125"/>
      <c r="G201" s="125"/>
      <c r="H201" s="125"/>
      <c r="I201" s="125"/>
      <c r="J201" s="126"/>
      <c r="K201" s="136" t="s">
        <v>163</v>
      </c>
      <c r="L201" s="125"/>
      <c r="M201" s="126"/>
      <c r="N201" s="136" t="s">
        <v>164</v>
      </c>
      <c r="O201" s="125"/>
      <c r="P201" s="125"/>
      <c r="Q201" s="125"/>
    </row>
    <row r="202" spans="1:17">
      <c r="A202" s="128"/>
      <c r="B202" s="132"/>
      <c r="C202" s="132"/>
      <c r="D202" s="134" t="s">
        <v>165</v>
      </c>
      <c r="E202" s="134" t="s">
        <v>166</v>
      </c>
      <c r="F202" s="134" t="s">
        <v>167</v>
      </c>
      <c r="G202" s="136" t="s">
        <v>168</v>
      </c>
      <c r="H202" s="125"/>
      <c r="I202" s="125"/>
      <c r="J202" s="126"/>
      <c r="K202" s="132"/>
      <c r="L202" s="136" t="s">
        <v>169</v>
      </c>
      <c r="M202" s="13"/>
      <c r="N202" s="132"/>
      <c r="O202" s="136" t="s">
        <v>170</v>
      </c>
      <c r="P202" s="125"/>
      <c r="Q202" s="125"/>
    </row>
    <row r="203" spans="1:17">
      <c r="A203" s="128"/>
      <c r="B203" s="132"/>
      <c r="C203" s="132"/>
      <c r="D203" s="132"/>
      <c r="E203" s="132"/>
      <c r="F203" s="132"/>
      <c r="G203" s="132"/>
      <c r="H203" s="134" t="s">
        <v>171</v>
      </c>
      <c r="I203" s="136" t="s">
        <v>854</v>
      </c>
      <c r="J203" s="13"/>
      <c r="K203" s="132"/>
      <c r="L203" s="132"/>
      <c r="M203" s="134" t="s">
        <v>173</v>
      </c>
      <c r="N203" s="132"/>
      <c r="O203" s="132"/>
      <c r="P203" s="134" t="s">
        <v>174</v>
      </c>
      <c r="Q203" s="136" t="s">
        <v>175</v>
      </c>
    </row>
    <row r="204" spans="1:17">
      <c r="A204" s="129"/>
      <c r="B204" s="133"/>
      <c r="C204" s="133"/>
      <c r="D204" s="133"/>
      <c r="E204" s="133"/>
      <c r="F204" s="133"/>
      <c r="G204" s="133"/>
      <c r="H204" s="133"/>
      <c r="I204" s="133"/>
      <c r="J204" s="22" t="s">
        <v>176</v>
      </c>
      <c r="K204" s="133"/>
      <c r="L204" s="133"/>
      <c r="M204" s="133"/>
      <c r="N204" s="133"/>
      <c r="O204" s="133"/>
      <c r="P204" s="133"/>
      <c r="Q204" s="137"/>
    </row>
    <row r="205" spans="1:17" ht="36">
      <c r="A205" s="18" t="s">
        <v>2853</v>
      </c>
      <c r="B205" s="19" t="s">
        <v>2854</v>
      </c>
      <c r="C205" s="19" t="s">
        <v>2855</v>
      </c>
      <c r="D205" s="19" t="s">
        <v>2856</v>
      </c>
      <c r="E205" s="19" t="s">
        <v>2857</v>
      </c>
      <c r="F205" s="19" t="s">
        <v>2858</v>
      </c>
      <c r="G205" s="19" t="s">
        <v>2859</v>
      </c>
      <c r="H205" s="19" t="s">
        <v>2860</v>
      </c>
      <c r="I205" s="19" t="s">
        <v>2861</v>
      </c>
      <c r="J205" s="19" t="s">
        <v>2862</v>
      </c>
      <c r="K205" s="19" t="s">
        <v>2863</v>
      </c>
      <c r="L205" s="19" t="s">
        <v>2123</v>
      </c>
      <c r="M205" s="19" t="s">
        <v>2864</v>
      </c>
      <c r="N205" s="19" t="s">
        <v>2865</v>
      </c>
      <c r="O205" s="19" t="s">
        <v>2866</v>
      </c>
      <c r="P205" s="19" t="s">
        <v>571</v>
      </c>
      <c r="Q205" s="19" t="s">
        <v>2570</v>
      </c>
    </row>
    <row r="206" spans="1:17" ht="48">
      <c r="A206" s="18" t="s">
        <v>2867</v>
      </c>
      <c r="B206" s="19" t="s">
        <v>2868</v>
      </c>
      <c r="C206" s="19" t="s">
        <v>2869</v>
      </c>
      <c r="D206" s="19" t="s">
        <v>2870</v>
      </c>
      <c r="E206" s="19" t="s">
        <v>2871</v>
      </c>
      <c r="F206" s="19" t="s">
        <v>2872</v>
      </c>
      <c r="G206" s="19" t="s">
        <v>2873</v>
      </c>
      <c r="H206" s="19" t="s">
        <v>2874</v>
      </c>
      <c r="I206" s="19" t="s">
        <v>2875</v>
      </c>
      <c r="J206" s="19" t="s">
        <v>2876</v>
      </c>
      <c r="K206" s="19" t="s">
        <v>2877</v>
      </c>
      <c r="L206" s="19" t="s">
        <v>2878</v>
      </c>
      <c r="M206" s="19" t="s">
        <v>2879</v>
      </c>
      <c r="N206" s="19" t="s">
        <v>2880</v>
      </c>
      <c r="O206" s="19" t="s">
        <v>2881</v>
      </c>
      <c r="P206" s="19" t="s">
        <v>2882</v>
      </c>
      <c r="Q206" s="19" t="s">
        <v>2883</v>
      </c>
    </row>
    <row r="207" spans="1:17" ht="36">
      <c r="A207" s="18" t="s">
        <v>2884</v>
      </c>
      <c r="B207" s="19" t="s">
        <v>2885</v>
      </c>
      <c r="C207" s="19" t="s">
        <v>2886</v>
      </c>
      <c r="D207" s="19" t="s">
        <v>2887</v>
      </c>
      <c r="E207" s="19" t="s">
        <v>2888</v>
      </c>
      <c r="F207" s="19" t="s">
        <v>2889</v>
      </c>
      <c r="G207" s="19" t="s">
        <v>2890</v>
      </c>
      <c r="H207" s="19" t="s">
        <v>2891</v>
      </c>
      <c r="I207" s="19" t="s">
        <v>2892</v>
      </c>
      <c r="J207" s="19" t="s">
        <v>2893</v>
      </c>
      <c r="K207" s="19" t="s">
        <v>2894</v>
      </c>
      <c r="L207" s="19" t="s">
        <v>2895</v>
      </c>
      <c r="M207" s="19" t="s">
        <v>2896</v>
      </c>
      <c r="N207" s="19" t="s">
        <v>2897</v>
      </c>
      <c r="O207" s="19" t="s">
        <v>2898</v>
      </c>
      <c r="P207" s="19" t="s">
        <v>2899</v>
      </c>
      <c r="Q207" s="19" t="s">
        <v>571</v>
      </c>
    </row>
    <row r="208" spans="1:17" ht="48">
      <c r="A208" s="18" t="s">
        <v>2900</v>
      </c>
      <c r="B208" s="19" t="s">
        <v>2901</v>
      </c>
      <c r="C208" s="19" t="s">
        <v>2902</v>
      </c>
      <c r="D208" s="19" t="s">
        <v>2903</v>
      </c>
      <c r="E208" s="19" t="s">
        <v>2904</v>
      </c>
      <c r="F208" s="19" t="s">
        <v>2905</v>
      </c>
      <c r="G208" s="19" t="s">
        <v>2906</v>
      </c>
      <c r="H208" s="19" t="s">
        <v>2907</v>
      </c>
      <c r="I208" s="19" t="s">
        <v>2908</v>
      </c>
      <c r="J208" s="19" t="s">
        <v>2909</v>
      </c>
      <c r="K208" s="19" t="s">
        <v>2910</v>
      </c>
      <c r="L208" s="19" t="s">
        <v>2911</v>
      </c>
      <c r="M208" s="19" t="s">
        <v>2912</v>
      </c>
      <c r="N208" s="19" t="s">
        <v>2913</v>
      </c>
      <c r="O208" s="19" t="s">
        <v>2914</v>
      </c>
      <c r="P208" s="19" t="s">
        <v>2915</v>
      </c>
      <c r="Q208" s="19" t="s">
        <v>2916</v>
      </c>
    </row>
    <row r="209" spans="1:17" ht="24">
      <c r="A209" s="18" t="s">
        <v>2917</v>
      </c>
      <c r="B209" s="19" t="s">
        <v>2918</v>
      </c>
      <c r="C209" s="19" t="s">
        <v>2919</v>
      </c>
      <c r="D209" s="19" t="s">
        <v>2920</v>
      </c>
      <c r="E209" s="19" t="s">
        <v>2921</v>
      </c>
      <c r="F209" s="19" t="s">
        <v>2922</v>
      </c>
      <c r="G209" s="19" t="s">
        <v>2923</v>
      </c>
      <c r="H209" s="19" t="s">
        <v>2924</v>
      </c>
      <c r="I209" s="19" t="s">
        <v>2925</v>
      </c>
      <c r="J209" s="19" t="s">
        <v>2926</v>
      </c>
      <c r="K209" s="19" t="s">
        <v>2927</v>
      </c>
      <c r="L209" s="19" t="s">
        <v>2928</v>
      </c>
      <c r="M209" s="19" t="s">
        <v>2929</v>
      </c>
      <c r="N209" s="19" t="s">
        <v>2930</v>
      </c>
      <c r="O209" s="19" t="s">
        <v>2931</v>
      </c>
      <c r="P209" s="19" t="s">
        <v>2932</v>
      </c>
      <c r="Q209" s="19" t="s">
        <v>2933</v>
      </c>
    </row>
    <row r="210" spans="1:17" ht="36">
      <c r="A210" s="18" t="s">
        <v>2934</v>
      </c>
      <c r="B210" s="19" t="s">
        <v>2935</v>
      </c>
      <c r="C210" s="19" t="s">
        <v>2936</v>
      </c>
      <c r="D210" s="19" t="s">
        <v>2937</v>
      </c>
      <c r="E210" s="19" t="s">
        <v>2938</v>
      </c>
      <c r="F210" s="19" t="s">
        <v>2939</v>
      </c>
      <c r="G210" s="19" t="s">
        <v>2940</v>
      </c>
      <c r="H210" s="19" t="s">
        <v>2941</v>
      </c>
      <c r="I210" s="19" t="s">
        <v>2942</v>
      </c>
      <c r="J210" s="19" t="s">
        <v>2943</v>
      </c>
      <c r="K210" s="19" t="s">
        <v>2944</v>
      </c>
      <c r="L210" s="19" t="s">
        <v>2945</v>
      </c>
      <c r="M210" s="19" t="s">
        <v>2946</v>
      </c>
      <c r="N210" s="19" t="s">
        <v>2947</v>
      </c>
      <c r="O210" s="19" t="s">
        <v>2948</v>
      </c>
      <c r="P210" s="19" t="s">
        <v>2949</v>
      </c>
      <c r="Q210" s="19" t="s">
        <v>2950</v>
      </c>
    </row>
    <row r="211" spans="1:17" ht="36">
      <c r="A211" s="18" t="s">
        <v>2951</v>
      </c>
      <c r="B211" s="19" t="s">
        <v>2952</v>
      </c>
      <c r="C211" s="19" t="s">
        <v>2953</v>
      </c>
      <c r="D211" s="19" t="s">
        <v>2954</v>
      </c>
      <c r="E211" s="19" t="s">
        <v>2955</v>
      </c>
      <c r="F211" s="19" t="s">
        <v>2956</v>
      </c>
      <c r="G211" s="19" t="s">
        <v>2957</v>
      </c>
      <c r="H211" s="19" t="s">
        <v>2958</v>
      </c>
      <c r="I211" s="19" t="s">
        <v>2959</v>
      </c>
      <c r="J211" s="19" t="s">
        <v>2960</v>
      </c>
      <c r="K211" s="19" t="s">
        <v>2961</v>
      </c>
      <c r="L211" s="19" t="s">
        <v>2962</v>
      </c>
      <c r="M211" s="19" t="s">
        <v>2963</v>
      </c>
      <c r="N211" s="19" t="s">
        <v>2964</v>
      </c>
      <c r="O211" s="19" t="s">
        <v>2965</v>
      </c>
      <c r="P211" s="19" t="s">
        <v>274</v>
      </c>
      <c r="Q211" s="19" t="s">
        <v>2966</v>
      </c>
    </row>
    <row r="212" spans="1:17" ht="36">
      <c r="A212" s="18" t="s">
        <v>2967</v>
      </c>
      <c r="B212" s="19" t="s">
        <v>2968</v>
      </c>
      <c r="C212" s="19" t="s">
        <v>2969</v>
      </c>
      <c r="D212" s="19" t="s">
        <v>2970</v>
      </c>
      <c r="E212" s="19" t="s">
        <v>2971</v>
      </c>
      <c r="F212" s="19" t="s">
        <v>2972</v>
      </c>
      <c r="G212" s="19" t="s">
        <v>2973</v>
      </c>
      <c r="H212" s="19" t="s">
        <v>2974</v>
      </c>
      <c r="I212" s="19" t="s">
        <v>2975</v>
      </c>
      <c r="J212" s="19" t="s">
        <v>2976</v>
      </c>
      <c r="K212" s="19" t="s">
        <v>2977</v>
      </c>
      <c r="L212" s="19" t="s">
        <v>2978</v>
      </c>
      <c r="M212" s="19" t="s">
        <v>2979</v>
      </c>
      <c r="N212" s="19" t="s">
        <v>2980</v>
      </c>
      <c r="O212" s="19" t="s">
        <v>2981</v>
      </c>
      <c r="P212" s="19" t="s">
        <v>2982</v>
      </c>
      <c r="Q212" s="19" t="s">
        <v>2983</v>
      </c>
    </row>
    <row r="213" spans="1:17" ht="48">
      <c r="A213" s="18" t="s">
        <v>2984</v>
      </c>
      <c r="B213" s="19" t="s">
        <v>2985</v>
      </c>
      <c r="C213" s="19" t="s">
        <v>2986</v>
      </c>
      <c r="D213" s="19" t="s">
        <v>2987</v>
      </c>
      <c r="E213" s="19" t="s">
        <v>2988</v>
      </c>
      <c r="F213" s="19" t="s">
        <v>2989</v>
      </c>
      <c r="G213" s="19" t="s">
        <v>2990</v>
      </c>
      <c r="H213" s="19" t="s">
        <v>2991</v>
      </c>
      <c r="I213" s="19" t="s">
        <v>2992</v>
      </c>
      <c r="J213" s="19" t="s">
        <v>2993</v>
      </c>
      <c r="K213" s="19" t="s">
        <v>2994</v>
      </c>
      <c r="L213" s="19" t="s">
        <v>2995</v>
      </c>
      <c r="M213" s="19" t="s">
        <v>2996</v>
      </c>
      <c r="N213" s="19" t="s">
        <v>2997</v>
      </c>
      <c r="O213" s="19" t="s">
        <v>2998</v>
      </c>
      <c r="P213" s="19" t="s">
        <v>2999</v>
      </c>
      <c r="Q213" s="19" t="s">
        <v>1572</v>
      </c>
    </row>
    <row r="214" spans="1:17" ht="48">
      <c r="A214" s="18" t="s">
        <v>3000</v>
      </c>
      <c r="B214" s="19" t="s">
        <v>3001</v>
      </c>
      <c r="C214" s="19" t="s">
        <v>3002</v>
      </c>
      <c r="D214" s="19" t="s">
        <v>3003</v>
      </c>
      <c r="E214" s="19" t="s">
        <v>3004</v>
      </c>
      <c r="F214" s="19" t="s">
        <v>3005</v>
      </c>
      <c r="G214" s="19" t="s">
        <v>3006</v>
      </c>
      <c r="H214" s="19" t="s">
        <v>3007</v>
      </c>
      <c r="I214" s="19" t="s">
        <v>3008</v>
      </c>
      <c r="J214" s="19" t="s">
        <v>3009</v>
      </c>
      <c r="K214" s="19" t="s">
        <v>3010</v>
      </c>
      <c r="L214" s="19" t="s">
        <v>3011</v>
      </c>
      <c r="M214" s="19" t="s">
        <v>3012</v>
      </c>
      <c r="N214" s="19" t="s">
        <v>3013</v>
      </c>
      <c r="O214" s="19" t="s">
        <v>3014</v>
      </c>
      <c r="P214" s="19" t="s">
        <v>3015</v>
      </c>
      <c r="Q214" s="19" t="s">
        <v>3016</v>
      </c>
    </row>
    <row r="215" spans="1:17" ht="60">
      <c r="A215" s="18" t="s">
        <v>3017</v>
      </c>
      <c r="B215" s="19" t="s">
        <v>3018</v>
      </c>
      <c r="C215" s="19" t="s">
        <v>3019</v>
      </c>
      <c r="D215" s="19" t="s">
        <v>3020</v>
      </c>
      <c r="E215" s="19" t="s">
        <v>3021</v>
      </c>
      <c r="F215" s="19" t="s">
        <v>3022</v>
      </c>
      <c r="G215" s="19" t="s">
        <v>3023</v>
      </c>
      <c r="H215" s="19" t="s">
        <v>3024</v>
      </c>
      <c r="I215" s="19" t="s">
        <v>3025</v>
      </c>
      <c r="J215" s="19" t="s">
        <v>3026</v>
      </c>
      <c r="K215" s="19" t="s">
        <v>3027</v>
      </c>
      <c r="L215" s="19" t="s">
        <v>3028</v>
      </c>
      <c r="M215" s="19" t="s">
        <v>3029</v>
      </c>
      <c r="N215" s="19" t="s">
        <v>3030</v>
      </c>
      <c r="O215" s="19" t="s">
        <v>3031</v>
      </c>
      <c r="P215" s="19" t="s">
        <v>522</v>
      </c>
      <c r="Q215" s="19" t="s">
        <v>3032</v>
      </c>
    </row>
    <row r="216" spans="1:17" ht="24">
      <c r="A216" s="18" t="s">
        <v>3033</v>
      </c>
      <c r="B216" s="19" t="s">
        <v>3034</v>
      </c>
      <c r="C216" s="19" t="s">
        <v>3035</v>
      </c>
      <c r="D216" s="19" t="s">
        <v>3036</v>
      </c>
      <c r="E216" s="19" t="s">
        <v>3037</v>
      </c>
      <c r="F216" s="19" t="s">
        <v>3038</v>
      </c>
      <c r="G216" s="19" t="s">
        <v>3039</v>
      </c>
      <c r="H216" s="19" t="s">
        <v>3040</v>
      </c>
      <c r="I216" s="19" t="s">
        <v>3041</v>
      </c>
      <c r="J216" s="19" t="s">
        <v>3042</v>
      </c>
      <c r="K216" s="19" t="s">
        <v>3043</v>
      </c>
      <c r="L216" s="19" t="s">
        <v>3044</v>
      </c>
      <c r="M216" s="19" t="s">
        <v>3045</v>
      </c>
      <c r="N216" s="19" t="s">
        <v>3046</v>
      </c>
      <c r="O216" s="19" t="s">
        <v>3047</v>
      </c>
      <c r="P216" s="19" t="s">
        <v>879</v>
      </c>
      <c r="Q216" s="19" t="s">
        <v>3048</v>
      </c>
    </row>
    <row r="217" spans="1:17" ht="48">
      <c r="A217" s="18" t="s">
        <v>3049</v>
      </c>
      <c r="B217" s="19" t="s">
        <v>3050</v>
      </c>
      <c r="C217" s="19" t="s">
        <v>3051</v>
      </c>
      <c r="D217" s="19" t="s">
        <v>3052</v>
      </c>
      <c r="E217" s="19" t="s">
        <v>3053</v>
      </c>
      <c r="F217" s="19" t="s">
        <v>3054</v>
      </c>
      <c r="G217" s="19" t="s">
        <v>3055</v>
      </c>
      <c r="H217" s="19" t="s">
        <v>3056</v>
      </c>
      <c r="I217" s="19" t="s">
        <v>3057</v>
      </c>
      <c r="J217" s="19" t="s">
        <v>3058</v>
      </c>
      <c r="K217" s="19" t="s">
        <v>3059</v>
      </c>
      <c r="L217" s="19" t="s">
        <v>3060</v>
      </c>
      <c r="M217" s="19" t="s">
        <v>3061</v>
      </c>
      <c r="N217" s="19" t="s">
        <v>3062</v>
      </c>
      <c r="O217" s="19" t="s">
        <v>3063</v>
      </c>
      <c r="P217" s="19" t="s">
        <v>3064</v>
      </c>
      <c r="Q217" s="19" t="s">
        <v>2145</v>
      </c>
    </row>
    <row r="218" spans="1:17" ht="36">
      <c r="A218" s="18" t="s">
        <v>3065</v>
      </c>
      <c r="B218" s="19" t="s">
        <v>3066</v>
      </c>
      <c r="C218" s="19" t="s">
        <v>3067</v>
      </c>
      <c r="D218" s="19" t="s">
        <v>3068</v>
      </c>
      <c r="E218" s="19" t="s">
        <v>3069</v>
      </c>
      <c r="F218" s="19" t="s">
        <v>3070</v>
      </c>
      <c r="G218" s="19" t="s">
        <v>3071</v>
      </c>
      <c r="H218" s="19" t="s">
        <v>3072</v>
      </c>
      <c r="I218" s="19" t="s">
        <v>3073</v>
      </c>
      <c r="J218" s="19" t="s">
        <v>3074</v>
      </c>
      <c r="K218" s="19" t="s">
        <v>3075</v>
      </c>
      <c r="L218" s="19" t="s">
        <v>3076</v>
      </c>
      <c r="M218" s="19" t="s">
        <v>3077</v>
      </c>
      <c r="N218" s="19" t="s">
        <v>3078</v>
      </c>
      <c r="O218" s="19" t="s">
        <v>3079</v>
      </c>
      <c r="P218" s="15"/>
      <c r="Q218" s="19" t="s">
        <v>3080</v>
      </c>
    </row>
    <row r="219" spans="1:17" ht="36">
      <c r="A219" s="18" t="s">
        <v>3081</v>
      </c>
      <c r="B219" s="19" t="s">
        <v>3082</v>
      </c>
      <c r="C219" s="19" t="s">
        <v>3083</v>
      </c>
      <c r="D219" s="19" t="s">
        <v>3084</v>
      </c>
      <c r="E219" s="19" t="s">
        <v>3085</v>
      </c>
      <c r="F219" s="19" t="s">
        <v>3086</v>
      </c>
      <c r="G219" s="19" t="s">
        <v>3087</v>
      </c>
      <c r="H219" s="19" t="s">
        <v>3088</v>
      </c>
      <c r="I219" s="19" t="s">
        <v>3089</v>
      </c>
      <c r="J219" s="19" t="s">
        <v>3090</v>
      </c>
      <c r="K219" s="19" t="s">
        <v>3091</v>
      </c>
      <c r="L219" s="19" t="s">
        <v>3092</v>
      </c>
      <c r="M219" s="19" t="s">
        <v>3093</v>
      </c>
      <c r="N219" s="19" t="s">
        <v>3094</v>
      </c>
      <c r="O219" s="19" t="s">
        <v>3095</v>
      </c>
      <c r="P219" s="19" t="s">
        <v>3096</v>
      </c>
      <c r="Q219" s="19" t="s">
        <v>2915</v>
      </c>
    </row>
    <row r="220" spans="1:17" ht="36">
      <c r="A220" s="18" t="s">
        <v>3097</v>
      </c>
      <c r="B220" s="19" t="s">
        <v>3098</v>
      </c>
      <c r="C220" s="19" t="s">
        <v>3099</v>
      </c>
      <c r="D220" s="19" t="s">
        <v>3100</v>
      </c>
      <c r="E220" s="19" t="s">
        <v>3101</v>
      </c>
      <c r="F220" s="19" t="s">
        <v>2007</v>
      </c>
      <c r="G220" s="19" t="s">
        <v>3102</v>
      </c>
      <c r="H220" s="19" t="s">
        <v>3103</v>
      </c>
      <c r="I220" s="19" t="s">
        <v>2006</v>
      </c>
      <c r="J220" s="19" t="s">
        <v>3104</v>
      </c>
      <c r="K220" s="19" t="s">
        <v>1063</v>
      </c>
      <c r="L220" s="19" t="s">
        <v>3105</v>
      </c>
      <c r="M220" s="19" t="s">
        <v>3106</v>
      </c>
      <c r="N220" s="19" t="s">
        <v>3107</v>
      </c>
      <c r="O220" s="19" t="s">
        <v>2544</v>
      </c>
      <c r="P220" s="19" t="s">
        <v>2649</v>
      </c>
      <c r="Q220" s="19" t="s">
        <v>1827</v>
      </c>
    </row>
    <row r="221" spans="1:17" ht="36">
      <c r="A221" s="18" t="s">
        <v>3108</v>
      </c>
      <c r="B221" s="19" t="s">
        <v>3109</v>
      </c>
      <c r="C221" s="19" t="s">
        <v>3110</v>
      </c>
      <c r="D221" s="19" t="s">
        <v>3111</v>
      </c>
      <c r="E221" s="19" t="s">
        <v>3112</v>
      </c>
      <c r="F221" s="19" t="s">
        <v>3113</v>
      </c>
      <c r="G221" s="19" t="s">
        <v>3114</v>
      </c>
      <c r="H221" s="19" t="s">
        <v>3115</v>
      </c>
      <c r="I221" s="19" t="s">
        <v>3116</v>
      </c>
      <c r="J221" s="19" t="s">
        <v>3117</v>
      </c>
      <c r="K221" s="19" t="s">
        <v>3118</v>
      </c>
      <c r="L221" s="19" t="s">
        <v>3119</v>
      </c>
      <c r="M221" s="19" t="s">
        <v>3120</v>
      </c>
      <c r="N221" s="19" t="s">
        <v>3121</v>
      </c>
      <c r="O221" s="19" t="s">
        <v>2025</v>
      </c>
      <c r="P221" s="19" t="s">
        <v>999</v>
      </c>
      <c r="Q221" s="19" t="s">
        <v>3122</v>
      </c>
    </row>
    <row r="222" spans="1:17" ht="48">
      <c r="A222" s="18" t="s">
        <v>3123</v>
      </c>
      <c r="B222" s="19" t="s">
        <v>1506</v>
      </c>
      <c r="C222" s="19" t="s">
        <v>3124</v>
      </c>
      <c r="D222" s="19" t="s">
        <v>3125</v>
      </c>
      <c r="E222" s="19" t="s">
        <v>3126</v>
      </c>
      <c r="F222" s="19" t="s">
        <v>1811</v>
      </c>
      <c r="G222" s="19" t="s">
        <v>3127</v>
      </c>
      <c r="H222" s="19" t="s">
        <v>3128</v>
      </c>
      <c r="I222" s="19" t="s">
        <v>3129</v>
      </c>
      <c r="J222" s="19" t="s">
        <v>3130</v>
      </c>
      <c r="K222" s="19" t="s">
        <v>3131</v>
      </c>
      <c r="L222" s="19" t="s">
        <v>3132</v>
      </c>
      <c r="M222" s="19" t="s">
        <v>3133</v>
      </c>
      <c r="N222" s="19" t="s">
        <v>3134</v>
      </c>
      <c r="O222" s="19" t="s">
        <v>3135</v>
      </c>
      <c r="P222" s="19" t="s">
        <v>3136</v>
      </c>
      <c r="Q222" s="15"/>
    </row>
    <row r="223" spans="1:17" ht="36">
      <c r="A223" s="18" t="s">
        <v>3137</v>
      </c>
      <c r="B223" s="19" t="s">
        <v>3138</v>
      </c>
      <c r="C223" s="19" t="s">
        <v>3139</v>
      </c>
      <c r="D223" s="19" t="s">
        <v>3140</v>
      </c>
      <c r="E223" s="19" t="s">
        <v>3141</v>
      </c>
      <c r="F223" s="19" t="s">
        <v>767</v>
      </c>
      <c r="G223" s="19" t="s">
        <v>3142</v>
      </c>
      <c r="H223" s="19" t="s">
        <v>3143</v>
      </c>
      <c r="I223" s="19" t="s">
        <v>2094</v>
      </c>
      <c r="J223" s="19" t="s">
        <v>3144</v>
      </c>
      <c r="K223" s="19" t="s">
        <v>3145</v>
      </c>
      <c r="L223" s="19" t="s">
        <v>3146</v>
      </c>
      <c r="M223" s="19" t="s">
        <v>2557</v>
      </c>
      <c r="N223" s="19" t="s">
        <v>3147</v>
      </c>
      <c r="O223" s="19" t="s">
        <v>3148</v>
      </c>
      <c r="P223" s="19" t="s">
        <v>1650</v>
      </c>
      <c r="Q223" s="19" t="s">
        <v>1872</v>
      </c>
    </row>
    <row r="224" spans="1:17" ht="48">
      <c r="A224" s="18" t="s">
        <v>3149</v>
      </c>
      <c r="B224" s="19" t="s">
        <v>3150</v>
      </c>
      <c r="C224" s="19" t="s">
        <v>3151</v>
      </c>
      <c r="D224" s="19" t="s">
        <v>3152</v>
      </c>
      <c r="E224" s="19" t="s">
        <v>3153</v>
      </c>
      <c r="F224" s="19" t="s">
        <v>3154</v>
      </c>
      <c r="G224" s="19" t="s">
        <v>3155</v>
      </c>
      <c r="H224" s="19" t="s">
        <v>3156</v>
      </c>
      <c r="I224" s="19" t="s">
        <v>3157</v>
      </c>
      <c r="J224" s="19" t="s">
        <v>3158</v>
      </c>
      <c r="K224" s="19" t="s">
        <v>3159</v>
      </c>
      <c r="L224" s="19" t="s">
        <v>3160</v>
      </c>
      <c r="M224" s="19" t="s">
        <v>3161</v>
      </c>
      <c r="N224" s="19" t="s">
        <v>3162</v>
      </c>
      <c r="O224" s="19" t="s">
        <v>3163</v>
      </c>
      <c r="P224" s="19" t="s">
        <v>3164</v>
      </c>
      <c r="Q224" s="19" t="s">
        <v>2519</v>
      </c>
    </row>
    <row r="225" spans="1:17" ht="36">
      <c r="A225" s="18" t="s">
        <v>3165</v>
      </c>
      <c r="B225" s="19" t="s">
        <v>3166</v>
      </c>
      <c r="C225" s="19" t="s">
        <v>3167</v>
      </c>
      <c r="D225" s="19" t="s">
        <v>3168</v>
      </c>
      <c r="E225" s="19" t="s">
        <v>3169</v>
      </c>
      <c r="F225" s="19" t="s">
        <v>3170</v>
      </c>
      <c r="G225" s="19" t="s">
        <v>3171</v>
      </c>
      <c r="H225" s="19" t="s">
        <v>3172</v>
      </c>
      <c r="I225" s="19" t="s">
        <v>3173</v>
      </c>
      <c r="J225" s="19" t="s">
        <v>3174</v>
      </c>
      <c r="K225" s="19" t="s">
        <v>3175</v>
      </c>
      <c r="L225" s="19" t="s">
        <v>828</v>
      </c>
      <c r="M225" s="19" t="s">
        <v>3176</v>
      </c>
      <c r="N225" s="19" t="s">
        <v>3177</v>
      </c>
      <c r="O225" s="19" t="s">
        <v>1834</v>
      </c>
      <c r="P225" s="15"/>
      <c r="Q225" s="15"/>
    </row>
    <row r="226" spans="1:17" ht="36">
      <c r="A226" s="18" t="s">
        <v>3178</v>
      </c>
      <c r="B226" s="19" t="s">
        <v>3179</v>
      </c>
      <c r="C226" s="19" t="s">
        <v>3180</v>
      </c>
      <c r="D226" s="19" t="s">
        <v>3181</v>
      </c>
      <c r="E226" s="19" t="s">
        <v>3182</v>
      </c>
      <c r="F226" s="19" t="s">
        <v>3183</v>
      </c>
      <c r="G226" s="19" t="s">
        <v>3184</v>
      </c>
      <c r="H226" s="19" t="s">
        <v>3185</v>
      </c>
      <c r="I226" s="19" t="s">
        <v>3186</v>
      </c>
      <c r="J226" s="19" t="s">
        <v>3187</v>
      </c>
      <c r="K226" s="19" t="s">
        <v>3188</v>
      </c>
      <c r="L226" s="19" t="s">
        <v>3189</v>
      </c>
      <c r="M226" s="19" t="s">
        <v>3190</v>
      </c>
      <c r="N226" s="19" t="s">
        <v>3191</v>
      </c>
      <c r="O226" s="19" t="s">
        <v>3192</v>
      </c>
      <c r="P226" s="19" t="s">
        <v>3164</v>
      </c>
      <c r="Q226" s="19" t="s">
        <v>1162</v>
      </c>
    </row>
    <row r="227" spans="1:17" ht="36">
      <c r="A227" s="18" t="s">
        <v>3193</v>
      </c>
      <c r="B227" s="19" t="s">
        <v>3166</v>
      </c>
      <c r="C227" s="19" t="s">
        <v>3194</v>
      </c>
      <c r="D227" s="19" t="s">
        <v>3195</v>
      </c>
      <c r="E227" s="19" t="s">
        <v>3196</v>
      </c>
      <c r="F227" s="19" t="s">
        <v>3197</v>
      </c>
      <c r="G227" s="19" t="s">
        <v>3198</v>
      </c>
      <c r="H227" s="19" t="s">
        <v>3199</v>
      </c>
      <c r="I227" s="19" t="s">
        <v>3200</v>
      </c>
      <c r="J227" s="19" t="s">
        <v>3201</v>
      </c>
      <c r="K227" s="19" t="s">
        <v>3202</v>
      </c>
      <c r="L227" s="19" t="s">
        <v>3203</v>
      </c>
      <c r="M227" s="19" t="s">
        <v>3204</v>
      </c>
      <c r="N227" s="19" t="s">
        <v>3205</v>
      </c>
      <c r="O227" s="19" t="s">
        <v>3206</v>
      </c>
      <c r="P227" s="15"/>
      <c r="Q227" s="19" t="s">
        <v>903</v>
      </c>
    </row>
    <row r="228" spans="1:17" ht="48">
      <c r="A228" s="18" t="s">
        <v>3207</v>
      </c>
      <c r="B228" s="19" t="s">
        <v>3208</v>
      </c>
      <c r="C228" s="19" t="s">
        <v>3209</v>
      </c>
      <c r="D228" s="19" t="s">
        <v>3210</v>
      </c>
      <c r="E228" s="19" t="s">
        <v>3211</v>
      </c>
      <c r="F228" s="19" t="s">
        <v>3212</v>
      </c>
      <c r="G228" s="19" t="s">
        <v>3213</v>
      </c>
      <c r="H228" s="19" t="s">
        <v>3214</v>
      </c>
      <c r="I228" s="19" t="s">
        <v>3215</v>
      </c>
      <c r="J228" s="19" t="s">
        <v>3216</v>
      </c>
      <c r="K228" s="19" t="s">
        <v>3217</v>
      </c>
      <c r="L228" s="19" t="s">
        <v>3218</v>
      </c>
      <c r="M228" s="19" t="s">
        <v>3219</v>
      </c>
      <c r="N228" s="19" t="s">
        <v>3220</v>
      </c>
      <c r="O228" s="19" t="s">
        <v>3221</v>
      </c>
      <c r="P228" s="19" t="s">
        <v>1162</v>
      </c>
      <c r="Q228" s="19" t="s">
        <v>979</v>
      </c>
    </row>
    <row r="229" spans="1:17" ht="36">
      <c r="A229" s="18" t="s">
        <v>3222</v>
      </c>
      <c r="B229" s="19" t="s">
        <v>3223</v>
      </c>
      <c r="C229" s="19" t="s">
        <v>3224</v>
      </c>
      <c r="D229" s="19" t="s">
        <v>3225</v>
      </c>
      <c r="E229" s="19" t="s">
        <v>3226</v>
      </c>
      <c r="F229" s="19" t="s">
        <v>3227</v>
      </c>
      <c r="G229" s="19" t="s">
        <v>3228</v>
      </c>
      <c r="H229" s="19" t="s">
        <v>3229</v>
      </c>
      <c r="I229" s="19" t="s">
        <v>3230</v>
      </c>
      <c r="J229" s="19" t="s">
        <v>2089</v>
      </c>
      <c r="K229" s="19" t="s">
        <v>3231</v>
      </c>
      <c r="L229" s="19" t="s">
        <v>3232</v>
      </c>
      <c r="M229" s="19" t="s">
        <v>3233</v>
      </c>
      <c r="N229" s="19" t="s">
        <v>3234</v>
      </c>
      <c r="O229" s="19" t="s">
        <v>3235</v>
      </c>
      <c r="P229" s="19" t="s">
        <v>1162</v>
      </c>
      <c r="Q229" s="15"/>
    </row>
    <row r="230" spans="1:17" ht="36">
      <c r="A230" s="18" t="s">
        <v>3236</v>
      </c>
      <c r="B230" s="19" t="s">
        <v>3237</v>
      </c>
      <c r="C230" s="19" t="s">
        <v>3238</v>
      </c>
      <c r="D230" s="19" t="s">
        <v>3239</v>
      </c>
      <c r="E230" s="19" t="s">
        <v>3240</v>
      </c>
      <c r="F230" s="19" t="s">
        <v>3241</v>
      </c>
      <c r="G230" s="19" t="s">
        <v>2678</v>
      </c>
      <c r="H230" s="19" t="s">
        <v>3242</v>
      </c>
      <c r="I230" s="19" t="s">
        <v>3243</v>
      </c>
      <c r="J230" s="19" t="s">
        <v>3244</v>
      </c>
      <c r="K230" s="19" t="s">
        <v>744</v>
      </c>
      <c r="L230" s="19" t="s">
        <v>3245</v>
      </c>
      <c r="M230" s="19" t="s">
        <v>3246</v>
      </c>
      <c r="N230" s="19" t="s">
        <v>3247</v>
      </c>
      <c r="O230" s="19" t="s">
        <v>3248</v>
      </c>
      <c r="P230" s="15"/>
      <c r="Q230" s="19" t="s">
        <v>979</v>
      </c>
    </row>
    <row r="231" spans="1:17">
      <c r="A231" s="18" t="s">
        <v>3249</v>
      </c>
      <c r="B231" s="19" t="s">
        <v>3250</v>
      </c>
      <c r="C231" s="19" t="s">
        <v>3251</v>
      </c>
      <c r="D231" s="19" t="s">
        <v>3252</v>
      </c>
      <c r="E231" s="19" t="s">
        <v>3253</v>
      </c>
      <c r="F231" s="19" t="s">
        <v>3254</v>
      </c>
      <c r="G231" s="19" t="s">
        <v>3255</v>
      </c>
      <c r="H231" s="19" t="s">
        <v>3256</v>
      </c>
      <c r="I231" s="19" t="s">
        <v>3257</v>
      </c>
      <c r="J231" s="19" t="s">
        <v>3258</v>
      </c>
      <c r="K231" s="19" t="s">
        <v>3259</v>
      </c>
      <c r="L231" s="19" t="s">
        <v>3260</v>
      </c>
      <c r="M231" s="19" t="s">
        <v>3261</v>
      </c>
      <c r="N231" s="19" t="s">
        <v>3262</v>
      </c>
      <c r="O231" s="19" t="s">
        <v>3263</v>
      </c>
      <c r="P231" s="19" t="s">
        <v>3264</v>
      </c>
      <c r="Q231" s="19" t="s">
        <v>3265</v>
      </c>
    </row>
    <row r="232" spans="1:17" ht="36">
      <c r="A232" s="18" t="s">
        <v>3266</v>
      </c>
      <c r="B232" s="19" t="s">
        <v>3267</v>
      </c>
      <c r="C232" s="19" t="s">
        <v>3268</v>
      </c>
      <c r="D232" s="19" t="s">
        <v>3269</v>
      </c>
      <c r="E232" s="19" t="s">
        <v>3270</v>
      </c>
      <c r="F232" s="19" t="s">
        <v>3271</v>
      </c>
      <c r="G232" s="19" t="s">
        <v>3272</v>
      </c>
      <c r="H232" s="19" t="s">
        <v>3273</v>
      </c>
      <c r="I232" s="19" t="s">
        <v>3274</v>
      </c>
      <c r="J232" s="19" t="s">
        <v>3275</v>
      </c>
      <c r="K232" s="19" t="s">
        <v>2233</v>
      </c>
      <c r="L232" s="19" t="s">
        <v>3276</v>
      </c>
      <c r="M232" s="19" t="s">
        <v>3277</v>
      </c>
      <c r="N232" s="19" t="s">
        <v>3278</v>
      </c>
      <c r="O232" s="19" t="s">
        <v>3279</v>
      </c>
      <c r="P232" s="19" t="s">
        <v>2519</v>
      </c>
      <c r="Q232" s="19" t="s">
        <v>2772</v>
      </c>
    </row>
    <row r="233" spans="1:17" ht="24">
      <c r="A233" s="18" t="s">
        <v>3280</v>
      </c>
      <c r="B233" s="19" t="s">
        <v>3281</v>
      </c>
      <c r="C233" s="19" t="s">
        <v>3282</v>
      </c>
      <c r="D233" s="19" t="s">
        <v>3283</v>
      </c>
      <c r="E233" s="19" t="s">
        <v>3284</v>
      </c>
      <c r="F233" s="19" t="s">
        <v>3285</v>
      </c>
      <c r="G233" s="19" t="s">
        <v>3286</v>
      </c>
      <c r="H233" s="19" t="s">
        <v>3287</v>
      </c>
      <c r="I233" s="19" t="s">
        <v>3288</v>
      </c>
      <c r="J233" s="19" t="s">
        <v>464</v>
      </c>
      <c r="K233" s="19" t="s">
        <v>3289</v>
      </c>
      <c r="L233" s="19" t="s">
        <v>3290</v>
      </c>
      <c r="M233" s="19" t="s">
        <v>3291</v>
      </c>
      <c r="N233" s="19" t="s">
        <v>3292</v>
      </c>
      <c r="O233" s="19" t="s">
        <v>3293</v>
      </c>
      <c r="P233" s="19" t="s">
        <v>3294</v>
      </c>
      <c r="Q233" s="19" t="s">
        <v>2096</v>
      </c>
    </row>
    <row r="234" spans="1:17" ht="36">
      <c r="A234" s="18" t="s">
        <v>3295</v>
      </c>
      <c r="B234" s="19" t="s">
        <v>3296</v>
      </c>
      <c r="C234" s="19" t="s">
        <v>3297</v>
      </c>
      <c r="D234" s="19" t="s">
        <v>3298</v>
      </c>
      <c r="E234" s="19" t="s">
        <v>3299</v>
      </c>
      <c r="F234" s="19" t="s">
        <v>2785</v>
      </c>
      <c r="G234" s="19" t="s">
        <v>3300</v>
      </c>
      <c r="H234" s="19" t="s">
        <v>3301</v>
      </c>
      <c r="I234" s="19" t="s">
        <v>628</v>
      </c>
      <c r="J234" s="19" t="s">
        <v>3302</v>
      </c>
      <c r="K234" s="19" t="s">
        <v>3303</v>
      </c>
      <c r="L234" s="19" t="s">
        <v>3304</v>
      </c>
      <c r="M234" s="19" t="s">
        <v>3305</v>
      </c>
      <c r="N234" s="19" t="s">
        <v>3306</v>
      </c>
      <c r="O234" s="19" t="s">
        <v>3307</v>
      </c>
      <c r="P234" s="19" t="s">
        <v>3308</v>
      </c>
      <c r="Q234" s="19" t="s">
        <v>1129</v>
      </c>
    </row>
    <row r="235" spans="1:17" ht="36">
      <c r="A235" s="18" t="s">
        <v>3309</v>
      </c>
      <c r="B235" s="19" t="s">
        <v>3310</v>
      </c>
      <c r="C235" s="19" t="s">
        <v>3311</v>
      </c>
      <c r="D235" s="19" t="s">
        <v>3312</v>
      </c>
      <c r="E235" s="19" t="s">
        <v>3313</v>
      </c>
      <c r="F235" s="19" t="s">
        <v>3314</v>
      </c>
      <c r="G235" s="19" t="s">
        <v>3315</v>
      </c>
      <c r="H235" s="19" t="s">
        <v>3316</v>
      </c>
      <c r="I235" s="19" t="s">
        <v>3317</v>
      </c>
      <c r="J235" s="19" t="s">
        <v>3318</v>
      </c>
      <c r="K235" s="19" t="s">
        <v>3319</v>
      </c>
      <c r="L235" s="19" t="s">
        <v>3320</v>
      </c>
      <c r="M235" s="19" t="s">
        <v>3321</v>
      </c>
      <c r="N235" s="19" t="s">
        <v>3322</v>
      </c>
      <c r="O235" s="19" t="s">
        <v>501</v>
      </c>
      <c r="P235" s="19" t="s">
        <v>3323</v>
      </c>
      <c r="Q235" s="19" t="s">
        <v>620</v>
      </c>
    </row>
    <row r="236" spans="1:17" ht="36">
      <c r="A236" s="18" t="s">
        <v>3324</v>
      </c>
      <c r="B236" s="19" t="s">
        <v>3325</v>
      </c>
      <c r="C236" s="19" t="s">
        <v>3326</v>
      </c>
      <c r="D236" s="19" t="s">
        <v>3327</v>
      </c>
      <c r="E236" s="19" t="s">
        <v>3328</v>
      </c>
      <c r="F236" s="19" t="s">
        <v>3329</v>
      </c>
      <c r="G236" s="19" t="s">
        <v>3330</v>
      </c>
      <c r="H236" s="19" t="s">
        <v>3331</v>
      </c>
      <c r="I236" s="19" t="s">
        <v>3332</v>
      </c>
      <c r="J236" s="19" t="s">
        <v>751</v>
      </c>
      <c r="K236" s="19" t="s">
        <v>3333</v>
      </c>
      <c r="L236" s="19" t="s">
        <v>3334</v>
      </c>
      <c r="M236" s="19" t="s">
        <v>1836</v>
      </c>
      <c r="N236" s="19" t="s">
        <v>3335</v>
      </c>
      <c r="O236" s="19" t="s">
        <v>3336</v>
      </c>
      <c r="P236" s="19" t="s">
        <v>563</v>
      </c>
      <c r="Q236" s="19" t="s">
        <v>3337</v>
      </c>
    </row>
    <row r="237" spans="1:17" ht="60">
      <c r="A237" s="18" t="s">
        <v>3338</v>
      </c>
      <c r="B237" s="19" t="s">
        <v>3339</v>
      </c>
      <c r="C237" s="19" t="s">
        <v>3340</v>
      </c>
      <c r="D237" s="19" t="s">
        <v>3341</v>
      </c>
      <c r="E237" s="19" t="s">
        <v>3342</v>
      </c>
      <c r="F237" s="19" t="s">
        <v>3343</v>
      </c>
      <c r="G237" s="19" t="s">
        <v>3344</v>
      </c>
      <c r="H237" s="19" t="s">
        <v>3345</v>
      </c>
      <c r="I237" s="19" t="s">
        <v>3346</v>
      </c>
      <c r="J237" s="19" t="s">
        <v>3347</v>
      </c>
      <c r="K237" s="19" t="s">
        <v>3348</v>
      </c>
      <c r="L237" s="19" t="s">
        <v>3349</v>
      </c>
      <c r="M237" s="19" t="s">
        <v>3350</v>
      </c>
      <c r="N237" s="19" t="s">
        <v>3351</v>
      </c>
      <c r="O237" s="19" t="s">
        <v>3352</v>
      </c>
      <c r="P237" s="19" t="s">
        <v>3353</v>
      </c>
      <c r="Q237" s="19" t="s">
        <v>3354</v>
      </c>
    </row>
    <row r="238" spans="1:17" ht="24">
      <c r="A238" s="18" t="s">
        <v>3355</v>
      </c>
      <c r="B238" s="19" t="s">
        <v>3356</v>
      </c>
      <c r="C238" s="19" t="s">
        <v>3357</v>
      </c>
      <c r="D238" s="19" t="s">
        <v>3358</v>
      </c>
      <c r="E238" s="19" t="s">
        <v>3359</v>
      </c>
      <c r="F238" s="19" t="s">
        <v>3360</v>
      </c>
      <c r="G238" s="19" t="s">
        <v>3361</v>
      </c>
      <c r="H238" s="19" t="s">
        <v>3362</v>
      </c>
      <c r="I238" s="19" t="s">
        <v>3363</v>
      </c>
      <c r="J238" s="19" t="s">
        <v>3364</v>
      </c>
      <c r="K238" s="19" t="s">
        <v>3365</v>
      </c>
      <c r="L238" s="19" t="s">
        <v>3366</v>
      </c>
      <c r="M238" s="19" t="s">
        <v>3367</v>
      </c>
      <c r="N238" s="19" t="s">
        <v>3368</v>
      </c>
      <c r="O238" s="19" t="s">
        <v>3369</v>
      </c>
      <c r="P238" s="19" t="s">
        <v>3370</v>
      </c>
      <c r="Q238" s="19" t="s">
        <v>3371</v>
      </c>
    </row>
    <row r="239" spans="1:17" ht="24">
      <c r="A239" s="18" t="s">
        <v>3372</v>
      </c>
      <c r="B239" s="19" t="s">
        <v>3373</v>
      </c>
      <c r="C239" s="19" t="s">
        <v>3374</v>
      </c>
      <c r="D239" s="19" t="s">
        <v>3375</v>
      </c>
      <c r="E239" s="19" t="s">
        <v>3376</v>
      </c>
      <c r="F239" s="19" t="s">
        <v>3377</v>
      </c>
      <c r="G239" s="19" t="s">
        <v>3378</v>
      </c>
      <c r="H239" s="19" t="s">
        <v>3379</v>
      </c>
      <c r="I239" s="19" t="s">
        <v>3380</v>
      </c>
      <c r="J239" s="19" t="s">
        <v>3381</v>
      </c>
      <c r="K239" s="19" t="s">
        <v>3382</v>
      </c>
      <c r="L239" s="19" t="s">
        <v>3383</v>
      </c>
      <c r="M239" s="19" t="s">
        <v>1867</v>
      </c>
      <c r="N239" s="19" t="s">
        <v>3384</v>
      </c>
      <c r="O239" s="19" t="s">
        <v>3385</v>
      </c>
      <c r="P239" s="19" t="s">
        <v>911</v>
      </c>
      <c r="Q239" s="19" t="s">
        <v>530</v>
      </c>
    </row>
    <row r="240" spans="1:17" ht="24">
      <c r="A240" s="18" t="s">
        <v>3386</v>
      </c>
      <c r="B240" s="19" t="s">
        <v>3387</v>
      </c>
      <c r="C240" s="19" t="s">
        <v>3388</v>
      </c>
      <c r="D240" s="19" t="s">
        <v>3389</v>
      </c>
      <c r="E240" s="19" t="s">
        <v>3390</v>
      </c>
      <c r="F240" s="19" t="s">
        <v>3391</v>
      </c>
      <c r="G240" s="19" t="s">
        <v>3392</v>
      </c>
      <c r="H240" s="19" t="s">
        <v>543</v>
      </c>
      <c r="I240" s="19" t="s">
        <v>3393</v>
      </c>
      <c r="J240" s="19" t="s">
        <v>3394</v>
      </c>
      <c r="K240" s="19" t="s">
        <v>3395</v>
      </c>
      <c r="L240" s="19" t="s">
        <v>3396</v>
      </c>
      <c r="M240" s="19" t="s">
        <v>3397</v>
      </c>
      <c r="N240" s="19" t="s">
        <v>2791</v>
      </c>
      <c r="O240" s="19" t="s">
        <v>3398</v>
      </c>
      <c r="P240" s="19" t="s">
        <v>564</v>
      </c>
      <c r="Q240" s="19" t="s">
        <v>3399</v>
      </c>
    </row>
    <row r="241" spans="1:17" ht="24">
      <c r="A241" s="18" t="s">
        <v>3400</v>
      </c>
      <c r="B241" s="19" t="s">
        <v>1842</v>
      </c>
      <c r="C241" s="19" t="s">
        <v>3401</v>
      </c>
      <c r="D241" s="19" t="s">
        <v>2896</v>
      </c>
      <c r="E241" s="19" t="s">
        <v>3402</v>
      </c>
      <c r="F241" s="19" t="s">
        <v>3403</v>
      </c>
      <c r="G241" s="19" t="s">
        <v>3404</v>
      </c>
      <c r="H241" s="19" t="s">
        <v>3405</v>
      </c>
      <c r="I241" s="19" t="s">
        <v>3406</v>
      </c>
      <c r="J241" s="19" t="s">
        <v>2306</v>
      </c>
      <c r="K241" s="19" t="s">
        <v>3407</v>
      </c>
      <c r="L241" s="19" t="s">
        <v>3408</v>
      </c>
      <c r="M241" s="19" t="s">
        <v>3409</v>
      </c>
      <c r="N241" s="19" t="s">
        <v>3410</v>
      </c>
      <c r="O241" s="19" t="s">
        <v>3411</v>
      </c>
      <c r="P241" s="19" t="s">
        <v>269</v>
      </c>
      <c r="Q241" s="19" t="s">
        <v>3412</v>
      </c>
    </row>
    <row r="242" spans="1:17" ht="36">
      <c r="A242" s="18" t="s">
        <v>3413</v>
      </c>
      <c r="B242" s="19" t="s">
        <v>3414</v>
      </c>
      <c r="C242" s="19" t="s">
        <v>3415</v>
      </c>
      <c r="D242" s="19" t="s">
        <v>3416</v>
      </c>
      <c r="E242" s="19" t="s">
        <v>3417</v>
      </c>
      <c r="F242" s="19" t="s">
        <v>3418</v>
      </c>
      <c r="G242" s="19" t="s">
        <v>3419</v>
      </c>
      <c r="H242" s="19" t="s">
        <v>1116</v>
      </c>
      <c r="I242" s="19" t="s">
        <v>3420</v>
      </c>
      <c r="J242" s="19" t="s">
        <v>3421</v>
      </c>
      <c r="K242" s="19" t="s">
        <v>3422</v>
      </c>
      <c r="L242" s="19" t="s">
        <v>3423</v>
      </c>
      <c r="M242" s="19" t="s">
        <v>3424</v>
      </c>
      <c r="N242" s="19" t="s">
        <v>3425</v>
      </c>
      <c r="O242" s="19" t="s">
        <v>3426</v>
      </c>
      <c r="P242" s="19" t="s">
        <v>973</v>
      </c>
      <c r="Q242" s="19" t="s">
        <v>3337</v>
      </c>
    </row>
    <row r="243" spans="1:17" ht="36">
      <c r="A243" s="18" t="s">
        <v>3427</v>
      </c>
      <c r="B243" s="19" t="s">
        <v>3428</v>
      </c>
      <c r="C243" s="19" t="s">
        <v>3429</v>
      </c>
      <c r="D243" s="19" t="s">
        <v>3430</v>
      </c>
      <c r="E243" s="19" t="s">
        <v>3431</v>
      </c>
      <c r="F243" s="19" t="s">
        <v>3432</v>
      </c>
      <c r="G243" s="19" t="s">
        <v>3433</v>
      </c>
      <c r="H243" s="19" t="s">
        <v>3434</v>
      </c>
      <c r="I243" s="19" t="s">
        <v>3435</v>
      </c>
      <c r="J243" s="19" t="s">
        <v>3436</v>
      </c>
      <c r="K243" s="19" t="s">
        <v>3437</v>
      </c>
      <c r="L243" s="19" t="s">
        <v>3438</v>
      </c>
      <c r="M243" s="19" t="s">
        <v>3439</v>
      </c>
      <c r="N243" s="19" t="s">
        <v>3440</v>
      </c>
      <c r="O243" s="19" t="s">
        <v>3441</v>
      </c>
      <c r="P243" s="19" t="s">
        <v>3442</v>
      </c>
      <c r="Q243" s="19" t="s">
        <v>3443</v>
      </c>
    </row>
    <row r="244" spans="1:17" ht="36">
      <c r="A244" s="18" t="s">
        <v>3444</v>
      </c>
      <c r="B244" s="19" t="s">
        <v>3445</v>
      </c>
      <c r="C244" s="19" t="s">
        <v>3446</v>
      </c>
      <c r="D244" s="19" t="s">
        <v>3447</v>
      </c>
      <c r="E244" s="19" t="s">
        <v>3448</v>
      </c>
      <c r="F244" s="19" t="s">
        <v>3326</v>
      </c>
      <c r="G244" s="19" t="s">
        <v>3449</v>
      </c>
      <c r="H244" s="19" t="s">
        <v>3450</v>
      </c>
      <c r="I244" s="19" t="s">
        <v>3451</v>
      </c>
      <c r="J244" s="19" t="s">
        <v>3452</v>
      </c>
      <c r="K244" s="19" t="s">
        <v>3453</v>
      </c>
      <c r="L244" s="19" t="s">
        <v>3454</v>
      </c>
      <c r="M244" s="19" t="s">
        <v>3455</v>
      </c>
      <c r="N244" s="19" t="s">
        <v>3456</v>
      </c>
      <c r="O244" s="19" t="s">
        <v>3457</v>
      </c>
      <c r="P244" s="19" t="s">
        <v>3458</v>
      </c>
      <c r="Q244" s="19" t="s">
        <v>3459</v>
      </c>
    </row>
    <row r="245" spans="1:17" ht="36">
      <c r="A245" s="18" t="s">
        <v>3460</v>
      </c>
      <c r="B245" s="19" t="s">
        <v>3461</v>
      </c>
      <c r="C245" s="19" t="s">
        <v>3462</v>
      </c>
      <c r="D245" s="19" t="s">
        <v>3463</v>
      </c>
      <c r="E245" s="19" t="s">
        <v>3464</v>
      </c>
      <c r="F245" s="19" t="s">
        <v>3465</v>
      </c>
      <c r="G245" s="19" t="s">
        <v>3466</v>
      </c>
      <c r="H245" s="19" t="s">
        <v>3467</v>
      </c>
      <c r="I245" s="19" t="s">
        <v>3009</v>
      </c>
      <c r="J245" s="19" t="s">
        <v>3468</v>
      </c>
      <c r="K245" s="19" t="s">
        <v>3469</v>
      </c>
      <c r="L245" s="19" t="s">
        <v>3470</v>
      </c>
      <c r="M245" s="19" t="s">
        <v>851</v>
      </c>
      <c r="N245" s="19" t="s">
        <v>3471</v>
      </c>
      <c r="O245" s="19" t="s">
        <v>3472</v>
      </c>
      <c r="P245" s="19" t="s">
        <v>3473</v>
      </c>
      <c r="Q245" s="19" t="s">
        <v>3474</v>
      </c>
    </row>
    <row r="246" spans="1:17" ht="36">
      <c r="A246" s="18" t="s">
        <v>3475</v>
      </c>
      <c r="B246" s="19" t="s">
        <v>2854</v>
      </c>
      <c r="C246" s="19" t="s">
        <v>3476</v>
      </c>
      <c r="D246" s="19" t="s">
        <v>3477</v>
      </c>
      <c r="E246" s="19" t="s">
        <v>3478</v>
      </c>
      <c r="F246" s="19" t="s">
        <v>3479</v>
      </c>
      <c r="G246" s="19" t="s">
        <v>3480</v>
      </c>
      <c r="H246" s="19" t="s">
        <v>3481</v>
      </c>
      <c r="I246" s="19" t="s">
        <v>3482</v>
      </c>
      <c r="J246" s="19" t="s">
        <v>3483</v>
      </c>
      <c r="K246" s="19" t="s">
        <v>3484</v>
      </c>
      <c r="L246" s="19" t="s">
        <v>3485</v>
      </c>
      <c r="M246" s="19" t="s">
        <v>3486</v>
      </c>
      <c r="N246" s="19" t="s">
        <v>3487</v>
      </c>
      <c r="O246" s="19" t="s">
        <v>3488</v>
      </c>
      <c r="P246" s="19" t="s">
        <v>3489</v>
      </c>
      <c r="Q246" s="19" t="s">
        <v>3015</v>
      </c>
    </row>
    <row r="247" spans="1:17" ht="36">
      <c r="A247" s="20" t="s">
        <v>3490</v>
      </c>
      <c r="B247" s="21" t="s">
        <v>3491</v>
      </c>
      <c r="C247" s="21" t="s">
        <v>3492</v>
      </c>
      <c r="D247" s="21" t="s">
        <v>3493</v>
      </c>
      <c r="E247" s="21" t="s">
        <v>3494</v>
      </c>
      <c r="F247" s="21" t="s">
        <v>3495</v>
      </c>
      <c r="G247" s="21" t="s">
        <v>3496</v>
      </c>
      <c r="H247" s="21" t="s">
        <v>3497</v>
      </c>
      <c r="I247" s="21" t="s">
        <v>3498</v>
      </c>
      <c r="J247" s="21" t="s">
        <v>3499</v>
      </c>
      <c r="K247" s="21" t="s">
        <v>3500</v>
      </c>
      <c r="L247" s="21" t="s">
        <v>3501</v>
      </c>
      <c r="M247" s="21" t="s">
        <v>3502</v>
      </c>
      <c r="N247" s="21" t="s">
        <v>3503</v>
      </c>
      <c r="O247" s="21" t="s">
        <v>3504</v>
      </c>
      <c r="P247" s="21" t="s">
        <v>3505</v>
      </c>
      <c r="Q247" s="21" t="s">
        <v>3506</v>
      </c>
    </row>
    <row r="248" spans="1:17" ht="15.6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</row>
    <row r="249" spans="1:17" ht="15.6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 spans="1:17">
      <c r="A250" s="12" t="s">
        <v>3507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>
      <c r="A251" s="3" t="s">
        <v>159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spans="1:17">
      <c r="A252" s="127" t="s">
        <v>160</v>
      </c>
      <c r="B252" s="131" t="s">
        <v>161</v>
      </c>
      <c r="C252" s="135" t="s">
        <v>162</v>
      </c>
      <c r="D252" s="125"/>
      <c r="E252" s="125"/>
      <c r="F252" s="125"/>
      <c r="G252" s="125"/>
      <c r="H252" s="125"/>
      <c r="I252" s="125"/>
      <c r="J252" s="126"/>
      <c r="K252" s="135" t="s">
        <v>163</v>
      </c>
      <c r="L252" s="125"/>
      <c r="M252" s="126"/>
      <c r="N252" s="135" t="s">
        <v>164</v>
      </c>
      <c r="O252" s="125"/>
      <c r="P252" s="125"/>
      <c r="Q252" s="125"/>
    </row>
    <row r="253" spans="1:17">
      <c r="A253" s="128"/>
      <c r="B253" s="132"/>
      <c r="C253" s="132"/>
      <c r="D253" s="131" t="s">
        <v>165</v>
      </c>
      <c r="E253" s="131" t="s">
        <v>166</v>
      </c>
      <c r="F253" s="131" t="s">
        <v>167</v>
      </c>
      <c r="G253" s="135" t="s">
        <v>168</v>
      </c>
      <c r="H253" s="125"/>
      <c r="I253" s="125"/>
      <c r="J253" s="126"/>
      <c r="K253" s="132"/>
      <c r="L253" s="135" t="s">
        <v>169</v>
      </c>
      <c r="M253" s="13"/>
      <c r="N253" s="132"/>
      <c r="O253" s="135" t="s">
        <v>170</v>
      </c>
      <c r="P253" s="125"/>
      <c r="Q253" s="125"/>
    </row>
    <row r="254" spans="1:17">
      <c r="A254" s="128"/>
      <c r="B254" s="132"/>
      <c r="C254" s="132"/>
      <c r="D254" s="132"/>
      <c r="E254" s="132"/>
      <c r="F254" s="132"/>
      <c r="G254" s="132"/>
      <c r="H254" s="131" t="s">
        <v>171</v>
      </c>
      <c r="I254" s="135" t="s">
        <v>172</v>
      </c>
      <c r="J254" s="13"/>
      <c r="K254" s="132"/>
      <c r="L254" s="132"/>
      <c r="M254" s="131" t="s">
        <v>173</v>
      </c>
      <c r="N254" s="132"/>
      <c r="O254" s="132"/>
      <c r="P254" s="131" t="s">
        <v>174</v>
      </c>
      <c r="Q254" s="135" t="s">
        <v>175</v>
      </c>
    </row>
    <row r="255" spans="1:17">
      <c r="A255" s="129"/>
      <c r="B255" s="133"/>
      <c r="C255" s="133"/>
      <c r="D255" s="133"/>
      <c r="E255" s="133"/>
      <c r="F255" s="133"/>
      <c r="G255" s="133"/>
      <c r="H255" s="133"/>
      <c r="I255" s="133"/>
      <c r="J255" s="14" t="s">
        <v>176</v>
      </c>
      <c r="K255" s="133"/>
      <c r="L255" s="133"/>
      <c r="M255" s="133"/>
      <c r="N255" s="133"/>
      <c r="O255" s="133"/>
      <c r="P255" s="133"/>
      <c r="Q255" s="137"/>
    </row>
    <row r="256" spans="1:17" ht="36">
      <c r="A256" s="7" t="s">
        <v>3508</v>
      </c>
      <c r="B256" s="6" t="s">
        <v>3509</v>
      </c>
      <c r="C256" s="6" t="s">
        <v>3510</v>
      </c>
      <c r="D256" s="6" t="s">
        <v>3511</v>
      </c>
      <c r="E256" s="6" t="s">
        <v>3512</v>
      </c>
      <c r="F256" s="6" t="s">
        <v>3513</v>
      </c>
      <c r="G256" s="6" t="s">
        <v>3514</v>
      </c>
      <c r="H256" s="6" t="s">
        <v>3515</v>
      </c>
      <c r="I256" s="6" t="s">
        <v>3516</v>
      </c>
      <c r="J256" s="6" t="s">
        <v>3517</v>
      </c>
      <c r="K256" s="6" t="s">
        <v>3518</v>
      </c>
      <c r="L256" s="6" t="s">
        <v>3519</v>
      </c>
      <c r="M256" s="6" t="s">
        <v>3520</v>
      </c>
      <c r="N256" s="6" t="s">
        <v>3521</v>
      </c>
      <c r="O256" s="6" t="s">
        <v>3522</v>
      </c>
      <c r="P256" s="6" t="s">
        <v>3523</v>
      </c>
      <c r="Q256" s="6" t="s">
        <v>269</v>
      </c>
    </row>
    <row r="257" spans="1:17" ht="48">
      <c r="A257" s="7" t="s">
        <v>3524</v>
      </c>
      <c r="B257" s="6" t="s">
        <v>3525</v>
      </c>
      <c r="C257" s="6" t="s">
        <v>3526</v>
      </c>
      <c r="D257" s="6" t="s">
        <v>3527</v>
      </c>
      <c r="E257" s="6" t="s">
        <v>3247</v>
      </c>
      <c r="F257" s="6" t="s">
        <v>3528</v>
      </c>
      <c r="G257" s="6" t="s">
        <v>3529</v>
      </c>
      <c r="H257" s="6" t="s">
        <v>3530</v>
      </c>
      <c r="I257" s="6" t="s">
        <v>3531</v>
      </c>
      <c r="J257" s="6" t="s">
        <v>3532</v>
      </c>
      <c r="K257" s="6" t="s">
        <v>3533</v>
      </c>
      <c r="L257" s="6" t="s">
        <v>3534</v>
      </c>
      <c r="M257" s="6" t="s">
        <v>2531</v>
      </c>
      <c r="N257" s="6" t="s">
        <v>3535</v>
      </c>
      <c r="O257" s="6" t="s">
        <v>3536</v>
      </c>
      <c r="P257" s="6" t="s">
        <v>549</v>
      </c>
      <c r="Q257" s="6" t="s">
        <v>999</v>
      </c>
    </row>
    <row r="258" spans="1:17" ht="36">
      <c r="A258" s="7" t="s">
        <v>3537</v>
      </c>
      <c r="B258" s="6" t="s">
        <v>3538</v>
      </c>
      <c r="C258" s="6" t="s">
        <v>3539</v>
      </c>
      <c r="D258" s="6" t="s">
        <v>3540</v>
      </c>
      <c r="E258" s="6" t="s">
        <v>3541</v>
      </c>
      <c r="F258" s="6" t="s">
        <v>3542</v>
      </c>
      <c r="G258" s="6" t="s">
        <v>3543</v>
      </c>
      <c r="H258" s="6" t="s">
        <v>3544</v>
      </c>
      <c r="I258" s="6" t="s">
        <v>3545</v>
      </c>
      <c r="J258" s="6" t="s">
        <v>3546</v>
      </c>
      <c r="K258" s="6" t="s">
        <v>3547</v>
      </c>
      <c r="L258" s="6" t="s">
        <v>3548</v>
      </c>
      <c r="M258" s="6" t="s">
        <v>3549</v>
      </c>
      <c r="N258" s="6" t="s">
        <v>3550</v>
      </c>
      <c r="O258" s="6" t="s">
        <v>3551</v>
      </c>
      <c r="P258" s="6" t="s">
        <v>564</v>
      </c>
      <c r="Q258" s="6" t="s">
        <v>1454</v>
      </c>
    </row>
    <row r="259" spans="1:17" ht="36">
      <c r="A259" s="7" t="s">
        <v>3552</v>
      </c>
      <c r="B259" s="6" t="s">
        <v>3553</v>
      </c>
      <c r="C259" s="6" t="s">
        <v>3554</v>
      </c>
      <c r="D259" s="6" t="s">
        <v>3555</v>
      </c>
      <c r="E259" s="6" t="s">
        <v>3556</v>
      </c>
      <c r="F259" s="6" t="s">
        <v>334</v>
      </c>
      <c r="G259" s="6" t="s">
        <v>3557</v>
      </c>
      <c r="H259" s="6" t="s">
        <v>3558</v>
      </c>
      <c r="I259" s="6" t="s">
        <v>2503</v>
      </c>
      <c r="J259" s="6" t="s">
        <v>2573</v>
      </c>
      <c r="K259" s="6" t="s">
        <v>3559</v>
      </c>
      <c r="L259" s="6" t="s">
        <v>3064</v>
      </c>
      <c r="M259" s="6" t="s">
        <v>3560</v>
      </c>
      <c r="N259" s="6" t="s">
        <v>3561</v>
      </c>
      <c r="O259" s="6" t="s">
        <v>3562</v>
      </c>
      <c r="P259" s="15"/>
      <c r="Q259" s="6" t="s">
        <v>979</v>
      </c>
    </row>
    <row r="260" spans="1:17" ht="36">
      <c r="A260" s="7" t="s">
        <v>3563</v>
      </c>
      <c r="B260" s="6" t="s">
        <v>3564</v>
      </c>
      <c r="C260" s="6" t="s">
        <v>3565</v>
      </c>
      <c r="D260" s="6" t="s">
        <v>3566</v>
      </c>
      <c r="E260" s="6" t="s">
        <v>3567</v>
      </c>
      <c r="F260" s="6" t="s">
        <v>3568</v>
      </c>
      <c r="G260" s="6" t="s">
        <v>3569</v>
      </c>
      <c r="H260" s="6" t="s">
        <v>3334</v>
      </c>
      <c r="I260" s="6" t="s">
        <v>3570</v>
      </c>
      <c r="J260" s="6" t="s">
        <v>3571</v>
      </c>
      <c r="K260" s="6" t="s">
        <v>3572</v>
      </c>
      <c r="L260" s="6" t="s">
        <v>3573</v>
      </c>
      <c r="M260" s="6" t="s">
        <v>3574</v>
      </c>
      <c r="N260" s="6" t="s">
        <v>3575</v>
      </c>
      <c r="O260" s="6" t="s">
        <v>3576</v>
      </c>
      <c r="P260" s="6" t="s">
        <v>3577</v>
      </c>
      <c r="Q260" s="6" t="s">
        <v>1918</v>
      </c>
    </row>
    <row r="261" spans="1:17" ht="36">
      <c r="A261" s="7" t="s">
        <v>3578</v>
      </c>
      <c r="B261" s="6" t="s">
        <v>3579</v>
      </c>
      <c r="C261" s="6" t="s">
        <v>3580</v>
      </c>
      <c r="D261" s="6" t="s">
        <v>3581</v>
      </c>
      <c r="E261" s="6" t="s">
        <v>3582</v>
      </c>
      <c r="F261" s="6" t="s">
        <v>3583</v>
      </c>
      <c r="G261" s="6" t="s">
        <v>3584</v>
      </c>
      <c r="H261" s="6" t="s">
        <v>3585</v>
      </c>
      <c r="I261" s="6" t="s">
        <v>3586</v>
      </c>
      <c r="J261" s="6" t="s">
        <v>3587</v>
      </c>
      <c r="K261" s="6" t="s">
        <v>3588</v>
      </c>
      <c r="L261" s="6" t="s">
        <v>3589</v>
      </c>
      <c r="M261" s="6" t="s">
        <v>3590</v>
      </c>
      <c r="N261" s="6" t="s">
        <v>3591</v>
      </c>
      <c r="O261" s="6" t="s">
        <v>3592</v>
      </c>
      <c r="P261" s="6" t="s">
        <v>3593</v>
      </c>
      <c r="Q261" s="6" t="s">
        <v>358</v>
      </c>
    </row>
    <row r="262" spans="1:17" ht="48">
      <c r="A262" s="7" t="s">
        <v>3594</v>
      </c>
      <c r="B262" s="6" t="s">
        <v>1968</v>
      </c>
      <c r="C262" s="6" t="s">
        <v>3595</v>
      </c>
      <c r="D262" s="6" t="s">
        <v>3596</v>
      </c>
      <c r="E262" s="6" t="s">
        <v>3597</v>
      </c>
      <c r="F262" s="6" t="s">
        <v>3598</v>
      </c>
      <c r="G262" s="6" t="s">
        <v>3599</v>
      </c>
      <c r="H262" s="6" t="s">
        <v>3156</v>
      </c>
      <c r="I262" s="6" t="s">
        <v>3600</v>
      </c>
      <c r="J262" s="6" t="s">
        <v>3601</v>
      </c>
      <c r="K262" s="6" t="s">
        <v>3602</v>
      </c>
      <c r="L262" s="6" t="s">
        <v>3603</v>
      </c>
      <c r="M262" s="6" t="s">
        <v>3604</v>
      </c>
      <c r="N262" s="6" t="s">
        <v>3605</v>
      </c>
      <c r="O262" s="6" t="s">
        <v>3606</v>
      </c>
      <c r="P262" s="6" t="s">
        <v>1129</v>
      </c>
      <c r="Q262" s="6" t="s">
        <v>976</v>
      </c>
    </row>
    <row r="263" spans="1:17" ht="48">
      <c r="A263" s="7" t="s">
        <v>3607</v>
      </c>
      <c r="B263" s="6" t="s">
        <v>3608</v>
      </c>
      <c r="C263" s="6" t="s">
        <v>3609</v>
      </c>
      <c r="D263" s="6" t="s">
        <v>3610</v>
      </c>
      <c r="E263" s="6" t="s">
        <v>3611</v>
      </c>
      <c r="F263" s="6" t="s">
        <v>3612</v>
      </c>
      <c r="G263" s="6" t="s">
        <v>3613</v>
      </c>
      <c r="H263" s="6" t="s">
        <v>3614</v>
      </c>
      <c r="I263" s="6" t="s">
        <v>3615</v>
      </c>
      <c r="J263" s="6" t="s">
        <v>3616</v>
      </c>
      <c r="K263" s="6" t="s">
        <v>3617</v>
      </c>
      <c r="L263" s="6" t="s">
        <v>3618</v>
      </c>
      <c r="M263" s="6" t="s">
        <v>3619</v>
      </c>
      <c r="N263" s="6" t="s">
        <v>3620</v>
      </c>
      <c r="O263" s="6" t="s">
        <v>3621</v>
      </c>
      <c r="P263" s="6" t="s">
        <v>563</v>
      </c>
      <c r="Q263" s="6" t="s">
        <v>3622</v>
      </c>
    </row>
    <row r="264" spans="1:17" ht="36">
      <c r="A264" s="7" t="s">
        <v>3623</v>
      </c>
      <c r="B264" s="6" t="s">
        <v>3624</v>
      </c>
      <c r="C264" s="6" t="s">
        <v>3625</v>
      </c>
      <c r="D264" s="6" t="s">
        <v>3626</v>
      </c>
      <c r="E264" s="6" t="s">
        <v>3627</v>
      </c>
      <c r="F264" s="6" t="s">
        <v>3628</v>
      </c>
      <c r="G264" s="6" t="s">
        <v>3629</v>
      </c>
      <c r="H264" s="6" t="s">
        <v>3630</v>
      </c>
      <c r="I264" s="6" t="s">
        <v>1644</v>
      </c>
      <c r="J264" s="6" t="s">
        <v>3144</v>
      </c>
      <c r="K264" s="6" t="s">
        <v>2807</v>
      </c>
      <c r="L264" s="6" t="s">
        <v>3631</v>
      </c>
      <c r="M264" s="6" t="s">
        <v>3632</v>
      </c>
      <c r="N264" s="6" t="s">
        <v>3633</v>
      </c>
      <c r="O264" s="6" t="s">
        <v>3634</v>
      </c>
      <c r="P264" s="6" t="s">
        <v>1360</v>
      </c>
      <c r="Q264" s="6" t="s">
        <v>981</v>
      </c>
    </row>
    <row r="265" spans="1:17" ht="36">
      <c r="A265" s="7" t="s">
        <v>3635</v>
      </c>
      <c r="B265" s="6" t="s">
        <v>655</v>
      </c>
      <c r="C265" s="6" t="s">
        <v>3636</v>
      </c>
      <c r="D265" s="6" t="s">
        <v>3637</v>
      </c>
      <c r="E265" s="6" t="s">
        <v>637</v>
      </c>
      <c r="F265" s="6" t="s">
        <v>3638</v>
      </c>
      <c r="G265" s="6" t="s">
        <v>3639</v>
      </c>
      <c r="H265" s="6" t="s">
        <v>3640</v>
      </c>
      <c r="I265" s="6" t="s">
        <v>270</v>
      </c>
      <c r="J265" s="6" t="s">
        <v>2883</v>
      </c>
      <c r="K265" s="6" t="s">
        <v>3641</v>
      </c>
      <c r="L265" s="6" t="s">
        <v>3642</v>
      </c>
      <c r="M265" s="6" t="s">
        <v>3643</v>
      </c>
      <c r="N265" s="6" t="s">
        <v>3644</v>
      </c>
      <c r="O265" s="6" t="s">
        <v>3645</v>
      </c>
      <c r="P265" s="6" t="s">
        <v>2571</v>
      </c>
      <c r="Q265" s="15"/>
    </row>
    <row r="266" spans="1:17" ht="36">
      <c r="A266" s="7" t="s">
        <v>3646</v>
      </c>
      <c r="B266" s="6" t="s">
        <v>441</v>
      </c>
      <c r="C266" s="6" t="s">
        <v>3647</v>
      </c>
      <c r="D266" s="6" t="s">
        <v>3648</v>
      </c>
      <c r="E266" s="6" t="s">
        <v>3649</v>
      </c>
      <c r="F266" s="6" t="s">
        <v>883</v>
      </c>
      <c r="G266" s="6" t="s">
        <v>3650</v>
      </c>
      <c r="H266" s="6" t="s">
        <v>530</v>
      </c>
      <c r="I266" s="6" t="s">
        <v>564</v>
      </c>
      <c r="J266" s="6" t="s">
        <v>2605</v>
      </c>
      <c r="K266" s="6" t="s">
        <v>438</v>
      </c>
      <c r="L266" s="6" t="s">
        <v>3651</v>
      </c>
      <c r="M266" s="6" t="s">
        <v>992</v>
      </c>
      <c r="N266" s="6" t="s">
        <v>2488</v>
      </c>
      <c r="O266" s="6" t="s">
        <v>944</v>
      </c>
      <c r="P266" s="15"/>
      <c r="Q266" s="6" t="s">
        <v>571</v>
      </c>
    </row>
    <row r="267" spans="1:17" ht="36">
      <c r="A267" s="7" t="s">
        <v>3652</v>
      </c>
      <c r="B267" s="6" t="s">
        <v>837</v>
      </c>
      <c r="C267" s="6" t="s">
        <v>2724</v>
      </c>
      <c r="D267" s="6" t="s">
        <v>3653</v>
      </c>
      <c r="E267" s="6" t="s">
        <v>3654</v>
      </c>
      <c r="F267" s="6" t="s">
        <v>3655</v>
      </c>
      <c r="G267" s="6" t="s">
        <v>2561</v>
      </c>
      <c r="H267" s="6" t="s">
        <v>2834</v>
      </c>
      <c r="I267" s="6" t="s">
        <v>703</v>
      </c>
      <c r="J267" s="6" t="s">
        <v>2566</v>
      </c>
      <c r="K267" s="6" t="s">
        <v>3656</v>
      </c>
      <c r="L267" s="6" t="s">
        <v>3657</v>
      </c>
      <c r="M267" s="6" t="s">
        <v>3658</v>
      </c>
      <c r="N267" s="6" t="s">
        <v>3659</v>
      </c>
      <c r="O267" s="6" t="s">
        <v>714</v>
      </c>
      <c r="P267" s="6" t="s">
        <v>571</v>
      </c>
      <c r="Q267" s="6" t="s">
        <v>571</v>
      </c>
    </row>
    <row r="268" spans="1:17" ht="24">
      <c r="A268" s="7" t="s">
        <v>3660</v>
      </c>
      <c r="B268" s="6" t="s">
        <v>3661</v>
      </c>
      <c r="C268" s="6" t="s">
        <v>3662</v>
      </c>
      <c r="D268" s="6" t="s">
        <v>3663</v>
      </c>
      <c r="E268" s="6" t="s">
        <v>3664</v>
      </c>
      <c r="F268" s="6" t="s">
        <v>3665</v>
      </c>
      <c r="G268" s="6" t="s">
        <v>3666</v>
      </c>
      <c r="H268" s="6" t="s">
        <v>3667</v>
      </c>
      <c r="I268" s="6" t="s">
        <v>3668</v>
      </c>
      <c r="J268" s="6" t="s">
        <v>3669</v>
      </c>
      <c r="K268" s="6" t="s">
        <v>3670</v>
      </c>
      <c r="L268" s="6" t="s">
        <v>3671</v>
      </c>
      <c r="M268" s="6" t="s">
        <v>3672</v>
      </c>
      <c r="N268" s="6" t="s">
        <v>3673</v>
      </c>
      <c r="O268" s="6" t="s">
        <v>3674</v>
      </c>
      <c r="P268" s="6" t="s">
        <v>3675</v>
      </c>
      <c r="Q268" s="6" t="s">
        <v>3676</v>
      </c>
    </row>
    <row r="269" spans="1:17" ht="36">
      <c r="A269" s="7" t="s">
        <v>3677</v>
      </c>
      <c r="B269" s="6" t="s">
        <v>3678</v>
      </c>
      <c r="C269" s="6" t="s">
        <v>3679</v>
      </c>
      <c r="D269" s="6" t="s">
        <v>3680</v>
      </c>
      <c r="E269" s="6" t="s">
        <v>3681</v>
      </c>
      <c r="F269" s="6" t="s">
        <v>3682</v>
      </c>
      <c r="G269" s="6" t="s">
        <v>3683</v>
      </c>
      <c r="H269" s="6" t="s">
        <v>3684</v>
      </c>
      <c r="I269" s="6" t="s">
        <v>3685</v>
      </c>
      <c r="J269" s="6" t="s">
        <v>3686</v>
      </c>
      <c r="K269" s="6" t="s">
        <v>3687</v>
      </c>
      <c r="L269" s="6" t="s">
        <v>3688</v>
      </c>
      <c r="M269" s="6" t="s">
        <v>3689</v>
      </c>
      <c r="N269" s="6" t="s">
        <v>3690</v>
      </c>
      <c r="O269" s="6" t="s">
        <v>3691</v>
      </c>
      <c r="P269" s="6" t="s">
        <v>3692</v>
      </c>
      <c r="Q269" s="6" t="s">
        <v>3693</v>
      </c>
    </row>
    <row r="270" spans="1:17" ht="36">
      <c r="A270" s="7" t="s">
        <v>3694</v>
      </c>
      <c r="B270" s="6" t="s">
        <v>2713</v>
      </c>
      <c r="C270" s="6" t="s">
        <v>3695</v>
      </c>
      <c r="D270" s="6" t="s">
        <v>3696</v>
      </c>
      <c r="E270" s="6" t="s">
        <v>3697</v>
      </c>
      <c r="F270" s="6" t="s">
        <v>3698</v>
      </c>
      <c r="G270" s="6" t="s">
        <v>3699</v>
      </c>
      <c r="H270" s="6" t="s">
        <v>3700</v>
      </c>
      <c r="I270" s="6" t="s">
        <v>3701</v>
      </c>
      <c r="J270" s="6" t="s">
        <v>1572</v>
      </c>
      <c r="K270" s="6" t="s">
        <v>2284</v>
      </c>
      <c r="L270" s="6" t="s">
        <v>3702</v>
      </c>
      <c r="M270" s="6" t="s">
        <v>3703</v>
      </c>
      <c r="N270" s="6" t="s">
        <v>3704</v>
      </c>
      <c r="O270" s="6" t="s">
        <v>3705</v>
      </c>
      <c r="P270" s="15"/>
      <c r="Q270" s="15"/>
    </row>
    <row r="271" spans="1:17" ht="36">
      <c r="A271" s="7" t="s">
        <v>3706</v>
      </c>
      <c r="B271" s="6" t="s">
        <v>3707</v>
      </c>
      <c r="C271" s="6" t="s">
        <v>3708</v>
      </c>
      <c r="D271" s="6" t="s">
        <v>3709</v>
      </c>
      <c r="E271" s="6" t="s">
        <v>3710</v>
      </c>
      <c r="F271" s="6" t="s">
        <v>3711</v>
      </c>
      <c r="G271" s="6" t="s">
        <v>3712</v>
      </c>
      <c r="H271" s="6" t="s">
        <v>3713</v>
      </c>
      <c r="I271" s="6" t="s">
        <v>3714</v>
      </c>
      <c r="J271" s="6" t="s">
        <v>3715</v>
      </c>
      <c r="K271" s="6" t="s">
        <v>3716</v>
      </c>
      <c r="L271" s="6" t="s">
        <v>3717</v>
      </c>
      <c r="M271" s="6" t="s">
        <v>3718</v>
      </c>
      <c r="N271" s="6" t="s">
        <v>3719</v>
      </c>
      <c r="O271" s="6" t="s">
        <v>3720</v>
      </c>
      <c r="P271" s="6" t="s">
        <v>835</v>
      </c>
      <c r="Q271" s="6" t="s">
        <v>2899</v>
      </c>
    </row>
    <row r="272" spans="1:17" ht="36">
      <c r="A272" s="7" t="s">
        <v>3721</v>
      </c>
      <c r="B272" s="6" t="s">
        <v>1702</v>
      </c>
      <c r="C272" s="6" t="s">
        <v>3722</v>
      </c>
      <c r="D272" s="6" t="s">
        <v>3723</v>
      </c>
      <c r="E272" s="6" t="s">
        <v>2983</v>
      </c>
      <c r="F272" s="6" t="s">
        <v>3724</v>
      </c>
      <c r="G272" s="6" t="s">
        <v>789</v>
      </c>
      <c r="H272" s="6" t="s">
        <v>3725</v>
      </c>
      <c r="I272" s="6" t="s">
        <v>3726</v>
      </c>
      <c r="J272" s="6" t="s">
        <v>3727</v>
      </c>
      <c r="K272" s="6" t="s">
        <v>3728</v>
      </c>
      <c r="L272" s="6" t="s">
        <v>3729</v>
      </c>
      <c r="M272" s="6" t="s">
        <v>3730</v>
      </c>
      <c r="N272" s="6" t="s">
        <v>3731</v>
      </c>
      <c r="O272" s="6" t="s">
        <v>3732</v>
      </c>
      <c r="P272" s="15"/>
      <c r="Q272" s="15"/>
    </row>
    <row r="273" spans="1:17" ht="36">
      <c r="A273" s="7" t="s">
        <v>3733</v>
      </c>
      <c r="B273" s="6" t="s">
        <v>3734</v>
      </c>
      <c r="C273" s="6" t="s">
        <v>3735</v>
      </c>
      <c r="D273" s="6" t="s">
        <v>3736</v>
      </c>
      <c r="E273" s="6" t="s">
        <v>3737</v>
      </c>
      <c r="F273" s="6" t="s">
        <v>599</v>
      </c>
      <c r="G273" s="6" t="s">
        <v>3738</v>
      </c>
      <c r="H273" s="6" t="s">
        <v>3739</v>
      </c>
      <c r="I273" s="6" t="s">
        <v>3740</v>
      </c>
      <c r="J273" s="6" t="s">
        <v>3741</v>
      </c>
      <c r="K273" s="6" t="s">
        <v>3742</v>
      </c>
      <c r="L273" s="6" t="s">
        <v>3743</v>
      </c>
      <c r="M273" s="6" t="s">
        <v>3744</v>
      </c>
      <c r="N273" s="6" t="s">
        <v>3745</v>
      </c>
      <c r="O273" s="6" t="s">
        <v>3746</v>
      </c>
      <c r="P273" s="6" t="s">
        <v>3747</v>
      </c>
      <c r="Q273" s="6" t="s">
        <v>3748</v>
      </c>
    </row>
    <row r="274" spans="1:17" ht="24">
      <c r="A274" s="7" t="s">
        <v>3749</v>
      </c>
      <c r="B274" s="6" t="s">
        <v>3750</v>
      </c>
      <c r="C274" s="6" t="s">
        <v>3751</v>
      </c>
      <c r="D274" s="6" t="s">
        <v>3752</v>
      </c>
      <c r="E274" s="6" t="s">
        <v>3753</v>
      </c>
      <c r="F274" s="6" t="s">
        <v>3754</v>
      </c>
      <c r="G274" s="6" t="s">
        <v>3755</v>
      </c>
      <c r="H274" s="6" t="s">
        <v>3756</v>
      </c>
      <c r="I274" s="6" t="s">
        <v>3757</v>
      </c>
      <c r="J274" s="6" t="s">
        <v>3758</v>
      </c>
      <c r="K274" s="6" t="s">
        <v>3759</v>
      </c>
      <c r="L274" s="6" t="s">
        <v>3760</v>
      </c>
      <c r="M274" s="6" t="s">
        <v>3761</v>
      </c>
      <c r="N274" s="6" t="s">
        <v>3762</v>
      </c>
      <c r="O274" s="6" t="s">
        <v>3763</v>
      </c>
      <c r="P274" s="6" t="s">
        <v>3764</v>
      </c>
      <c r="Q274" s="6" t="s">
        <v>3765</v>
      </c>
    </row>
    <row r="275" spans="1:17" ht="24">
      <c r="A275" s="7" t="s">
        <v>3766</v>
      </c>
      <c r="B275" s="6" t="s">
        <v>3767</v>
      </c>
      <c r="C275" s="6" t="s">
        <v>3768</v>
      </c>
      <c r="D275" s="6" t="s">
        <v>3769</v>
      </c>
      <c r="E275" s="6" t="s">
        <v>3770</v>
      </c>
      <c r="F275" s="6" t="s">
        <v>3771</v>
      </c>
      <c r="G275" s="6" t="s">
        <v>3772</v>
      </c>
      <c r="H275" s="6" t="s">
        <v>3773</v>
      </c>
      <c r="I275" s="6" t="s">
        <v>3774</v>
      </c>
      <c r="J275" s="6" t="s">
        <v>3775</v>
      </c>
      <c r="K275" s="6" t="s">
        <v>3776</v>
      </c>
      <c r="L275" s="6" t="s">
        <v>3777</v>
      </c>
      <c r="M275" s="6" t="s">
        <v>3778</v>
      </c>
      <c r="N275" s="6" t="s">
        <v>3779</v>
      </c>
      <c r="O275" s="6" t="s">
        <v>3780</v>
      </c>
      <c r="P275" s="6" t="s">
        <v>3241</v>
      </c>
      <c r="Q275" s="6" t="s">
        <v>531</v>
      </c>
    </row>
    <row r="276" spans="1:17" ht="36">
      <c r="A276" s="7" t="s">
        <v>3781</v>
      </c>
      <c r="B276" s="6" t="s">
        <v>3553</v>
      </c>
      <c r="C276" s="6" t="s">
        <v>3782</v>
      </c>
      <c r="D276" s="6" t="s">
        <v>3783</v>
      </c>
      <c r="E276" s="6" t="s">
        <v>3784</v>
      </c>
      <c r="F276" s="6" t="s">
        <v>2270</v>
      </c>
      <c r="G276" s="6" t="s">
        <v>3785</v>
      </c>
      <c r="H276" s="6" t="s">
        <v>908</v>
      </c>
      <c r="I276" s="6" t="s">
        <v>3786</v>
      </c>
      <c r="J276" s="6" t="s">
        <v>3787</v>
      </c>
      <c r="K276" s="6" t="s">
        <v>3788</v>
      </c>
      <c r="L276" s="6" t="s">
        <v>3789</v>
      </c>
      <c r="M276" s="6" t="s">
        <v>3790</v>
      </c>
      <c r="N276" s="6" t="s">
        <v>3791</v>
      </c>
      <c r="O276" s="6" t="s">
        <v>3792</v>
      </c>
      <c r="P276" s="6" t="s">
        <v>3793</v>
      </c>
      <c r="Q276" s="6" t="s">
        <v>3748</v>
      </c>
    </row>
    <row r="277" spans="1:17" ht="36">
      <c r="A277" s="7" t="s">
        <v>3794</v>
      </c>
      <c r="B277" s="6" t="s">
        <v>524</v>
      </c>
      <c r="C277" s="6" t="s">
        <v>2874</v>
      </c>
      <c r="D277" s="6" t="s">
        <v>3795</v>
      </c>
      <c r="E277" s="6" t="s">
        <v>3796</v>
      </c>
      <c r="F277" s="6" t="s">
        <v>3797</v>
      </c>
      <c r="G277" s="6" t="s">
        <v>3798</v>
      </c>
      <c r="H277" s="6" t="s">
        <v>3799</v>
      </c>
      <c r="I277" s="6" t="s">
        <v>2046</v>
      </c>
      <c r="J277" s="6" t="s">
        <v>1129</v>
      </c>
      <c r="K277" s="6" t="s">
        <v>3800</v>
      </c>
      <c r="L277" s="6" t="s">
        <v>496</v>
      </c>
      <c r="M277" s="6" t="s">
        <v>3801</v>
      </c>
      <c r="N277" s="6" t="s">
        <v>1621</v>
      </c>
      <c r="O277" s="6" t="s">
        <v>3802</v>
      </c>
      <c r="P277" s="6" t="s">
        <v>3803</v>
      </c>
      <c r="Q277" s="6" t="s">
        <v>3804</v>
      </c>
    </row>
    <row r="278" spans="1:17">
      <c r="A278" s="7" t="s">
        <v>3805</v>
      </c>
      <c r="B278" s="6" t="s">
        <v>3806</v>
      </c>
      <c r="C278" s="6" t="s">
        <v>3807</v>
      </c>
      <c r="D278" s="6" t="s">
        <v>3808</v>
      </c>
      <c r="E278" s="6" t="s">
        <v>3809</v>
      </c>
      <c r="F278" s="6" t="s">
        <v>3810</v>
      </c>
      <c r="G278" s="6" t="s">
        <v>3811</v>
      </c>
      <c r="H278" s="6" t="s">
        <v>3812</v>
      </c>
      <c r="I278" s="6" t="s">
        <v>3813</v>
      </c>
      <c r="J278" s="6" t="s">
        <v>3814</v>
      </c>
      <c r="K278" s="6" t="s">
        <v>3815</v>
      </c>
      <c r="L278" s="6" t="s">
        <v>3816</v>
      </c>
      <c r="M278" s="6" t="s">
        <v>3817</v>
      </c>
      <c r="N278" s="6" t="s">
        <v>3818</v>
      </c>
      <c r="O278" s="6" t="s">
        <v>3819</v>
      </c>
      <c r="P278" s="6" t="s">
        <v>3820</v>
      </c>
      <c r="Q278" s="6" t="s">
        <v>2810</v>
      </c>
    </row>
    <row r="279" spans="1:17" ht="36">
      <c r="A279" s="7" t="s">
        <v>3821</v>
      </c>
      <c r="B279" s="6" t="s">
        <v>3822</v>
      </c>
      <c r="C279" s="6" t="s">
        <v>3823</v>
      </c>
      <c r="D279" s="6" t="s">
        <v>3824</v>
      </c>
      <c r="E279" s="6" t="s">
        <v>3825</v>
      </c>
      <c r="F279" s="6" t="s">
        <v>3826</v>
      </c>
      <c r="G279" s="6" t="s">
        <v>3827</v>
      </c>
      <c r="H279" s="6" t="s">
        <v>3828</v>
      </c>
      <c r="I279" s="6" t="s">
        <v>3829</v>
      </c>
      <c r="J279" s="6" t="s">
        <v>3830</v>
      </c>
      <c r="K279" s="6" t="s">
        <v>3831</v>
      </c>
      <c r="L279" s="6" t="s">
        <v>3832</v>
      </c>
      <c r="M279" s="6" t="s">
        <v>3833</v>
      </c>
      <c r="N279" s="6" t="s">
        <v>3834</v>
      </c>
      <c r="O279" s="6" t="s">
        <v>3835</v>
      </c>
      <c r="P279" s="6" t="s">
        <v>3836</v>
      </c>
      <c r="Q279" s="6" t="s">
        <v>3837</v>
      </c>
    </row>
    <row r="280" spans="1:17" ht="36">
      <c r="A280" s="7" t="s">
        <v>3838</v>
      </c>
      <c r="B280" s="6" t="s">
        <v>2621</v>
      </c>
      <c r="C280" s="6" t="s">
        <v>3839</v>
      </c>
      <c r="D280" s="6" t="s">
        <v>3840</v>
      </c>
      <c r="E280" s="6" t="s">
        <v>2898</v>
      </c>
      <c r="F280" s="6" t="s">
        <v>3841</v>
      </c>
      <c r="G280" s="6" t="s">
        <v>3842</v>
      </c>
      <c r="H280" s="6" t="s">
        <v>1104</v>
      </c>
      <c r="I280" s="6" t="s">
        <v>3843</v>
      </c>
      <c r="J280" s="6" t="s">
        <v>3844</v>
      </c>
      <c r="K280" s="6" t="s">
        <v>3845</v>
      </c>
      <c r="L280" s="6" t="s">
        <v>3846</v>
      </c>
      <c r="M280" s="6" t="s">
        <v>3847</v>
      </c>
      <c r="N280" s="6" t="s">
        <v>3848</v>
      </c>
      <c r="O280" s="6" t="s">
        <v>3849</v>
      </c>
      <c r="P280" s="6" t="s">
        <v>3850</v>
      </c>
      <c r="Q280" s="6" t="s">
        <v>556</v>
      </c>
    </row>
    <row r="281" spans="1:17" ht="36">
      <c r="A281" s="7" t="s">
        <v>3851</v>
      </c>
      <c r="B281" s="6" t="s">
        <v>3852</v>
      </c>
      <c r="C281" s="6" t="s">
        <v>3853</v>
      </c>
      <c r="D281" s="6" t="s">
        <v>3854</v>
      </c>
      <c r="E281" s="6" t="s">
        <v>2009</v>
      </c>
      <c r="F281" s="6" t="s">
        <v>3855</v>
      </c>
      <c r="G281" s="6" t="s">
        <v>3856</v>
      </c>
      <c r="H281" s="6" t="s">
        <v>3857</v>
      </c>
      <c r="I281" s="6" t="s">
        <v>3858</v>
      </c>
      <c r="J281" s="6" t="s">
        <v>3859</v>
      </c>
      <c r="K281" s="6" t="s">
        <v>3860</v>
      </c>
      <c r="L281" s="6" t="s">
        <v>3861</v>
      </c>
      <c r="M281" s="6" t="s">
        <v>3862</v>
      </c>
      <c r="N281" s="6" t="s">
        <v>3863</v>
      </c>
      <c r="O281" s="6" t="s">
        <v>3864</v>
      </c>
      <c r="P281" s="6" t="s">
        <v>3865</v>
      </c>
      <c r="Q281" s="6" t="s">
        <v>3866</v>
      </c>
    </row>
    <row r="282" spans="1:17" ht="36">
      <c r="A282" s="7" t="s">
        <v>3867</v>
      </c>
      <c r="B282" s="6" t="s">
        <v>3868</v>
      </c>
      <c r="C282" s="6" t="s">
        <v>3869</v>
      </c>
      <c r="D282" s="6" t="s">
        <v>3870</v>
      </c>
      <c r="E282" s="6" t="s">
        <v>3871</v>
      </c>
      <c r="F282" s="6" t="s">
        <v>3872</v>
      </c>
      <c r="G282" s="6" t="s">
        <v>3873</v>
      </c>
      <c r="H282" s="6" t="s">
        <v>3874</v>
      </c>
      <c r="I282" s="6" t="s">
        <v>3875</v>
      </c>
      <c r="J282" s="6" t="s">
        <v>3876</v>
      </c>
      <c r="K282" s="6" t="s">
        <v>3877</v>
      </c>
      <c r="L282" s="6" t="s">
        <v>3878</v>
      </c>
      <c r="M282" s="6" t="s">
        <v>3879</v>
      </c>
      <c r="N282" s="6" t="s">
        <v>3880</v>
      </c>
      <c r="O282" s="6" t="s">
        <v>3881</v>
      </c>
      <c r="P282" s="6" t="s">
        <v>3882</v>
      </c>
      <c r="Q282" s="6" t="s">
        <v>3883</v>
      </c>
    </row>
    <row r="283" spans="1:17" ht="36">
      <c r="A283" s="7" t="s">
        <v>3884</v>
      </c>
      <c r="B283" s="6" t="s">
        <v>3885</v>
      </c>
      <c r="C283" s="6" t="s">
        <v>3886</v>
      </c>
      <c r="D283" s="6" t="s">
        <v>3887</v>
      </c>
      <c r="E283" s="6" t="s">
        <v>3888</v>
      </c>
      <c r="F283" s="6" t="s">
        <v>3889</v>
      </c>
      <c r="G283" s="6" t="s">
        <v>3890</v>
      </c>
      <c r="H283" s="6" t="s">
        <v>3891</v>
      </c>
      <c r="I283" s="6" t="s">
        <v>3288</v>
      </c>
      <c r="J283" s="6" t="s">
        <v>3892</v>
      </c>
      <c r="K283" s="6" t="s">
        <v>3893</v>
      </c>
      <c r="L283" s="6" t="s">
        <v>3894</v>
      </c>
      <c r="M283" s="6" t="s">
        <v>3895</v>
      </c>
      <c r="N283" s="6" t="s">
        <v>3896</v>
      </c>
      <c r="O283" s="6" t="s">
        <v>3897</v>
      </c>
      <c r="P283" s="6" t="s">
        <v>3898</v>
      </c>
      <c r="Q283" s="6" t="s">
        <v>2756</v>
      </c>
    </row>
    <row r="284" spans="1:17" ht="36">
      <c r="A284" s="7" t="s">
        <v>3899</v>
      </c>
      <c r="B284" s="6" t="s">
        <v>3900</v>
      </c>
      <c r="C284" s="6" t="s">
        <v>3901</v>
      </c>
      <c r="D284" s="6" t="s">
        <v>3902</v>
      </c>
      <c r="E284" s="6" t="s">
        <v>3903</v>
      </c>
      <c r="F284" s="6" t="s">
        <v>3904</v>
      </c>
      <c r="G284" s="6" t="s">
        <v>3905</v>
      </c>
      <c r="H284" s="6" t="s">
        <v>3906</v>
      </c>
      <c r="I284" s="6" t="s">
        <v>3907</v>
      </c>
      <c r="J284" s="6" t="s">
        <v>3908</v>
      </c>
      <c r="K284" s="6" t="s">
        <v>3909</v>
      </c>
      <c r="L284" s="6" t="s">
        <v>3910</v>
      </c>
      <c r="M284" s="6" t="s">
        <v>3911</v>
      </c>
      <c r="N284" s="6" t="s">
        <v>3912</v>
      </c>
      <c r="O284" s="6" t="s">
        <v>3913</v>
      </c>
      <c r="P284" s="6" t="s">
        <v>3914</v>
      </c>
      <c r="Q284" s="6" t="s">
        <v>3915</v>
      </c>
    </row>
    <row r="285" spans="1:17" ht="36">
      <c r="A285" s="7" t="s">
        <v>3916</v>
      </c>
      <c r="B285" s="6" t="s">
        <v>3917</v>
      </c>
      <c r="C285" s="6" t="s">
        <v>3918</v>
      </c>
      <c r="D285" s="6" t="s">
        <v>3919</v>
      </c>
      <c r="E285" s="6" t="s">
        <v>3920</v>
      </c>
      <c r="F285" s="6" t="s">
        <v>3921</v>
      </c>
      <c r="G285" s="6" t="s">
        <v>3922</v>
      </c>
      <c r="H285" s="6" t="s">
        <v>3923</v>
      </c>
      <c r="I285" s="6" t="s">
        <v>3924</v>
      </c>
      <c r="J285" s="6" t="s">
        <v>3925</v>
      </c>
      <c r="K285" s="6" t="s">
        <v>3926</v>
      </c>
      <c r="L285" s="6" t="s">
        <v>3927</v>
      </c>
      <c r="M285" s="6" t="s">
        <v>3928</v>
      </c>
      <c r="N285" s="6" t="s">
        <v>3929</v>
      </c>
      <c r="O285" s="6" t="s">
        <v>3930</v>
      </c>
      <c r="P285" s="6" t="s">
        <v>3931</v>
      </c>
      <c r="Q285" s="6" t="s">
        <v>2539</v>
      </c>
    </row>
    <row r="286" spans="1:17">
      <c r="A286" s="7" t="s">
        <v>3932</v>
      </c>
      <c r="B286" s="6" t="s">
        <v>3933</v>
      </c>
      <c r="C286" s="6" t="s">
        <v>3934</v>
      </c>
      <c r="D286" s="6" t="s">
        <v>3935</v>
      </c>
      <c r="E286" s="6" t="s">
        <v>3936</v>
      </c>
      <c r="F286" s="6" t="s">
        <v>3937</v>
      </c>
      <c r="G286" s="6" t="s">
        <v>3938</v>
      </c>
      <c r="H286" s="6" t="s">
        <v>3939</v>
      </c>
      <c r="I286" s="6" t="s">
        <v>3940</v>
      </c>
      <c r="J286" s="6" t="s">
        <v>3941</v>
      </c>
      <c r="K286" s="6" t="s">
        <v>3942</v>
      </c>
      <c r="L286" s="6" t="s">
        <v>3943</v>
      </c>
      <c r="M286" s="6" t="s">
        <v>3944</v>
      </c>
      <c r="N286" s="6" t="s">
        <v>3945</v>
      </c>
      <c r="O286" s="6" t="s">
        <v>3946</v>
      </c>
      <c r="P286" s="6" t="s">
        <v>3947</v>
      </c>
      <c r="Q286" s="6" t="s">
        <v>3948</v>
      </c>
    </row>
    <row r="287" spans="1:17" ht="36">
      <c r="A287" s="7" t="s">
        <v>3949</v>
      </c>
      <c r="B287" s="6" t="s">
        <v>3950</v>
      </c>
      <c r="C287" s="6" t="s">
        <v>3951</v>
      </c>
      <c r="D287" s="6" t="s">
        <v>3952</v>
      </c>
      <c r="E287" s="6" t="s">
        <v>3953</v>
      </c>
      <c r="F287" s="6" t="s">
        <v>3954</v>
      </c>
      <c r="G287" s="6" t="s">
        <v>3955</v>
      </c>
      <c r="H287" s="6" t="s">
        <v>3956</v>
      </c>
      <c r="I287" s="6" t="s">
        <v>3957</v>
      </c>
      <c r="J287" s="6" t="s">
        <v>3958</v>
      </c>
      <c r="K287" s="6" t="s">
        <v>3959</v>
      </c>
      <c r="L287" s="6" t="s">
        <v>3960</v>
      </c>
      <c r="M287" s="6" t="s">
        <v>3961</v>
      </c>
      <c r="N287" s="6" t="s">
        <v>3962</v>
      </c>
      <c r="O287" s="6" t="s">
        <v>3963</v>
      </c>
      <c r="P287" s="6" t="s">
        <v>3964</v>
      </c>
      <c r="Q287" s="6" t="s">
        <v>3965</v>
      </c>
    </row>
    <row r="288" spans="1:17" ht="24">
      <c r="A288" s="7" t="s">
        <v>3966</v>
      </c>
      <c r="B288" s="6" t="s">
        <v>3967</v>
      </c>
      <c r="C288" s="6" t="s">
        <v>3968</v>
      </c>
      <c r="D288" s="6" t="s">
        <v>3969</v>
      </c>
      <c r="E288" s="6" t="s">
        <v>3970</v>
      </c>
      <c r="F288" s="6" t="s">
        <v>3971</v>
      </c>
      <c r="G288" s="6" t="s">
        <v>3972</v>
      </c>
      <c r="H288" s="6" t="s">
        <v>3973</v>
      </c>
      <c r="I288" s="6" t="s">
        <v>1951</v>
      </c>
      <c r="J288" s="6" t="s">
        <v>3974</v>
      </c>
      <c r="K288" s="6" t="s">
        <v>3975</v>
      </c>
      <c r="L288" s="6" t="s">
        <v>2526</v>
      </c>
      <c r="M288" s="6" t="s">
        <v>3976</v>
      </c>
      <c r="N288" s="6" t="s">
        <v>3977</v>
      </c>
      <c r="O288" s="6" t="s">
        <v>3978</v>
      </c>
      <c r="P288" s="6" t="s">
        <v>3979</v>
      </c>
      <c r="Q288" s="6" t="s">
        <v>2570</v>
      </c>
    </row>
    <row r="289" spans="1:17" ht="48">
      <c r="A289" s="7" t="s">
        <v>3980</v>
      </c>
      <c r="B289" s="6" t="s">
        <v>3981</v>
      </c>
      <c r="C289" s="6" t="s">
        <v>3982</v>
      </c>
      <c r="D289" s="6" t="s">
        <v>3983</v>
      </c>
      <c r="E289" s="6" t="s">
        <v>3984</v>
      </c>
      <c r="F289" s="6" t="s">
        <v>3985</v>
      </c>
      <c r="G289" s="6" t="s">
        <v>3986</v>
      </c>
      <c r="H289" s="6" t="s">
        <v>3987</v>
      </c>
      <c r="I289" s="6" t="s">
        <v>3988</v>
      </c>
      <c r="J289" s="6" t="s">
        <v>3989</v>
      </c>
      <c r="K289" s="6" t="s">
        <v>3990</v>
      </c>
      <c r="L289" s="6" t="s">
        <v>3991</v>
      </c>
      <c r="M289" s="6" t="s">
        <v>3992</v>
      </c>
      <c r="N289" s="6" t="s">
        <v>3993</v>
      </c>
      <c r="O289" s="6" t="s">
        <v>3994</v>
      </c>
      <c r="P289" s="6" t="s">
        <v>3995</v>
      </c>
      <c r="Q289" s="6" t="s">
        <v>3996</v>
      </c>
    </row>
    <row r="290" spans="1:17" ht="48">
      <c r="A290" s="7" t="s">
        <v>3997</v>
      </c>
      <c r="B290" s="6" t="s">
        <v>279</v>
      </c>
      <c r="C290" s="6" t="s">
        <v>3998</v>
      </c>
      <c r="D290" s="6" t="s">
        <v>2808</v>
      </c>
      <c r="E290" s="6" t="s">
        <v>3999</v>
      </c>
      <c r="F290" s="6" t="s">
        <v>4000</v>
      </c>
      <c r="G290" s="6" t="s">
        <v>4001</v>
      </c>
      <c r="H290" s="6" t="s">
        <v>1380</v>
      </c>
      <c r="I290" s="6" t="s">
        <v>4002</v>
      </c>
      <c r="J290" s="6" t="s">
        <v>4003</v>
      </c>
      <c r="K290" s="6" t="s">
        <v>4004</v>
      </c>
      <c r="L290" s="6" t="s">
        <v>4005</v>
      </c>
      <c r="M290" s="6" t="s">
        <v>4006</v>
      </c>
      <c r="N290" s="6" t="s">
        <v>2479</v>
      </c>
      <c r="O290" s="6" t="s">
        <v>4007</v>
      </c>
      <c r="P290" s="6" t="s">
        <v>4008</v>
      </c>
      <c r="Q290" s="6" t="s">
        <v>4009</v>
      </c>
    </row>
    <row r="291" spans="1:17" ht="36">
      <c r="A291" s="7" t="s">
        <v>4010</v>
      </c>
      <c r="B291" s="6" t="s">
        <v>2326</v>
      </c>
      <c r="C291" s="6" t="s">
        <v>4011</v>
      </c>
      <c r="D291" s="6" t="s">
        <v>4012</v>
      </c>
      <c r="E291" s="6" t="s">
        <v>4013</v>
      </c>
      <c r="F291" s="6" t="s">
        <v>4014</v>
      </c>
      <c r="G291" s="6" t="s">
        <v>4015</v>
      </c>
      <c r="H291" s="6" t="s">
        <v>4016</v>
      </c>
      <c r="I291" s="6" t="s">
        <v>4017</v>
      </c>
      <c r="J291" s="6" t="s">
        <v>4018</v>
      </c>
      <c r="K291" s="6" t="s">
        <v>4019</v>
      </c>
      <c r="L291" s="6" t="s">
        <v>4020</v>
      </c>
      <c r="M291" s="6" t="s">
        <v>3658</v>
      </c>
      <c r="N291" s="6" t="s">
        <v>4021</v>
      </c>
      <c r="O291" s="6" t="s">
        <v>4022</v>
      </c>
      <c r="P291" s="15"/>
      <c r="Q291" s="15"/>
    </row>
    <row r="292" spans="1:17" ht="48">
      <c r="A292" s="7" t="s">
        <v>4023</v>
      </c>
      <c r="B292" s="6" t="s">
        <v>4024</v>
      </c>
      <c r="C292" s="6" t="s">
        <v>4025</v>
      </c>
      <c r="D292" s="6" t="s">
        <v>4026</v>
      </c>
      <c r="E292" s="6" t="s">
        <v>4027</v>
      </c>
      <c r="F292" s="6" t="s">
        <v>4028</v>
      </c>
      <c r="G292" s="6" t="s">
        <v>4029</v>
      </c>
      <c r="H292" s="6" t="s">
        <v>4030</v>
      </c>
      <c r="I292" s="6" t="s">
        <v>4031</v>
      </c>
      <c r="J292" s="6" t="s">
        <v>4032</v>
      </c>
      <c r="K292" s="6" t="s">
        <v>4033</v>
      </c>
      <c r="L292" s="6" t="s">
        <v>4034</v>
      </c>
      <c r="M292" s="6" t="s">
        <v>4035</v>
      </c>
      <c r="N292" s="6" t="s">
        <v>4036</v>
      </c>
      <c r="O292" s="6" t="s">
        <v>4037</v>
      </c>
      <c r="P292" s="6" t="s">
        <v>4038</v>
      </c>
      <c r="Q292" s="6" t="s">
        <v>4039</v>
      </c>
    </row>
    <row r="293" spans="1:17" ht="36">
      <c r="A293" s="7" t="s">
        <v>4040</v>
      </c>
      <c r="B293" s="6" t="s">
        <v>4041</v>
      </c>
      <c r="C293" s="6" t="s">
        <v>4042</v>
      </c>
      <c r="D293" s="6" t="s">
        <v>4043</v>
      </c>
      <c r="E293" s="6" t="s">
        <v>4044</v>
      </c>
      <c r="F293" s="6" t="s">
        <v>4045</v>
      </c>
      <c r="G293" s="6" t="s">
        <v>4046</v>
      </c>
      <c r="H293" s="6" t="s">
        <v>4047</v>
      </c>
      <c r="I293" s="6" t="s">
        <v>4048</v>
      </c>
      <c r="J293" s="6" t="s">
        <v>4049</v>
      </c>
      <c r="K293" s="6" t="s">
        <v>4050</v>
      </c>
      <c r="L293" s="6" t="s">
        <v>4051</v>
      </c>
      <c r="M293" s="6" t="s">
        <v>4052</v>
      </c>
      <c r="N293" s="6" t="s">
        <v>4053</v>
      </c>
      <c r="O293" s="6" t="s">
        <v>4054</v>
      </c>
      <c r="P293" s="6" t="s">
        <v>3651</v>
      </c>
      <c r="Q293" s="6" t="s">
        <v>4055</v>
      </c>
    </row>
    <row r="294" spans="1:17" ht="24">
      <c r="A294" s="7" t="s">
        <v>4056</v>
      </c>
      <c r="B294" s="6" t="s">
        <v>4057</v>
      </c>
      <c r="C294" s="6" t="s">
        <v>4058</v>
      </c>
      <c r="D294" s="6" t="s">
        <v>4059</v>
      </c>
      <c r="E294" s="6" t="s">
        <v>4060</v>
      </c>
      <c r="F294" s="6" t="s">
        <v>4061</v>
      </c>
      <c r="G294" s="6" t="s">
        <v>4062</v>
      </c>
      <c r="H294" s="6" t="s">
        <v>4063</v>
      </c>
      <c r="I294" s="6" t="s">
        <v>4064</v>
      </c>
      <c r="J294" s="6" t="s">
        <v>4065</v>
      </c>
      <c r="K294" s="6" t="s">
        <v>4066</v>
      </c>
      <c r="L294" s="6" t="s">
        <v>4067</v>
      </c>
      <c r="M294" s="6" t="s">
        <v>4068</v>
      </c>
      <c r="N294" s="6" t="s">
        <v>4069</v>
      </c>
      <c r="O294" s="6" t="s">
        <v>4070</v>
      </c>
      <c r="P294" s="6" t="s">
        <v>571</v>
      </c>
      <c r="Q294" s="6" t="s">
        <v>976</v>
      </c>
    </row>
    <row r="295" spans="1:17" ht="24">
      <c r="A295" s="7" t="s">
        <v>4071</v>
      </c>
      <c r="B295" s="6" t="s">
        <v>3237</v>
      </c>
      <c r="C295" s="6" t="s">
        <v>4072</v>
      </c>
      <c r="D295" s="6" t="s">
        <v>4073</v>
      </c>
      <c r="E295" s="6" t="s">
        <v>4074</v>
      </c>
      <c r="F295" s="6" t="s">
        <v>4075</v>
      </c>
      <c r="G295" s="6" t="s">
        <v>4076</v>
      </c>
      <c r="H295" s="6" t="s">
        <v>4077</v>
      </c>
      <c r="I295" s="6" t="s">
        <v>4078</v>
      </c>
      <c r="J295" s="6" t="s">
        <v>4079</v>
      </c>
      <c r="K295" s="6" t="s">
        <v>4080</v>
      </c>
      <c r="L295" s="6" t="s">
        <v>4081</v>
      </c>
      <c r="M295" s="6" t="s">
        <v>4082</v>
      </c>
      <c r="N295" s="6" t="s">
        <v>3234</v>
      </c>
      <c r="O295" s="6" t="s">
        <v>4083</v>
      </c>
      <c r="P295" s="6" t="s">
        <v>802</v>
      </c>
      <c r="Q295" s="6" t="s">
        <v>4084</v>
      </c>
    </row>
    <row r="296" spans="1:17" ht="48">
      <c r="A296" s="8" t="s">
        <v>4085</v>
      </c>
      <c r="B296" s="9" t="s">
        <v>605</v>
      </c>
      <c r="C296" s="9" t="s">
        <v>4086</v>
      </c>
      <c r="D296" s="9" t="s">
        <v>4087</v>
      </c>
      <c r="E296" s="9" t="s">
        <v>4088</v>
      </c>
      <c r="F296" s="9" t="s">
        <v>3204</v>
      </c>
      <c r="G296" s="9" t="s">
        <v>4089</v>
      </c>
      <c r="H296" s="9" t="s">
        <v>4090</v>
      </c>
      <c r="I296" s="9" t="s">
        <v>4091</v>
      </c>
      <c r="J296" s="9" t="s">
        <v>4092</v>
      </c>
      <c r="K296" s="9" t="s">
        <v>4093</v>
      </c>
      <c r="L296" s="9" t="s">
        <v>4094</v>
      </c>
      <c r="M296" s="9" t="s">
        <v>4095</v>
      </c>
      <c r="N296" s="9" t="s">
        <v>4096</v>
      </c>
      <c r="O296" s="9" t="s">
        <v>4097</v>
      </c>
      <c r="P296" s="23"/>
      <c r="Q296" s="23"/>
    </row>
    <row r="297" spans="1:17" ht="15.6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</row>
    <row r="298" spans="1:17" ht="15.6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 spans="1:17">
      <c r="A299" s="16" t="s">
        <v>4098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>
      <c r="A300" s="17" t="s">
        <v>159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spans="1:17">
      <c r="A301" s="130" t="s">
        <v>160</v>
      </c>
      <c r="B301" s="134" t="s">
        <v>161</v>
      </c>
      <c r="C301" s="136" t="s">
        <v>162</v>
      </c>
      <c r="D301" s="125"/>
      <c r="E301" s="125"/>
      <c r="F301" s="125"/>
      <c r="G301" s="125"/>
      <c r="H301" s="125"/>
      <c r="I301" s="125"/>
      <c r="J301" s="126"/>
      <c r="K301" s="136" t="s">
        <v>163</v>
      </c>
      <c r="L301" s="125"/>
      <c r="M301" s="126"/>
      <c r="N301" s="136" t="s">
        <v>164</v>
      </c>
      <c r="O301" s="125"/>
      <c r="P301" s="125"/>
      <c r="Q301" s="125"/>
    </row>
    <row r="302" spans="1:17">
      <c r="A302" s="128"/>
      <c r="B302" s="132"/>
      <c r="C302" s="132"/>
      <c r="D302" s="134" t="s">
        <v>165</v>
      </c>
      <c r="E302" s="134" t="s">
        <v>166</v>
      </c>
      <c r="F302" s="134" t="s">
        <v>167</v>
      </c>
      <c r="G302" s="136" t="s">
        <v>168</v>
      </c>
      <c r="H302" s="125"/>
      <c r="I302" s="125"/>
      <c r="J302" s="126"/>
      <c r="K302" s="132"/>
      <c r="L302" s="136" t="s">
        <v>169</v>
      </c>
      <c r="M302" s="13"/>
      <c r="N302" s="132"/>
      <c r="O302" s="136" t="s">
        <v>170</v>
      </c>
      <c r="P302" s="125"/>
      <c r="Q302" s="125"/>
    </row>
    <row r="303" spans="1:17">
      <c r="A303" s="128"/>
      <c r="B303" s="132"/>
      <c r="C303" s="132"/>
      <c r="D303" s="132"/>
      <c r="E303" s="132"/>
      <c r="F303" s="132"/>
      <c r="G303" s="132"/>
      <c r="H303" s="134" t="s">
        <v>171</v>
      </c>
      <c r="I303" s="136" t="s">
        <v>854</v>
      </c>
      <c r="J303" s="13"/>
      <c r="K303" s="132"/>
      <c r="L303" s="132"/>
      <c r="M303" s="134" t="s">
        <v>173</v>
      </c>
      <c r="N303" s="132"/>
      <c r="O303" s="132"/>
      <c r="P303" s="134" t="s">
        <v>174</v>
      </c>
      <c r="Q303" s="136" t="s">
        <v>175</v>
      </c>
    </row>
    <row r="304" spans="1:17">
      <c r="A304" s="129"/>
      <c r="B304" s="133"/>
      <c r="C304" s="133"/>
      <c r="D304" s="133"/>
      <c r="E304" s="133"/>
      <c r="F304" s="133"/>
      <c r="G304" s="133"/>
      <c r="H304" s="133"/>
      <c r="I304" s="133"/>
      <c r="J304" s="22" t="s">
        <v>176</v>
      </c>
      <c r="K304" s="133"/>
      <c r="L304" s="133"/>
      <c r="M304" s="133"/>
      <c r="N304" s="133"/>
      <c r="O304" s="133"/>
      <c r="P304" s="133"/>
      <c r="Q304" s="137"/>
    </row>
    <row r="305" spans="1:17" ht="36">
      <c r="A305" s="18" t="s">
        <v>4099</v>
      </c>
      <c r="B305" s="19" t="s">
        <v>4100</v>
      </c>
      <c r="C305" s="19" t="s">
        <v>4101</v>
      </c>
      <c r="D305" s="19" t="s">
        <v>768</v>
      </c>
      <c r="E305" s="19" t="s">
        <v>4102</v>
      </c>
      <c r="F305" s="19" t="s">
        <v>4103</v>
      </c>
      <c r="G305" s="19" t="s">
        <v>4104</v>
      </c>
      <c r="H305" s="19" t="s">
        <v>4105</v>
      </c>
      <c r="I305" s="19" t="s">
        <v>4106</v>
      </c>
      <c r="J305" s="19" t="s">
        <v>4107</v>
      </c>
      <c r="K305" s="19" t="s">
        <v>2720</v>
      </c>
      <c r="L305" s="19" t="s">
        <v>977</v>
      </c>
      <c r="M305" s="19" t="s">
        <v>4108</v>
      </c>
      <c r="N305" s="19" t="s">
        <v>4109</v>
      </c>
      <c r="O305" s="19" t="s">
        <v>4110</v>
      </c>
      <c r="P305" s="19" t="s">
        <v>2915</v>
      </c>
      <c r="Q305" s="19" t="s">
        <v>2519</v>
      </c>
    </row>
    <row r="306" spans="1:17" ht="48">
      <c r="A306" s="18" t="s">
        <v>4111</v>
      </c>
      <c r="B306" s="19" t="s">
        <v>4112</v>
      </c>
      <c r="C306" s="19" t="s">
        <v>1987</v>
      </c>
      <c r="D306" s="19" t="s">
        <v>4113</v>
      </c>
      <c r="E306" s="19" t="s">
        <v>4114</v>
      </c>
      <c r="F306" s="19" t="s">
        <v>4115</v>
      </c>
      <c r="G306" s="19" t="s">
        <v>4116</v>
      </c>
      <c r="H306" s="19" t="s">
        <v>275</v>
      </c>
      <c r="I306" s="19" t="s">
        <v>4117</v>
      </c>
      <c r="J306" s="19" t="s">
        <v>3172</v>
      </c>
      <c r="K306" s="19" t="s">
        <v>4118</v>
      </c>
      <c r="L306" s="19" t="s">
        <v>4119</v>
      </c>
      <c r="M306" s="19" t="s">
        <v>4120</v>
      </c>
      <c r="N306" s="19" t="s">
        <v>4121</v>
      </c>
      <c r="O306" s="19" t="s">
        <v>4122</v>
      </c>
      <c r="P306" s="15"/>
      <c r="Q306" s="19" t="s">
        <v>982</v>
      </c>
    </row>
    <row r="307" spans="1:17" ht="24">
      <c r="A307" s="18" t="s">
        <v>4123</v>
      </c>
      <c r="B307" s="19" t="s">
        <v>4124</v>
      </c>
      <c r="C307" s="19" t="s">
        <v>4125</v>
      </c>
      <c r="D307" s="19" t="s">
        <v>4126</v>
      </c>
      <c r="E307" s="19" t="s">
        <v>4127</v>
      </c>
      <c r="F307" s="19" t="s">
        <v>4128</v>
      </c>
      <c r="G307" s="19" t="s">
        <v>4129</v>
      </c>
      <c r="H307" s="19" t="s">
        <v>4130</v>
      </c>
      <c r="I307" s="19" t="s">
        <v>650</v>
      </c>
      <c r="J307" s="19" t="s">
        <v>4131</v>
      </c>
      <c r="K307" s="19" t="s">
        <v>4132</v>
      </c>
      <c r="L307" s="19" t="s">
        <v>4133</v>
      </c>
      <c r="M307" s="19" t="s">
        <v>4134</v>
      </c>
      <c r="N307" s="19" t="s">
        <v>4135</v>
      </c>
      <c r="O307" s="19" t="s">
        <v>4136</v>
      </c>
      <c r="P307" s="19" t="s">
        <v>1871</v>
      </c>
      <c r="Q307" s="19" t="s">
        <v>2899</v>
      </c>
    </row>
    <row r="308" spans="1:17" ht="36">
      <c r="A308" s="18" t="s">
        <v>4137</v>
      </c>
      <c r="B308" s="19" t="s">
        <v>4138</v>
      </c>
      <c r="C308" s="19" t="s">
        <v>1120</v>
      </c>
      <c r="D308" s="19" t="s">
        <v>4139</v>
      </c>
      <c r="E308" s="19" t="s">
        <v>4140</v>
      </c>
      <c r="F308" s="19" t="s">
        <v>669</v>
      </c>
      <c r="G308" s="19" t="s">
        <v>4141</v>
      </c>
      <c r="H308" s="19" t="s">
        <v>4142</v>
      </c>
      <c r="I308" s="19" t="s">
        <v>276</v>
      </c>
      <c r="J308" s="19" t="s">
        <v>2227</v>
      </c>
      <c r="K308" s="19" t="s">
        <v>4143</v>
      </c>
      <c r="L308" s="19" t="s">
        <v>4144</v>
      </c>
      <c r="M308" s="19" t="s">
        <v>4105</v>
      </c>
      <c r="N308" s="19" t="s">
        <v>1106</v>
      </c>
      <c r="O308" s="19" t="s">
        <v>3032</v>
      </c>
      <c r="P308" s="19" t="s">
        <v>2146</v>
      </c>
      <c r="Q308" s="19" t="s">
        <v>976</v>
      </c>
    </row>
    <row r="309" spans="1:17" ht="36">
      <c r="A309" s="18" t="s">
        <v>4145</v>
      </c>
      <c r="B309" s="19" t="s">
        <v>4146</v>
      </c>
      <c r="C309" s="19" t="s">
        <v>4147</v>
      </c>
      <c r="D309" s="19" t="s">
        <v>4148</v>
      </c>
      <c r="E309" s="19" t="s">
        <v>4149</v>
      </c>
      <c r="F309" s="19" t="s">
        <v>4150</v>
      </c>
      <c r="G309" s="19" t="s">
        <v>4151</v>
      </c>
      <c r="H309" s="19" t="s">
        <v>4152</v>
      </c>
      <c r="I309" s="19" t="s">
        <v>4153</v>
      </c>
      <c r="J309" s="19" t="s">
        <v>899</v>
      </c>
      <c r="K309" s="19" t="s">
        <v>4154</v>
      </c>
      <c r="L309" s="19" t="s">
        <v>4155</v>
      </c>
      <c r="M309" s="19" t="s">
        <v>4156</v>
      </c>
      <c r="N309" s="19" t="s">
        <v>4157</v>
      </c>
      <c r="O309" s="19" t="s">
        <v>860</v>
      </c>
      <c r="P309" s="19" t="s">
        <v>4158</v>
      </c>
      <c r="Q309" s="19" t="s">
        <v>620</v>
      </c>
    </row>
    <row r="310" spans="1:17" ht="36">
      <c r="A310" s="18" t="s">
        <v>4159</v>
      </c>
      <c r="B310" s="19" t="s">
        <v>2326</v>
      </c>
      <c r="C310" s="19" t="s">
        <v>4160</v>
      </c>
      <c r="D310" s="19" t="s">
        <v>4161</v>
      </c>
      <c r="E310" s="19" t="s">
        <v>4162</v>
      </c>
      <c r="F310" s="19" t="s">
        <v>2602</v>
      </c>
      <c r="G310" s="19" t="s">
        <v>4163</v>
      </c>
      <c r="H310" s="19" t="s">
        <v>3133</v>
      </c>
      <c r="I310" s="19" t="s">
        <v>4164</v>
      </c>
      <c r="J310" s="19" t="s">
        <v>4165</v>
      </c>
      <c r="K310" s="19" t="s">
        <v>4166</v>
      </c>
      <c r="L310" s="19" t="s">
        <v>2175</v>
      </c>
      <c r="M310" s="19" t="s">
        <v>4167</v>
      </c>
      <c r="N310" s="19" t="s">
        <v>4168</v>
      </c>
      <c r="O310" s="19" t="s">
        <v>4169</v>
      </c>
      <c r="P310" s="19" t="s">
        <v>4084</v>
      </c>
      <c r="Q310" s="15"/>
    </row>
    <row r="311" spans="1:17" ht="48">
      <c r="A311" s="18" t="s">
        <v>4170</v>
      </c>
      <c r="B311" s="19" t="s">
        <v>541</v>
      </c>
      <c r="C311" s="19" t="s">
        <v>4171</v>
      </c>
      <c r="D311" s="19" t="s">
        <v>4172</v>
      </c>
      <c r="E311" s="19" t="s">
        <v>4173</v>
      </c>
      <c r="F311" s="19" t="s">
        <v>4174</v>
      </c>
      <c r="G311" s="19" t="s">
        <v>4175</v>
      </c>
      <c r="H311" s="19" t="s">
        <v>4176</v>
      </c>
      <c r="I311" s="19" t="s">
        <v>4177</v>
      </c>
      <c r="J311" s="19" t="s">
        <v>4178</v>
      </c>
      <c r="K311" s="19" t="s">
        <v>4179</v>
      </c>
      <c r="L311" s="19" t="s">
        <v>3557</v>
      </c>
      <c r="M311" s="19" t="s">
        <v>4180</v>
      </c>
      <c r="N311" s="19" t="s">
        <v>2864</v>
      </c>
      <c r="O311" s="19" t="s">
        <v>1790</v>
      </c>
      <c r="P311" s="15"/>
      <c r="Q311" s="15"/>
    </row>
    <row r="312" spans="1:17" ht="48">
      <c r="A312" s="18" t="s">
        <v>4181</v>
      </c>
      <c r="B312" s="19" t="s">
        <v>4182</v>
      </c>
      <c r="C312" s="19" t="s">
        <v>4183</v>
      </c>
      <c r="D312" s="19" t="s">
        <v>4184</v>
      </c>
      <c r="E312" s="19" t="s">
        <v>4185</v>
      </c>
      <c r="F312" s="19" t="s">
        <v>4186</v>
      </c>
      <c r="G312" s="19" t="s">
        <v>4187</v>
      </c>
      <c r="H312" s="19" t="s">
        <v>4188</v>
      </c>
      <c r="I312" s="19" t="s">
        <v>4189</v>
      </c>
      <c r="J312" s="19" t="s">
        <v>4190</v>
      </c>
      <c r="K312" s="19" t="s">
        <v>4191</v>
      </c>
      <c r="L312" s="19" t="s">
        <v>4192</v>
      </c>
      <c r="M312" s="19" t="s">
        <v>4193</v>
      </c>
      <c r="N312" s="19" t="s">
        <v>4194</v>
      </c>
      <c r="O312" s="19" t="s">
        <v>4195</v>
      </c>
      <c r="P312" s="19" t="s">
        <v>4196</v>
      </c>
      <c r="Q312" s="19" t="s">
        <v>4197</v>
      </c>
    </row>
    <row r="313" spans="1:17" ht="36">
      <c r="A313" s="18" t="s">
        <v>4198</v>
      </c>
      <c r="B313" s="19" t="s">
        <v>4199</v>
      </c>
      <c r="C313" s="19" t="s">
        <v>4200</v>
      </c>
      <c r="D313" s="19" t="s">
        <v>4201</v>
      </c>
      <c r="E313" s="19" t="s">
        <v>4202</v>
      </c>
      <c r="F313" s="19" t="s">
        <v>4203</v>
      </c>
      <c r="G313" s="19" t="s">
        <v>4204</v>
      </c>
      <c r="H313" s="19" t="s">
        <v>4205</v>
      </c>
      <c r="I313" s="19" t="s">
        <v>4206</v>
      </c>
      <c r="J313" s="19" t="s">
        <v>4207</v>
      </c>
      <c r="K313" s="19" t="s">
        <v>4208</v>
      </c>
      <c r="L313" s="19" t="s">
        <v>4209</v>
      </c>
      <c r="M313" s="19" t="s">
        <v>4210</v>
      </c>
      <c r="N313" s="19" t="s">
        <v>4211</v>
      </c>
      <c r="O313" s="19" t="s">
        <v>4212</v>
      </c>
      <c r="P313" s="19" t="s">
        <v>995</v>
      </c>
      <c r="Q313" s="19" t="s">
        <v>4213</v>
      </c>
    </row>
    <row r="314" spans="1:17" ht="36">
      <c r="A314" s="18" t="s">
        <v>4214</v>
      </c>
      <c r="B314" s="19" t="s">
        <v>1686</v>
      </c>
      <c r="C314" s="19" t="s">
        <v>4215</v>
      </c>
      <c r="D314" s="19" t="s">
        <v>4216</v>
      </c>
      <c r="E314" s="19" t="s">
        <v>4217</v>
      </c>
      <c r="F314" s="19" t="s">
        <v>4218</v>
      </c>
      <c r="G314" s="19" t="s">
        <v>4219</v>
      </c>
      <c r="H314" s="19" t="s">
        <v>4220</v>
      </c>
      <c r="I314" s="19" t="s">
        <v>4221</v>
      </c>
      <c r="J314" s="19" t="s">
        <v>4075</v>
      </c>
      <c r="K314" s="19" t="s">
        <v>693</v>
      </c>
      <c r="L314" s="19" t="s">
        <v>4222</v>
      </c>
      <c r="M314" s="19" t="s">
        <v>4223</v>
      </c>
      <c r="N314" s="19" t="s">
        <v>4224</v>
      </c>
      <c r="O314" s="19" t="s">
        <v>4225</v>
      </c>
      <c r="P314" s="19" t="s">
        <v>4226</v>
      </c>
      <c r="Q314" s="19" t="s">
        <v>1098</v>
      </c>
    </row>
    <row r="315" spans="1:17" ht="36">
      <c r="A315" s="18" t="s">
        <v>4227</v>
      </c>
      <c r="B315" s="19" t="s">
        <v>4228</v>
      </c>
      <c r="C315" s="19" t="s">
        <v>4229</v>
      </c>
      <c r="D315" s="19" t="s">
        <v>4230</v>
      </c>
      <c r="E315" s="19" t="s">
        <v>4231</v>
      </c>
      <c r="F315" s="19" t="s">
        <v>4232</v>
      </c>
      <c r="G315" s="19" t="s">
        <v>4233</v>
      </c>
      <c r="H315" s="19" t="s">
        <v>4234</v>
      </c>
      <c r="I315" s="19" t="s">
        <v>4235</v>
      </c>
      <c r="J315" s="19" t="s">
        <v>4236</v>
      </c>
      <c r="K315" s="19" t="s">
        <v>4237</v>
      </c>
      <c r="L315" s="19" t="s">
        <v>4238</v>
      </c>
      <c r="M315" s="19" t="s">
        <v>4239</v>
      </c>
      <c r="N315" s="19" t="s">
        <v>4240</v>
      </c>
      <c r="O315" s="19" t="s">
        <v>4079</v>
      </c>
      <c r="P315" s="15"/>
      <c r="Q315" s="19" t="s">
        <v>4241</v>
      </c>
    </row>
    <row r="316" spans="1:17" ht="36">
      <c r="A316" s="18" t="s">
        <v>4242</v>
      </c>
      <c r="B316" s="19" t="s">
        <v>4243</v>
      </c>
      <c r="C316" s="19" t="s">
        <v>4244</v>
      </c>
      <c r="D316" s="19" t="s">
        <v>987</v>
      </c>
      <c r="E316" s="19" t="s">
        <v>4245</v>
      </c>
      <c r="F316" s="19" t="s">
        <v>4246</v>
      </c>
      <c r="G316" s="19" t="s">
        <v>4247</v>
      </c>
      <c r="H316" s="19" t="s">
        <v>4248</v>
      </c>
      <c r="I316" s="19" t="s">
        <v>4249</v>
      </c>
      <c r="J316" s="19" t="s">
        <v>4250</v>
      </c>
      <c r="K316" s="19" t="s">
        <v>4251</v>
      </c>
      <c r="L316" s="19" t="s">
        <v>4252</v>
      </c>
      <c r="M316" s="19" t="s">
        <v>4253</v>
      </c>
      <c r="N316" s="19" t="s">
        <v>4254</v>
      </c>
      <c r="O316" s="19" t="s">
        <v>2155</v>
      </c>
      <c r="P316" s="19" t="s">
        <v>999</v>
      </c>
      <c r="Q316" s="19" t="s">
        <v>903</v>
      </c>
    </row>
    <row r="317" spans="1:17" ht="60">
      <c r="A317" s="18" t="s">
        <v>4255</v>
      </c>
      <c r="B317" s="19" t="s">
        <v>4256</v>
      </c>
      <c r="C317" s="19" t="s">
        <v>4257</v>
      </c>
      <c r="D317" s="19" t="s">
        <v>4258</v>
      </c>
      <c r="E317" s="19" t="s">
        <v>4259</v>
      </c>
      <c r="F317" s="19" t="s">
        <v>4260</v>
      </c>
      <c r="G317" s="19" t="s">
        <v>4261</v>
      </c>
      <c r="H317" s="19" t="s">
        <v>4262</v>
      </c>
      <c r="I317" s="19" t="s">
        <v>4263</v>
      </c>
      <c r="J317" s="19" t="s">
        <v>4264</v>
      </c>
      <c r="K317" s="19" t="s">
        <v>4265</v>
      </c>
      <c r="L317" s="19" t="s">
        <v>4266</v>
      </c>
      <c r="M317" s="19" t="s">
        <v>4267</v>
      </c>
      <c r="N317" s="19" t="s">
        <v>4268</v>
      </c>
      <c r="O317" s="19" t="s">
        <v>4269</v>
      </c>
      <c r="P317" s="19" t="s">
        <v>4270</v>
      </c>
      <c r="Q317" s="19" t="s">
        <v>2605</v>
      </c>
    </row>
    <row r="318" spans="1:17" ht="48">
      <c r="A318" s="18" t="s">
        <v>4271</v>
      </c>
      <c r="B318" s="19" t="s">
        <v>4272</v>
      </c>
      <c r="C318" s="19" t="s">
        <v>4273</v>
      </c>
      <c r="D318" s="19" t="s">
        <v>4274</v>
      </c>
      <c r="E318" s="19" t="s">
        <v>4275</v>
      </c>
      <c r="F318" s="19" t="s">
        <v>4276</v>
      </c>
      <c r="G318" s="19" t="s">
        <v>4277</v>
      </c>
      <c r="H318" s="19" t="s">
        <v>4278</v>
      </c>
      <c r="I318" s="19" t="s">
        <v>3591</v>
      </c>
      <c r="J318" s="19" t="s">
        <v>4279</v>
      </c>
      <c r="K318" s="19" t="s">
        <v>4280</v>
      </c>
      <c r="L318" s="19" t="s">
        <v>4281</v>
      </c>
      <c r="M318" s="19" t="s">
        <v>4282</v>
      </c>
      <c r="N318" s="19" t="s">
        <v>4283</v>
      </c>
      <c r="O318" s="19" t="s">
        <v>4284</v>
      </c>
      <c r="P318" s="19" t="s">
        <v>2519</v>
      </c>
      <c r="Q318" s="19" t="s">
        <v>1700</v>
      </c>
    </row>
    <row r="319" spans="1:17" ht="36">
      <c r="A319" s="18" t="s">
        <v>4285</v>
      </c>
      <c r="B319" s="19" t="s">
        <v>4286</v>
      </c>
      <c r="C319" s="19" t="s">
        <v>4287</v>
      </c>
      <c r="D319" s="19" t="s">
        <v>4288</v>
      </c>
      <c r="E319" s="19" t="s">
        <v>4289</v>
      </c>
      <c r="F319" s="19" t="s">
        <v>4290</v>
      </c>
      <c r="G319" s="19" t="s">
        <v>4291</v>
      </c>
      <c r="H319" s="19" t="s">
        <v>4292</v>
      </c>
      <c r="I319" s="19" t="s">
        <v>4293</v>
      </c>
      <c r="J319" s="19" t="s">
        <v>4294</v>
      </c>
      <c r="K319" s="19" t="s">
        <v>4295</v>
      </c>
      <c r="L319" s="19" t="s">
        <v>4296</v>
      </c>
      <c r="M319" s="19" t="s">
        <v>4297</v>
      </c>
      <c r="N319" s="19" t="s">
        <v>4298</v>
      </c>
      <c r="O319" s="19" t="s">
        <v>4299</v>
      </c>
      <c r="P319" s="19" t="s">
        <v>4300</v>
      </c>
      <c r="Q319" s="19" t="s">
        <v>1343</v>
      </c>
    </row>
    <row r="320" spans="1:17" ht="48">
      <c r="A320" s="18" t="s">
        <v>4301</v>
      </c>
      <c r="B320" s="19" t="s">
        <v>4302</v>
      </c>
      <c r="C320" s="19" t="s">
        <v>4303</v>
      </c>
      <c r="D320" s="19" t="s">
        <v>4304</v>
      </c>
      <c r="E320" s="19" t="s">
        <v>4305</v>
      </c>
      <c r="F320" s="19" t="s">
        <v>4306</v>
      </c>
      <c r="G320" s="19" t="s">
        <v>4307</v>
      </c>
      <c r="H320" s="19" t="s">
        <v>4308</v>
      </c>
      <c r="I320" s="19" t="s">
        <v>4309</v>
      </c>
      <c r="J320" s="19" t="s">
        <v>2186</v>
      </c>
      <c r="K320" s="19" t="s">
        <v>4310</v>
      </c>
      <c r="L320" s="19" t="s">
        <v>4311</v>
      </c>
      <c r="M320" s="19" t="s">
        <v>4312</v>
      </c>
      <c r="N320" s="19" t="s">
        <v>4313</v>
      </c>
      <c r="O320" s="19" t="s">
        <v>4314</v>
      </c>
      <c r="P320" s="19" t="s">
        <v>4315</v>
      </c>
      <c r="Q320" s="19" t="s">
        <v>3637</v>
      </c>
    </row>
    <row r="321" spans="1:17" ht="60">
      <c r="A321" s="18" t="s">
        <v>4316</v>
      </c>
      <c r="B321" s="19" t="s">
        <v>4317</v>
      </c>
      <c r="C321" s="19" t="s">
        <v>4318</v>
      </c>
      <c r="D321" s="19" t="s">
        <v>4319</v>
      </c>
      <c r="E321" s="19" t="s">
        <v>4320</v>
      </c>
      <c r="F321" s="19" t="s">
        <v>4321</v>
      </c>
      <c r="G321" s="19" t="s">
        <v>4322</v>
      </c>
      <c r="H321" s="19" t="s">
        <v>4323</v>
      </c>
      <c r="I321" s="19" t="s">
        <v>4324</v>
      </c>
      <c r="J321" s="19" t="s">
        <v>4325</v>
      </c>
      <c r="K321" s="19" t="s">
        <v>4326</v>
      </c>
      <c r="L321" s="19" t="s">
        <v>4327</v>
      </c>
      <c r="M321" s="19" t="s">
        <v>4328</v>
      </c>
      <c r="N321" s="19" t="s">
        <v>4329</v>
      </c>
      <c r="O321" s="19" t="s">
        <v>4330</v>
      </c>
      <c r="P321" s="19" t="s">
        <v>1796</v>
      </c>
      <c r="Q321" s="19" t="s">
        <v>4331</v>
      </c>
    </row>
    <row r="322" spans="1:17" ht="36">
      <c r="A322" s="18" t="s">
        <v>4332</v>
      </c>
      <c r="B322" s="19" t="s">
        <v>4333</v>
      </c>
      <c r="C322" s="19" t="s">
        <v>4334</v>
      </c>
      <c r="D322" s="19" t="s">
        <v>4335</v>
      </c>
      <c r="E322" s="19" t="s">
        <v>4336</v>
      </c>
      <c r="F322" s="19" t="s">
        <v>3238</v>
      </c>
      <c r="G322" s="19" t="s">
        <v>4337</v>
      </c>
      <c r="H322" s="19" t="s">
        <v>4338</v>
      </c>
      <c r="I322" s="19" t="s">
        <v>4339</v>
      </c>
      <c r="J322" s="19" t="s">
        <v>4340</v>
      </c>
      <c r="K322" s="19" t="s">
        <v>4341</v>
      </c>
      <c r="L322" s="19" t="s">
        <v>4342</v>
      </c>
      <c r="M322" s="19" t="s">
        <v>4343</v>
      </c>
      <c r="N322" s="19" t="s">
        <v>4344</v>
      </c>
      <c r="O322" s="19" t="s">
        <v>4345</v>
      </c>
      <c r="P322" s="19" t="s">
        <v>4346</v>
      </c>
      <c r="Q322" s="19" t="s">
        <v>3506</v>
      </c>
    </row>
    <row r="323" spans="1:17" ht="24">
      <c r="A323" s="18" t="s">
        <v>4347</v>
      </c>
      <c r="B323" s="19" t="s">
        <v>1100</v>
      </c>
      <c r="C323" s="19" t="s">
        <v>4348</v>
      </c>
      <c r="D323" s="19" t="s">
        <v>4349</v>
      </c>
      <c r="E323" s="19" t="s">
        <v>4350</v>
      </c>
      <c r="F323" s="19" t="s">
        <v>4351</v>
      </c>
      <c r="G323" s="19" t="s">
        <v>4352</v>
      </c>
      <c r="H323" s="19" t="s">
        <v>3725</v>
      </c>
      <c r="I323" s="19" t="s">
        <v>4353</v>
      </c>
      <c r="J323" s="19" t="s">
        <v>561</v>
      </c>
      <c r="K323" s="19" t="s">
        <v>4354</v>
      </c>
      <c r="L323" s="19" t="s">
        <v>4355</v>
      </c>
      <c r="M323" s="19" t="s">
        <v>4234</v>
      </c>
      <c r="N323" s="19" t="s">
        <v>1380</v>
      </c>
      <c r="O323" s="19" t="s">
        <v>4356</v>
      </c>
      <c r="P323" s="19" t="s">
        <v>3015</v>
      </c>
      <c r="Q323" s="19" t="s">
        <v>3308</v>
      </c>
    </row>
    <row r="324" spans="1:17" ht="48">
      <c r="A324" s="18" t="s">
        <v>4357</v>
      </c>
      <c r="B324" s="19" t="s">
        <v>4358</v>
      </c>
      <c r="C324" s="19" t="s">
        <v>4359</v>
      </c>
      <c r="D324" s="19" t="s">
        <v>4360</v>
      </c>
      <c r="E324" s="19" t="s">
        <v>4361</v>
      </c>
      <c r="F324" s="19" t="s">
        <v>4362</v>
      </c>
      <c r="G324" s="19" t="s">
        <v>4363</v>
      </c>
      <c r="H324" s="19" t="s">
        <v>4364</v>
      </c>
      <c r="I324" s="19" t="s">
        <v>4365</v>
      </c>
      <c r="J324" s="19" t="s">
        <v>4366</v>
      </c>
      <c r="K324" s="19" t="s">
        <v>4367</v>
      </c>
      <c r="L324" s="19" t="s">
        <v>4368</v>
      </c>
      <c r="M324" s="19" t="s">
        <v>4369</v>
      </c>
      <c r="N324" s="19" t="s">
        <v>4370</v>
      </c>
      <c r="O324" s="19" t="s">
        <v>4371</v>
      </c>
      <c r="P324" s="19" t="s">
        <v>3979</v>
      </c>
      <c r="Q324" s="19" t="s">
        <v>2915</v>
      </c>
    </row>
    <row r="325" spans="1:17" ht="36">
      <c r="A325" s="18" t="s">
        <v>4372</v>
      </c>
      <c r="B325" s="19" t="s">
        <v>4373</v>
      </c>
      <c r="C325" s="19" t="s">
        <v>4374</v>
      </c>
      <c r="D325" s="19" t="s">
        <v>4375</v>
      </c>
      <c r="E325" s="19" t="s">
        <v>4376</v>
      </c>
      <c r="F325" s="19" t="s">
        <v>4377</v>
      </c>
      <c r="G325" s="19" t="s">
        <v>4378</v>
      </c>
      <c r="H325" s="19" t="s">
        <v>4379</v>
      </c>
      <c r="I325" s="19" t="s">
        <v>4380</v>
      </c>
      <c r="J325" s="19" t="s">
        <v>2531</v>
      </c>
      <c r="K325" s="19" t="s">
        <v>4381</v>
      </c>
      <c r="L325" s="19" t="s">
        <v>4382</v>
      </c>
      <c r="M325" s="19" t="s">
        <v>4383</v>
      </c>
      <c r="N325" s="19" t="s">
        <v>4384</v>
      </c>
      <c r="O325" s="19" t="s">
        <v>4385</v>
      </c>
      <c r="P325" s="19" t="s">
        <v>2519</v>
      </c>
      <c r="Q325" s="19" t="s">
        <v>571</v>
      </c>
    </row>
    <row r="326" spans="1:17" ht="36">
      <c r="A326" s="18" t="s">
        <v>4386</v>
      </c>
      <c r="B326" s="19" t="s">
        <v>4387</v>
      </c>
      <c r="C326" s="19" t="s">
        <v>4388</v>
      </c>
      <c r="D326" s="19" t="s">
        <v>647</v>
      </c>
      <c r="E326" s="19" t="s">
        <v>4389</v>
      </c>
      <c r="F326" s="19" t="s">
        <v>4390</v>
      </c>
      <c r="G326" s="19" t="s">
        <v>4391</v>
      </c>
      <c r="H326" s="19" t="s">
        <v>4392</v>
      </c>
      <c r="I326" s="19" t="s">
        <v>4393</v>
      </c>
      <c r="J326" s="19" t="s">
        <v>454</v>
      </c>
      <c r="K326" s="19" t="s">
        <v>4394</v>
      </c>
      <c r="L326" s="19" t="s">
        <v>4395</v>
      </c>
      <c r="M326" s="19" t="s">
        <v>4396</v>
      </c>
      <c r="N326" s="19" t="s">
        <v>4397</v>
      </c>
      <c r="O326" s="19" t="s">
        <v>4021</v>
      </c>
      <c r="P326" s="15"/>
      <c r="Q326" s="15"/>
    </row>
    <row r="327" spans="1:17" ht="36">
      <c r="A327" s="18" t="s">
        <v>4398</v>
      </c>
      <c r="B327" s="19" t="s">
        <v>4399</v>
      </c>
      <c r="C327" s="19" t="s">
        <v>4400</v>
      </c>
      <c r="D327" s="19" t="s">
        <v>4401</v>
      </c>
      <c r="E327" s="19" t="s">
        <v>4402</v>
      </c>
      <c r="F327" s="19" t="s">
        <v>3976</v>
      </c>
      <c r="G327" s="19" t="s">
        <v>4403</v>
      </c>
      <c r="H327" s="19" t="s">
        <v>4404</v>
      </c>
      <c r="I327" s="19" t="s">
        <v>4405</v>
      </c>
      <c r="J327" s="19" t="s">
        <v>4406</v>
      </c>
      <c r="K327" s="19" t="s">
        <v>4407</v>
      </c>
      <c r="L327" s="19" t="s">
        <v>4408</v>
      </c>
      <c r="M327" s="19" t="s">
        <v>4409</v>
      </c>
      <c r="N327" s="19" t="s">
        <v>2491</v>
      </c>
      <c r="O327" s="19" t="s">
        <v>4410</v>
      </c>
      <c r="P327" s="15"/>
      <c r="Q327" s="19" t="s">
        <v>1360</v>
      </c>
    </row>
    <row r="328" spans="1:17" ht="24">
      <c r="A328" s="18" t="s">
        <v>4411</v>
      </c>
      <c r="B328" s="19" t="s">
        <v>4412</v>
      </c>
      <c r="C328" s="19" t="s">
        <v>4413</v>
      </c>
      <c r="D328" s="19" t="s">
        <v>4414</v>
      </c>
      <c r="E328" s="19" t="s">
        <v>4415</v>
      </c>
      <c r="F328" s="19" t="s">
        <v>4416</v>
      </c>
      <c r="G328" s="19" t="s">
        <v>4417</v>
      </c>
      <c r="H328" s="19" t="s">
        <v>4418</v>
      </c>
      <c r="I328" s="19" t="s">
        <v>4419</v>
      </c>
      <c r="J328" s="19" t="s">
        <v>4420</v>
      </c>
      <c r="K328" s="19" t="s">
        <v>4421</v>
      </c>
      <c r="L328" s="19" t="s">
        <v>4422</v>
      </c>
      <c r="M328" s="19" t="s">
        <v>4423</v>
      </c>
      <c r="N328" s="19" t="s">
        <v>4424</v>
      </c>
      <c r="O328" s="19" t="s">
        <v>4425</v>
      </c>
      <c r="P328" s="15"/>
      <c r="Q328" s="19" t="s">
        <v>4426</v>
      </c>
    </row>
    <row r="329" spans="1:17" ht="36">
      <c r="A329" s="18" t="s">
        <v>4427</v>
      </c>
      <c r="B329" s="19" t="s">
        <v>1100</v>
      </c>
      <c r="C329" s="19" t="s">
        <v>4428</v>
      </c>
      <c r="D329" s="19" t="s">
        <v>4429</v>
      </c>
      <c r="E329" s="19" t="s">
        <v>4430</v>
      </c>
      <c r="F329" s="19" t="s">
        <v>4431</v>
      </c>
      <c r="G329" s="19" t="s">
        <v>4432</v>
      </c>
      <c r="H329" s="19" t="s">
        <v>4433</v>
      </c>
      <c r="I329" s="19" t="s">
        <v>4431</v>
      </c>
      <c r="J329" s="19" t="s">
        <v>4434</v>
      </c>
      <c r="K329" s="19" t="s">
        <v>3839</v>
      </c>
      <c r="L329" s="19" t="s">
        <v>4435</v>
      </c>
      <c r="M329" s="19" t="s">
        <v>4436</v>
      </c>
      <c r="N329" s="19" t="s">
        <v>4437</v>
      </c>
      <c r="O329" s="19" t="s">
        <v>4438</v>
      </c>
      <c r="P329" s="15"/>
      <c r="Q329" s="19" t="s">
        <v>883</v>
      </c>
    </row>
    <row r="330" spans="1:17" ht="36">
      <c r="A330" s="18" t="s">
        <v>4439</v>
      </c>
      <c r="B330" s="19" t="s">
        <v>4440</v>
      </c>
      <c r="C330" s="19" t="s">
        <v>4441</v>
      </c>
      <c r="D330" s="19" t="s">
        <v>4442</v>
      </c>
      <c r="E330" s="19" t="s">
        <v>4443</v>
      </c>
      <c r="F330" s="19" t="s">
        <v>4444</v>
      </c>
      <c r="G330" s="19" t="s">
        <v>4445</v>
      </c>
      <c r="H330" s="19" t="s">
        <v>4446</v>
      </c>
      <c r="I330" s="19" t="s">
        <v>4447</v>
      </c>
      <c r="J330" s="19" t="s">
        <v>4448</v>
      </c>
      <c r="K330" s="19" t="s">
        <v>4449</v>
      </c>
      <c r="L330" s="19" t="s">
        <v>4450</v>
      </c>
      <c r="M330" s="19" t="s">
        <v>4451</v>
      </c>
      <c r="N330" s="19" t="s">
        <v>4452</v>
      </c>
      <c r="O330" s="19" t="s">
        <v>4453</v>
      </c>
      <c r="P330" s="15"/>
      <c r="Q330" s="19" t="s">
        <v>3577</v>
      </c>
    </row>
    <row r="331" spans="1:17" ht="36">
      <c r="A331" s="18" t="s">
        <v>4454</v>
      </c>
      <c r="B331" s="19" t="s">
        <v>4455</v>
      </c>
      <c r="C331" s="19" t="s">
        <v>2006</v>
      </c>
      <c r="D331" s="19" t="s">
        <v>4456</v>
      </c>
      <c r="E331" s="19" t="s">
        <v>4457</v>
      </c>
      <c r="F331" s="19" t="s">
        <v>3639</v>
      </c>
      <c r="G331" s="19" t="s">
        <v>1365</v>
      </c>
      <c r="H331" s="19" t="s">
        <v>4458</v>
      </c>
      <c r="I331" s="19" t="s">
        <v>4459</v>
      </c>
      <c r="J331" s="19" t="s">
        <v>619</v>
      </c>
      <c r="K331" s="19" t="s">
        <v>4460</v>
      </c>
      <c r="L331" s="19" t="s">
        <v>1856</v>
      </c>
      <c r="M331" s="19" t="s">
        <v>3080</v>
      </c>
      <c r="N331" s="19" t="s">
        <v>4461</v>
      </c>
      <c r="O331" s="19" t="s">
        <v>896</v>
      </c>
      <c r="P331" s="15"/>
      <c r="Q331" s="15"/>
    </row>
    <row r="332" spans="1:17" ht="36">
      <c r="A332" s="18" t="s">
        <v>4462</v>
      </c>
      <c r="B332" s="19" t="s">
        <v>4463</v>
      </c>
      <c r="C332" s="19" t="s">
        <v>619</v>
      </c>
      <c r="D332" s="19" t="s">
        <v>3412</v>
      </c>
      <c r="E332" s="19" t="s">
        <v>4241</v>
      </c>
      <c r="F332" s="19" t="s">
        <v>3412</v>
      </c>
      <c r="G332" s="19" t="s">
        <v>3979</v>
      </c>
      <c r="H332" s="19" t="s">
        <v>2605</v>
      </c>
      <c r="I332" s="19" t="s">
        <v>1918</v>
      </c>
      <c r="J332" s="19" t="s">
        <v>871</v>
      </c>
      <c r="K332" s="19" t="s">
        <v>4464</v>
      </c>
      <c r="L332" s="19" t="s">
        <v>4465</v>
      </c>
      <c r="M332" s="19" t="s">
        <v>1796</v>
      </c>
      <c r="N332" s="19" t="s">
        <v>3122</v>
      </c>
      <c r="O332" s="19" t="s">
        <v>3337</v>
      </c>
      <c r="P332" s="15"/>
      <c r="Q332" s="15"/>
    </row>
    <row r="333" spans="1:17" ht="36">
      <c r="A333" s="18" t="s">
        <v>4466</v>
      </c>
      <c r="B333" s="19" t="s">
        <v>4467</v>
      </c>
      <c r="C333" s="19" t="s">
        <v>4468</v>
      </c>
      <c r="D333" s="19" t="s">
        <v>4469</v>
      </c>
      <c r="E333" s="19" t="s">
        <v>4470</v>
      </c>
      <c r="F333" s="19" t="s">
        <v>4471</v>
      </c>
      <c r="G333" s="19" t="s">
        <v>4472</v>
      </c>
      <c r="H333" s="19" t="s">
        <v>4473</v>
      </c>
      <c r="I333" s="19" t="s">
        <v>4474</v>
      </c>
      <c r="J333" s="19" t="s">
        <v>936</v>
      </c>
      <c r="K333" s="19" t="s">
        <v>4475</v>
      </c>
      <c r="L333" s="19" t="s">
        <v>1379</v>
      </c>
      <c r="M333" s="19" t="s">
        <v>4476</v>
      </c>
      <c r="N333" s="19" t="s">
        <v>534</v>
      </c>
      <c r="O333" s="19" t="s">
        <v>3974</v>
      </c>
      <c r="P333" s="15"/>
      <c r="Q333" s="15"/>
    </row>
    <row r="334" spans="1:17" ht="60">
      <c r="A334" s="18" t="s">
        <v>4477</v>
      </c>
      <c r="B334" s="19" t="s">
        <v>4478</v>
      </c>
      <c r="C334" s="19" t="s">
        <v>4479</v>
      </c>
      <c r="D334" s="19" t="s">
        <v>1597</v>
      </c>
      <c r="E334" s="19" t="s">
        <v>4480</v>
      </c>
      <c r="F334" s="19" t="s">
        <v>4481</v>
      </c>
      <c r="G334" s="19" t="s">
        <v>4482</v>
      </c>
      <c r="H334" s="19" t="s">
        <v>593</v>
      </c>
      <c r="I334" s="19" t="s">
        <v>4483</v>
      </c>
      <c r="J334" s="19" t="s">
        <v>4484</v>
      </c>
      <c r="K334" s="19" t="s">
        <v>4485</v>
      </c>
      <c r="L334" s="19" t="s">
        <v>4486</v>
      </c>
      <c r="M334" s="19" t="s">
        <v>4487</v>
      </c>
      <c r="N334" s="19" t="s">
        <v>4488</v>
      </c>
      <c r="O334" s="19" t="s">
        <v>4489</v>
      </c>
      <c r="P334" s="15"/>
      <c r="Q334" s="19" t="s">
        <v>4055</v>
      </c>
    </row>
    <row r="335" spans="1:17" ht="36">
      <c r="A335" s="18" t="s">
        <v>4490</v>
      </c>
      <c r="B335" s="19" t="s">
        <v>4491</v>
      </c>
      <c r="C335" s="19" t="s">
        <v>4492</v>
      </c>
      <c r="D335" s="19" t="s">
        <v>2733</v>
      </c>
      <c r="E335" s="19" t="s">
        <v>4493</v>
      </c>
      <c r="F335" s="19" t="s">
        <v>4494</v>
      </c>
      <c r="G335" s="19" t="s">
        <v>4495</v>
      </c>
      <c r="H335" s="19" t="s">
        <v>628</v>
      </c>
      <c r="I335" s="19" t="s">
        <v>4496</v>
      </c>
      <c r="J335" s="19" t="s">
        <v>4497</v>
      </c>
      <c r="K335" s="19" t="s">
        <v>4498</v>
      </c>
      <c r="L335" s="19" t="s">
        <v>4499</v>
      </c>
      <c r="M335" s="19" t="s">
        <v>1501</v>
      </c>
      <c r="N335" s="19" t="s">
        <v>4500</v>
      </c>
      <c r="O335" s="19" t="s">
        <v>4501</v>
      </c>
      <c r="P335" s="15"/>
      <c r="Q335" s="19" t="s">
        <v>3803</v>
      </c>
    </row>
    <row r="336" spans="1:17" ht="48">
      <c r="A336" s="18" t="s">
        <v>4502</v>
      </c>
      <c r="B336" s="19" t="s">
        <v>4503</v>
      </c>
      <c r="C336" s="19" t="s">
        <v>4504</v>
      </c>
      <c r="D336" s="19" t="s">
        <v>4505</v>
      </c>
      <c r="E336" s="19" t="s">
        <v>4506</v>
      </c>
      <c r="F336" s="19" t="s">
        <v>4507</v>
      </c>
      <c r="G336" s="19" t="s">
        <v>4508</v>
      </c>
      <c r="H336" s="19" t="s">
        <v>4509</v>
      </c>
      <c r="I336" s="19" t="s">
        <v>4510</v>
      </c>
      <c r="J336" s="19" t="s">
        <v>4245</v>
      </c>
      <c r="K336" s="19" t="s">
        <v>4511</v>
      </c>
      <c r="L336" s="19" t="s">
        <v>1800</v>
      </c>
      <c r="M336" s="19" t="s">
        <v>907</v>
      </c>
      <c r="N336" s="19" t="s">
        <v>4512</v>
      </c>
      <c r="O336" s="19" t="s">
        <v>4513</v>
      </c>
      <c r="P336" s="19" t="s">
        <v>919</v>
      </c>
      <c r="Q336" s="19" t="s">
        <v>2666</v>
      </c>
    </row>
    <row r="337" spans="1:17" ht="48">
      <c r="A337" s="18" t="s">
        <v>4514</v>
      </c>
      <c r="B337" s="19" t="s">
        <v>4515</v>
      </c>
      <c r="C337" s="19" t="s">
        <v>4516</v>
      </c>
      <c r="D337" s="19" t="s">
        <v>4517</v>
      </c>
      <c r="E337" s="19" t="s">
        <v>2888</v>
      </c>
      <c r="F337" s="19" t="s">
        <v>4518</v>
      </c>
      <c r="G337" s="19" t="s">
        <v>2813</v>
      </c>
      <c r="H337" s="19" t="s">
        <v>4519</v>
      </c>
      <c r="I337" s="19" t="s">
        <v>4520</v>
      </c>
      <c r="J337" s="19" t="s">
        <v>4248</v>
      </c>
      <c r="K337" s="19" t="s">
        <v>4521</v>
      </c>
      <c r="L337" s="19" t="s">
        <v>4522</v>
      </c>
      <c r="M337" s="19" t="s">
        <v>4523</v>
      </c>
      <c r="N337" s="19" t="s">
        <v>4524</v>
      </c>
      <c r="O337" s="19" t="s">
        <v>4525</v>
      </c>
      <c r="P337" s="19" t="s">
        <v>1389</v>
      </c>
      <c r="Q337" s="19" t="s">
        <v>2916</v>
      </c>
    </row>
    <row r="338" spans="1:17" ht="60">
      <c r="A338" s="18" t="s">
        <v>4526</v>
      </c>
      <c r="B338" s="19" t="s">
        <v>1100</v>
      </c>
      <c r="C338" s="19" t="s">
        <v>4527</v>
      </c>
      <c r="D338" s="19" t="s">
        <v>4528</v>
      </c>
      <c r="E338" s="19" t="s">
        <v>4529</v>
      </c>
      <c r="F338" s="19" t="s">
        <v>4530</v>
      </c>
      <c r="G338" s="19" t="s">
        <v>4531</v>
      </c>
      <c r="H338" s="19" t="s">
        <v>4532</v>
      </c>
      <c r="I338" s="19" t="s">
        <v>4533</v>
      </c>
      <c r="J338" s="19" t="s">
        <v>4534</v>
      </c>
      <c r="K338" s="19" t="s">
        <v>4535</v>
      </c>
      <c r="L338" s="19" t="s">
        <v>4536</v>
      </c>
      <c r="M338" s="19" t="s">
        <v>4537</v>
      </c>
      <c r="N338" s="19" t="s">
        <v>4538</v>
      </c>
      <c r="O338" s="19" t="s">
        <v>4539</v>
      </c>
      <c r="P338" s="15"/>
      <c r="Q338" s="15"/>
    </row>
    <row r="339" spans="1:17" ht="36">
      <c r="A339" s="18" t="s">
        <v>4540</v>
      </c>
      <c r="B339" s="19" t="s">
        <v>4541</v>
      </c>
      <c r="C339" s="19" t="s">
        <v>2157</v>
      </c>
      <c r="D339" s="19" t="s">
        <v>4542</v>
      </c>
      <c r="E339" s="19" t="s">
        <v>4543</v>
      </c>
      <c r="F339" s="19" t="s">
        <v>4544</v>
      </c>
      <c r="G339" s="19" t="s">
        <v>4545</v>
      </c>
      <c r="H339" s="19" t="s">
        <v>4546</v>
      </c>
      <c r="I339" s="19" t="s">
        <v>4021</v>
      </c>
      <c r="J339" s="19" t="s">
        <v>4547</v>
      </c>
      <c r="K339" s="19" t="s">
        <v>2517</v>
      </c>
      <c r="L339" s="19" t="s">
        <v>4548</v>
      </c>
      <c r="M339" s="19" t="s">
        <v>4549</v>
      </c>
      <c r="N339" s="19" t="s">
        <v>4550</v>
      </c>
      <c r="O339" s="19" t="s">
        <v>4551</v>
      </c>
      <c r="P339" s="19" t="s">
        <v>903</v>
      </c>
      <c r="Q339" s="19" t="s">
        <v>3505</v>
      </c>
    </row>
    <row r="340" spans="1:17" ht="48">
      <c r="A340" s="18" t="s">
        <v>4552</v>
      </c>
      <c r="B340" s="19" t="s">
        <v>4553</v>
      </c>
      <c r="C340" s="19" t="s">
        <v>4554</v>
      </c>
      <c r="D340" s="19" t="s">
        <v>4555</v>
      </c>
      <c r="E340" s="19" t="s">
        <v>4556</v>
      </c>
      <c r="F340" s="19" t="s">
        <v>4557</v>
      </c>
      <c r="G340" s="19" t="s">
        <v>4558</v>
      </c>
      <c r="H340" s="19" t="s">
        <v>4559</v>
      </c>
      <c r="I340" s="19" t="s">
        <v>4560</v>
      </c>
      <c r="J340" s="19" t="s">
        <v>4561</v>
      </c>
      <c r="K340" s="19" t="s">
        <v>4562</v>
      </c>
      <c r="L340" s="19" t="s">
        <v>4563</v>
      </c>
      <c r="M340" s="19" t="s">
        <v>4564</v>
      </c>
      <c r="N340" s="19" t="s">
        <v>4565</v>
      </c>
      <c r="O340" s="19" t="s">
        <v>4566</v>
      </c>
      <c r="P340" s="19" t="s">
        <v>4567</v>
      </c>
      <c r="Q340" s="19" t="s">
        <v>4568</v>
      </c>
    </row>
    <row r="341" spans="1:17" ht="36">
      <c r="A341" s="18" t="s">
        <v>4569</v>
      </c>
      <c r="B341" s="19" t="s">
        <v>4570</v>
      </c>
      <c r="C341" s="19" t="s">
        <v>4571</v>
      </c>
      <c r="D341" s="19" t="s">
        <v>4572</v>
      </c>
      <c r="E341" s="19" t="s">
        <v>4573</v>
      </c>
      <c r="F341" s="19" t="s">
        <v>4574</v>
      </c>
      <c r="G341" s="19" t="s">
        <v>4575</v>
      </c>
      <c r="H341" s="19" t="s">
        <v>4576</v>
      </c>
      <c r="I341" s="19" t="s">
        <v>4577</v>
      </c>
      <c r="J341" s="19" t="s">
        <v>4578</v>
      </c>
      <c r="K341" s="19" t="s">
        <v>4579</v>
      </c>
      <c r="L341" s="19" t="s">
        <v>4580</v>
      </c>
      <c r="M341" s="19" t="s">
        <v>4581</v>
      </c>
      <c r="N341" s="19" t="s">
        <v>4582</v>
      </c>
      <c r="O341" s="19" t="s">
        <v>4583</v>
      </c>
      <c r="P341" s="19" t="s">
        <v>4584</v>
      </c>
      <c r="Q341" s="19" t="s">
        <v>3203</v>
      </c>
    </row>
    <row r="342" spans="1:17" ht="48">
      <c r="A342" s="18" t="s">
        <v>4585</v>
      </c>
      <c r="B342" s="19" t="s">
        <v>4586</v>
      </c>
      <c r="C342" s="19" t="s">
        <v>4587</v>
      </c>
      <c r="D342" s="19" t="s">
        <v>4588</v>
      </c>
      <c r="E342" s="19" t="s">
        <v>4589</v>
      </c>
      <c r="F342" s="19" t="s">
        <v>4590</v>
      </c>
      <c r="G342" s="19" t="s">
        <v>4591</v>
      </c>
      <c r="H342" s="19" t="s">
        <v>4592</v>
      </c>
      <c r="I342" s="19" t="s">
        <v>4593</v>
      </c>
      <c r="J342" s="19" t="s">
        <v>4594</v>
      </c>
      <c r="K342" s="19" t="s">
        <v>4595</v>
      </c>
      <c r="L342" s="19" t="s">
        <v>4596</v>
      </c>
      <c r="M342" s="19" t="s">
        <v>4597</v>
      </c>
      <c r="N342" s="19" t="s">
        <v>4598</v>
      </c>
      <c r="O342" s="19" t="s">
        <v>4599</v>
      </c>
      <c r="P342" s="19" t="s">
        <v>4600</v>
      </c>
      <c r="Q342" s="19" t="s">
        <v>4601</v>
      </c>
    </row>
    <row r="343" spans="1:17" ht="36">
      <c r="A343" s="18" t="s">
        <v>4602</v>
      </c>
      <c r="B343" s="19" t="s">
        <v>4603</v>
      </c>
      <c r="C343" s="19" t="s">
        <v>4604</v>
      </c>
      <c r="D343" s="19" t="s">
        <v>4605</v>
      </c>
      <c r="E343" s="19" t="s">
        <v>4606</v>
      </c>
      <c r="F343" s="19" t="s">
        <v>4607</v>
      </c>
      <c r="G343" s="19" t="s">
        <v>386</v>
      </c>
      <c r="H343" s="19" t="s">
        <v>4608</v>
      </c>
      <c r="I343" s="19" t="s">
        <v>430</v>
      </c>
      <c r="J343" s="19" t="s">
        <v>1369</v>
      </c>
      <c r="K343" s="19" t="s">
        <v>4609</v>
      </c>
      <c r="L343" s="19" t="s">
        <v>4610</v>
      </c>
      <c r="M343" s="19" t="s">
        <v>2724</v>
      </c>
      <c r="N343" s="19" t="s">
        <v>4611</v>
      </c>
      <c r="O343" s="19" t="s">
        <v>4612</v>
      </c>
      <c r="P343" s="19" t="s">
        <v>4613</v>
      </c>
      <c r="Q343" s="19" t="s">
        <v>982</v>
      </c>
    </row>
    <row r="344" spans="1:17" ht="24">
      <c r="A344" s="18" t="s">
        <v>4614</v>
      </c>
      <c r="B344" s="19" t="s">
        <v>4615</v>
      </c>
      <c r="C344" s="19" t="s">
        <v>4616</v>
      </c>
      <c r="D344" s="19" t="s">
        <v>4617</v>
      </c>
      <c r="E344" s="19" t="s">
        <v>4618</v>
      </c>
      <c r="F344" s="19" t="s">
        <v>4619</v>
      </c>
      <c r="G344" s="19" t="s">
        <v>4620</v>
      </c>
      <c r="H344" s="19" t="s">
        <v>4621</v>
      </c>
      <c r="I344" s="19" t="s">
        <v>4622</v>
      </c>
      <c r="J344" s="19" t="s">
        <v>4623</v>
      </c>
      <c r="K344" s="19" t="s">
        <v>4624</v>
      </c>
      <c r="L344" s="19" t="s">
        <v>4625</v>
      </c>
      <c r="M344" s="19" t="s">
        <v>4626</v>
      </c>
      <c r="N344" s="19" t="s">
        <v>4627</v>
      </c>
      <c r="O344" s="19" t="s">
        <v>4628</v>
      </c>
      <c r="P344" s="19" t="s">
        <v>4629</v>
      </c>
      <c r="Q344" s="19" t="s">
        <v>4630</v>
      </c>
    </row>
    <row r="345" spans="1:17">
      <c r="A345" s="18" t="s">
        <v>4631</v>
      </c>
      <c r="B345" s="19" t="s">
        <v>4632</v>
      </c>
      <c r="C345" s="19" t="s">
        <v>4633</v>
      </c>
      <c r="D345" s="19" t="s">
        <v>4634</v>
      </c>
      <c r="E345" s="19" t="s">
        <v>4635</v>
      </c>
      <c r="F345" s="19" t="s">
        <v>4636</v>
      </c>
      <c r="G345" s="19" t="s">
        <v>4637</v>
      </c>
      <c r="H345" s="19" t="s">
        <v>4638</v>
      </c>
      <c r="I345" s="19" t="s">
        <v>4639</v>
      </c>
      <c r="J345" s="19" t="s">
        <v>4640</v>
      </c>
      <c r="K345" s="19" t="s">
        <v>4641</v>
      </c>
      <c r="L345" s="19" t="s">
        <v>4642</v>
      </c>
      <c r="M345" s="19" t="s">
        <v>4643</v>
      </c>
      <c r="N345" s="19" t="s">
        <v>4644</v>
      </c>
      <c r="O345" s="19" t="s">
        <v>4645</v>
      </c>
      <c r="P345" s="19" t="s">
        <v>4646</v>
      </c>
      <c r="Q345" s="19" t="s">
        <v>4647</v>
      </c>
    </row>
    <row r="346" spans="1:17" ht="36">
      <c r="A346" s="20" t="s">
        <v>4648</v>
      </c>
      <c r="B346" s="21" t="s">
        <v>655</v>
      </c>
      <c r="C346" s="21" t="s">
        <v>4649</v>
      </c>
      <c r="D346" s="21" t="s">
        <v>4650</v>
      </c>
      <c r="E346" s="21" t="s">
        <v>4651</v>
      </c>
      <c r="F346" s="21" t="s">
        <v>4652</v>
      </c>
      <c r="G346" s="21" t="s">
        <v>4653</v>
      </c>
      <c r="H346" s="21" t="s">
        <v>4654</v>
      </c>
      <c r="I346" s="21" t="s">
        <v>4655</v>
      </c>
      <c r="J346" s="21" t="s">
        <v>1700</v>
      </c>
      <c r="K346" s="21" t="s">
        <v>4656</v>
      </c>
      <c r="L346" s="21" t="s">
        <v>4657</v>
      </c>
      <c r="M346" s="21" t="s">
        <v>4658</v>
      </c>
      <c r="N346" s="21" t="s">
        <v>4659</v>
      </c>
      <c r="O346" s="21" t="s">
        <v>4660</v>
      </c>
      <c r="P346" s="21" t="s">
        <v>4661</v>
      </c>
      <c r="Q346" s="21" t="s">
        <v>571</v>
      </c>
    </row>
    <row r="347" spans="1:17" ht="15.6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</row>
    <row r="348" spans="1:17" ht="15.6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spans="1:17">
      <c r="A349" s="12" t="s">
        <v>4662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>
      <c r="A350" s="3" t="s">
        <v>159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 spans="1:17">
      <c r="A351" s="127" t="s">
        <v>160</v>
      </c>
      <c r="B351" s="131" t="s">
        <v>161</v>
      </c>
      <c r="C351" s="135" t="s">
        <v>162</v>
      </c>
      <c r="D351" s="125"/>
      <c r="E351" s="125"/>
      <c r="F351" s="125"/>
      <c r="G351" s="125"/>
      <c r="H351" s="125"/>
      <c r="I351" s="125"/>
      <c r="J351" s="126"/>
      <c r="K351" s="135" t="s">
        <v>163</v>
      </c>
      <c r="L351" s="125"/>
      <c r="M351" s="126"/>
      <c r="N351" s="135" t="s">
        <v>164</v>
      </c>
      <c r="O351" s="125"/>
      <c r="P351" s="125"/>
      <c r="Q351" s="125"/>
    </row>
    <row r="352" spans="1:17">
      <c r="A352" s="128"/>
      <c r="B352" s="132"/>
      <c r="C352" s="132"/>
      <c r="D352" s="131" t="s">
        <v>165</v>
      </c>
      <c r="E352" s="131" t="s">
        <v>166</v>
      </c>
      <c r="F352" s="131" t="s">
        <v>167</v>
      </c>
      <c r="G352" s="135" t="s">
        <v>168</v>
      </c>
      <c r="H352" s="125"/>
      <c r="I352" s="125"/>
      <c r="J352" s="126"/>
      <c r="K352" s="132"/>
      <c r="L352" s="135" t="s">
        <v>169</v>
      </c>
      <c r="M352" s="13"/>
      <c r="N352" s="132"/>
      <c r="O352" s="135" t="s">
        <v>170</v>
      </c>
      <c r="P352" s="125"/>
      <c r="Q352" s="125"/>
    </row>
    <row r="353" spans="1:17">
      <c r="A353" s="128"/>
      <c r="B353" s="132"/>
      <c r="C353" s="132"/>
      <c r="D353" s="132"/>
      <c r="E353" s="132"/>
      <c r="F353" s="132"/>
      <c r="G353" s="132"/>
      <c r="H353" s="131" t="s">
        <v>171</v>
      </c>
      <c r="I353" s="135" t="s">
        <v>854</v>
      </c>
      <c r="J353" s="13"/>
      <c r="K353" s="132"/>
      <c r="L353" s="132"/>
      <c r="M353" s="131" t="s">
        <v>173</v>
      </c>
      <c r="N353" s="132"/>
      <c r="O353" s="132"/>
      <c r="P353" s="131" t="s">
        <v>174</v>
      </c>
      <c r="Q353" s="135" t="s">
        <v>175</v>
      </c>
    </row>
    <row r="354" spans="1:17">
      <c r="A354" s="129"/>
      <c r="B354" s="133"/>
      <c r="C354" s="133"/>
      <c r="D354" s="133"/>
      <c r="E354" s="133"/>
      <c r="F354" s="133"/>
      <c r="G354" s="133"/>
      <c r="H354" s="133"/>
      <c r="I354" s="133"/>
      <c r="J354" s="14" t="s">
        <v>176</v>
      </c>
      <c r="K354" s="133"/>
      <c r="L354" s="133"/>
      <c r="M354" s="133"/>
      <c r="N354" s="133"/>
      <c r="O354" s="133"/>
      <c r="P354" s="133"/>
      <c r="Q354" s="137"/>
    </row>
    <row r="355" spans="1:17" ht="36">
      <c r="A355" s="7" t="s">
        <v>4663</v>
      </c>
      <c r="B355" s="6" t="s">
        <v>4664</v>
      </c>
      <c r="C355" s="6" t="s">
        <v>4665</v>
      </c>
      <c r="D355" s="6" t="s">
        <v>4666</v>
      </c>
      <c r="E355" s="6" t="s">
        <v>4667</v>
      </c>
      <c r="F355" s="6" t="s">
        <v>4668</v>
      </c>
      <c r="G355" s="6" t="s">
        <v>4669</v>
      </c>
      <c r="H355" s="6" t="s">
        <v>4670</v>
      </c>
      <c r="I355" s="6" t="s">
        <v>4671</v>
      </c>
      <c r="J355" s="6" t="s">
        <v>4672</v>
      </c>
      <c r="K355" s="6" t="s">
        <v>4673</v>
      </c>
      <c r="L355" s="6" t="s">
        <v>4674</v>
      </c>
      <c r="M355" s="6" t="s">
        <v>4675</v>
      </c>
      <c r="N355" s="6" t="s">
        <v>4676</v>
      </c>
      <c r="O355" s="6" t="s">
        <v>4677</v>
      </c>
      <c r="P355" s="6" t="s">
        <v>4678</v>
      </c>
      <c r="Q355" s="6" t="s">
        <v>4679</v>
      </c>
    </row>
    <row r="356" spans="1:17" ht="36">
      <c r="A356" s="7" t="s">
        <v>4680</v>
      </c>
      <c r="B356" s="6" t="s">
        <v>4681</v>
      </c>
      <c r="C356" s="6" t="s">
        <v>4682</v>
      </c>
      <c r="D356" s="6" t="s">
        <v>4683</v>
      </c>
      <c r="E356" s="6" t="s">
        <v>4684</v>
      </c>
      <c r="F356" s="6" t="s">
        <v>4685</v>
      </c>
      <c r="G356" s="6" t="s">
        <v>4686</v>
      </c>
      <c r="H356" s="6" t="s">
        <v>4687</v>
      </c>
      <c r="I356" s="6" t="s">
        <v>4688</v>
      </c>
      <c r="J356" s="6" t="s">
        <v>4689</v>
      </c>
      <c r="K356" s="6" t="s">
        <v>3969</v>
      </c>
      <c r="L356" s="6" t="s">
        <v>4690</v>
      </c>
      <c r="M356" s="6" t="s">
        <v>1127</v>
      </c>
      <c r="N356" s="6" t="s">
        <v>4691</v>
      </c>
      <c r="O356" s="6" t="s">
        <v>4692</v>
      </c>
      <c r="P356" s="6" t="s">
        <v>4693</v>
      </c>
      <c r="Q356" s="6" t="s">
        <v>4465</v>
      </c>
    </row>
    <row r="357" spans="1:17" ht="36">
      <c r="A357" s="7" t="s">
        <v>4694</v>
      </c>
      <c r="B357" s="6" t="s">
        <v>4695</v>
      </c>
      <c r="C357" s="6" t="s">
        <v>916</v>
      </c>
      <c r="D357" s="6" t="s">
        <v>1860</v>
      </c>
      <c r="E357" s="6" t="s">
        <v>4696</v>
      </c>
      <c r="F357" s="6" t="s">
        <v>3559</v>
      </c>
      <c r="G357" s="6" t="s">
        <v>4697</v>
      </c>
      <c r="H357" s="6" t="s">
        <v>4698</v>
      </c>
      <c r="I357" s="6" t="s">
        <v>4699</v>
      </c>
      <c r="J357" s="6" t="s">
        <v>4700</v>
      </c>
      <c r="K357" s="6" t="s">
        <v>4701</v>
      </c>
      <c r="L357" s="6" t="s">
        <v>4702</v>
      </c>
      <c r="M357" s="6" t="s">
        <v>4703</v>
      </c>
      <c r="N357" s="6" t="s">
        <v>4704</v>
      </c>
      <c r="O357" s="6" t="s">
        <v>4173</v>
      </c>
      <c r="P357" s="6" t="s">
        <v>358</v>
      </c>
      <c r="Q357" s="15"/>
    </row>
    <row r="358" spans="1:17" ht="36">
      <c r="A358" s="7" t="s">
        <v>4705</v>
      </c>
      <c r="B358" s="6" t="s">
        <v>4706</v>
      </c>
      <c r="C358" s="6" t="s">
        <v>4707</v>
      </c>
      <c r="D358" s="6" t="s">
        <v>4708</v>
      </c>
      <c r="E358" s="6" t="s">
        <v>4709</v>
      </c>
      <c r="F358" s="6" t="s">
        <v>1677</v>
      </c>
      <c r="G358" s="6" t="s">
        <v>4710</v>
      </c>
      <c r="H358" s="6" t="s">
        <v>4711</v>
      </c>
      <c r="I358" s="6" t="s">
        <v>4712</v>
      </c>
      <c r="J358" s="6" t="s">
        <v>4713</v>
      </c>
      <c r="K358" s="6" t="s">
        <v>4714</v>
      </c>
      <c r="L358" s="6" t="s">
        <v>4715</v>
      </c>
      <c r="M358" s="6" t="s">
        <v>4716</v>
      </c>
      <c r="N358" s="6" t="s">
        <v>4717</v>
      </c>
      <c r="O358" s="6" t="s">
        <v>4718</v>
      </c>
      <c r="P358" s="6" t="s">
        <v>4719</v>
      </c>
      <c r="Q358" s="6" t="s">
        <v>2571</v>
      </c>
    </row>
    <row r="359" spans="1:17" ht="48">
      <c r="A359" s="7" t="s">
        <v>4720</v>
      </c>
      <c r="B359" s="6" t="s">
        <v>4721</v>
      </c>
      <c r="C359" s="6" t="s">
        <v>4722</v>
      </c>
      <c r="D359" s="6" t="s">
        <v>4723</v>
      </c>
      <c r="E359" s="6" t="s">
        <v>4724</v>
      </c>
      <c r="F359" s="6" t="s">
        <v>2142</v>
      </c>
      <c r="G359" s="6" t="s">
        <v>4725</v>
      </c>
      <c r="H359" s="6" t="s">
        <v>498</v>
      </c>
      <c r="I359" s="6" t="s">
        <v>4726</v>
      </c>
      <c r="J359" s="6" t="s">
        <v>2307</v>
      </c>
      <c r="K359" s="6" t="s">
        <v>4727</v>
      </c>
      <c r="L359" s="6" t="s">
        <v>4728</v>
      </c>
      <c r="M359" s="6" t="s">
        <v>4729</v>
      </c>
      <c r="N359" s="6" t="s">
        <v>4730</v>
      </c>
      <c r="O359" s="6" t="s">
        <v>1433</v>
      </c>
      <c r="P359" s="6" t="s">
        <v>4731</v>
      </c>
      <c r="Q359" s="15"/>
    </row>
    <row r="360" spans="1:17" ht="48">
      <c r="A360" s="7" t="s">
        <v>4732</v>
      </c>
      <c r="B360" s="6" t="s">
        <v>4733</v>
      </c>
      <c r="C360" s="6" t="s">
        <v>4734</v>
      </c>
      <c r="D360" s="6" t="s">
        <v>4735</v>
      </c>
      <c r="E360" s="6" t="s">
        <v>4736</v>
      </c>
      <c r="F360" s="6" t="s">
        <v>4737</v>
      </c>
      <c r="G360" s="6" t="s">
        <v>4738</v>
      </c>
      <c r="H360" s="6" t="s">
        <v>4739</v>
      </c>
      <c r="I360" s="6" t="s">
        <v>4740</v>
      </c>
      <c r="J360" s="6" t="s">
        <v>587</v>
      </c>
      <c r="K360" s="6" t="s">
        <v>4741</v>
      </c>
      <c r="L360" s="6" t="s">
        <v>716</v>
      </c>
      <c r="M360" s="6" t="s">
        <v>4742</v>
      </c>
      <c r="N360" s="6" t="s">
        <v>4743</v>
      </c>
      <c r="O360" s="6" t="s">
        <v>4744</v>
      </c>
      <c r="P360" s="6" t="s">
        <v>1359</v>
      </c>
      <c r="Q360" s="6" t="s">
        <v>2571</v>
      </c>
    </row>
    <row r="361" spans="1:17" ht="36">
      <c r="A361" s="7" t="s">
        <v>4745</v>
      </c>
      <c r="B361" s="6" t="s">
        <v>4746</v>
      </c>
      <c r="C361" s="6" t="s">
        <v>4747</v>
      </c>
      <c r="D361" s="6" t="s">
        <v>4748</v>
      </c>
      <c r="E361" s="6" t="s">
        <v>4749</v>
      </c>
      <c r="F361" s="6" t="s">
        <v>4750</v>
      </c>
      <c r="G361" s="6" t="s">
        <v>4751</v>
      </c>
      <c r="H361" s="6" t="s">
        <v>4752</v>
      </c>
      <c r="I361" s="6" t="s">
        <v>4753</v>
      </c>
      <c r="J361" s="6" t="s">
        <v>4754</v>
      </c>
      <c r="K361" s="6" t="s">
        <v>4755</v>
      </c>
      <c r="L361" s="6" t="s">
        <v>4756</v>
      </c>
      <c r="M361" s="6" t="s">
        <v>4757</v>
      </c>
      <c r="N361" s="6" t="s">
        <v>4758</v>
      </c>
      <c r="O361" s="6" t="s">
        <v>4759</v>
      </c>
      <c r="P361" s="6" t="s">
        <v>4760</v>
      </c>
      <c r="Q361" s="6" t="s">
        <v>4761</v>
      </c>
    </row>
    <row r="362" spans="1:17" ht="36">
      <c r="A362" s="7" t="s">
        <v>4762</v>
      </c>
      <c r="B362" s="6" t="s">
        <v>4763</v>
      </c>
      <c r="C362" s="6" t="s">
        <v>4764</v>
      </c>
      <c r="D362" s="6" t="s">
        <v>4765</v>
      </c>
      <c r="E362" s="6" t="s">
        <v>4766</v>
      </c>
      <c r="F362" s="6" t="s">
        <v>4767</v>
      </c>
      <c r="G362" s="6" t="s">
        <v>4768</v>
      </c>
      <c r="H362" s="6" t="s">
        <v>4769</v>
      </c>
      <c r="I362" s="6" t="s">
        <v>4770</v>
      </c>
      <c r="J362" s="6" t="s">
        <v>4771</v>
      </c>
      <c r="K362" s="6" t="s">
        <v>4772</v>
      </c>
      <c r="L362" s="6" t="s">
        <v>216</v>
      </c>
      <c r="M362" s="6" t="s">
        <v>4773</v>
      </c>
      <c r="N362" s="6" t="s">
        <v>4774</v>
      </c>
      <c r="O362" s="6" t="s">
        <v>4775</v>
      </c>
      <c r="P362" s="6" t="s">
        <v>4776</v>
      </c>
      <c r="Q362" s="6" t="s">
        <v>4777</v>
      </c>
    </row>
    <row r="363" spans="1:17" ht="36">
      <c r="A363" s="7" t="s">
        <v>4778</v>
      </c>
      <c r="B363" s="6" t="s">
        <v>3138</v>
      </c>
      <c r="C363" s="6" t="s">
        <v>4779</v>
      </c>
      <c r="D363" s="6" t="s">
        <v>4780</v>
      </c>
      <c r="E363" s="6" t="s">
        <v>4781</v>
      </c>
      <c r="F363" s="6" t="s">
        <v>4782</v>
      </c>
      <c r="G363" s="6" t="s">
        <v>4783</v>
      </c>
      <c r="H363" s="6" t="s">
        <v>4784</v>
      </c>
      <c r="I363" s="6" t="s">
        <v>4785</v>
      </c>
      <c r="J363" s="6" t="s">
        <v>4786</v>
      </c>
      <c r="K363" s="6" t="s">
        <v>4787</v>
      </c>
      <c r="L363" s="6" t="s">
        <v>4788</v>
      </c>
      <c r="M363" s="6" t="s">
        <v>4789</v>
      </c>
      <c r="N363" s="6" t="s">
        <v>4790</v>
      </c>
      <c r="O363" s="6" t="s">
        <v>4791</v>
      </c>
      <c r="P363" s="6" t="s">
        <v>4792</v>
      </c>
      <c r="Q363" s="6" t="s">
        <v>4793</v>
      </c>
    </row>
    <row r="364" spans="1:17" ht="36">
      <c r="A364" s="7" t="s">
        <v>4794</v>
      </c>
      <c r="B364" s="6" t="s">
        <v>4795</v>
      </c>
      <c r="C364" s="6" t="s">
        <v>4796</v>
      </c>
      <c r="D364" s="6" t="s">
        <v>4797</v>
      </c>
      <c r="E364" s="6" t="s">
        <v>4798</v>
      </c>
      <c r="F364" s="6" t="s">
        <v>4799</v>
      </c>
      <c r="G364" s="6" t="s">
        <v>4800</v>
      </c>
      <c r="H364" s="6" t="s">
        <v>3232</v>
      </c>
      <c r="I364" s="6" t="s">
        <v>4801</v>
      </c>
      <c r="J364" s="6" t="s">
        <v>4802</v>
      </c>
      <c r="K364" s="6" t="s">
        <v>4803</v>
      </c>
      <c r="L364" s="6" t="s">
        <v>4804</v>
      </c>
      <c r="M364" s="6" t="s">
        <v>4805</v>
      </c>
      <c r="N364" s="6" t="s">
        <v>4806</v>
      </c>
      <c r="O364" s="6" t="s">
        <v>4807</v>
      </c>
      <c r="P364" s="6" t="s">
        <v>4808</v>
      </c>
      <c r="Q364" s="6" t="s">
        <v>549</v>
      </c>
    </row>
    <row r="365" spans="1:17" ht="36">
      <c r="A365" s="7" t="s">
        <v>4809</v>
      </c>
      <c r="B365" s="6" t="s">
        <v>4810</v>
      </c>
      <c r="C365" s="6" t="s">
        <v>4811</v>
      </c>
      <c r="D365" s="6" t="s">
        <v>4812</v>
      </c>
      <c r="E365" s="6" t="s">
        <v>4813</v>
      </c>
      <c r="F365" s="6" t="s">
        <v>4814</v>
      </c>
      <c r="G365" s="6" t="s">
        <v>4815</v>
      </c>
      <c r="H365" s="6" t="s">
        <v>4816</v>
      </c>
      <c r="I365" s="6" t="s">
        <v>4817</v>
      </c>
      <c r="J365" s="6" t="s">
        <v>4818</v>
      </c>
      <c r="K365" s="6" t="s">
        <v>4819</v>
      </c>
      <c r="L365" s="6" t="s">
        <v>4820</v>
      </c>
      <c r="M365" s="6" t="s">
        <v>4821</v>
      </c>
      <c r="N365" s="6" t="s">
        <v>4822</v>
      </c>
      <c r="O365" s="6" t="s">
        <v>4823</v>
      </c>
      <c r="P365" s="6" t="s">
        <v>4824</v>
      </c>
      <c r="Q365" s="6" t="s">
        <v>1517</v>
      </c>
    </row>
    <row r="366" spans="1:17" ht="36">
      <c r="A366" s="7" t="s">
        <v>4825</v>
      </c>
      <c r="B366" s="6" t="s">
        <v>4826</v>
      </c>
      <c r="C366" s="6" t="s">
        <v>4827</v>
      </c>
      <c r="D366" s="6" t="s">
        <v>4828</v>
      </c>
      <c r="E366" s="6" t="s">
        <v>4829</v>
      </c>
      <c r="F366" s="6" t="s">
        <v>4830</v>
      </c>
      <c r="G366" s="6" t="s">
        <v>4831</v>
      </c>
      <c r="H366" s="6" t="s">
        <v>4832</v>
      </c>
      <c r="I366" s="6" t="s">
        <v>4833</v>
      </c>
      <c r="J366" s="6" t="s">
        <v>4834</v>
      </c>
      <c r="K366" s="6" t="s">
        <v>4835</v>
      </c>
      <c r="L366" s="6" t="s">
        <v>4836</v>
      </c>
      <c r="M366" s="6" t="s">
        <v>4837</v>
      </c>
      <c r="N366" s="6" t="s">
        <v>4838</v>
      </c>
      <c r="O366" s="6" t="s">
        <v>4839</v>
      </c>
      <c r="P366" s="6" t="s">
        <v>4840</v>
      </c>
      <c r="Q366" s="6" t="s">
        <v>4841</v>
      </c>
    </row>
    <row r="367" spans="1:17" ht="48">
      <c r="A367" s="7" t="s">
        <v>4842</v>
      </c>
      <c r="B367" s="6" t="s">
        <v>4843</v>
      </c>
      <c r="C367" s="6" t="s">
        <v>4844</v>
      </c>
      <c r="D367" s="6" t="s">
        <v>4845</v>
      </c>
      <c r="E367" s="6" t="s">
        <v>4846</v>
      </c>
      <c r="F367" s="6" t="s">
        <v>4847</v>
      </c>
      <c r="G367" s="6" t="s">
        <v>4848</v>
      </c>
      <c r="H367" s="6" t="s">
        <v>4849</v>
      </c>
      <c r="I367" s="6" t="s">
        <v>4850</v>
      </c>
      <c r="J367" s="6" t="s">
        <v>4851</v>
      </c>
      <c r="K367" s="6" t="s">
        <v>4852</v>
      </c>
      <c r="L367" s="6" t="s">
        <v>4853</v>
      </c>
      <c r="M367" s="6" t="s">
        <v>4854</v>
      </c>
      <c r="N367" s="6" t="s">
        <v>4855</v>
      </c>
      <c r="O367" s="6" t="s">
        <v>4856</v>
      </c>
      <c r="P367" s="6" t="s">
        <v>4857</v>
      </c>
      <c r="Q367" s="6" t="s">
        <v>3391</v>
      </c>
    </row>
    <row r="368" spans="1:17" ht="24">
      <c r="A368" s="7" t="s">
        <v>4858</v>
      </c>
      <c r="B368" s="6" t="s">
        <v>4859</v>
      </c>
      <c r="C368" s="6" t="s">
        <v>4860</v>
      </c>
      <c r="D368" s="6" t="s">
        <v>4861</v>
      </c>
      <c r="E368" s="6" t="s">
        <v>4862</v>
      </c>
      <c r="F368" s="6" t="s">
        <v>4863</v>
      </c>
      <c r="G368" s="6" t="s">
        <v>4864</v>
      </c>
      <c r="H368" s="6" t="s">
        <v>4865</v>
      </c>
      <c r="I368" s="6" t="s">
        <v>4866</v>
      </c>
      <c r="J368" s="6" t="s">
        <v>4867</v>
      </c>
      <c r="K368" s="6" t="s">
        <v>4868</v>
      </c>
      <c r="L368" s="6" t="s">
        <v>4869</v>
      </c>
      <c r="M368" s="6" t="s">
        <v>4870</v>
      </c>
      <c r="N368" s="6" t="s">
        <v>4871</v>
      </c>
      <c r="O368" s="6" t="s">
        <v>4872</v>
      </c>
      <c r="P368" s="6" t="s">
        <v>4873</v>
      </c>
      <c r="Q368" s="6" t="s">
        <v>4874</v>
      </c>
    </row>
    <row r="369" spans="1:17" ht="24">
      <c r="A369" s="7" t="s">
        <v>4875</v>
      </c>
      <c r="B369" s="6" t="s">
        <v>4876</v>
      </c>
      <c r="C369" s="6" t="s">
        <v>4877</v>
      </c>
      <c r="D369" s="6" t="s">
        <v>4878</v>
      </c>
      <c r="E369" s="6" t="s">
        <v>4879</v>
      </c>
      <c r="F369" s="6" t="s">
        <v>4880</v>
      </c>
      <c r="G369" s="6" t="s">
        <v>4881</v>
      </c>
      <c r="H369" s="6" t="s">
        <v>2515</v>
      </c>
      <c r="I369" s="6" t="s">
        <v>4882</v>
      </c>
      <c r="J369" s="6" t="s">
        <v>4883</v>
      </c>
      <c r="K369" s="6" t="s">
        <v>4884</v>
      </c>
      <c r="L369" s="6" t="s">
        <v>4885</v>
      </c>
      <c r="M369" s="6" t="s">
        <v>4886</v>
      </c>
      <c r="N369" s="6" t="s">
        <v>4887</v>
      </c>
      <c r="O369" s="6" t="s">
        <v>4888</v>
      </c>
      <c r="P369" s="6" t="s">
        <v>4889</v>
      </c>
      <c r="Q369" s="6" t="s">
        <v>3844</v>
      </c>
    </row>
    <row r="370" spans="1:17" ht="24">
      <c r="A370" s="7" t="s">
        <v>4890</v>
      </c>
      <c r="B370" s="6" t="s">
        <v>1985</v>
      </c>
      <c r="C370" s="6" t="s">
        <v>4891</v>
      </c>
      <c r="D370" s="6" t="s">
        <v>4892</v>
      </c>
      <c r="E370" s="6" t="s">
        <v>4893</v>
      </c>
      <c r="F370" s="6" t="s">
        <v>4894</v>
      </c>
      <c r="G370" s="6" t="s">
        <v>4895</v>
      </c>
      <c r="H370" s="6" t="s">
        <v>2092</v>
      </c>
      <c r="I370" s="6" t="s">
        <v>4896</v>
      </c>
      <c r="J370" s="6" t="s">
        <v>4897</v>
      </c>
      <c r="K370" s="6" t="s">
        <v>4898</v>
      </c>
      <c r="L370" s="6" t="s">
        <v>4899</v>
      </c>
      <c r="M370" s="6" t="s">
        <v>4900</v>
      </c>
      <c r="N370" s="6" t="s">
        <v>4901</v>
      </c>
      <c r="O370" s="6" t="s">
        <v>4902</v>
      </c>
      <c r="P370" s="6" t="s">
        <v>2240</v>
      </c>
      <c r="Q370" s="6" t="s">
        <v>4084</v>
      </c>
    </row>
    <row r="371" spans="1:17" ht="24">
      <c r="A371" s="7" t="s">
        <v>4903</v>
      </c>
      <c r="B371" s="6" t="s">
        <v>4904</v>
      </c>
      <c r="C371" s="6" t="s">
        <v>4905</v>
      </c>
      <c r="D371" s="6" t="s">
        <v>4906</v>
      </c>
      <c r="E371" s="6" t="s">
        <v>4907</v>
      </c>
      <c r="F371" s="6" t="s">
        <v>4908</v>
      </c>
      <c r="G371" s="6" t="s">
        <v>4909</v>
      </c>
      <c r="H371" s="6" t="s">
        <v>3531</v>
      </c>
      <c r="I371" s="6" t="s">
        <v>4910</v>
      </c>
      <c r="J371" s="6" t="s">
        <v>4911</v>
      </c>
      <c r="K371" s="6" t="s">
        <v>4912</v>
      </c>
      <c r="L371" s="6" t="s">
        <v>4913</v>
      </c>
      <c r="M371" s="6" t="s">
        <v>4914</v>
      </c>
      <c r="N371" s="6" t="s">
        <v>4915</v>
      </c>
      <c r="O371" s="6" t="s">
        <v>4916</v>
      </c>
      <c r="P371" s="6" t="s">
        <v>4917</v>
      </c>
      <c r="Q371" s="6" t="s">
        <v>613</v>
      </c>
    </row>
    <row r="372" spans="1:17" ht="36">
      <c r="A372" s="7" t="s">
        <v>4918</v>
      </c>
      <c r="B372" s="6" t="s">
        <v>4919</v>
      </c>
      <c r="C372" s="6" t="s">
        <v>4920</v>
      </c>
      <c r="D372" s="6" t="s">
        <v>4921</v>
      </c>
      <c r="E372" s="6" t="s">
        <v>4922</v>
      </c>
      <c r="F372" s="6" t="s">
        <v>4923</v>
      </c>
      <c r="G372" s="6" t="s">
        <v>4924</v>
      </c>
      <c r="H372" s="6" t="s">
        <v>4925</v>
      </c>
      <c r="I372" s="6" t="s">
        <v>4926</v>
      </c>
      <c r="J372" s="6" t="s">
        <v>4927</v>
      </c>
      <c r="K372" s="6" t="s">
        <v>4928</v>
      </c>
      <c r="L372" s="6" t="s">
        <v>4929</v>
      </c>
      <c r="M372" s="6" t="s">
        <v>4930</v>
      </c>
      <c r="N372" s="6" t="s">
        <v>4931</v>
      </c>
      <c r="O372" s="6" t="s">
        <v>4932</v>
      </c>
      <c r="P372" s="6" t="s">
        <v>4933</v>
      </c>
      <c r="Q372" s="6" t="s">
        <v>4934</v>
      </c>
    </row>
    <row r="373" spans="1:17" ht="48">
      <c r="A373" s="7" t="s">
        <v>4935</v>
      </c>
      <c r="B373" s="6" t="s">
        <v>4936</v>
      </c>
      <c r="C373" s="6" t="s">
        <v>4937</v>
      </c>
      <c r="D373" s="6" t="s">
        <v>4938</v>
      </c>
      <c r="E373" s="6" t="s">
        <v>4400</v>
      </c>
      <c r="F373" s="6" t="s">
        <v>4365</v>
      </c>
      <c r="G373" s="6" t="s">
        <v>4939</v>
      </c>
      <c r="H373" s="6" t="s">
        <v>4940</v>
      </c>
      <c r="I373" s="6" t="s">
        <v>4941</v>
      </c>
      <c r="J373" s="6" t="s">
        <v>4942</v>
      </c>
      <c r="K373" s="6" t="s">
        <v>4943</v>
      </c>
      <c r="L373" s="6" t="s">
        <v>4944</v>
      </c>
      <c r="M373" s="6" t="s">
        <v>2362</v>
      </c>
      <c r="N373" s="6" t="s">
        <v>4945</v>
      </c>
      <c r="O373" s="6" t="s">
        <v>4946</v>
      </c>
      <c r="P373" s="6" t="s">
        <v>4947</v>
      </c>
      <c r="Q373" s="6" t="s">
        <v>4948</v>
      </c>
    </row>
    <row r="374" spans="1:17" ht="36">
      <c r="A374" s="7" t="s">
        <v>4949</v>
      </c>
      <c r="B374" s="6" t="s">
        <v>1829</v>
      </c>
      <c r="C374" s="6" t="s">
        <v>4950</v>
      </c>
      <c r="D374" s="6" t="s">
        <v>445</v>
      </c>
      <c r="E374" s="6" t="s">
        <v>4951</v>
      </c>
      <c r="F374" s="6" t="s">
        <v>254</v>
      </c>
      <c r="G374" s="6" t="s">
        <v>4952</v>
      </c>
      <c r="H374" s="6" t="s">
        <v>4953</v>
      </c>
      <c r="I374" s="6" t="s">
        <v>4954</v>
      </c>
      <c r="J374" s="6" t="s">
        <v>4955</v>
      </c>
      <c r="K374" s="6" t="s">
        <v>3246</v>
      </c>
      <c r="L374" s="6" t="s">
        <v>2284</v>
      </c>
      <c r="M374" s="6" t="s">
        <v>4956</v>
      </c>
      <c r="N374" s="6" t="s">
        <v>4957</v>
      </c>
      <c r="O374" s="6" t="s">
        <v>4109</v>
      </c>
      <c r="P374" s="6" t="s">
        <v>3803</v>
      </c>
      <c r="Q374" s="15"/>
    </row>
    <row r="375" spans="1:17" ht="24">
      <c r="A375" s="7" t="s">
        <v>4958</v>
      </c>
      <c r="B375" s="6" t="s">
        <v>4959</v>
      </c>
      <c r="C375" s="6" t="s">
        <v>4960</v>
      </c>
      <c r="D375" s="6" t="s">
        <v>4961</v>
      </c>
      <c r="E375" s="6" t="s">
        <v>4962</v>
      </c>
      <c r="F375" s="6" t="s">
        <v>4963</v>
      </c>
      <c r="G375" s="6" t="s">
        <v>4964</v>
      </c>
      <c r="H375" s="6" t="s">
        <v>4965</v>
      </c>
      <c r="I375" s="6" t="s">
        <v>4966</v>
      </c>
      <c r="J375" s="6" t="s">
        <v>4967</v>
      </c>
      <c r="K375" s="6" t="s">
        <v>4968</v>
      </c>
      <c r="L375" s="6" t="s">
        <v>4969</v>
      </c>
      <c r="M375" s="6" t="s">
        <v>4970</v>
      </c>
      <c r="N375" s="6" t="s">
        <v>4971</v>
      </c>
      <c r="O375" s="6" t="s">
        <v>4972</v>
      </c>
      <c r="P375" s="6" t="s">
        <v>4973</v>
      </c>
      <c r="Q375" s="6" t="s">
        <v>4974</v>
      </c>
    </row>
    <row r="376" spans="1:17" ht="36">
      <c r="A376" s="7" t="s">
        <v>4975</v>
      </c>
      <c r="B376" s="6" t="s">
        <v>4976</v>
      </c>
      <c r="C376" s="6" t="s">
        <v>4977</v>
      </c>
      <c r="D376" s="6" t="s">
        <v>4978</v>
      </c>
      <c r="E376" s="6" t="s">
        <v>4979</v>
      </c>
      <c r="F376" s="6" t="s">
        <v>4980</v>
      </c>
      <c r="G376" s="6" t="s">
        <v>1307</v>
      </c>
      <c r="H376" s="6" t="s">
        <v>4981</v>
      </c>
      <c r="I376" s="6" t="s">
        <v>4982</v>
      </c>
      <c r="J376" s="6" t="s">
        <v>4983</v>
      </c>
      <c r="K376" s="6" t="s">
        <v>4984</v>
      </c>
      <c r="L376" s="6" t="s">
        <v>4985</v>
      </c>
      <c r="M376" s="6" t="s">
        <v>4986</v>
      </c>
      <c r="N376" s="6" t="s">
        <v>4987</v>
      </c>
      <c r="O376" s="6" t="s">
        <v>4988</v>
      </c>
      <c r="P376" s="6" t="s">
        <v>4989</v>
      </c>
      <c r="Q376" s="6" t="s">
        <v>4990</v>
      </c>
    </row>
    <row r="377" spans="1:17" ht="60">
      <c r="A377" s="7" t="s">
        <v>4991</v>
      </c>
      <c r="B377" s="6" t="s">
        <v>4992</v>
      </c>
      <c r="C377" s="6" t="s">
        <v>4993</v>
      </c>
      <c r="D377" s="6" t="s">
        <v>4994</v>
      </c>
      <c r="E377" s="6" t="s">
        <v>4995</v>
      </c>
      <c r="F377" s="6" t="s">
        <v>4996</v>
      </c>
      <c r="G377" s="6" t="s">
        <v>4997</v>
      </c>
      <c r="H377" s="6" t="s">
        <v>4998</v>
      </c>
      <c r="I377" s="6" t="s">
        <v>4999</v>
      </c>
      <c r="J377" s="6" t="s">
        <v>5000</v>
      </c>
      <c r="K377" s="6" t="s">
        <v>5001</v>
      </c>
      <c r="L377" s="6" t="s">
        <v>5002</v>
      </c>
      <c r="M377" s="6" t="s">
        <v>917</v>
      </c>
      <c r="N377" s="6" t="s">
        <v>5003</v>
      </c>
      <c r="O377" s="6" t="s">
        <v>5004</v>
      </c>
      <c r="P377" s="6" t="s">
        <v>5005</v>
      </c>
      <c r="Q377" s="6" t="s">
        <v>559</v>
      </c>
    </row>
    <row r="378" spans="1:17" ht="60">
      <c r="A378" s="7" t="s">
        <v>5006</v>
      </c>
      <c r="B378" s="6" t="s">
        <v>5007</v>
      </c>
      <c r="C378" s="6" t="s">
        <v>5008</v>
      </c>
      <c r="D378" s="6" t="s">
        <v>5009</v>
      </c>
      <c r="E378" s="6" t="s">
        <v>5010</v>
      </c>
      <c r="F378" s="6" t="s">
        <v>5011</v>
      </c>
      <c r="G378" s="6" t="s">
        <v>5012</v>
      </c>
      <c r="H378" s="6" t="s">
        <v>5013</v>
      </c>
      <c r="I378" s="6" t="s">
        <v>5014</v>
      </c>
      <c r="J378" s="6" t="s">
        <v>5015</v>
      </c>
      <c r="K378" s="6" t="s">
        <v>5016</v>
      </c>
      <c r="L378" s="6" t="s">
        <v>5017</v>
      </c>
      <c r="M378" s="6" t="s">
        <v>5018</v>
      </c>
      <c r="N378" s="6" t="s">
        <v>5019</v>
      </c>
      <c r="O378" s="6" t="s">
        <v>5020</v>
      </c>
      <c r="P378" s="6" t="s">
        <v>5021</v>
      </c>
      <c r="Q378" s="6" t="s">
        <v>5022</v>
      </c>
    </row>
    <row r="379" spans="1:17" ht="24">
      <c r="A379" s="7" t="s">
        <v>5023</v>
      </c>
      <c r="B379" s="6" t="s">
        <v>5024</v>
      </c>
      <c r="C379" s="6" t="s">
        <v>5025</v>
      </c>
      <c r="D379" s="6" t="s">
        <v>5026</v>
      </c>
      <c r="E379" s="6" t="s">
        <v>5027</v>
      </c>
      <c r="F379" s="6" t="s">
        <v>5028</v>
      </c>
      <c r="G379" s="6" t="s">
        <v>5029</v>
      </c>
      <c r="H379" s="6" t="s">
        <v>5030</v>
      </c>
      <c r="I379" s="6" t="s">
        <v>5031</v>
      </c>
      <c r="J379" s="6" t="s">
        <v>2526</v>
      </c>
      <c r="K379" s="6" t="s">
        <v>5032</v>
      </c>
      <c r="L379" s="6" t="s">
        <v>5033</v>
      </c>
      <c r="M379" s="6" t="s">
        <v>5034</v>
      </c>
      <c r="N379" s="6" t="s">
        <v>5035</v>
      </c>
      <c r="O379" s="6" t="s">
        <v>5036</v>
      </c>
      <c r="P379" s="6" t="s">
        <v>5037</v>
      </c>
      <c r="Q379" s="6" t="s">
        <v>5038</v>
      </c>
    </row>
    <row r="380" spans="1:17" ht="48">
      <c r="A380" s="7" t="s">
        <v>5039</v>
      </c>
      <c r="B380" s="6" t="s">
        <v>5040</v>
      </c>
      <c r="C380" s="6" t="s">
        <v>5041</v>
      </c>
      <c r="D380" s="6" t="s">
        <v>1708</v>
      </c>
      <c r="E380" s="6" t="s">
        <v>5042</v>
      </c>
      <c r="F380" s="6" t="s">
        <v>5043</v>
      </c>
      <c r="G380" s="6" t="s">
        <v>5044</v>
      </c>
      <c r="H380" s="6" t="s">
        <v>5045</v>
      </c>
      <c r="I380" s="6" t="s">
        <v>5046</v>
      </c>
      <c r="J380" s="6" t="s">
        <v>5047</v>
      </c>
      <c r="K380" s="6" t="s">
        <v>5048</v>
      </c>
      <c r="L380" s="6" t="s">
        <v>5049</v>
      </c>
      <c r="M380" s="6" t="s">
        <v>5050</v>
      </c>
      <c r="N380" s="6" t="s">
        <v>5051</v>
      </c>
      <c r="O380" s="6" t="s">
        <v>5052</v>
      </c>
      <c r="P380" s="6" t="s">
        <v>3641</v>
      </c>
      <c r="Q380" s="6" t="s">
        <v>5053</v>
      </c>
    </row>
    <row r="381" spans="1:17" ht="36">
      <c r="A381" s="7" t="s">
        <v>5054</v>
      </c>
      <c r="B381" s="6" t="s">
        <v>5055</v>
      </c>
      <c r="C381" s="6" t="s">
        <v>5056</v>
      </c>
      <c r="D381" s="6" t="s">
        <v>5057</v>
      </c>
      <c r="E381" s="6" t="s">
        <v>5058</v>
      </c>
      <c r="F381" s="6" t="s">
        <v>5059</v>
      </c>
      <c r="G381" s="6" t="s">
        <v>5060</v>
      </c>
      <c r="H381" s="6" t="s">
        <v>5061</v>
      </c>
      <c r="I381" s="6" t="s">
        <v>5062</v>
      </c>
      <c r="J381" s="6" t="s">
        <v>5063</v>
      </c>
      <c r="K381" s="6" t="s">
        <v>5064</v>
      </c>
      <c r="L381" s="6" t="s">
        <v>5065</v>
      </c>
      <c r="M381" s="6" t="s">
        <v>5066</v>
      </c>
      <c r="N381" s="6" t="s">
        <v>5067</v>
      </c>
      <c r="O381" s="6" t="s">
        <v>5068</v>
      </c>
      <c r="P381" s="6" t="s">
        <v>5069</v>
      </c>
      <c r="Q381" s="6" t="s">
        <v>5070</v>
      </c>
    </row>
    <row r="382" spans="1:17" ht="36">
      <c r="A382" s="7" t="s">
        <v>5071</v>
      </c>
      <c r="B382" s="6" t="s">
        <v>837</v>
      </c>
      <c r="C382" s="6" t="s">
        <v>5072</v>
      </c>
      <c r="D382" s="6" t="s">
        <v>5073</v>
      </c>
      <c r="E382" s="6" t="s">
        <v>5074</v>
      </c>
      <c r="F382" s="6" t="s">
        <v>5075</v>
      </c>
      <c r="G382" s="6" t="s">
        <v>5076</v>
      </c>
      <c r="H382" s="6" t="s">
        <v>5077</v>
      </c>
      <c r="I382" s="6" t="s">
        <v>5078</v>
      </c>
      <c r="J382" s="6" t="s">
        <v>5079</v>
      </c>
      <c r="K382" s="6" t="s">
        <v>5080</v>
      </c>
      <c r="L382" s="6" t="s">
        <v>5081</v>
      </c>
      <c r="M382" s="6" t="s">
        <v>5082</v>
      </c>
      <c r="N382" s="6" t="s">
        <v>5083</v>
      </c>
      <c r="O382" s="6" t="s">
        <v>1219</v>
      </c>
      <c r="P382" s="6" t="s">
        <v>3747</v>
      </c>
      <c r="Q382" s="6" t="s">
        <v>5084</v>
      </c>
    </row>
    <row r="383" spans="1:17" ht="24">
      <c r="A383" s="7" t="s">
        <v>5085</v>
      </c>
      <c r="B383" s="6" t="s">
        <v>5086</v>
      </c>
      <c r="C383" s="6" t="s">
        <v>5087</v>
      </c>
      <c r="D383" s="6" t="s">
        <v>5088</v>
      </c>
      <c r="E383" s="6" t="s">
        <v>5089</v>
      </c>
      <c r="F383" s="6" t="s">
        <v>5090</v>
      </c>
      <c r="G383" s="6" t="s">
        <v>5091</v>
      </c>
      <c r="H383" s="6" t="s">
        <v>2816</v>
      </c>
      <c r="I383" s="6" t="s">
        <v>5092</v>
      </c>
      <c r="J383" s="6" t="s">
        <v>5093</v>
      </c>
      <c r="K383" s="6" t="s">
        <v>5094</v>
      </c>
      <c r="L383" s="6" t="s">
        <v>5095</v>
      </c>
      <c r="M383" s="6" t="s">
        <v>5096</v>
      </c>
      <c r="N383" s="6" t="s">
        <v>5097</v>
      </c>
      <c r="O383" s="6" t="s">
        <v>5098</v>
      </c>
      <c r="P383" s="6" t="s">
        <v>5099</v>
      </c>
      <c r="Q383" s="6" t="s">
        <v>5100</v>
      </c>
    </row>
    <row r="384" spans="1:17" ht="48">
      <c r="A384" s="7" t="s">
        <v>5101</v>
      </c>
      <c r="B384" s="6" t="s">
        <v>5102</v>
      </c>
      <c r="C384" s="6" t="s">
        <v>5103</v>
      </c>
      <c r="D384" s="6" t="s">
        <v>5104</v>
      </c>
      <c r="E384" s="6" t="s">
        <v>5105</v>
      </c>
      <c r="F384" s="6" t="s">
        <v>5106</v>
      </c>
      <c r="G384" s="6" t="s">
        <v>5107</v>
      </c>
      <c r="H384" s="6" t="s">
        <v>5108</v>
      </c>
      <c r="I384" s="6" t="s">
        <v>5109</v>
      </c>
      <c r="J384" s="6" t="s">
        <v>5110</v>
      </c>
      <c r="K384" s="6" t="s">
        <v>3931</v>
      </c>
      <c r="L384" s="6" t="s">
        <v>5111</v>
      </c>
      <c r="M384" s="6" t="s">
        <v>5112</v>
      </c>
      <c r="N384" s="6" t="s">
        <v>5113</v>
      </c>
      <c r="O384" s="6" t="s">
        <v>5114</v>
      </c>
      <c r="P384" s="6" t="s">
        <v>1162</v>
      </c>
      <c r="Q384" s="6" t="s">
        <v>2519</v>
      </c>
    </row>
    <row r="385" spans="1:17" ht="36">
      <c r="A385" s="7" t="s">
        <v>5115</v>
      </c>
      <c r="B385" s="6" t="s">
        <v>5116</v>
      </c>
      <c r="C385" s="6" t="s">
        <v>5117</v>
      </c>
      <c r="D385" s="6" t="s">
        <v>5118</v>
      </c>
      <c r="E385" s="6" t="s">
        <v>5119</v>
      </c>
      <c r="F385" s="6" t="s">
        <v>5120</v>
      </c>
      <c r="G385" s="6" t="s">
        <v>5121</v>
      </c>
      <c r="H385" s="6" t="s">
        <v>5122</v>
      </c>
      <c r="I385" s="6" t="s">
        <v>5123</v>
      </c>
      <c r="J385" s="6" t="s">
        <v>5124</v>
      </c>
      <c r="K385" s="6" t="s">
        <v>5125</v>
      </c>
      <c r="L385" s="6" t="s">
        <v>5126</v>
      </c>
      <c r="M385" s="6" t="s">
        <v>5127</v>
      </c>
      <c r="N385" s="6" t="s">
        <v>5128</v>
      </c>
      <c r="O385" s="6" t="s">
        <v>5129</v>
      </c>
      <c r="P385" s="6" t="s">
        <v>5130</v>
      </c>
      <c r="Q385" s="6" t="s">
        <v>5131</v>
      </c>
    </row>
    <row r="386" spans="1:17" ht="60">
      <c r="A386" s="7" t="s">
        <v>5132</v>
      </c>
      <c r="B386" s="6" t="s">
        <v>5133</v>
      </c>
      <c r="C386" s="6" t="s">
        <v>5134</v>
      </c>
      <c r="D386" s="6" t="s">
        <v>5135</v>
      </c>
      <c r="E386" s="6" t="s">
        <v>5136</v>
      </c>
      <c r="F386" s="6" t="s">
        <v>5137</v>
      </c>
      <c r="G386" s="6" t="s">
        <v>5138</v>
      </c>
      <c r="H386" s="6" t="s">
        <v>5139</v>
      </c>
      <c r="I386" s="6" t="s">
        <v>5140</v>
      </c>
      <c r="J386" s="6" t="s">
        <v>5141</v>
      </c>
      <c r="K386" s="6" t="s">
        <v>5142</v>
      </c>
      <c r="L386" s="6" t="s">
        <v>5143</v>
      </c>
      <c r="M386" s="6" t="s">
        <v>5144</v>
      </c>
      <c r="N386" s="6" t="s">
        <v>5145</v>
      </c>
      <c r="O386" s="6" t="s">
        <v>5146</v>
      </c>
      <c r="P386" s="6" t="s">
        <v>5147</v>
      </c>
      <c r="Q386" s="6" t="s">
        <v>5148</v>
      </c>
    </row>
    <row r="387" spans="1:17" ht="36">
      <c r="A387" s="7" t="s">
        <v>5149</v>
      </c>
      <c r="B387" s="6" t="s">
        <v>4286</v>
      </c>
      <c r="C387" s="6" t="s">
        <v>5150</v>
      </c>
      <c r="D387" s="6" t="s">
        <v>5151</v>
      </c>
      <c r="E387" s="6" t="s">
        <v>5152</v>
      </c>
      <c r="F387" s="6" t="s">
        <v>5153</v>
      </c>
      <c r="G387" s="6" t="s">
        <v>5154</v>
      </c>
      <c r="H387" s="6" t="s">
        <v>5155</v>
      </c>
      <c r="I387" s="6" t="s">
        <v>5156</v>
      </c>
      <c r="J387" s="6" t="s">
        <v>5157</v>
      </c>
      <c r="K387" s="6" t="s">
        <v>5158</v>
      </c>
      <c r="L387" s="6" t="s">
        <v>5159</v>
      </c>
      <c r="M387" s="6" t="s">
        <v>5160</v>
      </c>
      <c r="N387" s="6" t="s">
        <v>5161</v>
      </c>
      <c r="O387" s="6" t="s">
        <v>5162</v>
      </c>
      <c r="P387" s="6" t="s">
        <v>406</v>
      </c>
      <c r="Q387" s="6" t="s">
        <v>562</v>
      </c>
    </row>
    <row r="388" spans="1:17" ht="48">
      <c r="A388" s="7" t="s">
        <v>5163</v>
      </c>
      <c r="B388" s="6" t="s">
        <v>5164</v>
      </c>
      <c r="C388" s="6" t="s">
        <v>5165</v>
      </c>
      <c r="D388" s="6" t="s">
        <v>5166</v>
      </c>
      <c r="E388" s="6" t="s">
        <v>5167</v>
      </c>
      <c r="F388" s="6" t="s">
        <v>5168</v>
      </c>
      <c r="G388" s="6" t="s">
        <v>5169</v>
      </c>
      <c r="H388" s="6" t="s">
        <v>5170</v>
      </c>
      <c r="I388" s="6" t="s">
        <v>5171</v>
      </c>
      <c r="J388" s="6" t="s">
        <v>3124</v>
      </c>
      <c r="K388" s="6" t="s">
        <v>5172</v>
      </c>
      <c r="L388" s="6" t="s">
        <v>5173</v>
      </c>
      <c r="M388" s="6" t="s">
        <v>5174</v>
      </c>
      <c r="N388" s="6" t="s">
        <v>5175</v>
      </c>
      <c r="O388" s="6" t="s">
        <v>5176</v>
      </c>
      <c r="P388" s="6" t="s">
        <v>3415</v>
      </c>
      <c r="Q388" s="6" t="s">
        <v>1965</v>
      </c>
    </row>
    <row r="389" spans="1:17" ht="36">
      <c r="A389" s="7" t="s">
        <v>5177</v>
      </c>
      <c r="B389" s="6" t="s">
        <v>5178</v>
      </c>
      <c r="C389" s="6" t="s">
        <v>5179</v>
      </c>
      <c r="D389" s="6" t="s">
        <v>5180</v>
      </c>
      <c r="E389" s="6" t="s">
        <v>5181</v>
      </c>
      <c r="F389" s="6" t="s">
        <v>5182</v>
      </c>
      <c r="G389" s="6" t="s">
        <v>5183</v>
      </c>
      <c r="H389" s="6" t="s">
        <v>5184</v>
      </c>
      <c r="I389" s="6" t="s">
        <v>5185</v>
      </c>
      <c r="J389" s="6" t="s">
        <v>5186</v>
      </c>
      <c r="K389" s="6" t="s">
        <v>5187</v>
      </c>
      <c r="L389" s="6" t="s">
        <v>5188</v>
      </c>
      <c r="M389" s="6" t="s">
        <v>5189</v>
      </c>
      <c r="N389" s="6" t="s">
        <v>5190</v>
      </c>
      <c r="O389" s="6" t="s">
        <v>5191</v>
      </c>
      <c r="P389" s="6" t="s">
        <v>5192</v>
      </c>
      <c r="Q389" s="6" t="s">
        <v>5193</v>
      </c>
    </row>
    <row r="390" spans="1:17" ht="36">
      <c r="A390" s="7" t="s">
        <v>5194</v>
      </c>
      <c r="B390" s="6" t="s">
        <v>5195</v>
      </c>
      <c r="C390" s="6" t="s">
        <v>5196</v>
      </c>
      <c r="D390" s="6" t="s">
        <v>5197</v>
      </c>
      <c r="E390" s="6" t="s">
        <v>5198</v>
      </c>
      <c r="F390" s="6" t="s">
        <v>5199</v>
      </c>
      <c r="G390" s="6" t="s">
        <v>5200</v>
      </c>
      <c r="H390" s="6" t="s">
        <v>5201</v>
      </c>
      <c r="I390" s="6" t="s">
        <v>5202</v>
      </c>
      <c r="J390" s="6" t="s">
        <v>5203</v>
      </c>
      <c r="K390" s="6" t="s">
        <v>5204</v>
      </c>
      <c r="L390" s="6" t="s">
        <v>5205</v>
      </c>
      <c r="M390" s="6" t="s">
        <v>5206</v>
      </c>
      <c r="N390" s="6" t="s">
        <v>5207</v>
      </c>
      <c r="O390" s="6" t="s">
        <v>5208</v>
      </c>
      <c r="P390" s="6" t="s">
        <v>5209</v>
      </c>
      <c r="Q390" s="6" t="s">
        <v>5210</v>
      </c>
    </row>
    <row r="391" spans="1:17" ht="48">
      <c r="A391" s="7" t="s">
        <v>5211</v>
      </c>
      <c r="B391" s="6" t="s">
        <v>5212</v>
      </c>
      <c r="C391" s="6" t="s">
        <v>5213</v>
      </c>
      <c r="D391" s="6" t="s">
        <v>5214</v>
      </c>
      <c r="E391" s="6" t="s">
        <v>5215</v>
      </c>
      <c r="F391" s="6" t="s">
        <v>5216</v>
      </c>
      <c r="G391" s="6" t="s">
        <v>5217</v>
      </c>
      <c r="H391" s="6" t="s">
        <v>5218</v>
      </c>
      <c r="I391" s="6" t="s">
        <v>5219</v>
      </c>
      <c r="J391" s="6" t="s">
        <v>5220</v>
      </c>
      <c r="K391" s="6" t="s">
        <v>5221</v>
      </c>
      <c r="L391" s="6" t="s">
        <v>5222</v>
      </c>
      <c r="M391" s="6" t="s">
        <v>5223</v>
      </c>
      <c r="N391" s="6" t="s">
        <v>5224</v>
      </c>
      <c r="O391" s="6" t="s">
        <v>5225</v>
      </c>
      <c r="P391" s="6" t="s">
        <v>5226</v>
      </c>
      <c r="Q391" s="6" t="s">
        <v>1819</v>
      </c>
    </row>
    <row r="392" spans="1:17" ht="36">
      <c r="A392" s="7" t="s">
        <v>5227</v>
      </c>
      <c r="B392" s="6" t="s">
        <v>5228</v>
      </c>
      <c r="C392" s="6" t="s">
        <v>5229</v>
      </c>
      <c r="D392" s="6" t="s">
        <v>5230</v>
      </c>
      <c r="E392" s="6" t="s">
        <v>5231</v>
      </c>
      <c r="F392" s="6" t="s">
        <v>5232</v>
      </c>
      <c r="G392" s="6" t="s">
        <v>5233</v>
      </c>
      <c r="H392" s="6" t="s">
        <v>5234</v>
      </c>
      <c r="I392" s="6" t="s">
        <v>5235</v>
      </c>
      <c r="J392" s="6" t="s">
        <v>4324</v>
      </c>
      <c r="K392" s="6" t="s">
        <v>5236</v>
      </c>
      <c r="L392" s="6" t="s">
        <v>5237</v>
      </c>
      <c r="M392" s="6" t="s">
        <v>5238</v>
      </c>
      <c r="N392" s="6" t="s">
        <v>5239</v>
      </c>
      <c r="O392" s="6" t="s">
        <v>5240</v>
      </c>
      <c r="P392" s="6" t="s">
        <v>5241</v>
      </c>
      <c r="Q392" s="6" t="s">
        <v>584</v>
      </c>
    </row>
    <row r="393" spans="1:17" ht="36">
      <c r="A393" s="7" t="s">
        <v>5242</v>
      </c>
      <c r="B393" s="6" t="s">
        <v>5243</v>
      </c>
      <c r="C393" s="6" t="s">
        <v>5244</v>
      </c>
      <c r="D393" s="6" t="s">
        <v>5245</v>
      </c>
      <c r="E393" s="6" t="s">
        <v>5246</v>
      </c>
      <c r="F393" s="6" t="s">
        <v>5247</v>
      </c>
      <c r="G393" s="6" t="s">
        <v>5248</v>
      </c>
      <c r="H393" s="6" t="s">
        <v>5249</v>
      </c>
      <c r="I393" s="6" t="s">
        <v>5250</v>
      </c>
      <c r="J393" s="6" t="s">
        <v>5251</v>
      </c>
      <c r="K393" s="6" t="s">
        <v>5252</v>
      </c>
      <c r="L393" s="6" t="s">
        <v>5253</v>
      </c>
      <c r="M393" s="6" t="s">
        <v>5254</v>
      </c>
      <c r="N393" s="6" t="s">
        <v>5255</v>
      </c>
      <c r="O393" s="6" t="s">
        <v>5256</v>
      </c>
      <c r="P393" s="6" t="s">
        <v>3803</v>
      </c>
      <c r="Q393" s="6" t="s">
        <v>2633</v>
      </c>
    </row>
    <row r="394" spans="1:17" ht="48">
      <c r="A394" s="7" t="s">
        <v>5257</v>
      </c>
      <c r="B394" s="6" t="s">
        <v>5258</v>
      </c>
      <c r="C394" s="6" t="s">
        <v>5259</v>
      </c>
      <c r="D394" s="6" t="s">
        <v>5260</v>
      </c>
      <c r="E394" s="6" t="s">
        <v>5261</v>
      </c>
      <c r="F394" s="6" t="s">
        <v>5262</v>
      </c>
      <c r="G394" s="6" t="s">
        <v>5263</v>
      </c>
      <c r="H394" s="6" t="s">
        <v>5264</v>
      </c>
      <c r="I394" s="6" t="s">
        <v>5265</v>
      </c>
      <c r="J394" s="6" t="s">
        <v>5266</v>
      </c>
      <c r="K394" s="6" t="s">
        <v>5267</v>
      </c>
      <c r="L394" s="6" t="s">
        <v>2761</v>
      </c>
      <c r="M394" s="6" t="s">
        <v>5268</v>
      </c>
      <c r="N394" s="6" t="s">
        <v>5269</v>
      </c>
      <c r="O394" s="6" t="s">
        <v>5270</v>
      </c>
      <c r="P394" s="6" t="s">
        <v>5271</v>
      </c>
      <c r="Q394" s="6" t="s">
        <v>5272</v>
      </c>
    </row>
    <row r="395" spans="1:17" ht="48">
      <c r="A395" s="7" t="s">
        <v>5273</v>
      </c>
      <c r="B395" s="6" t="s">
        <v>4603</v>
      </c>
      <c r="C395" s="6" t="s">
        <v>5274</v>
      </c>
      <c r="D395" s="6" t="s">
        <v>5275</v>
      </c>
      <c r="E395" s="6" t="s">
        <v>5276</v>
      </c>
      <c r="F395" s="6" t="s">
        <v>4197</v>
      </c>
      <c r="G395" s="6" t="s">
        <v>5277</v>
      </c>
      <c r="H395" s="6" t="s">
        <v>2723</v>
      </c>
      <c r="I395" s="6" t="s">
        <v>1406</v>
      </c>
      <c r="J395" s="6" t="s">
        <v>5278</v>
      </c>
      <c r="K395" s="6" t="s">
        <v>5279</v>
      </c>
      <c r="L395" s="6" t="s">
        <v>5280</v>
      </c>
      <c r="M395" s="6" t="s">
        <v>5281</v>
      </c>
      <c r="N395" s="6" t="s">
        <v>5282</v>
      </c>
      <c r="O395" s="6" t="s">
        <v>1960</v>
      </c>
      <c r="P395" s="6" t="s">
        <v>919</v>
      </c>
      <c r="Q395" s="6" t="s">
        <v>982</v>
      </c>
    </row>
    <row r="396" spans="1:17" ht="60">
      <c r="A396" s="8" t="s">
        <v>5283</v>
      </c>
      <c r="B396" s="9" t="s">
        <v>5284</v>
      </c>
      <c r="C396" s="9" t="s">
        <v>5285</v>
      </c>
      <c r="D396" s="9" t="s">
        <v>5286</v>
      </c>
      <c r="E396" s="9" t="s">
        <v>5287</v>
      </c>
      <c r="F396" s="9" t="s">
        <v>5288</v>
      </c>
      <c r="G396" s="9" t="s">
        <v>5289</v>
      </c>
      <c r="H396" s="9" t="s">
        <v>5290</v>
      </c>
      <c r="I396" s="9" t="s">
        <v>5291</v>
      </c>
      <c r="J396" s="9" t="s">
        <v>5292</v>
      </c>
      <c r="K396" s="9" t="s">
        <v>5293</v>
      </c>
      <c r="L396" s="9" t="s">
        <v>5294</v>
      </c>
      <c r="M396" s="9" t="s">
        <v>5295</v>
      </c>
      <c r="N396" s="9" t="s">
        <v>5296</v>
      </c>
      <c r="O396" s="9" t="s">
        <v>5297</v>
      </c>
      <c r="P396" s="9" t="s">
        <v>5298</v>
      </c>
      <c r="Q396" s="9" t="s">
        <v>1621</v>
      </c>
    </row>
    <row r="397" spans="1:17" ht="15.6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</row>
    <row r="398" spans="1:17" ht="15.6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 spans="1:17">
      <c r="A399" s="12" t="s">
        <v>5299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>
      <c r="A400" s="3" t="s">
        <v>159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 spans="1:17">
      <c r="A401" s="127" t="s">
        <v>160</v>
      </c>
      <c r="B401" s="131" t="s">
        <v>161</v>
      </c>
      <c r="C401" s="135" t="s">
        <v>162</v>
      </c>
      <c r="D401" s="125"/>
      <c r="E401" s="125"/>
      <c r="F401" s="125"/>
      <c r="G401" s="125"/>
      <c r="H401" s="125"/>
      <c r="I401" s="125"/>
      <c r="J401" s="126"/>
      <c r="K401" s="135" t="s">
        <v>163</v>
      </c>
      <c r="L401" s="125"/>
      <c r="M401" s="126"/>
      <c r="N401" s="135" t="s">
        <v>164</v>
      </c>
      <c r="O401" s="125"/>
      <c r="P401" s="125"/>
      <c r="Q401" s="125"/>
    </row>
    <row r="402" spans="1:17">
      <c r="A402" s="128"/>
      <c r="B402" s="132"/>
      <c r="C402" s="132"/>
      <c r="D402" s="131" t="s">
        <v>165</v>
      </c>
      <c r="E402" s="131" t="s">
        <v>166</v>
      </c>
      <c r="F402" s="131" t="s">
        <v>167</v>
      </c>
      <c r="G402" s="135" t="s">
        <v>168</v>
      </c>
      <c r="H402" s="125"/>
      <c r="I402" s="125"/>
      <c r="J402" s="126"/>
      <c r="K402" s="132"/>
      <c r="L402" s="135" t="s">
        <v>169</v>
      </c>
      <c r="M402" s="13"/>
      <c r="N402" s="132"/>
      <c r="O402" s="135" t="s">
        <v>170</v>
      </c>
      <c r="P402" s="125"/>
      <c r="Q402" s="125"/>
    </row>
    <row r="403" spans="1:17">
      <c r="A403" s="128"/>
      <c r="B403" s="132"/>
      <c r="C403" s="132"/>
      <c r="D403" s="132"/>
      <c r="E403" s="132"/>
      <c r="F403" s="132"/>
      <c r="G403" s="132"/>
      <c r="H403" s="131" t="s">
        <v>171</v>
      </c>
      <c r="I403" s="135" t="s">
        <v>172</v>
      </c>
      <c r="J403" s="13"/>
      <c r="K403" s="132"/>
      <c r="L403" s="132"/>
      <c r="M403" s="131" t="s">
        <v>173</v>
      </c>
      <c r="N403" s="132"/>
      <c r="O403" s="132"/>
      <c r="P403" s="131" t="s">
        <v>174</v>
      </c>
      <c r="Q403" s="135" t="s">
        <v>175</v>
      </c>
    </row>
    <row r="404" spans="1:17">
      <c r="A404" s="129"/>
      <c r="B404" s="133"/>
      <c r="C404" s="133"/>
      <c r="D404" s="133"/>
      <c r="E404" s="133"/>
      <c r="F404" s="133"/>
      <c r="G404" s="133"/>
      <c r="H404" s="133"/>
      <c r="I404" s="133"/>
      <c r="J404" s="14" t="s">
        <v>176</v>
      </c>
      <c r="K404" s="133"/>
      <c r="L404" s="133"/>
      <c r="M404" s="133"/>
      <c r="N404" s="133"/>
      <c r="O404" s="133"/>
      <c r="P404" s="133"/>
      <c r="Q404" s="137"/>
    </row>
    <row r="405" spans="1:17" ht="36">
      <c r="A405" s="7" t="s">
        <v>5300</v>
      </c>
      <c r="B405" s="6" t="s">
        <v>5301</v>
      </c>
      <c r="C405" s="6" t="s">
        <v>5302</v>
      </c>
      <c r="D405" s="6" t="s">
        <v>3702</v>
      </c>
      <c r="E405" s="6" t="s">
        <v>4487</v>
      </c>
      <c r="F405" s="6" t="s">
        <v>2718</v>
      </c>
      <c r="G405" s="6" t="s">
        <v>5303</v>
      </c>
      <c r="H405" s="6" t="s">
        <v>1243</v>
      </c>
      <c r="I405" s="6" t="s">
        <v>5304</v>
      </c>
      <c r="J405" s="6" t="s">
        <v>5305</v>
      </c>
      <c r="K405" s="6" t="s">
        <v>5306</v>
      </c>
      <c r="L405" s="6" t="s">
        <v>5307</v>
      </c>
      <c r="M405" s="6" t="s">
        <v>5308</v>
      </c>
      <c r="N405" s="6" t="s">
        <v>5309</v>
      </c>
      <c r="O405" s="6" t="s">
        <v>5310</v>
      </c>
      <c r="P405" s="6" t="s">
        <v>661</v>
      </c>
      <c r="Q405" s="15"/>
    </row>
    <row r="406" spans="1:17" ht="48">
      <c r="A406" s="7" t="s">
        <v>5311</v>
      </c>
      <c r="B406" s="6" t="s">
        <v>5312</v>
      </c>
      <c r="C406" s="6" t="s">
        <v>5313</v>
      </c>
      <c r="D406" s="6" t="s">
        <v>5314</v>
      </c>
      <c r="E406" s="6" t="s">
        <v>5315</v>
      </c>
      <c r="F406" s="6" t="s">
        <v>5316</v>
      </c>
      <c r="G406" s="6" t="s">
        <v>5317</v>
      </c>
      <c r="H406" s="6" t="s">
        <v>5318</v>
      </c>
      <c r="I406" s="6" t="s">
        <v>5319</v>
      </c>
      <c r="J406" s="6" t="s">
        <v>5320</v>
      </c>
      <c r="K406" s="6" t="s">
        <v>5321</v>
      </c>
      <c r="L406" s="6" t="s">
        <v>5322</v>
      </c>
      <c r="M406" s="6" t="s">
        <v>5323</v>
      </c>
      <c r="N406" s="6" t="s">
        <v>5324</v>
      </c>
      <c r="O406" s="6" t="s">
        <v>5325</v>
      </c>
      <c r="P406" s="6" t="s">
        <v>5326</v>
      </c>
      <c r="Q406" s="6" t="s">
        <v>2561</v>
      </c>
    </row>
    <row r="407" spans="1:17" ht="48">
      <c r="A407" s="7" t="s">
        <v>5327</v>
      </c>
      <c r="B407" s="6" t="s">
        <v>5328</v>
      </c>
      <c r="C407" s="6" t="s">
        <v>5329</v>
      </c>
      <c r="D407" s="6" t="s">
        <v>5330</v>
      </c>
      <c r="E407" s="6" t="s">
        <v>5331</v>
      </c>
      <c r="F407" s="6" t="s">
        <v>5332</v>
      </c>
      <c r="G407" s="6" t="s">
        <v>5333</v>
      </c>
      <c r="H407" s="6" t="s">
        <v>5334</v>
      </c>
      <c r="I407" s="6" t="s">
        <v>5335</v>
      </c>
      <c r="J407" s="6" t="s">
        <v>5336</v>
      </c>
      <c r="K407" s="6" t="s">
        <v>5337</v>
      </c>
      <c r="L407" s="6" t="s">
        <v>5338</v>
      </c>
      <c r="M407" s="6" t="s">
        <v>5339</v>
      </c>
      <c r="N407" s="6" t="s">
        <v>5340</v>
      </c>
      <c r="O407" s="6" t="s">
        <v>5341</v>
      </c>
      <c r="P407" s="6" t="s">
        <v>5342</v>
      </c>
      <c r="Q407" s="6" t="s">
        <v>5343</v>
      </c>
    </row>
    <row r="408" spans="1:17" ht="48">
      <c r="A408" s="7" t="s">
        <v>5344</v>
      </c>
      <c r="B408" s="6" t="s">
        <v>5345</v>
      </c>
      <c r="C408" s="6" t="s">
        <v>5346</v>
      </c>
      <c r="D408" s="6" t="s">
        <v>5347</v>
      </c>
      <c r="E408" s="6" t="s">
        <v>5348</v>
      </c>
      <c r="F408" s="6" t="s">
        <v>5349</v>
      </c>
      <c r="G408" s="6" t="s">
        <v>4865</v>
      </c>
      <c r="H408" s="6" t="s">
        <v>5350</v>
      </c>
      <c r="I408" s="6" t="s">
        <v>5351</v>
      </c>
      <c r="J408" s="6" t="s">
        <v>5352</v>
      </c>
      <c r="K408" s="6" t="s">
        <v>5353</v>
      </c>
      <c r="L408" s="6" t="s">
        <v>5354</v>
      </c>
      <c r="M408" s="6" t="s">
        <v>5355</v>
      </c>
      <c r="N408" s="6" t="s">
        <v>5356</v>
      </c>
      <c r="O408" s="6" t="s">
        <v>5357</v>
      </c>
      <c r="P408" s="6" t="s">
        <v>5358</v>
      </c>
      <c r="Q408" s="6" t="s">
        <v>5359</v>
      </c>
    </row>
    <row r="409" spans="1:17" ht="48">
      <c r="A409" s="7" t="s">
        <v>5360</v>
      </c>
      <c r="B409" s="6" t="s">
        <v>5361</v>
      </c>
      <c r="C409" s="6" t="s">
        <v>5362</v>
      </c>
      <c r="D409" s="6" t="s">
        <v>5363</v>
      </c>
      <c r="E409" s="6" t="s">
        <v>3686</v>
      </c>
      <c r="F409" s="6" t="s">
        <v>5364</v>
      </c>
      <c r="G409" s="6" t="s">
        <v>5365</v>
      </c>
      <c r="H409" s="6" t="s">
        <v>4525</v>
      </c>
      <c r="I409" s="6" t="s">
        <v>5366</v>
      </c>
      <c r="J409" s="6" t="s">
        <v>5367</v>
      </c>
      <c r="K409" s="6" t="s">
        <v>772</v>
      </c>
      <c r="L409" s="6" t="s">
        <v>5368</v>
      </c>
      <c r="M409" s="6" t="s">
        <v>5369</v>
      </c>
      <c r="N409" s="6" t="s">
        <v>5370</v>
      </c>
      <c r="O409" s="6" t="s">
        <v>5371</v>
      </c>
      <c r="P409" s="6" t="s">
        <v>976</v>
      </c>
      <c r="Q409" s="6" t="s">
        <v>945</v>
      </c>
    </row>
    <row r="410" spans="1:17" ht="36">
      <c r="A410" s="7" t="s">
        <v>5372</v>
      </c>
      <c r="B410" s="6" t="s">
        <v>5373</v>
      </c>
      <c r="C410" s="6" t="s">
        <v>5374</v>
      </c>
      <c r="D410" s="6" t="s">
        <v>5375</v>
      </c>
      <c r="E410" s="6" t="s">
        <v>5376</v>
      </c>
      <c r="F410" s="6" t="s">
        <v>5377</v>
      </c>
      <c r="G410" s="6" t="s">
        <v>5378</v>
      </c>
      <c r="H410" s="6" t="s">
        <v>5379</v>
      </c>
      <c r="I410" s="6" t="s">
        <v>5380</v>
      </c>
      <c r="J410" s="6" t="s">
        <v>5381</v>
      </c>
      <c r="K410" s="6" t="s">
        <v>5382</v>
      </c>
      <c r="L410" s="6" t="s">
        <v>5383</v>
      </c>
      <c r="M410" s="6" t="s">
        <v>5384</v>
      </c>
      <c r="N410" s="6" t="s">
        <v>5385</v>
      </c>
      <c r="O410" s="6" t="s">
        <v>5386</v>
      </c>
      <c r="P410" s="6" t="s">
        <v>5387</v>
      </c>
      <c r="Q410" s="6" t="s">
        <v>3172</v>
      </c>
    </row>
    <row r="411" spans="1:17" ht="36">
      <c r="A411" s="7" t="s">
        <v>5388</v>
      </c>
      <c r="B411" s="6" t="s">
        <v>5389</v>
      </c>
      <c r="C411" s="6" t="s">
        <v>5390</v>
      </c>
      <c r="D411" s="6" t="s">
        <v>3330</v>
      </c>
      <c r="E411" s="6" t="s">
        <v>5391</v>
      </c>
      <c r="F411" s="6" t="s">
        <v>5392</v>
      </c>
      <c r="G411" s="6" t="s">
        <v>5393</v>
      </c>
      <c r="H411" s="6" t="s">
        <v>1599</v>
      </c>
      <c r="I411" s="6" t="s">
        <v>5394</v>
      </c>
      <c r="J411" s="6" t="s">
        <v>1159</v>
      </c>
      <c r="K411" s="6" t="s">
        <v>5395</v>
      </c>
      <c r="L411" s="6" t="s">
        <v>5396</v>
      </c>
      <c r="M411" s="6" t="s">
        <v>5397</v>
      </c>
      <c r="N411" s="6" t="s">
        <v>5398</v>
      </c>
      <c r="O411" s="6" t="s">
        <v>5399</v>
      </c>
      <c r="P411" s="6" t="s">
        <v>2834</v>
      </c>
      <c r="Q411" s="6" t="s">
        <v>3122</v>
      </c>
    </row>
    <row r="412" spans="1:17" ht="36">
      <c r="A412" s="7" t="s">
        <v>5400</v>
      </c>
      <c r="B412" s="6" t="s">
        <v>5401</v>
      </c>
      <c r="C412" s="6" t="s">
        <v>5402</v>
      </c>
      <c r="D412" s="6" t="s">
        <v>5403</v>
      </c>
      <c r="E412" s="6" t="s">
        <v>5404</v>
      </c>
      <c r="F412" s="6" t="s">
        <v>3457</v>
      </c>
      <c r="G412" s="6" t="s">
        <v>5405</v>
      </c>
      <c r="H412" s="6" t="s">
        <v>5406</v>
      </c>
      <c r="I412" s="6" t="s">
        <v>5407</v>
      </c>
      <c r="J412" s="6" t="s">
        <v>5408</v>
      </c>
      <c r="K412" s="6" t="s">
        <v>5409</v>
      </c>
      <c r="L412" s="6" t="s">
        <v>5410</v>
      </c>
      <c r="M412" s="6" t="s">
        <v>5411</v>
      </c>
      <c r="N412" s="6" t="s">
        <v>2703</v>
      </c>
      <c r="O412" s="6" t="s">
        <v>5412</v>
      </c>
      <c r="P412" s="6" t="s">
        <v>663</v>
      </c>
      <c r="Q412" s="6" t="s">
        <v>438</v>
      </c>
    </row>
    <row r="413" spans="1:17" ht="36">
      <c r="A413" s="7" t="s">
        <v>5413</v>
      </c>
      <c r="B413" s="6" t="s">
        <v>313</v>
      </c>
      <c r="C413" s="6" t="s">
        <v>5414</v>
      </c>
      <c r="D413" s="6" t="s">
        <v>5415</v>
      </c>
      <c r="E413" s="6" t="s">
        <v>5416</v>
      </c>
      <c r="F413" s="6" t="s">
        <v>5417</v>
      </c>
      <c r="G413" s="6" t="s">
        <v>5418</v>
      </c>
      <c r="H413" s="6" t="s">
        <v>5419</v>
      </c>
      <c r="I413" s="6" t="s">
        <v>5420</v>
      </c>
      <c r="J413" s="6" t="s">
        <v>5421</v>
      </c>
      <c r="K413" s="6" t="s">
        <v>5422</v>
      </c>
      <c r="L413" s="6" t="s">
        <v>5423</v>
      </c>
      <c r="M413" s="6" t="s">
        <v>5424</v>
      </c>
      <c r="N413" s="6" t="s">
        <v>5425</v>
      </c>
      <c r="O413" s="6" t="s">
        <v>5426</v>
      </c>
      <c r="P413" s="6" t="s">
        <v>5427</v>
      </c>
      <c r="Q413" s="6" t="s">
        <v>1827</v>
      </c>
    </row>
    <row r="414" spans="1:17" ht="36">
      <c r="A414" s="7" t="s">
        <v>5428</v>
      </c>
      <c r="B414" s="6" t="s">
        <v>5429</v>
      </c>
      <c r="C414" s="6" t="s">
        <v>5018</v>
      </c>
      <c r="D414" s="6" t="s">
        <v>5430</v>
      </c>
      <c r="E414" s="6" t="s">
        <v>5431</v>
      </c>
      <c r="F414" s="6" t="s">
        <v>5432</v>
      </c>
      <c r="G414" s="6" t="s">
        <v>5433</v>
      </c>
      <c r="H414" s="6" t="s">
        <v>5434</v>
      </c>
      <c r="I414" s="6" t="s">
        <v>5435</v>
      </c>
      <c r="J414" s="6" t="s">
        <v>5436</v>
      </c>
      <c r="K414" s="6" t="s">
        <v>5437</v>
      </c>
      <c r="L414" s="6" t="s">
        <v>3111</v>
      </c>
      <c r="M414" s="6" t="s">
        <v>5438</v>
      </c>
      <c r="N414" s="6" t="s">
        <v>5439</v>
      </c>
      <c r="O414" s="6" t="s">
        <v>5440</v>
      </c>
      <c r="P414" s="6" t="s">
        <v>3642</v>
      </c>
      <c r="Q414" s="6" t="s">
        <v>4009</v>
      </c>
    </row>
    <row r="415" spans="1:17" ht="48">
      <c r="A415" s="7" t="s">
        <v>5441</v>
      </c>
      <c r="B415" s="6" t="s">
        <v>5442</v>
      </c>
      <c r="C415" s="6" t="s">
        <v>5443</v>
      </c>
      <c r="D415" s="6" t="s">
        <v>4063</v>
      </c>
      <c r="E415" s="6" t="s">
        <v>5444</v>
      </c>
      <c r="F415" s="6" t="s">
        <v>481</v>
      </c>
      <c r="G415" s="6" t="s">
        <v>5445</v>
      </c>
      <c r="H415" s="6" t="s">
        <v>5446</v>
      </c>
      <c r="I415" s="6" t="s">
        <v>1496</v>
      </c>
      <c r="J415" s="6" t="s">
        <v>3702</v>
      </c>
      <c r="K415" s="6" t="s">
        <v>5447</v>
      </c>
      <c r="L415" s="6" t="s">
        <v>5448</v>
      </c>
      <c r="M415" s="6" t="s">
        <v>5449</v>
      </c>
      <c r="N415" s="6" t="s">
        <v>5450</v>
      </c>
      <c r="O415" s="6" t="s">
        <v>5451</v>
      </c>
      <c r="P415" s="6" t="s">
        <v>1129</v>
      </c>
      <c r="Q415" s="6" t="s">
        <v>5452</v>
      </c>
    </row>
    <row r="416" spans="1:17" ht="24">
      <c r="A416" s="7" t="s">
        <v>43</v>
      </c>
      <c r="B416" s="6" t="s">
        <v>5453</v>
      </c>
      <c r="C416" s="6" t="s">
        <v>5454</v>
      </c>
      <c r="D416" s="6" t="s">
        <v>5455</v>
      </c>
      <c r="E416" s="6" t="s">
        <v>5456</v>
      </c>
      <c r="F416" s="6" t="s">
        <v>5457</v>
      </c>
      <c r="G416" s="6" t="s">
        <v>5458</v>
      </c>
      <c r="H416" s="6" t="s">
        <v>5459</v>
      </c>
      <c r="I416" s="6" t="s">
        <v>5460</v>
      </c>
      <c r="J416" s="6" t="s">
        <v>5461</v>
      </c>
      <c r="K416" s="6" t="s">
        <v>5462</v>
      </c>
      <c r="L416" s="6" t="s">
        <v>5463</v>
      </c>
      <c r="M416" s="6" t="s">
        <v>5464</v>
      </c>
      <c r="N416" s="6" t="s">
        <v>5465</v>
      </c>
      <c r="O416" s="6" t="s">
        <v>5466</v>
      </c>
      <c r="P416" s="6" t="s">
        <v>5467</v>
      </c>
      <c r="Q416" s="6" t="s">
        <v>1484</v>
      </c>
    </row>
    <row r="417" spans="1:17" ht="48">
      <c r="A417" s="7" t="s">
        <v>5468</v>
      </c>
      <c r="B417" s="6" t="s">
        <v>5469</v>
      </c>
      <c r="C417" s="6" t="s">
        <v>5470</v>
      </c>
      <c r="D417" s="6" t="s">
        <v>5471</v>
      </c>
      <c r="E417" s="6" t="s">
        <v>5472</v>
      </c>
      <c r="F417" s="6" t="s">
        <v>5473</v>
      </c>
      <c r="G417" s="6" t="s">
        <v>5474</v>
      </c>
      <c r="H417" s="6" t="s">
        <v>5475</v>
      </c>
      <c r="I417" s="6" t="s">
        <v>5476</v>
      </c>
      <c r="J417" s="6" t="s">
        <v>5477</v>
      </c>
      <c r="K417" s="6" t="s">
        <v>5478</v>
      </c>
      <c r="L417" s="6" t="s">
        <v>5479</v>
      </c>
      <c r="M417" s="6" t="s">
        <v>5480</v>
      </c>
      <c r="N417" s="6" t="s">
        <v>5481</v>
      </c>
      <c r="O417" s="6" t="s">
        <v>5482</v>
      </c>
      <c r="P417" s="6" t="s">
        <v>5483</v>
      </c>
      <c r="Q417" s="6" t="s">
        <v>5484</v>
      </c>
    </row>
    <row r="418" spans="1:17" ht="36">
      <c r="A418" s="7" t="s">
        <v>5485</v>
      </c>
      <c r="B418" s="6" t="s">
        <v>5486</v>
      </c>
      <c r="C418" s="6" t="s">
        <v>5487</v>
      </c>
      <c r="D418" s="6" t="s">
        <v>5488</v>
      </c>
      <c r="E418" s="6" t="s">
        <v>5489</v>
      </c>
      <c r="F418" s="6" t="s">
        <v>5490</v>
      </c>
      <c r="G418" s="6" t="s">
        <v>5491</v>
      </c>
      <c r="H418" s="6" t="s">
        <v>5492</v>
      </c>
      <c r="I418" s="6" t="s">
        <v>5493</v>
      </c>
      <c r="J418" s="6" t="s">
        <v>5494</v>
      </c>
      <c r="K418" s="6" t="s">
        <v>5495</v>
      </c>
      <c r="L418" s="6" t="s">
        <v>5496</v>
      </c>
      <c r="M418" s="6" t="s">
        <v>5497</v>
      </c>
      <c r="N418" s="6" t="s">
        <v>5498</v>
      </c>
      <c r="O418" s="6" t="s">
        <v>5499</v>
      </c>
      <c r="P418" s="6" t="s">
        <v>5500</v>
      </c>
      <c r="Q418" s="6" t="s">
        <v>2982</v>
      </c>
    </row>
    <row r="419" spans="1:17" ht="36">
      <c r="A419" s="7" t="s">
        <v>5501</v>
      </c>
      <c r="B419" s="6" t="s">
        <v>5502</v>
      </c>
      <c r="C419" s="6" t="s">
        <v>5503</v>
      </c>
      <c r="D419" s="6" t="s">
        <v>5504</v>
      </c>
      <c r="E419" s="6" t="s">
        <v>5505</v>
      </c>
      <c r="F419" s="6" t="s">
        <v>5506</v>
      </c>
      <c r="G419" s="6" t="s">
        <v>5507</v>
      </c>
      <c r="H419" s="6" t="s">
        <v>5508</v>
      </c>
      <c r="I419" s="6" t="s">
        <v>5509</v>
      </c>
      <c r="J419" s="6" t="s">
        <v>5510</v>
      </c>
      <c r="K419" s="6" t="s">
        <v>5511</v>
      </c>
      <c r="L419" s="6" t="s">
        <v>5512</v>
      </c>
      <c r="M419" s="6" t="s">
        <v>5513</v>
      </c>
      <c r="N419" s="6" t="s">
        <v>5514</v>
      </c>
      <c r="O419" s="6" t="s">
        <v>5515</v>
      </c>
      <c r="P419" s="6" t="s">
        <v>5516</v>
      </c>
      <c r="Q419" s="6" t="s">
        <v>5517</v>
      </c>
    </row>
    <row r="420" spans="1:17" ht="36">
      <c r="A420" s="7" t="s">
        <v>5518</v>
      </c>
      <c r="B420" s="6" t="s">
        <v>5519</v>
      </c>
      <c r="C420" s="6" t="s">
        <v>5520</v>
      </c>
      <c r="D420" s="6" t="s">
        <v>5521</v>
      </c>
      <c r="E420" s="6" t="s">
        <v>5522</v>
      </c>
      <c r="F420" s="6" t="s">
        <v>5523</v>
      </c>
      <c r="G420" s="6" t="s">
        <v>5524</v>
      </c>
      <c r="H420" s="6" t="s">
        <v>5525</v>
      </c>
      <c r="I420" s="6" t="s">
        <v>5526</v>
      </c>
      <c r="J420" s="6" t="s">
        <v>5527</v>
      </c>
      <c r="K420" s="6" t="s">
        <v>5528</v>
      </c>
      <c r="L420" s="6" t="s">
        <v>5529</v>
      </c>
      <c r="M420" s="6" t="s">
        <v>5530</v>
      </c>
      <c r="N420" s="6" t="s">
        <v>5531</v>
      </c>
      <c r="O420" s="6" t="s">
        <v>5532</v>
      </c>
      <c r="P420" s="6" t="s">
        <v>5533</v>
      </c>
      <c r="Q420" s="6" t="s">
        <v>5534</v>
      </c>
    </row>
    <row r="421" spans="1:17" ht="36">
      <c r="A421" s="7" t="s">
        <v>5535</v>
      </c>
      <c r="B421" s="6" t="s">
        <v>5536</v>
      </c>
      <c r="C421" s="6" t="s">
        <v>5537</v>
      </c>
      <c r="D421" s="6" t="s">
        <v>5538</v>
      </c>
      <c r="E421" s="6" t="s">
        <v>5539</v>
      </c>
      <c r="F421" s="6" t="s">
        <v>5540</v>
      </c>
      <c r="G421" s="6" t="s">
        <v>5541</v>
      </c>
      <c r="H421" s="6" t="s">
        <v>5542</v>
      </c>
      <c r="I421" s="6" t="s">
        <v>5543</v>
      </c>
      <c r="J421" s="6" t="s">
        <v>5544</v>
      </c>
      <c r="K421" s="6" t="s">
        <v>5545</v>
      </c>
      <c r="L421" s="6" t="s">
        <v>5546</v>
      </c>
      <c r="M421" s="6" t="s">
        <v>5547</v>
      </c>
      <c r="N421" s="6" t="s">
        <v>5548</v>
      </c>
      <c r="O421" s="6" t="s">
        <v>5549</v>
      </c>
      <c r="P421" s="6" t="s">
        <v>5550</v>
      </c>
      <c r="Q421" s="6" t="s">
        <v>5551</v>
      </c>
    </row>
    <row r="422" spans="1:17" ht="36">
      <c r="A422" s="7" t="s">
        <v>5552</v>
      </c>
      <c r="B422" s="6" t="s">
        <v>5553</v>
      </c>
      <c r="C422" s="6" t="s">
        <v>5554</v>
      </c>
      <c r="D422" s="6" t="s">
        <v>5555</v>
      </c>
      <c r="E422" s="6" t="s">
        <v>5556</v>
      </c>
      <c r="F422" s="6" t="s">
        <v>5557</v>
      </c>
      <c r="G422" s="6" t="s">
        <v>5558</v>
      </c>
      <c r="H422" s="6" t="s">
        <v>5559</v>
      </c>
      <c r="I422" s="6" t="s">
        <v>5560</v>
      </c>
      <c r="J422" s="6" t="s">
        <v>5561</v>
      </c>
      <c r="K422" s="6" t="s">
        <v>5562</v>
      </c>
      <c r="L422" s="6" t="s">
        <v>5563</v>
      </c>
      <c r="M422" s="6" t="s">
        <v>5564</v>
      </c>
      <c r="N422" s="6" t="s">
        <v>5565</v>
      </c>
      <c r="O422" s="6" t="s">
        <v>5566</v>
      </c>
      <c r="P422" s="6" t="s">
        <v>5567</v>
      </c>
      <c r="Q422" s="6" t="s">
        <v>1748</v>
      </c>
    </row>
    <row r="423" spans="1:17" ht="36">
      <c r="A423" s="7" t="s">
        <v>5568</v>
      </c>
      <c r="B423" s="6" t="s">
        <v>5569</v>
      </c>
      <c r="C423" s="6" t="s">
        <v>5570</v>
      </c>
      <c r="D423" s="6" t="s">
        <v>5571</v>
      </c>
      <c r="E423" s="6" t="s">
        <v>5572</v>
      </c>
      <c r="F423" s="6" t="s">
        <v>5573</v>
      </c>
      <c r="G423" s="6" t="s">
        <v>5574</v>
      </c>
      <c r="H423" s="6" t="s">
        <v>5575</v>
      </c>
      <c r="I423" s="6" t="s">
        <v>5576</v>
      </c>
      <c r="J423" s="6" t="s">
        <v>5577</v>
      </c>
      <c r="K423" s="6" t="s">
        <v>5578</v>
      </c>
      <c r="L423" s="6" t="s">
        <v>5579</v>
      </c>
      <c r="M423" s="6" t="s">
        <v>5580</v>
      </c>
      <c r="N423" s="6" t="s">
        <v>5581</v>
      </c>
      <c r="O423" s="6" t="s">
        <v>5582</v>
      </c>
      <c r="P423" s="6" t="s">
        <v>5583</v>
      </c>
      <c r="Q423" s="6" t="s">
        <v>1748</v>
      </c>
    </row>
    <row r="424" spans="1:17" ht="48">
      <c r="A424" s="7" t="s">
        <v>5584</v>
      </c>
      <c r="B424" s="6" t="s">
        <v>541</v>
      </c>
      <c r="C424" s="6" t="s">
        <v>5585</v>
      </c>
      <c r="D424" s="6" t="s">
        <v>5586</v>
      </c>
      <c r="E424" s="6" t="s">
        <v>5587</v>
      </c>
      <c r="F424" s="6" t="s">
        <v>4061</v>
      </c>
      <c r="G424" s="6" t="s">
        <v>5588</v>
      </c>
      <c r="H424" s="6" t="s">
        <v>5589</v>
      </c>
      <c r="I424" s="6" t="s">
        <v>3230</v>
      </c>
      <c r="J424" s="6" t="s">
        <v>5590</v>
      </c>
      <c r="K424" s="6" t="s">
        <v>5591</v>
      </c>
      <c r="L424" s="6" t="s">
        <v>5592</v>
      </c>
      <c r="M424" s="6" t="s">
        <v>5593</v>
      </c>
      <c r="N424" s="6" t="s">
        <v>5594</v>
      </c>
      <c r="O424" s="6" t="s">
        <v>5595</v>
      </c>
      <c r="P424" s="6" t="s">
        <v>5596</v>
      </c>
      <c r="Q424" s="15"/>
    </row>
    <row r="425" spans="1:17" ht="48">
      <c r="A425" s="7" t="s">
        <v>5597</v>
      </c>
      <c r="B425" s="6" t="s">
        <v>5598</v>
      </c>
      <c r="C425" s="6" t="s">
        <v>5599</v>
      </c>
      <c r="D425" s="6" t="s">
        <v>5600</v>
      </c>
      <c r="E425" s="6" t="s">
        <v>5601</v>
      </c>
      <c r="F425" s="6" t="s">
        <v>5602</v>
      </c>
      <c r="G425" s="6" t="s">
        <v>5603</v>
      </c>
      <c r="H425" s="6" t="s">
        <v>5604</v>
      </c>
      <c r="I425" s="6" t="s">
        <v>5605</v>
      </c>
      <c r="J425" s="6" t="s">
        <v>5606</v>
      </c>
      <c r="K425" s="6" t="s">
        <v>5607</v>
      </c>
      <c r="L425" s="6" t="s">
        <v>5608</v>
      </c>
      <c r="M425" s="6" t="s">
        <v>5609</v>
      </c>
      <c r="N425" s="6" t="s">
        <v>5610</v>
      </c>
      <c r="O425" s="6" t="s">
        <v>5611</v>
      </c>
      <c r="P425" s="6" t="s">
        <v>4101</v>
      </c>
      <c r="Q425" s="6" t="s">
        <v>564</v>
      </c>
    </row>
    <row r="426" spans="1:17" ht="48">
      <c r="A426" s="7" t="s">
        <v>5612</v>
      </c>
      <c r="B426" s="6" t="s">
        <v>5613</v>
      </c>
      <c r="C426" s="6" t="s">
        <v>5614</v>
      </c>
      <c r="D426" s="6" t="s">
        <v>5615</v>
      </c>
      <c r="E426" s="6" t="s">
        <v>5616</v>
      </c>
      <c r="F426" s="6" t="s">
        <v>5617</v>
      </c>
      <c r="G426" s="6" t="s">
        <v>5618</v>
      </c>
      <c r="H426" s="6" t="s">
        <v>5619</v>
      </c>
      <c r="I426" s="6" t="s">
        <v>5620</v>
      </c>
      <c r="J426" s="6" t="s">
        <v>5621</v>
      </c>
      <c r="K426" s="6" t="s">
        <v>5622</v>
      </c>
      <c r="L426" s="6" t="s">
        <v>5623</v>
      </c>
      <c r="M426" s="6" t="s">
        <v>667</v>
      </c>
      <c r="N426" s="6" t="s">
        <v>5624</v>
      </c>
      <c r="O426" s="6" t="s">
        <v>5625</v>
      </c>
      <c r="P426" s="6" t="s">
        <v>886</v>
      </c>
      <c r="Q426" s="6" t="s">
        <v>4465</v>
      </c>
    </row>
    <row r="427" spans="1:17" ht="24">
      <c r="A427" s="7" t="s">
        <v>5626</v>
      </c>
      <c r="B427" s="6" t="s">
        <v>5627</v>
      </c>
      <c r="C427" s="6" t="s">
        <v>5628</v>
      </c>
      <c r="D427" s="6" t="s">
        <v>5629</v>
      </c>
      <c r="E427" s="6" t="s">
        <v>5630</v>
      </c>
      <c r="F427" s="6" t="s">
        <v>5631</v>
      </c>
      <c r="G427" s="6" t="s">
        <v>5632</v>
      </c>
      <c r="H427" s="6" t="s">
        <v>5633</v>
      </c>
      <c r="I427" s="6" t="s">
        <v>5634</v>
      </c>
      <c r="J427" s="6" t="s">
        <v>5635</v>
      </c>
      <c r="K427" s="6" t="s">
        <v>5636</v>
      </c>
      <c r="L427" s="6" t="s">
        <v>5637</v>
      </c>
      <c r="M427" s="6" t="s">
        <v>5638</v>
      </c>
      <c r="N427" s="6" t="s">
        <v>5639</v>
      </c>
      <c r="O427" s="6" t="s">
        <v>5640</v>
      </c>
      <c r="P427" s="6" t="s">
        <v>2462</v>
      </c>
      <c r="Q427" s="6" t="s">
        <v>5641</v>
      </c>
    </row>
    <row r="428" spans="1:17" ht="48">
      <c r="A428" s="7" t="s">
        <v>5642</v>
      </c>
      <c r="B428" s="6" t="s">
        <v>3237</v>
      </c>
      <c r="C428" s="6" t="s">
        <v>5643</v>
      </c>
      <c r="D428" s="6" t="s">
        <v>5644</v>
      </c>
      <c r="E428" s="6" t="s">
        <v>5645</v>
      </c>
      <c r="F428" s="6" t="s">
        <v>5646</v>
      </c>
      <c r="G428" s="6" t="s">
        <v>5647</v>
      </c>
      <c r="H428" s="6" t="s">
        <v>5648</v>
      </c>
      <c r="I428" s="6" t="s">
        <v>5649</v>
      </c>
      <c r="J428" s="6" t="s">
        <v>5438</v>
      </c>
      <c r="K428" s="6" t="s">
        <v>5650</v>
      </c>
      <c r="L428" s="6" t="s">
        <v>5651</v>
      </c>
      <c r="M428" s="6" t="s">
        <v>5652</v>
      </c>
      <c r="N428" s="6" t="s">
        <v>5653</v>
      </c>
      <c r="O428" s="6" t="s">
        <v>5654</v>
      </c>
      <c r="P428" s="6" t="s">
        <v>5655</v>
      </c>
      <c r="Q428" s="6" t="s">
        <v>1683</v>
      </c>
    </row>
    <row r="429" spans="1:17" ht="36">
      <c r="A429" s="7" t="s">
        <v>5656</v>
      </c>
      <c r="B429" s="6" t="s">
        <v>5657</v>
      </c>
      <c r="C429" s="6" t="s">
        <v>5658</v>
      </c>
      <c r="D429" s="6" t="s">
        <v>2544</v>
      </c>
      <c r="E429" s="6" t="s">
        <v>5659</v>
      </c>
      <c r="F429" s="6" t="s">
        <v>5660</v>
      </c>
      <c r="G429" s="6" t="s">
        <v>5661</v>
      </c>
      <c r="H429" s="6" t="s">
        <v>940</v>
      </c>
      <c r="I429" s="6" t="s">
        <v>4003</v>
      </c>
      <c r="J429" s="6" t="s">
        <v>5662</v>
      </c>
      <c r="K429" s="6" t="s">
        <v>5663</v>
      </c>
      <c r="L429" s="6" t="s">
        <v>5664</v>
      </c>
      <c r="M429" s="6" t="s">
        <v>2719</v>
      </c>
      <c r="N429" s="6" t="s">
        <v>5665</v>
      </c>
      <c r="O429" s="6" t="s">
        <v>4252</v>
      </c>
      <c r="P429" s="6" t="s">
        <v>5666</v>
      </c>
      <c r="Q429" s="15"/>
    </row>
    <row r="430" spans="1:17" ht="60">
      <c r="A430" s="7" t="s">
        <v>5667</v>
      </c>
      <c r="B430" s="6" t="s">
        <v>5668</v>
      </c>
      <c r="C430" s="6" t="s">
        <v>5669</v>
      </c>
      <c r="D430" s="6" t="s">
        <v>5670</v>
      </c>
      <c r="E430" s="6" t="s">
        <v>5671</v>
      </c>
      <c r="F430" s="6" t="s">
        <v>5672</v>
      </c>
      <c r="G430" s="6" t="s">
        <v>5673</v>
      </c>
      <c r="H430" s="6" t="s">
        <v>5674</v>
      </c>
      <c r="I430" s="6" t="s">
        <v>5675</v>
      </c>
      <c r="J430" s="6" t="s">
        <v>5676</v>
      </c>
      <c r="K430" s="6" t="s">
        <v>5677</v>
      </c>
      <c r="L430" s="6" t="s">
        <v>5678</v>
      </c>
      <c r="M430" s="6" t="s">
        <v>5679</v>
      </c>
      <c r="N430" s="6" t="s">
        <v>5680</v>
      </c>
      <c r="O430" s="6" t="s">
        <v>5681</v>
      </c>
      <c r="P430" s="6" t="s">
        <v>5682</v>
      </c>
      <c r="Q430" s="6" t="s">
        <v>1683</v>
      </c>
    </row>
    <row r="431" spans="1:17" ht="36">
      <c r="A431" s="7" t="s">
        <v>5683</v>
      </c>
      <c r="B431" s="6" t="s">
        <v>5684</v>
      </c>
      <c r="C431" s="6" t="s">
        <v>5685</v>
      </c>
      <c r="D431" s="6" t="s">
        <v>5686</v>
      </c>
      <c r="E431" s="6" t="s">
        <v>5687</v>
      </c>
      <c r="F431" s="6" t="s">
        <v>5688</v>
      </c>
      <c r="G431" s="6" t="s">
        <v>5689</v>
      </c>
      <c r="H431" s="6" t="s">
        <v>5690</v>
      </c>
      <c r="I431" s="6" t="s">
        <v>5691</v>
      </c>
      <c r="J431" s="6" t="s">
        <v>5692</v>
      </c>
      <c r="K431" s="6" t="s">
        <v>5693</v>
      </c>
      <c r="L431" s="6" t="s">
        <v>5694</v>
      </c>
      <c r="M431" s="6" t="s">
        <v>5695</v>
      </c>
      <c r="N431" s="6" t="s">
        <v>5696</v>
      </c>
      <c r="O431" s="6" t="s">
        <v>5697</v>
      </c>
      <c r="P431" s="6" t="s">
        <v>1528</v>
      </c>
      <c r="Q431" s="6" t="s">
        <v>1096</v>
      </c>
    </row>
    <row r="432" spans="1:17" ht="36">
      <c r="A432" s="7" t="s">
        <v>5698</v>
      </c>
      <c r="B432" s="6" t="s">
        <v>5699</v>
      </c>
      <c r="C432" s="6" t="s">
        <v>5700</v>
      </c>
      <c r="D432" s="6" t="s">
        <v>5701</v>
      </c>
      <c r="E432" s="6" t="s">
        <v>5702</v>
      </c>
      <c r="F432" s="6" t="s">
        <v>5703</v>
      </c>
      <c r="G432" s="6" t="s">
        <v>5704</v>
      </c>
      <c r="H432" s="6" t="s">
        <v>5705</v>
      </c>
      <c r="I432" s="6" t="s">
        <v>5706</v>
      </c>
      <c r="J432" s="6" t="s">
        <v>5707</v>
      </c>
      <c r="K432" s="6" t="s">
        <v>5708</v>
      </c>
      <c r="L432" s="6" t="s">
        <v>5709</v>
      </c>
      <c r="M432" s="6" t="s">
        <v>5484</v>
      </c>
      <c r="N432" s="6" t="s">
        <v>5710</v>
      </c>
      <c r="O432" s="6" t="s">
        <v>5711</v>
      </c>
      <c r="P432" s="6" t="s">
        <v>5712</v>
      </c>
      <c r="Q432" s="6" t="s">
        <v>1129</v>
      </c>
    </row>
    <row r="433" spans="1:17" ht="36">
      <c r="A433" s="7" t="s">
        <v>5713</v>
      </c>
      <c r="B433" s="6" t="s">
        <v>5714</v>
      </c>
      <c r="C433" s="6" t="s">
        <v>5715</v>
      </c>
      <c r="D433" s="6" t="s">
        <v>5716</v>
      </c>
      <c r="E433" s="6" t="s">
        <v>5717</v>
      </c>
      <c r="F433" s="6" t="s">
        <v>5718</v>
      </c>
      <c r="G433" s="6" t="s">
        <v>5719</v>
      </c>
      <c r="H433" s="6" t="s">
        <v>5720</v>
      </c>
      <c r="I433" s="6" t="s">
        <v>5721</v>
      </c>
      <c r="J433" s="6" t="s">
        <v>5722</v>
      </c>
      <c r="K433" s="6" t="s">
        <v>5723</v>
      </c>
      <c r="L433" s="6" t="s">
        <v>5724</v>
      </c>
      <c r="M433" s="6" t="s">
        <v>5725</v>
      </c>
      <c r="N433" s="6" t="s">
        <v>5726</v>
      </c>
      <c r="O433" s="6" t="s">
        <v>5727</v>
      </c>
      <c r="P433" s="6" t="s">
        <v>5728</v>
      </c>
      <c r="Q433" s="6" t="s">
        <v>5729</v>
      </c>
    </row>
    <row r="434" spans="1:17" ht="36">
      <c r="A434" s="7" t="s">
        <v>5730</v>
      </c>
      <c r="B434" s="6" t="s">
        <v>5731</v>
      </c>
      <c r="C434" s="6" t="s">
        <v>5732</v>
      </c>
      <c r="D434" s="6" t="s">
        <v>5733</v>
      </c>
      <c r="E434" s="6" t="s">
        <v>5734</v>
      </c>
      <c r="F434" s="6" t="s">
        <v>5735</v>
      </c>
      <c r="G434" s="6" t="s">
        <v>5736</v>
      </c>
      <c r="H434" s="6" t="s">
        <v>5737</v>
      </c>
      <c r="I434" s="6" t="s">
        <v>5738</v>
      </c>
      <c r="J434" s="6" t="s">
        <v>5739</v>
      </c>
      <c r="K434" s="6" t="s">
        <v>5740</v>
      </c>
      <c r="L434" s="6" t="s">
        <v>5741</v>
      </c>
      <c r="M434" s="6" t="s">
        <v>5742</v>
      </c>
      <c r="N434" s="6" t="s">
        <v>5743</v>
      </c>
      <c r="O434" s="6" t="s">
        <v>5744</v>
      </c>
      <c r="P434" s="6" t="s">
        <v>5745</v>
      </c>
      <c r="Q434" s="15"/>
    </row>
    <row r="435" spans="1:17" ht="36">
      <c r="A435" s="7" t="s">
        <v>5746</v>
      </c>
      <c r="B435" s="6" t="s">
        <v>5731</v>
      </c>
      <c r="C435" s="6" t="s">
        <v>5747</v>
      </c>
      <c r="D435" s="6" t="s">
        <v>989</v>
      </c>
      <c r="E435" s="6" t="s">
        <v>5748</v>
      </c>
      <c r="F435" s="6" t="s">
        <v>5749</v>
      </c>
      <c r="G435" s="6" t="s">
        <v>5750</v>
      </c>
      <c r="H435" s="6" t="s">
        <v>4990</v>
      </c>
      <c r="I435" s="6" t="s">
        <v>4178</v>
      </c>
      <c r="J435" s="6" t="s">
        <v>3645</v>
      </c>
      <c r="K435" s="6" t="s">
        <v>5751</v>
      </c>
      <c r="L435" s="6" t="s">
        <v>4020</v>
      </c>
      <c r="M435" s="6" t="s">
        <v>5752</v>
      </c>
      <c r="N435" s="6" t="s">
        <v>5753</v>
      </c>
      <c r="O435" s="6" t="s">
        <v>1683</v>
      </c>
      <c r="P435" s="6" t="s">
        <v>2564</v>
      </c>
      <c r="Q435" s="15"/>
    </row>
    <row r="436" spans="1:17" ht="36">
      <c r="A436" s="7" t="s">
        <v>5754</v>
      </c>
      <c r="B436" s="6" t="s">
        <v>5755</v>
      </c>
      <c r="C436" s="6" t="s">
        <v>776</v>
      </c>
      <c r="D436" s="6" t="s">
        <v>5756</v>
      </c>
      <c r="E436" s="6" t="s">
        <v>844</v>
      </c>
      <c r="F436" s="6" t="s">
        <v>5757</v>
      </c>
      <c r="G436" s="6" t="s">
        <v>5758</v>
      </c>
      <c r="H436" s="6" t="s">
        <v>5759</v>
      </c>
      <c r="I436" s="6" t="s">
        <v>5760</v>
      </c>
      <c r="J436" s="6" t="s">
        <v>4165</v>
      </c>
      <c r="K436" s="6" t="s">
        <v>5761</v>
      </c>
      <c r="L436" s="6" t="s">
        <v>4897</v>
      </c>
      <c r="M436" s="6" t="s">
        <v>5762</v>
      </c>
      <c r="N436" s="6" t="s">
        <v>5763</v>
      </c>
      <c r="O436" s="6" t="s">
        <v>5764</v>
      </c>
      <c r="P436" s="6" t="s">
        <v>1520</v>
      </c>
      <c r="Q436" s="6" t="s">
        <v>539</v>
      </c>
    </row>
    <row r="437" spans="1:17" ht="36">
      <c r="A437" s="7" t="s">
        <v>5765</v>
      </c>
      <c r="B437" s="6" t="s">
        <v>2621</v>
      </c>
      <c r="C437" s="6" t="s">
        <v>5766</v>
      </c>
      <c r="D437" s="6" t="s">
        <v>5767</v>
      </c>
      <c r="E437" s="6" t="s">
        <v>5768</v>
      </c>
      <c r="F437" s="6" t="s">
        <v>1970</v>
      </c>
      <c r="G437" s="6" t="s">
        <v>5769</v>
      </c>
      <c r="H437" s="6" t="s">
        <v>5770</v>
      </c>
      <c r="I437" s="6" t="s">
        <v>5251</v>
      </c>
      <c r="J437" s="6" t="s">
        <v>3486</v>
      </c>
      <c r="K437" s="6" t="s">
        <v>5771</v>
      </c>
      <c r="L437" s="6" t="s">
        <v>5772</v>
      </c>
      <c r="M437" s="6" t="s">
        <v>5773</v>
      </c>
      <c r="N437" s="6" t="s">
        <v>5774</v>
      </c>
      <c r="O437" s="6" t="s">
        <v>5775</v>
      </c>
      <c r="P437" s="6" t="s">
        <v>5776</v>
      </c>
      <c r="Q437" s="6" t="s">
        <v>448</v>
      </c>
    </row>
    <row r="438" spans="1:17" ht="36">
      <c r="A438" s="7" t="s">
        <v>5777</v>
      </c>
      <c r="B438" s="6" t="s">
        <v>5778</v>
      </c>
      <c r="C438" s="6" t="s">
        <v>5779</v>
      </c>
      <c r="D438" s="6" t="s">
        <v>5780</v>
      </c>
      <c r="E438" s="6" t="s">
        <v>5781</v>
      </c>
      <c r="F438" s="6" t="s">
        <v>3202</v>
      </c>
      <c r="G438" s="6" t="s">
        <v>5782</v>
      </c>
      <c r="H438" s="6" t="s">
        <v>5783</v>
      </c>
      <c r="I438" s="6" t="s">
        <v>5784</v>
      </c>
      <c r="J438" s="6" t="s">
        <v>5420</v>
      </c>
      <c r="K438" s="6" t="s">
        <v>5785</v>
      </c>
      <c r="L438" s="6" t="s">
        <v>5786</v>
      </c>
      <c r="M438" s="6" t="s">
        <v>5787</v>
      </c>
      <c r="N438" s="6" t="s">
        <v>5788</v>
      </c>
      <c r="O438" s="6" t="s">
        <v>5789</v>
      </c>
      <c r="P438" s="6" t="s">
        <v>5790</v>
      </c>
      <c r="Q438" s="6" t="s">
        <v>981</v>
      </c>
    </row>
    <row r="439" spans="1:17" ht="36">
      <c r="A439" s="7" t="s">
        <v>5791</v>
      </c>
      <c r="B439" s="6" t="s">
        <v>5792</v>
      </c>
      <c r="C439" s="6" t="s">
        <v>5793</v>
      </c>
      <c r="D439" s="6" t="s">
        <v>5794</v>
      </c>
      <c r="E439" s="6" t="s">
        <v>5795</v>
      </c>
      <c r="F439" s="6" t="s">
        <v>5796</v>
      </c>
      <c r="G439" s="6" t="s">
        <v>5797</v>
      </c>
      <c r="H439" s="6" t="s">
        <v>5798</v>
      </c>
      <c r="I439" s="6" t="s">
        <v>5799</v>
      </c>
      <c r="J439" s="6" t="s">
        <v>443</v>
      </c>
      <c r="K439" s="6" t="s">
        <v>5800</v>
      </c>
      <c r="L439" s="6" t="s">
        <v>5801</v>
      </c>
      <c r="M439" s="6" t="s">
        <v>5802</v>
      </c>
      <c r="N439" s="6" t="s">
        <v>5803</v>
      </c>
      <c r="O439" s="6" t="s">
        <v>5804</v>
      </c>
      <c r="P439" s="6" t="s">
        <v>5805</v>
      </c>
      <c r="Q439" s="6" t="s">
        <v>5806</v>
      </c>
    </row>
    <row r="440" spans="1:17" ht="48">
      <c r="A440" s="7" t="s">
        <v>5807</v>
      </c>
      <c r="B440" s="6" t="s">
        <v>5808</v>
      </c>
      <c r="C440" s="6" t="s">
        <v>5809</v>
      </c>
      <c r="D440" s="6" t="s">
        <v>5810</v>
      </c>
      <c r="E440" s="6" t="s">
        <v>5811</v>
      </c>
      <c r="F440" s="6" t="s">
        <v>3275</v>
      </c>
      <c r="G440" s="6" t="s">
        <v>5812</v>
      </c>
      <c r="H440" s="6" t="s">
        <v>5551</v>
      </c>
      <c r="I440" s="6" t="s">
        <v>5813</v>
      </c>
      <c r="J440" s="6" t="s">
        <v>5099</v>
      </c>
      <c r="K440" s="6" t="s">
        <v>5814</v>
      </c>
      <c r="L440" s="6" t="s">
        <v>5815</v>
      </c>
      <c r="M440" s="6" t="s">
        <v>5816</v>
      </c>
      <c r="N440" s="6" t="s">
        <v>5817</v>
      </c>
      <c r="O440" s="6" t="s">
        <v>5818</v>
      </c>
      <c r="P440" s="6" t="s">
        <v>5805</v>
      </c>
      <c r="Q440" s="6" t="s">
        <v>5806</v>
      </c>
    </row>
    <row r="441" spans="1:17" ht="48">
      <c r="A441" s="7" t="s">
        <v>5819</v>
      </c>
      <c r="B441" s="6" t="s">
        <v>5820</v>
      </c>
      <c r="C441" s="6" t="s">
        <v>5821</v>
      </c>
      <c r="D441" s="6" t="s">
        <v>5822</v>
      </c>
      <c r="E441" s="6" t="s">
        <v>5823</v>
      </c>
      <c r="F441" s="6" t="s">
        <v>5824</v>
      </c>
      <c r="G441" s="6" t="s">
        <v>5825</v>
      </c>
      <c r="H441" s="6" t="s">
        <v>5826</v>
      </c>
      <c r="I441" s="6" t="s">
        <v>5827</v>
      </c>
      <c r="J441" s="6" t="s">
        <v>5551</v>
      </c>
      <c r="K441" s="6" t="s">
        <v>5828</v>
      </c>
      <c r="L441" s="6" t="s">
        <v>5829</v>
      </c>
      <c r="M441" s="6" t="s">
        <v>5830</v>
      </c>
      <c r="N441" s="6" t="s">
        <v>5831</v>
      </c>
      <c r="O441" s="6" t="s">
        <v>5832</v>
      </c>
      <c r="P441" s="15"/>
      <c r="Q441" s="15"/>
    </row>
    <row r="442" spans="1:17" ht="24">
      <c r="A442" s="7" t="s">
        <v>44</v>
      </c>
      <c r="B442" s="6" t="s">
        <v>5833</v>
      </c>
      <c r="C442" s="6" t="s">
        <v>5834</v>
      </c>
      <c r="D442" s="6" t="s">
        <v>5835</v>
      </c>
      <c r="E442" s="6" t="s">
        <v>5836</v>
      </c>
      <c r="F442" s="6" t="s">
        <v>5837</v>
      </c>
      <c r="G442" s="6" t="s">
        <v>5838</v>
      </c>
      <c r="H442" s="6" t="s">
        <v>5839</v>
      </c>
      <c r="I442" s="6" t="s">
        <v>5840</v>
      </c>
      <c r="J442" s="6" t="s">
        <v>5841</v>
      </c>
      <c r="K442" s="6" t="s">
        <v>5842</v>
      </c>
      <c r="L442" s="6" t="s">
        <v>5843</v>
      </c>
      <c r="M442" s="6" t="s">
        <v>5844</v>
      </c>
      <c r="N442" s="6" t="s">
        <v>5845</v>
      </c>
      <c r="O442" s="6" t="s">
        <v>5846</v>
      </c>
      <c r="P442" s="6" t="s">
        <v>5847</v>
      </c>
      <c r="Q442" s="6" t="s">
        <v>5848</v>
      </c>
    </row>
    <row r="443" spans="1:17" ht="36">
      <c r="A443" s="7" t="s">
        <v>5849</v>
      </c>
      <c r="B443" s="6" t="s">
        <v>5850</v>
      </c>
      <c r="C443" s="6" t="s">
        <v>5851</v>
      </c>
      <c r="D443" s="6" t="s">
        <v>5852</v>
      </c>
      <c r="E443" s="6" t="s">
        <v>5853</v>
      </c>
      <c r="F443" s="6" t="s">
        <v>5854</v>
      </c>
      <c r="G443" s="6" t="s">
        <v>5855</v>
      </c>
      <c r="H443" s="6" t="s">
        <v>5856</v>
      </c>
      <c r="I443" s="6" t="s">
        <v>5857</v>
      </c>
      <c r="J443" s="6" t="s">
        <v>5858</v>
      </c>
      <c r="K443" s="6" t="s">
        <v>5859</v>
      </c>
      <c r="L443" s="6" t="s">
        <v>5860</v>
      </c>
      <c r="M443" s="6" t="s">
        <v>5861</v>
      </c>
      <c r="N443" s="6" t="s">
        <v>5862</v>
      </c>
      <c r="O443" s="6" t="s">
        <v>5863</v>
      </c>
      <c r="P443" s="6" t="s">
        <v>5864</v>
      </c>
      <c r="Q443" s="6" t="s">
        <v>5865</v>
      </c>
    </row>
    <row r="444" spans="1:17" ht="24">
      <c r="A444" s="7" t="s">
        <v>5866</v>
      </c>
      <c r="B444" s="6" t="s">
        <v>1751</v>
      </c>
      <c r="C444" s="6" t="s">
        <v>5867</v>
      </c>
      <c r="D444" s="6" t="s">
        <v>5868</v>
      </c>
      <c r="E444" s="6" t="s">
        <v>5869</v>
      </c>
      <c r="F444" s="6" t="s">
        <v>5870</v>
      </c>
      <c r="G444" s="6" t="s">
        <v>5871</v>
      </c>
      <c r="H444" s="6" t="s">
        <v>5872</v>
      </c>
      <c r="I444" s="6" t="s">
        <v>5873</v>
      </c>
      <c r="J444" s="6" t="s">
        <v>5874</v>
      </c>
      <c r="K444" s="6" t="s">
        <v>5875</v>
      </c>
      <c r="L444" s="6" t="s">
        <v>5876</v>
      </c>
      <c r="M444" s="6" t="s">
        <v>5877</v>
      </c>
      <c r="N444" s="6" t="s">
        <v>5878</v>
      </c>
      <c r="O444" s="6" t="s">
        <v>5879</v>
      </c>
      <c r="P444" s="6" t="s">
        <v>5880</v>
      </c>
      <c r="Q444" s="6" t="s">
        <v>2142</v>
      </c>
    </row>
    <row r="445" spans="1:17" ht="48">
      <c r="A445" s="7" t="s">
        <v>5881</v>
      </c>
      <c r="B445" s="6" t="s">
        <v>5882</v>
      </c>
      <c r="C445" s="6" t="s">
        <v>5883</v>
      </c>
      <c r="D445" s="6" t="s">
        <v>5884</v>
      </c>
      <c r="E445" s="6" t="s">
        <v>5885</v>
      </c>
      <c r="F445" s="6" t="s">
        <v>5886</v>
      </c>
      <c r="G445" s="6" t="s">
        <v>5887</v>
      </c>
      <c r="H445" s="6" t="s">
        <v>5888</v>
      </c>
      <c r="I445" s="6" t="s">
        <v>5889</v>
      </c>
      <c r="J445" s="6" t="s">
        <v>5890</v>
      </c>
      <c r="K445" s="6" t="s">
        <v>5891</v>
      </c>
      <c r="L445" s="6" t="s">
        <v>5892</v>
      </c>
      <c r="M445" s="6" t="s">
        <v>5893</v>
      </c>
      <c r="N445" s="6" t="s">
        <v>5894</v>
      </c>
      <c r="O445" s="6" t="s">
        <v>5895</v>
      </c>
      <c r="P445" s="6" t="s">
        <v>5896</v>
      </c>
      <c r="Q445" s="6" t="s">
        <v>4346</v>
      </c>
    </row>
    <row r="446" spans="1:17" ht="36">
      <c r="A446" s="8" t="s">
        <v>5897</v>
      </c>
      <c r="B446" s="9" t="s">
        <v>5898</v>
      </c>
      <c r="C446" s="9" t="s">
        <v>5899</v>
      </c>
      <c r="D446" s="9" t="s">
        <v>5900</v>
      </c>
      <c r="E446" s="9" t="s">
        <v>5901</v>
      </c>
      <c r="F446" s="9" t="s">
        <v>5902</v>
      </c>
      <c r="G446" s="9" t="s">
        <v>5903</v>
      </c>
      <c r="H446" s="9" t="s">
        <v>5904</v>
      </c>
      <c r="I446" s="9" t="s">
        <v>5905</v>
      </c>
      <c r="J446" s="9" t="s">
        <v>5906</v>
      </c>
      <c r="K446" s="9" t="s">
        <v>5907</v>
      </c>
      <c r="L446" s="9" t="s">
        <v>5908</v>
      </c>
      <c r="M446" s="9" t="s">
        <v>5909</v>
      </c>
      <c r="N446" s="9" t="s">
        <v>5910</v>
      </c>
      <c r="O446" s="9" t="s">
        <v>5911</v>
      </c>
      <c r="P446" s="9" t="s">
        <v>2487</v>
      </c>
      <c r="Q446" s="9" t="s">
        <v>4107</v>
      </c>
    </row>
    <row r="447" spans="1:17" ht="15.6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</row>
    <row r="448" spans="1:17" ht="15.6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 spans="1:17">
      <c r="A449" s="16" t="s">
        <v>5912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>
      <c r="A450" s="17" t="s">
        <v>159</v>
      </c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 spans="1:17">
      <c r="A451" s="130" t="s">
        <v>160</v>
      </c>
      <c r="B451" s="134" t="s">
        <v>161</v>
      </c>
      <c r="C451" s="136" t="s">
        <v>162</v>
      </c>
      <c r="D451" s="125"/>
      <c r="E451" s="125"/>
      <c r="F451" s="125"/>
      <c r="G451" s="125"/>
      <c r="H451" s="125"/>
      <c r="I451" s="125"/>
      <c r="J451" s="126"/>
      <c r="K451" s="136" t="s">
        <v>163</v>
      </c>
      <c r="L451" s="125"/>
      <c r="M451" s="126"/>
      <c r="N451" s="136" t="s">
        <v>164</v>
      </c>
      <c r="O451" s="125"/>
      <c r="P451" s="125"/>
      <c r="Q451" s="125"/>
    </row>
    <row r="452" spans="1:17">
      <c r="A452" s="128"/>
      <c r="B452" s="132"/>
      <c r="C452" s="132"/>
      <c r="D452" s="134" t="s">
        <v>165</v>
      </c>
      <c r="E452" s="134" t="s">
        <v>166</v>
      </c>
      <c r="F452" s="134" t="s">
        <v>167</v>
      </c>
      <c r="G452" s="136" t="s">
        <v>168</v>
      </c>
      <c r="H452" s="125"/>
      <c r="I452" s="125"/>
      <c r="J452" s="126"/>
      <c r="K452" s="132"/>
      <c r="L452" s="136" t="s">
        <v>169</v>
      </c>
      <c r="M452" s="13"/>
      <c r="N452" s="132"/>
      <c r="O452" s="136" t="s">
        <v>170</v>
      </c>
      <c r="P452" s="125"/>
      <c r="Q452" s="125"/>
    </row>
    <row r="453" spans="1:17">
      <c r="A453" s="128"/>
      <c r="B453" s="132"/>
      <c r="C453" s="132"/>
      <c r="D453" s="132"/>
      <c r="E453" s="132"/>
      <c r="F453" s="132"/>
      <c r="G453" s="132"/>
      <c r="H453" s="134" t="s">
        <v>171</v>
      </c>
      <c r="I453" s="136" t="s">
        <v>172</v>
      </c>
      <c r="J453" s="13"/>
      <c r="K453" s="132"/>
      <c r="L453" s="132"/>
      <c r="M453" s="134" t="s">
        <v>173</v>
      </c>
      <c r="N453" s="132"/>
      <c r="O453" s="132"/>
      <c r="P453" s="134" t="s">
        <v>174</v>
      </c>
      <c r="Q453" s="136" t="s">
        <v>175</v>
      </c>
    </row>
    <row r="454" spans="1:17">
      <c r="A454" s="129"/>
      <c r="B454" s="133"/>
      <c r="C454" s="133"/>
      <c r="D454" s="133"/>
      <c r="E454" s="133"/>
      <c r="F454" s="133"/>
      <c r="G454" s="133"/>
      <c r="H454" s="133"/>
      <c r="I454" s="133"/>
      <c r="J454" s="22" t="s">
        <v>176</v>
      </c>
      <c r="K454" s="133"/>
      <c r="L454" s="133"/>
      <c r="M454" s="133"/>
      <c r="N454" s="133"/>
      <c r="O454" s="133"/>
      <c r="P454" s="133"/>
      <c r="Q454" s="137"/>
    </row>
    <row r="455" spans="1:17" ht="36">
      <c r="A455" s="18" t="s">
        <v>5913</v>
      </c>
      <c r="B455" s="19" t="s">
        <v>1100</v>
      </c>
      <c r="C455" s="19" t="s">
        <v>5914</v>
      </c>
      <c r="D455" s="19" t="s">
        <v>5915</v>
      </c>
      <c r="E455" s="19" t="s">
        <v>5916</v>
      </c>
      <c r="F455" s="19" t="s">
        <v>2631</v>
      </c>
      <c r="G455" s="19" t="s">
        <v>5917</v>
      </c>
      <c r="H455" s="19" t="s">
        <v>911</v>
      </c>
      <c r="I455" s="19" t="s">
        <v>5918</v>
      </c>
      <c r="J455" s="19" t="s">
        <v>5919</v>
      </c>
      <c r="K455" s="19" t="s">
        <v>5920</v>
      </c>
      <c r="L455" s="19" t="s">
        <v>5921</v>
      </c>
      <c r="M455" s="19" t="s">
        <v>5922</v>
      </c>
      <c r="N455" s="19" t="s">
        <v>3845</v>
      </c>
      <c r="O455" s="19" t="s">
        <v>5923</v>
      </c>
      <c r="P455" s="15"/>
      <c r="Q455" s="19" t="s">
        <v>3593</v>
      </c>
    </row>
    <row r="456" spans="1:17" ht="48">
      <c r="A456" s="18" t="s">
        <v>5924</v>
      </c>
      <c r="B456" s="19" t="s">
        <v>2668</v>
      </c>
      <c r="C456" s="19" t="s">
        <v>5925</v>
      </c>
      <c r="D456" s="19" t="s">
        <v>4994</v>
      </c>
      <c r="E456" s="19" t="s">
        <v>5926</v>
      </c>
      <c r="F456" s="19" t="s">
        <v>5927</v>
      </c>
      <c r="G456" s="19" t="s">
        <v>5928</v>
      </c>
      <c r="H456" s="19" t="s">
        <v>5929</v>
      </c>
      <c r="I456" s="19" t="s">
        <v>5930</v>
      </c>
      <c r="J456" s="19" t="s">
        <v>593</v>
      </c>
      <c r="K456" s="19" t="s">
        <v>5931</v>
      </c>
      <c r="L456" s="19" t="s">
        <v>5932</v>
      </c>
      <c r="M456" s="19" t="s">
        <v>5933</v>
      </c>
      <c r="N456" s="19" t="s">
        <v>5934</v>
      </c>
      <c r="O456" s="19" t="s">
        <v>5935</v>
      </c>
      <c r="P456" s="19" t="s">
        <v>973</v>
      </c>
      <c r="Q456" s="19" t="s">
        <v>919</v>
      </c>
    </row>
    <row r="457" spans="1:17" ht="48">
      <c r="A457" s="18" t="s">
        <v>5936</v>
      </c>
      <c r="B457" s="19" t="s">
        <v>5937</v>
      </c>
      <c r="C457" s="19" t="s">
        <v>5938</v>
      </c>
      <c r="D457" s="19" t="s">
        <v>454</v>
      </c>
      <c r="E457" s="19" t="s">
        <v>3915</v>
      </c>
      <c r="F457" s="19" t="s">
        <v>5939</v>
      </c>
      <c r="G457" s="19" t="s">
        <v>5940</v>
      </c>
      <c r="H457" s="19" t="s">
        <v>5941</v>
      </c>
      <c r="I457" s="19" t="s">
        <v>4655</v>
      </c>
      <c r="J457" s="19" t="s">
        <v>532</v>
      </c>
      <c r="K457" s="19" t="s">
        <v>5942</v>
      </c>
      <c r="L457" s="19" t="s">
        <v>559</v>
      </c>
      <c r="M457" s="19" t="s">
        <v>5943</v>
      </c>
      <c r="N457" s="19" t="s">
        <v>5944</v>
      </c>
      <c r="O457" s="19" t="s">
        <v>5945</v>
      </c>
      <c r="P457" s="15"/>
      <c r="Q457" s="15"/>
    </row>
    <row r="458" spans="1:17" ht="36">
      <c r="A458" s="18" t="s">
        <v>5946</v>
      </c>
      <c r="B458" s="19" t="s">
        <v>5947</v>
      </c>
      <c r="C458" s="19" t="s">
        <v>5948</v>
      </c>
      <c r="D458" s="19" t="s">
        <v>5949</v>
      </c>
      <c r="E458" s="19" t="s">
        <v>5950</v>
      </c>
      <c r="F458" s="19" t="s">
        <v>5951</v>
      </c>
      <c r="G458" s="19" t="s">
        <v>5952</v>
      </c>
      <c r="H458" s="19" t="s">
        <v>5953</v>
      </c>
      <c r="I458" s="19" t="s">
        <v>5954</v>
      </c>
      <c r="J458" s="19" t="s">
        <v>5955</v>
      </c>
      <c r="K458" s="19" t="s">
        <v>2218</v>
      </c>
      <c r="L458" s="19" t="s">
        <v>5956</v>
      </c>
      <c r="M458" s="19" t="s">
        <v>5957</v>
      </c>
      <c r="N458" s="19" t="s">
        <v>5958</v>
      </c>
      <c r="O458" s="19" t="s">
        <v>4324</v>
      </c>
      <c r="P458" s="19" t="s">
        <v>448</v>
      </c>
      <c r="Q458" s="19" t="s">
        <v>3505</v>
      </c>
    </row>
    <row r="459" spans="1:17" ht="36">
      <c r="A459" s="18" t="s">
        <v>5959</v>
      </c>
      <c r="B459" s="19" t="s">
        <v>5960</v>
      </c>
      <c r="C459" s="19" t="s">
        <v>5961</v>
      </c>
      <c r="D459" s="19" t="s">
        <v>5962</v>
      </c>
      <c r="E459" s="19" t="s">
        <v>5963</v>
      </c>
      <c r="F459" s="19" t="s">
        <v>5964</v>
      </c>
      <c r="G459" s="19" t="s">
        <v>5965</v>
      </c>
      <c r="H459" s="19" t="s">
        <v>5966</v>
      </c>
      <c r="I459" s="19" t="s">
        <v>5967</v>
      </c>
      <c r="J459" s="19" t="s">
        <v>5968</v>
      </c>
      <c r="K459" s="19" t="s">
        <v>5969</v>
      </c>
      <c r="L459" s="19" t="s">
        <v>5970</v>
      </c>
      <c r="M459" s="19" t="s">
        <v>5971</v>
      </c>
      <c r="N459" s="19" t="s">
        <v>5972</v>
      </c>
      <c r="O459" s="19" t="s">
        <v>5973</v>
      </c>
      <c r="P459" s="19" t="s">
        <v>2601</v>
      </c>
      <c r="Q459" s="19" t="s">
        <v>5974</v>
      </c>
    </row>
    <row r="460" spans="1:17" ht="36">
      <c r="A460" s="18" t="s">
        <v>5975</v>
      </c>
      <c r="B460" s="19" t="s">
        <v>5976</v>
      </c>
      <c r="C460" s="19" t="s">
        <v>5977</v>
      </c>
      <c r="D460" s="19" t="s">
        <v>5978</v>
      </c>
      <c r="E460" s="19" t="s">
        <v>5979</v>
      </c>
      <c r="F460" s="19" t="s">
        <v>5980</v>
      </c>
      <c r="G460" s="19" t="s">
        <v>5981</v>
      </c>
      <c r="H460" s="19" t="s">
        <v>5982</v>
      </c>
      <c r="I460" s="19" t="s">
        <v>5983</v>
      </c>
      <c r="J460" s="19" t="s">
        <v>5984</v>
      </c>
      <c r="K460" s="19" t="s">
        <v>5985</v>
      </c>
      <c r="L460" s="19" t="s">
        <v>5986</v>
      </c>
      <c r="M460" s="19" t="s">
        <v>5987</v>
      </c>
      <c r="N460" s="19" t="s">
        <v>5988</v>
      </c>
      <c r="O460" s="19" t="s">
        <v>5989</v>
      </c>
      <c r="P460" s="19" t="s">
        <v>5990</v>
      </c>
      <c r="Q460" s="19" t="s">
        <v>5991</v>
      </c>
    </row>
    <row r="461" spans="1:17" ht="48">
      <c r="A461" s="18" t="s">
        <v>5992</v>
      </c>
      <c r="B461" s="19" t="s">
        <v>5993</v>
      </c>
      <c r="C461" s="19" t="s">
        <v>5994</v>
      </c>
      <c r="D461" s="19" t="s">
        <v>5995</v>
      </c>
      <c r="E461" s="19" t="s">
        <v>5996</v>
      </c>
      <c r="F461" s="19" t="s">
        <v>5997</v>
      </c>
      <c r="G461" s="19" t="s">
        <v>5998</v>
      </c>
      <c r="H461" s="19" t="s">
        <v>5999</v>
      </c>
      <c r="I461" s="19" t="s">
        <v>6000</v>
      </c>
      <c r="J461" s="19" t="s">
        <v>6001</v>
      </c>
      <c r="K461" s="19" t="s">
        <v>6002</v>
      </c>
      <c r="L461" s="19" t="s">
        <v>6003</v>
      </c>
      <c r="M461" s="19" t="s">
        <v>6004</v>
      </c>
      <c r="N461" s="19" t="s">
        <v>6005</v>
      </c>
      <c r="O461" s="19" t="s">
        <v>6006</v>
      </c>
      <c r="P461" s="19" t="s">
        <v>4484</v>
      </c>
      <c r="Q461" s="19" t="s">
        <v>6007</v>
      </c>
    </row>
    <row r="462" spans="1:17" ht="48">
      <c r="A462" s="18" t="s">
        <v>6008</v>
      </c>
      <c r="B462" s="19" t="s">
        <v>6009</v>
      </c>
      <c r="C462" s="19" t="s">
        <v>6010</v>
      </c>
      <c r="D462" s="19" t="s">
        <v>6011</v>
      </c>
      <c r="E462" s="19" t="s">
        <v>6012</v>
      </c>
      <c r="F462" s="19" t="s">
        <v>6013</v>
      </c>
      <c r="G462" s="19" t="s">
        <v>6014</v>
      </c>
      <c r="H462" s="19" t="s">
        <v>6015</v>
      </c>
      <c r="I462" s="19" t="s">
        <v>6016</v>
      </c>
      <c r="J462" s="19" t="s">
        <v>1830</v>
      </c>
      <c r="K462" s="19" t="s">
        <v>6017</v>
      </c>
      <c r="L462" s="19" t="s">
        <v>6018</v>
      </c>
      <c r="M462" s="19" t="s">
        <v>6019</v>
      </c>
      <c r="N462" s="19" t="s">
        <v>6020</v>
      </c>
      <c r="O462" s="19" t="s">
        <v>6021</v>
      </c>
      <c r="P462" s="19" t="s">
        <v>2566</v>
      </c>
      <c r="Q462" s="19" t="s">
        <v>6022</v>
      </c>
    </row>
    <row r="463" spans="1:17" ht="36">
      <c r="A463" s="18" t="s">
        <v>6023</v>
      </c>
      <c r="B463" s="19" t="s">
        <v>6024</v>
      </c>
      <c r="C463" s="19" t="s">
        <v>6025</v>
      </c>
      <c r="D463" s="19" t="s">
        <v>6026</v>
      </c>
      <c r="E463" s="19" t="s">
        <v>6027</v>
      </c>
      <c r="F463" s="19" t="s">
        <v>6028</v>
      </c>
      <c r="G463" s="19" t="s">
        <v>6029</v>
      </c>
      <c r="H463" s="19" t="s">
        <v>6030</v>
      </c>
      <c r="I463" s="19" t="s">
        <v>6031</v>
      </c>
      <c r="J463" s="19" t="s">
        <v>6032</v>
      </c>
      <c r="K463" s="19" t="s">
        <v>6033</v>
      </c>
      <c r="L463" s="19" t="s">
        <v>6034</v>
      </c>
      <c r="M463" s="19" t="s">
        <v>6035</v>
      </c>
      <c r="N463" s="19" t="s">
        <v>6036</v>
      </c>
      <c r="O463" s="19" t="s">
        <v>6037</v>
      </c>
      <c r="P463" s="19" t="s">
        <v>999</v>
      </c>
      <c r="Q463" s="19" t="s">
        <v>6038</v>
      </c>
    </row>
    <row r="464" spans="1:17" ht="48">
      <c r="A464" s="18" t="s">
        <v>6039</v>
      </c>
      <c r="B464" s="19" t="s">
        <v>6040</v>
      </c>
      <c r="C464" s="19" t="s">
        <v>6041</v>
      </c>
      <c r="D464" s="19" t="s">
        <v>6042</v>
      </c>
      <c r="E464" s="19" t="s">
        <v>6043</v>
      </c>
      <c r="F464" s="19" t="s">
        <v>6044</v>
      </c>
      <c r="G464" s="19" t="s">
        <v>6045</v>
      </c>
      <c r="H464" s="19" t="s">
        <v>6046</v>
      </c>
      <c r="I464" s="19" t="s">
        <v>6047</v>
      </c>
      <c r="J464" s="19" t="s">
        <v>6048</v>
      </c>
      <c r="K464" s="19" t="s">
        <v>6049</v>
      </c>
      <c r="L464" s="19" t="s">
        <v>6050</v>
      </c>
      <c r="M464" s="19" t="s">
        <v>6051</v>
      </c>
      <c r="N464" s="19" t="s">
        <v>6052</v>
      </c>
      <c r="O464" s="19" t="s">
        <v>6053</v>
      </c>
      <c r="P464" s="19" t="s">
        <v>2574</v>
      </c>
      <c r="Q464" s="19" t="s">
        <v>6054</v>
      </c>
    </row>
    <row r="465" spans="1:17" ht="48">
      <c r="A465" s="18" t="s">
        <v>6055</v>
      </c>
      <c r="B465" s="19" t="s">
        <v>6056</v>
      </c>
      <c r="C465" s="19" t="s">
        <v>6057</v>
      </c>
      <c r="D465" s="19" t="s">
        <v>6058</v>
      </c>
      <c r="E465" s="19" t="s">
        <v>6059</v>
      </c>
      <c r="F465" s="19" t="s">
        <v>6060</v>
      </c>
      <c r="G465" s="19" t="s">
        <v>6061</v>
      </c>
      <c r="H465" s="19" t="s">
        <v>6062</v>
      </c>
      <c r="I465" s="19" t="s">
        <v>6063</v>
      </c>
      <c r="J465" s="19" t="s">
        <v>6064</v>
      </c>
      <c r="K465" s="19" t="s">
        <v>6065</v>
      </c>
      <c r="L465" s="19" t="s">
        <v>6066</v>
      </c>
      <c r="M465" s="19" t="s">
        <v>6067</v>
      </c>
      <c r="N465" s="19" t="s">
        <v>6068</v>
      </c>
      <c r="O465" s="19" t="s">
        <v>6069</v>
      </c>
      <c r="P465" s="19" t="s">
        <v>6070</v>
      </c>
      <c r="Q465" s="19" t="s">
        <v>3866</v>
      </c>
    </row>
    <row r="466" spans="1:17" ht="36">
      <c r="A466" s="18" t="s">
        <v>6071</v>
      </c>
      <c r="B466" s="19" t="s">
        <v>6072</v>
      </c>
      <c r="C466" s="19" t="s">
        <v>6073</v>
      </c>
      <c r="D466" s="19" t="s">
        <v>6074</v>
      </c>
      <c r="E466" s="19" t="s">
        <v>6075</v>
      </c>
      <c r="F466" s="19" t="s">
        <v>6076</v>
      </c>
      <c r="G466" s="19" t="s">
        <v>6077</v>
      </c>
      <c r="H466" s="19" t="s">
        <v>6078</v>
      </c>
      <c r="I466" s="19" t="s">
        <v>6079</v>
      </c>
      <c r="J466" s="19" t="s">
        <v>6080</v>
      </c>
      <c r="K466" s="19" t="s">
        <v>6081</v>
      </c>
      <c r="L466" s="19" t="s">
        <v>6082</v>
      </c>
      <c r="M466" s="19" t="s">
        <v>6083</v>
      </c>
      <c r="N466" s="19" t="s">
        <v>6084</v>
      </c>
      <c r="O466" s="19" t="s">
        <v>6085</v>
      </c>
      <c r="P466" s="19" t="s">
        <v>1366</v>
      </c>
      <c r="Q466" s="19" t="s">
        <v>6086</v>
      </c>
    </row>
    <row r="467" spans="1:17" ht="36">
      <c r="A467" s="18" t="s">
        <v>6087</v>
      </c>
      <c r="B467" s="19" t="s">
        <v>6088</v>
      </c>
      <c r="C467" s="19" t="s">
        <v>6089</v>
      </c>
      <c r="D467" s="19" t="s">
        <v>3843</v>
      </c>
      <c r="E467" s="19" t="s">
        <v>6090</v>
      </c>
      <c r="F467" s="19" t="s">
        <v>6091</v>
      </c>
      <c r="G467" s="19" t="s">
        <v>6092</v>
      </c>
      <c r="H467" s="19" t="s">
        <v>6093</v>
      </c>
      <c r="I467" s="19" t="s">
        <v>6094</v>
      </c>
      <c r="J467" s="19" t="s">
        <v>1999</v>
      </c>
      <c r="K467" s="19" t="s">
        <v>6095</v>
      </c>
      <c r="L467" s="19" t="s">
        <v>2860</v>
      </c>
      <c r="M467" s="19" t="s">
        <v>6096</v>
      </c>
      <c r="N467" s="19" t="s">
        <v>367</v>
      </c>
      <c r="O467" s="19" t="s">
        <v>6097</v>
      </c>
      <c r="P467" s="15"/>
      <c r="Q467" s="19" t="s">
        <v>903</v>
      </c>
    </row>
    <row r="468" spans="1:17" ht="60">
      <c r="A468" s="18" t="s">
        <v>6098</v>
      </c>
      <c r="B468" s="19" t="s">
        <v>6099</v>
      </c>
      <c r="C468" s="19" t="s">
        <v>6100</v>
      </c>
      <c r="D468" s="19" t="s">
        <v>6101</v>
      </c>
      <c r="E468" s="19" t="s">
        <v>6102</v>
      </c>
      <c r="F468" s="19" t="s">
        <v>6103</v>
      </c>
      <c r="G468" s="19" t="s">
        <v>6104</v>
      </c>
      <c r="H468" s="19" t="s">
        <v>6105</v>
      </c>
      <c r="I468" s="19" t="s">
        <v>6106</v>
      </c>
      <c r="J468" s="19" t="s">
        <v>6107</v>
      </c>
      <c r="K468" s="19" t="s">
        <v>6108</v>
      </c>
      <c r="L468" s="19" t="s">
        <v>6109</v>
      </c>
      <c r="M468" s="19" t="s">
        <v>6110</v>
      </c>
      <c r="N468" s="19" t="s">
        <v>6111</v>
      </c>
      <c r="O468" s="19" t="s">
        <v>6112</v>
      </c>
      <c r="P468" s="19" t="s">
        <v>6113</v>
      </c>
      <c r="Q468" s="19" t="s">
        <v>6094</v>
      </c>
    </row>
    <row r="469" spans="1:17" ht="24">
      <c r="A469" s="18" t="s">
        <v>6114</v>
      </c>
      <c r="B469" s="19" t="s">
        <v>6115</v>
      </c>
      <c r="C469" s="19" t="s">
        <v>6116</v>
      </c>
      <c r="D469" s="19" t="s">
        <v>6117</v>
      </c>
      <c r="E469" s="19" t="s">
        <v>6118</v>
      </c>
      <c r="F469" s="19" t="s">
        <v>6119</v>
      </c>
      <c r="G469" s="19" t="s">
        <v>6120</v>
      </c>
      <c r="H469" s="19" t="s">
        <v>6121</v>
      </c>
      <c r="I469" s="19" t="s">
        <v>6122</v>
      </c>
      <c r="J469" s="19" t="s">
        <v>6123</v>
      </c>
      <c r="K469" s="19" t="s">
        <v>6124</v>
      </c>
      <c r="L469" s="19" t="s">
        <v>6125</v>
      </c>
      <c r="M469" s="19" t="s">
        <v>6126</v>
      </c>
      <c r="N469" s="19" t="s">
        <v>6127</v>
      </c>
      <c r="O469" s="19" t="s">
        <v>6128</v>
      </c>
      <c r="P469" s="19" t="s">
        <v>6129</v>
      </c>
      <c r="Q469" s="19" t="s">
        <v>6130</v>
      </c>
    </row>
    <row r="470" spans="1:17" ht="48">
      <c r="A470" s="18" t="s">
        <v>6131</v>
      </c>
      <c r="B470" s="19" t="s">
        <v>6132</v>
      </c>
      <c r="C470" s="19" t="s">
        <v>6133</v>
      </c>
      <c r="D470" s="19" t="s">
        <v>6134</v>
      </c>
      <c r="E470" s="19" t="s">
        <v>6135</v>
      </c>
      <c r="F470" s="19" t="s">
        <v>6136</v>
      </c>
      <c r="G470" s="19" t="s">
        <v>6137</v>
      </c>
      <c r="H470" s="19" t="s">
        <v>6138</v>
      </c>
      <c r="I470" s="19" t="s">
        <v>6139</v>
      </c>
      <c r="J470" s="19" t="s">
        <v>6140</v>
      </c>
      <c r="K470" s="19" t="s">
        <v>6141</v>
      </c>
      <c r="L470" s="19" t="s">
        <v>6142</v>
      </c>
      <c r="M470" s="19" t="s">
        <v>6143</v>
      </c>
      <c r="N470" s="19" t="s">
        <v>6144</v>
      </c>
      <c r="O470" s="19" t="s">
        <v>6145</v>
      </c>
      <c r="P470" s="19" t="s">
        <v>6146</v>
      </c>
      <c r="Q470" s="19" t="s">
        <v>6147</v>
      </c>
    </row>
    <row r="471" spans="1:17" ht="24">
      <c r="A471" s="18" t="s">
        <v>6148</v>
      </c>
      <c r="B471" s="19" t="s">
        <v>6149</v>
      </c>
      <c r="C471" s="19" t="s">
        <v>6150</v>
      </c>
      <c r="D471" s="19" t="s">
        <v>6151</v>
      </c>
      <c r="E471" s="19" t="s">
        <v>6152</v>
      </c>
      <c r="F471" s="19" t="s">
        <v>6153</v>
      </c>
      <c r="G471" s="19" t="s">
        <v>6154</v>
      </c>
      <c r="H471" s="19" t="s">
        <v>6155</v>
      </c>
      <c r="I471" s="19" t="s">
        <v>6156</v>
      </c>
      <c r="J471" s="19" t="s">
        <v>6157</v>
      </c>
      <c r="K471" s="19" t="s">
        <v>6158</v>
      </c>
      <c r="L471" s="19" t="s">
        <v>6159</v>
      </c>
      <c r="M471" s="19" t="s">
        <v>6160</v>
      </c>
      <c r="N471" s="19" t="s">
        <v>6161</v>
      </c>
      <c r="O471" s="19" t="s">
        <v>6162</v>
      </c>
      <c r="P471" s="19" t="s">
        <v>6163</v>
      </c>
      <c r="Q471" s="19" t="s">
        <v>6164</v>
      </c>
    </row>
    <row r="472" spans="1:17" ht="36">
      <c r="A472" s="18" t="s">
        <v>6165</v>
      </c>
      <c r="B472" s="19" t="s">
        <v>6166</v>
      </c>
      <c r="C472" s="19" t="s">
        <v>6167</v>
      </c>
      <c r="D472" s="19" t="s">
        <v>6168</v>
      </c>
      <c r="E472" s="19" t="s">
        <v>6169</v>
      </c>
      <c r="F472" s="19" t="s">
        <v>6170</v>
      </c>
      <c r="G472" s="19" t="s">
        <v>6171</v>
      </c>
      <c r="H472" s="19" t="s">
        <v>6172</v>
      </c>
      <c r="I472" s="19" t="s">
        <v>6173</v>
      </c>
      <c r="J472" s="19" t="s">
        <v>2893</v>
      </c>
      <c r="K472" s="19" t="s">
        <v>6174</v>
      </c>
      <c r="L472" s="19" t="s">
        <v>6175</v>
      </c>
      <c r="M472" s="19" t="s">
        <v>6176</v>
      </c>
      <c r="N472" s="19" t="s">
        <v>6177</v>
      </c>
      <c r="O472" s="19" t="s">
        <v>6178</v>
      </c>
      <c r="P472" s="19" t="s">
        <v>6179</v>
      </c>
      <c r="Q472" s="19" t="s">
        <v>709</v>
      </c>
    </row>
    <row r="473" spans="1:17" ht="60">
      <c r="A473" s="18" t="s">
        <v>6180</v>
      </c>
      <c r="B473" s="19" t="s">
        <v>6181</v>
      </c>
      <c r="C473" s="19" t="s">
        <v>6182</v>
      </c>
      <c r="D473" s="19" t="s">
        <v>6183</v>
      </c>
      <c r="E473" s="19" t="s">
        <v>6184</v>
      </c>
      <c r="F473" s="19" t="s">
        <v>6185</v>
      </c>
      <c r="G473" s="19" t="s">
        <v>6186</v>
      </c>
      <c r="H473" s="19" t="s">
        <v>6187</v>
      </c>
      <c r="I473" s="19" t="s">
        <v>6188</v>
      </c>
      <c r="J473" s="19" t="s">
        <v>6189</v>
      </c>
      <c r="K473" s="19" t="s">
        <v>6190</v>
      </c>
      <c r="L473" s="19" t="s">
        <v>6191</v>
      </c>
      <c r="M473" s="19" t="s">
        <v>6192</v>
      </c>
      <c r="N473" s="19" t="s">
        <v>6193</v>
      </c>
      <c r="O473" s="19" t="s">
        <v>6194</v>
      </c>
      <c r="P473" s="19" t="s">
        <v>6195</v>
      </c>
      <c r="Q473" s="19" t="s">
        <v>6196</v>
      </c>
    </row>
    <row r="474" spans="1:17" ht="36">
      <c r="A474" s="18" t="s">
        <v>6197</v>
      </c>
      <c r="B474" s="19" t="s">
        <v>6198</v>
      </c>
      <c r="C474" s="19" t="s">
        <v>6199</v>
      </c>
      <c r="D474" s="19" t="s">
        <v>6200</v>
      </c>
      <c r="E474" s="19" t="s">
        <v>6201</v>
      </c>
      <c r="F474" s="19" t="s">
        <v>6202</v>
      </c>
      <c r="G474" s="19" t="s">
        <v>6203</v>
      </c>
      <c r="H474" s="19" t="s">
        <v>6204</v>
      </c>
      <c r="I474" s="19" t="s">
        <v>6205</v>
      </c>
      <c r="J474" s="19" t="s">
        <v>6206</v>
      </c>
      <c r="K474" s="19" t="s">
        <v>6207</v>
      </c>
      <c r="L474" s="19" t="s">
        <v>6208</v>
      </c>
      <c r="M474" s="19" t="s">
        <v>6209</v>
      </c>
      <c r="N474" s="19" t="s">
        <v>6210</v>
      </c>
      <c r="O474" s="19" t="s">
        <v>6211</v>
      </c>
      <c r="P474" s="19" t="s">
        <v>6212</v>
      </c>
      <c r="Q474" s="19" t="s">
        <v>6213</v>
      </c>
    </row>
    <row r="475" spans="1:17" ht="36">
      <c r="A475" s="18" t="s">
        <v>6214</v>
      </c>
      <c r="B475" s="19" t="s">
        <v>6215</v>
      </c>
      <c r="C475" s="19" t="s">
        <v>6216</v>
      </c>
      <c r="D475" s="19" t="s">
        <v>6217</v>
      </c>
      <c r="E475" s="19" t="s">
        <v>6218</v>
      </c>
      <c r="F475" s="19" t="s">
        <v>6219</v>
      </c>
      <c r="G475" s="19" t="s">
        <v>6220</v>
      </c>
      <c r="H475" s="19" t="s">
        <v>6221</v>
      </c>
      <c r="I475" s="19" t="s">
        <v>6222</v>
      </c>
      <c r="J475" s="19" t="s">
        <v>5185</v>
      </c>
      <c r="K475" s="19" t="s">
        <v>6223</v>
      </c>
      <c r="L475" s="19" t="s">
        <v>6224</v>
      </c>
      <c r="M475" s="19" t="s">
        <v>6225</v>
      </c>
      <c r="N475" s="19" t="s">
        <v>6226</v>
      </c>
      <c r="O475" s="19" t="s">
        <v>6227</v>
      </c>
      <c r="P475" s="19" t="s">
        <v>6228</v>
      </c>
      <c r="Q475" s="19" t="s">
        <v>3557</v>
      </c>
    </row>
    <row r="476" spans="1:17" ht="36">
      <c r="A476" s="18" t="s">
        <v>6229</v>
      </c>
      <c r="B476" s="19" t="s">
        <v>6230</v>
      </c>
      <c r="C476" s="19" t="s">
        <v>6231</v>
      </c>
      <c r="D476" s="19" t="s">
        <v>6232</v>
      </c>
      <c r="E476" s="19" t="s">
        <v>2675</v>
      </c>
      <c r="F476" s="19" t="s">
        <v>587</v>
      </c>
      <c r="G476" s="19" t="s">
        <v>6233</v>
      </c>
      <c r="H476" s="19" t="s">
        <v>6234</v>
      </c>
      <c r="I476" s="19" t="s">
        <v>6235</v>
      </c>
      <c r="J476" s="19" t="s">
        <v>6236</v>
      </c>
      <c r="K476" s="19" t="s">
        <v>6237</v>
      </c>
      <c r="L476" s="19" t="s">
        <v>6238</v>
      </c>
      <c r="M476" s="19" t="s">
        <v>6239</v>
      </c>
      <c r="N476" s="19" t="s">
        <v>2142</v>
      </c>
      <c r="O476" s="19" t="s">
        <v>613</v>
      </c>
      <c r="P476" s="19" t="s">
        <v>3136</v>
      </c>
      <c r="Q476" s="15"/>
    </row>
    <row r="477" spans="1:17" ht="36">
      <c r="A477" s="18" t="s">
        <v>6240</v>
      </c>
      <c r="B477" s="19" t="s">
        <v>6241</v>
      </c>
      <c r="C477" s="19" t="s">
        <v>6242</v>
      </c>
      <c r="D477" s="19" t="s">
        <v>6243</v>
      </c>
      <c r="E477" s="19" t="s">
        <v>6244</v>
      </c>
      <c r="F477" s="19" t="s">
        <v>6245</v>
      </c>
      <c r="G477" s="19" t="s">
        <v>6246</v>
      </c>
      <c r="H477" s="19" t="s">
        <v>6247</v>
      </c>
      <c r="I477" s="19" t="s">
        <v>6248</v>
      </c>
      <c r="J477" s="19" t="s">
        <v>6249</v>
      </c>
      <c r="K477" s="19" t="s">
        <v>6250</v>
      </c>
      <c r="L477" s="19" t="s">
        <v>6251</v>
      </c>
      <c r="M477" s="19" t="s">
        <v>6252</v>
      </c>
      <c r="N477" s="19" t="s">
        <v>6253</v>
      </c>
      <c r="O477" s="19" t="s">
        <v>6254</v>
      </c>
      <c r="P477" s="19" t="s">
        <v>6255</v>
      </c>
      <c r="Q477" s="19" t="s">
        <v>6256</v>
      </c>
    </row>
    <row r="478" spans="1:17" ht="48">
      <c r="A478" s="18" t="s">
        <v>6257</v>
      </c>
      <c r="B478" s="19" t="s">
        <v>6258</v>
      </c>
      <c r="C478" s="19" t="s">
        <v>6259</v>
      </c>
      <c r="D478" s="19" t="s">
        <v>6260</v>
      </c>
      <c r="E478" s="19" t="s">
        <v>2387</v>
      </c>
      <c r="F478" s="19" t="s">
        <v>6261</v>
      </c>
      <c r="G478" s="19" t="s">
        <v>6262</v>
      </c>
      <c r="H478" s="19" t="s">
        <v>6263</v>
      </c>
      <c r="I478" s="19" t="s">
        <v>5358</v>
      </c>
      <c r="J478" s="19" t="s">
        <v>6264</v>
      </c>
      <c r="K478" s="19" t="s">
        <v>6265</v>
      </c>
      <c r="L478" s="19" t="s">
        <v>6266</v>
      </c>
      <c r="M478" s="19" t="s">
        <v>6267</v>
      </c>
      <c r="N478" s="19" t="s">
        <v>6268</v>
      </c>
      <c r="O478" s="19" t="s">
        <v>6269</v>
      </c>
      <c r="P478" s="19" t="s">
        <v>6270</v>
      </c>
      <c r="Q478" s="19" t="s">
        <v>6271</v>
      </c>
    </row>
    <row r="479" spans="1:17" ht="48">
      <c r="A479" s="18" t="s">
        <v>6272</v>
      </c>
      <c r="B479" s="19" t="s">
        <v>6273</v>
      </c>
      <c r="C479" s="19" t="s">
        <v>6274</v>
      </c>
      <c r="D479" s="19" t="s">
        <v>6275</v>
      </c>
      <c r="E479" s="19" t="s">
        <v>6276</v>
      </c>
      <c r="F479" s="19" t="s">
        <v>6277</v>
      </c>
      <c r="G479" s="19" t="s">
        <v>6278</v>
      </c>
      <c r="H479" s="19" t="s">
        <v>6279</v>
      </c>
      <c r="I479" s="19" t="s">
        <v>6280</v>
      </c>
      <c r="J479" s="19" t="s">
        <v>6281</v>
      </c>
      <c r="K479" s="19" t="s">
        <v>6282</v>
      </c>
      <c r="L479" s="19" t="s">
        <v>6283</v>
      </c>
      <c r="M479" s="19" t="s">
        <v>6284</v>
      </c>
      <c r="N479" s="19" t="s">
        <v>6285</v>
      </c>
      <c r="O479" s="19" t="s">
        <v>6286</v>
      </c>
      <c r="P479" s="19" t="s">
        <v>6287</v>
      </c>
      <c r="Q479" s="19" t="s">
        <v>6288</v>
      </c>
    </row>
    <row r="480" spans="1:17" ht="48">
      <c r="A480" s="18" t="s">
        <v>6289</v>
      </c>
      <c r="B480" s="19" t="s">
        <v>6290</v>
      </c>
      <c r="C480" s="19" t="s">
        <v>6291</v>
      </c>
      <c r="D480" s="19" t="s">
        <v>6292</v>
      </c>
      <c r="E480" s="19" t="s">
        <v>6293</v>
      </c>
      <c r="F480" s="19" t="s">
        <v>6294</v>
      </c>
      <c r="G480" s="19" t="s">
        <v>6295</v>
      </c>
      <c r="H480" s="19" t="s">
        <v>6296</v>
      </c>
      <c r="I480" s="19" t="s">
        <v>6297</v>
      </c>
      <c r="J480" s="19" t="s">
        <v>6298</v>
      </c>
      <c r="K480" s="19" t="s">
        <v>6299</v>
      </c>
      <c r="L480" s="19" t="s">
        <v>6300</v>
      </c>
      <c r="M480" s="19" t="s">
        <v>6301</v>
      </c>
      <c r="N480" s="19" t="s">
        <v>6302</v>
      </c>
      <c r="O480" s="19" t="s">
        <v>6303</v>
      </c>
      <c r="P480" s="19" t="s">
        <v>6304</v>
      </c>
      <c r="Q480" s="19" t="s">
        <v>6305</v>
      </c>
    </row>
    <row r="481" spans="1:17" ht="36">
      <c r="A481" s="18" t="s">
        <v>6306</v>
      </c>
      <c r="B481" s="19" t="s">
        <v>6307</v>
      </c>
      <c r="C481" s="19" t="s">
        <v>6308</v>
      </c>
      <c r="D481" s="19" t="s">
        <v>6309</v>
      </c>
      <c r="E481" s="19" t="s">
        <v>6310</v>
      </c>
      <c r="F481" s="19" t="s">
        <v>6311</v>
      </c>
      <c r="G481" s="19" t="s">
        <v>6312</v>
      </c>
      <c r="H481" s="19" t="s">
        <v>6313</v>
      </c>
      <c r="I481" s="19" t="s">
        <v>6314</v>
      </c>
      <c r="J481" s="19" t="s">
        <v>6315</v>
      </c>
      <c r="K481" s="19" t="s">
        <v>6316</v>
      </c>
      <c r="L481" s="19" t="s">
        <v>6317</v>
      </c>
      <c r="M481" s="19" t="s">
        <v>6318</v>
      </c>
      <c r="N481" s="19" t="s">
        <v>6319</v>
      </c>
      <c r="O481" s="19" t="s">
        <v>6320</v>
      </c>
      <c r="P481" s="19" t="s">
        <v>6321</v>
      </c>
      <c r="Q481" s="19" t="s">
        <v>3561</v>
      </c>
    </row>
    <row r="482" spans="1:17" ht="36">
      <c r="A482" s="18" t="s">
        <v>6322</v>
      </c>
      <c r="B482" s="19" t="s">
        <v>6323</v>
      </c>
      <c r="C482" s="19" t="s">
        <v>6324</v>
      </c>
      <c r="D482" s="19" t="s">
        <v>6325</v>
      </c>
      <c r="E482" s="19" t="s">
        <v>6326</v>
      </c>
      <c r="F482" s="19" t="s">
        <v>1825</v>
      </c>
      <c r="G482" s="19" t="s">
        <v>6327</v>
      </c>
      <c r="H482" s="19" t="s">
        <v>6328</v>
      </c>
      <c r="I482" s="19" t="s">
        <v>6329</v>
      </c>
      <c r="J482" s="19" t="s">
        <v>6330</v>
      </c>
      <c r="K482" s="19" t="s">
        <v>6331</v>
      </c>
      <c r="L482" s="19" t="s">
        <v>6332</v>
      </c>
      <c r="M482" s="19" t="s">
        <v>6333</v>
      </c>
      <c r="N482" s="19" t="s">
        <v>6334</v>
      </c>
      <c r="O482" s="19" t="s">
        <v>4707</v>
      </c>
      <c r="P482" s="19" t="s">
        <v>6335</v>
      </c>
      <c r="Q482" s="19" t="s">
        <v>6336</v>
      </c>
    </row>
    <row r="483" spans="1:17" ht="48">
      <c r="A483" s="18" t="s">
        <v>6337</v>
      </c>
      <c r="B483" s="19" t="s">
        <v>6338</v>
      </c>
      <c r="C483" s="19" t="s">
        <v>6339</v>
      </c>
      <c r="D483" s="19" t="s">
        <v>6340</v>
      </c>
      <c r="E483" s="19" t="s">
        <v>6341</v>
      </c>
      <c r="F483" s="19" t="s">
        <v>6342</v>
      </c>
      <c r="G483" s="19" t="s">
        <v>6343</v>
      </c>
      <c r="H483" s="19" t="s">
        <v>6344</v>
      </c>
      <c r="I483" s="19" t="s">
        <v>6345</v>
      </c>
      <c r="J483" s="19" t="s">
        <v>6346</v>
      </c>
      <c r="K483" s="19" t="s">
        <v>6347</v>
      </c>
      <c r="L483" s="19" t="s">
        <v>6348</v>
      </c>
      <c r="M483" s="19" t="s">
        <v>6349</v>
      </c>
      <c r="N483" s="19" t="s">
        <v>6350</v>
      </c>
      <c r="O483" s="19" t="s">
        <v>6351</v>
      </c>
      <c r="P483" s="19" t="s">
        <v>6352</v>
      </c>
      <c r="Q483" s="19" t="s">
        <v>6353</v>
      </c>
    </row>
    <row r="484" spans="1:17" ht="36">
      <c r="A484" s="18" t="s">
        <v>6354</v>
      </c>
      <c r="B484" s="19" t="s">
        <v>6355</v>
      </c>
      <c r="C484" s="19" t="s">
        <v>6356</v>
      </c>
      <c r="D484" s="19" t="s">
        <v>6357</v>
      </c>
      <c r="E484" s="19" t="s">
        <v>6358</v>
      </c>
      <c r="F484" s="19" t="s">
        <v>6359</v>
      </c>
      <c r="G484" s="19" t="s">
        <v>6360</v>
      </c>
      <c r="H484" s="19" t="s">
        <v>6361</v>
      </c>
      <c r="I484" s="19" t="s">
        <v>6362</v>
      </c>
      <c r="J484" s="19" t="s">
        <v>4306</v>
      </c>
      <c r="K484" s="19" t="s">
        <v>6363</v>
      </c>
      <c r="L484" s="19" t="s">
        <v>6364</v>
      </c>
      <c r="M484" s="19" t="s">
        <v>6365</v>
      </c>
      <c r="N484" s="19" t="s">
        <v>6366</v>
      </c>
      <c r="O484" s="19" t="s">
        <v>6367</v>
      </c>
      <c r="P484" s="19" t="s">
        <v>6368</v>
      </c>
      <c r="Q484" s="19" t="s">
        <v>4164</v>
      </c>
    </row>
    <row r="485" spans="1:17" ht="24">
      <c r="A485" s="18" t="s">
        <v>6369</v>
      </c>
      <c r="B485" s="19" t="s">
        <v>6370</v>
      </c>
      <c r="C485" s="19" t="s">
        <v>6371</v>
      </c>
      <c r="D485" s="19" t="s">
        <v>6372</v>
      </c>
      <c r="E485" s="19" t="s">
        <v>6373</v>
      </c>
      <c r="F485" s="19" t="s">
        <v>6374</v>
      </c>
      <c r="G485" s="19" t="s">
        <v>6375</v>
      </c>
      <c r="H485" s="19" t="s">
        <v>6376</v>
      </c>
      <c r="I485" s="19" t="s">
        <v>6377</v>
      </c>
      <c r="J485" s="19" t="s">
        <v>6378</v>
      </c>
      <c r="K485" s="19" t="s">
        <v>6379</v>
      </c>
      <c r="L485" s="19" t="s">
        <v>6380</v>
      </c>
      <c r="M485" s="19" t="s">
        <v>6381</v>
      </c>
      <c r="N485" s="19" t="s">
        <v>6382</v>
      </c>
      <c r="O485" s="19" t="s">
        <v>6383</v>
      </c>
      <c r="P485" s="19" t="s">
        <v>2388</v>
      </c>
      <c r="Q485" s="19" t="s">
        <v>911</v>
      </c>
    </row>
    <row r="486" spans="1:17" ht="36">
      <c r="A486" s="18" t="s">
        <v>6384</v>
      </c>
      <c r="B486" s="19" t="s">
        <v>6385</v>
      </c>
      <c r="C486" s="19" t="s">
        <v>6386</v>
      </c>
      <c r="D486" s="19" t="s">
        <v>6387</v>
      </c>
      <c r="E486" s="19" t="s">
        <v>6388</v>
      </c>
      <c r="F486" s="19" t="s">
        <v>6389</v>
      </c>
      <c r="G486" s="19" t="s">
        <v>6390</v>
      </c>
      <c r="H486" s="19" t="s">
        <v>6391</v>
      </c>
      <c r="I486" s="19" t="s">
        <v>6392</v>
      </c>
      <c r="J486" s="19" t="s">
        <v>6393</v>
      </c>
      <c r="K486" s="19" t="s">
        <v>6394</v>
      </c>
      <c r="L486" s="19" t="s">
        <v>6395</v>
      </c>
      <c r="M486" s="19" t="s">
        <v>6396</v>
      </c>
      <c r="N486" s="19" t="s">
        <v>6397</v>
      </c>
      <c r="O486" s="19" t="s">
        <v>6398</v>
      </c>
      <c r="P486" s="19" t="s">
        <v>6399</v>
      </c>
      <c r="Q486" s="19" t="s">
        <v>6400</v>
      </c>
    </row>
    <row r="487" spans="1:17" ht="36">
      <c r="A487" s="18" t="s">
        <v>6401</v>
      </c>
      <c r="B487" s="19" t="s">
        <v>6402</v>
      </c>
      <c r="C487" s="19" t="s">
        <v>6403</v>
      </c>
      <c r="D487" s="19" t="s">
        <v>6404</v>
      </c>
      <c r="E487" s="19" t="s">
        <v>6405</v>
      </c>
      <c r="F487" s="19" t="s">
        <v>6406</v>
      </c>
      <c r="G487" s="19" t="s">
        <v>6407</v>
      </c>
      <c r="H487" s="19" t="s">
        <v>6408</v>
      </c>
      <c r="I487" s="19" t="s">
        <v>6409</v>
      </c>
      <c r="J487" s="19" t="s">
        <v>6410</v>
      </c>
      <c r="K487" s="19" t="s">
        <v>6411</v>
      </c>
      <c r="L487" s="19" t="s">
        <v>6412</v>
      </c>
      <c r="M487" s="19" t="s">
        <v>6413</v>
      </c>
      <c r="N487" s="19" t="s">
        <v>6414</v>
      </c>
      <c r="O487" s="19" t="s">
        <v>6415</v>
      </c>
      <c r="P487" s="19" t="s">
        <v>6416</v>
      </c>
      <c r="Q487" s="19" t="s">
        <v>6236</v>
      </c>
    </row>
    <row r="488" spans="1:17" ht="36">
      <c r="A488" s="18" t="s">
        <v>6417</v>
      </c>
      <c r="B488" s="19" t="s">
        <v>2726</v>
      </c>
      <c r="C488" s="19" t="s">
        <v>6418</v>
      </c>
      <c r="D488" s="19" t="s">
        <v>6419</v>
      </c>
      <c r="E488" s="19" t="s">
        <v>6420</v>
      </c>
      <c r="F488" s="19" t="s">
        <v>6421</v>
      </c>
      <c r="G488" s="19" t="s">
        <v>6422</v>
      </c>
      <c r="H488" s="19" t="s">
        <v>6423</v>
      </c>
      <c r="I488" s="19" t="s">
        <v>1861</v>
      </c>
      <c r="J488" s="19" t="s">
        <v>6424</v>
      </c>
      <c r="K488" s="19" t="s">
        <v>6425</v>
      </c>
      <c r="L488" s="19" t="s">
        <v>6426</v>
      </c>
      <c r="M488" s="19" t="s">
        <v>6427</v>
      </c>
      <c r="N488" s="19" t="s">
        <v>6428</v>
      </c>
      <c r="O488" s="19" t="s">
        <v>6429</v>
      </c>
      <c r="P488" s="19" t="s">
        <v>3048</v>
      </c>
      <c r="Q488" s="19" t="s">
        <v>973</v>
      </c>
    </row>
    <row r="489" spans="1:17" ht="36">
      <c r="A489" s="18" t="s">
        <v>6430</v>
      </c>
      <c r="B489" s="19" t="s">
        <v>6431</v>
      </c>
      <c r="C489" s="19" t="s">
        <v>6432</v>
      </c>
      <c r="D489" s="19" t="s">
        <v>6433</v>
      </c>
      <c r="E489" s="19" t="s">
        <v>6434</v>
      </c>
      <c r="F489" s="19" t="s">
        <v>6435</v>
      </c>
      <c r="G489" s="19" t="s">
        <v>6436</v>
      </c>
      <c r="H489" s="19" t="s">
        <v>6437</v>
      </c>
      <c r="I489" s="19" t="s">
        <v>6438</v>
      </c>
      <c r="J489" s="19" t="s">
        <v>6439</v>
      </c>
      <c r="K489" s="19" t="s">
        <v>6440</v>
      </c>
      <c r="L489" s="19" t="s">
        <v>6441</v>
      </c>
      <c r="M489" s="19" t="s">
        <v>6442</v>
      </c>
      <c r="N489" s="19" t="s">
        <v>6443</v>
      </c>
      <c r="O489" s="19" t="s">
        <v>6444</v>
      </c>
      <c r="P489" s="19" t="s">
        <v>6445</v>
      </c>
      <c r="Q489" s="19" t="s">
        <v>1366</v>
      </c>
    </row>
    <row r="490" spans="1:17" ht="36">
      <c r="A490" s="18" t="s">
        <v>6446</v>
      </c>
      <c r="B490" s="19" t="s">
        <v>6447</v>
      </c>
      <c r="C490" s="19" t="s">
        <v>6448</v>
      </c>
      <c r="D490" s="19" t="s">
        <v>6449</v>
      </c>
      <c r="E490" s="19" t="s">
        <v>6450</v>
      </c>
      <c r="F490" s="19" t="s">
        <v>6451</v>
      </c>
      <c r="G490" s="19" t="s">
        <v>6452</v>
      </c>
      <c r="H490" s="19" t="s">
        <v>6453</v>
      </c>
      <c r="I490" s="19" t="s">
        <v>6454</v>
      </c>
      <c r="J490" s="19" t="s">
        <v>6455</v>
      </c>
      <c r="K490" s="19" t="s">
        <v>6456</v>
      </c>
      <c r="L490" s="19" t="s">
        <v>6457</v>
      </c>
      <c r="M490" s="19" t="s">
        <v>6458</v>
      </c>
      <c r="N490" s="19" t="s">
        <v>6459</v>
      </c>
      <c r="O490" s="19" t="s">
        <v>6460</v>
      </c>
      <c r="P490" s="19" t="s">
        <v>3632</v>
      </c>
      <c r="Q490" s="19" t="s">
        <v>4315</v>
      </c>
    </row>
    <row r="491" spans="1:17" ht="36">
      <c r="A491" s="18" t="s">
        <v>6461</v>
      </c>
      <c r="B491" s="19" t="s">
        <v>2276</v>
      </c>
      <c r="C491" s="19" t="s">
        <v>6462</v>
      </c>
      <c r="D491" s="19" t="s">
        <v>6463</v>
      </c>
      <c r="E491" s="19" t="s">
        <v>6464</v>
      </c>
      <c r="F491" s="19" t="s">
        <v>6465</v>
      </c>
      <c r="G491" s="19" t="s">
        <v>6466</v>
      </c>
      <c r="H491" s="19" t="s">
        <v>6467</v>
      </c>
      <c r="I491" s="19" t="s">
        <v>6468</v>
      </c>
      <c r="J491" s="19" t="s">
        <v>6469</v>
      </c>
      <c r="K491" s="19" t="s">
        <v>6470</v>
      </c>
      <c r="L491" s="19" t="s">
        <v>6471</v>
      </c>
      <c r="M491" s="19" t="s">
        <v>2112</v>
      </c>
      <c r="N491" s="19" t="s">
        <v>6472</v>
      </c>
      <c r="O491" s="19" t="s">
        <v>6473</v>
      </c>
      <c r="P491" s="19" t="s">
        <v>5915</v>
      </c>
      <c r="Q491" s="19" t="s">
        <v>2567</v>
      </c>
    </row>
    <row r="492" spans="1:17" ht="36">
      <c r="A492" s="18" t="s">
        <v>6474</v>
      </c>
      <c r="B492" s="19" t="s">
        <v>6475</v>
      </c>
      <c r="C492" s="19" t="s">
        <v>6476</v>
      </c>
      <c r="D492" s="19" t="s">
        <v>6477</v>
      </c>
      <c r="E492" s="19" t="s">
        <v>6478</v>
      </c>
      <c r="F492" s="19" t="s">
        <v>4115</v>
      </c>
      <c r="G492" s="19" t="s">
        <v>6479</v>
      </c>
      <c r="H492" s="19" t="s">
        <v>6480</v>
      </c>
      <c r="I492" s="19" t="s">
        <v>2535</v>
      </c>
      <c r="J492" s="19" t="s">
        <v>2290</v>
      </c>
      <c r="K492" s="19" t="s">
        <v>6481</v>
      </c>
      <c r="L492" s="19" t="s">
        <v>6482</v>
      </c>
      <c r="M492" s="19" t="s">
        <v>6483</v>
      </c>
      <c r="N492" s="19" t="s">
        <v>6484</v>
      </c>
      <c r="O492" s="19" t="s">
        <v>710</v>
      </c>
      <c r="P492" s="15"/>
      <c r="Q492" s="15"/>
    </row>
    <row r="493" spans="1:17" ht="36">
      <c r="A493" s="18" t="s">
        <v>6485</v>
      </c>
      <c r="B493" s="19" t="s">
        <v>6486</v>
      </c>
      <c r="C493" s="19" t="s">
        <v>6487</v>
      </c>
      <c r="D493" s="19" t="s">
        <v>6488</v>
      </c>
      <c r="E493" s="19" t="s">
        <v>6489</v>
      </c>
      <c r="F493" s="19" t="s">
        <v>6490</v>
      </c>
      <c r="G493" s="19" t="s">
        <v>6491</v>
      </c>
      <c r="H493" s="19" t="s">
        <v>3163</v>
      </c>
      <c r="I493" s="19" t="s">
        <v>6492</v>
      </c>
      <c r="J493" s="19" t="s">
        <v>6493</v>
      </c>
      <c r="K493" s="19" t="s">
        <v>6494</v>
      </c>
      <c r="L493" s="19" t="s">
        <v>6495</v>
      </c>
      <c r="M493" s="19" t="s">
        <v>6496</v>
      </c>
      <c r="N493" s="19" t="s">
        <v>6497</v>
      </c>
      <c r="O493" s="19" t="s">
        <v>6498</v>
      </c>
      <c r="P493" s="19" t="s">
        <v>802</v>
      </c>
      <c r="Q493" s="19" t="s">
        <v>6236</v>
      </c>
    </row>
    <row r="494" spans="1:17" ht="36">
      <c r="A494" s="18" t="s">
        <v>6499</v>
      </c>
      <c r="B494" s="19" t="s">
        <v>6500</v>
      </c>
      <c r="C494" s="19" t="s">
        <v>6501</v>
      </c>
      <c r="D494" s="19" t="s">
        <v>6502</v>
      </c>
      <c r="E494" s="19" t="s">
        <v>6503</v>
      </c>
      <c r="F494" s="19" t="s">
        <v>6344</v>
      </c>
      <c r="G494" s="19" t="s">
        <v>6504</v>
      </c>
      <c r="H494" s="19" t="s">
        <v>6505</v>
      </c>
      <c r="I494" s="19" t="s">
        <v>6506</v>
      </c>
      <c r="J494" s="19" t="s">
        <v>6507</v>
      </c>
      <c r="K494" s="19" t="s">
        <v>6508</v>
      </c>
      <c r="L494" s="19" t="s">
        <v>6509</v>
      </c>
      <c r="M494" s="19" t="s">
        <v>6510</v>
      </c>
      <c r="N494" s="19" t="s">
        <v>6511</v>
      </c>
      <c r="O494" s="19" t="s">
        <v>6512</v>
      </c>
      <c r="P494" s="19" t="s">
        <v>6513</v>
      </c>
      <c r="Q494" s="19" t="s">
        <v>3505</v>
      </c>
    </row>
    <row r="495" spans="1:17" ht="36">
      <c r="A495" s="18" t="s">
        <v>6514</v>
      </c>
      <c r="B495" s="19" t="s">
        <v>541</v>
      </c>
      <c r="C495" s="19" t="s">
        <v>6515</v>
      </c>
      <c r="D495" s="19" t="s">
        <v>6516</v>
      </c>
      <c r="E495" s="19" t="s">
        <v>6517</v>
      </c>
      <c r="F495" s="19" t="s">
        <v>6518</v>
      </c>
      <c r="G495" s="19" t="s">
        <v>6519</v>
      </c>
      <c r="H495" s="19" t="s">
        <v>1243</v>
      </c>
      <c r="I495" s="19" t="s">
        <v>6520</v>
      </c>
      <c r="J495" s="19" t="s">
        <v>6521</v>
      </c>
      <c r="K495" s="19" t="s">
        <v>3958</v>
      </c>
      <c r="L495" s="19" t="s">
        <v>6522</v>
      </c>
      <c r="M495" s="19" t="s">
        <v>2504</v>
      </c>
      <c r="N495" s="19" t="s">
        <v>6523</v>
      </c>
      <c r="O495" s="19" t="s">
        <v>1369</v>
      </c>
      <c r="P495" s="15"/>
      <c r="Q495" s="15"/>
    </row>
    <row r="496" spans="1:17" ht="36">
      <c r="A496" s="18" t="s">
        <v>6524</v>
      </c>
      <c r="B496" s="19" t="s">
        <v>6525</v>
      </c>
      <c r="C496" s="19" t="s">
        <v>6526</v>
      </c>
      <c r="D496" s="19" t="s">
        <v>6352</v>
      </c>
      <c r="E496" s="19" t="s">
        <v>6527</v>
      </c>
      <c r="F496" s="19" t="s">
        <v>1917</v>
      </c>
      <c r="G496" s="19" t="s">
        <v>6528</v>
      </c>
      <c r="H496" s="19" t="s">
        <v>267</v>
      </c>
      <c r="I496" s="19" t="s">
        <v>5760</v>
      </c>
      <c r="J496" s="19" t="s">
        <v>2966</v>
      </c>
      <c r="K496" s="19" t="s">
        <v>6529</v>
      </c>
      <c r="L496" s="19" t="s">
        <v>6530</v>
      </c>
      <c r="M496" s="19" t="s">
        <v>4248</v>
      </c>
      <c r="N496" s="19" t="s">
        <v>6531</v>
      </c>
      <c r="O496" s="19" t="s">
        <v>6532</v>
      </c>
      <c r="P496" s="19" t="s">
        <v>982</v>
      </c>
      <c r="Q496" s="15"/>
    </row>
    <row r="497" spans="1:17" ht="36">
      <c r="A497" s="20" t="s">
        <v>6533</v>
      </c>
      <c r="B497" s="21" t="s">
        <v>2245</v>
      </c>
      <c r="C497" s="21" t="s">
        <v>6534</v>
      </c>
      <c r="D497" s="21" t="s">
        <v>6535</v>
      </c>
      <c r="E497" s="21" t="s">
        <v>6536</v>
      </c>
      <c r="F497" s="21" t="s">
        <v>6537</v>
      </c>
      <c r="G497" s="21" t="s">
        <v>6538</v>
      </c>
      <c r="H497" s="21" t="s">
        <v>6539</v>
      </c>
      <c r="I497" s="21" t="s">
        <v>6540</v>
      </c>
      <c r="J497" s="21" t="s">
        <v>4246</v>
      </c>
      <c r="K497" s="21" t="s">
        <v>6541</v>
      </c>
      <c r="L497" s="21" t="s">
        <v>2273</v>
      </c>
      <c r="M497" s="21" t="s">
        <v>6542</v>
      </c>
      <c r="N497" s="21" t="s">
        <v>6543</v>
      </c>
      <c r="O497" s="21" t="s">
        <v>6544</v>
      </c>
      <c r="P497" s="21" t="s">
        <v>3801</v>
      </c>
      <c r="Q497" s="21" t="s">
        <v>3640</v>
      </c>
    </row>
    <row r="498" spans="1:17" ht="15.6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</row>
    <row r="499" spans="1:17" ht="15.6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 spans="1:17">
      <c r="A500" s="12" t="s">
        <v>6545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1:17">
      <c r="A501" s="3" t="s">
        <v>159</v>
      </c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 spans="1:17">
      <c r="A502" s="127" t="s">
        <v>160</v>
      </c>
      <c r="B502" s="131" t="s">
        <v>161</v>
      </c>
      <c r="C502" s="135" t="s">
        <v>162</v>
      </c>
      <c r="D502" s="125"/>
      <c r="E502" s="125"/>
      <c r="F502" s="125"/>
      <c r="G502" s="125"/>
      <c r="H502" s="125"/>
      <c r="I502" s="125"/>
      <c r="J502" s="126"/>
      <c r="K502" s="135" t="s">
        <v>163</v>
      </c>
      <c r="L502" s="125"/>
      <c r="M502" s="126"/>
      <c r="N502" s="135" t="s">
        <v>164</v>
      </c>
      <c r="O502" s="125"/>
      <c r="P502" s="125"/>
      <c r="Q502" s="125"/>
    </row>
    <row r="503" spans="1:17">
      <c r="A503" s="128"/>
      <c r="B503" s="132"/>
      <c r="C503" s="132"/>
      <c r="D503" s="131" t="s">
        <v>165</v>
      </c>
      <c r="E503" s="131" t="s">
        <v>166</v>
      </c>
      <c r="F503" s="131" t="s">
        <v>167</v>
      </c>
      <c r="G503" s="135" t="s">
        <v>168</v>
      </c>
      <c r="H503" s="125"/>
      <c r="I503" s="125"/>
      <c r="J503" s="126"/>
      <c r="K503" s="132"/>
      <c r="L503" s="135" t="s">
        <v>169</v>
      </c>
      <c r="M503" s="13"/>
      <c r="N503" s="132"/>
      <c r="O503" s="135" t="s">
        <v>170</v>
      </c>
      <c r="P503" s="125"/>
      <c r="Q503" s="125"/>
    </row>
    <row r="504" spans="1:17">
      <c r="A504" s="128"/>
      <c r="B504" s="132"/>
      <c r="C504" s="132"/>
      <c r="D504" s="132"/>
      <c r="E504" s="132"/>
      <c r="F504" s="132"/>
      <c r="G504" s="132"/>
      <c r="H504" s="131" t="s">
        <v>171</v>
      </c>
      <c r="I504" s="135" t="s">
        <v>172</v>
      </c>
      <c r="J504" s="13"/>
      <c r="K504" s="132"/>
      <c r="L504" s="132"/>
      <c r="M504" s="131" t="s">
        <v>173</v>
      </c>
      <c r="N504" s="132"/>
      <c r="O504" s="132"/>
      <c r="P504" s="131" t="s">
        <v>174</v>
      </c>
      <c r="Q504" s="135" t="s">
        <v>175</v>
      </c>
    </row>
    <row r="505" spans="1:17">
      <c r="A505" s="129"/>
      <c r="B505" s="133"/>
      <c r="C505" s="133"/>
      <c r="D505" s="133"/>
      <c r="E505" s="133"/>
      <c r="F505" s="133"/>
      <c r="G505" s="133"/>
      <c r="H505" s="133"/>
      <c r="I505" s="133"/>
      <c r="J505" s="14" t="s">
        <v>176</v>
      </c>
      <c r="K505" s="133"/>
      <c r="L505" s="133"/>
      <c r="M505" s="133"/>
      <c r="N505" s="133"/>
      <c r="O505" s="133"/>
      <c r="P505" s="133"/>
      <c r="Q505" s="137"/>
    </row>
    <row r="506" spans="1:17" ht="72">
      <c r="A506" s="7" t="s">
        <v>6546</v>
      </c>
      <c r="B506" s="6" t="s">
        <v>6547</v>
      </c>
      <c r="C506" s="6" t="s">
        <v>6548</v>
      </c>
      <c r="D506" s="6" t="s">
        <v>6549</v>
      </c>
      <c r="E506" s="6" t="s">
        <v>6550</v>
      </c>
      <c r="F506" s="6" t="s">
        <v>6551</v>
      </c>
      <c r="G506" s="6" t="s">
        <v>6552</v>
      </c>
      <c r="H506" s="6" t="s">
        <v>6553</v>
      </c>
      <c r="I506" s="6" t="s">
        <v>6554</v>
      </c>
      <c r="J506" s="6" t="s">
        <v>6555</v>
      </c>
      <c r="K506" s="6" t="s">
        <v>6556</v>
      </c>
      <c r="L506" s="6" t="s">
        <v>6557</v>
      </c>
      <c r="M506" s="6" t="s">
        <v>6558</v>
      </c>
      <c r="N506" s="6" t="s">
        <v>6559</v>
      </c>
      <c r="O506" s="6" t="s">
        <v>6560</v>
      </c>
      <c r="P506" s="6" t="s">
        <v>3628</v>
      </c>
      <c r="Q506" s="6" t="s">
        <v>6561</v>
      </c>
    </row>
    <row r="507" spans="1:17" ht="48">
      <c r="A507" s="7" t="s">
        <v>6562</v>
      </c>
      <c r="B507" s="6" t="s">
        <v>6563</v>
      </c>
      <c r="C507" s="6" t="s">
        <v>6564</v>
      </c>
      <c r="D507" s="6" t="s">
        <v>6565</v>
      </c>
      <c r="E507" s="6" t="s">
        <v>6566</v>
      </c>
      <c r="F507" s="6" t="s">
        <v>6567</v>
      </c>
      <c r="G507" s="6" t="s">
        <v>6568</v>
      </c>
      <c r="H507" s="6" t="s">
        <v>6569</v>
      </c>
      <c r="I507" s="6" t="s">
        <v>6570</v>
      </c>
      <c r="J507" s="6" t="s">
        <v>6571</v>
      </c>
      <c r="K507" s="6" t="s">
        <v>6572</v>
      </c>
      <c r="L507" s="6" t="s">
        <v>6573</v>
      </c>
      <c r="M507" s="6" t="s">
        <v>6574</v>
      </c>
      <c r="N507" s="6" t="s">
        <v>6575</v>
      </c>
      <c r="O507" s="6" t="s">
        <v>6576</v>
      </c>
      <c r="P507" s="6" t="s">
        <v>6577</v>
      </c>
      <c r="Q507" s="6" t="s">
        <v>6578</v>
      </c>
    </row>
    <row r="508" spans="1:17" ht="48">
      <c r="A508" s="7" t="s">
        <v>6579</v>
      </c>
      <c r="B508" s="6" t="s">
        <v>5243</v>
      </c>
      <c r="C508" s="6" t="s">
        <v>6580</v>
      </c>
      <c r="D508" s="6" t="s">
        <v>6581</v>
      </c>
      <c r="E508" s="6" t="s">
        <v>6582</v>
      </c>
      <c r="F508" s="6" t="s">
        <v>916</v>
      </c>
      <c r="G508" s="6" t="s">
        <v>6583</v>
      </c>
      <c r="H508" s="6" t="s">
        <v>6584</v>
      </c>
      <c r="I508" s="6" t="s">
        <v>6585</v>
      </c>
      <c r="J508" s="6" t="s">
        <v>3103</v>
      </c>
      <c r="K508" s="6" t="s">
        <v>6586</v>
      </c>
      <c r="L508" s="6" t="s">
        <v>6587</v>
      </c>
      <c r="M508" s="6" t="s">
        <v>6588</v>
      </c>
      <c r="N508" s="6" t="s">
        <v>6589</v>
      </c>
      <c r="O508" s="6" t="s">
        <v>6590</v>
      </c>
      <c r="P508" s="6" t="s">
        <v>535</v>
      </c>
      <c r="Q508" s="6" t="s">
        <v>992</v>
      </c>
    </row>
    <row r="509" spans="1:17" ht="36">
      <c r="A509" s="7" t="s">
        <v>6591</v>
      </c>
      <c r="B509" s="6" t="s">
        <v>6592</v>
      </c>
      <c r="C509" s="6" t="s">
        <v>6593</v>
      </c>
      <c r="D509" s="6" t="s">
        <v>6594</v>
      </c>
      <c r="E509" s="6" t="s">
        <v>6595</v>
      </c>
      <c r="F509" s="6" t="s">
        <v>6596</v>
      </c>
      <c r="G509" s="6" t="s">
        <v>6597</v>
      </c>
      <c r="H509" s="6" t="s">
        <v>6598</v>
      </c>
      <c r="I509" s="6" t="s">
        <v>6599</v>
      </c>
      <c r="J509" s="6" t="s">
        <v>6600</v>
      </c>
      <c r="K509" s="6" t="s">
        <v>6601</v>
      </c>
      <c r="L509" s="6" t="s">
        <v>6602</v>
      </c>
      <c r="M509" s="6" t="s">
        <v>6603</v>
      </c>
      <c r="N509" s="6" t="s">
        <v>6604</v>
      </c>
      <c r="O509" s="6" t="s">
        <v>6605</v>
      </c>
      <c r="P509" s="6" t="s">
        <v>6606</v>
      </c>
      <c r="Q509" s="6" t="s">
        <v>6607</v>
      </c>
    </row>
    <row r="510" spans="1:17" ht="36">
      <c r="A510" s="7" t="s">
        <v>6608</v>
      </c>
      <c r="B510" s="6" t="s">
        <v>6609</v>
      </c>
      <c r="C510" s="6" t="s">
        <v>6610</v>
      </c>
      <c r="D510" s="6" t="s">
        <v>6611</v>
      </c>
      <c r="E510" s="6" t="s">
        <v>6612</v>
      </c>
      <c r="F510" s="6" t="s">
        <v>6613</v>
      </c>
      <c r="G510" s="6" t="s">
        <v>6614</v>
      </c>
      <c r="H510" s="6" t="s">
        <v>6615</v>
      </c>
      <c r="I510" s="6" t="s">
        <v>6616</v>
      </c>
      <c r="J510" s="6" t="s">
        <v>6617</v>
      </c>
      <c r="K510" s="6" t="s">
        <v>6618</v>
      </c>
      <c r="L510" s="6" t="s">
        <v>6619</v>
      </c>
      <c r="M510" s="6" t="s">
        <v>6620</v>
      </c>
      <c r="N510" s="6" t="s">
        <v>6621</v>
      </c>
      <c r="O510" s="6" t="s">
        <v>6622</v>
      </c>
      <c r="P510" s="6" t="s">
        <v>981</v>
      </c>
      <c r="Q510" s="6" t="s">
        <v>3804</v>
      </c>
    </row>
    <row r="511" spans="1:17" ht="36">
      <c r="A511" s="7" t="s">
        <v>6623</v>
      </c>
      <c r="B511" s="6" t="s">
        <v>6624</v>
      </c>
      <c r="C511" s="6" t="s">
        <v>6625</v>
      </c>
      <c r="D511" s="6" t="s">
        <v>6574</v>
      </c>
      <c r="E511" s="6" t="s">
        <v>6626</v>
      </c>
      <c r="F511" s="6" t="s">
        <v>6627</v>
      </c>
      <c r="G511" s="6" t="s">
        <v>6628</v>
      </c>
      <c r="H511" s="6" t="s">
        <v>6629</v>
      </c>
      <c r="I511" s="6" t="s">
        <v>6630</v>
      </c>
      <c r="J511" s="6" t="s">
        <v>6631</v>
      </c>
      <c r="K511" s="6" t="s">
        <v>6632</v>
      </c>
      <c r="L511" s="6" t="s">
        <v>6633</v>
      </c>
      <c r="M511" s="6" t="s">
        <v>6634</v>
      </c>
      <c r="N511" s="6" t="s">
        <v>6635</v>
      </c>
      <c r="O511" s="6" t="s">
        <v>6636</v>
      </c>
      <c r="P511" s="6" t="s">
        <v>1360</v>
      </c>
      <c r="Q511" s="6" t="s">
        <v>6637</v>
      </c>
    </row>
    <row r="512" spans="1:17" ht="36">
      <c r="A512" s="7" t="s">
        <v>6638</v>
      </c>
      <c r="B512" s="6" t="s">
        <v>6639</v>
      </c>
      <c r="C512" s="6" t="s">
        <v>6640</v>
      </c>
      <c r="D512" s="6" t="s">
        <v>6641</v>
      </c>
      <c r="E512" s="6" t="s">
        <v>4050</v>
      </c>
      <c r="F512" s="6" t="s">
        <v>6642</v>
      </c>
      <c r="G512" s="6" t="s">
        <v>6643</v>
      </c>
      <c r="H512" s="6" t="s">
        <v>6644</v>
      </c>
      <c r="I512" s="6" t="s">
        <v>6645</v>
      </c>
      <c r="J512" s="6" t="s">
        <v>2360</v>
      </c>
      <c r="K512" s="6" t="s">
        <v>6646</v>
      </c>
      <c r="L512" s="6" t="s">
        <v>6647</v>
      </c>
      <c r="M512" s="6" t="s">
        <v>6648</v>
      </c>
      <c r="N512" s="6" t="s">
        <v>6649</v>
      </c>
      <c r="O512" s="6" t="s">
        <v>6650</v>
      </c>
      <c r="P512" s="6" t="s">
        <v>6480</v>
      </c>
      <c r="Q512" s="6" t="s">
        <v>2756</v>
      </c>
    </row>
    <row r="513" spans="1:17" ht="36">
      <c r="A513" s="7" t="s">
        <v>6651</v>
      </c>
      <c r="B513" s="6" t="s">
        <v>6652</v>
      </c>
      <c r="C513" s="6" t="s">
        <v>6653</v>
      </c>
      <c r="D513" s="6" t="s">
        <v>6654</v>
      </c>
      <c r="E513" s="6" t="s">
        <v>6655</v>
      </c>
      <c r="F513" s="6" t="s">
        <v>6656</v>
      </c>
      <c r="G513" s="6" t="s">
        <v>6657</v>
      </c>
      <c r="H513" s="6" t="s">
        <v>6658</v>
      </c>
      <c r="I513" s="6" t="s">
        <v>6659</v>
      </c>
      <c r="J513" s="6" t="s">
        <v>6660</v>
      </c>
      <c r="K513" s="6" t="s">
        <v>6661</v>
      </c>
      <c r="L513" s="6" t="s">
        <v>6662</v>
      </c>
      <c r="M513" s="6" t="s">
        <v>6663</v>
      </c>
      <c r="N513" s="6" t="s">
        <v>6664</v>
      </c>
      <c r="O513" s="6" t="s">
        <v>6665</v>
      </c>
      <c r="P513" s="6" t="s">
        <v>979</v>
      </c>
      <c r="Q513" s="6" t="s">
        <v>2605</v>
      </c>
    </row>
    <row r="514" spans="1:17" ht="36">
      <c r="A514" s="7" t="s">
        <v>6666</v>
      </c>
      <c r="B514" s="6" t="s">
        <v>6667</v>
      </c>
      <c r="C514" s="6" t="s">
        <v>6668</v>
      </c>
      <c r="D514" s="6" t="s">
        <v>6669</v>
      </c>
      <c r="E514" s="6" t="s">
        <v>6670</v>
      </c>
      <c r="F514" s="6" t="s">
        <v>6671</v>
      </c>
      <c r="G514" s="6" t="s">
        <v>6672</v>
      </c>
      <c r="H514" s="6" t="s">
        <v>6673</v>
      </c>
      <c r="I514" s="6" t="s">
        <v>6674</v>
      </c>
      <c r="J514" s="6" t="s">
        <v>6675</v>
      </c>
      <c r="K514" s="6" t="s">
        <v>6676</v>
      </c>
      <c r="L514" s="6" t="s">
        <v>6677</v>
      </c>
      <c r="M514" s="6" t="s">
        <v>6678</v>
      </c>
      <c r="N514" s="6" t="s">
        <v>5414</v>
      </c>
      <c r="O514" s="6" t="s">
        <v>6679</v>
      </c>
      <c r="P514" s="6" t="s">
        <v>3622</v>
      </c>
      <c r="Q514" s="6" t="s">
        <v>6038</v>
      </c>
    </row>
    <row r="515" spans="1:17" ht="36">
      <c r="A515" s="7" t="s">
        <v>6680</v>
      </c>
      <c r="B515" s="6" t="s">
        <v>343</v>
      </c>
      <c r="C515" s="6" t="s">
        <v>6681</v>
      </c>
      <c r="D515" s="6" t="s">
        <v>2007</v>
      </c>
      <c r="E515" s="6" t="s">
        <v>6682</v>
      </c>
      <c r="F515" s="6" t="s">
        <v>5813</v>
      </c>
      <c r="G515" s="6" t="s">
        <v>558</v>
      </c>
      <c r="H515" s="6" t="s">
        <v>6683</v>
      </c>
      <c r="I515" s="6" t="s">
        <v>6684</v>
      </c>
      <c r="J515" s="6" t="s">
        <v>6685</v>
      </c>
      <c r="K515" s="6" t="s">
        <v>6686</v>
      </c>
      <c r="L515" s="6" t="s">
        <v>4353</v>
      </c>
      <c r="M515" s="6" t="s">
        <v>6687</v>
      </c>
      <c r="N515" s="6" t="s">
        <v>2527</v>
      </c>
      <c r="O515" s="6" t="s">
        <v>5940</v>
      </c>
      <c r="P515" s="15"/>
      <c r="Q515" s="6" t="s">
        <v>1162</v>
      </c>
    </row>
    <row r="516" spans="1:17" ht="36">
      <c r="A516" s="7" t="s">
        <v>6688</v>
      </c>
      <c r="B516" s="6" t="s">
        <v>6689</v>
      </c>
      <c r="C516" s="6" t="s">
        <v>6690</v>
      </c>
      <c r="D516" s="6" t="s">
        <v>6691</v>
      </c>
      <c r="E516" s="6" t="s">
        <v>6692</v>
      </c>
      <c r="F516" s="6" t="s">
        <v>1369</v>
      </c>
      <c r="G516" s="6" t="s">
        <v>6693</v>
      </c>
      <c r="H516" s="6" t="s">
        <v>4956</v>
      </c>
      <c r="I516" s="6" t="s">
        <v>569</v>
      </c>
      <c r="J516" s="6" t="s">
        <v>3727</v>
      </c>
      <c r="K516" s="6" t="s">
        <v>6694</v>
      </c>
      <c r="L516" s="6" t="s">
        <v>6695</v>
      </c>
      <c r="M516" s="6" t="s">
        <v>1386</v>
      </c>
      <c r="N516" s="6" t="s">
        <v>6696</v>
      </c>
      <c r="O516" s="6" t="s">
        <v>6697</v>
      </c>
      <c r="P516" s="15"/>
      <c r="Q516" s="15"/>
    </row>
    <row r="517" spans="1:17" ht="36">
      <c r="A517" s="7" t="s">
        <v>6698</v>
      </c>
      <c r="B517" s="6" t="s">
        <v>6699</v>
      </c>
      <c r="C517" s="6" t="s">
        <v>6700</v>
      </c>
      <c r="D517" s="6" t="s">
        <v>6701</v>
      </c>
      <c r="E517" s="6" t="s">
        <v>6702</v>
      </c>
      <c r="F517" s="6" t="s">
        <v>6703</v>
      </c>
      <c r="G517" s="6" t="s">
        <v>6704</v>
      </c>
      <c r="H517" s="6" t="s">
        <v>6705</v>
      </c>
      <c r="I517" s="6" t="s">
        <v>6706</v>
      </c>
      <c r="J517" s="6" t="s">
        <v>2143</v>
      </c>
      <c r="K517" s="6" t="s">
        <v>6707</v>
      </c>
      <c r="L517" s="6" t="s">
        <v>6708</v>
      </c>
      <c r="M517" s="6" t="s">
        <v>6709</v>
      </c>
      <c r="N517" s="6" t="s">
        <v>6710</v>
      </c>
      <c r="O517" s="6" t="s">
        <v>6711</v>
      </c>
      <c r="P517" s="6" t="s">
        <v>6694</v>
      </c>
      <c r="Q517" s="6" t="s">
        <v>6712</v>
      </c>
    </row>
    <row r="518" spans="1:17" ht="36">
      <c r="A518" s="7" t="s">
        <v>6713</v>
      </c>
      <c r="B518" s="6" t="s">
        <v>6714</v>
      </c>
      <c r="C518" s="6" t="s">
        <v>6715</v>
      </c>
      <c r="D518" s="6" t="s">
        <v>3730</v>
      </c>
      <c r="E518" s="6" t="s">
        <v>6716</v>
      </c>
      <c r="F518" s="6" t="s">
        <v>6717</v>
      </c>
      <c r="G518" s="6" t="s">
        <v>6718</v>
      </c>
      <c r="H518" s="6" t="s">
        <v>6719</v>
      </c>
      <c r="I518" s="6" t="s">
        <v>4459</v>
      </c>
      <c r="J518" s="6" t="s">
        <v>6239</v>
      </c>
      <c r="K518" s="6" t="s">
        <v>4497</v>
      </c>
      <c r="L518" s="6" t="s">
        <v>6720</v>
      </c>
      <c r="M518" s="6" t="s">
        <v>6721</v>
      </c>
      <c r="N518" s="6" t="s">
        <v>6722</v>
      </c>
      <c r="O518" s="6" t="s">
        <v>6723</v>
      </c>
      <c r="P518" s="15"/>
      <c r="Q518" s="6" t="s">
        <v>4241</v>
      </c>
    </row>
    <row r="519" spans="1:17" ht="36">
      <c r="A519" s="7" t="s">
        <v>6724</v>
      </c>
      <c r="B519" s="6" t="s">
        <v>6725</v>
      </c>
      <c r="C519" s="6" t="s">
        <v>6726</v>
      </c>
      <c r="D519" s="6" t="s">
        <v>6727</v>
      </c>
      <c r="E519" s="6" t="s">
        <v>6728</v>
      </c>
      <c r="F519" s="6" t="s">
        <v>559</v>
      </c>
      <c r="G519" s="6" t="s">
        <v>6729</v>
      </c>
      <c r="H519" s="6" t="s">
        <v>6730</v>
      </c>
      <c r="I519" s="6" t="s">
        <v>448</v>
      </c>
      <c r="J519" s="6" t="s">
        <v>6731</v>
      </c>
      <c r="K519" s="6" t="s">
        <v>6732</v>
      </c>
      <c r="L519" s="6" t="s">
        <v>630</v>
      </c>
      <c r="M519" s="6" t="s">
        <v>3693</v>
      </c>
      <c r="N519" s="6" t="s">
        <v>6733</v>
      </c>
      <c r="O519" s="6" t="s">
        <v>6734</v>
      </c>
      <c r="P519" s="15"/>
      <c r="Q519" s="6" t="s">
        <v>801</v>
      </c>
    </row>
    <row r="520" spans="1:17" ht="60">
      <c r="A520" s="7" t="s">
        <v>6735</v>
      </c>
      <c r="B520" s="6" t="s">
        <v>6736</v>
      </c>
      <c r="C520" s="6" t="s">
        <v>6737</v>
      </c>
      <c r="D520" s="6" t="s">
        <v>6738</v>
      </c>
      <c r="E520" s="6" t="s">
        <v>6739</v>
      </c>
      <c r="F520" s="6" t="s">
        <v>6740</v>
      </c>
      <c r="G520" s="6" t="s">
        <v>6741</v>
      </c>
      <c r="H520" s="6" t="s">
        <v>6742</v>
      </c>
      <c r="I520" s="6" t="s">
        <v>6743</v>
      </c>
      <c r="J520" s="6" t="s">
        <v>6744</v>
      </c>
      <c r="K520" s="6" t="s">
        <v>6745</v>
      </c>
      <c r="L520" s="6" t="s">
        <v>6746</v>
      </c>
      <c r="M520" s="6" t="s">
        <v>6747</v>
      </c>
      <c r="N520" s="6" t="s">
        <v>6748</v>
      </c>
      <c r="O520" s="6" t="s">
        <v>6749</v>
      </c>
      <c r="P520" s="6" t="s">
        <v>6694</v>
      </c>
      <c r="Q520" s="6" t="s">
        <v>268</v>
      </c>
    </row>
    <row r="521" spans="1:17" ht="60">
      <c r="A521" s="7" t="s">
        <v>6750</v>
      </c>
      <c r="B521" s="6" t="s">
        <v>6751</v>
      </c>
      <c r="C521" s="6" t="s">
        <v>6752</v>
      </c>
      <c r="D521" s="6" t="s">
        <v>6753</v>
      </c>
      <c r="E521" s="6" t="s">
        <v>6754</v>
      </c>
      <c r="F521" s="6" t="s">
        <v>6755</v>
      </c>
      <c r="G521" s="6" t="s">
        <v>6756</v>
      </c>
      <c r="H521" s="6" t="s">
        <v>6757</v>
      </c>
      <c r="I521" s="6" t="s">
        <v>6758</v>
      </c>
      <c r="J521" s="6" t="s">
        <v>6759</v>
      </c>
      <c r="K521" s="6" t="s">
        <v>6760</v>
      </c>
      <c r="L521" s="6" t="s">
        <v>6761</v>
      </c>
      <c r="M521" s="6" t="s">
        <v>6762</v>
      </c>
      <c r="N521" s="6" t="s">
        <v>6763</v>
      </c>
      <c r="O521" s="6" t="s">
        <v>6764</v>
      </c>
      <c r="P521" s="6" t="s">
        <v>5422</v>
      </c>
      <c r="Q521" s="6" t="s">
        <v>6765</v>
      </c>
    </row>
    <row r="522" spans="1:17" ht="48">
      <c r="A522" s="7" t="s">
        <v>6766</v>
      </c>
      <c r="B522" s="6" t="s">
        <v>6767</v>
      </c>
      <c r="C522" s="6" t="s">
        <v>6768</v>
      </c>
      <c r="D522" s="6" t="s">
        <v>6769</v>
      </c>
      <c r="E522" s="6" t="s">
        <v>6770</v>
      </c>
      <c r="F522" s="6" t="s">
        <v>6771</v>
      </c>
      <c r="G522" s="6" t="s">
        <v>6772</v>
      </c>
      <c r="H522" s="6" t="s">
        <v>6773</v>
      </c>
      <c r="I522" s="6" t="s">
        <v>6774</v>
      </c>
      <c r="J522" s="6" t="s">
        <v>6775</v>
      </c>
      <c r="K522" s="6" t="s">
        <v>6776</v>
      </c>
      <c r="L522" s="6" t="s">
        <v>6777</v>
      </c>
      <c r="M522" s="6" t="s">
        <v>6778</v>
      </c>
      <c r="N522" s="6" t="s">
        <v>6779</v>
      </c>
      <c r="O522" s="6" t="s">
        <v>6780</v>
      </c>
      <c r="P522" s="6" t="s">
        <v>6781</v>
      </c>
      <c r="Q522" s="6" t="s">
        <v>6782</v>
      </c>
    </row>
    <row r="523" spans="1:17" ht="48">
      <c r="A523" s="7" t="s">
        <v>6783</v>
      </c>
      <c r="B523" s="6" t="s">
        <v>6784</v>
      </c>
      <c r="C523" s="6" t="s">
        <v>6785</v>
      </c>
      <c r="D523" s="6" t="s">
        <v>6786</v>
      </c>
      <c r="E523" s="6" t="s">
        <v>6787</v>
      </c>
      <c r="F523" s="6" t="s">
        <v>6788</v>
      </c>
      <c r="G523" s="6" t="s">
        <v>6789</v>
      </c>
      <c r="H523" s="6" t="s">
        <v>6790</v>
      </c>
      <c r="I523" s="6" t="s">
        <v>6791</v>
      </c>
      <c r="J523" s="6" t="s">
        <v>6792</v>
      </c>
      <c r="K523" s="6" t="s">
        <v>6793</v>
      </c>
      <c r="L523" s="6" t="s">
        <v>6794</v>
      </c>
      <c r="M523" s="6" t="s">
        <v>6795</v>
      </c>
      <c r="N523" s="6" t="s">
        <v>6796</v>
      </c>
      <c r="O523" s="6" t="s">
        <v>6797</v>
      </c>
      <c r="P523" s="6" t="s">
        <v>6798</v>
      </c>
      <c r="Q523" s="6" t="s">
        <v>6799</v>
      </c>
    </row>
    <row r="524" spans="1:17" ht="36">
      <c r="A524" s="7" t="s">
        <v>6800</v>
      </c>
      <c r="B524" s="6" t="s">
        <v>6801</v>
      </c>
      <c r="C524" s="6" t="s">
        <v>6802</v>
      </c>
      <c r="D524" s="6" t="s">
        <v>6803</v>
      </c>
      <c r="E524" s="6" t="s">
        <v>6804</v>
      </c>
      <c r="F524" s="6" t="s">
        <v>6805</v>
      </c>
      <c r="G524" s="6" t="s">
        <v>6806</v>
      </c>
      <c r="H524" s="6" t="s">
        <v>6807</v>
      </c>
      <c r="I524" s="6" t="s">
        <v>6808</v>
      </c>
      <c r="J524" s="6" t="s">
        <v>6809</v>
      </c>
      <c r="K524" s="6" t="s">
        <v>6810</v>
      </c>
      <c r="L524" s="6" t="s">
        <v>6811</v>
      </c>
      <c r="M524" s="6" t="s">
        <v>6812</v>
      </c>
      <c r="N524" s="6" t="s">
        <v>6813</v>
      </c>
      <c r="O524" s="6" t="s">
        <v>6814</v>
      </c>
      <c r="P524" s="6" t="s">
        <v>6815</v>
      </c>
      <c r="Q524" s="6" t="s">
        <v>4725</v>
      </c>
    </row>
    <row r="525" spans="1:17">
      <c r="A525" s="7" t="s">
        <v>6816</v>
      </c>
      <c r="B525" s="6" t="s">
        <v>6817</v>
      </c>
      <c r="C525" s="6" t="s">
        <v>6818</v>
      </c>
      <c r="D525" s="6" t="s">
        <v>6819</v>
      </c>
      <c r="E525" s="6" t="s">
        <v>6820</v>
      </c>
      <c r="F525" s="6" t="s">
        <v>6821</v>
      </c>
      <c r="G525" s="6" t="s">
        <v>6822</v>
      </c>
      <c r="H525" s="6" t="s">
        <v>6823</v>
      </c>
      <c r="I525" s="6" t="s">
        <v>6824</v>
      </c>
      <c r="J525" s="6" t="s">
        <v>6825</v>
      </c>
      <c r="K525" s="6" t="s">
        <v>6826</v>
      </c>
      <c r="L525" s="6" t="s">
        <v>6827</v>
      </c>
      <c r="M525" s="6" t="s">
        <v>6828</v>
      </c>
      <c r="N525" s="6" t="s">
        <v>6829</v>
      </c>
      <c r="O525" s="6" t="s">
        <v>6830</v>
      </c>
      <c r="P525" s="6" t="s">
        <v>6831</v>
      </c>
      <c r="Q525" s="6" t="s">
        <v>1454</v>
      </c>
    </row>
    <row r="526" spans="1:17">
      <c r="A526" s="7" t="s">
        <v>6832</v>
      </c>
      <c r="B526" s="6" t="s">
        <v>6833</v>
      </c>
      <c r="C526" s="6" t="s">
        <v>6834</v>
      </c>
      <c r="D526" s="6" t="s">
        <v>6835</v>
      </c>
      <c r="E526" s="6" t="s">
        <v>6836</v>
      </c>
      <c r="F526" s="6" t="s">
        <v>6837</v>
      </c>
      <c r="G526" s="6" t="s">
        <v>6838</v>
      </c>
      <c r="H526" s="6" t="s">
        <v>6839</v>
      </c>
      <c r="I526" s="6" t="s">
        <v>6840</v>
      </c>
      <c r="J526" s="6" t="s">
        <v>6841</v>
      </c>
      <c r="K526" s="6" t="s">
        <v>6842</v>
      </c>
      <c r="L526" s="6" t="s">
        <v>6843</v>
      </c>
      <c r="M526" s="6" t="s">
        <v>6844</v>
      </c>
      <c r="N526" s="6" t="s">
        <v>6845</v>
      </c>
      <c r="O526" s="6" t="s">
        <v>6846</v>
      </c>
      <c r="P526" s="6" t="s">
        <v>6847</v>
      </c>
      <c r="Q526" s="6" t="s">
        <v>6336</v>
      </c>
    </row>
    <row r="527" spans="1:17" ht="36">
      <c r="A527" s="7" t="s">
        <v>6848</v>
      </c>
      <c r="B527" s="6" t="s">
        <v>6849</v>
      </c>
      <c r="C527" s="6" t="s">
        <v>6850</v>
      </c>
      <c r="D527" s="6" t="s">
        <v>6851</v>
      </c>
      <c r="E527" s="6" t="s">
        <v>6852</v>
      </c>
      <c r="F527" s="6" t="s">
        <v>6853</v>
      </c>
      <c r="G527" s="6" t="s">
        <v>6854</v>
      </c>
      <c r="H527" s="6" t="s">
        <v>6855</v>
      </c>
      <c r="I527" s="6" t="s">
        <v>6856</v>
      </c>
      <c r="J527" s="6" t="s">
        <v>6857</v>
      </c>
      <c r="K527" s="6" t="s">
        <v>6858</v>
      </c>
      <c r="L527" s="6" t="s">
        <v>6859</v>
      </c>
      <c r="M527" s="6" t="s">
        <v>6860</v>
      </c>
      <c r="N527" s="6" t="s">
        <v>6861</v>
      </c>
      <c r="O527" s="6" t="s">
        <v>6862</v>
      </c>
      <c r="P527" s="6" t="s">
        <v>6863</v>
      </c>
      <c r="Q527" s="6" t="s">
        <v>429</v>
      </c>
    </row>
    <row r="528" spans="1:17" ht="36">
      <c r="A528" s="7" t="s">
        <v>6864</v>
      </c>
      <c r="B528" s="6" t="s">
        <v>6865</v>
      </c>
      <c r="C528" s="6" t="s">
        <v>6866</v>
      </c>
      <c r="D528" s="6" t="s">
        <v>6867</v>
      </c>
      <c r="E528" s="6" t="s">
        <v>6868</v>
      </c>
      <c r="F528" s="6" t="s">
        <v>6869</v>
      </c>
      <c r="G528" s="6" t="s">
        <v>6870</v>
      </c>
      <c r="H528" s="6" t="s">
        <v>6871</v>
      </c>
      <c r="I528" s="6" t="s">
        <v>6872</v>
      </c>
      <c r="J528" s="6" t="s">
        <v>6873</v>
      </c>
      <c r="K528" s="6" t="s">
        <v>6874</v>
      </c>
      <c r="L528" s="6" t="s">
        <v>6875</v>
      </c>
      <c r="M528" s="6" t="s">
        <v>6876</v>
      </c>
      <c r="N528" s="6" t="s">
        <v>6877</v>
      </c>
      <c r="O528" s="6" t="s">
        <v>6878</v>
      </c>
      <c r="P528" s="6" t="s">
        <v>6879</v>
      </c>
      <c r="Q528" s="6" t="s">
        <v>6880</v>
      </c>
    </row>
    <row r="529" spans="1:17" ht="36">
      <c r="A529" s="7" t="s">
        <v>6881</v>
      </c>
      <c r="B529" s="6" t="s">
        <v>6882</v>
      </c>
      <c r="C529" s="6" t="s">
        <v>6883</v>
      </c>
      <c r="D529" s="6" t="s">
        <v>6884</v>
      </c>
      <c r="E529" s="6" t="s">
        <v>6885</v>
      </c>
      <c r="F529" s="6" t="s">
        <v>6886</v>
      </c>
      <c r="G529" s="6" t="s">
        <v>6887</v>
      </c>
      <c r="H529" s="6" t="s">
        <v>6888</v>
      </c>
      <c r="I529" s="6" t="s">
        <v>6889</v>
      </c>
      <c r="J529" s="6" t="s">
        <v>6890</v>
      </c>
      <c r="K529" s="6" t="s">
        <v>6891</v>
      </c>
      <c r="L529" s="6" t="s">
        <v>6892</v>
      </c>
      <c r="M529" s="6" t="s">
        <v>6893</v>
      </c>
      <c r="N529" s="6" t="s">
        <v>6894</v>
      </c>
      <c r="O529" s="6" t="s">
        <v>6895</v>
      </c>
      <c r="P529" s="6" t="s">
        <v>6896</v>
      </c>
      <c r="Q529" s="6" t="s">
        <v>6897</v>
      </c>
    </row>
    <row r="530" spans="1:17" ht="36">
      <c r="A530" s="7" t="s">
        <v>6898</v>
      </c>
      <c r="B530" s="6" t="s">
        <v>6899</v>
      </c>
      <c r="C530" s="6" t="s">
        <v>6900</v>
      </c>
      <c r="D530" s="6" t="s">
        <v>6901</v>
      </c>
      <c r="E530" s="6" t="s">
        <v>6902</v>
      </c>
      <c r="F530" s="6" t="s">
        <v>6903</v>
      </c>
      <c r="G530" s="6" t="s">
        <v>6904</v>
      </c>
      <c r="H530" s="6" t="s">
        <v>6786</v>
      </c>
      <c r="I530" s="6" t="s">
        <v>6905</v>
      </c>
      <c r="J530" s="6" t="s">
        <v>6906</v>
      </c>
      <c r="K530" s="6" t="s">
        <v>6907</v>
      </c>
      <c r="L530" s="6" t="s">
        <v>6908</v>
      </c>
      <c r="M530" s="6" t="s">
        <v>6909</v>
      </c>
      <c r="N530" s="6" t="s">
        <v>6910</v>
      </c>
      <c r="O530" s="6" t="s">
        <v>6911</v>
      </c>
      <c r="P530" s="6" t="s">
        <v>6912</v>
      </c>
      <c r="Q530" s="6" t="s">
        <v>6913</v>
      </c>
    </row>
    <row r="531" spans="1:17" ht="24">
      <c r="A531" s="7" t="s">
        <v>6914</v>
      </c>
      <c r="B531" s="6" t="s">
        <v>2261</v>
      </c>
      <c r="C531" s="6" t="s">
        <v>6915</v>
      </c>
      <c r="D531" s="6" t="s">
        <v>6916</v>
      </c>
      <c r="E531" s="6" t="s">
        <v>6917</v>
      </c>
      <c r="F531" s="6" t="s">
        <v>6918</v>
      </c>
      <c r="G531" s="6" t="s">
        <v>6919</v>
      </c>
      <c r="H531" s="6" t="s">
        <v>6920</v>
      </c>
      <c r="I531" s="6" t="s">
        <v>6921</v>
      </c>
      <c r="J531" s="6" t="s">
        <v>6922</v>
      </c>
      <c r="K531" s="6" t="s">
        <v>6923</v>
      </c>
      <c r="L531" s="6" t="s">
        <v>6924</v>
      </c>
      <c r="M531" s="6" t="s">
        <v>6925</v>
      </c>
      <c r="N531" s="6" t="s">
        <v>6926</v>
      </c>
      <c r="O531" s="6" t="s">
        <v>6927</v>
      </c>
      <c r="P531" s="6" t="s">
        <v>6928</v>
      </c>
      <c r="Q531" s="6" t="s">
        <v>6929</v>
      </c>
    </row>
    <row r="532" spans="1:17" ht="24">
      <c r="A532" s="7" t="s">
        <v>6930</v>
      </c>
      <c r="B532" s="6" t="s">
        <v>6931</v>
      </c>
      <c r="C532" s="6" t="s">
        <v>6932</v>
      </c>
      <c r="D532" s="6" t="s">
        <v>6933</v>
      </c>
      <c r="E532" s="6" t="s">
        <v>6934</v>
      </c>
      <c r="F532" s="6" t="s">
        <v>6935</v>
      </c>
      <c r="G532" s="6" t="s">
        <v>6936</v>
      </c>
      <c r="H532" s="6" t="s">
        <v>6937</v>
      </c>
      <c r="I532" s="6" t="s">
        <v>6938</v>
      </c>
      <c r="J532" s="6" t="s">
        <v>6939</v>
      </c>
      <c r="K532" s="6" t="s">
        <v>6940</v>
      </c>
      <c r="L532" s="6" t="s">
        <v>6941</v>
      </c>
      <c r="M532" s="6" t="s">
        <v>6942</v>
      </c>
      <c r="N532" s="6" t="s">
        <v>6943</v>
      </c>
      <c r="O532" s="6" t="s">
        <v>6944</v>
      </c>
      <c r="P532" s="6" t="s">
        <v>6945</v>
      </c>
      <c r="Q532" s="6" t="s">
        <v>6946</v>
      </c>
    </row>
    <row r="533" spans="1:17" ht="24">
      <c r="A533" s="7" t="s">
        <v>6947</v>
      </c>
      <c r="B533" s="6" t="s">
        <v>6948</v>
      </c>
      <c r="C533" s="6" t="s">
        <v>6949</v>
      </c>
      <c r="D533" s="6" t="s">
        <v>6950</v>
      </c>
      <c r="E533" s="6" t="s">
        <v>6951</v>
      </c>
      <c r="F533" s="6" t="s">
        <v>6952</v>
      </c>
      <c r="G533" s="6" t="s">
        <v>6953</v>
      </c>
      <c r="H533" s="6" t="s">
        <v>6954</v>
      </c>
      <c r="I533" s="6" t="s">
        <v>3777</v>
      </c>
      <c r="J533" s="6" t="s">
        <v>1049</v>
      </c>
      <c r="K533" s="6" t="s">
        <v>6955</v>
      </c>
      <c r="L533" s="6" t="s">
        <v>6956</v>
      </c>
      <c r="M533" s="6" t="s">
        <v>6957</v>
      </c>
      <c r="N533" s="6" t="s">
        <v>6958</v>
      </c>
      <c r="O533" s="6" t="s">
        <v>6959</v>
      </c>
      <c r="P533" s="6" t="s">
        <v>6960</v>
      </c>
      <c r="Q533" s="6" t="s">
        <v>2851</v>
      </c>
    </row>
    <row r="534" spans="1:17" ht="24">
      <c r="A534" s="7" t="s">
        <v>6961</v>
      </c>
      <c r="B534" s="6" t="s">
        <v>1829</v>
      </c>
      <c r="C534" s="6" t="s">
        <v>6962</v>
      </c>
      <c r="D534" s="6" t="s">
        <v>6963</v>
      </c>
      <c r="E534" s="6" t="s">
        <v>6964</v>
      </c>
      <c r="F534" s="6" t="s">
        <v>6965</v>
      </c>
      <c r="G534" s="6" t="s">
        <v>6966</v>
      </c>
      <c r="H534" s="6" t="s">
        <v>6967</v>
      </c>
      <c r="I534" s="6" t="s">
        <v>3419</v>
      </c>
      <c r="J534" s="6" t="s">
        <v>6968</v>
      </c>
      <c r="K534" s="6" t="s">
        <v>6969</v>
      </c>
      <c r="L534" s="6" t="s">
        <v>6970</v>
      </c>
      <c r="M534" s="6" t="s">
        <v>6971</v>
      </c>
      <c r="N534" s="6" t="s">
        <v>6972</v>
      </c>
      <c r="O534" s="6" t="s">
        <v>2794</v>
      </c>
      <c r="P534" s="6" t="s">
        <v>4174</v>
      </c>
      <c r="Q534" s="15"/>
    </row>
    <row r="535" spans="1:17" ht="24">
      <c r="A535" s="7" t="s">
        <v>6973</v>
      </c>
      <c r="B535" s="6" t="s">
        <v>6974</v>
      </c>
      <c r="C535" s="6" t="s">
        <v>3956</v>
      </c>
      <c r="D535" s="6" t="s">
        <v>6975</v>
      </c>
      <c r="E535" s="6" t="s">
        <v>6976</v>
      </c>
      <c r="F535" s="6" t="s">
        <v>6977</v>
      </c>
      <c r="G535" s="6" t="s">
        <v>6978</v>
      </c>
      <c r="H535" s="6" t="s">
        <v>6979</v>
      </c>
      <c r="I535" s="6" t="s">
        <v>6522</v>
      </c>
      <c r="J535" s="6" t="s">
        <v>6980</v>
      </c>
      <c r="K535" s="6" t="s">
        <v>6981</v>
      </c>
      <c r="L535" s="6" t="s">
        <v>5483</v>
      </c>
      <c r="M535" s="6" t="s">
        <v>6982</v>
      </c>
      <c r="N535" s="6" t="s">
        <v>6983</v>
      </c>
      <c r="O535" s="6" t="s">
        <v>6984</v>
      </c>
      <c r="P535" s="6" t="s">
        <v>6985</v>
      </c>
      <c r="Q535" s="6" t="s">
        <v>981</v>
      </c>
    </row>
    <row r="536" spans="1:17" ht="24">
      <c r="A536" s="7" t="s">
        <v>6986</v>
      </c>
      <c r="B536" s="6" t="s">
        <v>6987</v>
      </c>
      <c r="C536" s="6" t="s">
        <v>6988</v>
      </c>
      <c r="D536" s="6" t="s">
        <v>6989</v>
      </c>
      <c r="E536" s="6" t="s">
        <v>6990</v>
      </c>
      <c r="F536" s="6" t="s">
        <v>6991</v>
      </c>
      <c r="G536" s="6" t="s">
        <v>6992</v>
      </c>
      <c r="H536" s="6" t="s">
        <v>6993</v>
      </c>
      <c r="I536" s="6" t="s">
        <v>6994</v>
      </c>
      <c r="J536" s="6" t="s">
        <v>6995</v>
      </c>
      <c r="K536" s="6" t="s">
        <v>6996</v>
      </c>
      <c r="L536" s="6" t="s">
        <v>6997</v>
      </c>
      <c r="M536" s="6" t="s">
        <v>6998</v>
      </c>
      <c r="N536" s="6" t="s">
        <v>6999</v>
      </c>
      <c r="O536" s="6" t="s">
        <v>7000</v>
      </c>
      <c r="P536" s="6" t="s">
        <v>7001</v>
      </c>
      <c r="Q536" s="6" t="s">
        <v>7002</v>
      </c>
    </row>
    <row r="537" spans="1:17" ht="24">
      <c r="A537" s="7" t="s">
        <v>7003</v>
      </c>
      <c r="B537" s="6" t="s">
        <v>888</v>
      </c>
      <c r="C537" s="6" t="s">
        <v>7004</v>
      </c>
      <c r="D537" s="6" t="s">
        <v>6537</v>
      </c>
      <c r="E537" s="6" t="s">
        <v>7005</v>
      </c>
      <c r="F537" s="6" t="s">
        <v>7006</v>
      </c>
      <c r="G537" s="6" t="s">
        <v>7007</v>
      </c>
      <c r="H537" s="6" t="s">
        <v>6091</v>
      </c>
      <c r="I537" s="6" t="s">
        <v>7008</v>
      </c>
      <c r="J537" s="6" t="s">
        <v>4434</v>
      </c>
      <c r="K537" s="6" t="s">
        <v>7009</v>
      </c>
      <c r="L537" s="6" t="s">
        <v>7010</v>
      </c>
      <c r="M537" s="6" t="s">
        <v>7011</v>
      </c>
      <c r="N537" s="6" t="s">
        <v>7012</v>
      </c>
      <c r="O537" s="6" t="s">
        <v>7013</v>
      </c>
      <c r="P537" s="6" t="s">
        <v>7014</v>
      </c>
      <c r="Q537" s="15"/>
    </row>
    <row r="538" spans="1:17" ht="24">
      <c r="A538" s="7" t="s">
        <v>7015</v>
      </c>
      <c r="B538" s="6" t="s">
        <v>7016</v>
      </c>
      <c r="C538" s="6" t="s">
        <v>7017</v>
      </c>
      <c r="D538" s="6" t="s">
        <v>7018</v>
      </c>
      <c r="E538" s="6" t="s">
        <v>7019</v>
      </c>
      <c r="F538" s="6" t="s">
        <v>7020</v>
      </c>
      <c r="G538" s="6" t="s">
        <v>7021</v>
      </c>
      <c r="H538" s="6" t="s">
        <v>6728</v>
      </c>
      <c r="I538" s="6" t="s">
        <v>7022</v>
      </c>
      <c r="J538" s="6" t="s">
        <v>7023</v>
      </c>
      <c r="K538" s="6" t="s">
        <v>7024</v>
      </c>
      <c r="L538" s="6" t="s">
        <v>7025</v>
      </c>
      <c r="M538" s="6" t="s">
        <v>3154</v>
      </c>
      <c r="N538" s="6" t="s">
        <v>7026</v>
      </c>
      <c r="O538" s="6" t="s">
        <v>3188</v>
      </c>
      <c r="P538" s="6" t="s">
        <v>568</v>
      </c>
      <c r="Q538" s="6" t="s">
        <v>7027</v>
      </c>
    </row>
    <row r="539" spans="1:17" ht="48">
      <c r="A539" s="7" t="s">
        <v>7028</v>
      </c>
      <c r="B539" s="6" t="s">
        <v>7029</v>
      </c>
      <c r="C539" s="6" t="s">
        <v>7030</v>
      </c>
      <c r="D539" s="6" t="s">
        <v>7031</v>
      </c>
      <c r="E539" s="6" t="s">
        <v>7032</v>
      </c>
      <c r="F539" s="6" t="s">
        <v>7033</v>
      </c>
      <c r="G539" s="6" t="s">
        <v>7034</v>
      </c>
      <c r="H539" s="6" t="s">
        <v>7035</v>
      </c>
      <c r="I539" s="6" t="s">
        <v>7036</v>
      </c>
      <c r="J539" s="6" t="s">
        <v>266</v>
      </c>
      <c r="K539" s="6" t="s">
        <v>7037</v>
      </c>
      <c r="L539" s="6" t="s">
        <v>7038</v>
      </c>
      <c r="M539" s="6" t="s">
        <v>7039</v>
      </c>
      <c r="N539" s="6" t="s">
        <v>7040</v>
      </c>
      <c r="O539" s="6" t="s">
        <v>7041</v>
      </c>
      <c r="P539" s="6" t="s">
        <v>863</v>
      </c>
      <c r="Q539" s="6" t="s">
        <v>2487</v>
      </c>
    </row>
    <row r="540" spans="1:17" ht="36">
      <c r="A540" s="7" t="s">
        <v>7042</v>
      </c>
      <c r="B540" s="6" t="s">
        <v>2854</v>
      </c>
      <c r="C540" s="6" t="s">
        <v>7043</v>
      </c>
      <c r="D540" s="6" t="s">
        <v>7044</v>
      </c>
      <c r="E540" s="6" t="s">
        <v>7045</v>
      </c>
      <c r="F540" s="6" t="s">
        <v>7046</v>
      </c>
      <c r="G540" s="6" t="s">
        <v>7047</v>
      </c>
      <c r="H540" s="6" t="s">
        <v>6427</v>
      </c>
      <c r="I540" s="6" t="s">
        <v>7048</v>
      </c>
      <c r="J540" s="6" t="s">
        <v>7049</v>
      </c>
      <c r="K540" s="6" t="s">
        <v>7050</v>
      </c>
      <c r="L540" s="6" t="s">
        <v>7051</v>
      </c>
      <c r="M540" s="6" t="s">
        <v>7052</v>
      </c>
      <c r="N540" s="6" t="s">
        <v>7053</v>
      </c>
      <c r="O540" s="6" t="s">
        <v>7054</v>
      </c>
      <c r="P540" s="6" t="s">
        <v>7055</v>
      </c>
      <c r="Q540" s="6" t="s">
        <v>7056</v>
      </c>
    </row>
    <row r="541" spans="1:17" ht="24">
      <c r="A541" s="7" t="s">
        <v>7057</v>
      </c>
      <c r="B541" s="6" t="s">
        <v>7058</v>
      </c>
      <c r="C541" s="6" t="s">
        <v>7059</v>
      </c>
      <c r="D541" s="6" t="s">
        <v>7060</v>
      </c>
      <c r="E541" s="6" t="s">
        <v>7061</v>
      </c>
      <c r="F541" s="6" t="s">
        <v>7062</v>
      </c>
      <c r="G541" s="6" t="s">
        <v>7063</v>
      </c>
      <c r="H541" s="6" t="s">
        <v>7064</v>
      </c>
      <c r="I541" s="6" t="s">
        <v>7065</v>
      </c>
      <c r="J541" s="6" t="s">
        <v>7066</v>
      </c>
      <c r="K541" s="6" t="s">
        <v>7067</v>
      </c>
      <c r="L541" s="6" t="s">
        <v>7068</v>
      </c>
      <c r="M541" s="6" t="s">
        <v>2387</v>
      </c>
      <c r="N541" s="6" t="s">
        <v>7069</v>
      </c>
      <c r="O541" s="6" t="s">
        <v>7070</v>
      </c>
      <c r="P541" s="6" t="s">
        <v>7071</v>
      </c>
      <c r="Q541" s="6" t="s">
        <v>7056</v>
      </c>
    </row>
    <row r="542" spans="1:17" ht="24">
      <c r="A542" s="7" t="s">
        <v>7072</v>
      </c>
      <c r="B542" s="6" t="s">
        <v>7073</v>
      </c>
      <c r="C542" s="6" t="s">
        <v>7074</v>
      </c>
      <c r="D542" s="6" t="s">
        <v>7075</v>
      </c>
      <c r="E542" s="6" t="s">
        <v>7076</v>
      </c>
      <c r="F542" s="6" t="s">
        <v>7077</v>
      </c>
      <c r="G542" s="6" t="s">
        <v>7078</v>
      </c>
      <c r="H542" s="6" t="s">
        <v>801</v>
      </c>
      <c r="I542" s="6" t="s">
        <v>7079</v>
      </c>
      <c r="J542" s="6" t="s">
        <v>974</v>
      </c>
      <c r="K542" s="6" t="s">
        <v>7080</v>
      </c>
      <c r="L542" s="6" t="s">
        <v>7081</v>
      </c>
      <c r="M542" s="6" t="s">
        <v>7082</v>
      </c>
      <c r="N542" s="6" t="s">
        <v>7083</v>
      </c>
      <c r="O542" s="6" t="s">
        <v>7006</v>
      </c>
      <c r="P542" s="6" t="s">
        <v>3948</v>
      </c>
      <c r="Q542" s="15"/>
    </row>
    <row r="543" spans="1:17" ht="36">
      <c r="A543" s="7" t="s">
        <v>7084</v>
      </c>
      <c r="B543" s="6" t="s">
        <v>7085</v>
      </c>
      <c r="C543" s="6" t="s">
        <v>7086</v>
      </c>
      <c r="D543" s="6" t="s">
        <v>7087</v>
      </c>
      <c r="E543" s="6" t="s">
        <v>7088</v>
      </c>
      <c r="F543" s="6" t="s">
        <v>6321</v>
      </c>
      <c r="G543" s="6" t="s">
        <v>7089</v>
      </c>
      <c r="H543" s="6" t="s">
        <v>7090</v>
      </c>
      <c r="I543" s="6" t="s">
        <v>7091</v>
      </c>
      <c r="J543" s="6" t="s">
        <v>5805</v>
      </c>
      <c r="K543" s="6" t="s">
        <v>7092</v>
      </c>
      <c r="L543" s="6" t="s">
        <v>7093</v>
      </c>
      <c r="M543" s="6" t="s">
        <v>1368</v>
      </c>
      <c r="N543" s="6" t="s">
        <v>1326</v>
      </c>
      <c r="O543" s="6" t="s">
        <v>7094</v>
      </c>
      <c r="P543" s="6" t="s">
        <v>2178</v>
      </c>
      <c r="Q543" s="15"/>
    </row>
    <row r="544" spans="1:17" ht="36">
      <c r="A544" s="7" t="s">
        <v>7095</v>
      </c>
      <c r="B544" s="6" t="s">
        <v>7096</v>
      </c>
      <c r="C544" s="6" t="s">
        <v>7097</v>
      </c>
      <c r="D544" s="6" t="s">
        <v>7098</v>
      </c>
      <c r="E544" s="6" t="s">
        <v>7099</v>
      </c>
      <c r="F544" s="6" t="s">
        <v>7100</v>
      </c>
      <c r="G544" s="6" t="s">
        <v>7101</v>
      </c>
      <c r="H544" s="6" t="s">
        <v>7102</v>
      </c>
      <c r="I544" s="6" t="s">
        <v>7103</v>
      </c>
      <c r="J544" s="6" t="s">
        <v>7104</v>
      </c>
      <c r="K544" s="6" t="s">
        <v>7105</v>
      </c>
      <c r="L544" s="6" t="s">
        <v>7106</v>
      </c>
      <c r="M544" s="6" t="s">
        <v>7107</v>
      </c>
      <c r="N544" s="6" t="s">
        <v>7108</v>
      </c>
      <c r="O544" s="6" t="s">
        <v>7109</v>
      </c>
      <c r="P544" s="6" t="s">
        <v>7110</v>
      </c>
      <c r="Q544" s="6" t="s">
        <v>7111</v>
      </c>
    </row>
    <row r="545" spans="1:17" ht="24">
      <c r="A545" s="7" t="s">
        <v>7112</v>
      </c>
      <c r="B545" s="6" t="s">
        <v>7113</v>
      </c>
      <c r="C545" s="6" t="s">
        <v>7114</v>
      </c>
      <c r="D545" s="6" t="s">
        <v>7115</v>
      </c>
      <c r="E545" s="6" t="s">
        <v>7116</v>
      </c>
      <c r="F545" s="6" t="s">
        <v>7117</v>
      </c>
      <c r="G545" s="6" t="s">
        <v>7118</v>
      </c>
      <c r="H545" s="6" t="s">
        <v>7119</v>
      </c>
      <c r="I545" s="6" t="s">
        <v>7120</v>
      </c>
      <c r="J545" s="6" t="s">
        <v>7121</v>
      </c>
      <c r="K545" s="6" t="s">
        <v>7122</v>
      </c>
      <c r="L545" s="6" t="s">
        <v>7123</v>
      </c>
      <c r="M545" s="6" t="s">
        <v>7124</v>
      </c>
      <c r="N545" s="6" t="s">
        <v>7125</v>
      </c>
      <c r="O545" s="6" t="s">
        <v>7126</v>
      </c>
      <c r="P545" s="6" t="s">
        <v>7127</v>
      </c>
      <c r="Q545" s="6" t="s">
        <v>2649</v>
      </c>
    </row>
    <row r="546" spans="1:17" ht="36">
      <c r="A546" s="7" t="s">
        <v>7128</v>
      </c>
      <c r="B546" s="6" t="s">
        <v>7129</v>
      </c>
      <c r="C546" s="6" t="s">
        <v>7130</v>
      </c>
      <c r="D546" s="6" t="s">
        <v>7131</v>
      </c>
      <c r="E546" s="6" t="s">
        <v>7132</v>
      </c>
      <c r="F546" s="6" t="s">
        <v>7133</v>
      </c>
      <c r="G546" s="6" t="s">
        <v>7134</v>
      </c>
      <c r="H546" s="6" t="s">
        <v>7135</v>
      </c>
      <c r="I546" s="6" t="s">
        <v>7136</v>
      </c>
      <c r="J546" s="6" t="s">
        <v>7137</v>
      </c>
      <c r="K546" s="6" t="s">
        <v>7138</v>
      </c>
      <c r="L546" s="6" t="s">
        <v>7139</v>
      </c>
      <c r="M546" s="6" t="s">
        <v>7140</v>
      </c>
      <c r="N546" s="6" t="s">
        <v>5261</v>
      </c>
      <c r="O546" s="6" t="s">
        <v>7141</v>
      </c>
      <c r="P546" s="6" t="s">
        <v>7142</v>
      </c>
      <c r="Q546" s="6" t="s">
        <v>3979</v>
      </c>
    </row>
    <row r="547" spans="1:17" ht="36">
      <c r="A547" s="8" t="s">
        <v>7143</v>
      </c>
      <c r="B547" s="9" t="s">
        <v>6689</v>
      </c>
      <c r="C547" s="9" t="s">
        <v>7144</v>
      </c>
      <c r="D547" s="9" t="s">
        <v>7145</v>
      </c>
      <c r="E547" s="9" t="s">
        <v>7146</v>
      </c>
      <c r="F547" s="9" t="s">
        <v>7147</v>
      </c>
      <c r="G547" s="9" t="s">
        <v>7148</v>
      </c>
      <c r="H547" s="9" t="s">
        <v>7149</v>
      </c>
      <c r="I547" s="9" t="s">
        <v>3846</v>
      </c>
      <c r="J547" s="9" t="s">
        <v>7150</v>
      </c>
      <c r="K547" s="9" t="s">
        <v>7151</v>
      </c>
      <c r="L547" s="9" t="s">
        <v>7152</v>
      </c>
      <c r="M547" s="9" t="s">
        <v>7153</v>
      </c>
      <c r="N547" s="9" t="s">
        <v>7154</v>
      </c>
      <c r="O547" s="9" t="s">
        <v>7155</v>
      </c>
      <c r="P547" s="9" t="s">
        <v>7156</v>
      </c>
      <c r="Q547" s="9" t="s">
        <v>7157</v>
      </c>
    </row>
    <row r="548" spans="1:17" ht="15.6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</row>
    <row r="549" spans="1:17" ht="15.6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 spans="1:17">
      <c r="A550" s="16" t="s">
        <v>7158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1:17">
      <c r="A551" s="17" t="s">
        <v>159</v>
      </c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 spans="1:17">
      <c r="A552" s="130" t="s">
        <v>160</v>
      </c>
      <c r="B552" s="134" t="s">
        <v>161</v>
      </c>
      <c r="C552" s="136" t="s">
        <v>162</v>
      </c>
      <c r="D552" s="125"/>
      <c r="E552" s="125"/>
      <c r="F552" s="125"/>
      <c r="G552" s="125"/>
      <c r="H552" s="125"/>
      <c r="I552" s="125"/>
      <c r="J552" s="126"/>
      <c r="K552" s="136" t="s">
        <v>163</v>
      </c>
      <c r="L552" s="125"/>
      <c r="M552" s="126"/>
      <c r="N552" s="136" t="s">
        <v>164</v>
      </c>
      <c r="O552" s="125"/>
      <c r="P552" s="125"/>
      <c r="Q552" s="125"/>
    </row>
    <row r="553" spans="1:17">
      <c r="A553" s="128"/>
      <c r="B553" s="132"/>
      <c r="C553" s="132"/>
      <c r="D553" s="134" t="s">
        <v>165</v>
      </c>
      <c r="E553" s="134" t="s">
        <v>166</v>
      </c>
      <c r="F553" s="134" t="s">
        <v>167</v>
      </c>
      <c r="G553" s="136" t="s">
        <v>168</v>
      </c>
      <c r="H553" s="125"/>
      <c r="I553" s="125"/>
      <c r="J553" s="126"/>
      <c r="K553" s="132"/>
      <c r="L553" s="136" t="s">
        <v>169</v>
      </c>
      <c r="M553" s="13"/>
      <c r="N553" s="132"/>
      <c r="O553" s="136" t="s">
        <v>170</v>
      </c>
      <c r="P553" s="125"/>
      <c r="Q553" s="125"/>
    </row>
    <row r="554" spans="1:17">
      <c r="A554" s="128"/>
      <c r="B554" s="132"/>
      <c r="C554" s="132"/>
      <c r="D554" s="132"/>
      <c r="E554" s="132"/>
      <c r="F554" s="132"/>
      <c r="G554" s="132"/>
      <c r="H554" s="134" t="s">
        <v>171</v>
      </c>
      <c r="I554" s="136" t="s">
        <v>854</v>
      </c>
      <c r="J554" s="13"/>
      <c r="K554" s="132"/>
      <c r="L554" s="132"/>
      <c r="M554" s="134" t="s">
        <v>173</v>
      </c>
      <c r="N554" s="132"/>
      <c r="O554" s="132"/>
      <c r="P554" s="134" t="s">
        <v>174</v>
      </c>
      <c r="Q554" s="136" t="s">
        <v>175</v>
      </c>
    </row>
    <row r="555" spans="1:17">
      <c r="A555" s="129"/>
      <c r="B555" s="133"/>
      <c r="C555" s="133"/>
      <c r="D555" s="133"/>
      <c r="E555" s="133"/>
      <c r="F555" s="133"/>
      <c r="G555" s="133"/>
      <c r="H555" s="133"/>
      <c r="I555" s="133"/>
      <c r="J555" s="22" t="s">
        <v>176</v>
      </c>
      <c r="K555" s="133"/>
      <c r="L555" s="133"/>
      <c r="M555" s="133"/>
      <c r="N555" s="133"/>
      <c r="O555" s="133"/>
      <c r="P555" s="133"/>
      <c r="Q555" s="137"/>
    </row>
    <row r="556" spans="1:17" ht="36">
      <c r="A556" s="18" t="s">
        <v>7159</v>
      </c>
      <c r="B556" s="19" t="s">
        <v>7160</v>
      </c>
      <c r="C556" s="19" t="s">
        <v>7161</v>
      </c>
      <c r="D556" s="19" t="s">
        <v>7162</v>
      </c>
      <c r="E556" s="19" t="s">
        <v>7163</v>
      </c>
      <c r="F556" s="19" t="s">
        <v>7164</v>
      </c>
      <c r="G556" s="19" t="s">
        <v>7165</v>
      </c>
      <c r="H556" s="19" t="s">
        <v>7166</v>
      </c>
      <c r="I556" s="19" t="s">
        <v>7167</v>
      </c>
      <c r="J556" s="19" t="s">
        <v>7168</v>
      </c>
      <c r="K556" s="19" t="s">
        <v>7169</v>
      </c>
      <c r="L556" s="19" t="s">
        <v>7170</v>
      </c>
      <c r="M556" s="19" t="s">
        <v>7171</v>
      </c>
      <c r="N556" s="19" t="s">
        <v>7172</v>
      </c>
      <c r="O556" s="19" t="s">
        <v>7173</v>
      </c>
      <c r="P556" s="19" t="s">
        <v>7174</v>
      </c>
      <c r="Q556" s="19" t="s">
        <v>3914</v>
      </c>
    </row>
    <row r="557" spans="1:17" ht="36">
      <c r="A557" s="18" t="s">
        <v>7175</v>
      </c>
      <c r="B557" s="19" t="s">
        <v>7176</v>
      </c>
      <c r="C557" s="19" t="s">
        <v>7177</v>
      </c>
      <c r="D557" s="19" t="s">
        <v>7178</v>
      </c>
      <c r="E557" s="19" t="s">
        <v>7179</v>
      </c>
      <c r="F557" s="19" t="s">
        <v>7180</v>
      </c>
      <c r="G557" s="19" t="s">
        <v>7181</v>
      </c>
      <c r="H557" s="19" t="s">
        <v>7182</v>
      </c>
      <c r="I557" s="19" t="s">
        <v>7183</v>
      </c>
      <c r="J557" s="19" t="s">
        <v>7184</v>
      </c>
      <c r="K557" s="19" t="s">
        <v>7185</v>
      </c>
      <c r="L557" s="19" t="s">
        <v>7186</v>
      </c>
      <c r="M557" s="19" t="s">
        <v>7187</v>
      </c>
      <c r="N557" s="19" t="s">
        <v>7188</v>
      </c>
      <c r="O557" s="19" t="s">
        <v>7189</v>
      </c>
      <c r="P557" s="19" t="s">
        <v>7190</v>
      </c>
      <c r="Q557" s="19" t="s">
        <v>7191</v>
      </c>
    </row>
    <row r="558" spans="1:17" ht="36">
      <c r="A558" s="18" t="s">
        <v>7192</v>
      </c>
      <c r="B558" s="19" t="s">
        <v>7193</v>
      </c>
      <c r="C558" s="19" t="s">
        <v>7194</v>
      </c>
      <c r="D558" s="19" t="s">
        <v>7195</v>
      </c>
      <c r="E558" s="19" t="s">
        <v>7196</v>
      </c>
      <c r="F558" s="19" t="s">
        <v>7197</v>
      </c>
      <c r="G558" s="19" t="s">
        <v>7198</v>
      </c>
      <c r="H558" s="19" t="s">
        <v>7199</v>
      </c>
      <c r="I558" s="19" t="s">
        <v>7200</v>
      </c>
      <c r="J558" s="19" t="s">
        <v>7201</v>
      </c>
      <c r="K558" s="19" t="s">
        <v>7202</v>
      </c>
      <c r="L558" s="19" t="s">
        <v>7203</v>
      </c>
      <c r="M558" s="19" t="s">
        <v>7204</v>
      </c>
      <c r="N558" s="19" t="s">
        <v>7205</v>
      </c>
      <c r="O558" s="19" t="s">
        <v>7206</v>
      </c>
      <c r="P558" s="19" t="s">
        <v>7207</v>
      </c>
      <c r="Q558" s="19" t="s">
        <v>7208</v>
      </c>
    </row>
    <row r="559" spans="1:17" ht="36">
      <c r="A559" s="18" t="s">
        <v>7209</v>
      </c>
      <c r="B559" s="19" t="s">
        <v>7210</v>
      </c>
      <c r="C559" s="19" t="s">
        <v>7211</v>
      </c>
      <c r="D559" s="19" t="s">
        <v>7212</v>
      </c>
      <c r="E559" s="19" t="s">
        <v>7213</v>
      </c>
      <c r="F559" s="19" t="s">
        <v>7214</v>
      </c>
      <c r="G559" s="19" t="s">
        <v>7215</v>
      </c>
      <c r="H559" s="19" t="s">
        <v>7216</v>
      </c>
      <c r="I559" s="19" t="s">
        <v>7217</v>
      </c>
      <c r="J559" s="19" t="s">
        <v>7218</v>
      </c>
      <c r="K559" s="19" t="s">
        <v>7219</v>
      </c>
      <c r="L559" s="19" t="s">
        <v>7220</v>
      </c>
      <c r="M559" s="19" t="s">
        <v>7221</v>
      </c>
      <c r="N559" s="19" t="s">
        <v>7222</v>
      </c>
      <c r="O559" s="19" t="s">
        <v>7223</v>
      </c>
      <c r="P559" s="19" t="s">
        <v>7224</v>
      </c>
      <c r="Q559" s="19" t="s">
        <v>7225</v>
      </c>
    </row>
    <row r="560" spans="1:17" ht="36">
      <c r="A560" s="18" t="s">
        <v>7226</v>
      </c>
      <c r="B560" s="19" t="s">
        <v>7227</v>
      </c>
      <c r="C560" s="19" t="s">
        <v>7228</v>
      </c>
      <c r="D560" s="19" t="s">
        <v>3216</v>
      </c>
      <c r="E560" s="19" t="s">
        <v>7229</v>
      </c>
      <c r="F560" s="19" t="s">
        <v>7230</v>
      </c>
      <c r="G560" s="19" t="s">
        <v>7231</v>
      </c>
      <c r="H560" s="19" t="s">
        <v>7232</v>
      </c>
      <c r="I560" s="19" t="s">
        <v>7233</v>
      </c>
      <c r="J560" s="19" t="s">
        <v>7234</v>
      </c>
      <c r="K560" s="19" t="s">
        <v>7235</v>
      </c>
      <c r="L560" s="19" t="s">
        <v>7236</v>
      </c>
      <c r="M560" s="19" t="s">
        <v>7237</v>
      </c>
      <c r="N560" s="19" t="s">
        <v>4283</v>
      </c>
      <c r="O560" s="19" t="s">
        <v>7238</v>
      </c>
      <c r="P560" s="19" t="s">
        <v>4530</v>
      </c>
      <c r="Q560" s="19" t="s">
        <v>1359</v>
      </c>
    </row>
    <row r="561" spans="1:17" ht="48">
      <c r="A561" s="18" t="s">
        <v>7239</v>
      </c>
      <c r="B561" s="19" t="s">
        <v>7029</v>
      </c>
      <c r="C561" s="19" t="s">
        <v>7240</v>
      </c>
      <c r="D561" s="19" t="s">
        <v>7241</v>
      </c>
      <c r="E561" s="19" t="s">
        <v>7242</v>
      </c>
      <c r="F561" s="19" t="s">
        <v>7243</v>
      </c>
      <c r="G561" s="19" t="s">
        <v>7244</v>
      </c>
      <c r="H561" s="19" t="s">
        <v>7245</v>
      </c>
      <c r="I561" s="19" t="s">
        <v>257</v>
      </c>
      <c r="J561" s="19" t="s">
        <v>7246</v>
      </c>
      <c r="K561" s="19" t="s">
        <v>7247</v>
      </c>
      <c r="L561" s="19" t="s">
        <v>7248</v>
      </c>
      <c r="M561" s="19" t="s">
        <v>7249</v>
      </c>
      <c r="N561" s="19" t="s">
        <v>7250</v>
      </c>
      <c r="O561" s="19" t="s">
        <v>7251</v>
      </c>
      <c r="P561" s="19" t="s">
        <v>7252</v>
      </c>
      <c r="Q561" s="19" t="s">
        <v>3622</v>
      </c>
    </row>
    <row r="562" spans="1:17" ht="48">
      <c r="A562" s="18" t="s">
        <v>7253</v>
      </c>
      <c r="B562" s="19" t="s">
        <v>7254</v>
      </c>
      <c r="C562" s="19" t="s">
        <v>7255</v>
      </c>
      <c r="D562" s="19" t="s">
        <v>7256</v>
      </c>
      <c r="E562" s="19" t="s">
        <v>7257</v>
      </c>
      <c r="F562" s="19" t="s">
        <v>7258</v>
      </c>
      <c r="G562" s="19" t="s">
        <v>7259</v>
      </c>
      <c r="H562" s="19" t="s">
        <v>7260</v>
      </c>
      <c r="I562" s="19" t="s">
        <v>7261</v>
      </c>
      <c r="J562" s="19" t="s">
        <v>7262</v>
      </c>
      <c r="K562" s="19" t="s">
        <v>7263</v>
      </c>
      <c r="L562" s="19" t="s">
        <v>7264</v>
      </c>
      <c r="M562" s="19" t="s">
        <v>7265</v>
      </c>
      <c r="N562" s="19" t="s">
        <v>7266</v>
      </c>
      <c r="O562" s="19" t="s">
        <v>7267</v>
      </c>
      <c r="P562" s="19" t="s">
        <v>7268</v>
      </c>
      <c r="Q562" s="19" t="s">
        <v>7269</v>
      </c>
    </row>
    <row r="563" spans="1:17" ht="24">
      <c r="A563" s="18" t="s">
        <v>7270</v>
      </c>
      <c r="B563" s="19" t="s">
        <v>7271</v>
      </c>
      <c r="C563" s="19" t="s">
        <v>7272</v>
      </c>
      <c r="D563" s="19" t="s">
        <v>7273</v>
      </c>
      <c r="E563" s="19" t="s">
        <v>7274</v>
      </c>
      <c r="F563" s="19" t="s">
        <v>7275</v>
      </c>
      <c r="G563" s="19" t="s">
        <v>7276</v>
      </c>
      <c r="H563" s="19" t="s">
        <v>7277</v>
      </c>
      <c r="I563" s="19" t="s">
        <v>7278</v>
      </c>
      <c r="J563" s="19" t="s">
        <v>7279</v>
      </c>
      <c r="K563" s="19" t="s">
        <v>7280</v>
      </c>
      <c r="L563" s="19" t="s">
        <v>7281</v>
      </c>
      <c r="M563" s="19" t="s">
        <v>7282</v>
      </c>
      <c r="N563" s="19" t="s">
        <v>7283</v>
      </c>
      <c r="O563" s="19" t="s">
        <v>7284</v>
      </c>
      <c r="P563" s="19" t="s">
        <v>7285</v>
      </c>
      <c r="Q563" s="19" t="s">
        <v>7286</v>
      </c>
    </row>
    <row r="564" spans="1:17" ht="48">
      <c r="A564" s="18" t="s">
        <v>7287</v>
      </c>
      <c r="B564" s="19" t="s">
        <v>7288</v>
      </c>
      <c r="C564" s="19" t="s">
        <v>7289</v>
      </c>
      <c r="D564" s="19" t="s">
        <v>7290</v>
      </c>
      <c r="E564" s="19" t="s">
        <v>7291</v>
      </c>
      <c r="F564" s="19" t="s">
        <v>7292</v>
      </c>
      <c r="G564" s="19" t="s">
        <v>7293</v>
      </c>
      <c r="H564" s="19" t="s">
        <v>7294</v>
      </c>
      <c r="I564" s="19" t="s">
        <v>7295</v>
      </c>
      <c r="J564" s="19" t="s">
        <v>7296</v>
      </c>
      <c r="K564" s="19" t="s">
        <v>7297</v>
      </c>
      <c r="L564" s="19" t="s">
        <v>7298</v>
      </c>
      <c r="M564" s="19" t="s">
        <v>7299</v>
      </c>
      <c r="N564" s="19" t="s">
        <v>7300</v>
      </c>
      <c r="O564" s="19" t="s">
        <v>7301</v>
      </c>
      <c r="P564" s="19" t="s">
        <v>6245</v>
      </c>
      <c r="Q564" s="19" t="s">
        <v>7302</v>
      </c>
    </row>
    <row r="565" spans="1:17" ht="36">
      <c r="A565" s="18" t="s">
        <v>7303</v>
      </c>
      <c r="B565" s="19" t="s">
        <v>7304</v>
      </c>
      <c r="C565" s="19" t="s">
        <v>7305</v>
      </c>
      <c r="D565" s="19" t="s">
        <v>7306</v>
      </c>
      <c r="E565" s="19" t="s">
        <v>7307</v>
      </c>
      <c r="F565" s="19" t="s">
        <v>7308</v>
      </c>
      <c r="G565" s="19" t="s">
        <v>7309</v>
      </c>
      <c r="H565" s="19" t="s">
        <v>7310</v>
      </c>
      <c r="I565" s="19" t="s">
        <v>7311</v>
      </c>
      <c r="J565" s="19" t="s">
        <v>7312</v>
      </c>
      <c r="K565" s="19" t="s">
        <v>7313</v>
      </c>
      <c r="L565" s="19" t="s">
        <v>7314</v>
      </c>
      <c r="M565" s="19" t="s">
        <v>7315</v>
      </c>
      <c r="N565" s="19" t="s">
        <v>7316</v>
      </c>
      <c r="O565" s="19" t="s">
        <v>7317</v>
      </c>
      <c r="P565" s="19" t="s">
        <v>7318</v>
      </c>
      <c r="Q565" s="19" t="s">
        <v>7319</v>
      </c>
    </row>
    <row r="566" spans="1:17" ht="36">
      <c r="A566" s="18" t="s">
        <v>7320</v>
      </c>
      <c r="B566" s="19" t="s">
        <v>7321</v>
      </c>
      <c r="C566" s="19" t="s">
        <v>7322</v>
      </c>
      <c r="D566" s="19" t="s">
        <v>7323</v>
      </c>
      <c r="E566" s="19" t="s">
        <v>7324</v>
      </c>
      <c r="F566" s="19" t="s">
        <v>7325</v>
      </c>
      <c r="G566" s="19" t="s">
        <v>7326</v>
      </c>
      <c r="H566" s="19" t="s">
        <v>7327</v>
      </c>
      <c r="I566" s="19" t="s">
        <v>7328</v>
      </c>
      <c r="J566" s="19" t="s">
        <v>7329</v>
      </c>
      <c r="K566" s="19" t="s">
        <v>7330</v>
      </c>
      <c r="L566" s="19" t="s">
        <v>7331</v>
      </c>
      <c r="M566" s="19" t="s">
        <v>7332</v>
      </c>
      <c r="N566" s="19" t="s">
        <v>7333</v>
      </c>
      <c r="O566" s="19" t="s">
        <v>7334</v>
      </c>
      <c r="P566" s="19" t="s">
        <v>7335</v>
      </c>
      <c r="Q566" s="19" t="s">
        <v>4953</v>
      </c>
    </row>
    <row r="567" spans="1:17" ht="36">
      <c r="A567" s="18" t="s">
        <v>7336</v>
      </c>
      <c r="B567" s="19" t="s">
        <v>5684</v>
      </c>
      <c r="C567" s="19" t="s">
        <v>7337</v>
      </c>
      <c r="D567" s="19" t="s">
        <v>7338</v>
      </c>
      <c r="E567" s="19" t="s">
        <v>7339</v>
      </c>
      <c r="F567" s="19" t="s">
        <v>7340</v>
      </c>
      <c r="G567" s="19" t="s">
        <v>7341</v>
      </c>
      <c r="H567" s="19" t="s">
        <v>7342</v>
      </c>
      <c r="I567" s="19" t="s">
        <v>7343</v>
      </c>
      <c r="J567" s="19" t="s">
        <v>7344</v>
      </c>
      <c r="K567" s="19" t="s">
        <v>7345</v>
      </c>
      <c r="L567" s="19" t="s">
        <v>7346</v>
      </c>
      <c r="M567" s="19" t="s">
        <v>7347</v>
      </c>
      <c r="N567" s="19" t="s">
        <v>7348</v>
      </c>
      <c r="O567" s="19" t="s">
        <v>7349</v>
      </c>
      <c r="P567" s="19" t="s">
        <v>7350</v>
      </c>
      <c r="Q567" s="19" t="s">
        <v>7351</v>
      </c>
    </row>
    <row r="568" spans="1:17" ht="36">
      <c r="A568" s="18" t="s">
        <v>7352</v>
      </c>
      <c r="B568" s="19" t="s">
        <v>7353</v>
      </c>
      <c r="C568" s="19" t="s">
        <v>7354</v>
      </c>
      <c r="D568" s="19" t="s">
        <v>487</v>
      </c>
      <c r="E568" s="19" t="s">
        <v>7355</v>
      </c>
      <c r="F568" s="19" t="s">
        <v>7356</v>
      </c>
      <c r="G568" s="19" t="s">
        <v>7357</v>
      </c>
      <c r="H568" s="19" t="s">
        <v>7358</v>
      </c>
      <c r="I568" s="19" t="s">
        <v>7359</v>
      </c>
      <c r="J568" s="19" t="s">
        <v>7360</v>
      </c>
      <c r="K568" s="19" t="s">
        <v>7361</v>
      </c>
      <c r="L568" s="19" t="s">
        <v>7362</v>
      </c>
      <c r="M568" s="19" t="s">
        <v>7363</v>
      </c>
      <c r="N568" s="19" t="s">
        <v>7364</v>
      </c>
      <c r="O568" s="19" t="s">
        <v>7365</v>
      </c>
      <c r="P568" s="19" t="s">
        <v>7366</v>
      </c>
      <c r="Q568" s="19" t="s">
        <v>703</v>
      </c>
    </row>
    <row r="569" spans="1:17" ht="36">
      <c r="A569" s="18" t="s">
        <v>7367</v>
      </c>
      <c r="B569" s="19" t="s">
        <v>2804</v>
      </c>
      <c r="C569" s="19" t="s">
        <v>7368</v>
      </c>
      <c r="D569" s="19" t="s">
        <v>7369</v>
      </c>
      <c r="E569" s="19" t="s">
        <v>7370</v>
      </c>
      <c r="F569" s="19" t="s">
        <v>7371</v>
      </c>
      <c r="G569" s="19" t="s">
        <v>7372</v>
      </c>
      <c r="H569" s="19" t="s">
        <v>7373</v>
      </c>
      <c r="I569" s="19" t="s">
        <v>7374</v>
      </c>
      <c r="J569" s="19" t="s">
        <v>7375</v>
      </c>
      <c r="K569" s="19" t="s">
        <v>7376</v>
      </c>
      <c r="L569" s="19" t="s">
        <v>7377</v>
      </c>
      <c r="M569" s="19" t="s">
        <v>7378</v>
      </c>
      <c r="N569" s="19" t="s">
        <v>7379</v>
      </c>
      <c r="O569" s="19" t="s">
        <v>7380</v>
      </c>
      <c r="P569" s="15"/>
      <c r="Q569" s="19" t="s">
        <v>7381</v>
      </c>
    </row>
    <row r="570" spans="1:17" ht="48">
      <c r="A570" s="18" t="s">
        <v>7382</v>
      </c>
      <c r="B570" s="19" t="s">
        <v>490</v>
      </c>
      <c r="C570" s="19" t="s">
        <v>7383</v>
      </c>
      <c r="D570" s="19" t="s">
        <v>3161</v>
      </c>
      <c r="E570" s="19" t="s">
        <v>6544</v>
      </c>
      <c r="F570" s="19" t="s">
        <v>7384</v>
      </c>
      <c r="G570" s="19" t="s">
        <v>7385</v>
      </c>
      <c r="H570" s="19" t="s">
        <v>7386</v>
      </c>
      <c r="I570" s="19" t="s">
        <v>7387</v>
      </c>
      <c r="J570" s="19" t="s">
        <v>7388</v>
      </c>
      <c r="K570" s="19" t="s">
        <v>5416</v>
      </c>
      <c r="L570" s="19" t="s">
        <v>7389</v>
      </c>
      <c r="M570" s="19" t="s">
        <v>7390</v>
      </c>
      <c r="N570" s="19" t="s">
        <v>7391</v>
      </c>
      <c r="O570" s="19" t="s">
        <v>7092</v>
      </c>
      <c r="P570" s="19" t="s">
        <v>1360</v>
      </c>
      <c r="Q570" s="15"/>
    </row>
    <row r="571" spans="1:17" ht="60">
      <c r="A571" s="18" t="s">
        <v>7392</v>
      </c>
      <c r="B571" s="19" t="s">
        <v>7393</v>
      </c>
      <c r="C571" s="19" t="s">
        <v>7394</v>
      </c>
      <c r="D571" s="19" t="s">
        <v>2155</v>
      </c>
      <c r="E571" s="19" t="s">
        <v>7395</v>
      </c>
      <c r="F571" s="19" t="s">
        <v>7396</v>
      </c>
      <c r="G571" s="19" t="s">
        <v>7397</v>
      </c>
      <c r="H571" s="19" t="s">
        <v>7398</v>
      </c>
      <c r="I571" s="19" t="s">
        <v>7399</v>
      </c>
      <c r="J571" s="19" t="s">
        <v>918</v>
      </c>
      <c r="K571" s="19" t="s">
        <v>3425</v>
      </c>
      <c r="L571" s="19" t="s">
        <v>7400</v>
      </c>
      <c r="M571" s="19" t="s">
        <v>3797</v>
      </c>
      <c r="N571" s="19" t="s">
        <v>7401</v>
      </c>
      <c r="O571" s="19" t="s">
        <v>7402</v>
      </c>
      <c r="P571" s="19" t="s">
        <v>4084</v>
      </c>
      <c r="Q571" s="19" t="s">
        <v>2802</v>
      </c>
    </row>
    <row r="572" spans="1:17" ht="36">
      <c r="A572" s="18" t="s">
        <v>7403</v>
      </c>
      <c r="B572" s="19" t="s">
        <v>4286</v>
      </c>
      <c r="C572" s="19" t="s">
        <v>7404</v>
      </c>
      <c r="D572" s="19" t="s">
        <v>7405</v>
      </c>
      <c r="E572" s="19" t="s">
        <v>7406</v>
      </c>
      <c r="F572" s="19" t="s">
        <v>7207</v>
      </c>
      <c r="G572" s="19" t="s">
        <v>7407</v>
      </c>
      <c r="H572" s="19" t="s">
        <v>7408</v>
      </c>
      <c r="I572" s="19" t="s">
        <v>7409</v>
      </c>
      <c r="J572" s="19" t="s">
        <v>657</v>
      </c>
      <c r="K572" s="19" t="s">
        <v>7410</v>
      </c>
      <c r="L572" s="19" t="s">
        <v>7411</v>
      </c>
      <c r="M572" s="19" t="s">
        <v>7412</v>
      </c>
      <c r="N572" s="19" t="s">
        <v>7413</v>
      </c>
      <c r="O572" s="19" t="s">
        <v>7414</v>
      </c>
      <c r="P572" s="19" t="s">
        <v>7415</v>
      </c>
      <c r="Q572" s="19" t="s">
        <v>7416</v>
      </c>
    </row>
    <row r="573" spans="1:17" ht="48">
      <c r="A573" s="18" t="s">
        <v>7417</v>
      </c>
      <c r="B573" s="19" t="s">
        <v>7418</v>
      </c>
      <c r="C573" s="19" t="s">
        <v>7419</v>
      </c>
      <c r="D573" s="19" t="s">
        <v>7420</v>
      </c>
      <c r="E573" s="19" t="s">
        <v>7421</v>
      </c>
      <c r="F573" s="19" t="s">
        <v>7422</v>
      </c>
      <c r="G573" s="19" t="s">
        <v>7423</v>
      </c>
      <c r="H573" s="19" t="s">
        <v>7424</v>
      </c>
      <c r="I573" s="19" t="s">
        <v>7425</v>
      </c>
      <c r="J573" s="19" t="s">
        <v>7426</v>
      </c>
      <c r="K573" s="19" t="s">
        <v>7427</v>
      </c>
      <c r="L573" s="19" t="s">
        <v>7428</v>
      </c>
      <c r="M573" s="19" t="s">
        <v>7429</v>
      </c>
      <c r="N573" s="19" t="s">
        <v>7430</v>
      </c>
      <c r="O573" s="19" t="s">
        <v>7431</v>
      </c>
      <c r="P573" s="19" t="s">
        <v>7432</v>
      </c>
      <c r="Q573" s="19" t="s">
        <v>7433</v>
      </c>
    </row>
    <row r="574" spans="1:17" ht="36">
      <c r="A574" s="18" t="s">
        <v>7434</v>
      </c>
      <c r="B574" s="19" t="s">
        <v>7435</v>
      </c>
      <c r="C574" s="19" t="s">
        <v>7436</v>
      </c>
      <c r="D574" s="19" t="s">
        <v>1596</v>
      </c>
      <c r="E574" s="19" t="s">
        <v>7437</v>
      </c>
      <c r="F574" s="19" t="s">
        <v>7438</v>
      </c>
      <c r="G574" s="19" t="s">
        <v>1691</v>
      </c>
      <c r="H574" s="19" t="s">
        <v>7439</v>
      </c>
      <c r="I574" s="19" t="s">
        <v>7440</v>
      </c>
      <c r="J574" s="19" t="s">
        <v>7441</v>
      </c>
      <c r="K574" s="19" t="s">
        <v>7442</v>
      </c>
      <c r="L574" s="19" t="s">
        <v>7443</v>
      </c>
      <c r="M574" s="19" t="s">
        <v>7444</v>
      </c>
      <c r="N574" s="19" t="s">
        <v>7445</v>
      </c>
      <c r="O574" s="19" t="s">
        <v>7446</v>
      </c>
      <c r="P574" s="19" t="s">
        <v>6353</v>
      </c>
      <c r="Q574" s="19" t="s">
        <v>7447</v>
      </c>
    </row>
    <row r="575" spans="1:17" ht="36">
      <c r="A575" s="18" t="s">
        <v>7448</v>
      </c>
      <c r="B575" s="19" t="s">
        <v>7449</v>
      </c>
      <c r="C575" s="19" t="s">
        <v>7450</v>
      </c>
      <c r="D575" s="19" t="s">
        <v>7451</v>
      </c>
      <c r="E575" s="19" t="s">
        <v>7452</v>
      </c>
      <c r="F575" s="19" t="s">
        <v>7453</v>
      </c>
      <c r="G575" s="19" t="s">
        <v>7454</v>
      </c>
      <c r="H575" s="19" t="s">
        <v>7455</v>
      </c>
      <c r="I575" s="19" t="s">
        <v>7456</v>
      </c>
      <c r="J575" s="19" t="s">
        <v>7457</v>
      </c>
      <c r="K575" s="19" t="s">
        <v>7458</v>
      </c>
      <c r="L575" s="19" t="s">
        <v>7459</v>
      </c>
      <c r="M575" s="19" t="s">
        <v>7460</v>
      </c>
      <c r="N575" s="19" t="s">
        <v>7461</v>
      </c>
      <c r="O575" s="19" t="s">
        <v>7462</v>
      </c>
      <c r="P575" s="19" t="s">
        <v>7463</v>
      </c>
      <c r="Q575" s="19" t="s">
        <v>7464</v>
      </c>
    </row>
    <row r="576" spans="1:17" ht="48">
      <c r="A576" s="18" t="s">
        <v>7465</v>
      </c>
      <c r="B576" s="19" t="s">
        <v>7466</v>
      </c>
      <c r="C576" s="19" t="s">
        <v>7467</v>
      </c>
      <c r="D576" s="19" t="s">
        <v>7468</v>
      </c>
      <c r="E576" s="19" t="s">
        <v>7469</v>
      </c>
      <c r="F576" s="19" t="s">
        <v>7470</v>
      </c>
      <c r="G576" s="19" t="s">
        <v>7471</v>
      </c>
      <c r="H576" s="19" t="s">
        <v>7472</v>
      </c>
      <c r="I576" s="19" t="s">
        <v>7473</v>
      </c>
      <c r="J576" s="19" t="s">
        <v>7474</v>
      </c>
      <c r="K576" s="19" t="s">
        <v>7475</v>
      </c>
      <c r="L576" s="19" t="s">
        <v>7476</v>
      </c>
      <c r="M576" s="19" t="s">
        <v>7477</v>
      </c>
      <c r="N576" s="19" t="s">
        <v>7478</v>
      </c>
      <c r="O576" s="19" t="s">
        <v>7479</v>
      </c>
      <c r="P576" s="19" t="s">
        <v>970</v>
      </c>
      <c r="Q576" s="19" t="s">
        <v>666</v>
      </c>
    </row>
    <row r="577" spans="1:17" ht="48">
      <c r="A577" s="18" t="s">
        <v>7480</v>
      </c>
      <c r="B577" s="19" t="s">
        <v>7481</v>
      </c>
      <c r="C577" s="19" t="s">
        <v>7482</v>
      </c>
      <c r="D577" s="19" t="s">
        <v>7483</v>
      </c>
      <c r="E577" s="19" t="s">
        <v>7484</v>
      </c>
      <c r="F577" s="19" t="s">
        <v>7485</v>
      </c>
      <c r="G577" s="19" t="s">
        <v>7486</v>
      </c>
      <c r="H577" s="19" t="s">
        <v>7487</v>
      </c>
      <c r="I577" s="19" t="s">
        <v>7488</v>
      </c>
      <c r="J577" s="19" t="s">
        <v>7489</v>
      </c>
      <c r="K577" s="19" t="s">
        <v>7490</v>
      </c>
      <c r="L577" s="19" t="s">
        <v>7491</v>
      </c>
      <c r="M577" s="19" t="s">
        <v>7492</v>
      </c>
      <c r="N577" s="19" t="s">
        <v>7493</v>
      </c>
      <c r="O577" s="19" t="s">
        <v>7494</v>
      </c>
      <c r="P577" s="19" t="s">
        <v>7495</v>
      </c>
      <c r="Q577" s="19" t="s">
        <v>7496</v>
      </c>
    </row>
    <row r="578" spans="1:17" ht="48">
      <c r="A578" s="18" t="s">
        <v>7497</v>
      </c>
      <c r="B578" s="19" t="s">
        <v>7498</v>
      </c>
      <c r="C578" s="19" t="s">
        <v>7499</v>
      </c>
      <c r="D578" s="19" t="s">
        <v>7500</v>
      </c>
      <c r="E578" s="19" t="s">
        <v>7501</v>
      </c>
      <c r="F578" s="19" t="s">
        <v>3565</v>
      </c>
      <c r="G578" s="19" t="s">
        <v>7502</v>
      </c>
      <c r="H578" s="19" t="s">
        <v>7503</v>
      </c>
      <c r="I578" s="19" t="s">
        <v>7504</v>
      </c>
      <c r="J578" s="19" t="s">
        <v>4339</v>
      </c>
      <c r="K578" s="19" t="s">
        <v>7505</v>
      </c>
      <c r="L578" s="19" t="s">
        <v>7506</v>
      </c>
      <c r="M578" s="19" t="s">
        <v>4761</v>
      </c>
      <c r="N578" s="19" t="s">
        <v>7507</v>
      </c>
      <c r="O578" s="19" t="s">
        <v>7508</v>
      </c>
      <c r="P578" s="19" t="s">
        <v>7509</v>
      </c>
      <c r="Q578" s="19" t="s">
        <v>7510</v>
      </c>
    </row>
    <row r="579" spans="1:17" ht="48">
      <c r="A579" s="18" t="s">
        <v>7511</v>
      </c>
      <c r="B579" s="19" t="s">
        <v>7512</v>
      </c>
      <c r="C579" s="19" t="s">
        <v>7513</v>
      </c>
      <c r="D579" s="19" t="s">
        <v>7514</v>
      </c>
      <c r="E579" s="19" t="s">
        <v>7515</v>
      </c>
      <c r="F579" s="19" t="s">
        <v>7516</v>
      </c>
      <c r="G579" s="19" t="s">
        <v>7517</v>
      </c>
      <c r="H579" s="19" t="s">
        <v>7518</v>
      </c>
      <c r="I579" s="19" t="s">
        <v>2477</v>
      </c>
      <c r="J579" s="19" t="s">
        <v>7519</v>
      </c>
      <c r="K579" s="19" t="s">
        <v>7520</v>
      </c>
      <c r="L579" s="19" t="s">
        <v>7521</v>
      </c>
      <c r="M579" s="19" t="s">
        <v>7522</v>
      </c>
      <c r="N579" s="19" t="s">
        <v>7523</v>
      </c>
      <c r="O579" s="19" t="s">
        <v>7524</v>
      </c>
      <c r="P579" s="19" t="s">
        <v>6038</v>
      </c>
      <c r="Q579" s="19" t="s">
        <v>4018</v>
      </c>
    </row>
    <row r="580" spans="1:17" ht="60">
      <c r="A580" s="18" t="s">
        <v>7525</v>
      </c>
      <c r="B580" s="19" t="s">
        <v>7526</v>
      </c>
      <c r="C580" s="19" t="s">
        <v>7527</v>
      </c>
      <c r="D580" s="19" t="s">
        <v>7528</v>
      </c>
      <c r="E580" s="19" t="s">
        <v>7529</v>
      </c>
      <c r="F580" s="19" t="s">
        <v>7530</v>
      </c>
      <c r="G580" s="19" t="s">
        <v>7531</v>
      </c>
      <c r="H580" s="19" t="s">
        <v>7532</v>
      </c>
      <c r="I580" s="19" t="s">
        <v>7533</v>
      </c>
      <c r="J580" s="19" t="s">
        <v>7534</v>
      </c>
      <c r="K580" s="19" t="s">
        <v>7535</v>
      </c>
      <c r="L580" s="19" t="s">
        <v>7536</v>
      </c>
      <c r="M580" s="19" t="s">
        <v>7537</v>
      </c>
      <c r="N580" s="19" t="s">
        <v>7538</v>
      </c>
      <c r="O580" s="19" t="s">
        <v>7539</v>
      </c>
      <c r="P580" s="19" t="s">
        <v>2487</v>
      </c>
      <c r="Q580" s="19" t="s">
        <v>875</v>
      </c>
    </row>
    <row r="581" spans="1:17" ht="48">
      <c r="A581" s="18" t="s">
        <v>7540</v>
      </c>
      <c r="B581" s="19" t="s">
        <v>7541</v>
      </c>
      <c r="C581" s="19" t="s">
        <v>7542</v>
      </c>
      <c r="D581" s="19" t="s">
        <v>7543</v>
      </c>
      <c r="E581" s="19" t="s">
        <v>7544</v>
      </c>
      <c r="F581" s="19" t="s">
        <v>7545</v>
      </c>
      <c r="G581" s="19" t="s">
        <v>7546</v>
      </c>
      <c r="H581" s="19" t="s">
        <v>7547</v>
      </c>
      <c r="I581" s="19" t="s">
        <v>7548</v>
      </c>
      <c r="J581" s="19" t="s">
        <v>7549</v>
      </c>
      <c r="K581" s="19" t="s">
        <v>7550</v>
      </c>
      <c r="L581" s="19" t="s">
        <v>7551</v>
      </c>
      <c r="M581" s="19" t="s">
        <v>7552</v>
      </c>
      <c r="N581" s="19" t="s">
        <v>2201</v>
      </c>
      <c r="O581" s="19" t="s">
        <v>2603</v>
      </c>
      <c r="P581" s="19" t="s">
        <v>903</v>
      </c>
      <c r="Q581" s="19" t="s">
        <v>5662</v>
      </c>
    </row>
    <row r="582" spans="1:17" ht="60">
      <c r="A582" s="18" t="s">
        <v>7553</v>
      </c>
      <c r="B582" s="19" t="s">
        <v>7554</v>
      </c>
      <c r="C582" s="19" t="s">
        <v>7555</v>
      </c>
      <c r="D582" s="19" t="s">
        <v>7556</v>
      </c>
      <c r="E582" s="19" t="s">
        <v>7557</v>
      </c>
      <c r="F582" s="19" t="s">
        <v>7558</v>
      </c>
      <c r="G582" s="19" t="s">
        <v>7559</v>
      </c>
      <c r="H582" s="19" t="s">
        <v>7560</v>
      </c>
      <c r="I582" s="19" t="s">
        <v>7561</v>
      </c>
      <c r="J582" s="19" t="s">
        <v>7562</v>
      </c>
      <c r="K582" s="19" t="s">
        <v>7563</v>
      </c>
      <c r="L582" s="19" t="s">
        <v>7564</v>
      </c>
      <c r="M582" s="19" t="s">
        <v>7565</v>
      </c>
      <c r="N582" s="19" t="s">
        <v>7566</v>
      </c>
      <c r="O582" s="19" t="s">
        <v>7567</v>
      </c>
      <c r="P582" s="19" t="s">
        <v>972</v>
      </c>
      <c r="Q582" s="19" t="s">
        <v>1700</v>
      </c>
    </row>
    <row r="583" spans="1:17" ht="48">
      <c r="A583" s="18" t="s">
        <v>7568</v>
      </c>
      <c r="B583" s="19" t="s">
        <v>7569</v>
      </c>
      <c r="C583" s="19" t="s">
        <v>7570</v>
      </c>
      <c r="D583" s="19" t="s">
        <v>7571</v>
      </c>
      <c r="E583" s="19" t="s">
        <v>7572</v>
      </c>
      <c r="F583" s="19" t="s">
        <v>7573</v>
      </c>
      <c r="G583" s="19" t="s">
        <v>7574</v>
      </c>
      <c r="H583" s="19" t="s">
        <v>7575</v>
      </c>
      <c r="I583" s="19" t="s">
        <v>7576</v>
      </c>
      <c r="J583" s="19" t="s">
        <v>7577</v>
      </c>
      <c r="K583" s="19" t="s">
        <v>7578</v>
      </c>
      <c r="L583" s="19" t="s">
        <v>7579</v>
      </c>
      <c r="M583" s="19" t="s">
        <v>7580</v>
      </c>
      <c r="N583" s="19" t="s">
        <v>7581</v>
      </c>
      <c r="O583" s="19" t="s">
        <v>7582</v>
      </c>
      <c r="P583" s="19" t="s">
        <v>7583</v>
      </c>
      <c r="Q583" s="19" t="s">
        <v>6400</v>
      </c>
    </row>
    <row r="584" spans="1:17" ht="36">
      <c r="A584" s="18" t="s">
        <v>7584</v>
      </c>
      <c r="B584" s="19" t="s">
        <v>7585</v>
      </c>
      <c r="C584" s="19" t="s">
        <v>7586</v>
      </c>
      <c r="D584" s="19" t="s">
        <v>7587</v>
      </c>
      <c r="E584" s="19" t="s">
        <v>7588</v>
      </c>
      <c r="F584" s="19" t="s">
        <v>7589</v>
      </c>
      <c r="G584" s="19" t="s">
        <v>6577</v>
      </c>
      <c r="H584" s="19" t="s">
        <v>7590</v>
      </c>
      <c r="I584" s="19" t="s">
        <v>3168</v>
      </c>
      <c r="J584" s="19" t="s">
        <v>7591</v>
      </c>
      <c r="K584" s="19" t="s">
        <v>7592</v>
      </c>
      <c r="L584" s="19" t="s">
        <v>781</v>
      </c>
      <c r="M584" s="19" t="s">
        <v>6090</v>
      </c>
      <c r="N584" s="19" t="s">
        <v>7593</v>
      </c>
      <c r="O584" s="19" t="s">
        <v>1353</v>
      </c>
      <c r="P584" s="15"/>
      <c r="Q584" s="19" t="s">
        <v>4084</v>
      </c>
    </row>
    <row r="585" spans="1:17" ht="48">
      <c r="A585" s="18" t="s">
        <v>7594</v>
      </c>
      <c r="B585" s="19" t="s">
        <v>4603</v>
      </c>
      <c r="C585" s="19" t="s">
        <v>7595</v>
      </c>
      <c r="D585" s="19" t="s">
        <v>3562</v>
      </c>
      <c r="E585" s="19" t="s">
        <v>7596</v>
      </c>
      <c r="F585" s="19" t="s">
        <v>7597</v>
      </c>
      <c r="G585" s="19" t="s">
        <v>3416</v>
      </c>
      <c r="H585" s="19" t="s">
        <v>7026</v>
      </c>
      <c r="I585" s="19" t="s">
        <v>7598</v>
      </c>
      <c r="J585" s="19" t="s">
        <v>7599</v>
      </c>
      <c r="K585" s="19" t="s">
        <v>7600</v>
      </c>
      <c r="L585" s="19" t="s">
        <v>7601</v>
      </c>
      <c r="M585" s="19" t="s">
        <v>4679</v>
      </c>
      <c r="N585" s="19" t="s">
        <v>7602</v>
      </c>
      <c r="O585" s="19" t="s">
        <v>267</v>
      </c>
      <c r="P585" s="15"/>
      <c r="Q585" s="19" t="s">
        <v>4084</v>
      </c>
    </row>
    <row r="586" spans="1:17" ht="48">
      <c r="A586" s="18" t="s">
        <v>7603</v>
      </c>
      <c r="B586" s="19" t="s">
        <v>5731</v>
      </c>
      <c r="C586" s="19" t="s">
        <v>7604</v>
      </c>
      <c r="D586" s="19" t="s">
        <v>7605</v>
      </c>
      <c r="E586" s="19" t="s">
        <v>7606</v>
      </c>
      <c r="F586" s="19" t="s">
        <v>7607</v>
      </c>
      <c r="G586" s="19" t="s">
        <v>7608</v>
      </c>
      <c r="H586" s="19" t="s">
        <v>7609</v>
      </c>
      <c r="I586" s="19" t="s">
        <v>4106</v>
      </c>
      <c r="J586" s="19" t="s">
        <v>3747</v>
      </c>
      <c r="K586" s="19" t="s">
        <v>7610</v>
      </c>
      <c r="L586" s="19" t="s">
        <v>2514</v>
      </c>
      <c r="M586" s="19" t="s">
        <v>7611</v>
      </c>
      <c r="N586" s="19" t="s">
        <v>6416</v>
      </c>
      <c r="O586" s="19" t="s">
        <v>7612</v>
      </c>
      <c r="P586" s="15"/>
      <c r="Q586" s="15"/>
    </row>
    <row r="587" spans="1:17" ht="36">
      <c r="A587" s="18" t="s">
        <v>7613</v>
      </c>
      <c r="B587" s="19" t="s">
        <v>6475</v>
      </c>
      <c r="C587" s="19" t="s">
        <v>7614</v>
      </c>
      <c r="D587" s="19" t="s">
        <v>7615</v>
      </c>
      <c r="E587" s="19" t="s">
        <v>7616</v>
      </c>
      <c r="F587" s="19" t="s">
        <v>7617</v>
      </c>
      <c r="G587" s="19" t="s">
        <v>6975</v>
      </c>
      <c r="H587" s="19" t="s">
        <v>5666</v>
      </c>
      <c r="I587" s="19" t="s">
        <v>7618</v>
      </c>
      <c r="J587" s="19" t="s">
        <v>7619</v>
      </c>
      <c r="K587" s="19" t="s">
        <v>7620</v>
      </c>
      <c r="L587" s="19" t="s">
        <v>7621</v>
      </c>
      <c r="M587" s="19" t="s">
        <v>7622</v>
      </c>
      <c r="N587" s="19" t="s">
        <v>7623</v>
      </c>
      <c r="O587" s="19" t="s">
        <v>3489</v>
      </c>
      <c r="P587" s="15"/>
      <c r="Q587" s="15"/>
    </row>
    <row r="588" spans="1:17" ht="60">
      <c r="A588" s="18" t="s">
        <v>7624</v>
      </c>
      <c r="B588" s="19" t="s">
        <v>541</v>
      </c>
      <c r="C588" s="19" t="s">
        <v>2983</v>
      </c>
      <c r="D588" s="19" t="s">
        <v>2755</v>
      </c>
      <c r="E588" s="19" t="s">
        <v>3532</v>
      </c>
      <c r="F588" s="19" t="s">
        <v>7094</v>
      </c>
      <c r="G588" s="19" t="s">
        <v>7625</v>
      </c>
      <c r="H588" s="19" t="s">
        <v>875</v>
      </c>
      <c r="I588" s="19" t="s">
        <v>7626</v>
      </c>
      <c r="J588" s="19" t="s">
        <v>7627</v>
      </c>
      <c r="K588" s="19" t="s">
        <v>7628</v>
      </c>
      <c r="L588" s="19" t="s">
        <v>7629</v>
      </c>
      <c r="M588" s="19" t="s">
        <v>4608</v>
      </c>
      <c r="N588" s="19" t="s">
        <v>7630</v>
      </c>
      <c r="O588" s="19" t="s">
        <v>7631</v>
      </c>
      <c r="P588" s="15"/>
      <c r="Q588" s="15"/>
    </row>
    <row r="589" spans="1:17" ht="36">
      <c r="A589" s="18" t="s">
        <v>7632</v>
      </c>
      <c r="B589" s="19" t="s">
        <v>7633</v>
      </c>
      <c r="C589" s="19" t="s">
        <v>7634</v>
      </c>
      <c r="D589" s="19" t="s">
        <v>7635</v>
      </c>
      <c r="E589" s="19" t="s">
        <v>7636</v>
      </c>
      <c r="F589" s="19" t="s">
        <v>7637</v>
      </c>
      <c r="G589" s="19" t="s">
        <v>7638</v>
      </c>
      <c r="H589" s="19" t="s">
        <v>7639</v>
      </c>
      <c r="I589" s="19" t="s">
        <v>7640</v>
      </c>
      <c r="J589" s="19" t="s">
        <v>7641</v>
      </c>
      <c r="K589" s="19" t="s">
        <v>7642</v>
      </c>
      <c r="L589" s="19" t="s">
        <v>7643</v>
      </c>
      <c r="M589" s="19" t="s">
        <v>7644</v>
      </c>
      <c r="N589" s="19" t="s">
        <v>7645</v>
      </c>
      <c r="O589" s="19" t="s">
        <v>7646</v>
      </c>
      <c r="P589" s="19" t="s">
        <v>2696</v>
      </c>
      <c r="Q589" s="19" t="s">
        <v>4315</v>
      </c>
    </row>
    <row r="590" spans="1:17" ht="48">
      <c r="A590" s="18" t="s">
        <v>7647</v>
      </c>
      <c r="B590" s="19" t="s">
        <v>1623</v>
      </c>
      <c r="C590" s="19" t="s">
        <v>7648</v>
      </c>
      <c r="D590" s="19" t="s">
        <v>7649</v>
      </c>
      <c r="E590" s="19" t="s">
        <v>7650</v>
      </c>
      <c r="F590" s="19" t="s">
        <v>715</v>
      </c>
      <c r="G590" s="19" t="s">
        <v>7651</v>
      </c>
      <c r="H590" s="19" t="s">
        <v>7652</v>
      </c>
      <c r="I590" s="19" t="s">
        <v>7441</v>
      </c>
      <c r="J590" s="19" t="s">
        <v>7653</v>
      </c>
      <c r="K590" s="19" t="s">
        <v>7654</v>
      </c>
      <c r="L590" s="19" t="s">
        <v>7655</v>
      </c>
      <c r="M590" s="19" t="s">
        <v>7656</v>
      </c>
      <c r="N590" s="19" t="s">
        <v>7657</v>
      </c>
      <c r="O590" s="19" t="s">
        <v>7658</v>
      </c>
      <c r="P590" s="15"/>
      <c r="Q590" s="19" t="s">
        <v>1827</v>
      </c>
    </row>
    <row r="591" spans="1:17" ht="48">
      <c r="A591" s="18" t="s">
        <v>7659</v>
      </c>
      <c r="B591" s="19" t="s">
        <v>7660</v>
      </c>
      <c r="C591" s="19" t="s">
        <v>7661</v>
      </c>
      <c r="D591" s="19" t="s">
        <v>7662</v>
      </c>
      <c r="E591" s="19" t="s">
        <v>7663</v>
      </c>
      <c r="F591" s="19" t="s">
        <v>7664</v>
      </c>
      <c r="G591" s="19" t="s">
        <v>7665</v>
      </c>
      <c r="H591" s="19" t="s">
        <v>7666</v>
      </c>
      <c r="I591" s="19" t="s">
        <v>7667</v>
      </c>
      <c r="J591" s="19" t="s">
        <v>5917</v>
      </c>
      <c r="K591" s="19" t="s">
        <v>7668</v>
      </c>
      <c r="L591" s="19" t="s">
        <v>7669</v>
      </c>
      <c r="M591" s="19" t="s">
        <v>7670</v>
      </c>
      <c r="N591" s="19" t="s">
        <v>7671</v>
      </c>
      <c r="O591" s="19" t="s">
        <v>7672</v>
      </c>
      <c r="P591" s="19" t="s">
        <v>2772</v>
      </c>
      <c r="Q591" s="19" t="s">
        <v>4158</v>
      </c>
    </row>
    <row r="592" spans="1:17" ht="48">
      <c r="A592" s="18" t="s">
        <v>7673</v>
      </c>
      <c r="B592" s="19" t="s">
        <v>1100</v>
      </c>
      <c r="C592" s="19" t="s">
        <v>7674</v>
      </c>
      <c r="D592" s="19" t="s">
        <v>5077</v>
      </c>
      <c r="E592" s="19" t="s">
        <v>7675</v>
      </c>
      <c r="F592" s="19" t="s">
        <v>3305</v>
      </c>
      <c r="G592" s="19" t="s">
        <v>7676</v>
      </c>
      <c r="H592" s="19" t="s">
        <v>7677</v>
      </c>
      <c r="I592" s="19" t="s">
        <v>584</v>
      </c>
      <c r="J592" s="19" t="s">
        <v>6352</v>
      </c>
      <c r="K592" s="19" t="s">
        <v>7678</v>
      </c>
      <c r="L592" s="19" t="s">
        <v>7679</v>
      </c>
      <c r="M592" s="19" t="s">
        <v>7680</v>
      </c>
      <c r="N592" s="19" t="s">
        <v>7681</v>
      </c>
      <c r="O592" s="19" t="s">
        <v>7682</v>
      </c>
      <c r="P592" s="19" t="s">
        <v>1098</v>
      </c>
      <c r="Q592" s="19" t="s">
        <v>1389</v>
      </c>
    </row>
    <row r="593" spans="1:17" ht="48">
      <c r="A593" s="18" t="s">
        <v>7683</v>
      </c>
      <c r="B593" s="19" t="s">
        <v>5882</v>
      </c>
      <c r="C593" s="19" t="s">
        <v>7684</v>
      </c>
      <c r="D593" s="19" t="s">
        <v>5804</v>
      </c>
      <c r="E593" s="19" t="s">
        <v>2278</v>
      </c>
      <c r="F593" s="19" t="s">
        <v>7685</v>
      </c>
      <c r="G593" s="19" t="s">
        <v>7686</v>
      </c>
      <c r="H593" s="19" t="s">
        <v>7687</v>
      </c>
      <c r="I593" s="19" t="s">
        <v>7688</v>
      </c>
      <c r="J593" s="19" t="s">
        <v>7689</v>
      </c>
      <c r="K593" s="19" t="s">
        <v>7690</v>
      </c>
      <c r="L593" s="19" t="s">
        <v>7691</v>
      </c>
      <c r="M593" s="19" t="s">
        <v>7692</v>
      </c>
      <c r="N593" s="19" t="s">
        <v>7693</v>
      </c>
      <c r="O593" s="19" t="s">
        <v>7694</v>
      </c>
      <c r="P593" s="19" t="s">
        <v>4084</v>
      </c>
      <c r="Q593" s="19" t="s">
        <v>565</v>
      </c>
    </row>
    <row r="594" spans="1:17" ht="48">
      <c r="A594" s="18" t="s">
        <v>7695</v>
      </c>
      <c r="B594" s="19" t="s">
        <v>7696</v>
      </c>
      <c r="C594" s="19" t="s">
        <v>7697</v>
      </c>
      <c r="D594" s="19" t="s">
        <v>7698</v>
      </c>
      <c r="E594" s="19" t="s">
        <v>7699</v>
      </c>
      <c r="F594" s="19" t="s">
        <v>7700</v>
      </c>
      <c r="G594" s="19" t="s">
        <v>7701</v>
      </c>
      <c r="H594" s="19" t="s">
        <v>7702</v>
      </c>
      <c r="I594" s="19" t="s">
        <v>7703</v>
      </c>
      <c r="J594" s="19" t="s">
        <v>7704</v>
      </c>
      <c r="K594" s="19" t="s">
        <v>7705</v>
      </c>
      <c r="L594" s="19" t="s">
        <v>7706</v>
      </c>
      <c r="M594" s="19" t="s">
        <v>7707</v>
      </c>
      <c r="N594" s="19" t="s">
        <v>7708</v>
      </c>
      <c r="O594" s="19" t="s">
        <v>7709</v>
      </c>
      <c r="P594" s="19" t="s">
        <v>7710</v>
      </c>
      <c r="Q594" s="19" t="s">
        <v>3723</v>
      </c>
    </row>
    <row r="595" spans="1:17" ht="36">
      <c r="A595" s="18" t="s">
        <v>7711</v>
      </c>
      <c r="B595" s="19" t="s">
        <v>7712</v>
      </c>
      <c r="C595" s="19" t="s">
        <v>7713</v>
      </c>
      <c r="D595" s="19" t="s">
        <v>7714</v>
      </c>
      <c r="E595" s="19" t="s">
        <v>7715</v>
      </c>
      <c r="F595" s="19" t="s">
        <v>7716</v>
      </c>
      <c r="G595" s="19" t="s">
        <v>7717</v>
      </c>
      <c r="H595" s="19" t="s">
        <v>7718</v>
      </c>
      <c r="I595" s="19" t="s">
        <v>7719</v>
      </c>
      <c r="J595" s="19" t="s">
        <v>7720</v>
      </c>
      <c r="K595" s="19" t="s">
        <v>7721</v>
      </c>
      <c r="L595" s="19" t="s">
        <v>7722</v>
      </c>
      <c r="M595" s="19" t="s">
        <v>7723</v>
      </c>
      <c r="N595" s="19" t="s">
        <v>7724</v>
      </c>
      <c r="O595" s="19" t="s">
        <v>7725</v>
      </c>
      <c r="P595" s="19" t="s">
        <v>7726</v>
      </c>
      <c r="Q595" s="19" t="s">
        <v>1084</v>
      </c>
    </row>
    <row r="596" spans="1:17" ht="36">
      <c r="A596" s="20" t="s">
        <v>7727</v>
      </c>
      <c r="B596" s="21" t="s">
        <v>4373</v>
      </c>
      <c r="C596" s="21" t="s">
        <v>7728</v>
      </c>
      <c r="D596" s="21" t="s">
        <v>7729</v>
      </c>
      <c r="E596" s="21" t="s">
        <v>7730</v>
      </c>
      <c r="F596" s="21" t="s">
        <v>1727</v>
      </c>
      <c r="G596" s="21" t="s">
        <v>7731</v>
      </c>
      <c r="H596" s="21" t="s">
        <v>7732</v>
      </c>
      <c r="I596" s="21" t="s">
        <v>7733</v>
      </c>
      <c r="J596" s="21" t="s">
        <v>7734</v>
      </c>
      <c r="K596" s="21" t="s">
        <v>7735</v>
      </c>
      <c r="L596" s="21" t="s">
        <v>7736</v>
      </c>
      <c r="M596" s="21" t="s">
        <v>796</v>
      </c>
      <c r="N596" s="21" t="s">
        <v>7737</v>
      </c>
      <c r="O596" s="21" t="s">
        <v>7738</v>
      </c>
      <c r="P596" s="21" t="s">
        <v>7739</v>
      </c>
      <c r="Q596" s="21" t="s">
        <v>7740</v>
      </c>
    </row>
    <row r="597" spans="1:17" ht="15.6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</row>
    <row r="598" spans="1:17" ht="15.6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 spans="1:17">
      <c r="A599" s="16" t="s">
        <v>7741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1:17">
      <c r="A600" s="17" t="s">
        <v>159</v>
      </c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 spans="1:17">
      <c r="A601" s="130" t="s">
        <v>160</v>
      </c>
      <c r="B601" s="134" t="s">
        <v>161</v>
      </c>
      <c r="C601" s="136" t="s">
        <v>162</v>
      </c>
      <c r="D601" s="125"/>
      <c r="E601" s="125"/>
      <c r="F601" s="125"/>
      <c r="G601" s="125"/>
      <c r="H601" s="125"/>
      <c r="I601" s="125"/>
      <c r="J601" s="126"/>
      <c r="K601" s="136" t="s">
        <v>163</v>
      </c>
      <c r="L601" s="125"/>
      <c r="M601" s="126"/>
      <c r="N601" s="136" t="s">
        <v>164</v>
      </c>
      <c r="O601" s="125"/>
      <c r="P601" s="125"/>
      <c r="Q601" s="125"/>
    </row>
    <row r="602" spans="1:17">
      <c r="A602" s="128"/>
      <c r="B602" s="132"/>
      <c r="C602" s="132"/>
      <c r="D602" s="134" t="s">
        <v>165</v>
      </c>
      <c r="E602" s="134" t="s">
        <v>166</v>
      </c>
      <c r="F602" s="134" t="s">
        <v>167</v>
      </c>
      <c r="G602" s="136" t="s">
        <v>168</v>
      </c>
      <c r="H602" s="125"/>
      <c r="I602" s="125"/>
      <c r="J602" s="126"/>
      <c r="K602" s="132"/>
      <c r="L602" s="136" t="s">
        <v>169</v>
      </c>
      <c r="M602" s="13"/>
      <c r="N602" s="132"/>
      <c r="O602" s="136" t="s">
        <v>170</v>
      </c>
      <c r="P602" s="125"/>
      <c r="Q602" s="125"/>
    </row>
    <row r="603" spans="1:17">
      <c r="A603" s="128"/>
      <c r="B603" s="132"/>
      <c r="C603" s="132"/>
      <c r="D603" s="132"/>
      <c r="E603" s="132"/>
      <c r="F603" s="132"/>
      <c r="G603" s="132"/>
      <c r="H603" s="134" t="s">
        <v>171</v>
      </c>
      <c r="I603" s="136" t="s">
        <v>854</v>
      </c>
      <c r="J603" s="13"/>
      <c r="K603" s="132"/>
      <c r="L603" s="132"/>
      <c r="M603" s="134" t="s">
        <v>173</v>
      </c>
      <c r="N603" s="132"/>
      <c r="O603" s="132"/>
      <c r="P603" s="134" t="s">
        <v>174</v>
      </c>
      <c r="Q603" s="136" t="s">
        <v>175</v>
      </c>
    </row>
    <row r="604" spans="1:17">
      <c r="A604" s="129"/>
      <c r="B604" s="133"/>
      <c r="C604" s="133"/>
      <c r="D604" s="133"/>
      <c r="E604" s="133"/>
      <c r="F604" s="133"/>
      <c r="G604" s="133"/>
      <c r="H604" s="133"/>
      <c r="I604" s="133"/>
      <c r="J604" s="22" t="s">
        <v>176</v>
      </c>
      <c r="K604" s="133"/>
      <c r="L604" s="133"/>
      <c r="M604" s="133"/>
      <c r="N604" s="133"/>
      <c r="O604" s="133"/>
      <c r="P604" s="133"/>
      <c r="Q604" s="137"/>
    </row>
    <row r="605" spans="1:17" ht="48">
      <c r="A605" s="18" t="s">
        <v>7742</v>
      </c>
      <c r="B605" s="19" t="s">
        <v>7743</v>
      </c>
      <c r="C605" s="19" t="s">
        <v>7744</v>
      </c>
      <c r="D605" s="19" t="s">
        <v>7745</v>
      </c>
      <c r="E605" s="19" t="s">
        <v>7746</v>
      </c>
      <c r="F605" s="19" t="s">
        <v>7747</v>
      </c>
      <c r="G605" s="19" t="s">
        <v>7748</v>
      </c>
      <c r="H605" s="19" t="s">
        <v>7749</v>
      </c>
      <c r="I605" s="19" t="s">
        <v>7750</v>
      </c>
      <c r="J605" s="19" t="s">
        <v>7751</v>
      </c>
      <c r="K605" s="19" t="s">
        <v>7752</v>
      </c>
      <c r="L605" s="19" t="s">
        <v>7753</v>
      </c>
      <c r="M605" s="19" t="s">
        <v>7754</v>
      </c>
      <c r="N605" s="19" t="s">
        <v>7755</v>
      </c>
      <c r="O605" s="19" t="s">
        <v>7756</v>
      </c>
      <c r="P605" s="19" t="s">
        <v>7757</v>
      </c>
      <c r="Q605" s="19" t="s">
        <v>5100</v>
      </c>
    </row>
    <row r="606" spans="1:17" ht="60">
      <c r="A606" s="18" t="s">
        <v>7758</v>
      </c>
      <c r="B606" s="19" t="s">
        <v>2854</v>
      </c>
      <c r="C606" s="19" t="s">
        <v>7759</v>
      </c>
      <c r="D606" s="19" t="s">
        <v>7682</v>
      </c>
      <c r="E606" s="19" t="s">
        <v>7760</v>
      </c>
      <c r="F606" s="19" t="s">
        <v>7761</v>
      </c>
      <c r="G606" s="19" t="s">
        <v>7762</v>
      </c>
      <c r="H606" s="19" t="s">
        <v>607</v>
      </c>
      <c r="I606" s="19" t="s">
        <v>7763</v>
      </c>
      <c r="J606" s="19" t="s">
        <v>7764</v>
      </c>
      <c r="K606" s="19" t="s">
        <v>7765</v>
      </c>
      <c r="L606" s="19" t="s">
        <v>7766</v>
      </c>
      <c r="M606" s="19" t="s">
        <v>7767</v>
      </c>
      <c r="N606" s="19" t="s">
        <v>7768</v>
      </c>
      <c r="O606" s="19" t="s">
        <v>7769</v>
      </c>
      <c r="P606" s="19" t="s">
        <v>7770</v>
      </c>
      <c r="Q606" s="19" t="s">
        <v>1389</v>
      </c>
    </row>
    <row r="607" spans="1:17" ht="48">
      <c r="A607" s="18" t="s">
        <v>7771</v>
      </c>
      <c r="B607" s="19" t="s">
        <v>7772</v>
      </c>
      <c r="C607" s="19" t="s">
        <v>7773</v>
      </c>
      <c r="D607" s="19" t="s">
        <v>7774</v>
      </c>
      <c r="E607" s="19" t="s">
        <v>7775</v>
      </c>
      <c r="F607" s="19" t="s">
        <v>7776</v>
      </c>
      <c r="G607" s="19" t="s">
        <v>7777</v>
      </c>
      <c r="H607" s="19" t="s">
        <v>7778</v>
      </c>
      <c r="I607" s="19" t="s">
        <v>7779</v>
      </c>
      <c r="J607" s="19" t="s">
        <v>6212</v>
      </c>
      <c r="K607" s="19" t="s">
        <v>7780</v>
      </c>
      <c r="L607" s="19" t="s">
        <v>7781</v>
      </c>
      <c r="M607" s="19" t="s">
        <v>7782</v>
      </c>
      <c r="N607" s="19" t="s">
        <v>7783</v>
      </c>
      <c r="O607" s="19" t="s">
        <v>7784</v>
      </c>
      <c r="P607" s="19" t="s">
        <v>7785</v>
      </c>
      <c r="Q607" s="19" t="s">
        <v>7786</v>
      </c>
    </row>
    <row r="608" spans="1:17" ht="24">
      <c r="A608" s="18" t="s">
        <v>7787</v>
      </c>
      <c r="B608" s="19" t="s">
        <v>7788</v>
      </c>
      <c r="C608" s="19" t="s">
        <v>7789</v>
      </c>
      <c r="D608" s="19" t="s">
        <v>7790</v>
      </c>
      <c r="E608" s="19" t="s">
        <v>7791</v>
      </c>
      <c r="F608" s="19" t="s">
        <v>7792</v>
      </c>
      <c r="G608" s="19" t="s">
        <v>7793</v>
      </c>
      <c r="H608" s="19" t="s">
        <v>7794</v>
      </c>
      <c r="I608" s="19" t="s">
        <v>7795</v>
      </c>
      <c r="J608" s="19" t="s">
        <v>7796</v>
      </c>
      <c r="K608" s="19" t="s">
        <v>7797</v>
      </c>
      <c r="L608" s="19" t="s">
        <v>7798</v>
      </c>
      <c r="M608" s="19" t="s">
        <v>7799</v>
      </c>
      <c r="N608" s="19" t="s">
        <v>7800</v>
      </c>
      <c r="O608" s="19" t="s">
        <v>7801</v>
      </c>
      <c r="P608" s="19" t="s">
        <v>7802</v>
      </c>
      <c r="Q608" s="19" t="s">
        <v>7803</v>
      </c>
    </row>
    <row r="609" spans="1:17" ht="48">
      <c r="A609" s="18" t="s">
        <v>7804</v>
      </c>
      <c r="B609" s="19" t="s">
        <v>2836</v>
      </c>
      <c r="C609" s="19" t="s">
        <v>7805</v>
      </c>
      <c r="D609" s="19" t="s">
        <v>7806</v>
      </c>
      <c r="E609" s="19" t="s">
        <v>7807</v>
      </c>
      <c r="F609" s="19" t="s">
        <v>7808</v>
      </c>
      <c r="G609" s="19" t="s">
        <v>7809</v>
      </c>
      <c r="H609" s="19" t="s">
        <v>7810</v>
      </c>
      <c r="I609" s="19" t="s">
        <v>7811</v>
      </c>
      <c r="J609" s="19" t="s">
        <v>7812</v>
      </c>
      <c r="K609" s="19" t="s">
        <v>7813</v>
      </c>
      <c r="L609" s="19" t="s">
        <v>7814</v>
      </c>
      <c r="M609" s="19" t="s">
        <v>7815</v>
      </c>
      <c r="N609" s="19" t="s">
        <v>7816</v>
      </c>
      <c r="O609" s="19" t="s">
        <v>7817</v>
      </c>
      <c r="P609" s="19" t="s">
        <v>7818</v>
      </c>
      <c r="Q609" s="19" t="s">
        <v>2175</v>
      </c>
    </row>
    <row r="610" spans="1:17" ht="48">
      <c r="A610" s="18" t="s">
        <v>7819</v>
      </c>
      <c r="B610" s="19" t="s">
        <v>1490</v>
      </c>
      <c r="C610" s="19" t="s">
        <v>7820</v>
      </c>
      <c r="D610" s="19" t="s">
        <v>7821</v>
      </c>
      <c r="E610" s="19" t="s">
        <v>7822</v>
      </c>
      <c r="F610" s="19" t="s">
        <v>7823</v>
      </c>
      <c r="G610" s="19" t="s">
        <v>7824</v>
      </c>
      <c r="H610" s="19" t="s">
        <v>7825</v>
      </c>
      <c r="I610" s="19" t="s">
        <v>7826</v>
      </c>
      <c r="J610" s="19" t="s">
        <v>1161</v>
      </c>
      <c r="K610" s="19" t="s">
        <v>7827</v>
      </c>
      <c r="L610" s="19" t="s">
        <v>7828</v>
      </c>
      <c r="M610" s="19" t="s">
        <v>7829</v>
      </c>
      <c r="N610" s="19" t="s">
        <v>7830</v>
      </c>
      <c r="O610" s="19" t="s">
        <v>7831</v>
      </c>
      <c r="P610" s="19" t="s">
        <v>7832</v>
      </c>
      <c r="Q610" s="19" t="s">
        <v>7833</v>
      </c>
    </row>
    <row r="611" spans="1:17" ht="36">
      <c r="A611" s="18" t="s">
        <v>7834</v>
      </c>
      <c r="B611" s="19" t="s">
        <v>7835</v>
      </c>
      <c r="C611" s="19" t="s">
        <v>7836</v>
      </c>
      <c r="D611" s="19" t="s">
        <v>7837</v>
      </c>
      <c r="E611" s="19" t="s">
        <v>7838</v>
      </c>
      <c r="F611" s="19" t="s">
        <v>7839</v>
      </c>
      <c r="G611" s="19" t="s">
        <v>7840</v>
      </c>
      <c r="H611" s="19" t="s">
        <v>7841</v>
      </c>
      <c r="I611" s="19" t="s">
        <v>7842</v>
      </c>
      <c r="J611" s="19" t="s">
        <v>7843</v>
      </c>
      <c r="K611" s="19" t="s">
        <v>7844</v>
      </c>
      <c r="L611" s="19" t="s">
        <v>7845</v>
      </c>
      <c r="M611" s="19" t="s">
        <v>7846</v>
      </c>
      <c r="N611" s="19" t="s">
        <v>7847</v>
      </c>
      <c r="O611" s="19" t="s">
        <v>7848</v>
      </c>
      <c r="P611" s="19" t="s">
        <v>7849</v>
      </c>
      <c r="Q611" s="19" t="s">
        <v>7850</v>
      </c>
    </row>
    <row r="612" spans="1:17" ht="36">
      <c r="A612" s="18" t="s">
        <v>7851</v>
      </c>
      <c r="B612" s="19" t="s">
        <v>7852</v>
      </c>
      <c r="C612" s="19" t="s">
        <v>7853</v>
      </c>
      <c r="D612" s="19" t="s">
        <v>7854</v>
      </c>
      <c r="E612" s="19" t="s">
        <v>7855</v>
      </c>
      <c r="F612" s="19" t="s">
        <v>7856</v>
      </c>
      <c r="G612" s="19" t="s">
        <v>7857</v>
      </c>
      <c r="H612" s="19" t="s">
        <v>7858</v>
      </c>
      <c r="I612" s="19" t="s">
        <v>7859</v>
      </c>
      <c r="J612" s="19" t="s">
        <v>7860</v>
      </c>
      <c r="K612" s="19" t="s">
        <v>7861</v>
      </c>
      <c r="L612" s="19" t="s">
        <v>7862</v>
      </c>
      <c r="M612" s="19" t="s">
        <v>7863</v>
      </c>
      <c r="N612" s="19" t="s">
        <v>7864</v>
      </c>
      <c r="O612" s="19" t="s">
        <v>7865</v>
      </c>
      <c r="P612" s="19" t="s">
        <v>7866</v>
      </c>
      <c r="Q612" s="19" t="s">
        <v>358</v>
      </c>
    </row>
    <row r="613" spans="1:17" ht="36">
      <c r="A613" s="18" t="s">
        <v>7867</v>
      </c>
      <c r="B613" s="19" t="s">
        <v>5808</v>
      </c>
      <c r="C613" s="19" t="s">
        <v>7868</v>
      </c>
      <c r="D613" s="19" t="s">
        <v>7869</v>
      </c>
      <c r="E613" s="19" t="s">
        <v>7870</v>
      </c>
      <c r="F613" s="19" t="s">
        <v>3425</v>
      </c>
      <c r="G613" s="19" t="s">
        <v>614</v>
      </c>
      <c r="H613" s="19" t="s">
        <v>7871</v>
      </c>
      <c r="I613" s="19" t="s">
        <v>798</v>
      </c>
      <c r="J613" s="19" t="s">
        <v>7872</v>
      </c>
      <c r="K613" s="19" t="s">
        <v>7873</v>
      </c>
      <c r="L613" s="19" t="s">
        <v>7874</v>
      </c>
      <c r="M613" s="19" t="s">
        <v>7875</v>
      </c>
      <c r="N613" s="19" t="s">
        <v>7876</v>
      </c>
      <c r="O613" s="19" t="s">
        <v>3416</v>
      </c>
      <c r="P613" s="19" t="s">
        <v>7877</v>
      </c>
      <c r="Q613" s="19" t="s">
        <v>1360</v>
      </c>
    </row>
    <row r="614" spans="1:17" ht="36">
      <c r="A614" s="18" t="s">
        <v>7878</v>
      </c>
      <c r="B614" s="19" t="s">
        <v>7879</v>
      </c>
      <c r="C614" s="19" t="s">
        <v>7880</v>
      </c>
      <c r="D614" s="19" t="s">
        <v>5105</v>
      </c>
      <c r="E614" s="19" t="s">
        <v>7881</v>
      </c>
      <c r="F614" s="19" t="s">
        <v>7882</v>
      </c>
      <c r="G614" s="19" t="s">
        <v>7883</v>
      </c>
      <c r="H614" s="19" t="s">
        <v>7884</v>
      </c>
      <c r="I614" s="19" t="s">
        <v>7885</v>
      </c>
      <c r="J614" s="19" t="s">
        <v>7886</v>
      </c>
      <c r="K614" s="19" t="s">
        <v>7887</v>
      </c>
      <c r="L614" s="19" t="s">
        <v>7888</v>
      </c>
      <c r="M614" s="19" t="s">
        <v>7889</v>
      </c>
      <c r="N614" s="19" t="s">
        <v>7890</v>
      </c>
      <c r="O614" s="19" t="s">
        <v>7891</v>
      </c>
      <c r="P614" s="19" t="s">
        <v>7892</v>
      </c>
      <c r="Q614" s="19" t="s">
        <v>7893</v>
      </c>
    </row>
    <row r="615" spans="1:17" ht="36">
      <c r="A615" s="18" t="s">
        <v>7894</v>
      </c>
      <c r="B615" s="19" t="s">
        <v>4100</v>
      </c>
      <c r="C615" s="19" t="s">
        <v>7895</v>
      </c>
      <c r="D615" s="19" t="s">
        <v>2453</v>
      </c>
      <c r="E615" s="19" t="s">
        <v>1966</v>
      </c>
      <c r="F615" s="19" t="s">
        <v>3458</v>
      </c>
      <c r="G615" s="19" t="s">
        <v>1388</v>
      </c>
      <c r="H615" s="19" t="s">
        <v>5826</v>
      </c>
      <c r="I615" s="19" t="s">
        <v>7896</v>
      </c>
      <c r="J615" s="19" t="s">
        <v>3096</v>
      </c>
      <c r="K615" s="19" t="s">
        <v>4951</v>
      </c>
      <c r="L615" s="19" t="s">
        <v>7897</v>
      </c>
      <c r="M615" s="19" t="s">
        <v>7898</v>
      </c>
      <c r="N615" s="19" t="s">
        <v>7899</v>
      </c>
      <c r="O615" s="19" t="s">
        <v>986</v>
      </c>
      <c r="P615" s="19" t="s">
        <v>2519</v>
      </c>
      <c r="Q615" s="15"/>
    </row>
    <row r="616" spans="1:17" ht="36">
      <c r="A616" s="18" t="s">
        <v>7900</v>
      </c>
      <c r="B616" s="19" t="s">
        <v>7901</v>
      </c>
      <c r="C616" s="19" t="s">
        <v>7902</v>
      </c>
      <c r="D616" s="19" t="s">
        <v>7903</v>
      </c>
      <c r="E616" s="19" t="s">
        <v>7904</v>
      </c>
      <c r="F616" s="19" t="s">
        <v>7905</v>
      </c>
      <c r="G616" s="19" t="s">
        <v>7906</v>
      </c>
      <c r="H616" s="19" t="s">
        <v>7907</v>
      </c>
      <c r="I616" s="19" t="s">
        <v>7908</v>
      </c>
      <c r="J616" s="19" t="s">
        <v>7909</v>
      </c>
      <c r="K616" s="19" t="s">
        <v>7910</v>
      </c>
      <c r="L616" s="19" t="s">
        <v>7911</v>
      </c>
      <c r="M616" s="19" t="s">
        <v>7912</v>
      </c>
      <c r="N616" s="19" t="s">
        <v>7913</v>
      </c>
      <c r="O616" s="19" t="s">
        <v>7914</v>
      </c>
      <c r="P616" s="19" t="s">
        <v>5274</v>
      </c>
      <c r="Q616" s="19" t="s">
        <v>7915</v>
      </c>
    </row>
    <row r="617" spans="1:17" ht="36">
      <c r="A617" s="18" t="s">
        <v>7916</v>
      </c>
      <c r="B617" s="19" t="s">
        <v>7917</v>
      </c>
      <c r="C617" s="19" t="s">
        <v>7918</v>
      </c>
      <c r="D617" s="19" t="s">
        <v>7919</v>
      </c>
      <c r="E617" s="19" t="s">
        <v>7920</v>
      </c>
      <c r="F617" s="19" t="s">
        <v>7921</v>
      </c>
      <c r="G617" s="19" t="s">
        <v>7922</v>
      </c>
      <c r="H617" s="19" t="s">
        <v>7923</v>
      </c>
      <c r="I617" s="19" t="s">
        <v>7924</v>
      </c>
      <c r="J617" s="19" t="s">
        <v>7925</v>
      </c>
      <c r="K617" s="19" t="s">
        <v>7926</v>
      </c>
      <c r="L617" s="19" t="s">
        <v>7927</v>
      </c>
      <c r="M617" s="19" t="s">
        <v>7928</v>
      </c>
      <c r="N617" s="19" t="s">
        <v>7929</v>
      </c>
      <c r="O617" s="19" t="s">
        <v>7930</v>
      </c>
      <c r="P617" s="19" t="s">
        <v>7931</v>
      </c>
      <c r="Q617" s="19" t="s">
        <v>5666</v>
      </c>
    </row>
    <row r="618" spans="1:17" ht="36">
      <c r="A618" s="18" t="s">
        <v>7932</v>
      </c>
      <c r="B618" s="19" t="s">
        <v>7933</v>
      </c>
      <c r="C618" s="19" t="s">
        <v>7934</v>
      </c>
      <c r="D618" s="19" t="s">
        <v>7935</v>
      </c>
      <c r="E618" s="19" t="s">
        <v>7936</v>
      </c>
      <c r="F618" s="19" t="s">
        <v>3633</v>
      </c>
      <c r="G618" s="19" t="s">
        <v>7937</v>
      </c>
      <c r="H618" s="19" t="s">
        <v>7938</v>
      </c>
      <c r="I618" s="19" t="s">
        <v>7939</v>
      </c>
      <c r="J618" s="19" t="s">
        <v>7940</v>
      </c>
      <c r="K618" s="19" t="s">
        <v>2327</v>
      </c>
      <c r="L618" s="19" t="s">
        <v>7941</v>
      </c>
      <c r="M618" s="19" t="s">
        <v>7942</v>
      </c>
      <c r="N618" s="19" t="s">
        <v>7943</v>
      </c>
      <c r="O618" s="19" t="s">
        <v>7944</v>
      </c>
      <c r="P618" s="19" t="s">
        <v>7945</v>
      </c>
      <c r="Q618" s="19" t="s">
        <v>7946</v>
      </c>
    </row>
    <row r="619" spans="1:17" ht="36">
      <c r="A619" s="18" t="s">
        <v>7947</v>
      </c>
      <c r="B619" s="19" t="s">
        <v>4302</v>
      </c>
      <c r="C619" s="19" t="s">
        <v>7948</v>
      </c>
      <c r="D619" s="19" t="s">
        <v>7949</v>
      </c>
      <c r="E619" s="19" t="s">
        <v>7950</v>
      </c>
      <c r="F619" s="19" t="s">
        <v>7951</v>
      </c>
      <c r="G619" s="19" t="s">
        <v>7952</v>
      </c>
      <c r="H619" s="19" t="s">
        <v>7953</v>
      </c>
      <c r="I619" s="19" t="s">
        <v>7954</v>
      </c>
      <c r="J619" s="19" t="s">
        <v>7955</v>
      </c>
      <c r="K619" s="19" t="s">
        <v>5296</v>
      </c>
      <c r="L619" s="19" t="s">
        <v>7956</v>
      </c>
      <c r="M619" s="19" t="s">
        <v>5619</v>
      </c>
      <c r="N619" s="19" t="s">
        <v>2886</v>
      </c>
      <c r="O619" s="19" t="s">
        <v>7957</v>
      </c>
      <c r="P619" s="19" t="s">
        <v>2046</v>
      </c>
      <c r="Q619" s="19" t="s">
        <v>1965</v>
      </c>
    </row>
    <row r="620" spans="1:17" ht="48">
      <c r="A620" s="18" t="s">
        <v>7958</v>
      </c>
      <c r="B620" s="19" t="s">
        <v>1734</v>
      </c>
      <c r="C620" s="19" t="s">
        <v>7959</v>
      </c>
      <c r="D620" s="19" t="s">
        <v>7960</v>
      </c>
      <c r="E620" s="19" t="s">
        <v>7961</v>
      </c>
      <c r="F620" s="19" t="s">
        <v>7962</v>
      </c>
      <c r="G620" s="19" t="s">
        <v>7963</v>
      </c>
      <c r="H620" s="19" t="s">
        <v>7964</v>
      </c>
      <c r="I620" s="19" t="s">
        <v>7965</v>
      </c>
      <c r="J620" s="19" t="s">
        <v>7966</v>
      </c>
      <c r="K620" s="19" t="s">
        <v>7967</v>
      </c>
      <c r="L620" s="19" t="s">
        <v>7968</v>
      </c>
      <c r="M620" s="19" t="s">
        <v>4916</v>
      </c>
      <c r="N620" s="19" t="s">
        <v>7969</v>
      </c>
      <c r="O620" s="19" t="s">
        <v>7970</v>
      </c>
      <c r="P620" s="19" t="s">
        <v>7971</v>
      </c>
      <c r="Q620" s="19" t="s">
        <v>7972</v>
      </c>
    </row>
    <row r="621" spans="1:17" ht="48">
      <c r="A621" s="18" t="s">
        <v>7973</v>
      </c>
      <c r="B621" s="19" t="s">
        <v>7974</v>
      </c>
      <c r="C621" s="19" t="s">
        <v>7975</v>
      </c>
      <c r="D621" s="19" t="s">
        <v>7976</v>
      </c>
      <c r="E621" s="19" t="s">
        <v>7977</v>
      </c>
      <c r="F621" s="19" t="s">
        <v>7978</v>
      </c>
      <c r="G621" s="19" t="s">
        <v>7979</v>
      </c>
      <c r="H621" s="19" t="s">
        <v>7980</v>
      </c>
      <c r="I621" s="19" t="s">
        <v>7981</v>
      </c>
      <c r="J621" s="19" t="s">
        <v>7982</v>
      </c>
      <c r="K621" s="19" t="s">
        <v>6830</v>
      </c>
      <c r="L621" s="19" t="s">
        <v>7983</v>
      </c>
      <c r="M621" s="19" t="s">
        <v>7984</v>
      </c>
      <c r="N621" s="19" t="s">
        <v>7985</v>
      </c>
      <c r="O621" s="19" t="s">
        <v>7762</v>
      </c>
      <c r="P621" s="19" t="s">
        <v>447</v>
      </c>
      <c r="Q621" s="19" t="s">
        <v>7986</v>
      </c>
    </row>
    <row r="622" spans="1:17" ht="48">
      <c r="A622" s="18" t="s">
        <v>7987</v>
      </c>
      <c r="B622" s="19" t="s">
        <v>7988</v>
      </c>
      <c r="C622" s="19" t="s">
        <v>7989</v>
      </c>
      <c r="D622" s="19" t="s">
        <v>7990</v>
      </c>
      <c r="E622" s="19" t="s">
        <v>7991</v>
      </c>
      <c r="F622" s="19" t="s">
        <v>7992</v>
      </c>
      <c r="G622" s="19" t="s">
        <v>7993</v>
      </c>
      <c r="H622" s="19" t="s">
        <v>7994</v>
      </c>
      <c r="I622" s="19" t="s">
        <v>7995</v>
      </c>
      <c r="J622" s="19" t="s">
        <v>7996</v>
      </c>
      <c r="K622" s="19" t="s">
        <v>470</v>
      </c>
      <c r="L622" s="19" t="s">
        <v>7997</v>
      </c>
      <c r="M622" s="19" t="s">
        <v>7998</v>
      </c>
      <c r="N622" s="19" t="s">
        <v>7999</v>
      </c>
      <c r="O622" s="19" t="s">
        <v>8000</v>
      </c>
      <c r="P622" s="19" t="s">
        <v>8001</v>
      </c>
      <c r="Q622" s="19" t="s">
        <v>663</v>
      </c>
    </row>
    <row r="623" spans="1:17" ht="36">
      <c r="A623" s="18" t="s">
        <v>8002</v>
      </c>
      <c r="B623" s="19" t="s">
        <v>8003</v>
      </c>
      <c r="C623" s="19" t="s">
        <v>8004</v>
      </c>
      <c r="D623" s="19" t="s">
        <v>8005</v>
      </c>
      <c r="E623" s="19" t="s">
        <v>8006</v>
      </c>
      <c r="F623" s="19" t="s">
        <v>8007</v>
      </c>
      <c r="G623" s="19" t="s">
        <v>8008</v>
      </c>
      <c r="H623" s="19" t="s">
        <v>8009</v>
      </c>
      <c r="I623" s="19" t="s">
        <v>8010</v>
      </c>
      <c r="J623" s="19" t="s">
        <v>8011</v>
      </c>
      <c r="K623" s="19" t="s">
        <v>8012</v>
      </c>
      <c r="L623" s="19" t="s">
        <v>8013</v>
      </c>
      <c r="M623" s="19" t="s">
        <v>8014</v>
      </c>
      <c r="N623" s="19" t="s">
        <v>8015</v>
      </c>
      <c r="O623" s="19" t="s">
        <v>8016</v>
      </c>
      <c r="P623" s="19" t="s">
        <v>8017</v>
      </c>
      <c r="Q623" s="19" t="s">
        <v>450</v>
      </c>
    </row>
    <row r="624" spans="1:17" ht="48">
      <c r="A624" s="18" t="s">
        <v>8018</v>
      </c>
      <c r="B624" s="19" t="s">
        <v>8019</v>
      </c>
      <c r="C624" s="19" t="s">
        <v>8020</v>
      </c>
      <c r="D624" s="19" t="s">
        <v>8021</v>
      </c>
      <c r="E624" s="19" t="s">
        <v>8022</v>
      </c>
      <c r="F624" s="19" t="s">
        <v>2879</v>
      </c>
      <c r="G624" s="19" t="s">
        <v>8023</v>
      </c>
      <c r="H624" s="19" t="s">
        <v>2595</v>
      </c>
      <c r="I624" s="19" t="s">
        <v>8024</v>
      </c>
      <c r="J624" s="19" t="s">
        <v>7610</v>
      </c>
      <c r="K624" s="19" t="s">
        <v>8025</v>
      </c>
      <c r="L624" s="19" t="s">
        <v>8026</v>
      </c>
      <c r="M624" s="19" t="s">
        <v>8027</v>
      </c>
      <c r="N624" s="19" t="s">
        <v>8028</v>
      </c>
      <c r="O624" s="19" t="s">
        <v>8029</v>
      </c>
      <c r="P624" s="19" t="s">
        <v>2212</v>
      </c>
      <c r="Q624" s="19" t="s">
        <v>1700</v>
      </c>
    </row>
    <row r="625" spans="1:17" ht="48">
      <c r="A625" s="18" t="s">
        <v>8030</v>
      </c>
      <c r="B625" s="19" t="s">
        <v>8031</v>
      </c>
      <c r="C625" s="19" t="s">
        <v>8032</v>
      </c>
      <c r="D625" s="19" t="s">
        <v>8033</v>
      </c>
      <c r="E625" s="19" t="s">
        <v>8034</v>
      </c>
      <c r="F625" s="19" t="s">
        <v>8035</v>
      </c>
      <c r="G625" s="19" t="s">
        <v>8036</v>
      </c>
      <c r="H625" s="19" t="s">
        <v>8037</v>
      </c>
      <c r="I625" s="19" t="s">
        <v>8038</v>
      </c>
      <c r="J625" s="19" t="s">
        <v>8039</v>
      </c>
      <c r="K625" s="19" t="s">
        <v>8040</v>
      </c>
      <c r="L625" s="19" t="s">
        <v>8041</v>
      </c>
      <c r="M625" s="19" t="s">
        <v>8042</v>
      </c>
      <c r="N625" s="19" t="s">
        <v>8043</v>
      </c>
      <c r="O625" s="19" t="s">
        <v>8044</v>
      </c>
      <c r="P625" s="19" t="s">
        <v>8045</v>
      </c>
      <c r="Q625" s="19" t="s">
        <v>3176</v>
      </c>
    </row>
    <row r="626" spans="1:17" ht="36">
      <c r="A626" s="18" t="s">
        <v>8046</v>
      </c>
      <c r="B626" s="19" t="s">
        <v>8047</v>
      </c>
      <c r="C626" s="19" t="s">
        <v>8048</v>
      </c>
      <c r="D626" s="19" t="s">
        <v>1804</v>
      </c>
      <c r="E626" s="19" t="s">
        <v>8049</v>
      </c>
      <c r="F626" s="19" t="s">
        <v>8050</v>
      </c>
      <c r="G626" s="19" t="s">
        <v>8051</v>
      </c>
      <c r="H626" s="19" t="s">
        <v>8052</v>
      </c>
      <c r="I626" s="19" t="s">
        <v>4063</v>
      </c>
      <c r="J626" s="19" t="s">
        <v>8053</v>
      </c>
      <c r="K626" s="19" t="s">
        <v>8054</v>
      </c>
      <c r="L626" s="19" t="s">
        <v>8055</v>
      </c>
      <c r="M626" s="19" t="s">
        <v>8056</v>
      </c>
      <c r="N626" s="19" t="s">
        <v>8057</v>
      </c>
      <c r="O626" s="19" t="s">
        <v>5264</v>
      </c>
      <c r="P626" s="19" t="s">
        <v>2243</v>
      </c>
      <c r="Q626" s="19" t="s">
        <v>2899</v>
      </c>
    </row>
    <row r="627" spans="1:17" ht="36">
      <c r="A627" s="18" t="s">
        <v>8058</v>
      </c>
      <c r="B627" s="19" t="s">
        <v>8059</v>
      </c>
      <c r="C627" s="19" t="s">
        <v>8060</v>
      </c>
      <c r="D627" s="19" t="s">
        <v>8061</v>
      </c>
      <c r="E627" s="19" t="s">
        <v>8062</v>
      </c>
      <c r="F627" s="19" t="s">
        <v>8063</v>
      </c>
      <c r="G627" s="19" t="s">
        <v>8064</v>
      </c>
      <c r="H627" s="19" t="s">
        <v>8065</v>
      </c>
      <c r="I627" s="19" t="s">
        <v>8066</v>
      </c>
      <c r="J627" s="19" t="s">
        <v>8067</v>
      </c>
      <c r="K627" s="19" t="s">
        <v>8068</v>
      </c>
      <c r="L627" s="19" t="s">
        <v>8069</v>
      </c>
      <c r="M627" s="19" t="s">
        <v>8070</v>
      </c>
      <c r="N627" s="19" t="s">
        <v>8071</v>
      </c>
      <c r="O627" s="19" t="s">
        <v>8072</v>
      </c>
      <c r="P627" s="19" t="s">
        <v>294</v>
      </c>
      <c r="Q627" s="19" t="s">
        <v>8073</v>
      </c>
    </row>
    <row r="628" spans="1:17" ht="60">
      <c r="A628" s="18" t="s">
        <v>8074</v>
      </c>
      <c r="B628" s="19" t="s">
        <v>8075</v>
      </c>
      <c r="C628" s="19" t="s">
        <v>8076</v>
      </c>
      <c r="D628" s="19" t="s">
        <v>8077</v>
      </c>
      <c r="E628" s="19" t="s">
        <v>8078</v>
      </c>
      <c r="F628" s="19" t="s">
        <v>8079</v>
      </c>
      <c r="G628" s="19" t="s">
        <v>8080</v>
      </c>
      <c r="H628" s="19" t="s">
        <v>8081</v>
      </c>
      <c r="I628" s="19" t="s">
        <v>8082</v>
      </c>
      <c r="J628" s="19" t="s">
        <v>8083</v>
      </c>
      <c r="K628" s="19" t="s">
        <v>8084</v>
      </c>
      <c r="L628" s="19" t="s">
        <v>8085</v>
      </c>
      <c r="M628" s="19" t="s">
        <v>8086</v>
      </c>
      <c r="N628" s="19" t="s">
        <v>8087</v>
      </c>
      <c r="O628" s="19" t="s">
        <v>8088</v>
      </c>
      <c r="P628" s="19" t="s">
        <v>918</v>
      </c>
      <c r="Q628" s="19" t="s">
        <v>7611</v>
      </c>
    </row>
    <row r="629" spans="1:17" ht="36">
      <c r="A629" s="18" t="s">
        <v>8089</v>
      </c>
      <c r="B629" s="19" t="s">
        <v>984</v>
      </c>
      <c r="C629" s="19" t="s">
        <v>8090</v>
      </c>
      <c r="D629" s="19" t="s">
        <v>8091</v>
      </c>
      <c r="E629" s="19" t="s">
        <v>8092</v>
      </c>
      <c r="F629" s="19" t="s">
        <v>4108</v>
      </c>
      <c r="G629" s="19" t="s">
        <v>8093</v>
      </c>
      <c r="H629" s="19" t="s">
        <v>8094</v>
      </c>
      <c r="I629" s="19" t="s">
        <v>1866</v>
      </c>
      <c r="J629" s="19" t="s">
        <v>1684</v>
      </c>
      <c r="K629" s="19" t="s">
        <v>8095</v>
      </c>
      <c r="L629" s="19" t="s">
        <v>4104</v>
      </c>
      <c r="M629" s="19" t="s">
        <v>7447</v>
      </c>
      <c r="N629" s="19" t="s">
        <v>6929</v>
      </c>
      <c r="O629" s="19" t="s">
        <v>968</v>
      </c>
      <c r="P629" s="19" t="s">
        <v>3136</v>
      </c>
      <c r="Q629" s="15"/>
    </row>
    <row r="630" spans="1:17" ht="48">
      <c r="A630" s="18" t="s">
        <v>8096</v>
      </c>
      <c r="B630" s="19" t="s">
        <v>4904</v>
      </c>
      <c r="C630" s="19" t="s">
        <v>8097</v>
      </c>
      <c r="D630" s="19" t="s">
        <v>8098</v>
      </c>
      <c r="E630" s="19" t="s">
        <v>428</v>
      </c>
      <c r="F630" s="19" t="s">
        <v>8099</v>
      </c>
      <c r="G630" s="19" t="s">
        <v>8100</v>
      </c>
      <c r="H630" s="19" t="s">
        <v>8101</v>
      </c>
      <c r="I630" s="19" t="s">
        <v>3486</v>
      </c>
      <c r="J630" s="19" t="s">
        <v>2862</v>
      </c>
      <c r="K630" s="19" t="s">
        <v>8102</v>
      </c>
      <c r="L630" s="19" t="s">
        <v>8103</v>
      </c>
      <c r="M630" s="19" t="s">
        <v>8104</v>
      </c>
      <c r="N630" s="19" t="s">
        <v>8105</v>
      </c>
      <c r="O630" s="19" t="s">
        <v>8106</v>
      </c>
      <c r="P630" s="19" t="s">
        <v>1370</v>
      </c>
      <c r="Q630" s="19" t="s">
        <v>4241</v>
      </c>
    </row>
    <row r="631" spans="1:17" ht="48">
      <c r="A631" s="18" t="s">
        <v>8107</v>
      </c>
      <c r="B631" s="19" t="s">
        <v>1768</v>
      </c>
      <c r="C631" s="19" t="s">
        <v>8108</v>
      </c>
      <c r="D631" s="19" t="s">
        <v>1353</v>
      </c>
      <c r="E631" s="19" t="s">
        <v>1959</v>
      </c>
      <c r="F631" s="19" t="s">
        <v>8109</v>
      </c>
      <c r="G631" s="19" t="s">
        <v>8110</v>
      </c>
      <c r="H631" s="19" t="s">
        <v>8111</v>
      </c>
      <c r="I631" s="19" t="s">
        <v>8112</v>
      </c>
      <c r="J631" s="19" t="s">
        <v>660</v>
      </c>
      <c r="K631" s="19" t="s">
        <v>8113</v>
      </c>
      <c r="L631" s="19" t="s">
        <v>8114</v>
      </c>
      <c r="M631" s="19" t="s">
        <v>8115</v>
      </c>
      <c r="N631" s="19" t="s">
        <v>8116</v>
      </c>
      <c r="O631" s="19" t="s">
        <v>8117</v>
      </c>
      <c r="P631" s="19" t="s">
        <v>4009</v>
      </c>
      <c r="Q631" s="19" t="s">
        <v>852</v>
      </c>
    </row>
    <row r="632" spans="1:17" ht="60">
      <c r="A632" s="18" t="s">
        <v>8118</v>
      </c>
      <c r="B632" s="19" t="s">
        <v>8119</v>
      </c>
      <c r="C632" s="19" t="s">
        <v>8120</v>
      </c>
      <c r="D632" s="19" t="s">
        <v>8121</v>
      </c>
      <c r="E632" s="19" t="s">
        <v>8122</v>
      </c>
      <c r="F632" s="19" t="s">
        <v>8123</v>
      </c>
      <c r="G632" s="19" t="s">
        <v>8124</v>
      </c>
      <c r="H632" s="19" t="s">
        <v>8125</v>
      </c>
      <c r="I632" s="19" t="s">
        <v>8126</v>
      </c>
      <c r="J632" s="19" t="s">
        <v>8127</v>
      </c>
      <c r="K632" s="19" t="s">
        <v>8128</v>
      </c>
      <c r="L632" s="19" t="s">
        <v>8129</v>
      </c>
      <c r="M632" s="19" t="s">
        <v>8130</v>
      </c>
      <c r="N632" s="19" t="s">
        <v>8131</v>
      </c>
      <c r="O632" s="19" t="s">
        <v>8132</v>
      </c>
      <c r="P632" s="19" t="s">
        <v>8133</v>
      </c>
      <c r="Q632" s="19" t="s">
        <v>8134</v>
      </c>
    </row>
    <row r="633" spans="1:17" ht="36">
      <c r="A633" s="18" t="s">
        <v>8135</v>
      </c>
      <c r="B633" s="19" t="s">
        <v>8136</v>
      </c>
      <c r="C633" s="19" t="s">
        <v>8137</v>
      </c>
      <c r="D633" s="19" t="s">
        <v>8138</v>
      </c>
      <c r="E633" s="19" t="s">
        <v>8139</v>
      </c>
      <c r="F633" s="19" t="s">
        <v>8140</v>
      </c>
      <c r="G633" s="19" t="s">
        <v>8141</v>
      </c>
      <c r="H633" s="19" t="s">
        <v>8142</v>
      </c>
      <c r="I633" s="19" t="s">
        <v>8143</v>
      </c>
      <c r="J633" s="19" t="s">
        <v>8144</v>
      </c>
      <c r="K633" s="19" t="s">
        <v>8145</v>
      </c>
      <c r="L633" s="19" t="s">
        <v>8146</v>
      </c>
      <c r="M633" s="19" t="s">
        <v>8147</v>
      </c>
      <c r="N633" s="19" t="s">
        <v>8148</v>
      </c>
      <c r="O633" s="19" t="s">
        <v>8149</v>
      </c>
      <c r="P633" s="19" t="s">
        <v>8150</v>
      </c>
      <c r="Q633" s="19" t="s">
        <v>8151</v>
      </c>
    </row>
    <row r="634" spans="1:17" ht="36">
      <c r="A634" s="18" t="s">
        <v>8152</v>
      </c>
      <c r="B634" s="19" t="s">
        <v>8153</v>
      </c>
      <c r="C634" s="19" t="s">
        <v>8154</v>
      </c>
      <c r="D634" s="19" t="s">
        <v>1240</v>
      </c>
      <c r="E634" s="19" t="s">
        <v>8155</v>
      </c>
      <c r="F634" s="19" t="s">
        <v>8156</v>
      </c>
      <c r="G634" s="19" t="s">
        <v>8157</v>
      </c>
      <c r="H634" s="19" t="s">
        <v>8158</v>
      </c>
      <c r="I634" s="19" t="s">
        <v>8159</v>
      </c>
      <c r="J634" s="19" t="s">
        <v>8160</v>
      </c>
      <c r="K634" s="19" t="s">
        <v>8161</v>
      </c>
      <c r="L634" s="19" t="s">
        <v>8162</v>
      </c>
      <c r="M634" s="19" t="s">
        <v>8163</v>
      </c>
      <c r="N634" s="19" t="s">
        <v>8164</v>
      </c>
      <c r="O634" s="19" t="s">
        <v>8165</v>
      </c>
      <c r="P634" s="19" t="s">
        <v>8166</v>
      </c>
      <c r="Q634" s="19" t="s">
        <v>1125</v>
      </c>
    </row>
    <row r="635" spans="1:17" ht="36">
      <c r="A635" s="18" t="s">
        <v>8167</v>
      </c>
      <c r="B635" s="19" t="s">
        <v>8168</v>
      </c>
      <c r="C635" s="19" t="s">
        <v>8169</v>
      </c>
      <c r="D635" s="19" t="s">
        <v>8170</v>
      </c>
      <c r="E635" s="19" t="s">
        <v>8171</v>
      </c>
      <c r="F635" s="19" t="s">
        <v>6381</v>
      </c>
      <c r="G635" s="19" t="s">
        <v>8172</v>
      </c>
      <c r="H635" s="19" t="s">
        <v>8173</v>
      </c>
      <c r="I635" s="19" t="s">
        <v>8174</v>
      </c>
      <c r="J635" s="19" t="s">
        <v>8175</v>
      </c>
      <c r="K635" s="19" t="s">
        <v>8176</v>
      </c>
      <c r="L635" s="19" t="s">
        <v>8177</v>
      </c>
      <c r="M635" s="19" t="s">
        <v>8178</v>
      </c>
      <c r="N635" s="19" t="s">
        <v>8179</v>
      </c>
      <c r="O635" s="19" t="s">
        <v>8180</v>
      </c>
      <c r="P635" s="19" t="s">
        <v>7615</v>
      </c>
      <c r="Q635" s="19" t="s">
        <v>8181</v>
      </c>
    </row>
    <row r="636" spans="1:17" ht="48">
      <c r="A636" s="18" t="s">
        <v>8182</v>
      </c>
      <c r="B636" s="19" t="s">
        <v>8183</v>
      </c>
      <c r="C636" s="19" t="s">
        <v>8184</v>
      </c>
      <c r="D636" s="19" t="s">
        <v>8185</v>
      </c>
      <c r="E636" s="19" t="s">
        <v>8186</v>
      </c>
      <c r="F636" s="19" t="s">
        <v>8187</v>
      </c>
      <c r="G636" s="19" t="s">
        <v>8188</v>
      </c>
      <c r="H636" s="19" t="s">
        <v>8189</v>
      </c>
      <c r="I636" s="19" t="s">
        <v>8190</v>
      </c>
      <c r="J636" s="19" t="s">
        <v>8191</v>
      </c>
      <c r="K636" s="19" t="s">
        <v>8192</v>
      </c>
      <c r="L636" s="19" t="s">
        <v>8193</v>
      </c>
      <c r="M636" s="19" t="s">
        <v>8194</v>
      </c>
      <c r="N636" s="19" t="s">
        <v>8195</v>
      </c>
      <c r="O636" s="19" t="s">
        <v>8196</v>
      </c>
      <c r="P636" s="19" t="s">
        <v>1897</v>
      </c>
      <c r="Q636" s="19" t="s">
        <v>2550</v>
      </c>
    </row>
    <row r="637" spans="1:17" ht="48">
      <c r="A637" s="18" t="s">
        <v>8197</v>
      </c>
      <c r="B637" s="19" t="s">
        <v>4138</v>
      </c>
      <c r="C637" s="19" t="s">
        <v>8198</v>
      </c>
      <c r="D637" s="19" t="s">
        <v>686</v>
      </c>
      <c r="E637" s="19" t="s">
        <v>943</v>
      </c>
      <c r="F637" s="19" t="s">
        <v>8092</v>
      </c>
      <c r="G637" s="19" t="s">
        <v>8199</v>
      </c>
      <c r="H637" s="19" t="s">
        <v>3655</v>
      </c>
      <c r="I637" s="19" t="s">
        <v>8092</v>
      </c>
      <c r="J637" s="19" t="s">
        <v>294</v>
      </c>
      <c r="K637" s="19" t="s">
        <v>8200</v>
      </c>
      <c r="L637" s="19" t="s">
        <v>1097</v>
      </c>
      <c r="M637" s="19" t="s">
        <v>8201</v>
      </c>
      <c r="N637" s="19" t="s">
        <v>8202</v>
      </c>
      <c r="O637" s="19" t="s">
        <v>8203</v>
      </c>
      <c r="P637" s="19" t="s">
        <v>981</v>
      </c>
      <c r="Q637" s="19" t="s">
        <v>1360</v>
      </c>
    </row>
    <row r="638" spans="1:17" ht="48">
      <c r="A638" s="18" t="s">
        <v>8204</v>
      </c>
      <c r="B638" s="19" t="s">
        <v>8205</v>
      </c>
      <c r="C638" s="19" t="s">
        <v>8206</v>
      </c>
      <c r="D638" s="19" t="s">
        <v>8207</v>
      </c>
      <c r="E638" s="19" t="s">
        <v>8208</v>
      </c>
      <c r="F638" s="19" t="s">
        <v>8209</v>
      </c>
      <c r="G638" s="19" t="s">
        <v>8210</v>
      </c>
      <c r="H638" s="19" t="s">
        <v>6690</v>
      </c>
      <c r="I638" s="19" t="s">
        <v>8211</v>
      </c>
      <c r="J638" s="19" t="s">
        <v>8212</v>
      </c>
      <c r="K638" s="19" t="s">
        <v>8213</v>
      </c>
      <c r="L638" s="19" t="s">
        <v>8214</v>
      </c>
      <c r="M638" s="19" t="s">
        <v>8215</v>
      </c>
      <c r="N638" s="19" t="s">
        <v>8216</v>
      </c>
      <c r="O638" s="19" t="s">
        <v>4126</v>
      </c>
      <c r="P638" s="19" t="s">
        <v>981</v>
      </c>
      <c r="Q638" s="15"/>
    </row>
    <row r="639" spans="1:17" ht="48">
      <c r="A639" s="18" t="s">
        <v>8217</v>
      </c>
      <c r="B639" s="19" t="s">
        <v>8218</v>
      </c>
      <c r="C639" s="19" t="s">
        <v>8219</v>
      </c>
      <c r="D639" s="19" t="s">
        <v>8220</v>
      </c>
      <c r="E639" s="19" t="s">
        <v>8221</v>
      </c>
      <c r="F639" s="19" t="s">
        <v>8222</v>
      </c>
      <c r="G639" s="19" t="s">
        <v>8223</v>
      </c>
      <c r="H639" s="19" t="s">
        <v>8224</v>
      </c>
      <c r="I639" s="19" t="s">
        <v>8225</v>
      </c>
      <c r="J639" s="19" t="s">
        <v>8226</v>
      </c>
      <c r="K639" s="19" t="s">
        <v>8227</v>
      </c>
      <c r="L639" s="19" t="s">
        <v>8228</v>
      </c>
      <c r="M639" s="19" t="s">
        <v>8229</v>
      </c>
      <c r="N639" s="19" t="s">
        <v>8230</v>
      </c>
      <c r="O639" s="19" t="s">
        <v>8231</v>
      </c>
      <c r="P639" s="19" t="s">
        <v>8232</v>
      </c>
      <c r="Q639" s="19" t="s">
        <v>3227</v>
      </c>
    </row>
    <row r="640" spans="1:17" ht="36">
      <c r="A640" s="18" t="s">
        <v>8233</v>
      </c>
      <c r="B640" s="19" t="s">
        <v>8234</v>
      </c>
      <c r="C640" s="19" t="s">
        <v>8235</v>
      </c>
      <c r="D640" s="19" t="s">
        <v>8236</v>
      </c>
      <c r="E640" s="19" t="s">
        <v>8237</v>
      </c>
      <c r="F640" s="19" t="s">
        <v>8238</v>
      </c>
      <c r="G640" s="19" t="s">
        <v>8239</v>
      </c>
      <c r="H640" s="19" t="s">
        <v>8240</v>
      </c>
      <c r="I640" s="19" t="s">
        <v>5431</v>
      </c>
      <c r="J640" s="19" t="s">
        <v>8241</v>
      </c>
      <c r="K640" s="19" t="s">
        <v>8242</v>
      </c>
      <c r="L640" s="19" t="s">
        <v>8243</v>
      </c>
      <c r="M640" s="19" t="s">
        <v>8244</v>
      </c>
      <c r="N640" s="19" t="s">
        <v>8245</v>
      </c>
      <c r="O640" s="19" t="s">
        <v>8246</v>
      </c>
      <c r="P640" s="19" t="s">
        <v>5822</v>
      </c>
      <c r="Q640" s="19" t="s">
        <v>6022</v>
      </c>
    </row>
    <row r="641" spans="1:17" ht="36">
      <c r="A641" s="18" t="s">
        <v>8247</v>
      </c>
      <c r="B641" s="19" t="s">
        <v>4146</v>
      </c>
      <c r="C641" s="19" t="s">
        <v>8248</v>
      </c>
      <c r="D641" s="19" t="s">
        <v>8249</v>
      </c>
      <c r="E641" s="19" t="s">
        <v>8250</v>
      </c>
      <c r="F641" s="19" t="s">
        <v>8251</v>
      </c>
      <c r="G641" s="19" t="s">
        <v>8252</v>
      </c>
      <c r="H641" s="19" t="s">
        <v>8253</v>
      </c>
      <c r="I641" s="19" t="s">
        <v>8254</v>
      </c>
      <c r="J641" s="19" t="s">
        <v>8255</v>
      </c>
      <c r="K641" s="19" t="s">
        <v>8256</v>
      </c>
      <c r="L641" s="19" t="s">
        <v>8257</v>
      </c>
      <c r="M641" s="19" t="s">
        <v>8258</v>
      </c>
      <c r="N641" s="19" t="s">
        <v>8259</v>
      </c>
      <c r="O641" s="19" t="s">
        <v>8260</v>
      </c>
      <c r="P641" s="19" t="s">
        <v>8261</v>
      </c>
      <c r="Q641" s="19" t="s">
        <v>2146</v>
      </c>
    </row>
    <row r="642" spans="1:17" ht="48">
      <c r="A642" s="18" t="s">
        <v>8262</v>
      </c>
      <c r="B642" s="19" t="s">
        <v>8263</v>
      </c>
      <c r="C642" s="19" t="s">
        <v>8264</v>
      </c>
      <c r="D642" s="19" t="s">
        <v>8265</v>
      </c>
      <c r="E642" s="19" t="s">
        <v>8266</v>
      </c>
      <c r="F642" s="19" t="s">
        <v>8267</v>
      </c>
      <c r="G642" s="19" t="s">
        <v>8268</v>
      </c>
      <c r="H642" s="19" t="s">
        <v>8269</v>
      </c>
      <c r="I642" s="19" t="s">
        <v>8270</v>
      </c>
      <c r="J642" s="19" t="s">
        <v>8271</v>
      </c>
      <c r="K642" s="19" t="s">
        <v>8272</v>
      </c>
      <c r="L642" s="19" t="s">
        <v>8273</v>
      </c>
      <c r="M642" s="19" t="s">
        <v>8274</v>
      </c>
      <c r="N642" s="19" t="s">
        <v>8275</v>
      </c>
      <c r="O642" s="19" t="s">
        <v>8276</v>
      </c>
      <c r="P642" s="19" t="s">
        <v>8277</v>
      </c>
      <c r="Q642" s="19" t="s">
        <v>276</v>
      </c>
    </row>
    <row r="643" spans="1:17" ht="36">
      <c r="A643" s="18" t="s">
        <v>8278</v>
      </c>
      <c r="B643" s="19" t="s">
        <v>4373</v>
      </c>
      <c r="C643" s="19" t="s">
        <v>8279</v>
      </c>
      <c r="D643" s="19" t="s">
        <v>8280</v>
      </c>
      <c r="E643" s="19" t="s">
        <v>2735</v>
      </c>
      <c r="F643" s="19" t="s">
        <v>8281</v>
      </c>
      <c r="G643" s="19" t="s">
        <v>8282</v>
      </c>
      <c r="H643" s="19" t="s">
        <v>8283</v>
      </c>
      <c r="I643" s="19" t="s">
        <v>8284</v>
      </c>
      <c r="J643" s="19" t="s">
        <v>8285</v>
      </c>
      <c r="K643" s="19" t="s">
        <v>8286</v>
      </c>
      <c r="L643" s="19" t="s">
        <v>8287</v>
      </c>
      <c r="M643" s="19" t="s">
        <v>8288</v>
      </c>
      <c r="N643" s="19" t="s">
        <v>8289</v>
      </c>
      <c r="O643" s="19" t="s">
        <v>8290</v>
      </c>
      <c r="P643" s="19" t="s">
        <v>8291</v>
      </c>
      <c r="Q643" s="19" t="s">
        <v>7381</v>
      </c>
    </row>
    <row r="644" spans="1:17" ht="60">
      <c r="A644" s="18" t="s">
        <v>8292</v>
      </c>
      <c r="B644" s="19" t="s">
        <v>8293</v>
      </c>
      <c r="C644" s="19" t="s">
        <v>8294</v>
      </c>
      <c r="D644" s="19" t="s">
        <v>8295</v>
      </c>
      <c r="E644" s="19" t="s">
        <v>8296</v>
      </c>
      <c r="F644" s="19" t="s">
        <v>8297</v>
      </c>
      <c r="G644" s="19" t="s">
        <v>8298</v>
      </c>
      <c r="H644" s="19" t="s">
        <v>8299</v>
      </c>
      <c r="I644" s="19" t="s">
        <v>8300</v>
      </c>
      <c r="J644" s="19" t="s">
        <v>8301</v>
      </c>
      <c r="K644" s="19" t="s">
        <v>8302</v>
      </c>
      <c r="L644" s="19" t="s">
        <v>8303</v>
      </c>
      <c r="M644" s="19" t="s">
        <v>8304</v>
      </c>
      <c r="N644" s="19" t="s">
        <v>8305</v>
      </c>
      <c r="O644" s="19" t="s">
        <v>8306</v>
      </c>
      <c r="P644" s="19" t="s">
        <v>8307</v>
      </c>
      <c r="Q644" s="19" t="s">
        <v>8308</v>
      </c>
    </row>
    <row r="645" spans="1:17" ht="48">
      <c r="A645" s="18" t="s">
        <v>8309</v>
      </c>
      <c r="B645" s="19" t="s">
        <v>3223</v>
      </c>
      <c r="C645" s="19" t="s">
        <v>8310</v>
      </c>
      <c r="D645" s="19" t="s">
        <v>8311</v>
      </c>
      <c r="E645" s="19" t="s">
        <v>8312</v>
      </c>
      <c r="F645" s="19" t="s">
        <v>8313</v>
      </c>
      <c r="G645" s="19" t="s">
        <v>8314</v>
      </c>
      <c r="H645" s="19" t="s">
        <v>8315</v>
      </c>
      <c r="I645" s="19" t="s">
        <v>6196</v>
      </c>
      <c r="J645" s="19" t="s">
        <v>8316</v>
      </c>
      <c r="K645" s="19" t="s">
        <v>8317</v>
      </c>
      <c r="L645" s="19" t="s">
        <v>8318</v>
      </c>
      <c r="M645" s="19" t="s">
        <v>8319</v>
      </c>
      <c r="N645" s="19" t="s">
        <v>8320</v>
      </c>
      <c r="O645" s="19" t="s">
        <v>8321</v>
      </c>
      <c r="P645" s="19" t="s">
        <v>3850</v>
      </c>
      <c r="Q645" s="19" t="s">
        <v>3164</v>
      </c>
    </row>
    <row r="646" spans="1:17" ht="36">
      <c r="A646" s="20" t="s">
        <v>8322</v>
      </c>
      <c r="B646" s="21" t="s">
        <v>8323</v>
      </c>
      <c r="C646" s="21" t="s">
        <v>8324</v>
      </c>
      <c r="D646" s="21" t="s">
        <v>8325</v>
      </c>
      <c r="E646" s="21" t="s">
        <v>8326</v>
      </c>
      <c r="F646" s="21" t="s">
        <v>8327</v>
      </c>
      <c r="G646" s="21" t="s">
        <v>8328</v>
      </c>
      <c r="H646" s="21" t="s">
        <v>8329</v>
      </c>
      <c r="I646" s="21" t="s">
        <v>8330</v>
      </c>
      <c r="J646" s="21" t="s">
        <v>8331</v>
      </c>
      <c r="K646" s="21" t="s">
        <v>8332</v>
      </c>
      <c r="L646" s="21" t="s">
        <v>8333</v>
      </c>
      <c r="M646" s="21" t="s">
        <v>8334</v>
      </c>
      <c r="N646" s="21" t="s">
        <v>8335</v>
      </c>
      <c r="O646" s="21" t="s">
        <v>8336</v>
      </c>
      <c r="P646" s="21" t="s">
        <v>8337</v>
      </c>
      <c r="Q646" s="21" t="s">
        <v>4465</v>
      </c>
    </row>
    <row r="647" spans="1:17" ht="15.6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</row>
    <row r="648" spans="1:17" ht="15.6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 spans="1:17">
      <c r="A649" s="12" t="s">
        <v>8338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spans="1:17">
      <c r="A650" s="3" t="s">
        <v>159</v>
      </c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 spans="1:17">
      <c r="A651" s="127" t="s">
        <v>160</v>
      </c>
      <c r="B651" s="131" t="s">
        <v>161</v>
      </c>
      <c r="C651" s="135" t="s">
        <v>162</v>
      </c>
      <c r="D651" s="125"/>
      <c r="E651" s="125"/>
      <c r="F651" s="125"/>
      <c r="G651" s="125"/>
      <c r="H651" s="125"/>
      <c r="I651" s="125"/>
      <c r="J651" s="126"/>
      <c r="K651" s="135" t="s">
        <v>163</v>
      </c>
      <c r="L651" s="125"/>
      <c r="M651" s="126"/>
      <c r="N651" s="135" t="s">
        <v>164</v>
      </c>
      <c r="O651" s="125"/>
      <c r="P651" s="125"/>
      <c r="Q651" s="125"/>
    </row>
    <row r="652" spans="1:17">
      <c r="A652" s="128"/>
      <c r="B652" s="132"/>
      <c r="C652" s="132"/>
      <c r="D652" s="131" t="s">
        <v>165</v>
      </c>
      <c r="E652" s="131" t="s">
        <v>166</v>
      </c>
      <c r="F652" s="131" t="s">
        <v>167</v>
      </c>
      <c r="G652" s="135" t="s">
        <v>168</v>
      </c>
      <c r="H652" s="125"/>
      <c r="I652" s="125"/>
      <c r="J652" s="126"/>
      <c r="K652" s="132"/>
      <c r="L652" s="135" t="s">
        <v>169</v>
      </c>
      <c r="M652" s="13"/>
      <c r="N652" s="132"/>
      <c r="O652" s="135" t="s">
        <v>170</v>
      </c>
      <c r="P652" s="125"/>
      <c r="Q652" s="125"/>
    </row>
    <row r="653" spans="1:17">
      <c r="A653" s="128"/>
      <c r="B653" s="132"/>
      <c r="C653" s="132"/>
      <c r="D653" s="132"/>
      <c r="E653" s="132"/>
      <c r="F653" s="132"/>
      <c r="G653" s="132"/>
      <c r="H653" s="131" t="s">
        <v>171</v>
      </c>
      <c r="I653" s="135" t="s">
        <v>854</v>
      </c>
      <c r="J653" s="13"/>
      <c r="K653" s="132"/>
      <c r="L653" s="132"/>
      <c r="M653" s="131" t="s">
        <v>173</v>
      </c>
      <c r="N653" s="132"/>
      <c r="O653" s="132"/>
      <c r="P653" s="131" t="s">
        <v>174</v>
      </c>
      <c r="Q653" s="135" t="s">
        <v>175</v>
      </c>
    </row>
    <row r="654" spans="1:17">
      <c r="A654" s="129"/>
      <c r="B654" s="133"/>
      <c r="C654" s="133"/>
      <c r="D654" s="133"/>
      <c r="E654" s="133"/>
      <c r="F654" s="133"/>
      <c r="G654" s="133"/>
      <c r="H654" s="133"/>
      <c r="I654" s="133"/>
      <c r="J654" s="14" t="s">
        <v>176</v>
      </c>
      <c r="K654" s="133"/>
      <c r="L654" s="133"/>
      <c r="M654" s="133"/>
      <c r="N654" s="133"/>
      <c r="O654" s="133"/>
      <c r="P654" s="133"/>
      <c r="Q654" s="137"/>
    </row>
    <row r="655" spans="1:17" ht="60">
      <c r="A655" s="7" t="s">
        <v>8339</v>
      </c>
      <c r="B655" s="6" t="s">
        <v>8340</v>
      </c>
      <c r="C655" s="6" t="s">
        <v>8341</v>
      </c>
      <c r="D655" s="6" t="s">
        <v>8342</v>
      </c>
      <c r="E655" s="6" t="s">
        <v>8343</v>
      </c>
      <c r="F655" s="6" t="s">
        <v>8344</v>
      </c>
      <c r="G655" s="6" t="s">
        <v>8345</v>
      </c>
      <c r="H655" s="6" t="s">
        <v>8346</v>
      </c>
      <c r="I655" s="6" t="s">
        <v>8347</v>
      </c>
      <c r="J655" s="6" t="s">
        <v>8348</v>
      </c>
      <c r="K655" s="6" t="s">
        <v>8349</v>
      </c>
      <c r="L655" s="6" t="s">
        <v>8350</v>
      </c>
      <c r="M655" s="6" t="s">
        <v>8351</v>
      </c>
      <c r="N655" s="6" t="s">
        <v>8352</v>
      </c>
      <c r="O655" s="6" t="s">
        <v>7356</v>
      </c>
      <c r="P655" s="6" t="s">
        <v>8353</v>
      </c>
      <c r="Q655" s="6" t="s">
        <v>3506</v>
      </c>
    </row>
    <row r="656" spans="1:17" ht="48">
      <c r="A656" s="7" t="s">
        <v>8354</v>
      </c>
      <c r="B656" s="6" t="s">
        <v>8355</v>
      </c>
      <c r="C656" s="6" t="s">
        <v>8356</v>
      </c>
      <c r="D656" s="6" t="s">
        <v>8357</v>
      </c>
      <c r="E656" s="6" t="s">
        <v>8358</v>
      </c>
      <c r="F656" s="6" t="s">
        <v>8359</v>
      </c>
      <c r="G656" s="6" t="s">
        <v>8360</v>
      </c>
      <c r="H656" s="6" t="s">
        <v>8361</v>
      </c>
      <c r="I656" s="6" t="s">
        <v>8362</v>
      </c>
      <c r="J656" s="6" t="s">
        <v>8363</v>
      </c>
      <c r="K656" s="6" t="s">
        <v>8364</v>
      </c>
      <c r="L656" s="6" t="s">
        <v>8365</v>
      </c>
      <c r="M656" s="6" t="s">
        <v>8366</v>
      </c>
      <c r="N656" s="6" t="s">
        <v>8367</v>
      </c>
      <c r="O656" s="6" t="s">
        <v>8368</v>
      </c>
      <c r="P656" s="6" t="s">
        <v>8369</v>
      </c>
      <c r="Q656" s="6" t="s">
        <v>2627</v>
      </c>
    </row>
    <row r="657" spans="1:17" ht="48">
      <c r="A657" s="7" t="s">
        <v>8370</v>
      </c>
      <c r="B657" s="6" t="s">
        <v>4286</v>
      </c>
      <c r="C657" s="6" t="s">
        <v>8371</v>
      </c>
      <c r="D657" s="6" t="s">
        <v>8372</v>
      </c>
      <c r="E657" s="6" t="s">
        <v>8373</v>
      </c>
      <c r="F657" s="6" t="s">
        <v>8374</v>
      </c>
      <c r="G657" s="6" t="s">
        <v>8375</v>
      </c>
      <c r="H657" s="6" t="s">
        <v>8376</v>
      </c>
      <c r="I657" s="6" t="s">
        <v>8377</v>
      </c>
      <c r="J657" s="6" t="s">
        <v>8378</v>
      </c>
      <c r="K657" s="6" t="s">
        <v>8379</v>
      </c>
      <c r="L657" s="6" t="s">
        <v>8380</v>
      </c>
      <c r="M657" s="6" t="s">
        <v>8381</v>
      </c>
      <c r="N657" s="6" t="s">
        <v>8382</v>
      </c>
      <c r="O657" s="6" t="s">
        <v>8383</v>
      </c>
      <c r="P657" s="15"/>
      <c r="Q657" s="6" t="s">
        <v>999</v>
      </c>
    </row>
    <row r="658" spans="1:17" ht="48">
      <c r="A658" s="7" t="s">
        <v>8384</v>
      </c>
      <c r="B658" s="6" t="s">
        <v>1702</v>
      </c>
      <c r="C658" s="6" t="s">
        <v>8385</v>
      </c>
      <c r="D658" s="6" t="s">
        <v>8386</v>
      </c>
      <c r="E658" s="6" t="s">
        <v>8387</v>
      </c>
      <c r="F658" s="6" t="s">
        <v>451</v>
      </c>
      <c r="G658" s="6" t="s">
        <v>8388</v>
      </c>
      <c r="H658" s="6" t="s">
        <v>8389</v>
      </c>
      <c r="I658" s="6" t="s">
        <v>1120</v>
      </c>
      <c r="J658" s="6" t="s">
        <v>3693</v>
      </c>
      <c r="K658" s="6" t="s">
        <v>2333</v>
      </c>
      <c r="L658" s="6" t="s">
        <v>8390</v>
      </c>
      <c r="M658" s="6" t="s">
        <v>8391</v>
      </c>
      <c r="N658" s="6" t="s">
        <v>1508</v>
      </c>
      <c r="O658" s="6" t="s">
        <v>1471</v>
      </c>
      <c r="P658" s="6" t="s">
        <v>535</v>
      </c>
      <c r="Q658" s="6" t="s">
        <v>1360</v>
      </c>
    </row>
    <row r="659" spans="1:17" ht="36">
      <c r="A659" s="7" t="s">
        <v>8392</v>
      </c>
      <c r="B659" s="6" t="s">
        <v>6486</v>
      </c>
      <c r="C659" s="6" t="s">
        <v>8393</v>
      </c>
      <c r="D659" s="6" t="s">
        <v>2271</v>
      </c>
      <c r="E659" s="6" t="s">
        <v>8394</v>
      </c>
      <c r="F659" s="6" t="s">
        <v>8395</v>
      </c>
      <c r="G659" s="6" t="s">
        <v>8396</v>
      </c>
      <c r="H659" s="6" t="s">
        <v>8397</v>
      </c>
      <c r="I659" s="6" t="s">
        <v>8398</v>
      </c>
      <c r="J659" s="6" t="s">
        <v>8399</v>
      </c>
      <c r="K659" s="6" t="s">
        <v>8400</v>
      </c>
      <c r="L659" s="6" t="s">
        <v>8401</v>
      </c>
      <c r="M659" s="6" t="s">
        <v>8402</v>
      </c>
      <c r="N659" s="6" t="s">
        <v>8403</v>
      </c>
      <c r="O659" s="6" t="s">
        <v>8404</v>
      </c>
      <c r="P659" s="6" t="s">
        <v>8405</v>
      </c>
      <c r="Q659" s="6" t="s">
        <v>2915</v>
      </c>
    </row>
    <row r="660" spans="1:17" ht="48">
      <c r="A660" s="7" t="s">
        <v>8406</v>
      </c>
      <c r="B660" s="6" t="s">
        <v>8407</v>
      </c>
      <c r="C660" s="6" t="s">
        <v>8408</v>
      </c>
      <c r="D660" s="6" t="s">
        <v>8409</v>
      </c>
      <c r="E660" s="6" t="s">
        <v>8410</v>
      </c>
      <c r="F660" s="6" t="s">
        <v>8411</v>
      </c>
      <c r="G660" s="6" t="s">
        <v>8412</v>
      </c>
      <c r="H660" s="6" t="s">
        <v>8413</v>
      </c>
      <c r="I660" s="6" t="s">
        <v>8414</v>
      </c>
      <c r="J660" s="6" t="s">
        <v>8415</v>
      </c>
      <c r="K660" s="6" t="s">
        <v>8416</v>
      </c>
      <c r="L660" s="6" t="s">
        <v>8417</v>
      </c>
      <c r="M660" s="6" t="s">
        <v>8418</v>
      </c>
      <c r="N660" s="6" t="s">
        <v>8419</v>
      </c>
      <c r="O660" s="6" t="s">
        <v>8420</v>
      </c>
      <c r="P660" s="6" t="s">
        <v>8421</v>
      </c>
      <c r="Q660" s="6" t="s">
        <v>8422</v>
      </c>
    </row>
    <row r="661" spans="1:17" ht="36">
      <c r="A661" s="7" t="s">
        <v>8423</v>
      </c>
      <c r="B661" s="6" t="s">
        <v>8424</v>
      </c>
      <c r="C661" s="6" t="s">
        <v>8425</v>
      </c>
      <c r="D661" s="6" t="s">
        <v>4018</v>
      </c>
      <c r="E661" s="6" t="s">
        <v>6256</v>
      </c>
      <c r="F661" s="6" t="s">
        <v>7946</v>
      </c>
      <c r="G661" s="6" t="s">
        <v>8426</v>
      </c>
      <c r="H661" s="6" t="s">
        <v>8427</v>
      </c>
      <c r="I661" s="6" t="s">
        <v>4689</v>
      </c>
      <c r="J661" s="6" t="s">
        <v>8428</v>
      </c>
      <c r="K661" s="6" t="s">
        <v>8429</v>
      </c>
      <c r="L661" s="6" t="s">
        <v>8430</v>
      </c>
      <c r="M661" s="6" t="s">
        <v>8431</v>
      </c>
      <c r="N661" s="6" t="s">
        <v>1869</v>
      </c>
      <c r="O661" s="6" t="s">
        <v>383</v>
      </c>
      <c r="P661" s="15"/>
      <c r="Q661" s="15"/>
    </row>
    <row r="662" spans="1:17" ht="48">
      <c r="A662" s="7" t="s">
        <v>8432</v>
      </c>
      <c r="B662" s="6" t="s">
        <v>8433</v>
      </c>
      <c r="C662" s="6" t="s">
        <v>7648</v>
      </c>
      <c r="D662" s="6" t="s">
        <v>8434</v>
      </c>
      <c r="E662" s="6" t="s">
        <v>8435</v>
      </c>
      <c r="F662" s="6" t="s">
        <v>3964</v>
      </c>
      <c r="G662" s="6" t="s">
        <v>8436</v>
      </c>
      <c r="H662" s="6" t="s">
        <v>8437</v>
      </c>
      <c r="I662" s="6" t="s">
        <v>8438</v>
      </c>
      <c r="J662" s="6" t="s">
        <v>8439</v>
      </c>
      <c r="K662" s="6" t="s">
        <v>1613</v>
      </c>
      <c r="L662" s="6" t="s">
        <v>2589</v>
      </c>
      <c r="M662" s="6" t="s">
        <v>8440</v>
      </c>
      <c r="N662" s="6" t="s">
        <v>8441</v>
      </c>
      <c r="O662" s="6" t="s">
        <v>8442</v>
      </c>
      <c r="P662" s="6" t="s">
        <v>944</v>
      </c>
      <c r="Q662" s="6" t="s">
        <v>1796</v>
      </c>
    </row>
    <row r="663" spans="1:17" ht="36">
      <c r="A663" s="7" t="s">
        <v>8443</v>
      </c>
      <c r="B663" s="6" t="s">
        <v>4876</v>
      </c>
      <c r="C663" s="6" t="s">
        <v>7038</v>
      </c>
      <c r="D663" s="6" t="s">
        <v>8444</v>
      </c>
      <c r="E663" s="6" t="s">
        <v>8445</v>
      </c>
      <c r="F663" s="6" t="s">
        <v>8446</v>
      </c>
      <c r="G663" s="6" t="s">
        <v>8447</v>
      </c>
      <c r="H663" s="6" t="s">
        <v>8448</v>
      </c>
      <c r="I663" s="6" t="s">
        <v>8449</v>
      </c>
      <c r="J663" s="6" t="s">
        <v>8450</v>
      </c>
      <c r="K663" s="6" t="s">
        <v>8451</v>
      </c>
      <c r="L663" s="6" t="s">
        <v>8452</v>
      </c>
      <c r="M663" s="6" t="s">
        <v>8453</v>
      </c>
      <c r="N663" s="6" t="s">
        <v>2317</v>
      </c>
      <c r="O663" s="6" t="s">
        <v>8454</v>
      </c>
      <c r="P663" s="6" t="s">
        <v>979</v>
      </c>
      <c r="Q663" s="6" t="s">
        <v>2802</v>
      </c>
    </row>
    <row r="664" spans="1:17" ht="48">
      <c r="A664" s="7" t="s">
        <v>8455</v>
      </c>
      <c r="B664" s="6" t="s">
        <v>8456</v>
      </c>
      <c r="C664" s="6" t="s">
        <v>8457</v>
      </c>
      <c r="D664" s="6" t="s">
        <v>8458</v>
      </c>
      <c r="E664" s="6" t="s">
        <v>8459</v>
      </c>
      <c r="F664" s="6" t="s">
        <v>3180</v>
      </c>
      <c r="G664" s="6" t="s">
        <v>8460</v>
      </c>
      <c r="H664" s="6" t="s">
        <v>8461</v>
      </c>
      <c r="I664" s="6" t="s">
        <v>3468</v>
      </c>
      <c r="J664" s="6" t="s">
        <v>8462</v>
      </c>
      <c r="K664" s="6" t="s">
        <v>6263</v>
      </c>
      <c r="L664" s="6" t="s">
        <v>8463</v>
      </c>
      <c r="M664" s="6" t="s">
        <v>8464</v>
      </c>
      <c r="N664" s="6" t="s">
        <v>8465</v>
      </c>
      <c r="O664" s="6" t="s">
        <v>8466</v>
      </c>
      <c r="P664" s="6" t="s">
        <v>1162</v>
      </c>
      <c r="Q664" s="6" t="s">
        <v>6637</v>
      </c>
    </row>
    <row r="665" spans="1:17" ht="48">
      <c r="A665" s="7" t="s">
        <v>8467</v>
      </c>
      <c r="B665" s="6" t="s">
        <v>7058</v>
      </c>
      <c r="C665" s="6" t="s">
        <v>8468</v>
      </c>
      <c r="D665" s="6" t="s">
        <v>8469</v>
      </c>
      <c r="E665" s="6" t="s">
        <v>8470</v>
      </c>
      <c r="F665" s="6" t="s">
        <v>8471</v>
      </c>
      <c r="G665" s="6" t="s">
        <v>8472</v>
      </c>
      <c r="H665" s="6" t="s">
        <v>8473</v>
      </c>
      <c r="I665" s="6" t="s">
        <v>8474</v>
      </c>
      <c r="J665" s="6" t="s">
        <v>8475</v>
      </c>
      <c r="K665" s="6" t="s">
        <v>8476</v>
      </c>
      <c r="L665" s="6" t="s">
        <v>8477</v>
      </c>
      <c r="M665" s="6" t="s">
        <v>8478</v>
      </c>
      <c r="N665" s="6" t="s">
        <v>8479</v>
      </c>
      <c r="O665" s="6" t="s">
        <v>8480</v>
      </c>
      <c r="P665" s="6" t="s">
        <v>4088</v>
      </c>
      <c r="Q665" s="6" t="s">
        <v>1129</v>
      </c>
    </row>
    <row r="666" spans="1:17" ht="48">
      <c r="A666" s="7" t="s">
        <v>8481</v>
      </c>
      <c r="B666" s="6" t="s">
        <v>8482</v>
      </c>
      <c r="C666" s="6" t="s">
        <v>2859</v>
      </c>
      <c r="D666" s="6" t="s">
        <v>8483</v>
      </c>
      <c r="E666" s="6" t="s">
        <v>8484</v>
      </c>
      <c r="F666" s="6" t="s">
        <v>8485</v>
      </c>
      <c r="G666" s="6" t="s">
        <v>8486</v>
      </c>
      <c r="H666" s="6" t="s">
        <v>8487</v>
      </c>
      <c r="I666" s="6" t="s">
        <v>911</v>
      </c>
      <c r="J666" s="6" t="s">
        <v>8488</v>
      </c>
      <c r="K666" s="6" t="s">
        <v>5832</v>
      </c>
      <c r="L666" s="6" t="s">
        <v>8489</v>
      </c>
      <c r="M666" s="6" t="s">
        <v>8490</v>
      </c>
      <c r="N666" s="6" t="s">
        <v>8491</v>
      </c>
      <c r="O666" s="6" t="s">
        <v>8492</v>
      </c>
      <c r="P666" s="15"/>
      <c r="Q666" s="6" t="s">
        <v>2519</v>
      </c>
    </row>
    <row r="667" spans="1:17" ht="36">
      <c r="A667" s="7" t="s">
        <v>8493</v>
      </c>
      <c r="B667" s="6" t="s">
        <v>8494</v>
      </c>
      <c r="C667" s="6" t="s">
        <v>8495</v>
      </c>
      <c r="D667" s="6" t="s">
        <v>8496</v>
      </c>
      <c r="E667" s="6" t="s">
        <v>8497</v>
      </c>
      <c r="F667" s="6" t="s">
        <v>8498</v>
      </c>
      <c r="G667" s="6" t="s">
        <v>8499</v>
      </c>
      <c r="H667" s="6" t="s">
        <v>8500</v>
      </c>
      <c r="I667" s="6" t="s">
        <v>8501</v>
      </c>
      <c r="J667" s="6" t="s">
        <v>8502</v>
      </c>
      <c r="K667" s="6" t="s">
        <v>8503</v>
      </c>
      <c r="L667" s="6" t="s">
        <v>8504</v>
      </c>
      <c r="M667" s="6" t="s">
        <v>8505</v>
      </c>
      <c r="N667" s="6" t="s">
        <v>8506</v>
      </c>
      <c r="O667" s="6" t="s">
        <v>8507</v>
      </c>
      <c r="P667" s="6" t="s">
        <v>8508</v>
      </c>
      <c r="Q667" s="6" t="s">
        <v>8509</v>
      </c>
    </row>
    <row r="668" spans="1:17" ht="36">
      <c r="A668" s="7" t="s">
        <v>8510</v>
      </c>
      <c r="B668" s="6" t="s">
        <v>3223</v>
      </c>
      <c r="C668" s="6" t="s">
        <v>8511</v>
      </c>
      <c r="D668" s="6" t="s">
        <v>8512</v>
      </c>
      <c r="E668" s="6" t="s">
        <v>8513</v>
      </c>
      <c r="F668" s="6" t="s">
        <v>2360</v>
      </c>
      <c r="G668" s="6" t="s">
        <v>8514</v>
      </c>
      <c r="H668" s="6" t="s">
        <v>8515</v>
      </c>
      <c r="I668" s="6" t="s">
        <v>1384</v>
      </c>
      <c r="J668" s="6" t="s">
        <v>2718</v>
      </c>
      <c r="K668" s="6" t="s">
        <v>8516</v>
      </c>
      <c r="L668" s="6" t="s">
        <v>8517</v>
      </c>
      <c r="M668" s="6" t="s">
        <v>7064</v>
      </c>
      <c r="N668" s="6" t="s">
        <v>8518</v>
      </c>
      <c r="O668" s="6" t="s">
        <v>8519</v>
      </c>
      <c r="P668" s="6" t="s">
        <v>4953</v>
      </c>
      <c r="Q668" s="6" t="s">
        <v>8520</v>
      </c>
    </row>
    <row r="669" spans="1:17" ht="36">
      <c r="A669" s="7" t="s">
        <v>8521</v>
      </c>
      <c r="B669" s="6" t="s">
        <v>8522</v>
      </c>
      <c r="C669" s="6" t="s">
        <v>8523</v>
      </c>
      <c r="D669" s="6" t="s">
        <v>8524</v>
      </c>
      <c r="E669" s="6" t="s">
        <v>8525</v>
      </c>
      <c r="F669" s="6" t="s">
        <v>8526</v>
      </c>
      <c r="G669" s="6" t="s">
        <v>8527</v>
      </c>
      <c r="H669" s="6" t="s">
        <v>2086</v>
      </c>
      <c r="I669" s="6" t="s">
        <v>8528</v>
      </c>
      <c r="J669" s="6" t="s">
        <v>4133</v>
      </c>
      <c r="K669" s="6" t="s">
        <v>8529</v>
      </c>
      <c r="L669" s="6" t="s">
        <v>8530</v>
      </c>
      <c r="M669" s="6" t="s">
        <v>8531</v>
      </c>
      <c r="N669" s="6" t="s">
        <v>8532</v>
      </c>
      <c r="O669" s="6" t="s">
        <v>8533</v>
      </c>
      <c r="P669" s="6" t="s">
        <v>8534</v>
      </c>
      <c r="Q669" s="6" t="s">
        <v>271</v>
      </c>
    </row>
    <row r="670" spans="1:17" ht="24">
      <c r="A670" s="7" t="s">
        <v>8535</v>
      </c>
      <c r="B670" s="6" t="s">
        <v>8536</v>
      </c>
      <c r="C670" s="6" t="s">
        <v>8537</v>
      </c>
      <c r="D670" s="6" t="s">
        <v>4155</v>
      </c>
      <c r="E670" s="6" t="s">
        <v>8538</v>
      </c>
      <c r="F670" s="6" t="s">
        <v>8539</v>
      </c>
      <c r="G670" s="6" t="s">
        <v>8540</v>
      </c>
      <c r="H670" s="6" t="s">
        <v>8541</v>
      </c>
      <c r="I670" s="6" t="s">
        <v>8542</v>
      </c>
      <c r="J670" s="6" t="s">
        <v>4264</v>
      </c>
      <c r="K670" s="6" t="s">
        <v>1899</v>
      </c>
      <c r="L670" s="6" t="s">
        <v>8543</v>
      </c>
      <c r="M670" s="6" t="s">
        <v>8544</v>
      </c>
      <c r="N670" s="6" t="s">
        <v>8545</v>
      </c>
      <c r="O670" s="6" t="s">
        <v>8546</v>
      </c>
      <c r="P670" s="6" t="s">
        <v>979</v>
      </c>
      <c r="Q670" s="6" t="s">
        <v>3505</v>
      </c>
    </row>
    <row r="671" spans="1:17" ht="36">
      <c r="A671" s="7" t="s">
        <v>8547</v>
      </c>
      <c r="B671" s="6" t="s">
        <v>8548</v>
      </c>
      <c r="C671" s="6" t="s">
        <v>8549</v>
      </c>
      <c r="D671" s="6" t="s">
        <v>8550</v>
      </c>
      <c r="E671" s="6" t="s">
        <v>8551</v>
      </c>
      <c r="F671" s="6" t="s">
        <v>8552</v>
      </c>
      <c r="G671" s="6" t="s">
        <v>8553</v>
      </c>
      <c r="H671" s="6" t="s">
        <v>4972</v>
      </c>
      <c r="I671" s="6" t="s">
        <v>2956</v>
      </c>
      <c r="J671" s="6" t="s">
        <v>7694</v>
      </c>
      <c r="K671" s="6" t="s">
        <v>8554</v>
      </c>
      <c r="L671" s="6" t="s">
        <v>8555</v>
      </c>
      <c r="M671" s="6" t="s">
        <v>8556</v>
      </c>
      <c r="N671" s="6" t="s">
        <v>8557</v>
      </c>
      <c r="O671" s="6" t="s">
        <v>8558</v>
      </c>
      <c r="P671" s="6" t="s">
        <v>8559</v>
      </c>
      <c r="Q671" s="6" t="s">
        <v>4956</v>
      </c>
    </row>
    <row r="672" spans="1:17" ht="48">
      <c r="A672" s="7" t="s">
        <v>8560</v>
      </c>
      <c r="B672" s="6" t="s">
        <v>8561</v>
      </c>
      <c r="C672" s="6" t="s">
        <v>8562</v>
      </c>
      <c r="D672" s="6" t="s">
        <v>8563</v>
      </c>
      <c r="E672" s="6" t="s">
        <v>8564</v>
      </c>
      <c r="F672" s="6" t="s">
        <v>8565</v>
      </c>
      <c r="G672" s="6" t="s">
        <v>8566</v>
      </c>
      <c r="H672" s="6" t="s">
        <v>8567</v>
      </c>
      <c r="I672" s="6" t="s">
        <v>8568</v>
      </c>
      <c r="J672" s="6" t="s">
        <v>8569</v>
      </c>
      <c r="K672" s="6" t="s">
        <v>8570</v>
      </c>
      <c r="L672" s="6" t="s">
        <v>8571</v>
      </c>
      <c r="M672" s="6" t="s">
        <v>8572</v>
      </c>
      <c r="N672" s="6" t="s">
        <v>8573</v>
      </c>
      <c r="O672" s="6" t="s">
        <v>8574</v>
      </c>
      <c r="P672" s="6" t="s">
        <v>1537</v>
      </c>
      <c r="Q672" s="6" t="s">
        <v>979</v>
      </c>
    </row>
    <row r="673" spans="1:17" ht="48">
      <c r="A673" s="7" t="s">
        <v>8575</v>
      </c>
      <c r="B673" s="6" t="s">
        <v>8576</v>
      </c>
      <c r="C673" s="6" t="s">
        <v>8577</v>
      </c>
      <c r="D673" s="6" t="s">
        <v>8578</v>
      </c>
      <c r="E673" s="6" t="s">
        <v>8579</v>
      </c>
      <c r="F673" s="6" t="s">
        <v>8580</v>
      </c>
      <c r="G673" s="6" t="s">
        <v>8581</v>
      </c>
      <c r="H673" s="6" t="s">
        <v>7749</v>
      </c>
      <c r="I673" s="6" t="s">
        <v>8582</v>
      </c>
      <c r="J673" s="6" t="s">
        <v>5043</v>
      </c>
      <c r="K673" s="6" t="s">
        <v>8583</v>
      </c>
      <c r="L673" s="6" t="s">
        <v>8584</v>
      </c>
      <c r="M673" s="6" t="s">
        <v>8585</v>
      </c>
      <c r="N673" s="6" t="s">
        <v>8586</v>
      </c>
      <c r="O673" s="6" t="s">
        <v>8587</v>
      </c>
      <c r="P673" s="6" t="s">
        <v>8588</v>
      </c>
      <c r="Q673" s="6" t="s">
        <v>8589</v>
      </c>
    </row>
    <row r="674" spans="1:17" ht="36">
      <c r="A674" s="7" t="s">
        <v>8590</v>
      </c>
      <c r="B674" s="6" t="s">
        <v>8591</v>
      </c>
      <c r="C674" s="6" t="s">
        <v>8592</v>
      </c>
      <c r="D674" s="6" t="s">
        <v>8593</v>
      </c>
      <c r="E674" s="6" t="s">
        <v>8594</v>
      </c>
      <c r="F674" s="6" t="s">
        <v>3389</v>
      </c>
      <c r="G674" s="6" t="s">
        <v>8595</v>
      </c>
      <c r="H674" s="6" t="s">
        <v>8596</v>
      </c>
      <c r="I674" s="6" t="s">
        <v>8597</v>
      </c>
      <c r="J674" s="6" t="s">
        <v>8598</v>
      </c>
      <c r="K674" s="6" t="s">
        <v>8599</v>
      </c>
      <c r="L674" s="6" t="s">
        <v>8600</v>
      </c>
      <c r="M674" s="6" t="s">
        <v>8601</v>
      </c>
      <c r="N674" s="6" t="s">
        <v>8602</v>
      </c>
      <c r="O674" s="6" t="s">
        <v>8603</v>
      </c>
      <c r="P674" s="6" t="s">
        <v>4459</v>
      </c>
      <c r="Q674" s="6" t="s">
        <v>7082</v>
      </c>
    </row>
    <row r="675" spans="1:17" ht="48">
      <c r="A675" s="7" t="s">
        <v>8604</v>
      </c>
      <c r="B675" s="6" t="s">
        <v>3553</v>
      </c>
      <c r="C675" s="6" t="s">
        <v>8605</v>
      </c>
      <c r="D675" s="6" t="s">
        <v>4017</v>
      </c>
      <c r="E675" s="6" t="s">
        <v>1835</v>
      </c>
      <c r="F675" s="6" t="s">
        <v>8606</v>
      </c>
      <c r="G675" s="6" t="s">
        <v>8607</v>
      </c>
      <c r="H675" s="6" t="s">
        <v>8608</v>
      </c>
      <c r="I675" s="6" t="s">
        <v>8609</v>
      </c>
      <c r="J675" s="6" t="s">
        <v>439</v>
      </c>
      <c r="K675" s="6" t="s">
        <v>8610</v>
      </c>
      <c r="L675" s="6" t="s">
        <v>7590</v>
      </c>
      <c r="M675" s="6" t="s">
        <v>5918</v>
      </c>
      <c r="N675" s="6" t="s">
        <v>8611</v>
      </c>
      <c r="O675" s="6" t="s">
        <v>8316</v>
      </c>
      <c r="P675" s="6" t="s">
        <v>8612</v>
      </c>
      <c r="Q675" s="6" t="s">
        <v>3308</v>
      </c>
    </row>
    <row r="676" spans="1:17" ht="36">
      <c r="A676" s="7" t="s">
        <v>8613</v>
      </c>
      <c r="B676" s="6" t="s">
        <v>7113</v>
      </c>
      <c r="C676" s="6" t="s">
        <v>8614</v>
      </c>
      <c r="D676" s="6" t="s">
        <v>8615</v>
      </c>
      <c r="E676" s="6" t="s">
        <v>3958</v>
      </c>
      <c r="F676" s="6" t="s">
        <v>8616</v>
      </c>
      <c r="G676" s="6" t="s">
        <v>8617</v>
      </c>
      <c r="H676" s="6" t="s">
        <v>8618</v>
      </c>
      <c r="I676" s="6" t="s">
        <v>7734</v>
      </c>
      <c r="J676" s="6" t="s">
        <v>6096</v>
      </c>
      <c r="K676" s="6" t="s">
        <v>7870</v>
      </c>
      <c r="L676" s="6" t="s">
        <v>8619</v>
      </c>
      <c r="M676" s="6" t="s">
        <v>8620</v>
      </c>
      <c r="N676" s="6" t="s">
        <v>8621</v>
      </c>
      <c r="O676" s="6" t="s">
        <v>8622</v>
      </c>
      <c r="P676" s="6" t="s">
        <v>1359</v>
      </c>
      <c r="Q676" s="15"/>
    </row>
    <row r="677" spans="1:17" ht="48">
      <c r="A677" s="7" t="s">
        <v>8623</v>
      </c>
      <c r="B677" s="6" t="s">
        <v>2017</v>
      </c>
      <c r="C677" s="6" t="s">
        <v>8624</v>
      </c>
      <c r="D677" s="6" t="s">
        <v>8625</v>
      </c>
      <c r="E677" s="6" t="s">
        <v>8626</v>
      </c>
      <c r="F677" s="6" t="s">
        <v>8627</v>
      </c>
      <c r="G677" s="6" t="s">
        <v>8628</v>
      </c>
      <c r="H677" s="6" t="s">
        <v>8629</v>
      </c>
      <c r="I677" s="6" t="s">
        <v>8630</v>
      </c>
      <c r="J677" s="6" t="s">
        <v>8631</v>
      </c>
      <c r="K677" s="6" t="s">
        <v>8632</v>
      </c>
      <c r="L677" s="6" t="s">
        <v>8633</v>
      </c>
      <c r="M677" s="6" t="s">
        <v>8634</v>
      </c>
      <c r="N677" s="6" t="s">
        <v>8635</v>
      </c>
      <c r="O677" s="6" t="s">
        <v>8636</v>
      </c>
      <c r="P677" s="6" t="s">
        <v>6255</v>
      </c>
      <c r="Q677" s="6" t="s">
        <v>2619</v>
      </c>
    </row>
    <row r="678" spans="1:17" ht="24">
      <c r="A678" s="7" t="s">
        <v>8637</v>
      </c>
      <c r="B678" s="6" t="s">
        <v>8638</v>
      </c>
      <c r="C678" s="6" t="s">
        <v>8639</v>
      </c>
      <c r="D678" s="6" t="s">
        <v>8640</v>
      </c>
      <c r="E678" s="6" t="s">
        <v>8641</v>
      </c>
      <c r="F678" s="6" t="s">
        <v>8642</v>
      </c>
      <c r="G678" s="6" t="s">
        <v>8643</v>
      </c>
      <c r="H678" s="6" t="s">
        <v>8644</v>
      </c>
      <c r="I678" s="6" t="s">
        <v>8645</v>
      </c>
      <c r="J678" s="6" t="s">
        <v>8646</v>
      </c>
      <c r="K678" s="6" t="s">
        <v>8647</v>
      </c>
      <c r="L678" s="6" t="s">
        <v>8648</v>
      </c>
      <c r="M678" s="6" t="s">
        <v>8649</v>
      </c>
      <c r="N678" s="6" t="s">
        <v>8650</v>
      </c>
      <c r="O678" s="6" t="s">
        <v>8651</v>
      </c>
      <c r="P678" s="6" t="s">
        <v>8652</v>
      </c>
      <c r="Q678" s="6" t="s">
        <v>8653</v>
      </c>
    </row>
    <row r="679" spans="1:17" ht="60">
      <c r="A679" s="7" t="s">
        <v>8654</v>
      </c>
      <c r="B679" s="6" t="s">
        <v>8655</v>
      </c>
      <c r="C679" s="6" t="s">
        <v>8656</v>
      </c>
      <c r="D679" s="6" t="s">
        <v>8657</v>
      </c>
      <c r="E679" s="6" t="s">
        <v>8658</v>
      </c>
      <c r="F679" s="6" t="s">
        <v>8659</v>
      </c>
      <c r="G679" s="6" t="s">
        <v>8660</v>
      </c>
      <c r="H679" s="6" t="s">
        <v>8661</v>
      </c>
      <c r="I679" s="6" t="s">
        <v>8662</v>
      </c>
      <c r="J679" s="6" t="s">
        <v>8663</v>
      </c>
      <c r="K679" s="6" t="s">
        <v>8664</v>
      </c>
      <c r="L679" s="6" t="s">
        <v>8665</v>
      </c>
      <c r="M679" s="6" t="s">
        <v>8666</v>
      </c>
      <c r="N679" s="6" t="s">
        <v>8667</v>
      </c>
      <c r="O679" s="6" t="s">
        <v>8668</v>
      </c>
      <c r="P679" s="6" t="s">
        <v>8669</v>
      </c>
      <c r="Q679" s="6" t="s">
        <v>8670</v>
      </c>
    </row>
    <row r="680" spans="1:17" ht="36">
      <c r="A680" s="7" t="s">
        <v>8671</v>
      </c>
      <c r="B680" s="6" t="s">
        <v>8672</v>
      </c>
      <c r="C680" s="6" t="s">
        <v>8673</v>
      </c>
      <c r="D680" s="6" t="s">
        <v>8674</v>
      </c>
      <c r="E680" s="6" t="s">
        <v>8675</v>
      </c>
      <c r="F680" s="6" t="s">
        <v>8676</v>
      </c>
      <c r="G680" s="6" t="s">
        <v>8677</v>
      </c>
      <c r="H680" s="6" t="s">
        <v>8678</v>
      </c>
      <c r="I680" s="6" t="s">
        <v>8679</v>
      </c>
      <c r="J680" s="6" t="s">
        <v>3547</v>
      </c>
      <c r="K680" s="6" t="s">
        <v>8680</v>
      </c>
      <c r="L680" s="6" t="s">
        <v>8681</v>
      </c>
      <c r="M680" s="6" t="s">
        <v>8682</v>
      </c>
      <c r="N680" s="6" t="s">
        <v>8683</v>
      </c>
      <c r="O680" s="6" t="s">
        <v>8684</v>
      </c>
      <c r="P680" s="6" t="s">
        <v>8685</v>
      </c>
      <c r="Q680" s="6" t="s">
        <v>430</v>
      </c>
    </row>
    <row r="681" spans="1:17" ht="48">
      <c r="A681" s="7" t="s">
        <v>8686</v>
      </c>
      <c r="B681" s="6" t="s">
        <v>8687</v>
      </c>
      <c r="C681" s="6" t="s">
        <v>8688</v>
      </c>
      <c r="D681" s="6" t="s">
        <v>8689</v>
      </c>
      <c r="E681" s="6" t="s">
        <v>8690</v>
      </c>
      <c r="F681" s="6" t="s">
        <v>8691</v>
      </c>
      <c r="G681" s="6" t="s">
        <v>8692</v>
      </c>
      <c r="H681" s="6" t="s">
        <v>8693</v>
      </c>
      <c r="I681" s="6" t="s">
        <v>8694</v>
      </c>
      <c r="J681" s="6" t="s">
        <v>8695</v>
      </c>
      <c r="K681" s="6" t="s">
        <v>8696</v>
      </c>
      <c r="L681" s="6" t="s">
        <v>8697</v>
      </c>
      <c r="M681" s="6" t="s">
        <v>8698</v>
      </c>
      <c r="N681" s="6" t="s">
        <v>8699</v>
      </c>
      <c r="O681" s="6" t="s">
        <v>8700</v>
      </c>
      <c r="P681" s="6" t="s">
        <v>8701</v>
      </c>
      <c r="Q681" s="6" t="s">
        <v>4549</v>
      </c>
    </row>
    <row r="682" spans="1:17" ht="48">
      <c r="A682" s="7" t="s">
        <v>8702</v>
      </c>
      <c r="B682" s="6" t="s">
        <v>541</v>
      </c>
      <c r="C682" s="6" t="s">
        <v>8703</v>
      </c>
      <c r="D682" s="6" t="s">
        <v>8704</v>
      </c>
      <c r="E682" s="6" t="s">
        <v>6978</v>
      </c>
      <c r="F682" s="6" t="s">
        <v>4671</v>
      </c>
      <c r="G682" s="6" t="s">
        <v>8705</v>
      </c>
      <c r="H682" s="6" t="s">
        <v>8706</v>
      </c>
      <c r="I682" s="6" t="s">
        <v>8707</v>
      </c>
      <c r="J682" s="6" t="s">
        <v>6352</v>
      </c>
      <c r="K682" s="6" t="s">
        <v>8708</v>
      </c>
      <c r="L682" s="6" t="s">
        <v>8709</v>
      </c>
      <c r="M682" s="6" t="s">
        <v>8710</v>
      </c>
      <c r="N682" s="6" t="s">
        <v>8711</v>
      </c>
      <c r="O682" s="6" t="s">
        <v>8712</v>
      </c>
      <c r="P682" s="15"/>
      <c r="Q682" s="15"/>
    </row>
    <row r="683" spans="1:17" ht="48">
      <c r="A683" s="7" t="s">
        <v>8713</v>
      </c>
      <c r="B683" s="6" t="s">
        <v>8714</v>
      </c>
      <c r="C683" s="6" t="s">
        <v>8715</v>
      </c>
      <c r="D683" s="6" t="s">
        <v>8716</v>
      </c>
      <c r="E683" s="6" t="s">
        <v>8717</v>
      </c>
      <c r="F683" s="6" t="s">
        <v>8718</v>
      </c>
      <c r="G683" s="6" t="s">
        <v>8719</v>
      </c>
      <c r="H683" s="6" t="s">
        <v>8720</v>
      </c>
      <c r="I683" s="6" t="s">
        <v>8721</v>
      </c>
      <c r="J683" s="6" t="s">
        <v>7503</v>
      </c>
      <c r="K683" s="6" t="s">
        <v>8722</v>
      </c>
      <c r="L683" s="6" t="s">
        <v>8723</v>
      </c>
      <c r="M683" s="6" t="s">
        <v>8724</v>
      </c>
      <c r="N683" s="6" t="s">
        <v>8725</v>
      </c>
      <c r="O683" s="6" t="s">
        <v>8726</v>
      </c>
      <c r="P683" s="6" t="s">
        <v>4500</v>
      </c>
      <c r="Q683" s="6" t="s">
        <v>8727</v>
      </c>
    </row>
    <row r="684" spans="1:17" ht="48">
      <c r="A684" s="7" t="s">
        <v>8728</v>
      </c>
      <c r="B684" s="6" t="s">
        <v>8729</v>
      </c>
      <c r="C684" s="6" t="s">
        <v>8730</v>
      </c>
      <c r="D684" s="6" t="s">
        <v>8731</v>
      </c>
      <c r="E684" s="6" t="s">
        <v>8732</v>
      </c>
      <c r="F684" s="6" t="s">
        <v>8733</v>
      </c>
      <c r="G684" s="6" t="s">
        <v>8734</v>
      </c>
      <c r="H684" s="6" t="s">
        <v>8735</v>
      </c>
      <c r="I684" s="6" t="s">
        <v>8736</v>
      </c>
      <c r="J684" s="6" t="s">
        <v>8737</v>
      </c>
      <c r="K684" s="6" t="s">
        <v>8738</v>
      </c>
      <c r="L684" s="6" t="s">
        <v>8739</v>
      </c>
      <c r="M684" s="6" t="s">
        <v>8740</v>
      </c>
      <c r="N684" s="6" t="s">
        <v>8741</v>
      </c>
      <c r="O684" s="6" t="s">
        <v>8742</v>
      </c>
      <c r="P684" s="6" t="s">
        <v>8743</v>
      </c>
      <c r="Q684" s="6" t="s">
        <v>801</v>
      </c>
    </row>
    <row r="685" spans="1:17" ht="36">
      <c r="A685" s="7" t="s">
        <v>8744</v>
      </c>
      <c r="B685" s="6" t="s">
        <v>8745</v>
      </c>
      <c r="C685" s="6" t="s">
        <v>8746</v>
      </c>
      <c r="D685" s="6" t="s">
        <v>8747</v>
      </c>
      <c r="E685" s="6" t="s">
        <v>8748</v>
      </c>
      <c r="F685" s="6" t="s">
        <v>8749</v>
      </c>
      <c r="G685" s="6" t="s">
        <v>8750</v>
      </c>
      <c r="H685" s="6" t="s">
        <v>8751</v>
      </c>
      <c r="I685" s="6" t="s">
        <v>8752</v>
      </c>
      <c r="J685" s="6" t="s">
        <v>8753</v>
      </c>
      <c r="K685" s="6" t="s">
        <v>8754</v>
      </c>
      <c r="L685" s="6" t="s">
        <v>8755</v>
      </c>
      <c r="M685" s="6" t="s">
        <v>8756</v>
      </c>
      <c r="N685" s="6" t="s">
        <v>8757</v>
      </c>
      <c r="O685" s="6" t="s">
        <v>8758</v>
      </c>
      <c r="P685" s="6" t="s">
        <v>8759</v>
      </c>
      <c r="Q685" s="6" t="s">
        <v>8201</v>
      </c>
    </row>
    <row r="686" spans="1:17" ht="48">
      <c r="A686" s="7" t="s">
        <v>8760</v>
      </c>
      <c r="B686" s="6" t="s">
        <v>6525</v>
      </c>
      <c r="C686" s="6" t="s">
        <v>8761</v>
      </c>
      <c r="D686" s="6" t="s">
        <v>8762</v>
      </c>
      <c r="E686" s="6" t="s">
        <v>8763</v>
      </c>
      <c r="F686" s="6" t="s">
        <v>3381</v>
      </c>
      <c r="G686" s="6" t="s">
        <v>8764</v>
      </c>
      <c r="H686" s="6" t="s">
        <v>8765</v>
      </c>
      <c r="I686" s="6" t="s">
        <v>8766</v>
      </c>
      <c r="J686" s="6" t="s">
        <v>6571</v>
      </c>
      <c r="K686" s="6" t="s">
        <v>8767</v>
      </c>
      <c r="L686" s="6" t="s">
        <v>8768</v>
      </c>
      <c r="M686" s="6" t="s">
        <v>4369</v>
      </c>
      <c r="N686" s="6" t="s">
        <v>8769</v>
      </c>
      <c r="O686" s="6" t="s">
        <v>8770</v>
      </c>
      <c r="P686" s="6" t="s">
        <v>8771</v>
      </c>
      <c r="Q686" s="6" t="s">
        <v>2802</v>
      </c>
    </row>
    <row r="687" spans="1:17" ht="72">
      <c r="A687" s="7" t="s">
        <v>8772</v>
      </c>
      <c r="B687" s="6" t="s">
        <v>8773</v>
      </c>
      <c r="C687" s="6" t="s">
        <v>8774</v>
      </c>
      <c r="D687" s="6" t="s">
        <v>8775</v>
      </c>
      <c r="E687" s="6" t="s">
        <v>8776</v>
      </c>
      <c r="F687" s="6" t="s">
        <v>8777</v>
      </c>
      <c r="G687" s="6" t="s">
        <v>8778</v>
      </c>
      <c r="H687" s="6" t="s">
        <v>8779</v>
      </c>
      <c r="I687" s="6" t="s">
        <v>8780</v>
      </c>
      <c r="J687" s="6" t="s">
        <v>8781</v>
      </c>
      <c r="K687" s="6" t="s">
        <v>8782</v>
      </c>
      <c r="L687" s="6" t="s">
        <v>8783</v>
      </c>
      <c r="M687" s="6" t="s">
        <v>8784</v>
      </c>
      <c r="N687" s="6" t="s">
        <v>8785</v>
      </c>
      <c r="O687" s="6" t="s">
        <v>8786</v>
      </c>
      <c r="P687" s="6" t="s">
        <v>8787</v>
      </c>
      <c r="Q687" s="6" t="s">
        <v>8788</v>
      </c>
    </row>
    <row r="688" spans="1:17" ht="60">
      <c r="A688" s="7" t="s">
        <v>8789</v>
      </c>
      <c r="B688" s="6" t="s">
        <v>8790</v>
      </c>
      <c r="C688" s="6" t="s">
        <v>8791</v>
      </c>
      <c r="D688" s="6" t="s">
        <v>8792</v>
      </c>
      <c r="E688" s="6" t="s">
        <v>3293</v>
      </c>
      <c r="F688" s="6" t="s">
        <v>8793</v>
      </c>
      <c r="G688" s="6" t="s">
        <v>8794</v>
      </c>
      <c r="H688" s="6" t="s">
        <v>8795</v>
      </c>
      <c r="I688" s="6" t="s">
        <v>8796</v>
      </c>
      <c r="J688" s="6" t="s">
        <v>3858</v>
      </c>
      <c r="K688" s="6" t="s">
        <v>8797</v>
      </c>
      <c r="L688" s="6" t="s">
        <v>8798</v>
      </c>
      <c r="M688" s="6" t="s">
        <v>8799</v>
      </c>
      <c r="N688" s="6" t="s">
        <v>8800</v>
      </c>
      <c r="O688" s="6" t="s">
        <v>8801</v>
      </c>
      <c r="P688" s="6" t="s">
        <v>8802</v>
      </c>
      <c r="Q688" s="6" t="s">
        <v>3643</v>
      </c>
    </row>
    <row r="689" spans="1:17" ht="48">
      <c r="A689" s="7" t="s">
        <v>8803</v>
      </c>
      <c r="B689" s="6" t="s">
        <v>8804</v>
      </c>
      <c r="C689" s="6" t="s">
        <v>8805</v>
      </c>
      <c r="D689" s="6" t="s">
        <v>8806</v>
      </c>
      <c r="E689" s="6" t="s">
        <v>8807</v>
      </c>
      <c r="F689" s="6" t="s">
        <v>8808</v>
      </c>
      <c r="G689" s="6" t="s">
        <v>8809</v>
      </c>
      <c r="H689" s="6" t="s">
        <v>8810</v>
      </c>
      <c r="I689" s="6" t="s">
        <v>8811</v>
      </c>
      <c r="J689" s="6" t="s">
        <v>8812</v>
      </c>
      <c r="K689" s="6" t="s">
        <v>8813</v>
      </c>
      <c r="L689" s="6" t="s">
        <v>8814</v>
      </c>
      <c r="M689" s="6" t="s">
        <v>6064</v>
      </c>
      <c r="N689" s="6" t="s">
        <v>8815</v>
      </c>
      <c r="O689" s="6" t="s">
        <v>8816</v>
      </c>
      <c r="P689" s="6" t="s">
        <v>560</v>
      </c>
      <c r="Q689" s="6" t="s">
        <v>8817</v>
      </c>
    </row>
    <row r="690" spans="1:17" ht="48">
      <c r="A690" s="7" t="s">
        <v>8818</v>
      </c>
      <c r="B690" s="6" t="s">
        <v>8819</v>
      </c>
      <c r="C690" s="6" t="s">
        <v>4806</v>
      </c>
      <c r="D690" s="6" t="s">
        <v>8820</v>
      </c>
      <c r="E690" s="6" t="s">
        <v>8821</v>
      </c>
      <c r="F690" s="6" t="s">
        <v>8822</v>
      </c>
      <c r="G690" s="6" t="s">
        <v>8823</v>
      </c>
      <c r="H690" s="6" t="s">
        <v>8824</v>
      </c>
      <c r="I690" s="6" t="s">
        <v>8825</v>
      </c>
      <c r="J690" s="6" t="s">
        <v>8826</v>
      </c>
      <c r="K690" s="6" t="s">
        <v>8827</v>
      </c>
      <c r="L690" s="6" t="s">
        <v>8828</v>
      </c>
      <c r="M690" s="6" t="s">
        <v>8829</v>
      </c>
      <c r="N690" s="6" t="s">
        <v>8830</v>
      </c>
      <c r="O690" s="6" t="s">
        <v>8831</v>
      </c>
      <c r="P690" s="6" t="s">
        <v>8832</v>
      </c>
      <c r="Q690" s="6" t="s">
        <v>8833</v>
      </c>
    </row>
    <row r="691" spans="1:17" ht="48">
      <c r="A691" s="7" t="s">
        <v>8834</v>
      </c>
      <c r="B691" s="6" t="s">
        <v>8835</v>
      </c>
      <c r="C691" s="6" t="s">
        <v>8836</v>
      </c>
      <c r="D691" s="6" t="s">
        <v>2113</v>
      </c>
      <c r="E691" s="6" t="s">
        <v>8837</v>
      </c>
      <c r="F691" s="6" t="s">
        <v>1217</v>
      </c>
      <c r="G691" s="6" t="s">
        <v>8838</v>
      </c>
      <c r="H691" s="6" t="s">
        <v>8839</v>
      </c>
      <c r="I691" s="6" t="s">
        <v>8840</v>
      </c>
      <c r="J691" s="6" t="s">
        <v>8841</v>
      </c>
      <c r="K691" s="6" t="s">
        <v>8842</v>
      </c>
      <c r="L691" s="6" t="s">
        <v>8029</v>
      </c>
      <c r="M691" s="6" t="s">
        <v>8843</v>
      </c>
      <c r="N691" s="6" t="s">
        <v>8844</v>
      </c>
      <c r="O691" s="6" t="s">
        <v>5047</v>
      </c>
      <c r="P691" s="15"/>
      <c r="Q691" s="15"/>
    </row>
    <row r="692" spans="1:17" ht="24">
      <c r="A692" s="7" t="s">
        <v>8845</v>
      </c>
      <c r="B692" s="6" t="s">
        <v>8846</v>
      </c>
      <c r="C692" s="6" t="s">
        <v>8847</v>
      </c>
      <c r="D692" s="6" t="s">
        <v>8848</v>
      </c>
      <c r="E692" s="6" t="s">
        <v>8849</v>
      </c>
      <c r="F692" s="6" t="s">
        <v>8850</v>
      </c>
      <c r="G692" s="6" t="s">
        <v>8851</v>
      </c>
      <c r="H692" s="6" t="s">
        <v>8852</v>
      </c>
      <c r="I692" s="6" t="s">
        <v>8853</v>
      </c>
      <c r="J692" s="6" t="s">
        <v>4722</v>
      </c>
      <c r="K692" s="6" t="s">
        <v>8854</v>
      </c>
      <c r="L692" s="6" t="s">
        <v>8855</v>
      </c>
      <c r="M692" s="6" t="s">
        <v>8856</v>
      </c>
      <c r="N692" s="6" t="s">
        <v>8857</v>
      </c>
      <c r="O692" s="6" t="s">
        <v>8858</v>
      </c>
      <c r="P692" s="6" t="s">
        <v>6007</v>
      </c>
      <c r="Q692" s="6" t="s">
        <v>8859</v>
      </c>
    </row>
    <row r="693" spans="1:17" ht="60">
      <c r="A693" s="7" t="s">
        <v>8860</v>
      </c>
      <c r="B693" s="6" t="s">
        <v>8861</v>
      </c>
      <c r="C693" s="6" t="s">
        <v>8862</v>
      </c>
      <c r="D693" s="6" t="s">
        <v>4097</v>
      </c>
      <c r="E693" s="6" t="s">
        <v>7396</v>
      </c>
      <c r="F693" s="6" t="s">
        <v>8863</v>
      </c>
      <c r="G693" s="6" t="s">
        <v>8864</v>
      </c>
      <c r="H693" s="6" t="s">
        <v>8865</v>
      </c>
      <c r="I693" s="6" t="s">
        <v>4739</v>
      </c>
      <c r="J693" s="6" t="s">
        <v>2178</v>
      </c>
      <c r="K693" s="6" t="s">
        <v>8866</v>
      </c>
      <c r="L693" s="6" t="s">
        <v>8867</v>
      </c>
      <c r="M693" s="6" t="s">
        <v>7680</v>
      </c>
      <c r="N693" s="6" t="s">
        <v>8868</v>
      </c>
      <c r="O693" s="6" t="s">
        <v>8869</v>
      </c>
      <c r="P693" s="6" t="s">
        <v>603</v>
      </c>
      <c r="Q693" s="15"/>
    </row>
    <row r="694" spans="1:17" ht="72">
      <c r="A694" s="7" t="s">
        <v>8870</v>
      </c>
      <c r="B694" s="6" t="s">
        <v>8871</v>
      </c>
      <c r="C694" s="6" t="s">
        <v>8872</v>
      </c>
      <c r="D694" s="6" t="s">
        <v>8873</v>
      </c>
      <c r="E694" s="6" t="s">
        <v>8874</v>
      </c>
      <c r="F694" s="6" t="s">
        <v>8875</v>
      </c>
      <c r="G694" s="6" t="s">
        <v>8876</v>
      </c>
      <c r="H694" s="6" t="s">
        <v>8877</v>
      </c>
      <c r="I694" s="6" t="s">
        <v>8878</v>
      </c>
      <c r="J694" s="6" t="s">
        <v>8879</v>
      </c>
      <c r="K694" s="6" t="s">
        <v>8880</v>
      </c>
      <c r="L694" s="6" t="s">
        <v>8881</v>
      </c>
      <c r="M694" s="6" t="s">
        <v>3115</v>
      </c>
      <c r="N694" s="6" t="s">
        <v>8882</v>
      </c>
      <c r="O694" s="6" t="s">
        <v>8883</v>
      </c>
      <c r="P694" s="6" t="s">
        <v>7600</v>
      </c>
      <c r="Q694" s="6" t="s">
        <v>3850</v>
      </c>
    </row>
    <row r="695" spans="1:17" ht="72">
      <c r="A695" s="7" t="s">
        <v>8884</v>
      </c>
      <c r="B695" s="6" t="s">
        <v>8885</v>
      </c>
      <c r="C695" s="6" t="s">
        <v>8886</v>
      </c>
      <c r="D695" s="6" t="s">
        <v>8887</v>
      </c>
      <c r="E695" s="6" t="s">
        <v>8888</v>
      </c>
      <c r="F695" s="6" t="s">
        <v>8889</v>
      </c>
      <c r="G695" s="6" t="s">
        <v>8890</v>
      </c>
      <c r="H695" s="6" t="s">
        <v>1848</v>
      </c>
      <c r="I695" s="6" t="s">
        <v>8211</v>
      </c>
      <c r="J695" s="6" t="s">
        <v>1214</v>
      </c>
      <c r="K695" s="6" t="s">
        <v>8891</v>
      </c>
      <c r="L695" s="6" t="s">
        <v>8892</v>
      </c>
      <c r="M695" s="6" t="s">
        <v>8893</v>
      </c>
      <c r="N695" s="6" t="s">
        <v>8894</v>
      </c>
      <c r="O695" s="6" t="s">
        <v>8895</v>
      </c>
      <c r="P695" s="6" t="s">
        <v>2571</v>
      </c>
      <c r="Q695" s="6" t="s">
        <v>5452</v>
      </c>
    </row>
    <row r="696" spans="1:17" ht="48">
      <c r="A696" s="8" t="s">
        <v>8896</v>
      </c>
      <c r="B696" s="9" t="s">
        <v>8897</v>
      </c>
      <c r="C696" s="9" t="s">
        <v>8898</v>
      </c>
      <c r="D696" s="9" t="s">
        <v>3535</v>
      </c>
      <c r="E696" s="9" t="s">
        <v>3362</v>
      </c>
      <c r="F696" s="9" t="s">
        <v>8899</v>
      </c>
      <c r="G696" s="9" t="s">
        <v>8900</v>
      </c>
      <c r="H696" s="9" t="s">
        <v>8901</v>
      </c>
      <c r="I696" s="9" t="s">
        <v>2879</v>
      </c>
      <c r="J696" s="9" t="s">
        <v>8902</v>
      </c>
      <c r="K696" s="9" t="s">
        <v>8903</v>
      </c>
      <c r="L696" s="9" t="s">
        <v>8904</v>
      </c>
      <c r="M696" s="9" t="s">
        <v>8905</v>
      </c>
      <c r="N696" s="9" t="s">
        <v>8906</v>
      </c>
      <c r="O696" s="9" t="s">
        <v>8907</v>
      </c>
      <c r="P696" s="9" t="s">
        <v>886</v>
      </c>
      <c r="Q696" s="9" t="s">
        <v>1098</v>
      </c>
    </row>
    <row r="697" spans="1:17" ht="15.6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</row>
    <row r="698" spans="1:17" ht="15.6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 spans="1:17">
      <c r="A699" s="12" t="s">
        <v>8908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spans="1:17">
      <c r="A700" s="3" t="s">
        <v>159</v>
      </c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 spans="1:17">
      <c r="A701" s="127" t="s">
        <v>160</v>
      </c>
      <c r="B701" s="131" t="s">
        <v>161</v>
      </c>
      <c r="C701" s="135" t="s">
        <v>162</v>
      </c>
      <c r="D701" s="125"/>
      <c r="E701" s="125"/>
      <c r="F701" s="125"/>
      <c r="G701" s="125"/>
      <c r="H701" s="125"/>
      <c r="I701" s="125"/>
      <c r="J701" s="126"/>
      <c r="K701" s="135" t="s">
        <v>163</v>
      </c>
      <c r="L701" s="125"/>
      <c r="M701" s="126"/>
      <c r="N701" s="135" t="s">
        <v>164</v>
      </c>
      <c r="O701" s="125"/>
      <c r="P701" s="125"/>
      <c r="Q701" s="125"/>
    </row>
    <row r="702" spans="1:17">
      <c r="A702" s="128"/>
      <c r="B702" s="132"/>
      <c r="C702" s="132"/>
      <c r="D702" s="131" t="s">
        <v>165</v>
      </c>
      <c r="E702" s="131" t="s">
        <v>166</v>
      </c>
      <c r="F702" s="131" t="s">
        <v>167</v>
      </c>
      <c r="G702" s="135" t="s">
        <v>168</v>
      </c>
      <c r="H702" s="125"/>
      <c r="I702" s="125"/>
      <c r="J702" s="126"/>
      <c r="K702" s="132"/>
      <c r="L702" s="135" t="s">
        <v>169</v>
      </c>
      <c r="M702" s="13"/>
      <c r="N702" s="132"/>
      <c r="O702" s="135" t="s">
        <v>170</v>
      </c>
      <c r="P702" s="125"/>
      <c r="Q702" s="125"/>
    </row>
    <row r="703" spans="1:17">
      <c r="A703" s="128"/>
      <c r="B703" s="132"/>
      <c r="C703" s="132"/>
      <c r="D703" s="132"/>
      <c r="E703" s="132"/>
      <c r="F703" s="132"/>
      <c r="G703" s="132"/>
      <c r="H703" s="131" t="s">
        <v>171</v>
      </c>
      <c r="I703" s="135" t="s">
        <v>854</v>
      </c>
      <c r="J703" s="13"/>
      <c r="K703" s="132"/>
      <c r="L703" s="132"/>
      <c r="M703" s="131" t="s">
        <v>173</v>
      </c>
      <c r="N703" s="132"/>
      <c r="O703" s="132"/>
      <c r="P703" s="131" t="s">
        <v>174</v>
      </c>
      <c r="Q703" s="135" t="s">
        <v>175</v>
      </c>
    </row>
    <row r="704" spans="1:17">
      <c r="A704" s="129"/>
      <c r="B704" s="133"/>
      <c r="C704" s="133"/>
      <c r="D704" s="133"/>
      <c r="E704" s="133"/>
      <c r="F704" s="133"/>
      <c r="G704" s="133"/>
      <c r="H704" s="133"/>
      <c r="I704" s="133"/>
      <c r="J704" s="14" t="s">
        <v>176</v>
      </c>
      <c r="K704" s="133"/>
      <c r="L704" s="133"/>
      <c r="M704" s="133"/>
      <c r="N704" s="133"/>
      <c r="O704" s="133"/>
      <c r="P704" s="133"/>
      <c r="Q704" s="137"/>
    </row>
    <row r="705" spans="1:17" ht="48">
      <c r="A705" s="7" t="s">
        <v>8909</v>
      </c>
      <c r="B705" s="6" t="s">
        <v>8482</v>
      </c>
      <c r="C705" s="6" t="s">
        <v>8910</v>
      </c>
      <c r="D705" s="6" t="s">
        <v>8911</v>
      </c>
      <c r="E705" s="6" t="s">
        <v>8912</v>
      </c>
      <c r="F705" s="6" t="s">
        <v>8913</v>
      </c>
      <c r="G705" s="6" t="s">
        <v>8914</v>
      </c>
      <c r="H705" s="6" t="s">
        <v>4021</v>
      </c>
      <c r="I705" s="6" t="s">
        <v>8915</v>
      </c>
      <c r="J705" s="6" t="s">
        <v>4022</v>
      </c>
      <c r="K705" s="6" t="s">
        <v>8916</v>
      </c>
      <c r="L705" s="6" t="s">
        <v>8917</v>
      </c>
      <c r="M705" s="6" t="s">
        <v>579</v>
      </c>
      <c r="N705" s="6" t="s">
        <v>8918</v>
      </c>
      <c r="O705" s="6" t="s">
        <v>8919</v>
      </c>
      <c r="P705" s="6" t="s">
        <v>8920</v>
      </c>
      <c r="Q705" s="6" t="s">
        <v>3308</v>
      </c>
    </row>
    <row r="706" spans="1:17" ht="48">
      <c r="A706" s="7" t="s">
        <v>8921</v>
      </c>
      <c r="B706" s="6" t="s">
        <v>6948</v>
      </c>
      <c r="C706" s="6" t="s">
        <v>8922</v>
      </c>
      <c r="D706" s="6" t="s">
        <v>8923</v>
      </c>
      <c r="E706" s="6" t="s">
        <v>4786</v>
      </c>
      <c r="F706" s="6" t="s">
        <v>8924</v>
      </c>
      <c r="G706" s="6" t="s">
        <v>8925</v>
      </c>
      <c r="H706" s="6" t="s">
        <v>1110</v>
      </c>
      <c r="I706" s="6" t="s">
        <v>8926</v>
      </c>
      <c r="J706" s="6" t="s">
        <v>539</v>
      </c>
      <c r="K706" s="6" t="s">
        <v>8927</v>
      </c>
      <c r="L706" s="6" t="s">
        <v>8928</v>
      </c>
      <c r="M706" s="6" t="s">
        <v>454</v>
      </c>
      <c r="N706" s="6" t="s">
        <v>3797</v>
      </c>
      <c r="O706" s="6" t="s">
        <v>8929</v>
      </c>
      <c r="P706" s="15"/>
      <c r="Q706" s="6" t="s">
        <v>2572</v>
      </c>
    </row>
    <row r="707" spans="1:17" ht="60">
      <c r="A707" s="7" t="s">
        <v>8930</v>
      </c>
      <c r="B707" s="6" t="s">
        <v>8931</v>
      </c>
      <c r="C707" s="6" t="s">
        <v>8932</v>
      </c>
      <c r="D707" s="6" t="s">
        <v>8933</v>
      </c>
      <c r="E707" s="6" t="s">
        <v>8934</v>
      </c>
      <c r="F707" s="6" t="s">
        <v>8935</v>
      </c>
      <c r="G707" s="6" t="s">
        <v>8936</v>
      </c>
      <c r="H707" s="6" t="s">
        <v>8937</v>
      </c>
      <c r="I707" s="6" t="s">
        <v>8938</v>
      </c>
      <c r="J707" s="6" t="s">
        <v>8939</v>
      </c>
      <c r="K707" s="6" t="s">
        <v>8940</v>
      </c>
      <c r="L707" s="6" t="s">
        <v>8941</v>
      </c>
      <c r="M707" s="6" t="s">
        <v>8942</v>
      </c>
      <c r="N707" s="6" t="s">
        <v>8943</v>
      </c>
      <c r="O707" s="6" t="s">
        <v>1705</v>
      </c>
      <c r="P707" s="6" t="s">
        <v>269</v>
      </c>
      <c r="Q707" s="6" t="s">
        <v>3048</v>
      </c>
    </row>
    <row r="708" spans="1:17" ht="48">
      <c r="A708" s="7" t="s">
        <v>8944</v>
      </c>
      <c r="B708" s="6" t="s">
        <v>4515</v>
      </c>
      <c r="C708" s="6" t="s">
        <v>2501</v>
      </c>
      <c r="D708" s="6" t="s">
        <v>8945</v>
      </c>
      <c r="E708" s="6" t="s">
        <v>8946</v>
      </c>
      <c r="F708" s="6" t="s">
        <v>8947</v>
      </c>
      <c r="G708" s="6" t="s">
        <v>8948</v>
      </c>
      <c r="H708" s="6" t="s">
        <v>8949</v>
      </c>
      <c r="I708" s="6" t="s">
        <v>8950</v>
      </c>
      <c r="J708" s="6" t="s">
        <v>4729</v>
      </c>
      <c r="K708" s="6" t="s">
        <v>8951</v>
      </c>
      <c r="L708" s="6" t="s">
        <v>8952</v>
      </c>
      <c r="M708" s="6" t="s">
        <v>8953</v>
      </c>
      <c r="N708" s="6" t="s">
        <v>8954</v>
      </c>
      <c r="O708" s="6" t="s">
        <v>5426</v>
      </c>
      <c r="P708" s="6" t="s">
        <v>8955</v>
      </c>
      <c r="Q708" s="15"/>
    </row>
    <row r="709" spans="1:17" ht="36">
      <c r="A709" s="7" t="s">
        <v>8956</v>
      </c>
      <c r="B709" s="6" t="s">
        <v>5040</v>
      </c>
      <c r="C709" s="6" t="s">
        <v>8957</v>
      </c>
      <c r="D709" s="6" t="s">
        <v>8958</v>
      </c>
      <c r="E709" s="6" t="s">
        <v>8959</v>
      </c>
      <c r="F709" s="6" t="s">
        <v>8960</v>
      </c>
      <c r="G709" s="6" t="s">
        <v>8961</v>
      </c>
      <c r="H709" s="6" t="s">
        <v>8962</v>
      </c>
      <c r="I709" s="6" t="s">
        <v>2208</v>
      </c>
      <c r="J709" s="6" t="s">
        <v>1996</v>
      </c>
      <c r="K709" s="6" t="s">
        <v>8963</v>
      </c>
      <c r="L709" s="6" t="s">
        <v>8964</v>
      </c>
      <c r="M709" s="6" t="s">
        <v>8965</v>
      </c>
      <c r="N709" s="6" t="s">
        <v>8966</v>
      </c>
      <c r="O709" s="6" t="s">
        <v>5066</v>
      </c>
      <c r="P709" s="6" t="s">
        <v>979</v>
      </c>
      <c r="Q709" s="6" t="s">
        <v>6236</v>
      </c>
    </row>
    <row r="710" spans="1:17" ht="48">
      <c r="A710" s="7" t="s">
        <v>8967</v>
      </c>
      <c r="B710" s="6" t="s">
        <v>2342</v>
      </c>
      <c r="C710" s="6" t="s">
        <v>8968</v>
      </c>
      <c r="D710" s="6" t="s">
        <v>6086</v>
      </c>
      <c r="E710" s="6" t="s">
        <v>8969</v>
      </c>
      <c r="F710" s="6" t="s">
        <v>7447</v>
      </c>
      <c r="G710" s="6" t="s">
        <v>8970</v>
      </c>
      <c r="H710" s="6" t="s">
        <v>5945</v>
      </c>
      <c r="I710" s="6" t="s">
        <v>7609</v>
      </c>
      <c r="J710" s="6" t="s">
        <v>2227</v>
      </c>
      <c r="K710" s="6" t="s">
        <v>8971</v>
      </c>
      <c r="L710" s="6" t="s">
        <v>8972</v>
      </c>
      <c r="M710" s="6" t="s">
        <v>4139</v>
      </c>
      <c r="N710" s="6" t="s">
        <v>4429</v>
      </c>
      <c r="O710" s="6" t="s">
        <v>4699</v>
      </c>
      <c r="P710" s="15"/>
      <c r="Q710" s="6" t="s">
        <v>1162</v>
      </c>
    </row>
    <row r="711" spans="1:17" ht="36">
      <c r="A711" s="7" t="s">
        <v>8973</v>
      </c>
      <c r="B711" s="6" t="s">
        <v>8974</v>
      </c>
      <c r="C711" s="6" t="s">
        <v>8975</v>
      </c>
      <c r="D711" s="6" t="s">
        <v>8976</v>
      </c>
      <c r="E711" s="6" t="s">
        <v>8977</v>
      </c>
      <c r="F711" s="6" t="s">
        <v>8978</v>
      </c>
      <c r="G711" s="6" t="s">
        <v>8979</v>
      </c>
      <c r="H711" s="6" t="s">
        <v>8980</v>
      </c>
      <c r="I711" s="6" t="s">
        <v>8981</v>
      </c>
      <c r="J711" s="6" t="s">
        <v>8982</v>
      </c>
      <c r="K711" s="6" t="s">
        <v>8983</v>
      </c>
      <c r="L711" s="6" t="s">
        <v>8984</v>
      </c>
      <c r="M711" s="6" t="s">
        <v>3134</v>
      </c>
      <c r="N711" s="6" t="s">
        <v>8985</v>
      </c>
      <c r="O711" s="6" t="s">
        <v>4999</v>
      </c>
      <c r="P711" s="6" t="s">
        <v>6038</v>
      </c>
      <c r="Q711" s="6" t="s">
        <v>2680</v>
      </c>
    </row>
    <row r="712" spans="1:17" ht="48">
      <c r="A712" s="7" t="s">
        <v>8986</v>
      </c>
      <c r="B712" s="6" t="s">
        <v>6475</v>
      </c>
      <c r="C712" s="6" t="s">
        <v>3152</v>
      </c>
      <c r="D712" s="6" t="s">
        <v>7596</v>
      </c>
      <c r="E712" s="6" t="s">
        <v>874</v>
      </c>
      <c r="F712" s="6" t="s">
        <v>8987</v>
      </c>
      <c r="G712" s="6" t="s">
        <v>8988</v>
      </c>
      <c r="H712" s="6" t="s">
        <v>8989</v>
      </c>
      <c r="I712" s="6" t="s">
        <v>8990</v>
      </c>
      <c r="J712" s="6" t="s">
        <v>4172</v>
      </c>
      <c r="K712" s="6" t="s">
        <v>3482</v>
      </c>
      <c r="L712" s="6" t="s">
        <v>8991</v>
      </c>
      <c r="M712" s="6" t="s">
        <v>566</v>
      </c>
      <c r="N712" s="6" t="s">
        <v>8992</v>
      </c>
      <c r="O712" s="6" t="s">
        <v>7077</v>
      </c>
      <c r="P712" s="15"/>
      <c r="Q712" s="6" t="s">
        <v>919</v>
      </c>
    </row>
    <row r="713" spans="1:17" ht="72">
      <c r="A713" s="7" t="s">
        <v>8993</v>
      </c>
      <c r="B713" s="6" t="s">
        <v>6833</v>
      </c>
      <c r="C713" s="6" t="s">
        <v>8994</v>
      </c>
      <c r="D713" s="6" t="s">
        <v>3536</v>
      </c>
      <c r="E713" s="6" t="s">
        <v>8995</v>
      </c>
      <c r="F713" s="6" t="s">
        <v>8996</v>
      </c>
      <c r="G713" s="6" t="s">
        <v>8997</v>
      </c>
      <c r="H713" s="6" t="s">
        <v>8998</v>
      </c>
      <c r="I713" s="6" t="s">
        <v>8999</v>
      </c>
      <c r="J713" s="6" t="s">
        <v>9000</v>
      </c>
      <c r="K713" s="6" t="s">
        <v>9001</v>
      </c>
      <c r="L713" s="6" t="s">
        <v>9002</v>
      </c>
      <c r="M713" s="6" t="s">
        <v>5832</v>
      </c>
      <c r="N713" s="6" t="s">
        <v>9003</v>
      </c>
      <c r="O713" s="6" t="s">
        <v>9004</v>
      </c>
      <c r="P713" s="6" t="s">
        <v>2649</v>
      </c>
      <c r="Q713" s="6" t="s">
        <v>565</v>
      </c>
    </row>
    <row r="714" spans="1:17" ht="60">
      <c r="A714" s="7" t="s">
        <v>9005</v>
      </c>
      <c r="B714" s="6" t="s">
        <v>5820</v>
      </c>
      <c r="C714" s="6" t="s">
        <v>9006</v>
      </c>
      <c r="D714" s="6" t="s">
        <v>9007</v>
      </c>
      <c r="E714" s="6" t="s">
        <v>9008</v>
      </c>
      <c r="F714" s="6" t="s">
        <v>9009</v>
      </c>
      <c r="G714" s="6" t="s">
        <v>1728</v>
      </c>
      <c r="H714" s="6" t="s">
        <v>3701</v>
      </c>
      <c r="I714" s="6" t="s">
        <v>9010</v>
      </c>
      <c r="J714" s="6" t="s">
        <v>4426</v>
      </c>
      <c r="K714" s="6" t="s">
        <v>9011</v>
      </c>
      <c r="L714" s="6" t="s">
        <v>6288</v>
      </c>
      <c r="M714" s="6" t="s">
        <v>882</v>
      </c>
      <c r="N714" s="6" t="s">
        <v>9012</v>
      </c>
      <c r="O714" s="6" t="s">
        <v>577</v>
      </c>
      <c r="P714" s="15"/>
      <c r="Q714" s="15"/>
    </row>
    <row r="715" spans="1:17" ht="48">
      <c r="A715" s="7" t="s">
        <v>9013</v>
      </c>
      <c r="B715" s="6" t="s">
        <v>9014</v>
      </c>
      <c r="C715" s="6" t="s">
        <v>9015</v>
      </c>
      <c r="D715" s="6" t="s">
        <v>9016</v>
      </c>
      <c r="E715" s="6" t="s">
        <v>9017</v>
      </c>
      <c r="F715" s="6" t="s">
        <v>9018</v>
      </c>
      <c r="G715" s="6" t="s">
        <v>9019</v>
      </c>
      <c r="H715" s="6" t="s">
        <v>9020</v>
      </c>
      <c r="I715" s="6" t="s">
        <v>9021</v>
      </c>
      <c r="J715" s="6" t="s">
        <v>9022</v>
      </c>
      <c r="K715" s="6" t="s">
        <v>9023</v>
      </c>
      <c r="L715" s="6" t="s">
        <v>9024</v>
      </c>
      <c r="M715" s="6" t="s">
        <v>9025</v>
      </c>
      <c r="N715" s="6" t="s">
        <v>9026</v>
      </c>
      <c r="O715" s="6" t="s">
        <v>9027</v>
      </c>
      <c r="P715" s="6" t="s">
        <v>9028</v>
      </c>
      <c r="Q715" s="6" t="s">
        <v>9029</v>
      </c>
    </row>
    <row r="716" spans="1:17" ht="36">
      <c r="A716" s="7" t="s">
        <v>9030</v>
      </c>
      <c r="B716" s="6" t="s">
        <v>9031</v>
      </c>
      <c r="C716" s="6" t="s">
        <v>6552</v>
      </c>
      <c r="D716" s="6" t="s">
        <v>9032</v>
      </c>
      <c r="E716" s="6" t="s">
        <v>9033</v>
      </c>
      <c r="F716" s="6" t="s">
        <v>9034</v>
      </c>
      <c r="G716" s="6" t="s">
        <v>9035</v>
      </c>
      <c r="H716" s="6" t="s">
        <v>9036</v>
      </c>
      <c r="I716" s="6" t="s">
        <v>9037</v>
      </c>
      <c r="J716" s="6" t="s">
        <v>9038</v>
      </c>
      <c r="K716" s="6" t="s">
        <v>9039</v>
      </c>
      <c r="L716" s="6" t="s">
        <v>9040</v>
      </c>
      <c r="M716" s="6" t="s">
        <v>9041</v>
      </c>
      <c r="N716" s="6" t="s">
        <v>9042</v>
      </c>
      <c r="O716" s="6" t="s">
        <v>9043</v>
      </c>
      <c r="P716" s="6" t="s">
        <v>9044</v>
      </c>
      <c r="Q716" s="6" t="s">
        <v>9045</v>
      </c>
    </row>
    <row r="717" spans="1:17" ht="72">
      <c r="A717" s="7" t="s">
        <v>9046</v>
      </c>
      <c r="B717" s="6" t="s">
        <v>4603</v>
      </c>
      <c r="C717" s="6" t="s">
        <v>9047</v>
      </c>
      <c r="D717" s="6" t="s">
        <v>9048</v>
      </c>
      <c r="E717" s="6" t="s">
        <v>2543</v>
      </c>
      <c r="F717" s="6" t="s">
        <v>8955</v>
      </c>
      <c r="G717" s="6" t="s">
        <v>9049</v>
      </c>
      <c r="H717" s="6" t="s">
        <v>9050</v>
      </c>
      <c r="I717" s="6" t="s">
        <v>9051</v>
      </c>
      <c r="J717" s="6" t="s">
        <v>1504</v>
      </c>
      <c r="K717" s="6" t="s">
        <v>3128</v>
      </c>
      <c r="L717" s="6" t="s">
        <v>9052</v>
      </c>
      <c r="M717" s="6" t="s">
        <v>4458</v>
      </c>
      <c r="N717" s="6" t="s">
        <v>5343</v>
      </c>
      <c r="O717" s="6" t="s">
        <v>8431</v>
      </c>
      <c r="P717" s="15"/>
      <c r="Q717" s="15"/>
    </row>
    <row r="718" spans="1:17" ht="36">
      <c r="A718" s="7" t="s">
        <v>9053</v>
      </c>
      <c r="B718" s="6" t="s">
        <v>2521</v>
      </c>
      <c r="C718" s="6" t="s">
        <v>9054</v>
      </c>
      <c r="D718" s="6" t="s">
        <v>9055</v>
      </c>
      <c r="E718" s="6" t="s">
        <v>9056</v>
      </c>
      <c r="F718" s="6" t="s">
        <v>9057</v>
      </c>
      <c r="G718" s="6" t="s">
        <v>9058</v>
      </c>
      <c r="H718" s="6" t="s">
        <v>9059</v>
      </c>
      <c r="I718" s="6" t="s">
        <v>9060</v>
      </c>
      <c r="J718" s="6" t="s">
        <v>9061</v>
      </c>
      <c r="K718" s="6" t="s">
        <v>9062</v>
      </c>
      <c r="L718" s="6" t="s">
        <v>9063</v>
      </c>
      <c r="M718" s="6" t="s">
        <v>9064</v>
      </c>
      <c r="N718" s="6" t="s">
        <v>9065</v>
      </c>
      <c r="O718" s="6" t="s">
        <v>9066</v>
      </c>
      <c r="P718" s="6" t="s">
        <v>2454</v>
      </c>
      <c r="Q718" s="6" t="s">
        <v>5452</v>
      </c>
    </row>
    <row r="719" spans="1:17" ht="36">
      <c r="A719" s="7" t="s">
        <v>9067</v>
      </c>
      <c r="B719" s="6" t="s">
        <v>9068</v>
      </c>
      <c r="C719" s="6" t="s">
        <v>9069</v>
      </c>
      <c r="D719" s="6" t="s">
        <v>8422</v>
      </c>
      <c r="E719" s="6" t="s">
        <v>8923</v>
      </c>
      <c r="F719" s="6" t="s">
        <v>9070</v>
      </c>
      <c r="G719" s="6" t="s">
        <v>9071</v>
      </c>
      <c r="H719" s="6" t="s">
        <v>9072</v>
      </c>
      <c r="I719" s="6" t="s">
        <v>454</v>
      </c>
      <c r="J719" s="6" t="s">
        <v>3648</v>
      </c>
      <c r="K719" s="6" t="s">
        <v>9073</v>
      </c>
      <c r="L719" s="6" t="s">
        <v>6979</v>
      </c>
      <c r="M719" s="6" t="s">
        <v>9074</v>
      </c>
      <c r="N719" s="6" t="s">
        <v>951</v>
      </c>
      <c r="O719" s="6" t="s">
        <v>4143</v>
      </c>
      <c r="P719" s="6" t="s">
        <v>1389</v>
      </c>
      <c r="Q719" s="6" t="s">
        <v>2146</v>
      </c>
    </row>
    <row r="720" spans="1:17" ht="48">
      <c r="A720" s="7" t="s">
        <v>9075</v>
      </c>
      <c r="B720" s="6" t="s">
        <v>9076</v>
      </c>
      <c r="C720" s="6" t="s">
        <v>9077</v>
      </c>
      <c r="D720" s="6" t="s">
        <v>2206</v>
      </c>
      <c r="E720" s="6" t="s">
        <v>9078</v>
      </c>
      <c r="F720" s="6" t="s">
        <v>9079</v>
      </c>
      <c r="G720" s="6" t="s">
        <v>9080</v>
      </c>
      <c r="H720" s="6" t="s">
        <v>9081</v>
      </c>
      <c r="I720" s="6" t="s">
        <v>9082</v>
      </c>
      <c r="J720" s="6" t="s">
        <v>9083</v>
      </c>
      <c r="K720" s="6" t="s">
        <v>9084</v>
      </c>
      <c r="L720" s="6" t="s">
        <v>9085</v>
      </c>
      <c r="M720" s="6" t="s">
        <v>9086</v>
      </c>
      <c r="N720" s="6" t="s">
        <v>9087</v>
      </c>
      <c r="O720" s="6" t="s">
        <v>9088</v>
      </c>
      <c r="P720" s="6" t="s">
        <v>8911</v>
      </c>
      <c r="Q720" s="6" t="s">
        <v>2272</v>
      </c>
    </row>
    <row r="721" spans="1:17" ht="48">
      <c r="A721" s="7" t="s">
        <v>9089</v>
      </c>
      <c r="B721" s="6" t="s">
        <v>9090</v>
      </c>
      <c r="C721" s="6" t="s">
        <v>9091</v>
      </c>
      <c r="D721" s="6" t="s">
        <v>9092</v>
      </c>
      <c r="E721" s="6" t="s">
        <v>9093</v>
      </c>
      <c r="F721" s="6" t="s">
        <v>9094</v>
      </c>
      <c r="G721" s="6" t="s">
        <v>9095</v>
      </c>
      <c r="H721" s="6" t="s">
        <v>9096</v>
      </c>
      <c r="I721" s="6" t="s">
        <v>9097</v>
      </c>
      <c r="J721" s="6" t="s">
        <v>9098</v>
      </c>
      <c r="K721" s="6" t="s">
        <v>9099</v>
      </c>
      <c r="L721" s="6" t="s">
        <v>9100</v>
      </c>
      <c r="M721" s="6" t="s">
        <v>9101</v>
      </c>
      <c r="N721" s="6" t="s">
        <v>9102</v>
      </c>
      <c r="O721" s="6" t="s">
        <v>9103</v>
      </c>
      <c r="P721" s="6" t="s">
        <v>9104</v>
      </c>
      <c r="Q721" s="6" t="s">
        <v>971</v>
      </c>
    </row>
    <row r="722" spans="1:17" ht="48">
      <c r="A722" s="7" t="s">
        <v>9105</v>
      </c>
      <c r="B722" s="6" t="s">
        <v>9106</v>
      </c>
      <c r="C722" s="6" t="s">
        <v>9107</v>
      </c>
      <c r="D722" s="6" t="s">
        <v>9108</v>
      </c>
      <c r="E722" s="6" t="s">
        <v>9109</v>
      </c>
      <c r="F722" s="6" t="s">
        <v>8102</v>
      </c>
      <c r="G722" s="6" t="s">
        <v>9110</v>
      </c>
      <c r="H722" s="6" t="s">
        <v>9111</v>
      </c>
      <c r="I722" s="6" t="s">
        <v>9112</v>
      </c>
      <c r="J722" s="6" t="s">
        <v>9113</v>
      </c>
      <c r="K722" s="6" t="s">
        <v>9114</v>
      </c>
      <c r="L722" s="6" t="s">
        <v>9115</v>
      </c>
      <c r="M722" s="6" t="s">
        <v>9116</v>
      </c>
      <c r="N722" s="6" t="s">
        <v>9117</v>
      </c>
      <c r="O722" s="6" t="s">
        <v>9118</v>
      </c>
      <c r="P722" s="6" t="s">
        <v>1917</v>
      </c>
      <c r="Q722" s="6" t="s">
        <v>8859</v>
      </c>
    </row>
    <row r="723" spans="1:17" ht="60">
      <c r="A723" s="7" t="s">
        <v>9119</v>
      </c>
      <c r="B723" s="6" t="s">
        <v>9120</v>
      </c>
      <c r="C723" s="6" t="s">
        <v>9121</v>
      </c>
      <c r="D723" s="6" t="s">
        <v>9122</v>
      </c>
      <c r="E723" s="6" t="s">
        <v>9123</v>
      </c>
      <c r="F723" s="6" t="s">
        <v>9124</v>
      </c>
      <c r="G723" s="6" t="s">
        <v>9125</v>
      </c>
      <c r="H723" s="6" t="s">
        <v>9126</v>
      </c>
      <c r="I723" s="6" t="s">
        <v>8903</v>
      </c>
      <c r="J723" s="6" t="s">
        <v>9127</v>
      </c>
      <c r="K723" s="6" t="s">
        <v>9128</v>
      </c>
      <c r="L723" s="6" t="s">
        <v>9129</v>
      </c>
      <c r="M723" s="6" t="s">
        <v>9130</v>
      </c>
      <c r="N723" s="6" t="s">
        <v>9131</v>
      </c>
      <c r="O723" s="6" t="s">
        <v>9132</v>
      </c>
      <c r="P723" s="6" t="s">
        <v>9133</v>
      </c>
      <c r="Q723" s="6" t="s">
        <v>9134</v>
      </c>
    </row>
    <row r="724" spans="1:17" ht="48">
      <c r="A724" s="7" t="s">
        <v>9135</v>
      </c>
      <c r="B724" s="6" t="s">
        <v>3150</v>
      </c>
      <c r="C724" s="6" t="s">
        <v>9136</v>
      </c>
      <c r="D724" s="6" t="s">
        <v>2553</v>
      </c>
      <c r="E724" s="6" t="s">
        <v>9137</v>
      </c>
      <c r="F724" s="6" t="s">
        <v>9138</v>
      </c>
      <c r="G724" s="6" t="s">
        <v>9139</v>
      </c>
      <c r="H724" s="6" t="s">
        <v>9140</v>
      </c>
      <c r="I724" s="6" t="s">
        <v>9141</v>
      </c>
      <c r="J724" s="6" t="s">
        <v>9142</v>
      </c>
      <c r="K724" s="6" t="s">
        <v>9143</v>
      </c>
      <c r="L724" s="6" t="s">
        <v>9144</v>
      </c>
      <c r="M724" s="6" t="s">
        <v>6873</v>
      </c>
      <c r="N724" s="6" t="s">
        <v>9145</v>
      </c>
      <c r="O724" s="6" t="s">
        <v>6841</v>
      </c>
      <c r="P724" s="6" t="s">
        <v>9146</v>
      </c>
      <c r="Q724" s="6" t="s">
        <v>2568</v>
      </c>
    </row>
    <row r="725" spans="1:17" ht="48">
      <c r="A725" s="7" t="s">
        <v>9147</v>
      </c>
      <c r="B725" s="6" t="s">
        <v>9148</v>
      </c>
      <c r="C725" s="6" t="s">
        <v>9149</v>
      </c>
      <c r="D725" s="6" t="s">
        <v>9150</v>
      </c>
      <c r="E725" s="6" t="s">
        <v>9151</v>
      </c>
      <c r="F725" s="6" t="s">
        <v>9152</v>
      </c>
      <c r="G725" s="6" t="s">
        <v>9153</v>
      </c>
      <c r="H725" s="6" t="s">
        <v>9154</v>
      </c>
      <c r="I725" s="6" t="s">
        <v>9155</v>
      </c>
      <c r="J725" s="6" t="s">
        <v>1492</v>
      </c>
      <c r="K725" s="6" t="s">
        <v>9156</v>
      </c>
      <c r="L725" s="6" t="s">
        <v>9157</v>
      </c>
      <c r="M725" s="6" t="s">
        <v>9158</v>
      </c>
      <c r="N725" s="6" t="s">
        <v>9159</v>
      </c>
      <c r="O725" s="6" t="s">
        <v>9160</v>
      </c>
      <c r="P725" s="6" t="s">
        <v>9161</v>
      </c>
      <c r="Q725" s="6" t="s">
        <v>4095</v>
      </c>
    </row>
    <row r="726" spans="1:17" ht="36">
      <c r="A726" s="7" t="s">
        <v>9162</v>
      </c>
      <c r="B726" s="6" t="s">
        <v>1985</v>
      </c>
      <c r="C726" s="6" t="s">
        <v>9163</v>
      </c>
      <c r="D726" s="6" t="s">
        <v>7567</v>
      </c>
      <c r="E726" s="6" t="s">
        <v>9164</v>
      </c>
      <c r="F726" s="6" t="s">
        <v>9165</v>
      </c>
      <c r="G726" s="6" t="s">
        <v>9166</v>
      </c>
      <c r="H726" s="6" t="s">
        <v>7726</v>
      </c>
      <c r="I726" s="6" t="s">
        <v>9167</v>
      </c>
      <c r="J726" s="6" t="s">
        <v>9168</v>
      </c>
      <c r="K726" s="6" t="s">
        <v>9169</v>
      </c>
      <c r="L726" s="6" t="s">
        <v>9170</v>
      </c>
      <c r="M726" s="6" t="s">
        <v>9171</v>
      </c>
      <c r="N726" s="6" t="s">
        <v>9172</v>
      </c>
      <c r="O726" s="6" t="s">
        <v>9173</v>
      </c>
      <c r="P726" s="6" t="s">
        <v>439</v>
      </c>
      <c r="Q726" s="6" t="s">
        <v>4661</v>
      </c>
    </row>
    <row r="727" spans="1:17" ht="48">
      <c r="A727" s="7" t="s">
        <v>9174</v>
      </c>
      <c r="B727" s="6" t="s">
        <v>9175</v>
      </c>
      <c r="C727" s="6" t="s">
        <v>9176</v>
      </c>
      <c r="D727" s="6" t="s">
        <v>9177</v>
      </c>
      <c r="E727" s="6" t="s">
        <v>9178</v>
      </c>
      <c r="F727" s="6" t="s">
        <v>9179</v>
      </c>
      <c r="G727" s="6" t="s">
        <v>9180</v>
      </c>
      <c r="H727" s="6" t="s">
        <v>9181</v>
      </c>
      <c r="I727" s="6" t="s">
        <v>9182</v>
      </c>
      <c r="J727" s="6" t="s">
        <v>3544</v>
      </c>
      <c r="K727" s="6" t="s">
        <v>9183</v>
      </c>
      <c r="L727" s="6" t="s">
        <v>9184</v>
      </c>
      <c r="M727" s="6" t="s">
        <v>9185</v>
      </c>
      <c r="N727" s="6" t="s">
        <v>9186</v>
      </c>
      <c r="O727" s="6" t="s">
        <v>9187</v>
      </c>
      <c r="P727" s="6" t="s">
        <v>9188</v>
      </c>
      <c r="Q727" s="6" t="s">
        <v>8832</v>
      </c>
    </row>
    <row r="728" spans="1:17" ht="48">
      <c r="A728" s="7" t="s">
        <v>9189</v>
      </c>
      <c r="B728" s="6" t="s">
        <v>984</v>
      </c>
      <c r="C728" s="6" t="s">
        <v>1838</v>
      </c>
      <c r="D728" s="6" t="s">
        <v>294</v>
      </c>
      <c r="E728" s="6" t="s">
        <v>9190</v>
      </c>
      <c r="F728" s="6" t="s">
        <v>7416</v>
      </c>
      <c r="G728" s="6" t="s">
        <v>2564</v>
      </c>
      <c r="H728" s="6" t="s">
        <v>6038</v>
      </c>
      <c r="I728" s="6" t="s">
        <v>7599</v>
      </c>
      <c r="J728" s="6" t="s">
        <v>971</v>
      </c>
      <c r="K728" s="6" t="s">
        <v>9191</v>
      </c>
      <c r="L728" s="6" t="s">
        <v>9191</v>
      </c>
      <c r="M728" s="6" t="s">
        <v>271</v>
      </c>
      <c r="N728" s="6" t="s">
        <v>1812</v>
      </c>
      <c r="O728" s="6" t="s">
        <v>945</v>
      </c>
      <c r="P728" s="15"/>
      <c r="Q728" s="15"/>
    </row>
    <row r="729" spans="1:17" ht="36">
      <c r="A729" s="7" t="s">
        <v>9192</v>
      </c>
      <c r="B729" s="6" t="s">
        <v>9193</v>
      </c>
      <c r="C729" s="6" t="s">
        <v>9194</v>
      </c>
      <c r="D729" s="6" t="s">
        <v>9195</v>
      </c>
      <c r="E729" s="6" t="s">
        <v>2139</v>
      </c>
      <c r="F729" s="6" t="s">
        <v>8198</v>
      </c>
      <c r="G729" s="6" t="s">
        <v>9196</v>
      </c>
      <c r="H729" s="6" t="s">
        <v>9197</v>
      </c>
      <c r="I729" s="6" t="s">
        <v>1676</v>
      </c>
      <c r="J729" s="6" t="s">
        <v>9198</v>
      </c>
      <c r="K729" s="6" t="s">
        <v>9199</v>
      </c>
      <c r="L729" s="6" t="s">
        <v>9200</v>
      </c>
      <c r="M729" s="6" t="s">
        <v>9201</v>
      </c>
      <c r="N729" s="6" t="s">
        <v>9202</v>
      </c>
      <c r="O729" s="6" t="s">
        <v>2795</v>
      </c>
      <c r="P729" s="6" t="s">
        <v>3308</v>
      </c>
      <c r="Q729" s="6" t="s">
        <v>620</v>
      </c>
    </row>
    <row r="730" spans="1:17" ht="36">
      <c r="A730" s="7" t="s">
        <v>9203</v>
      </c>
      <c r="B730" s="6" t="s">
        <v>655</v>
      </c>
      <c r="C730" s="6" t="s">
        <v>3129</v>
      </c>
      <c r="D730" s="6" t="s">
        <v>7269</v>
      </c>
      <c r="E730" s="6" t="s">
        <v>9204</v>
      </c>
      <c r="F730" s="6" t="s">
        <v>9205</v>
      </c>
      <c r="G730" s="6" t="s">
        <v>9206</v>
      </c>
      <c r="H730" s="6" t="s">
        <v>880</v>
      </c>
      <c r="I730" s="6" t="s">
        <v>2227</v>
      </c>
      <c r="J730" s="6" t="s">
        <v>1918</v>
      </c>
      <c r="K730" s="6" t="s">
        <v>5281</v>
      </c>
      <c r="L730" s="6" t="s">
        <v>5666</v>
      </c>
      <c r="M730" s="6" t="s">
        <v>2487</v>
      </c>
      <c r="N730" s="6" t="s">
        <v>9204</v>
      </c>
      <c r="O730" s="6" t="s">
        <v>1604</v>
      </c>
      <c r="P730" s="15"/>
      <c r="Q730" s="15"/>
    </row>
    <row r="731" spans="1:17" ht="48">
      <c r="A731" s="7" t="s">
        <v>9207</v>
      </c>
      <c r="B731" s="6" t="s">
        <v>9208</v>
      </c>
      <c r="C731" s="6" t="s">
        <v>9209</v>
      </c>
      <c r="D731" s="6" t="s">
        <v>9210</v>
      </c>
      <c r="E731" s="6" t="s">
        <v>9211</v>
      </c>
      <c r="F731" s="6" t="s">
        <v>4089</v>
      </c>
      <c r="G731" s="6" t="s">
        <v>3540</v>
      </c>
      <c r="H731" s="6" t="s">
        <v>967</v>
      </c>
      <c r="I731" s="6" t="s">
        <v>7589</v>
      </c>
      <c r="J731" s="6" t="s">
        <v>9212</v>
      </c>
      <c r="K731" s="6" t="s">
        <v>6879</v>
      </c>
      <c r="L731" s="6" t="s">
        <v>2730</v>
      </c>
      <c r="M731" s="6" t="s">
        <v>9213</v>
      </c>
      <c r="N731" s="6" t="s">
        <v>9214</v>
      </c>
      <c r="O731" s="6" t="s">
        <v>9215</v>
      </c>
      <c r="P731" s="15"/>
      <c r="Q731" s="6" t="s">
        <v>981</v>
      </c>
    </row>
    <row r="732" spans="1:17" ht="36">
      <c r="A732" s="7" t="s">
        <v>9216</v>
      </c>
      <c r="B732" s="6" t="s">
        <v>8424</v>
      </c>
      <c r="C732" s="6" t="s">
        <v>9217</v>
      </c>
      <c r="D732" s="6" t="s">
        <v>9218</v>
      </c>
      <c r="E732" s="6" t="s">
        <v>9219</v>
      </c>
      <c r="F732" s="6" t="s">
        <v>7770</v>
      </c>
      <c r="G732" s="6" t="s">
        <v>9220</v>
      </c>
      <c r="H732" s="6" t="s">
        <v>6234</v>
      </c>
      <c r="I732" s="6" t="s">
        <v>5805</v>
      </c>
      <c r="J732" s="6" t="s">
        <v>1812</v>
      </c>
      <c r="K732" s="6" t="s">
        <v>9221</v>
      </c>
      <c r="L732" s="6" t="s">
        <v>3647</v>
      </c>
      <c r="M732" s="6" t="s">
        <v>5943</v>
      </c>
      <c r="N732" s="6" t="s">
        <v>1094</v>
      </c>
      <c r="O732" s="6" t="s">
        <v>1621</v>
      </c>
      <c r="P732" s="6" t="s">
        <v>6038</v>
      </c>
      <c r="Q732" s="15"/>
    </row>
    <row r="733" spans="1:17" ht="60">
      <c r="A733" s="7" t="s">
        <v>9222</v>
      </c>
      <c r="B733" s="6" t="s">
        <v>7852</v>
      </c>
      <c r="C733" s="6" t="s">
        <v>9223</v>
      </c>
      <c r="D733" s="6" t="s">
        <v>4685</v>
      </c>
      <c r="E733" s="6" t="s">
        <v>9224</v>
      </c>
      <c r="F733" s="6" t="s">
        <v>2864</v>
      </c>
      <c r="G733" s="6" t="s">
        <v>9225</v>
      </c>
      <c r="H733" s="6" t="s">
        <v>3659</v>
      </c>
      <c r="I733" s="6" t="s">
        <v>9226</v>
      </c>
      <c r="J733" s="6" t="s">
        <v>570</v>
      </c>
      <c r="K733" s="6" t="s">
        <v>4519</v>
      </c>
      <c r="L733" s="6" t="s">
        <v>9227</v>
      </c>
      <c r="M733" s="6" t="s">
        <v>9228</v>
      </c>
      <c r="N733" s="6" t="s">
        <v>2898</v>
      </c>
      <c r="O733" s="6" t="s">
        <v>9229</v>
      </c>
      <c r="P733" s="6" t="s">
        <v>9230</v>
      </c>
      <c r="Q733" s="15"/>
    </row>
    <row r="734" spans="1:17" ht="36">
      <c r="A734" s="7" t="s">
        <v>9231</v>
      </c>
      <c r="B734" s="6" t="s">
        <v>9232</v>
      </c>
      <c r="C734" s="6" t="s">
        <v>9233</v>
      </c>
      <c r="D734" s="6" t="s">
        <v>9234</v>
      </c>
      <c r="E734" s="6" t="s">
        <v>9235</v>
      </c>
      <c r="F734" s="6" t="s">
        <v>9236</v>
      </c>
      <c r="G734" s="6" t="s">
        <v>9237</v>
      </c>
      <c r="H734" s="6" t="s">
        <v>9238</v>
      </c>
      <c r="I734" s="6" t="s">
        <v>9239</v>
      </c>
      <c r="J734" s="6" t="s">
        <v>9240</v>
      </c>
      <c r="K734" s="6" t="s">
        <v>9241</v>
      </c>
      <c r="L734" s="6" t="s">
        <v>9242</v>
      </c>
      <c r="M734" s="6" t="s">
        <v>9243</v>
      </c>
      <c r="N734" s="6" t="s">
        <v>9244</v>
      </c>
      <c r="O734" s="6" t="s">
        <v>9245</v>
      </c>
      <c r="P734" s="6" t="s">
        <v>9246</v>
      </c>
      <c r="Q734" s="6" t="s">
        <v>9247</v>
      </c>
    </row>
    <row r="735" spans="1:17" ht="60">
      <c r="A735" s="7" t="s">
        <v>9248</v>
      </c>
      <c r="B735" s="6" t="s">
        <v>9249</v>
      </c>
      <c r="C735" s="6" t="s">
        <v>9250</v>
      </c>
      <c r="D735" s="6" t="s">
        <v>9251</v>
      </c>
      <c r="E735" s="6" t="s">
        <v>9252</v>
      </c>
      <c r="F735" s="6" t="s">
        <v>9253</v>
      </c>
      <c r="G735" s="6" t="s">
        <v>9254</v>
      </c>
      <c r="H735" s="6" t="s">
        <v>7818</v>
      </c>
      <c r="I735" s="6" t="s">
        <v>9255</v>
      </c>
      <c r="J735" s="6" t="s">
        <v>9256</v>
      </c>
      <c r="K735" s="6" t="s">
        <v>9257</v>
      </c>
      <c r="L735" s="6" t="s">
        <v>9258</v>
      </c>
      <c r="M735" s="6" t="s">
        <v>9259</v>
      </c>
      <c r="N735" s="6" t="s">
        <v>9260</v>
      </c>
      <c r="O735" s="6" t="s">
        <v>9261</v>
      </c>
      <c r="P735" s="6" t="s">
        <v>549</v>
      </c>
      <c r="Q735" s="6" t="s">
        <v>1293</v>
      </c>
    </row>
    <row r="736" spans="1:17" ht="48">
      <c r="A736" s="7" t="s">
        <v>9262</v>
      </c>
      <c r="B736" s="6" t="s">
        <v>9263</v>
      </c>
      <c r="C736" s="6" t="s">
        <v>9264</v>
      </c>
      <c r="D736" s="6" t="s">
        <v>453</v>
      </c>
      <c r="E736" s="6" t="s">
        <v>9265</v>
      </c>
      <c r="F736" s="6" t="s">
        <v>1835</v>
      </c>
      <c r="G736" s="6" t="s">
        <v>2237</v>
      </c>
      <c r="H736" s="6" t="s">
        <v>9266</v>
      </c>
      <c r="I736" s="6" t="s">
        <v>9267</v>
      </c>
      <c r="J736" s="6" t="s">
        <v>6685</v>
      </c>
      <c r="K736" s="6" t="s">
        <v>6249</v>
      </c>
      <c r="L736" s="6" t="s">
        <v>9268</v>
      </c>
      <c r="M736" s="6" t="s">
        <v>4390</v>
      </c>
      <c r="N736" s="6" t="s">
        <v>9269</v>
      </c>
      <c r="O736" s="6" t="s">
        <v>9270</v>
      </c>
      <c r="P736" s="15"/>
      <c r="Q736" s="15"/>
    </row>
    <row r="737" spans="1:17" ht="72">
      <c r="A737" s="7" t="s">
        <v>9271</v>
      </c>
      <c r="B737" s="6" t="s">
        <v>5792</v>
      </c>
      <c r="C737" s="6" t="s">
        <v>9272</v>
      </c>
      <c r="D737" s="6" t="s">
        <v>5641</v>
      </c>
      <c r="E737" s="6" t="s">
        <v>9273</v>
      </c>
      <c r="F737" s="6" t="s">
        <v>876</v>
      </c>
      <c r="G737" s="6" t="s">
        <v>9274</v>
      </c>
      <c r="H737" s="6" t="s">
        <v>9275</v>
      </c>
      <c r="I737" s="6" t="s">
        <v>9276</v>
      </c>
      <c r="J737" s="6" t="s">
        <v>9277</v>
      </c>
      <c r="K737" s="6" t="s">
        <v>8470</v>
      </c>
      <c r="L737" s="6" t="s">
        <v>9278</v>
      </c>
      <c r="M737" s="6" t="s">
        <v>4077</v>
      </c>
      <c r="N737" s="6" t="s">
        <v>9279</v>
      </c>
      <c r="O737" s="6" t="s">
        <v>9280</v>
      </c>
      <c r="P737" s="15"/>
      <c r="Q737" s="6" t="s">
        <v>981</v>
      </c>
    </row>
    <row r="738" spans="1:17" ht="60">
      <c r="A738" s="7" t="s">
        <v>9281</v>
      </c>
      <c r="B738" s="6" t="s">
        <v>9282</v>
      </c>
      <c r="C738" s="6" t="s">
        <v>9283</v>
      </c>
      <c r="D738" s="6" t="s">
        <v>9284</v>
      </c>
      <c r="E738" s="6" t="s">
        <v>9285</v>
      </c>
      <c r="F738" s="6" t="s">
        <v>9286</v>
      </c>
      <c r="G738" s="6" t="s">
        <v>9287</v>
      </c>
      <c r="H738" s="6" t="s">
        <v>9288</v>
      </c>
      <c r="I738" s="6" t="s">
        <v>7251</v>
      </c>
      <c r="J738" s="6" t="s">
        <v>9289</v>
      </c>
      <c r="K738" s="6" t="s">
        <v>5982</v>
      </c>
      <c r="L738" s="6" t="s">
        <v>9290</v>
      </c>
      <c r="M738" s="6" t="s">
        <v>9291</v>
      </c>
      <c r="N738" s="6" t="s">
        <v>9292</v>
      </c>
      <c r="O738" s="6" t="s">
        <v>9293</v>
      </c>
      <c r="P738" s="6" t="s">
        <v>3265</v>
      </c>
      <c r="Q738" s="6" t="s">
        <v>9294</v>
      </c>
    </row>
    <row r="739" spans="1:17" ht="60">
      <c r="A739" s="7" t="s">
        <v>9295</v>
      </c>
      <c r="B739" s="6" t="s">
        <v>8974</v>
      </c>
      <c r="C739" s="6" t="s">
        <v>9296</v>
      </c>
      <c r="D739" s="6" t="s">
        <v>9297</v>
      </c>
      <c r="E739" s="6" t="s">
        <v>9298</v>
      </c>
      <c r="F739" s="6" t="s">
        <v>8439</v>
      </c>
      <c r="G739" s="6" t="s">
        <v>9299</v>
      </c>
      <c r="H739" s="6" t="s">
        <v>9300</v>
      </c>
      <c r="I739" s="6" t="s">
        <v>9301</v>
      </c>
      <c r="J739" s="6" t="s">
        <v>9302</v>
      </c>
      <c r="K739" s="6" t="s">
        <v>9303</v>
      </c>
      <c r="L739" s="6" t="s">
        <v>9304</v>
      </c>
      <c r="M739" s="6" t="s">
        <v>9305</v>
      </c>
      <c r="N739" s="6" t="s">
        <v>9306</v>
      </c>
      <c r="O739" s="6" t="s">
        <v>9307</v>
      </c>
      <c r="P739" s="6" t="s">
        <v>1827</v>
      </c>
      <c r="Q739" s="6" t="s">
        <v>999</v>
      </c>
    </row>
    <row r="740" spans="1:17" ht="36">
      <c r="A740" s="7" t="s">
        <v>9308</v>
      </c>
      <c r="B740" s="6" t="s">
        <v>2261</v>
      </c>
      <c r="C740" s="6" t="s">
        <v>9309</v>
      </c>
      <c r="D740" s="6" t="s">
        <v>9310</v>
      </c>
      <c r="E740" s="6" t="s">
        <v>9311</v>
      </c>
      <c r="F740" s="6" t="s">
        <v>3795</v>
      </c>
      <c r="G740" s="6" t="s">
        <v>9312</v>
      </c>
      <c r="H740" s="6" t="s">
        <v>8899</v>
      </c>
      <c r="I740" s="6" t="s">
        <v>9313</v>
      </c>
      <c r="J740" s="6" t="s">
        <v>9314</v>
      </c>
      <c r="K740" s="6" t="s">
        <v>9315</v>
      </c>
      <c r="L740" s="6" t="s">
        <v>9316</v>
      </c>
      <c r="M740" s="6" t="s">
        <v>9297</v>
      </c>
      <c r="N740" s="6" t="s">
        <v>9317</v>
      </c>
      <c r="O740" s="6" t="s">
        <v>9318</v>
      </c>
      <c r="P740" s="6" t="s">
        <v>981</v>
      </c>
      <c r="Q740" s="6" t="s">
        <v>2680</v>
      </c>
    </row>
    <row r="741" spans="1:17" ht="24">
      <c r="A741" s="7" t="s">
        <v>9319</v>
      </c>
      <c r="B741" s="6" t="s">
        <v>9320</v>
      </c>
      <c r="C741" s="6" t="s">
        <v>9321</v>
      </c>
      <c r="D741" s="6" t="s">
        <v>9322</v>
      </c>
      <c r="E741" s="6" t="s">
        <v>9323</v>
      </c>
      <c r="F741" s="6" t="s">
        <v>9324</v>
      </c>
      <c r="G741" s="6" t="s">
        <v>9325</v>
      </c>
      <c r="H741" s="6" t="s">
        <v>9326</v>
      </c>
      <c r="I741" s="6" t="s">
        <v>9327</v>
      </c>
      <c r="J741" s="6" t="s">
        <v>6715</v>
      </c>
      <c r="K741" s="6" t="s">
        <v>9328</v>
      </c>
      <c r="L741" s="6" t="s">
        <v>9329</v>
      </c>
      <c r="M741" s="6" t="s">
        <v>9330</v>
      </c>
      <c r="N741" s="6" t="s">
        <v>9331</v>
      </c>
      <c r="O741" s="6" t="s">
        <v>9332</v>
      </c>
      <c r="P741" s="6" t="s">
        <v>9333</v>
      </c>
      <c r="Q741" s="6" t="s">
        <v>571</v>
      </c>
    </row>
    <row r="742" spans="1:17" ht="48">
      <c r="A742" s="7" t="s">
        <v>9334</v>
      </c>
      <c r="B742" s="6" t="s">
        <v>9335</v>
      </c>
      <c r="C742" s="6" t="s">
        <v>9336</v>
      </c>
      <c r="D742" s="6" t="s">
        <v>9337</v>
      </c>
      <c r="E742" s="6" t="s">
        <v>9338</v>
      </c>
      <c r="F742" s="6" t="s">
        <v>5256</v>
      </c>
      <c r="G742" s="6" t="s">
        <v>9339</v>
      </c>
      <c r="H742" s="6" t="s">
        <v>9340</v>
      </c>
      <c r="I742" s="6" t="s">
        <v>9341</v>
      </c>
      <c r="J742" s="6" t="s">
        <v>9342</v>
      </c>
      <c r="K742" s="6" t="s">
        <v>9343</v>
      </c>
      <c r="L742" s="6" t="s">
        <v>9344</v>
      </c>
      <c r="M742" s="6" t="s">
        <v>9345</v>
      </c>
      <c r="N742" s="6" t="s">
        <v>9346</v>
      </c>
      <c r="O742" s="6" t="s">
        <v>9347</v>
      </c>
      <c r="P742" s="6" t="s">
        <v>9051</v>
      </c>
      <c r="Q742" s="6" t="s">
        <v>1368</v>
      </c>
    </row>
    <row r="743" spans="1:17" ht="72">
      <c r="A743" s="7" t="s">
        <v>9348</v>
      </c>
      <c r="B743" s="6" t="s">
        <v>9349</v>
      </c>
      <c r="C743" s="6" t="s">
        <v>9350</v>
      </c>
      <c r="D743" s="6" t="s">
        <v>9351</v>
      </c>
      <c r="E743" s="6" t="s">
        <v>9352</v>
      </c>
      <c r="F743" s="6" t="s">
        <v>1340</v>
      </c>
      <c r="G743" s="6" t="s">
        <v>9353</v>
      </c>
      <c r="H743" s="6" t="s">
        <v>9354</v>
      </c>
      <c r="I743" s="6" t="s">
        <v>9355</v>
      </c>
      <c r="J743" s="6" t="s">
        <v>9356</v>
      </c>
      <c r="K743" s="6" t="s">
        <v>9357</v>
      </c>
      <c r="L743" s="6" t="s">
        <v>9358</v>
      </c>
      <c r="M743" s="6" t="s">
        <v>9359</v>
      </c>
      <c r="N743" s="6" t="s">
        <v>9360</v>
      </c>
      <c r="O743" s="6" t="s">
        <v>9361</v>
      </c>
      <c r="P743" s="6" t="s">
        <v>9362</v>
      </c>
      <c r="Q743" s="6" t="s">
        <v>9363</v>
      </c>
    </row>
    <row r="744" spans="1:17" ht="48">
      <c r="A744" s="7" t="s">
        <v>9364</v>
      </c>
      <c r="B744" s="6" t="s">
        <v>9365</v>
      </c>
      <c r="C744" s="6" t="s">
        <v>9366</v>
      </c>
      <c r="D744" s="6" t="s">
        <v>9367</v>
      </c>
      <c r="E744" s="6" t="s">
        <v>9368</v>
      </c>
      <c r="F744" s="6" t="s">
        <v>9369</v>
      </c>
      <c r="G744" s="6" t="s">
        <v>9370</v>
      </c>
      <c r="H744" s="6" t="s">
        <v>9371</v>
      </c>
      <c r="I744" s="6" t="s">
        <v>9372</v>
      </c>
      <c r="J744" s="6" t="s">
        <v>9373</v>
      </c>
      <c r="K744" s="6" t="s">
        <v>9374</v>
      </c>
      <c r="L744" s="6" t="s">
        <v>9375</v>
      </c>
      <c r="M744" s="6" t="s">
        <v>9376</v>
      </c>
      <c r="N744" s="6" t="s">
        <v>9377</v>
      </c>
      <c r="O744" s="6" t="s">
        <v>9378</v>
      </c>
      <c r="P744" s="6" t="s">
        <v>9379</v>
      </c>
      <c r="Q744" s="6" t="s">
        <v>2145</v>
      </c>
    </row>
    <row r="745" spans="1:17" ht="48">
      <c r="A745" s="7" t="s">
        <v>9380</v>
      </c>
      <c r="B745" s="6" t="s">
        <v>1362</v>
      </c>
      <c r="C745" s="6" t="s">
        <v>8437</v>
      </c>
      <c r="D745" s="6" t="s">
        <v>7763</v>
      </c>
      <c r="E745" s="6" t="s">
        <v>9381</v>
      </c>
      <c r="F745" s="6" t="s">
        <v>4022</v>
      </c>
      <c r="G745" s="6" t="s">
        <v>9382</v>
      </c>
      <c r="H745" s="6" t="s">
        <v>874</v>
      </c>
      <c r="I745" s="6" t="s">
        <v>4947</v>
      </c>
      <c r="J745" s="6" t="s">
        <v>9383</v>
      </c>
      <c r="K745" s="6" t="s">
        <v>9384</v>
      </c>
      <c r="L745" s="6" t="s">
        <v>8439</v>
      </c>
      <c r="M745" s="6" t="s">
        <v>9385</v>
      </c>
      <c r="N745" s="6" t="s">
        <v>9386</v>
      </c>
      <c r="O745" s="6" t="s">
        <v>9387</v>
      </c>
      <c r="P745" s="6" t="s">
        <v>9388</v>
      </c>
      <c r="Q745" s="6" t="s">
        <v>2572</v>
      </c>
    </row>
    <row r="746" spans="1:17" ht="48">
      <c r="A746" s="8" t="s">
        <v>9389</v>
      </c>
      <c r="B746" s="9" t="s">
        <v>441</v>
      </c>
      <c r="C746" s="9" t="s">
        <v>9390</v>
      </c>
      <c r="D746" s="9" t="s">
        <v>3577</v>
      </c>
      <c r="E746" s="9" t="s">
        <v>637</v>
      </c>
      <c r="F746" s="9" t="s">
        <v>4018</v>
      </c>
      <c r="G746" s="9" t="s">
        <v>9391</v>
      </c>
      <c r="H746" s="9" t="s">
        <v>4234</v>
      </c>
      <c r="I746" s="9" t="s">
        <v>443</v>
      </c>
      <c r="J746" s="9" t="s">
        <v>8422</v>
      </c>
      <c r="K746" s="9" t="s">
        <v>3381</v>
      </c>
      <c r="L746" s="9" t="s">
        <v>9392</v>
      </c>
      <c r="M746" s="9" t="s">
        <v>9393</v>
      </c>
      <c r="N746" s="9" t="s">
        <v>382</v>
      </c>
      <c r="O746" s="9" t="s">
        <v>7447</v>
      </c>
      <c r="P746" s="9" t="s">
        <v>9394</v>
      </c>
      <c r="Q746" s="23"/>
    </row>
    <row r="747" spans="1:17" ht="15.6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</row>
    <row r="748" spans="1:17" ht="15.6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 spans="1:17">
      <c r="A749" s="16" t="s">
        <v>9395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1:17">
      <c r="A750" s="17" t="s">
        <v>159</v>
      </c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 spans="1:17">
      <c r="A751" s="130" t="s">
        <v>160</v>
      </c>
      <c r="B751" s="134" t="s">
        <v>161</v>
      </c>
      <c r="C751" s="136" t="s">
        <v>162</v>
      </c>
      <c r="D751" s="125"/>
      <c r="E751" s="125"/>
      <c r="F751" s="125"/>
      <c r="G751" s="125"/>
      <c r="H751" s="125"/>
      <c r="I751" s="125"/>
      <c r="J751" s="126"/>
      <c r="K751" s="136" t="s">
        <v>163</v>
      </c>
      <c r="L751" s="125"/>
      <c r="M751" s="126"/>
      <c r="N751" s="136" t="s">
        <v>164</v>
      </c>
      <c r="O751" s="125"/>
      <c r="P751" s="125"/>
      <c r="Q751" s="125"/>
    </row>
    <row r="752" spans="1:17">
      <c r="A752" s="128"/>
      <c r="B752" s="132"/>
      <c r="C752" s="132"/>
      <c r="D752" s="134" t="s">
        <v>165</v>
      </c>
      <c r="E752" s="134" t="s">
        <v>166</v>
      </c>
      <c r="F752" s="134" t="s">
        <v>167</v>
      </c>
      <c r="G752" s="136" t="s">
        <v>168</v>
      </c>
      <c r="H752" s="125"/>
      <c r="I752" s="125"/>
      <c r="J752" s="126"/>
      <c r="K752" s="132"/>
      <c r="L752" s="136" t="s">
        <v>169</v>
      </c>
      <c r="M752" s="13"/>
      <c r="N752" s="132"/>
      <c r="O752" s="136" t="s">
        <v>170</v>
      </c>
      <c r="P752" s="125"/>
      <c r="Q752" s="125"/>
    </row>
    <row r="753" spans="1:17">
      <c r="A753" s="128"/>
      <c r="B753" s="132"/>
      <c r="C753" s="132"/>
      <c r="D753" s="132"/>
      <c r="E753" s="132"/>
      <c r="F753" s="132"/>
      <c r="G753" s="132"/>
      <c r="H753" s="134" t="s">
        <v>171</v>
      </c>
      <c r="I753" s="136" t="s">
        <v>172</v>
      </c>
      <c r="J753" s="13"/>
      <c r="K753" s="132"/>
      <c r="L753" s="132"/>
      <c r="M753" s="134" t="s">
        <v>173</v>
      </c>
      <c r="N753" s="132"/>
      <c r="O753" s="132"/>
      <c r="P753" s="134" t="s">
        <v>174</v>
      </c>
      <c r="Q753" s="136" t="s">
        <v>175</v>
      </c>
    </row>
    <row r="754" spans="1:17">
      <c r="A754" s="129"/>
      <c r="B754" s="133"/>
      <c r="C754" s="133"/>
      <c r="D754" s="133"/>
      <c r="E754" s="133"/>
      <c r="F754" s="133"/>
      <c r="G754" s="133"/>
      <c r="H754" s="133"/>
      <c r="I754" s="133"/>
      <c r="J754" s="22" t="s">
        <v>176</v>
      </c>
      <c r="K754" s="133"/>
      <c r="L754" s="133"/>
      <c r="M754" s="133"/>
      <c r="N754" s="133"/>
      <c r="O754" s="133"/>
      <c r="P754" s="133"/>
      <c r="Q754" s="137"/>
    </row>
    <row r="755" spans="1:17" ht="60">
      <c r="A755" s="18" t="s">
        <v>9396</v>
      </c>
      <c r="B755" s="19" t="s">
        <v>296</v>
      </c>
      <c r="C755" s="19" t="s">
        <v>9397</v>
      </c>
      <c r="D755" s="19" t="s">
        <v>9398</v>
      </c>
      <c r="E755" s="19" t="s">
        <v>9399</v>
      </c>
      <c r="F755" s="19" t="s">
        <v>9400</v>
      </c>
      <c r="G755" s="19" t="s">
        <v>9401</v>
      </c>
      <c r="H755" s="19" t="s">
        <v>9402</v>
      </c>
      <c r="I755" s="19" t="s">
        <v>9270</v>
      </c>
      <c r="J755" s="19" t="s">
        <v>6518</v>
      </c>
      <c r="K755" s="19" t="s">
        <v>8319</v>
      </c>
      <c r="L755" s="19" t="s">
        <v>9403</v>
      </c>
      <c r="M755" s="19" t="s">
        <v>9404</v>
      </c>
      <c r="N755" s="19" t="s">
        <v>9405</v>
      </c>
      <c r="O755" s="19" t="s">
        <v>9406</v>
      </c>
      <c r="P755" s="19" t="s">
        <v>9407</v>
      </c>
      <c r="Q755" s="15"/>
    </row>
    <row r="756" spans="1:17" ht="60">
      <c r="A756" s="18" t="s">
        <v>9408</v>
      </c>
      <c r="B756" s="19" t="s">
        <v>9409</v>
      </c>
      <c r="C756" s="19" t="s">
        <v>9410</v>
      </c>
      <c r="D756" s="19" t="s">
        <v>9411</v>
      </c>
      <c r="E756" s="19" t="s">
        <v>9412</v>
      </c>
      <c r="F756" s="19" t="s">
        <v>9413</v>
      </c>
      <c r="G756" s="19" t="s">
        <v>9414</v>
      </c>
      <c r="H756" s="19" t="s">
        <v>9415</v>
      </c>
      <c r="I756" s="19" t="s">
        <v>2538</v>
      </c>
      <c r="J756" s="19" t="s">
        <v>8996</v>
      </c>
      <c r="K756" s="19" t="s">
        <v>9416</v>
      </c>
      <c r="L756" s="19" t="s">
        <v>9417</v>
      </c>
      <c r="M756" s="19" t="s">
        <v>9418</v>
      </c>
      <c r="N756" s="19" t="s">
        <v>9419</v>
      </c>
      <c r="O756" s="19" t="s">
        <v>9420</v>
      </c>
      <c r="P756" s="19" t="s">
        <v>7599</v>
      </c>
      <c r="Q756" s="19" t="s">
        <v>3645</v>
      </c>
    </row>
    <row r="757" spans="1:17" ht="60">
      <c r="A757" s="18" t="s">
        <v>9421</v>
      </c>
      <c r="B757" s="19" t="s">
        <v>9422</v>
      </c>
      <c r="C757" s="19" t="s">
        <v>9423</v>
      </c>
      <c r="D757" s="19" t="s">
        <v>9424</v>
      </c>
      <c r="E757" s="19" t="s">
        <v>9425</v>
      </c>
      <c r="F757" s="19" t="s">
        <v>8609</v>
      </c>
      <c r="G757" s="19" t="s">
        <v>9426</v>
      </c>
      <c r="H757" s="19" t="s">
        <v>9427</v>
      </c>
      <c r="I757" s="19" t="s">
        <v>9428</v>
      </c>
      <c r="J757" s="19" t="s">
        <v>9429</v>
      </c>
      <c r="K757" s="19" t="s">
        <v>9430</v>
      </c>
      <c r="L757" s="19" t="s">
        <v>9431</v>
      </c>
      <c r="M757" s="19" t="s">
        <v>1223</v>
      </c>
      <c r="N757" s="19" t="s">
        <v>9432</v>
      </c>
      <c r="O757" s="19" t="s">
        <v>9433</v>
      </c>
      <c r="P757" s="19" t="s">
        <v>9434</v>
      </c>
      <c r="Q757" s="19" t="s">
        <v>1684</v>
      </c>
    </row>
    <row r="758" spans="1:17" ht="48">
      <c r="A758" s="18" t="s">
        <v>9435</v>
      </c>
      <c r="B758" s="19" t="s">
        <v>4795</v>
      </c>
      <c r="C758" s="19" t="s">
        <v>9436</v>
      </c>
      <c r="D758" s="19" t="s">
        <v>9437</v>
      </c>
      <c r="E758" s="19" t="s">
        <v>9438</v>
      </c>
      <c r="F758" s="19" t="s">
        <v>6092</v>
      </c>
      <c r="G758" s="19" t="s">
        <v>9439</v>
      </c>
      <c r="H758" s="19" t="s">
        <v>9440</v>
      </c>
      <c r="I758" s="19" t="s">
        <v>9441</v>
      </c>
      <c r="J758" s="19" t="s">
        <v>7094</v>
      </c>
      <c r="K758" s="19" t="s">
        <v>9442</v>
      </c>
      <c r="L758" s="19" t="s">
        <v>9443</v>
      </c>
      <c r="M758" s="19" t="s">
        <v>9444</v>
      </c>
      <c r="N758" s="19" t="s">
        <v>9445</v>
      </c>
      <c r="O758" s="19" t="s">
        <v>4730</v>
      </c>
      <c r="P758" s="19" t="s">
        <v>1097</v>
      </c>
      <c r="Q758" s="19" t="s">
        <v>2802</v>
      </c>
    </row>
    <row r="759" spans="1:17" ht="36">
      <c r="A759" s="18" t="s">
        <v>9446</v>
      </c>
      <c r="B759" s="19" t="s">
        <v>9447</v>
      </c>
      <c r="C759" s="19" t="s">
        <v>9448</v>
      </c>
      <c r="D759" s="19" t="s">
        <v>9449</v>
      </c>
      <c r="E759" s="19" t="s">
        <v>9450</v>
      </c>
      <c r="F759" s="19" t="s">
        <v>9451</v>
      </c>
      <c r="G759" s="19" t="s">
        <v>9452</v>
      </c>
      <c r="H759" s="19" t="s">
        <v>9453</v>
      </c>
      <c r="I759" s="19" t="s">
        <v>9454</v>
      </c>
      <c r="J759" s="19" t="s">
        <v>9455</v>
      </c>
      <c r="K759" s="19" t="s">
        <v>9456</v>
      </c>
      <c r="L759" s="19" t="s">
        <v>9457</v>
      </c>
      <c r="M759" s="19" t="s">
        <v>9458</v>
      </c>
      <c r="N759" s="19" t="s">
        <v>9459</v>
      </c>
      <c r="O759" s="19" t="s">
        <v>9460</v>
      </c>
      <c r="P759" s="19" t="s">
        <v>9461</v>
      </c>
      <c r="Q759" s="19" t="s">
        <v>9462</v>
      </c>
    </row>
    <row r="760" spans="1:17" ht="24">
      <c r="A760" s="18" t="s">
        <v>51</v>
      </c>
      <c r="B760" s="19" t="s">
        <v>9463</v>
      </c>
      <c r="C760" s="19" t="s">
        <v>9464</v>
      </c>
      <c r="D760" s="19" t="s">
        <v>9465</v>
      </c>
      <c r="E760" s="19" t="s">
        <v>9466</v>
      </c>
      <c r="F760" s="19" t="s">
        <v>9467</v>
      </c>
      <c r="G760" s="19" t="s">
        <v>9468</v>
      </c>
      <c r="H760" s="19" t="s">
        <v>9469</v>
      </c>
      <c r="I760" s="19" t="s">
        <v>9470</v>
      </c>
      <c r="J760" s="19" t="s">
        <v>9471</v>
      </c>
      <c r="K760" s="19" t="s">
        <v>9472</v>
      </c>
      <c r="L760" s="19" t="s">
        <v>9473</v>
      </c>
      <c r="M760" s="19" t="s">
        <v>9474</v>
      </c>
      <c r="N760" s="19" t="s">
        <v>9475</v>
      </c>
      <c r="O760" s="19" t="s">
        <v>9476</v>
      </c>
      <c r="P760" s="19" t="s">
        <v>9477</v>
      </c>
      <c r="Q760" s="19" t="s">
        <v>9478</v>
      </c>
    </row>
    <row r="761" spans="1:17" ht="36">
      <c r="A761" s="18" t="s">
        <v>9479</v>
      </c>
      <c r="B761" s="19" t="s">
        <v>9480</v>
      </c>
      <c r="C761" s="19" t="s">
        <v>9481</v>
      </c>
      <c r="D761" s="19" t="s">
        <v>9482</v>
      </c>
      <c r="E761" s="19" t="s">
        <v>9483</v>
      </c>
      <c r="F761" s="19" t="s">
        <v>9484</v>
      </c>
      <c r="G761" s="19" t="s">
        <v>9485</v>
      </c>
      <c r="H761" s="19" t="s">
        <v>9486</v>
      </c>
      <c r="I761" s="19" t="s">
        <v>9487</v>
      </c>
      <c r="J761" s="19" t="s">
        <v>9488</v>
      </c>
      <c r="K761" s="19" t="s">
        <v>9489</v>
      </c>
      <c r="L761" s="19" t="s">
        <v>9490</v>
      </c>
      <c r="M761" s="19" t="s">
        <v>9491</v>
      </c>
      <c r="N761" s="19" t="s">
        <v>9492</v>
      </c>
      <c r="O761" s="19" t="s">
        <v>9493</v>
      </c>
      <c r="P761" s="19" t="s">
        <v>9494</v>
      </c>
      <c r="Q761" s="19" t="s">
        <v>9495</v>
      </c>
    </row>
    <row r="762" spans="1:17" ht="36">
      <c r="A762" s="18" t="s">
        <v>9496</v>
      </c>
      <c r="B762" s="19" t="s">
        <v>2591</v>
      </c>
      <c r="C762" s="19" t="s">
        <v>9497</v>
      </c>
      <c r="D762" s="19" t="s">
        <v>9498</v>
      </c>
      <c r="E762" s="19" t="s">
        <v>9499</v>
      </c>
      <c r="F762" s="19" t="s">
        <v>9500</v>
      </c>
      <c r="G762" s="19" t="s">
        <v>9501</v>
      </c>
      <c r="H762" s="19" t="s">
        <v>9502</v>
      </c>
      <c r="I762" s="19" t="s">
        <v>9503</v>
      </c>
      <c r="J762" s="19" t="s">
        <v>9504</v>
      </c>
      <c r="K762" s="19" t="s">
        <v>9505</v>
      </c>
      <c r="L762" s="19" t="s">
        <v>9506</v>
      </c>
      <c r="M762" s="19" t="s">
        <v>9507</v>
      </c>
      <c r="N762" s="19" t="s">
        <v>9508</v>
      </c>
      <c r="O762" s="19" t="s">
        <v>9509</v>
      </c>
      <c r="P762" s="19" t="s">
        <v>9510</v>
      </c>
      <c r="Q762" s="19" t="s">
        <v>9511</v>
      </c>
    </row>
    <row r="763" spans="1:17" ht="36">
      <c r="A763" s="18" t="s">
        <v>9512</v>
      </c>
      <c r="B763" s="19" t="s">
        <v>5164</v>
      </c>
      <c r="C763" s="19" t="s">
        <v>9513</v>
      </c>
      <c r="D763" s="19" t="s">
        <v>9514</v>
      </c>
      <c r="E763" s="19" t="s">
        <v>9515</v>
      </c>
      <c r="F763" s="19" t="s">
        <v>9516</v>
      </c>
      <c r="G763" s="19" t="s">
        <v>9517</v>
      </c>
      <c r="H763" s="19" t="s">
        <v>9518</v>
      </c>
      <c r="I763" s="19" t="s">
        <v>9519</v>
      </c>
      <c r="J763" s="19" t="s">
        <v>9520</v>
      </c>
      <c r="K763" s="19" t="s">
        <v>9521</v>
      </c>
      <c r="L763" s="19" t="s">
        <v>9522</v>
      </c>
      <c r="M763" s="19" t="s">
        <v>9523</v>
      </c>
      <c r="N763" s="19" t="s">
        <v>9524</v>
      </c>
      <c r="O763" s="19" t="s">
        <v>9525</v>
      </c>
      <c r="P763" s="19" t="s">
        <v>9526</v>
      </c>
      <c r="Q763" s="19" t="s">
        <v>9527</v>
      </c>
    </row>
    <row r="764" spans="1:17" ht="36">
      <c r="A764" s="18" t="s">
        <v>9528</v>
      </c>
      <c r="B764" s="19" t="s">
        <v>9529</v>
      </c>
      <c r="C764" s="19" t="s">
        <v>9530</v>
      </c>
      <c r="D764" s="19" t="s">
        <v>9531</v>
      </c>
      <c r="E764" s="19" t="s">
        <v>9532</v>
      </c>
      <c r="F764" s="19" t="s">
        <v>9533</v>
      </c>
      <c r="G764" s="19" t="s">
        <v>9534</v>
      </c>
      <c r="H764" s="19" t="s">
        <v>9535</v>
      </c>
      <c r="I764" s="19" t="s">
        <v>9536</v>
      </c>
      <c r="J764" s="19" t="s">
        <v>9537</v>
      </c>
      <c r="K764" s="19" t="s">
        <v>9538</v>
      </c>
      <c r="L764" s="19" t="s">
        <v>9539</v>
      </c>
      <c r="M764" s="19" t="s">
        <v>9540</v>
      </c>
      <c r="N764" s="19" t="s">
        <v>9541</v>
      </c>
      <c r="O764" s="19" t="s">
        <v>9542</v>
      </c>
      <c r="P764" s="19" t="s">
        <v>9543</v>
      </c>
      <c r="Q764" s="19" t="s">
        <v>9544</v>
      </c>
    </row>
    <row r="765" spans="1:17" ht="36">
      <c r="A765" s="18" t="s">
        <v>9545</v>
      </c>
      <c r="B765" s="19" t="s">
        <v>4632</v>
      </c>
      <c r="C765" s="19" t="s">
        <v>9546</v>
      </c>
      <c r="D765" s="19" t="s">
        <v>9547</v>
      </c>
      <c r="E765" s="19" t="s">
        <v>9548</v>
      </c>
      <c r="F765" s="19" t="s">
        <v>9549</v>
      </c>
      <c r="G765" s="19" t="s">
        <v>9550</v>
      </c>
      <c r="H765" s="19" t="s">
        <v>9551</v>
      </c>
      <c r="I765" s="19" t="s">
        <v>9552</v>
      </c>
      <c r="J765" s="19" t="s">
        <v>9553</v>
      </c>
      <c r="K765" s="19" t="s">
        <v>9554</v>
      </c>
      <c r="L765" s="19" t="s">
        <v>9555</v>
      </c>
      <c r="M765" s="19" t="s">
        <v>9556</v>
      </c>
      <c r="N765" s="19" t="s">
        <v>9557</v>
      </c>
      <c r="O765" s="19" t="s">
        <v>9558</v>
      </c>
      <c r="P765" s="19" t="s">
        <v>9559</v>
      </c>
      <c r="Q765" s="19" t="s">
        <v>9560</v>
      </c>
    </row>
    <row r="766" spans="1:17" ht="36">
      <c r="A766" s="18" t="s">
        <v>9561</v>
      </c>
      <c r="B766" s="19" t="s">
        <v>8424</v>
      </c>
      <c r="C766" s="19" t="s">
        <v>9562</v>
      </c>
      <c r="D766" s="19" t="s">
        <v>9563</v>
      </c>
      <c r="E766" s="19" t="s">
        <v>9564</v>
      </c>
      <c r="F766" s="19" t="s">
        <v>1819</v>
      </c>
      <c r="G766" s="19" t="s">
        <v>9565</v>
      </c>
      <c r="H766" s="19" t="s">
        <v>899</v>
      </c>
      <c r="I766" s="19" t="s">
        <v>9566</v>
      </c>
      <c r="J766" s="19" t="s">
        <v>2470</v>
      </c>
      <c r="K766" s="19" t="s">
        <v>9567</v>
      </c>
      <c r="L766" s="19" t="s">
        <v>9568</v>
      </c>
      <c r="M766" s="19" t="s">
        <v>9569</v>
      </c>
      <c r="N766" s="19" t="s">
        <v>9570</v>
      </c>
      <c r="O766" s="19" t="s">
        <v>9571</v>
      </c>
      <c r="P766" s="19" t="s">
        <v>8429</v>
      </c>
      <c r="Q766" s="15"/>
    </row>
    <row r="767" spans="1:17" ht="24">
      <c r="A767" s="18" t="s">
        <v>9572</v>
      </c>
      <c r="B767" s="19" t="s">
        <v>4695</v>
      </c>
      <c r="C767" s="19" t="s">
        <v>9573</v>
      </c>
      <c r="D767" s="19" t="s">
        <v>4549</v>
      </c>
      <c r="E767" s="19" t="s">
        <v>9574</v>
      </c>
      <c r="F767" s="19" t="s">
        <v>4082</v>
      </c>
      <c r="G767" s="19" t="s">
        <v>9575</v>
      </c>
      <c r="H767" s="19" t="s">
        <v>8869</v>
      </c>
      <c r="I767" s="19" t="s">
        <v>3187</v>
      </c>
      <c r="J767" s="19" t="s">
        <v>9576</v>
      </c>
      <c r="K767" s="19" t="s">
        <v>9577</v>
      </c>
      <c r="L767" s="19" t="s">
        <v>9578</v>
      </c>
      <c r="M767" s="19" t="s">
        <v>9579</v>
      </c>
      <c r="N767" s="19" t="s">
        <v>9580</v>
      </c>
      <c r="O767" s="19" t="s">
        <v>9581</v>
      </c>
      <c r="P767" s="19" t="s">
        <v>271</v>
      </c>
      <c r="Q767" s="19" t="s">
        <v>2571</v>
      </c>
    </row>
    <row r="768" spans="1:17" ht="48">
      <c r="A768" s="18" t="s">
        <v>9582</v>
      </c>
      <c r="B768" s="19" t="s">
        <v>9583</v>
      </c>
      <c r="C768" s="19" t="s">
        <v>9584</v>
      </c>
      <c r="D768" s="19" t="s">
        <v>9585</v>
      </c>
      <c r="E768" s="19" t="s">
        <v>9586</v>
      </c>
      <c r="F768" s="19" t="s">
        <v>9587</v>
      </c>
      <c r="G768" s="19" t="s">
        <v>9082</v>
      </c>
      <c r="H768" s="19" t="s">
        <v>9588</v>
      </c>
      <c r="I768" s="19" t="s">
        <v>9589</v>
      </c>
      <c r="J768" s="19" t="s">
        <v>8960</v>
      </c>
      <c r="K768" s="19" t="s">
        <v>9590</v>
      </c>
      <c r="L768" s="19" t="s">
        <v>9591</v>
      </c>
      <c r="M768" s="19" t="s">
        <v>9592</v>
      </c>
      <c r="N768" s="19" t="s">
        <v>9593</v>
      </c>
      <c r="O768" s="19" t="s">
        <v>9594</v>
      </c>
      <c r="P768" s="19" t="s">
        <v>2366</v>
      </c>
      <c r="Q768" s="19" t="s">
        <v>5729</v>
      </c>
    </row>
    <row r="769" spans="1:17" ht="48">
      <c r="A769" s="18" t="s">
        <v>9595</v>
      </c>
      <c r="B769" s="19" t="s">
        <v>9596</v>
      </c>
      <c r="C769" s="19" t="s">
        <v>9597</v>
      </c>
      <c r="D769" s="19" t="s">
        <v>9598</v>
      </c>
      <c r="E769" s="19" t="s">
        <v>9599</v>
      </c>
      <c r="F769" s="19" t="s">
        <v>9600</v>
      </c>
      <c r="G769" s="19" t="s">
        <v>9601</v>
      </c>
      <c r="H769" s="19" t="s">
        <v>9602</v>
      </c>
      <c r="I769" s="19" t="s">
        <v>9603</v>
      </c>
      <c r="J769" s="19" t="s">
        <v>9604</v>
      </c>
      <c r="K769" s="19" t="s">
        <v>9605</v>
      </c>
      <c r="L769" s="19" t="s">
        <v>9606</v>
      </c>
      <c r="M769" s="19" t="s">
        <v>9607</v>
      </c>
      <c r="N769" s="19" t="s">
        <v>9608</v>
      </c>
      <c r="O769" s="19" t="s">
        <v>9609</v>
      </c>
      <c r="P769" s="19" t="s">
        <v>9610</v>
      </c>
      <c r="Q769" s="19" t="s">
        <v>1899</v>
      </c>
    </row>
    <row r="770" spans="1:17" ht="60">
      <c r="A770" s="18" t="s">
        <v>9611</v>
      </c>
      <c r="B770" s="19" t="s">
        <v>9612</v>
      </c>
      <c r="C770" s="19" t="s">
        <v>9613</v>
      </c>
      <c r="D770" s="19" t="s">
        <v>9614</v>
      </c>
      <c r="E770" s="19" t="s">
        <v>9615</v>
      </c>
      <c r="F770" s="19" t="s">
        <v>9616</v>
      </c>
      <c r="G770" s="19" t="s">
        <v>9617</v>
      </c>
      <c r="H770" s="19" t="s">
        <v>9618</v>
      </c>
      <c r="I770" s="19" t="s">
        <v>9619</v>
      </c>
      <c r="J770" s="19" t="s">
        <v>9620</v>
      </c>
      <c r="K770" s="19" t="s">
        <v>9621</v>
      </c>
      <c r="L770" s="19" t="s">
        <v>9622</v>
      </c>
      <c r="M770" s="19" t="s">
        <v>9623</v>
      </c>
      <c r="N770" s="19" t="s">
        <v>9624</v>
      </c>
      <c r="O770" s="19" t="s">
        <v>9625</v>
      </c>
      <c r="P770" s="19" t="s">
        <v>9626</v>
      </c>
      <c r="Q770" s="19" t="s">
        <v>9627</v>
      </c>
    </row>
    <row r="771" spans="1:17" ht="36">
      <c r="A771" s="18" t="s">
        <v>9628</v>
      </c>
      <c r="B771" s="19" t="s">
        <v>9629</v>
      </c>
      <c r="C771" s="19" t="s">
        <v>9630</v>
      </c>
      <c r="D771" s="19" t="s">
        <v>9631</v>
      </c>
      <c r="E771" s="19" t="s">
        <v>9632</v>
      </c>
      <c r="F771" s="19" t="s">
        <v>9633</v>
      </c>
      <c r="G771" s="19" t="s">
        <v>9634</v>
      </c>
      <c r="H771" s="19" t="s">
        <v>9635</v>
      </c>
      <c r="I771" s="19" t="s">
        <v>9636</v>
      </c>
      <c r="J771" s="19" t="s">
        <v>9637</v>
      </c>
      <c r="K771" s="19" t="s">
        <v>9638</v>
      </c>
      <c r="L771" s="19" t="s">
        <v>9639</v>
      </c>
      <c r="M771" s="19" t="s">
        <v>9640</v>
      </c>
      <c r="N771" s="19" t="s">
        <v>9641</v>
      </c>
      <c r="O771" s="19" t="s">
        <v>9642</v>
      </c>
      <c r="P771" s="19" t="s">
        <v>5064</v>
      </c>
      <c r="Q771" s="19" t="s">
        <v>9073</v>
      </c>
    </row>
    <row r="772" spans="1:17" ht="36">
      <c r="A772" s="18" t="s">
        <v>9643</v>
      </c>
      <c r="B772" s="19" t="s">
        <v>8424</v>
      </c>
      <c r="C772" s="19" t="s">
        <v>9644</v>
      </c>
      <c r="D772" s="19" t="s">
        <v>9645</v>
      </c>
      <c r="E772" s="19" t="s">
        <v>9646</v>
      </c>
      <c r="F772" s="19" t="s">
        <v>9647</v>
      </c>
      <c r="G772" s="19" t="s">
        <v>9648</v>
      </c>
      <c r="H772" s="19" t="s">
        <v>9649</v>
      </c>
      <c r="I772" s="19" t="s">
        <v>9650</v>
      </c>
      <c r="J772" s="19" t="s">
        <v>880</v>
      </c>
      <c r="K772" s="19" t="s">
        <v>9651</v>
      </c>
      <c r="L772" s="19" t="s">
        <v>9652</v>
      </c>
      <c r="M772" s="19" t="s">
        <v>6549</v>
      </c>
      <c r="N772" s="19" t="s">
        <v>9653</v>
      </c>
      <c r="O772" s="19" t="s">
        <v>9654</v>
      </c>
      <c r="P772" s="19" t="s">
        <v>9655</v>
      </c>
      <c r="Q772" s="19" t="s">
        <v>666</v>
      </c>
    </row>
    <row r="773" spans="1:17" ht="36">
      <c r="A773" s="18" t="s">
        <v>9656</v>
      </c>
      <c r="B773" s="19" t="s">
        <v>263</v>
      </c>
      <c r="C773" s="19" t="s">
        <v>9657</v>
      </c>
      <c r="D773" s="19" t="s">
        <v>9658</v>
      </c>
      <c r="E773" s="19" t="s">
        <v>9659</v>
      </c>
      <c r="F773" s="19" t="s">
        <v>9660</v>
      </c>
      <c r="G773" s="19" t="s">
        <v>9661</v>
      </c>
      <c r="H773" s="19" t="s">
        <v>9662</v>
      </c>
      <c r="I773" s="19" t="s">
        <v>9663</v>
      </c>
      <c r="J773" s="19" t="s">
        <v>9664</v>
      </c>
      <c r="K773" s="19" t="s">
        <v>9665</v>
      </c>
      <c r="L773" s="19" t="s">
        <v>9666</v>
      </c>
      <c r="M773" s="19" t="s">
        <v>9667</v>
      </c>
      <c r="N773" s="19" t="s">
        <v>9668</v>
      </c>
      <c r="O773" s="19" t="s">
        <v>9669</v>
      </c>
      <c r="P773" s="19" t="s">
        <v>9670</v>
      </c>
      <c r="Q773" s="15"/>
    </row>
    <row r="774" spans="1:17" ht="36">
      <c r="A774" s="18" t="s">
        <v>9671</v>
      </c>
      <c r="B774" s="19" t="s">
        <v>4455</v>
      </c>
      <c r="C774" s="19" t="s">
        <v>9672</v>
      </c>
      <c r="D774" s="19" t="s">
        <v>9673</v>
      </c>
      <c r="E774" s="19" t="s">
        <v>9674</v>
      </c>
      <c r="F774" s="19" t="s">
        <v>9675</v>
      </c>
      <c r="G774" s="19" t="s">
        <v>3858</v>
      </c>
      <c r="H774" s="19" t="s">
        <v>2226</v>
      </c>
      <c r="I774" s="19" t="s">
        <v>864</v>
      </c>
      <c r="J774" s="19" t="s">
        <v>9676</v>
      </c>
      <c r="K774" s="19" t="s">
        <v>9677</v>
      </c>
      <c r="L774" s="19" t="s">
        <v>9678</v>
      </c>
      <c r="M774" s="19" t="s">
        <v>9679</v>
      </c>
      <c r="N774" s="19" t="s">
        <v>4168</v>
      </c>
      <c r="O774" s="19" t="s">
        <v>9680</v>
      </c>
      <c r="P774" s="19" t="s">
        <v>1960</v>
      </c>
      <c r="Q774" s="15"/>
    </row>
    <row r="775" spans="1:17" ht="48">
      <c r="A775" s="18" t="s">
        <v>9681</v>
      </c>
      <c r="B775" s="19" t="s">
        <v>2854</v>
      </c>
      <c r="C775" s="19" t="s">
        <v>9682</v>
      </c>
      <c r="D775" s="19" t="s">
        <v>9683</v>
      </c>
      <c r="E775" s="19" t="s">
        <v>9684</v>
      </c>
      <c r="F775" s="19" t="s">
        <v>3534</v>
      </c>
      <c r="G775" s="19" t="s">
        <v>9685</v>
      </c>
      <c r="H775" s="19" t="s">
        <v>9686</v>
      </c>
      <c r="I775" s="19" t="s">
        <v>9687</v>
      </c>
      <c r="J775" s="19" t="s">
        <v>9688</v>
      </c>
      <c r="K775" s="19" t="s">
        <v>9689</v>
      </c>
      <c r="L775" s="19" t="s">
        <v>9690</v>
      </c>
      <c r="M775" s="19" t="s">
        <v>5170</v>
      </c>
      <c r="N775" s="19" t="s">
        <v>9691</v>
      </c>
      <c r="O775" s="19" t="s">
        <v>9692</v>
      </c>
      <c r="P775" s="19" t="s">
        <v>9693</v>
      </c>
      <c r="Q775" s="19" t="s">
        <v>6235</v>
      </c>
    </row>
    <row r="776" spans="1:17" ht="48">
      <c r="A776" s="18" t="s">
        <v>9694</v>
      </c>
      <c r="B776" s="19" t="s">
        <v>9695</v>
      </c>
      <c r="C776" s="19" t="s">
        <v>9696</v>
      </c>
      <c r="D776" s="19" t="s">
        <v>9697</v>
      </c>
      <c r="E776" s="19" t="s">
        <v>9698</v>
      </c>
      <c r="F776" s="19" t="s">
        <v>9699</v>
      </c>
      <c r="G776" s="19" t="s">
        <v>9700</v>
      </c>
      <c r="H776" s="19" t="s">
        <v>9701</v>
      </c>
      <c r="I776" s="19" t="s">
        <v>9702</v>
      </c>
      <c r="J776" s="19" t="s">
        <v>9703</v>
      </c>
      <c r="K776" s="19" t="s">
        <v>9704</v>
      </c>
      <c r="L776" s="19" t="s">
        <v>9705</v>
      </c>
      <c r="M776" s="19" t="s">
        <v>9706</v>
      </c>
      <c r="N776" s="19" t="s">
        <v>9707</v>
      </c>
      <c r="O776" s="19" t="s">
        <v>9708</v>
      </c>
      <c r="P776" s="19" t="s">
        <v>8972</v>
      </c>
      <c r="Q776" s="19" t="s">
        <v>703</v>
      </c>
    </row>
    <row r="777" spans="1:17" ht="60">
      <c r="A777" s="18" t="s">
        <v>9709</v>
      </c>
      <c r="B777" s="19" t="s">
        <v>6624</v>
      </c>
      <c r="C777" s="19" t="s">
        <v>9710</v>
      </c>
      <c r="D777" s="19" t="s">
        <v>9711</v>
      </c>
      <c r="E777" s="19" t="s">
        <v>9712</v>
      </c>
      <c r="F777" s="19" t="s">
        <v>9713</v>
      </c>
      <c r="G777" s="19" t="s">
        <v>9714</v>
      </c>
      <c r="H777" s="19" t="s">
        <v>9715</v>
      </c>
      <c r="I777" s="19" t="s">
        <v>9716</v>
      </c>
      <c r="J777" s="19" t="s">
        <v>9717</v>
      </c>
      <c r="K777" s="19" t="s">
        <v>9718</v>
      </c>
      <c r="L777" s="19" t="s">
        <v>9719</v>
      </c>
      <c r="M777" s="19" t="s">
        <v>9720</v>
      </c>
      <c r="N777" s="19" t="s">
        <v>9721</v>
      </c>
      <c r="O777" s="19" t="s">
        <v>9722</v>
      </c>
      <c r="P777" s="19" t="s">
        <v>9723</v>
      </c>
      <c r="Q777" s="19" t="s">
        <v>7770</v>
      </c>
    </row>
    <row r="778" spans="1:17" ht="48">
      <c r="A778" s="18" t="s">
        <v>9724</v>
      </c>
      <c r="B778" s="19" t="s">
        <v>4138</v>
      </c>
      <c r="C778" s="19" t="s">
        <v>9725</v>
      </c>
      <c r="D778" s="19" t="s">
        <v>1766</v>
      </c>
      <c r="E778" s="19" t="s">
        <v>9726</v>
      </c>
      <c r="F778" s="19" t="s">
        <v>9727</v>
      </c>
      <c r="G778" s="19" t="s">
        <v>2251</v>
      </c>
      <c r="H778" s="19" t="s">
        <v>9728</v>
      </c>
      <c r="I778" s="19" t="s">
        <v>7628</v>
      </c>
      <c r="J778" s="19" t="s">
        <v>9191</v>
      </c>
      <c r="K778" s="19" t="s">
        <v>9729</v>
      </c>
      <c r="L778" s="19" t="s">
        <v>9730</v>
      </c>
      <c r="M778" s="19" t="s">
        <v>9731</v>
      </c>
      <c r="N778" s="19" t="s">
        <v>1676</v>
      </c>
      <c r="O778" s="19" t="s">
        <v>9732</v>
      </c>
      <c r="P778" s="19" t="s">
        <v>9733</v>
      </c>
      <c r="Q778" s="19" t="s">
        <v>6054</v>
      </c>
    </row>
    <row r="779" spans="1:17" ht="48">
      <c r="A779" s="18" t="s">
        <v>9734</v>
      </c>
      <c r="B779" s="19" t="s">
        <v>8835</v>
      </c>
      <c r="C779" s="19" t="s">
        <v>9735</v>
      </c>
      <c r="D779" s="19" t="s">
        <v>9736</v>
      </c>
      <c r="E779" s="19" t="s">
        <v>9737</v>
      </c>
      <c r="F779" s="19" t="s">
        <v>9738</v>
      </c>
      <c r="G779" s="19" t="s">
        <v>9739</v>
      </c>
      <c r="H779" s="19" t="s">
        <v>9740</v>
      </c>
      <c r="I779" s="19" t="s">
        <v>9741</v>
      </c>
      <c r="J779" s="19" t="s">
        <v>9742</v>
      </c>
      <c r="K779" s="19" t="s">
        <v>9743</v>
      </c>
      <c r="L779" s="19" t="s">
        <v>9744</v>
      </c>
      <c r="M779" s="19" t="s">
        <v>9745</v>
      </c>
      <c r="N779" s="19" t="s">
        <v>9746</v>
      </c>
      <c r="O779" s="19" t="s">
        <v>9747</v>
      </c>
      <c r="P779" s="19" t="s">
        <v>5619</v>
      </c>
      <c r="Q779" s="19" t="s">
        <v>992</v>
      </c>
    </row>
    <row r="780" spans="1:17" ht="48">
      <c r="A780" s="18" t="s">
        <v>9748</v>
      </c>
      <c r="B780" s="19" t="s">
        <v>9749</v>
      </c>
      <c r="C780" s="19" t="s">
        <v>9750</v>
      </c>
      <c r="D780" s="19" t="s">
        <v>9751</v>
      </c>
      <c r="E780" s="19" t="s">
        <v>9752</v>
      </c>
      <c r="F780" s="19" t="s">
        <v>9753</v>
      </c>
      <c r="G780" s="19" t="s">
        <v>9754</v>
      </c>
      <c r="H780" s="19" t="s">
        <v>9755</v>
      </c>
      <c r="I780" s="19" t="s">
        <v>9756</v>
      </c>
      <c r="J780" s="19" t="s">
        <v>9757</v>
      </c>
      <c r="K780" s="19" t="s">
        <v>9758</v>
      </c>
      <c r="L780" s="19" t="s">
        <v>9759</v>
      </c>
      <c r="M780" s="19" t="s">
        <v>9760</v>
      </c>
      <c r="N780" s="19" t="s">
        <v>9761</v>
      </c>
      <c r="O780" s="19" t="s">
        <v>9762</v>
      </c>
      <c r="P780" s="19" t="s">
        <v>9763</v>
      </c>
      <c r="Q780" s="19" t="s">
        <v>9764</v>
      </c>
    </row>
    <row r="781" spans="1:17" ht="36">
      <c r="A781" s="18" t="s">
        <v>9765</v>
      </c>
      <c r="B781" s="19" t="s">
        <v>9766</v>
      </c>
      <c r="C781" s="19" t="s">
        <v>9767</v>
      </c>
      <c r="D781" s="19" t="s">
        <v>9768</v>
      </c>
      <c r="E781" s="19" t="s">
        <v>9769</v>
      </c>
      <c r="F781" s="19" t="s">
        <v>9770</v>
      </c>
      <c r="G781" s="19" t="s">
        <v>9771</v>
      </c>
      <c r="H781" s="19" t="s">
        <v>9772</v>
      </c>
      <c r="I781" s="19" t="s">
        <v>9773</v>
      </c>
      <c r="J781" s="19" t="s">
        <v>9774</v>
      </c>
      <c r="K781" s="19" t="s">
        <v>9775</v>
      </c>
      <c r="L781" s="19" t="s">
        <v>9776</v>
      </c>
      <c r="M781" s="19" t="s">
        <v>9777</v>
      </c>
      <c r="N781" s="19" t="s">
        <v>9778</v>
      </c>
      <c r="O781" s="19" t="s">
        <v>9779</v>
      </c>
      <c r="P781" s="19" t="s">
        <v>9780</v>
      </c>
      <c r="Q781" s="19" t="s">
        <v>9781</v>
      </c>
    </row>
    <row r="782" spans="1:17" ht="36">
      <c r="A782" s="18" t="s">
        <v>9782</v>
      </c>
      <c r="B782" s="19" t="s">
        <v>2358</v>
      </c>
      <c r="C782" s="19" t="s">
        <v>9783</v>
      </c>
      <c r="D782" s="19" t="s">
        <v>9784</v>
      </c>
      <c r="E782" s="19" t="s">
        <v>9785</v>
      </c>
      <c r="F782" s="19" t="s">
        <v>9786</v>
      </c>
      <c r="G782" s="19" t="s">
        <v>9787</v>
      </c>
      <c r="H782" s="19" t="s">
        <v>9788</v>
      </c>
      <c r="I782" s="19" t="s">
        <v>9789</v>
      </c>
      <c r="J782" s="19" t="s">
        <v>3562</v>
      </c>
      <c r="K782" s="19" t="s">
        <v>9790</v>
      </c>
      <c r="L782" s="19" t="s">
        <v>9791</v>
      </c>
      <c r="M782" s="19" t="s">
        <v>9792</v>
      </c>
      <c r="N782" s="19" t="s">
        <v>5073</v>
      </c>
      <c r="O782" s="19" t="s">
        <v>9793</v>
      </c>
      <c r="P782" s="19" t="s">
        <v>270</v>
      </c>
      <c r="Q782" s="19" t="s">
        <v>999</v>
      </c>
    </row>
    <row r="783" spans="1:17" ht="48">
      <c r="A783" s="18" t="s">
        <v>9794</v>
      </c>
      <c r="B783" s="19" t="s">
        <v>2342</v>
      </c>
      <c r="C783" s="19" t="s">
        <v>9795</v>
      </c>
      <c r="D783" s="19" t="s">
        <v>9796</v>
      </c>
      <c r="E783" s="19" t="s">
        <v>9797</v>
      </c>
      <c r="F783" s="19" t="s">
        <v>9798</v>
      </c>
      <c r="G783" s="19" t="s">
        <v>9799</v>
      </c>
      <c r="H783" s="19" t="s">
        <v>3558</v>
      </c>
      <c r="I783" s="19" t="s">
        <v>7608</v>
      </c>
      <c r="J783" s="19" t="s">
        <v>1092</v>
      </c>
      <c r="K783" s="19" t="s">
        <v>7064</v>
      </c>
      <c r="L783" s="19" t="s">
        <v>8313</v>
      </c>
      <c r="M783" s="19" t="s">
        <v>9800</v>
      </c>
      <c r="N783" s="19" t="s">
        <v>3135</v>
      </c>
      <c r="O783" s="19" t="s">
        <v>9801</v>
      </c>
      <c r="P783" s="19" t="s">
        <v>571</v>
      </c>
      <c r="Q783" s="15"/>
    </row>
    <row r="784" spans="1:17" ht="36">
      <c r="A784" s="18" t="s">
        <v>9802</v>
      </c>
      <c r="B784" s="19" t="s">
        <v>9803</v>
      </c>
      <c r="C784" s="19" t="s">
        <v>9804</v>
      </c>
      <c r="D784" s="19" t="s">
        <v>9805</v>
      </c>
      <c r="E784" s="19" t="s">
        <v>9806</v>
      </c>
      <c r="F784" s="19" t="s">
        <v>9807</v>
      </c>
      <c r="G784" s="19" t="s">
        <v>9808</v>
      </c>
      <c r="H784" s="19" t="s">
        <v>9809</v>
      </c>
      <c r="I784" s="19" t="s">
        <v>2660</v>
      </c>
      <c r="J784" s="19" t="s">
        <v>9810</v>
      </c>
      <c r="K784" s="19" t="s">
        <v>9811</v>
      </c>
      <c r="L784" s="19" t="s">
        <v>9812</v>
      </c>
      <c r="M784" s="19" t="s">
        <v>9813</v>
      </c>
      <c r="N784" s="19" t="s">
        <v>9814</v>
      </c>
      <c r="O784" s="19" t="s">
        <v>1323</v>
      </c>
      <c r="P784" s="19" t="s">
        <v>9815</v>
      </c>
      <c r="Q784" s="19" t="s">
        <v>973</v>
      </c>
    </row>
    <row r="785" spans="1:17" ht="24">
      <c r="A785" s="18" t="s">
        <v>9816</v>
      </c>
      <c r="B785" s="19" t="s">
        <v>8424</v>
      </c>
      <c r="C785" s="19" t="s">
        <v>9817</v>
      </c>
      <c r="D785" s="19" t="s">
        <v>3793</v>
      </c>
      <c r="E785" s="19" t="s">
        <v>7252</v>
      </c>
      <c r="F785" s="19" t="s">
        <v>9818</v>
      </c>
      <c r="G785" s="19" t="s">
        <v>9819</v>
      </c>
      <c r="H785" s="19" t="s">
        <v>3649</v>
      </c>
      <c r="I785" s="19" t="s">
        <v>449</v>
      </c>
      <c r="J785" s="19" t="s">
        <v>1389</v>
      </c>
      <c r="K785" s="19" t="s">
        <v>9820</v>
      </c>
      <c r="L785" s="19" t="s">
        <v>760</v>
      </c>
      <c r="M785" s="19" t="s">
        <v>3844</v>
      </c>
      <c r="N785" s="19" t="s">
        <v>9821</v>
      </c>
      <c r="O785" s="19" t="s">
        <v>8616</v>
      </c>
      <c r="P785" s="19" t="s">
        <v>1827</v>
      </c>
      <c r="Q785" s="15"/>
    </row>
    <row r="786" spans="1:17" ht="24">
      <c r="A786" s="18" t="s">
        <v>9822</v>
      </c>
      <c r="B786" s="19" t="s">
        <v>938</v>
      </c>
      <c r="C786" s="19" t="s">
        <v>9823</v>
      </c>
      <c r="D786" s="19" t="s">
        <v>9824</v>
      </c>
      <c r="E786" s="19" t="s">
        <v>9825</v>
      </c>
      <c r="F786" s="19" t="s">
        <v>1620</v>
      </c>
      <c r="G786" s="19" t="s">
        <v>8610</v>
      </c>
      <c r="H786" s="19" t="s">
        <v>9826</v>
      </c>
      <c r="I786" s="19" t="s">
        <v>2324</v>
      </c>
      <c r="J786" s="19" t="s">
        <v>5193</v>
      </c>
      <c r="K786" s="19" t="s">
        <v>9827</v>
      </c>
      <c r="L786" s="19" t="s">
        <v>9828</v>
      </c>
      <c r="M786" s="19" t="s">
        <v>9829</v>
      </c>
      <c r="N786" s="19" t="s">
        <v>9830</v>
      </c>
      <c r="O786" s="19" t="s">
        <v>9831</v>
      </c>
      <c r="P786" s="15"/>
      <c r="Q786" s="19" t="s">
        <v>4084</v>
      </c>
    </row>
    <row r="787" spans="1:17" ht="36">
      <c r="A787" s="18" t="s">
        <v>9832</v>
      </c>
      <c r="B787" s="19" t="s">
        <v>9263</v>
      </c>
      <c r="C787" s="19" t="s">
        <v>9833</v>
      </c>
      <c r="D787" s="19" t="s">
        <v>9834</v>
      </c>
      <c r="E787" s="19" t="s">
        <v>9835</v>
      </c>
      <c r="F787" s="19" t="s">
        <v>9836</v>
      </c>
      <c r="G787" s="19" t="s">
        <v>9837</v>
      </c>
      <c r="H787" s="19" t="s">
        <v>9838</v>
      </c>
      <c r="I787" s="19" t="s">
        <v>9839</v>
      </c>
      <c r="J787" s="19" t="s">
        <v>9840</v>
      </c>
      <c r="K787" s="19" t="s">
        <v>9841</v>
      </c>
      <c r="L787" s="19" t="s">
        <v>9842</v>
      </c>
      <c r="M787" s="19" t="s">
        <v>9843</v>
      </c>
      <c r="N787" s="19" t="s">
        <v>9844</v>
      </c>
      <c r="O787" s="19" t="s">
        <v>9845</v>
      </c>
      <c r="P787" s="19" t="s">
        <v>9846</v>
      </c>
      <c r="Q787" s="15"/>
    </row>
    <row r="788" spans="1:17" ht="60">
      <c r="A788" s="18" t="s">
        <v>9847</v>
      </c>
      <c r="B788" s="19" t="s">
        <v>9848</v>
      </c>
      <c r="C788" s="19" t="s">
        <v>9849</v>
      </c>
      <c r="D788" s="19" t="s">
        <v>271</v>
      </c>
      <c r="E788" s="19" t="s">
        <v>9850</v>
      </c>
      <c r="F788" s="19" t="s">
        <v>9851</v>
      </c>
      <c r="G788" s="19" t="s">
        <v>5941</v>
      </c>
      <c r="H788" s="19" t="s">
        <v>5452</v>
      </c>
      <c r="I788" s="19" t="s">
        <v>2573</v>
      </c>
      <c r="J788" s="19" t="s">
        <v>3136</v>
      </c>
      <c r="K788" s="19" t="s">
        <v>269</v>
      </c>
      <c r="L788" s="19" t="s">
        <v>9576</v>
      </c>
      <c r="M788" s="19" t="s">
        <v>852</v>
      </c>
      <c r="N788" s="19" t="s">
        <v>1983</v>
      </c>
      <c r="O788" s="19" t="s">
        <v>2619</v>
      </c>
      <c r="P788" s="15"/>
      <c r="Q788" s="15"/>
    </row>
    <row r="789" spans="1:17" ht="48">
      <c r="A789" s="18" t="s">
        <v>9852</v>
      </c>
      <c r="B789" s="19" t="s">
        <v>9853</v>
      </c>
      <c r="C789" s="19" t="s">
        <v>9854</v>
      </c>
      <c r="D789" s="19" t="s">
        <v>9855</v>
      </c>
      <c r="E789" s="19" t="s">
        <v>9856</v>
      </c>
      <c r="F789" s="19" t="s">
        <v>9857</v>
      </c>
      <c r="G789" s="19" t="s">
        <v>9858</v>
      </c>
      <c r="H789" s="19" t="s">
        <v>9859</v>
      </c>
      <c r="I789" s="19" t="s">
        <v>9860</v>
      </c>
      <c r="J789" s="19" t="s">
        <v>9861</v>
      </c>
      <c r="K789" s="19" t="s">
        <v>9862</v>
      </c>
      <c r="L789" s="19" t="s">
        <v>9863</v>
      </c>
      <c r="M789" s="19" t="s">
        <v>9864</v>
      </c>
      <c r="N789" s="19" t="s">
        <v>9865</v>
      </c>
      <c r="O789" s="19" t="s">
        <v>9866</v>
      </c>
      <c r="P789" s="19" t="s">
        <v>9867</v>
      </c>
      <c r="Q789" s="19" t="s">
        <v>9868</v>
      </c>
    </row>
    <row r="790" spans="1:17" ht="24">
      <c r="A790" s="18" t="s">
        <v>9869</v>
      </c>
      <c r="B790" s="19" t="s">
        <v>9870</v>
      </c>
      <c r="C790" s="19" t="s">
        <v>9871</v>
      </c>
      <c r="D790" s="19" t="s">
        <v>3110</v>
      </c>
      <c r="E790" s="19" t="s">
        <v>9872</v>
      </c>
      <c r="F790" s="19" t="s">
        <v>9873</v>
      </c>
      <c r="G790" s="19" t="s">
        <v>9874</v>
      </c>
      <c r="H790" s="19" t="s">
        <v>9875</v>
      </c>
      <c r="I790" s="19" t="s">
        <v>9876</v>
      </c>
      <c r="J790" s="19" t="s">
        <v>9877</v>
      </c>
      <c r="K790" s="19" t="s">
        <v>9878</v>
      </c>
      <c r="L790" s="19" t="s">
        <v>9879</v>
      </c>
      <c r="M790" s="19" t="s">
        <v>9880</v>
      </c>
      <c r="N790" s="19" t="s">
        <v>9881</v>
      </c>
      <c r="O790" s="19" t="s">
        <v>9882</v>
      </c>
      <c r="P790" s="19" t="s">
        <v>9883</v>
      </c>
      <c r="Q790" s="19" t="s">
        <v>9884</v>
      </c>
    </row>
    <row r="791" spans="1:17" ht="48">
      <c r="A791" s="18" t="s">
        <v>9885</v>
      </c>
      <c r="B791" s="19" t="s">
        <v>9068</v>
      </c>
      <c r="C791" s="19" t="s">
        <v>9886</v>
      </c>
      <c r="D791" s="19" t="s">
        <v>9887</v>
      </c>
      <c r="E791" s="19" t="s">
        <v>9888</v>
      </c>
      <c r="F791" s="19" t="s">
        <v>9889</v>
      </c>
      <c r="G791" s="19" t="s">
        <v>9890</v>
      </c>
      <c r="H791" s="19" t="s">
        <v>9891</v>
      </c>
      <c r="I791" s="19" t="s">
        <v>905</v>
      </c>
      <c r="J791" s="19" t="s">
        <v>3898</v>
      </c>
      <c r="K791" s="19" t="s">
        <v>9892</v>
      </c>
      <c r="L791" s="19" t="s">
        <v>9893</v>
      </c>
      <c r="M791" s="19" t="s">
        <v>9894</v>
      </c>
      <c r="N791" s="19" t="s">
        <v>9895</v>
      </c>
      <c r="O791" s="19" t="s">
        <v>9896</v>
      </c>
      <c r="P791" s="19" t="s">
        <v>9897</v>
      </c>
      <c r="Q791" s="15"/>
    </row>
    <row r="792" spans="1:17" ht="36">
      <c r="A792" s="18" t="s">
        <v>9898</v>
      </c>
      <c r="B792" s="19" t="s">
        <v>9899</v>
      </c>
      <c r="C792" s="19" t="s">
        <v>9900</v>
      </c>
      <c r="D792" s="19" t="s">
        <v>582</v>
      </c>
      <c r="E792" s="19" t="s">
        <v>8813</v>
      </c>
      <c r="F792" s="19" t="s">
        <v>9901</v>
      </c>
      <c r="G792" s="19" t="s">
        <v>9902</v>
      </c>
      <c r="H792" s="19" t="s">
        <v>3589</v>
      </c>
      <c r="I792" s="19" t="s">
        <v>8759</v>
      </c>
      <c r="J792" s="19" t="s">
        <v>9903</v>
      </c>
      <c r="K792" s="19" t="s">
        <v>9904</v>
      </c>
      <c r="L792" s="19" t="s">
        <v>9905</v>
      </c>
      <c r="M792" s="19" t="s">
        <v>9906</v>
      </c>
      <c r="N792" s="19" t="s">
        <v>9907</v>
      </c>
      <c r="O792" s="19" t="s">
        <v>9908</v>
      </c>
      <c r="P792" s="19" t="s">
        <v>8260</v>
      </c>
      <c r="Q792" s="19" t="s">
        <v>563</v>
      </c>
    </row>
    <row r="793" spans="1:17" ht="36">
      <c r="A793" s="18" t="s">
        <v>9909</v>
      </c>
      <c r="B793" s="19" t="s">
        <v>7058</v>
      </c>
      <c r="C793" s="19" t="s">
        <v>9910</v>
      </c>
      <c r="D793" s="19" t="s">
        <v>9911</v>
      </c>
      <c r="E793" s="19" t="s">
        <v>9912</v>
      </c>
      <c r="F793" s="19" t="s">
        <v>9913</v>
      </c>
      <c r="G793" s="19" t="s">
        <v>9914</v>
      </c>
      <c r="H793" s="19" t="s">
        <v>9915</v>
      </c>
      <c r="I793" s="19" t="s">
        <v>9916</v>
      </c>
      <c r="J793" s="19" t="s">
        <v>9917</v>
      </c>
      <c r="K793" s="19" t="s">
        <v>9918</v>
      </c>
      <c r="L793" s="19" t="s">
        <v>9919</v>
      </c>
      <c r="M793" s="19" t="s">
        <v>9920</v>
      </c>
      <c r="N793" s="19" t="s">
        <v>9921</v>
      </c>
      <c r="O793" s="19" t="s">
        <v>9922</v>
      </c>
      <c r="P793" s="19" t="s">
        <v>335</v>
      </c>
      <c r="Q793" s="19" t="s">
        <v>2605</v>
      </c>
    </row>
    <row r="794" spans="1:17" ht="48">
      <c r="A794" s="18" t="s">
        <v>9923</v>
      </c>
      <c r="B794" s="19" t="s">
        <v>9263</v>
      </c>
      <c r="C794" s="19" t="s">
        <v>3209</v>
      </c>
      <c r="D794" s="19" t="s">
        <v>9924</v>
      </c>
      <c r="E794" s="19" t="s">
        <v>7251</v>
      </c>
      <c r="F794" s="19" t="s">
        <v>9925</v>
      </c>
      <c r="G794" s="19" t="s">
        <v>9926</v>
      </c>
      <c r="H794" s="19" t="s">
        <v>9927</v>
      </c>
      <c r="I794" s="19" t="s">
        <v>2237</v>
      </c>
      <c r="J794" s="19" t="s">
        <v>9928</v>
      </c>
      <c r="K794" s="19" t="s">
        <v>9929</v>
      </c>
      <c r="L794" s="19" t="s">
        <v>9930</v>
      </c>
      <c r="M794" s="19" t="s">
        <v>513</v>
      </c>
      <c r="N794" s="19" t="s">
        <v>9931</v>
      </c>
      <c r="O794" s="19" t="s">
        <v>9932</v>
      </c>
      <c r="P794" s="19" t="s">
        <v>9933</v>
      </c>
      <c r="Q794" s="19" t="s">
        <v>9072</v>
      </c>
    </row>
    <row r="795" spans="1:17" ht="36">
      <c r="A795" s="18" t="s">
        <v>9934</v>
      </c>
      <c r="B795" s="19" t="s">
        <v>9935</v>
      </c>
      <c r="C795" s="19" t="s">
        <v>9936</v>
      </c>
      <c r="D795" s="19" t="s">
        <v>9937</v>
      </c>
      <c r="E795" s="19" t="s">
        <v>9938</v>
      </c>
      <c r="F795" s="19" t="s">
        <v>9939</v>
      </c>
      <c r="G795" s="19" t="s">
        <v>9940</v>
      </c>
      <c r="H795" s="19" t="s">
        <v>9941</v>
      </c>
      <c r="I795" s="19" t="s">
        <v>9942</v>
      </c>
      <c r="J795" s="19" t="s">
        <v>9943</v>
      </c>
      <c r="K795" s="19" t="s">
        <v>9944</v>
      </c>
      <c r="L795" s="19" t="s">
        <v>9945</v>
      </c>
      <c r="M795" s="19" t="s">
        <v>9946</v>
      </c>
      <c r="N795" s="19" t="s">
        <v>9947</v>
      </c>
      <c r="O795" s="19" t="s">
        <v>9948</v>
      </c>
      <c r="P795" s="19" t="s">
        <v>950</v>
      </c>
      <c r="Q795" s="19" t="s">
        <v>7509</v>
      </c>
    </row>
    <row r="796" spans="1:17" ht="36">
      <c r="A796" s="18" t="s">
        <v>9949</v>
      </c>
      <c r="B796" s="19" t="s">
        <v>9950</v>
      </c>
      <c r="C796" s="19" t="s">
        <v>9951</v>
      </c>
      <c r="D796" s="19" t="s">
        <v>9952</v>
      </c>
      <c r="E796" s="19" t="s">
        <v>9953</v>
      </c>
      <c r="F796" s="19" t="s">
        <v>9954</v>
      </c>
      <c r="G796" s="19" t="s">
        <v>9955</v>
      </c>
      <c r="H796" s="19" t="s">
        <v>9956</v>
      </c>
      <c r="I796" s="19" t="s">
        <v>9957</v>
      </c>
      <c r="J796" s="19" t="s">
        <v>9958</v>
      </c>
      <c r="K796" s="19" t="s">
        <v>9959</v>
      </c>
      <c r="L796" s="19" t="s">
        <v>9960</v>
      </c>
      <c r="M796" s="19" t="s">
        <v>9961</v>
      </c>
      <c r="N796" s="19" t="s">
        <v>9962</v>
      </c>
      <c r="O796" s="19" t="s">
        <v>9963</v>
      </c>
      <c r="P796" s="19" t="s">
        <v>4115</v>
      </c>
      <c r="Q796" s="19" t="s">
        <v>6239</v>
      </c>
    </row>
    <row r="797" spans="1:17" ht="48">
      <c r="A797" s="20" t="s">
        <v>9964</v>
      </c>
      <c r="B797" s="21" t="s">
        <v>9965</v>
      </c>
      <c r="C797" s="21" t="s">
        <v>9966</v>
      </c>
      <c r="D797" s="21" t="s">
        <v>9967</v>
      </c>
      <c r="E797" s="21" t="s">
        <v>9968</v>
      </c>
      <c r="F797" s="21" t="s">
        <v>9969</v>
      </c>
      <c r="G797" s="21" t="s">
        <v>9970</v>
      </c>
      <c r="H797" s="21" t="s">
        <v>9971</v>
      </c>
      <c r="I797" s="21" t="s">
        <v>9972</v>
      </c>
      <c r="J797" s="21" t="s">
        <v>9973</v>
      </c>
      <c r="K797" s="21" t="s">
        <v>9974</v>
      </c>
      <c r="L797" s="21" t="s">
        <v>9975</v>
      </c>
      <c r="M797" s="21" t="s">
        <v>9976</v>
      </c>
      <c r="N797" s="21" t="s">
        <v>9977</v>
      </c>
      <c r="O797" s="21" t="s">
        <v>8625</v>
      </c>
      <c r="P797" s="21" t="s">
        <v>9029</v>
      </c>
      <c r="Q797" s="21" t="s">
        <v>4661</v>
      </c>
    </row>
    <row r="798" spans="1:17" ht="15.6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</row>
    <row r="799" spans="1:17" ht="15.6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 spans="1:17">
      <c r="A800" s="16" t="s">
        <v>9978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spans="1:17">
      <c r="A801" s="17" t="s">
        <v>159</v>
      </c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 spans="1:17">
      <c r="A802" s="130" t="s">
        <v>160</v>
      </c>
      <c r="B802" s="134" t="s">
        <v>161</v>
      </c>
      <c r="C802" s="136" t="s">
        <v>162</v>
      </c>
      <c r="D802" s="125"/>
      <c r="E802" s="125"/>
      <c r="F802" s="125"/>
      <c r="G802" s="125"/>
      <c r="H802" s="125"/>
      <c r="I802" s="125"/>
      <c r="J802" s="126"/>
      <c r="K802" s="136" t="s">
        <v>163</v>
      </c>
      <c r="L802" s="125"/>
      <c r="M802" s="126"/>
      <c r="N802" s="136" t="s">
        <v>164</v>
      </c>
      <c r="O802" s="125"/>
      <c r="P802" s="125"/>
      <c r="Q802" s="125"/>
    </row>
    <row r="803" spans="1:17">
      <c r="A803" s="128"/>
      <c r="B803" s="132"/>
      <c r="C803" s="132"/>
      <c r="D803" s="134" t="s">
        <v>165</v>
      </c>
      <c r="E803" s="134" t="s">
        <v>166</v>
      </c>
      <c r="F803" s="134" t="s">
        <v>167</v>
      </c>
      <c r="G803" s="136" t="s">
        <v>168</v>
      </c>
      <c r="H803" s="125"/>
      <c r="I803" s="125"/>
      <c r="J803" s="126"/>
      <c r="K803" s="132"/>
      <c r="L803" s="136" t="s">
        <v>169</v>
      </c>
      <c r="M803" s="13"/>
      <c r="N803" s="132"/>
      <c r="O803" s="136" t="s">
        <v>170</v>
      </c>
      <c r="P803" s="125"/>
      <c r="Q803" s="125"/>
    </row>
    <row r="804" spans="1:17">
      <c r="A804" s="128"/>
      <c r="B804" s="132"/>
      <c r="C804" s="132"/>
      <c r="D804" s="132"/>
      <c r="E804" s="132"/>
      <c r="F804" s="132"/>
      <c r="G804" s="132"/>
      <c r="H804" s="134" t="s">
        <v>171</v>
      </c>
      <c r="I804" s="136" t="s">
        <v>854</v>
      </c>
      <c r="J804" s="13"/>
      <c r="K804" s="132"/>
      <c r="L804" s="132"/>
      <c r="M804" s="134" t="s">
        <v>173</v>
      </c>
      <c r="N804" s="132"/>
      <c r="O804" s="132"/>
      <c r="P804" s="134" t="s">
        <v>174</v>
      </c>
      <c r="Q804" s="136" t="s">
        <v>175</v>
      </c>
    </row>
    <row r="805" spans="1:17">
      <c r="A805" s="129"/>
      <c r="B805" s="133"/>
      <c r="C805" s="133"/>
      <c r="D805" s="133"/>
      <c r="E805" s="133"/>
      <c r="F805" s="133"/>
      <c r="G805" s="133"/>
      <c r="H805" s="133"/>
      <c r="I805" s="133"/>
      <c r="J805" s="22" t="s">
        <v>176</v>
      </c>
      <c r="K805" s="133"/>
      <c r="L805" s="133"/>
      <c r="M805" s="133"/>
      <c r="N805" s="133"/>
      <c r="O805" s="133"/>
      <c r="P805" s="133"/>
      <c r="Q805" s="137"/>
    </row>
    <row r="806" spans="1:17" ht="48">
      <c r="A806" s="18" t="s">
        <v>9979</v>
      </c>
      <c r="B806" s="19" t="s">
        <v>9980</v>
      </c>
      <c r="C806" s="19" t="s">
        <v>9981</v>
      </c>
      <c r="D806" s="19" t="s">
        <v>9982</v>
      </c>
      <c r="E806" s="19" t="s">
        <v>9983</v>
      </c>
      <c r="F806" s="19" t="s">
        <v>9984</v>
      </c>
      <c r="G806" s="19" t="s">
        <v>9985</v>
      </c>
      <c r="H806" s="19" t="s">
        <v>9986</v>
      </c>
      <c r="I806" s="19" t="s">
        <v>792</v>
      </c>
      <c r="J806" s="19" t="s">
        <v>901</v>
      </c>
      <c r="K806" s="19" t="s">
        <v>9987</v>
      </c>
      <c r="L806" s="19" t="s">
        <v>9988</v>
      </c>
      <c r="M806" s="19" t="s">
        <v>3232</v>
      </c>
      <c r="N806" s="19" t="s">
        <v>9989</v>
      </c>
      <c r="O806" s="19" t="s">
        <v>9990</v>
      </c>
      <c r="P806" s="19" t="s">
        <v>1129</v>
      </c>
      <c r="Q806" s="19" t="s">
        <v>3577</v>
      </c>
    </row>
    <row r="807" spans="1:17" ht="36">
      <c r="A807" s="18" t="s">
        <v>9991</v>
      </c>
      <c r="B807" s="19" t="s">
        <v>4256</v>
      </c>
      <c r="C807" s="19" t="s">
        <v>9992</v>
      </c>
      <c r="D807" s="19" t="s">
        <v>1804</v>
      </c>
      <c r="E807" s="19" t="s">
        <v>9993</v>
      </c>
      <c r="F807" s="19" t="s">
        <v>9994</v>
      </c>
      <c r="G807" s="19" t="s">
        <v>9995</v>
      </c>
      <c r="H807" s="19" t="s">
        <v>9996</v>
      </c>
      <c r="I807" s="19" t="s">
        <v>9997</v>
      </c>
      <c r="J807" s="19" t="s">
        <v>9265</v>
      </c>
      <c r="K807" s="19" t="s">
        <v>9998</v>
      </c>
      <c r="L807" s="19" t="s">
        <v>9999</v>
      </c>
      <c r="M807" s="19" t="s">
        <v>10000</v>
      </c>
      <c r="N807" s="19" t="s">
        <v>10001</v>
      </c>
      <c r="O807" s="19" t="s">
        <v>10002</v>
      </c>
      <c r="P807" s="19" t="s">
        <v>1129</v>
      </c>
      <c r="Q807" s="19" t="s">
        <v>3577</v>
      </c>
    </row>
    <row r="808" spans="1:17" ht="36">
      <c r="A808" s="18" t="s">
        <v>10003</v>
      </c>
      <c r="B808" s="19" t="s">
        <v>10004</v>
      </c>
      <c r="C808" s="19" t="s">
        <v>10005</v>
      </c>
      <c r="D808" s="19" t="s">
        <v>1374</v>
      </c>
      <c r="E808" s="19" t="s">
        <v>4742</v>
      </c>
      <c r="F808" s="19" t="s">
        <v>6683</v>
      </c>
      <c r="G808" s="19" t="s">
        <v>9010</v>
      </c>
      <c r="H808" s="19" t="s">
        <v>4917</v>
      </c>
      <c r="I808" s="19" t="s">
        <v>3555</v>
      </c>
      <c r="J808" s="19" t="s">
        <v>7599</v>
      </c>
      <c r="K808" s="19" t="s">
        <v>10006</v>
      </c>
      <c r="L808" s="19" t="s">
        <v>3418</v>
      </c>
      <c r="M808" s="19" t="s">
        <v>3655</v>
      </c>
      <c r="N808" s="19" t="s">
        <v>1091</v>
      </c>
      <c r="O808" s="19" t="s">
        <v>10007</v>
      </c>
      <c r="P808" s="15"/>
      <c r="Q808" s="15"/>
    </row>
    <row r="809" spans="1:17" ht="36">
      <c r="A809" s="18" t="s">
        <v>10008</v>
      </c>
      <c r="B809" s="19" t="s">
        <v>10009</v>
      </c>
      <c r="C809" s="19" t="s">
        <v>10010</v>
      </c>
      <c r="D809" s="19" t="s">
        <v>1580</v>
      </c>
      <c r="E809" s="19" t="s">
        <v>10011</v>
      </c>
      <c r="F809" s="19" t="s">
        <v>1105</v>
      </c>
      <c r="G809" s="19" t="s">
        <v>10012</v>
      </c>
      <c r="H809" s="19" t="s">
        <v>10013</v>
      </c>
      <c r="I809" s="19" t="s">
        <v>10014</v>
      </c>
      <c r="J809" s="19" t="s">
        <v>10015</v>
      </c>
      <c r="K809" s="19" t="s">
        <v>10016</v>
      </c>
      <c r="L809" s="19" t="s">
        <v>10017</v>
      </c>
      <c r="M809" s="19" t="s">
        <v>10018</v>
      </c>
      <c r="N809" s="19" t="s">
        <v>10019</v>
      </c>
      <c r="O809" s="19" t="s">
        <v>10020</v>
      </c>
      <c r="P809" s="19" t="s">
        <v>2696</v>
      </c>
      <c r="Q809" s="19" t="s">
        <v>4084</v>
      </c>
    </row>
    <row r="810" spans="1:17" ht="48">
      <c r="A810" s="18" t="s">
        <v>10021</v>
      </c>
      <c r="B810" s="19" t="s">
        <v>9208</v>
      </c>
      <c r="C810" s="19" t="s">
        <v>10022</v>
      </c>
      <c r="D810" s="19" t="s">
        <v>10023</v>
      </c>
      <c r="E810" s="19" t="s">
        <v>10024</v>
      </c>
      <c r="F810" s="19" t="s">
        <v>10025</v>
      </c>
      <c r="G810" s="19" t="s">
        <v>10026</v>
      </c>
      <c r="H810" s="19" t="s">
        <v>10027</v>
      </c>
      <c r="I810" s="19" t="s">
        <v>1641</v>
      </c>
      <c r="J810" s="19" t="s">
        <v>5079</v>
      </c>
      <c r="K810" s="19" t="s">
        <v>10028</v>
      </c>
      <c r="L810" s="19" t="s">
        <v>10029</v>
      </c>
      <c r="M810" s="19" t="s">
        <v>10030</v>
      </c>
      <c r="N810" s="19" t="s">
        <v>10031</v>
      </c>
      <c r="O810" s="19" t="s">
        <v>9268</v>
      </c>
      <c r="P810" s="19" t="s">
        <v>7416</v>
      </c>
      <c r="Q810" s="15"/>
    </row>
    <row r="811" spans="1:17" ht="60">
      <c r="A811" s="18" t="s">
        <v>10032</v>
      </c>
      <c r="B811" s="19" t="s">
        <v>10033</v>
      </c>
      <c r="C811" s="19" t="s">
        <v>10034</v>
      </c>
      <c r="D811" s="19" t="s">
        <v>10035</v>
      </c>
      <c r="E811" s="19" t="s">
        <v>1675</v>
      </c>
      <c r="F811" s="19" t="s">
        <v>10036</v>
      </c>
      <c r="G811" s="19" t="s">
        <v>10037</v>
      </c>
      <c r="H811" s="19" t="s">
        <v>3546</v>
      </c>
      <c r="I811" s="19" t="s">
        <v>10038</v>
      </c>
      <c r="J811" s="19" t="s">
        <v>2534</v>
      </c>
      <c r="K811" s="19" t="s">
        <v>10039</v>
      </c>
      <c r="L811" s="19" t="s">
        <v>10040</v>
      </c>
      <c r="M811" s="19" t="s">
        <v>10041</v>
      </c>
      <c r="N811" s="19" t="s">
        <v>10042</v>
      </c>
      <c r="O811" s="19" t="s">
        <v>265</v>
      </c>
      <c r="P811" s="19" t="s">
        <v>10043</v>
      </c>
      <c r="Q811" s="15"/>
    </row>
    <row r="812" spans="1:17" ht="36">
      <c r="A812" s="18" t="s">
        <v>10044</v>
      </c>
      <c r="B812" s="19" t="s">
        <v>10045</v>
      </c>
      <c r="C812" s="19" t="s">
        <v>10046</v>
      </c>
      <c r="D812" s="19" t="s">
        <v>785</v>
      </c>
      <c r="E812" s="19" t="s">
        <v>2259</v>
      </c>
      <c r="F812" s="19" t="s">
        <v>4346</v>
      </c>
      <c r="G812" s="19" t="s">
        <v>1243</v>
      </c>
      <c r="H812" s="19" t="s">
        <v>10047</v>
      </c>
      <c r="I812" s="19" t="s">
        <v>10048</v>
      </c>
      <c r="J812" s="19" t="s">
        <v>1796</v>
      </c>
      <c r="K812" s="19" t="s">
        <v>6480</v>
      </c>
      <c r="L812" s="19" t="s">
        <v>1783</v>
      </c>
      <c r="M812" s="19" t="s">
        <v>9205</v>
      </c>
      <c r="N812" s="19" t="s">
        <v>10049</v>
      </c>
      <c r="O812" s="19" t="s">
        <v>994</v>
      </c>
      <c r="P812" s="19" t="s">
        <v>979</v>
      </c>
      <c r="Q812" s="15"/>
    </row>
    <row r="813" spans="1:17" ht="36">
      <c r="A813" s="18" t="s">
        <v>10050</v>
      </c>
      <c r="B813" s="19" t="s">
        <v>524</v>
      </c>
      <c r="C813" s="19" t="s">
        <v>10051</v>
      </c>
      <c r="D813" s="19" t="s">
        <v>4107</v>
      </c>
      <c r="E813" s="19" t="s">
        <v>10052</v>
      </c>
      <c r="F813" s="19" t="s">
        <v>2818</v>
      </c>
      <c r="G813" s="19" t="s">
        <v>10053</v>
      </c>
      <c r="H813" s="19" t="s">
        <v>7416</v>
      </c>
      <c r="I813" s="19" t="s">
        <v>883</v>
      </c>
      <c r="J813" s="19" t="s">
        <v>919</v>
      </c>
      <c r="K813" s="19" t="s">
        <v>6637</v>
      </c>
      <c r="L813" s="19" t="s">
        <v>8091</v>
      </c>
      <c r="M813" s="19" t="s">
        <v>971</v>
      </c>
      <c r="N813" s="19" t="s">
        <v>4174</v>
      </c>
      <c r="O813" s="19" t="s">
        <v>3458</v>
      </c>
      <c r="P813" s="15"/>
      <c r="Q813" s="15"/>
    </row>
    <row r="814" spans="1:17" ht="48">
      <c r="A814" s="18" t="s">
        <v>10054</v>
      </c>
      <c r="B814" s="19" t="s">
        <v>7227</v>
      </c>
      <c r="C814" s="19" t="s">
        <v>10055</v>
      </c>
      <c r="D814" s="19" t="s">
        <v>8615</v>
      </c>
      <c r="E814" s="19" t="s">
        <v>10056</v>
      </c>
      <c r="F814" s="19" t="s">
        <v>5745</v>
      </c>
      <c r="G814" s="19" t="s">
        <v>8546</v>
      </c>
      <c r="H814" s="19" t="s">
        <v>6977</v>
      </c>
      <c r="I814" s="19" t="s">
        <v>10057</v>
      </c>
      <c r="J814" s="19" t="s">
        <v>10058</v>
      </c>
      <c r="K814" s="19" t="s">
        <v>10059</v>
      </c>
      <c r="L814" s="19" t="s">
        <v>10060</v>
      </c>
      <c r="M814" s="19" t="s">
        <v>3793</v>
      </c>
      <c r="N814" s="19" t="s">
        <v>10061</v>
      </c>
      <c r="O814" s="19" t="s">
        <v>6179</v>
      </c>
      <c r="P814" s="19" t="s">
        <v>6731</v>
      </c>
      <c r="Q814" s="15"/>
    </row>
    <row r="815" spans="1:17" ht="36">
      <c r="A815" s="18" t="s">
        <v>10062</v>
      </c>
      <c r="B815" s="19" t="s">
        <v>10063</v>
      </c>
      <c r="C815" s="19" t="s">
        <v>10064</v>
      </c>
      <c r="D815" s="19" t="s">
        <v>10065</v>
      </c>
      <c r="E815" s="19" t="s">
        <v>10066</v>
      </c>
      <c r="F815" s="19" t="s">
        <v>10067</v>
      </c>
      <c r="G815" s="19" t="s">
        <v>10068</v>
      </c>
      <c r="H815" s="19" t="s">
        <v>10069</v>
      </c>
      <c r="I815" s="19" t="s">
        <v>10070</v>
      </c>
      <c r="J815" s="19" t="s">
        <v>10071</v>
      </c>
      <c r="K815" s="19" t="s">
        <v>10072</v>
      </c>
      <c r="L815" s="19" t="s">
        <v>10073</v>
      </c>
      <c r="M815" s="19" t="s">
        <v>10074</v>
      </c>
      <c r="N815" s="19" t="s">
        <v>10075</v>
      </c>
      <c r="O815" s="19" t="s">
        <v>10076</v>
      </c>
      <c r="P815" s="19" t="s">
        <v>10077</v>
      </c>
      <c r="Q815" s="19" t="s">
        <v>10078</v>
      </c>
    </row>
    <row r="816" spans="1:17" ht="24">
      <c r="A816" s="18" t="s">
        <v>10079</v>
      </c>
      <c r="B816" s="19" t="s">
        <v>10080</v>
      </c>
      <c r="C816" s="19" t="s">
        <v>10081</v>
      </c>
      <c r="D816" s="19" t="s">
        <v>10082</v>
      </c>
      <c r="E816" s="19" t="s">
        <v>10083</v>
      </c>
      <c r="F816" s="19" t="s">
        <v>10084</v>
      </c>
      <c r="G816" s="19" t="s">
        <v>10085</v>
      </c>
      <c r="H816" s="19" t="s">
        <v>10086</v>
      </c>
      <c r="I816" s="19" t="s">
        <v>10087</v>
      </c>
      <c r="J816" s="19" t="s">
        <v>10088</v>
      </c>
      <c r="K816" s="19" t="s">
        <v>10089</v>
      </c>
      <c r="L816" s="19" t="s">
        <v>10090</v>
      </c>
      <c r="M816" s="19" t="s">
        <v>10091</v>
      </c>
      <c r="N816" s="19" t="s">
        <v>10092</v>
      </c>
      <c r="O816" s="19" t="s">
        <v>10093</v>
      </c>
      <c r="P816" s="19" t="s">
        <v>10094</v>
      </c>
      <c r="Q816" s="19" t="s">
        <v>10095</v>
      </c>
    </row>
    <row r="817" spans="1:17" ht="48">
      <c r="A817" s="18" t="s">
        <v>10096</v>
      </c>
      <c r="B817" s="19" t="s">
        <v>10097</v>
      </c>
      <c r="C817" s="19" t="s">
        <v>10098</v>
      </c>
      <c r="D817" s="19" t="s">
        <v>10099</v>
      </c>
      <c r="E817" s="19" t="s">
        <v>10100</v>
      </c>
      <c r="F817" s="19" t="s">
        <v>10101</v>
      </c>
      <c r="G817" s="19" t="s">
        <v>10102</v>
      </c>
      <c r="H817" s="19" t="s">
        <v>10103</v>
      </c>
      <c r="I817" s="19" t="s">
        <v>10104</v>
      </c>
      <c r="J817" s="19" t="s">
        <v>8537</v>
      </c>
      <c r="K817" s="19" t="s">
        <v>10105</v>
      </c>
      <c r="L817" s="19" t="s">
        <v>10106</v>
      </c>
      <c r="M817" s="19" t="s">
        <v>10107</v>
      </c>
      <c r="N817" s="19" t="s">
        <v>10108</v>
      </c>
      <c r="O817" s="19" t="s">
        <v>10109</v>
      </c>
      <c r="P817" s="19" t="s">
        <v>3764</v>
      </c>
      <c r="Q817" s="19" t="s">
        <v>4226</v>
      </c>
    </row>
    <row r="818" spans="1:17" ht="36">
      <c r="A818" s="18" t="s">
        <v>10110</v>
      </c>
      <c r="B818" s="19" t="s">
        <v>10111</v>
      </c>
      <c r="C818" s="19" t="s">
        <v>10112</v>
      </c>
      <c r="D818" s="19" t="s">
        <v>10113</v>
      </c>
      <c r="E818" s="19" t="s">
        <v>10114</v>
      </c>
      <c r="F818" s="19" t="s">
        <v>10115</v>
      </c>
      <c r="G818" s="19" t="s">
        <v>10116</v>
      </c>
      <c r="H818" s="19" t="s">
        <v>10117</v>
      </c>
      <c r="I818" s="19" t="s">
        <v>10118</v>
      </c>
      <c r="J818" s="19" t="s">
        <v>10119</v>
      </c>
      <c r="K818" s="19" t="s">
        <v>10120</v>
      </c>
      <c r="L818" s="19" t="s">
        <v>10121</v>
      </c>
      <c r="M818" s="19" t="s">
        <v>10122</v>
      </c>
      <c r="N818" s="19" t="s">
        <v>10123</v>
      </c>
      <c r="O818" s="19" t="s">
        <v>10124</v>
      </c>
      <c r="P818" s="19" t="s">
        <v>10125</v>
      </c>
      <c r="Q818" s="19" t="s">
        <v>1368</v>
      </c>
    </row>
    <row r="819" spans="1:17" ht="48">
      <c r="A819" s="18" t="s">
        <v>10126</v>
      </c>
      <c r="B819" s="19" t="s">
        <v>8153</v>
      </c>
      <c r="C819" s="19" t="s">
        <v>10127</v>
      </c>
      <c r="D819" s="19" t="s">
        <v>10128</v>
      </c>
      <c r="E819" s="19" t="s">
        <v>10129</v>
      </c>
      <c r="F819" s="19" t="s">
        <v>10130</v>
      </c>
      <c r="G819" s="19" t="s">
        <v>10131</v>
      </c>
      <c r="H819" s="19" t="s">
        <v>10132</v>
      </c>
      <c r="I819" s="19" t="s">
        <v>10133</v>
      </c>
      <c r="J819" s="19" t="s">
        <v>2560</v>
      </c>
      <c r="K819" s="19" t="s">
        <v>10134</v>
      </c>
      <c r="L819" s="19" t="s">
        <v>10135</v>
      </c>
      <c r="M819" s="19" t="s">
        <v>10136</v>
      </c>
      <c r="N819" s="19" t="s">
        <v>10137</v>
      </c>
      <c r="O819" s="19" t="s">
        <v>10138</v>
      </c>
      <c r="P819" s="19" t="s">
        <v>5943</v>
      </c>
      <c r="Q819" s="19" t="s">
        <v>10139</v>
      </c>
    </row>
    <row r="820" spans="1:17" ht="36">
      <c r="A820" s="18" t="s">
        <v>10140</v>
      </c>
      <c r="B820" s="19" t="s">
        <v>10141</v>
      </c>
      <c r="C820" s="19" t="s">
        <v>10142</v>
      </c>
      <c r="D820" s="19" t="s">
        <v>10143</v>
      </c>
      <c r="E820" s="19" t="s">
        <v>10144</v>
      </c>
      <c r="F820" s="19" t="s">
        <v>10145</v>
      </c>
      <c r="G820" s="19" t="s">
        <v>10146</v>
      </c>
      <c r="H820" s="19" t="s">
        <v>10147</v>
      </c>
      <c r="I820" s="19" t="s">
        <v>6590</v>
      </c>
      <c r="J820" s="19" t="s">
        <v>10148</v>
      </c>
      <c r="K820" s="19" t="s">
        <v>10149</v>
      </c>
      <c r="L820" s="19" t="s">
        <v>10150</v>
      </c>
      <c r="M820" s="19" t="s">
        <v>10151</v>
      </c>
      <c r="N820" s="19" t="s">
        <v>10152</v>
      </c>
      <c r="O820" s="19" t="s">
        <v>10153</v>
      </c>
      <c r="P820" s="19" t="s">
        <v>10139</v>
      </c>
      <c r="Q820" s="19" t="s">
        <v>4008</v>
      </c>
    </row>
    <row r="821" spans="1:17" ht="48">
      <c r="A821" s="18" t="s">
        <v>10154</v>
      </c>
      <c r="B821" s="19" t="s">
        <v>10155</v>
      </c>
      <c r="C821" s="19" t="s">
        <v>10156</v>
      </c>
      <c r="D821" s="19" t="s">
        <v>10157</v>
      </c>
      <c r="E821" s="19" t="s">
        <v>10158</v>
      </c>
      <c r="F821" s="19" t="s">
        <v>10159</v>
      </c>
      <c r="G821" s="19" t="s">
        <v>10160</v>
      </c>
      <c r="H821" s="19" t="s">
        <v>10161</v>
      </c>
      <c r="I821" s="19" t="s">
        <v>10162</v>
      </c>
      <c r="J821" s="19" t="s">
        <v>10163</v>
      </c>
      <c r="K821" s="19" t="s">
        <v>10164</v>
      </c>
      <c r="L821" s="19" t="s">
        <v>10165</v>
      </c>
      <c r="M821" s="19" t="s">
        <v>10166</v>
      </c>
      <c r="N821" s="19" t="s">
        <v>10167</v>
      </c>
      <c r="O821" s="19" t="s">
        <v>10168</v>
      </c>
      <c r="P821" s="19" t="s">
        <v>10169</v>
      </c>
      <c r="Q821" s="19" t="s">
        <v>10170</v>
      </c>
    </row>
    <row r="822" spans="1:17" ht="60">
      <c r="A822" s="18" t="s">
        <v>10171</v>
      </c>
      <c r="B822" s="19" t="s">
        <v>7633</v>
      </c>
      <c r="C822" s="19" t="s">
        <v>10172</v>
      </c>
      <c r="D822" s="19" t="s">
        <v>10173</v>
      </c>
      <c r="E822" s="19" t="s">
        <v>10174</v>
      </c>
      <c r="F822" s="19" t="s">
        <v>10175</v>
      </c>
      <c r="G822" s="19" t="s">
        <v>10176</v>
      </c>
      <c r="H822" s="19" t="s">
        <v>9773</v>
      </c>
      <c r="I822" s="19" t="s">
        <v>10177</v>
      </c>
      <c r="J822" s="19" t="s">
        <v>10178</v>
      </c>
      <c r="K822" s="19" t="s">
        <v>10179</v>
      </c>
      <c r="L822" s="19" t="s">
        <v>10180</v>
      </c>
      <c r="M822" s="19" t="s">
        <v>10181</v>
      </c>
      <c r="N822" s="19" t="s">
        <v>10182</v>
      </c>
      <c r="O822" s="19" t="s">
        <v>10183</v>
      </c>
      <c r="P822" s="19" t="s">
        <v>10184</v>
      </c>
      <c r="Q822" s="19" t="s">
        <v>4544</v>
      </c>
    </row>
    <row r="823" spans="1:17" ht="48">
      <c r="A823" s="18" t="s">
        <v>10185</v>
      </c>
      <c r="B823" s="19" t="s">
        <v>9870</v>
      </c>
      <c r="C823" s="19" t="s">
        <v>10186</v>
      </c>
      <c r="D823" s="19" t="s">
        <v>10187</v>
      </c>
      <c r="E823" s="19" t="s">
        <v>7949</v>
      </c>
      <c r="F823" s="19" t="s">
        <v>10188</v>
      </c>
      <c r="G823" s="19" t="s">
        <v>10189</v>
      </c>
      <c r="H823" s="19" t="s">
        <v>10190</v>
      </c>
      <c r="I823" s="19" t="s">
        <v>10191</v>
      </c>
      <c r="J823" s="19" t="s">
        <v>528</v>
      </c>
      <c r="K823" s="19" t="s">
        <v>10192</v>
      </c>
      <c r="L823" s="19" t="s">
        <v>10193</v>
      </c>
      <c r="M823" s="19" t="s">
        <v>10194</v>
      </c>
      <c r="N823" s="19" t="s">
        <v>10195</v>
      </c>
      <c r="O823" s="19" t="s">
        <v>10196</v>
      </c>
      <c r="P823" s="19" t="s">
        <v>4103</v>
      </c>
      <c r="Q823" s="19" t="s">
        <v>2915</v>
      </c>
    </row>
    <row r="824" spans="1:17" ht="48">
      <c r="A824" s="18" t="s">
        <v>10197</v>
      </c>
      <c r="B824" s="19" t="s">
        <v>10198</v>
      </c>
      <c r="C824" s="19" t="s">
        <v>10199</v>
      </c>
      <c r="D824" s="19" t="s">
        <v>10200</v>
      </c>
      <c r="E824" s="19" t="s">
        <v>10201</v>
      </c>
      <c r="F824" s="19" t="s">
        <v>10202</v>
      </c>
      <c r="G824" s="19" t="s">
        <v>10203</v>
      </c>
      <c r="H824" s="19" t="s">
        <v>10204</v>
      </c>
      <c r="I824" s="19" t="s">
        <v>10205</v>
      </c>
      <c r="J824" s="19" t="s">
        <v>10206</v>
      </c>
      <c r="K824" s="19" t="s">
        <v>10207</v>
      </c>
      <c r="L824" s="19" t="s">
        <v>10208</v>
      </c>
      <c r="M824" s="19" t="s">
        <v>10209</v>
      </c>
      <c r="N824" s="19" t="s">
        <v>10210</v>
      </c>
      <c r="O824" s="19" t="s">
        <v>10211</v>
      </c>
      <c r="P824" s="19" t="s">
        <v>10212</v>
      </c>
      <c r="Q824" s="19" t="s">
        <v>10213</v>
      </c>
    </row>
    <row r="825" spans="1:17" ht="48">
      <c r="A825" s="18" t="s">
        <v>10214</v>
      </c>
      <c r="B825" s="19" t="s">
        <v>10215</v>
      </c>
      <c r="C825" s="19" t="s">
        <v>10216</v>
      </c>
      <c r="D825" s="19" t="s">
        <v>10217</v>
      </c>
      <c r="E825" s="19" t="s">
        <v>10218</v>
      </c>
      <c r="F825" s="19" t="s">
        <v>10219</v>
      </c>
      <c r="G825" s="19" t="s">
        <v>10220</v>
      </c>
      <c r="H825" s="19" t="s">
        <v>10221</v>
      </c>
      <c r="I825" s="19" t="s">
        <v>10222</v>
      </c>
      <c r="J825" s="19" t="s">
        <v>10223</v>
      </c>
      <c r="K825" s="19" t="s">
        <v>10224</v>
      </c>
      <c r="L825" s="19" t="s">
        <v>10225</v>
      </c>
      <c r="M825" s="19" t="s">
        <v>10226</v>
      </c>
      <c r="N825" s="19" t="s">
        <v>10227</v>
      </c>
      <c r="O825" s="19" t="s">
        <v>10228</v>
      </c>
      <c r="P825" s="19" t="s">
        <v>3865</v>
      </c>
      <c r="Q825" s="19" t="s">
        <v>10229</v>
      </c>
    </row>
    <row r="826" spans="1:17" ht="48">
      <c r="A826" s="18" t="s">
        <v>10230</v>
      </c>
      <c r="B826" s="19" t="s">
        <v>1574</v>
      </c>
      <c r="C826" s="19" t="s">
        <v>10231</v>
      </c>
      <c r="D826" s="19" t="s">
        <v>10232</v>
      </c>
      <c r="E826" s="19" t="s">
        <v>10233</v>
      </c>
      <c r="F826" s="19" t="s">
        <v>10234</v>
      </c>
      <c r="G826" s="19" t="s">
        <v>10235</v>
      </c>
      <c r="H826" s="19" t="s">
        <v>10236</v>
      </c>
      <c r="I826" s="19" t="s">
        <v>10237</v>
      </c>
      <c r="J826" s="19" t="s">
        <v>10238</v>
      </c>
      <c r="K826" s="19" t="s">
        <v>10239</v>
      </c>
      <c r="L826" s="19" t="s">
        <v>10240</v>
      </c>
      <c r="M826" s="19" t="s">
        <v>10241</v>
      </c>
      <c r="N826" s="19" t="s">
        <v>10242</v>
      </c>
      <c r="O826" s="19" t="s">
        <v>10243</v>
      </c>
      <c r="P826" s="19" t="s">
        <v>10244</v>
      </c>
      <c r="Q826" s="19" t="s">
        <v>10245</v>
      </c>
    </row>
    <row r="827" spans="1:17" ht="48">
      <c r="A827" s="18" t="s">
        <v>10246</v>
      </c>
      <c r="B827" s="19" t="s">
        <v>10247</v>
      </c>
      <c r="C827" s="19" t="s">
        <v>10248</v>
      </c>
      <c r="D827" s="19" t="s">
        <v>10249</v>
      </c>
      <c r="E827" s="19" t="s">
        <v>10250</v>
      </c>
      <c r="F827" s="19" t="s">
        <v>10251</v>
      </c>
      <c r="G827" s="19" t="s">
        <v>10252</v>
      </c>
      <c r="H827" s="19" t="s">
        <v>10253</v>
      </c>
      <c r="I827" s="19" t="s">
        <v>10254</v>
      </c>
      <c r="J827" s="19" t="s">
        <v>10255</v>
      </c>
      <c r="K827" s="19" t="s">
        <v>10256</v>
      </c>
      <c r="L827" s="19" t="s">
        <v>10257</v>
      </c>
      <c r="M827" s="19" t="s">
        <v>10258</v>
      </c>
      <c r="N827" s="19" t="s">
        <v>10259</v>
      </c>
      <c r="O827" s="19" t="s">
        <v>10260</v>
      </c>
      <c r="P827" s="19" t="s">
        <v>10261</v>
      </c>
      <c r="Q827" s="19" t="s">
        <v>10262</v>
      </c>
    </row>
    <row r="828" spans="1:17" ht="60">
      <c r="A828" s="18" t="s">
        <v>10263</v>
      </c>
      <c r="B828" s="19" t="s">
        <v>10264</v>
      </c>
      <c r="C828" s="19" t="s">
        <v>10265</v>
      </c>
      <c r="D828" s="19" t="s">
        <v>10266</v>
      </c>
      <c r="E828" s="19" t="s">
        <v>10267</v>
      </c>
      <c r="F828" s="19" t="s">
        <v>10268</v>
      </c>
      <c r="G828" s="19" t="s">
        <v>10269</v>
      </c>
      <c r="H828" s="19" t="s">
        <v>10270</v>
      </c>
      <c r="I828" s="19" t="s">
        <v>10271</v>
      </c>
      <c r="J828" s="19" t="s">
        <v>10272</v>
      </c>
      <c r="K828" s="19" t="s">
        <v>10273</v>
      </c>
      <c r="L828" s="19" t="s">
        <v>10274</v>
      </c>
      <c r="M828" s="19" t="s">
        <v>10275</v>
      </c>
      <c r="N828" s="19" t="s">
        <v>10276</v>
      </c>
      <c r="O828" s="19" t="s">
        <v>10277</v>
      </c>
      <c r="P828" s="19" t="s">
        <v>10278</v>
      </c>
      <c r="Q828" s="19" t="s">
        <v>10279</v>
      </c>
    </row>
    <row r="829" spans="1:17" ht="36">
      <c r="A829" s="18" t="s">
        <v>10280</v>
      </c>
      <c r="B829" s="19" t="s">
        <v>10281</v>
      </c>
      <c r="C829" s="19" t="s">
        <v>10282</v>
      </c>
      <c r="D829" s="19" t="s">
        <v>10283</v>
      </c>
      <c r="E829" s="19" t="s">
        <v>10284</v>
      </c>
      <c r="F829" s="19" t="s">
        <v>10285</v>
      </c>
      <c r="G829" s="19" t="s">
        <v>10286</v>
      </c>
      <c r="H829" s="19" t="s">
        <v>10287</v>
      </c>
      <c r="I829" s="19" t="s">
        <v>10288</v>
      </c>
      <c r="J829" s="19" t="s">
        <v>10289</v>
      </c>
      <c r="K829" s="19" t="s">
        <v>10290</v>
      </c>
      <c r="L829" s="19" t="s">
        <v>10291</v>
      </c>
      <c r="M829" s="19" t="s">
        <v>10292</v>
      </c>
      <c r="N829" s="19" t="s">
        <v>10293</v>
      </c>
      <c r="O829" s="19" t="s">
        <v>10294</v>
      </c>
      <c r="P829" s="19" t="s">
        <v>10295</v>
      </c>
      <c r="Q829" s="19" t="s">
        <v>10296</v>
      </c>
    </row>
    <row r="830" spans="1:17" ht="24">
      <c r="A830" s="18" t="s">
        <v>10297</v>
      </c>
      <c r="B830" s="19" t="s">
        <v>10298</v>
      </c>
      <c r="C830" s="19" t="s">
        <v>10299</v>
      </c>
      <c r="D830" s="19" t="s">
        <v>10300</v>
      </c>
      <c r="E830" s="19" t="s">
        <v>10301</v>
      </c>
      <c r="F830" s="19" t="s">
        <v>10302</v>
      </c>
      <c r="G830" s="19" t="s">
        <v>10303</v>
      </c>
      <c r="H830" s="19" t="s">
        <v>10304</v>
      </c>
      <c r="I830" s="19" t="s">
        <v>10305</v>
      </c>
      <c r="J830" s="19" t="s">
        <v>10306</v>
      </c>
      <c r="K830" s="19" t="s">
        <v>10307</v>
      </c>
      <c r="L830" s="19" t="s">
        <v>10308</v>
      </c>
      <c r="M830" s="19" t="s">
        <v>10309</v>
      </c>
      <c r="N830" s="19" t="s">
        <v>10310</v>
      </c>
      <c r="O830" s="19" t="s">
        <v>10311</v>
      </c>
      <c r="P830" s="19" t="s">
        <v>10312</v>
      </c>
      <c r="Q830" s="19" t="s">
        <v>3562</v>
      </c>
    </row>
    <row r="831" spans="1:17" ht="24">
      <c r="A831" s="18" t="s">
        <v>10313</v>
      </c>
      <c r="B831" s="19" t="s">
        <v>10314</v>
      </c>
      <c r="C831" s="19" t="s">
        <v>10315</v>
      </c>
      <c r="D831" s="19" t="s">
        <v>10316</v>
      </c>
      <c r="E831" s="19" t="s">
        <v>10317</v>
      </c>
      <c r="F831" s="19" t="s">
        <v>8100</v>
      </c>
      <c r="G831" s="19" t="s">
        <v>10318</v>
      </c>
      <c r="H831" s="19" t="s">
        <v>10319</v>
      </c>
      <c r="I831" s="19" t="s">
        <v>10320</v>
      </c>
      <c r="J831" s="19" t="s">
        <v>10321</v>
      </c>
      <c r="K831" s="19" t="s">
        <v>10322</v>
      </c>
      <c r="L831" s="19" t="s">
        <v>10323</v>
      </c>
      <c r="M831" s="19" t="s">
        <v>10324</v>
      </c>
      <c r="N831" s="19" t="s">
        <v>10325</v>
      </c>
      <c r="O831" s="19" t="s">
        <v>10326</v>
      </c>
      <c r="P831" s="19" t="s">
        <v>3700</v>
      </c>
      <c r="Q831" s="19" t="s">
        <v>903</v>
      </c>
    </row>
    <row r="832" spans="1:17" ht="36">
      <c r="A832" s="18" t="s">
        <v>10327</v>
      </c>
      <c r="B832" s="19" t="s">
        <v>10328</v>
      </c>
      <c r="C832" s="19" t="s">
        <v>10329</v>
      </c>
      <c r="D832" s="19" t="s">
        <v>10330</v>
      </c>
      <c r="E832" s="19" t="s">
        <v>10331</v>
      </c>
      <c r="F832" s="19" t="s">
        <v>10332</v>
      </c>
      <c r="G832" s="19" t="s">
        <v>10333</v>
      </c>
      <c r="H832" s="19" t="s">
        <v>10334</v>
      </c>
      <c r="I832" s="19" t="s">
        <v>5282</v>
      </c>
      <c r="J832" s="19" t="s">
        <v>10335</v>
      </c>
      <c r="K832" s="19" t="s">
        <v>10336</v>
      </c>
      <c r="L832" s="19" t="s">
        <v>10337</v>
      </c>
      <c r="M832" s="19" t="s">
        <v>10338</v>
      </c>
      <c r="N832" s="19" t="s">
        <v>10339</v>
      </c>
      <c r="O832" s="19" t="s">
        <v>10340</v>
      </c>
      <c r="P832" s="19" t="s">
        <v>3804</v>
      </c>
      <c r="Q832" s="19" t="s">
        <v>1812</v>
      </c>
    </row>
    <row r="833" spans="1:17" ht="36">
      <c r="A833" s="18" t="s">
        <v>10341</v>
      </c>
      <c r="B833" s="19" t="s">
        <v>10342</v>
      </c>
      <c r="C833" s="19" t="s">
        <v>10343</v>
      </c>
      <c r="D833" s="19" t="s">
        <v>10344</v>
      </c>
      <c r="E833" s="19" t="s">
        <v>6669</v>
      </c>
      <c r="F833" s="19" t="s">
        <v>10345</v>
      </c>
      <c r="G833" s="19" t="s">
        <v>10346</v>
      </c>
      <c r="H833" s="19" t="s">
        <v>10347</v>
      </c>
      <c r="I833" s="19" t="s">
        <v>2860</v>
      </c>
      <c r="J833" s="19" t="s">
        <v>10348</v>
      </c>
      <c r="K833" s="19" t="s">
        <v>10349</v>
      </c>
      <c r="L833" s="19" t="s">
        <v>10350</v>
      </c>
      <c r="M833" s="19" t="s">
        <v>10351</v>
      </c>
      <c r="N833" s="19" t="s">
        <v>2156</v>
      </c>
      <c r="O833" s="19" t="s">
        <v>898</v>
      </c>
      <c r="P833" s="19" t="s">
        <v>919</v>
      </c>
      <c r="Q833" s="19" t="s">
        <v>5943</v>
      </c>
    </row>
    <row r="834" spans="1:17" ht="24">
      <c r="A834" s="18" t="s">
        <v>10352</v>
      </c>
      <c r="B834" s="19" t="s">
        <v>10353</v>
      </c>
      <c r="C834" s="19" t="s">
        <v>10354</v>
      </c>
      <c r="D834" s="19" t="s">
        <v>10355</v>
      </c>
      <c r="E834" s="19" t="s">
        <v>10356</v>
      </c>
      <c r="F834" s="19" t="s">
        <v>10357</v>
      </c>
      <c r="G834" s="19" t="s">
        <v>10358</v>
      </c>
      <c r="H834" s="19" t="s">
        <v>10359</v>
      </c>
      <c r="I834" s="19" t="s">
        <v>2311</v>
      </c>
      <c r="J834" s="19" t="s">
        <v>10360</v>
      </c>
      <c r="K834" s="19" t="s">
        <v>10361</v>
      </c>
      <c r="L834" s="19" t="s">
        <v>10362</v>
      </c>
      <c r="M834" s="19" t="s">
        <v>10363</v>
      </c>
      <c r="N834" s="19" t="s">
        <v>10364</v>
      </c>
      <c r="O834" s="19" t="s">
        <v>10365</v>
      </c>
      <c r="P834" s="19" t="s">
        <v>10366</v>
      </c>
      <c r="Q834" s="19" t="s">
        <v>10367</v>
      </c>
    </row>
    <row r="835" spans="1:17" ht="36">
      <c r="A835" s="18" t="s">
        <v>10368</v>
      </c>
      <c r="B835" s="19" t="s">
        <v>1262</v>
      </c>
      <c r="C835" s="19" t="s">
        <v>10369</v>
      </c>
      <c r="D835" s="19" t="s">
        <v>10370</v>
      </c>
      <c r="E835" s="19" t="s">
        <v>10371</v>
      </c>
      <c r="F835" s="19" t="s">
        <v>10372</v>
      </c>
      <c r="G835" s="19" t="s">
        <v>10373</v>
      </c>
      <c r="H835" s="19" t="s">
        <v>10374</v>
      </c>
      <c r="I835" s="19" t="s">
        <v>10375</v>
      </c>
      <c r="J835" s="19" t="s">
        <v>10376</v>
      </c>
      <c r="K835" s="19" t="s">
        <v>10377</v>
      </c>
      <c r="L835" s="19" t="s">
        <v>10378</v>
      </c>
      <c r="M835" s="19" t="s">
        <v>10379</v>
      </c>
      <c r="N835" s="19" t="s">
        <v>10380</v>
      </c>
      <c r="O835" s="19" t="s">
        <v>10381</v>
      </c>
      <c r="P835" s="19" t="s">
        <v>10382</v>
      </c>
      <c r="Q835" s="19" t="s">
        <v>10383</v>
      </c>
    </row>
    <row r="836" spans="1:17" ht="36">
      <c r="A836" s="18" t="s">
        <v>10384</v>
      </c>
      <c r="B836" s="19" t="s">
        <v>837</v>
      </c>
      <c r="C836" s="19" t="s">
        <v>10385</v>
      </c>
      <c r="D836" s="19" t="s">
        <v>10386</v>
      </c>
      <c r="E836" s="19" t="s">
        <v>10387</v>
      </c>
      <c r="F836" s="19" t="s">
        <v>2716</v>
      </c>
      <c r="G836" s="19" t="s">
        <v>10388</v>
      </c>
      <c r="H836" s="19" t="s">
        <v>10389</v>
      </c>
      <c r="I836" s="19" t="s">
        <v>10390</v>
      </c>
      <c r="J836" s="19" t="s">
        <v>8982</v>
      </c>
      <c r="K836" s="19" t="s">
        <v>10391</v>
      </c>
      <c r="L836" s="19" t="s">
        <v>10392</v>
      </c>
      <c r="M836" s="19" t="s">
        <v>10393</v>
      </c>
      <c r="N836" s="19" t="s">
        <v>5814</v>
      </c>
      <c r="O836" s="19" t="s">
        <v>10394</v>
      </c>
      <c r="P836" s="19" t="s">
        <v>2916</v>
      </c>
      <c r="Q836" s="19" t="s">
        <v>1098</v>
      </c>
    </row>
    <row r="837" spans="1:17" ht="36">
      <c r="A837" s="18" t="s">
        <v>10395</v>
      </c>
      <c r="B837" s="19" t="s">
        <v>5668</v>
      </c>
      <c r="C837" s="19" t="s">
        <v>10396</v>
      </c>
      <c r="D837" s="19" t="s">
        <v>10397</v>
      </c>
      <c r="E837" s="19" t="s">
        <v>10398</v>
      </c>
      <c r="F837" s="19" t="s">
        <v>10399</v>
      </c>
      <c r="G837" s="19" t="s">
        <v>10400</v>
      </c>
      <c r="H837" s="19" t="s">
        <v>10401</v>
      </c>
      <c r="I837" s="19" t="s">
        <v>10402</v>
      </c>
      <c r="J837" s="19" t="s">
        <v>10403</v>
      </c>
      <c r="K837" s="19" t="s">
        <v>10404</v>
      </c>
      <c r="L837" s="19" t="s">
        <v>10405</v>
      </c>
      <c r="M837" s="19" t="s">
        <v>10406</v>
      </c>
      <c r="N837" s="19" t="s">
        <v>10407</v>
      </c>
      <c r="O837" s="19" t="s">
        <v>10408</v>
      </c>
      <c r="P837" s="19" t="s">
        <v>1373</v>
      </c>
      <c r="Q837" s="19" t="s">
        <v>2503</v>
      </c>
    </row>
    <row r="838" spans="1:17" ht="36">
      <c r="A838" s="18" t="s">
        <v>10409</v>
      </c>
      <c r="B838" s="19" t="s">
        <v>5301</v>
      </c>
      <c r="C838" s="19" t="s">
        <v>10410</v>
      </c>
      <c r="D838" s="19" t="s">
        <v>8109</v>
      </c>
      <c r="E838" s="19" t="s">
        <v>3277</v>
      </c>
      <c r="F838" s="19" t="s">
        <v>10411</v>
      </c>
      <c r="G838" s="19" t="s">
        <v>10412</v>
      </c>
      <c r="H838" s="19" t="s">
        <v>10413</v>
      </c>
      <c r="I838" s="19" t="s">
        <v>10414</v>
      </c>
      <c r="J838" s="19" t="s">
        <v>6513</v>
      </c>
      <c r="K838" s="19" t="s">
        <v>10415</v>
      </c>
      <c r="L838" s="19" t="s">
        <v>10416</v>
      </c>
      <c r="M838" s="19" t="s">
        <v>10417</v>
      </c>
      <c r="N838" s="19" t="s">
        <v>10418</v>
      </c>
      <c r="O838" s="19" t="s">
        <v>10419</v>
      </c>
      <c r="P838" s="19" t="s">
        <v>7599</v>
      </c>
      <c r="Q838" s="15"/>
    </row>
    <row r="839" spans="1:17" ht="36">
      <c r="A839" s="18" t="s">
        <v>10420</v>
      </c>
      <c r="B839" s="19" t="s">
        <v>10421</v>
      </c>
      <c r="C839" s="19" t="s">
        <v>10422</v>
      </c>
      <c r="D839" s="19" t="s">
        <v>10423</v>
      </c>
      <c r="E839" s="19" t="s">
        <v>10424</v>
      </c>
      <c r="F839" s="19" t="s">
        <v>10425</v>
      </c>
      <c r="G839" s="19" t="s">
        <v>10426</v>
      </c>
      <c r="H839" s="19" t="s">
        <v>10427</v>
      </c>
      <c r="I839" s="19" t="s">
        <v>10428</v>
      </c>
      <c r="J839" s="19" t="s">
        <v>10429</v>
      </c>
      <c r="K839" s="19" t="s">
        <v>10430</v>
      </c>
      <c r="L839" s="19" t="s">
        <v>10431</v>
      </c>
      <c r="M839" s="19" t="s">
        <v>10432</v>
      </c>
      <c r="N839" s="19" t="s">
        <v>10433</v>
      </c>
      <c r="O839" s="19" t="s">
        <v>10434</v>
      </c>
      <c r="P839" s="19" t="s">
        <v>10435</v>
      </c>
      <c r="Q839" s="19" t="s">
        <v>10436</v>
      </c>
    </row>
    <row r="840" spans="1:17" ht="36">
      <c r="A840" s="18" t="s">
        <v>10437</v>
      </c>
      <c r="B840" s="19" t="s">
        <v>10438</v>
      </c>
      <c r="C840" s="19" t="s">
        <v>10439</v>
      </c>
      <c r="D840" s="19" t="s">
        <v>10440</v>
      </c>
      <c r="E840" s="19" t="s">
        <v>10441</v>
      </c>
      <c r="F840" s="19" t="s">
        <v>10442</v>
      </c>
      <c r="G840" s="19" t="s">
        <v>10443</v>
      </c>
      <c r="H840" s="19" t="s">
        <v>10444</v>
      </c>
      <c r="I840" s="19" t="s">
        <v>10445</v>
      </c>
      <c r="J840" s="19" t="s">
        <v>10446</v>
      </c>
      <c r="K840" s="19" t="s">
        <v>10447</v>
      </c>
      <c r="L840" s="19" t="s">
        <v>10448</v>
      </c>
      <c r="M840" s="19" t="s">
        <v>10449</v>
      </c>
      <c r="N840" s="19" t="s">
        <v>10450</v>
      </c>
      <c r="O840" s="19" t="s">
        <v>10451</v>
      </c>
      <c r="P840" s="19" t="s">
        <v>10452</v>
      </c>
      <c r="Q840" s="19" t="s">
        <v>5352</v>
      </c>
    </row>
    <row r="841" spans="1:17" ht="48">
      <c r="A841" s="18" t="s">
        <v>10453</v>
      </c>
      <c r="B841" s="19" t="s">
        <v>10454</v>
      </c>
      <c r="C841" s="19" t="s">
        <v>10455</v>
      </c>
      <c r="D841" s="19" t="s">
        <v>10456</v>
      </c>
      <c r="E841" s="19" t="s">
        <v>10457</v>
      </c>
      <c r="F841" s="19" t="s">
        <v>10458</v>
      </c>
      <c r="G841" s="19" t="s">
        <v>10459</v>
      </c>
      <c r="H841" s="19" t="s">
        <v>10460</v>
      </c>
      <c r="I841" s="19" t="s">
        <v>10461</v>
      </c>
      <c r="J841" s="19" t="s">
        <v>10462</v>
      </c>
      <c r="K841" s="19" t="s">
        <v>10463</v>
      </c>
      <c r="L841" s="19" t="s">
        <v>10464</v>
      </c>
      <c r="M841" s="19" t="s">
        <v>10465</v>
      </c>
      <c r="N841" s="19" t="s">
        <v>10466</v>
      </c>
      <c r="O841" s="19" t="s">
        <v>10467</v>
      </c>
      <c r="P841" s="19" t="s">
        <v>10468</v>
      </c>
      <c r="Q841" s="19" t="s">
        <v>3898</v>
      </c>
    </row>
    <row r="842" spans="1:17" ht="48">
      <c r="A842" s="18" t="s">
        <v>10469</v>
      </c>
      <c r="B842" s="19" t="s">
        <v>10470</v>
      </c>
      <c r="C842" s="19" t="s">
        <v>10471</v>
      </c>
      <c r="D842" s="19" t="s">
        <v>10472</v>
      </c>
      <c r="E842" s="19" t="s">
        <v>10473</v>
      </c>
      <c r="F842" s="19" t="s">
        <v>10474</v>
      </c>
      <c r="G842" s="19" t="s">
        <v>10475</v>
      </c>
      <c r="H842" s="19" t="s">
        <v>10476</v>
      </c>
      <c r="I842" s="19" t="s">
        <v>10477</v>
      </c>
      <c r="J842" s="19" t="s">
        <v>3959</v>
      </c>
      <c r="K842" s="19" t="s">
        <v>10478</v>
      </c>
      <c r="L842" s="19" t="s">
        <v>10479</v>
      </c>
      <c r="M842" s="19" t="s">
        <v>10480</v>
      </c>
      <c r="N842" s="19" t="s">
        <v>10481</v>
      </c>
      <c r="O842" s="19" t="s">
        <v>10482</v>
      </c>
      <c r="P842" s="19" t="s">
        <v>10483</v>
      </c>
      <c r="Q842" s="19" t="s">
        <v>5666</v>
      </c>
    </row>
    <row r="843" spans="1:17" ht="48">
      <c r="A843" s="18" t="s">
        <v>10484</v>
      </c>
      <c r="B843" s="19" t="s">
        <v>5442</v>
      </c>
      <c r="C843" s="19" t="s">
        <v>10485</v>
      </c>
      <c r="D843" s="19" t="s">
        <v>5615</v>
      </c>
      <c r="E843" s="19" t="s">
        <v>10486</v>
      </c>
      <c r="F843" s="19" t="s">
        <v>10487</v>
      </c>
      <c r="G843" s="19" t="s">
        <v>10488</v>
      </c>
      <c r="H843" s="19" t="s">
        <v>10489</v>
      </c>
      <c r="I843" s="19" t="s">
        <v>10490</v>
      </c>
      <c r="J843" s="19" t="s">
        <v>7441</v>
      </c>
      <c r="K843" s="19" t="s">
        <v>10491</v>
      </c>
      <c r="L843" s="19" t="s">
        <v>10492</v>
      </c>
      <c r="M843" s="19" t="s">
        <v>10493</v>
      </c>
      <c r="N843" s="19" t="s">
        <v>10494</v>
      </c>
      <c r="O843" s="19" t="s">
        <v>10495</v>
      </c>
      <c r="P843" s="15"/>
      <c r="Q843" s="19" t="s">
        <v>1162</v>
      </c>
    </row>
    <row r="844" spans="1:17" ht="48">
      <c r="A844" s="18" t="s">
        <v>10496</v>
      </c>
      <c r="B844" s="19" t="s">
        <v>10497</v>
      </c>
      <c r="C844" s="19" t="s">
        <v>10498</v>
      </c>
      <c r="D844" s="19" t="s">
        <v>10499</v>
      </c>
      <c r="E844" s="19" t="s">
        <v>10500</v>
      </c>
      <c r="F844" s="19" t="s">
        <v>10501</v>
      </c>
      <c r="G844" s="19" t="s">
        <v>10502</v>
      </c>
      <c r="H844" s="19" t="s">
        <v>10503</v>
      </c>
      <c r="I844" s="19" t="s">
        <v>10504</v>
      </c>
      <c r="J844" s="19" t="s">
        <v>10505</v>
      </c>
      <c r="K844" s="19" t="s">
        <v>10506</v>
      </c>
      <c r="L844" s="19" t="s">
        <v>10507</v>
      </c>
      <c r="M844" s="19" t="s">
        <v>10508</v>
      </c>
      <c r="N844" s="19" t="s">
        <v>10509</v>
      </c>
      <c r="O844" s="19" t="s">
        <v>10510</v>
      </c>
      <c r="P844" s="19" t="s">
        <v>3122</v>
      </c>
      <c r="Q844" s="19" t="s">
        <v>10511</v>
      </c>
    </row>
    <row r="845" spans="1:17" ht="48">
      <c r="A845" s="18" t="s">
        <v>10512</v>
      </c>
      <c r="B845" s="19" t="s">
        <v>5442</v>
      </c>
      <c r="C845" s="19" t="s">
        <v>10513</v>
      </c>
      <c r="D845" s="19" t="s">
        <v>10514</v>
      </c>
      <c r="E845" s="19" t="s">
        <v>10515</v>
      </c>
      <c r="F845" s="19" t="s">
        <v>10516</v>
      </c>
      <c r="G845" s="19" t="s">
        <v>10517</v>
      </c>
      <c r="H845" s="19" t="s">
        <v>10518</v>
      </c>
      <c r="I845" s="19" t="s">
        <v>10519</v>
      </c>
      <c r="J845" s="19" t="s">
        <v>10520</v>
      </c>
      <c r="K845" s="19" t="s">
        <v>10521</v>
      </c>
      <c r="L845" s="19" t="s">
        <v>10522</v>
      </c>
      <c r="M845" s="19" t="s">
        <v>10523</v>
      </c>
      <c r="N845" s="19" t="s">
        <v>10524</v>
      </c>
      <c r="O845" s="19" t="s">
        <v>10525</v>
      </c>
      <c r="P845" s="19" t="s">
        <v>6731</v>
      </c>
      <c r="Q845" s="19" t="s">
        <v>2899</v>
      </c>
    </row>
    <row r="846" spans="1:17" ht="60">
      <c r="A846" s="20" t="s">
        <v>10526</v>
      </c>
      <c r="B846" s="21" t="s">
        <v>9106</v>
      </c>
      <c r="C846" s="21" t="s">
        <v>10527</v>
      </c>
      <c r="D846" s="21" t="s">
        <v>10528</v>
      </c>
      <c r="E846" s="21" t="s">
        <v>10529</v>
      </c>
      <c r="F846" s="21" t="s">
        <v>10530</v>
      </c>
      <c r="G846" s="21" t="s">
        <v>10531</v>
      </c>
      <c r="H846" s="21" t="s">
        <v>8070</v>
      </c>
      <c r="I846" s="21" t="s">
        <v>10532</v>
      </c>
      <c r="J846" s="21" t="s">
        <v>8771</v>
      </c>
      <c r="K846" s="21" t="s">
        <v>10533</v>
      </c>
      <c r="L846" s="21" t="s">
        <v>10534</v>
      </c>
      <c r="M846" s="21" t="s">
        <v>10535</v>
      </c>
      <c r="N846" s="21" t="s">
        <v>10536</v>
      </c>
      <c r="O846" s="21" t="s">
        <v>10537</v>
      </c>
      <c r="P846" s="23"/>
      <c r="Q846" s="21" t="s">
        <v>903</v>
      </c>
    </row>
    <row r="847" spans="1:17" ht="15.6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</row>
    <row r="848" spans="1:17" ht="15.6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 spans="1:17">
      <c r="A849" s="12" t="s">
        <v>10538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spans="1:17">
      <c r="A850" s="3" t="s">
        <v>159</v>
      </c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 spans="1:17">
      <c r="A851" s="127" t="s">
        <v>160</v>
      </c>
      <c r="B851" s="131" t="s">
        <v>161</v>
      </c>
      <c r="C851" s="135" t="s">
        <v>162</v>
      </c>
      <c r="D851" s="125"/>
      <c r="E851" s="125"/>
      <c r="F851" s="125"/>
      <c r="G851" s="125"/>
      <c r="H851" s="125"/>
      <c r="I851" s="125"/>
      <c r="J851" s="126"/>
      <c r="K851" s="135" t="s">
        <v>163</v>
      </c>
      <c r="L851" s="125"/>
      <c r="M851" s="126"/>
      <c r="N851" s="135" t="s">
        <v>164</v>
      </c>
      <c r="O851" s="125"/>
      <c r="P851" s="125"/>
      <c r="Q851" s="125"/>
    </row>
    <row r="852" spans="1:17">
      <c r="A852" s="128"/>
      <c r="B852" s="132"/>
      <c r="C852" s="132"/>
      <c r="D852" s="131" t="s">
        <v>165</v>
      </c>
      <c r="E852" s="131" t="s">
        <v>166</v>
      </c>
      <c r="F852" s="131" t="s">
        <v>167</v>
      </c>
      <c r="G852" s="135" t="s">
        <v>168</v>
      </c>
      <c r="H852" s="125"/>
      <c r="I852" s="125"/>
      <c r="J852" s="126"/>
      <c r="K852" s="132"/>
      <c r="L852" s="135" t="s">
        <v>169</v>
      </c>
      <c r="M852" s="13"/>
      <c r="N852" s="132"/>
      <c r="O852" s="135" t="s">
        <v>170</v>
      </c>
      <c r="P852" s="125"/>
      <c r="Q852" s="125"/>
    </row>
    <row r="853" spans="1:17">
      <c r="A853" s="128"/>
      <c r="B853" s="132"/>
      <c r="C853" s="132"/>
      <c r="D853" s="132"/>
      <c r="E853" s="132"/>
      <c r="F853" s="132"/>
      <c r="G853" s="132"/>
      <c r="H853" s="131" t="s">
        <v>171</v>
      </c>
      <c r="I853" s="135" t="s">
        <v>854</v>
      </c>
      <c r="J853" s="13"/>
      <c r="K853" s="132"/>
      <c r="L853" s="132"/>
      <c r="M853" s="131" t="s">
        <v>173</v>
      </c>
      <c r="N853" s="132"/>
      <c r="O853" s="132"/>
      <c r="P853" s="131" t="s">
        <v>174</v>
      </c>
      <c r="Q853" s="135" t="s">
        <v>175</v>
      </c>
    </row>
    <row r="854" spans="1:17">
      <c r="A854" s="129"/>
      <c r="B854" s="133"/>
      <c r="C854" s="133"/>
      <c r="D854" s="133"/>
      <c r="E854" s="133"/>
      <c r="F854" s="133"/>
      <c r="G854" s="133"/>
      <c r="H854" s="133"/>
      <c r="I854" s="133"/>
      <c r="J854" s="14" t="s">
        <v>176</v>
      </c>
      <c r="K854" s="133"/>
      <c r="L854" s="133"/>
      <c r="M854" s="133"/>
      <c r="N854" s="133"/>
      <c r="O854" s="133"/>
      <c r="P854" s="133"/>
      <c r="Q854" s="137"/>
    </row>
    <row r="855" spans="1:17" ht="48">
      <c r="A855" s="7" t="s">
        <v>10539</v>
      </c>
      <c r="B855" s="6" t="s">
        <v>8340</v>
      </c>
      <c r="C855" s="6" t="s">
        <v>10540</v>
      </c>
      <c r="D855" s="6" t="s">
        <v>10541</v>
      </c>
      <c r="E855" s="6" t="s">
        <v>10542</v>
      </c>
      <c r="F855" s="6" t="s">
        <v>10543</v>
      </c>
      <c r="G855" s="6" t="s">
        <v>10544</v>
      </c>
      <c r="H855" s="6" t="s">
        <v>10545</v>
      </c>
      <c r="I855" s="6" t="s">
        <v>6585</v>
      </c>
      <c r="J855" s="6" t="s">
        <v>10546</v>
      </c>
      <c r="K855" s="6" t="s">
        <v>10547</v>
      </c>
      <c r="L855" s="6" t="s">
        <v>2331</v>
      </c>
      <c r="M855" s="6" t="s">
        <v>6037</v>
      </c>
      <c r="N855" s="6" t="s">
        <v>10548</v>
      </c>
      <c r="O855" s="6" t="s">
        <v>10549</v>
      </c>
      <c r="P855" s="6" t="s">
        <v>2568</v>
      </c>
      <c r="Q855" s="6" t="s">
        <v>1700</v>
      </c>
    </row>
    <row r="856" spans="1:17" ht="48">
      <c r="A856" s="7" t="s">
        <v>10550</v>
      </c>
      <c r="B856" s="6" t="s">
        <v>4632</v>
      </c>
      <c r="C856" s="6" t="s">
        <v>10551</v>
      </c>
      <c r="D856" s="6" t="s">
        <v>1804</v>
      </c>
      <c r="E856" s="6" t="s">
        <v>10552</v>
      </c>
      <c r="F856" s="6" t="s">
        <v>10553</v>
      </c>
      <c r="G856" s="6" t="s">
        <v>10554</v>
      </c>
      <c r="H856" s="6" t="s">
        <v>10555</v>
      </c>
      <c r="I856" s="6" t="s">
        <v>10556</v>
      </c>
      <c r="J856" s="6" t="s">
        <v>10557</v>
      </c>
      <c r="K856" s="6" t="s">
        <v>10558</v>
      </c>
      <c r="L856" s="6" t="s">
        <v>10559</v>
      </c>
      <c r="M856" s="6" t="s">
        <v>10560</v>
      </c>
      <c r="N856" s="6" t="s">
        <v>10561</v>
      </c>
      <c r="O856" s="6" t="s">
        <v>10562</v>
      </c>
      <c r="P856" s="6" t="s">
        <v>3593</v>
      </c>
      <c r="Q856" s="6" t="s">
        <v>10563</v>
      </c>
    </row>
    <row r="857" spans="1:17" ht="48">
      <c r="A857" s="7" t="s">
        <v>10564</v>
      </c>
      <c r="B857" s="6" t="s">
        <v>10565</v>
      </c>
      <c r="C857" s="6" t="s">
        <v>10566</v>
      </c>
      <c r="D857" s="6" t="s">
        <v>10567</v>
      </c>
      <c r="E857" s="6" t="s">
        <v>10568</v>
      </c>
      <c r="F857" s="6" t="s">
        <v>10569</v>
      </c>
      <c r="G857" s="6" t="s">
        <v>10570</v>
      </c>
      <c r="H857" s="6" t="s">
        <v>10571</v>
      </c>
      <c r="I857" s="6" t="s">
        <v>9813</v>
      </c>
      <c r="J857" s="6" t="s">
        <v>10572</v>
      </c>
      <c r="K857" s="6" t="s">
        <v>10573</v>
      </c>
      <c r="L857" s="6" t="s">
        <v>10574</v>
      </c>
      <c r="M857" s="6" t="s">
        <v>10575</v>
      </c>
      <c r="N857" s="6" t="s">
        <v>10576</v>
      </c>
      <c r="O857" s="6" t="s">
        <v>5209</v>
      </c>
      <c r="P857" s="6" t="s">
        <v>439</v>
      </c>
      <c r="Q857" s="6" t="s">
        <v>1093</v>
      </c>
    </row>
    <row r="858" spans="1:17" ht="60">
      <c r="A858" s="7" t="s">
        <v>10577</v>
      </c>
      <c r="B858" s="6" t="s">
        <v>3138</v>
      </c>
      <c r="C858" s="6" t="s">
        <v>10578</v>
      </c>
      <c r="D858" s="6" t="s">
        <v>10579</v>
      </c>
      <c r="E858" s="6" t="s">
        <v>1481</v>
      </c>
      <c r="F858" s="6" t="s">
        <v>8257</v>
      </c>
      <c r="G858" s="6" t="s">
        <v>10580</v>
      </c>
      <c r="H858" s="6" t="s">
        <v>10581</v>
      </c>
      <c r="I858" s="6" t="s">
        <v>8912</v>
      </c>
      <c r="J858" s="6" t="s">
        <v>5761</v>
      </c>
      <c r="K858" s="6" t="s">
        <v>10582</v>
      </c>
      <c r="L858" s="6" t="s">
        <v>10583</v>
      </c>
      <c r="M858" s="6" t="s">
        <v>10584</v>
      </c>
      <c r="N858" s="6" t="s">
        <v>1854</v>
      </c>
      <c r="O858" s="6" t="s">
        <v>10585</v>
      </c>
      <c r="P858" s="6" t="s">
        <v>2570</v>
      </c>
      <c r="Q858" s="6" t="s">
        <v>661</v>
      </c>
    </row>
    <row r="859" spans="1:17" ht="36">
      <c r="A859" s="7" t="s">
        <v>10586</v>
      </c>
      <c r="B859" s="6" t="s">
        <v>490</v>
      </c>
      <c r="C859" s="6" t="s">
        <v>10587</v>
      </c>
      <c r="D859" s="6" t="s">
        <v>4269</v>
      </c>
      <c r="E859" s="6" t="s">
        <v>10588</v>
      </c>
      <c r="F859" s="6" t="s">
        <v>10589</v>
      </c>
      <c r="G859" s="6" t="s">
        <v>10590</v>
      </c>
      <c r="H859" s="6" t="s">
        <v>10591</v>
      </c>
      <c r="I859" s="6" t="s">
        <v>3837</v>
      </c>
      <c r="J859" s="6" t="s">
        <v>435</v>
      </c>
      <c r="K859" s="6" t="s">
        <v>10592</v>
      </c>
      <c r="L859" s="6" t="s">
        <v>10593</v>
      </c>
      <c r="M859" s="6" t="s">
        <v>10594</v>
      </c>
      <c r="N859" s="6" t="s">
        <v>10595</v>
      </c>
      <c r="O859" s="6" t="s">
        <v>10596</v>
      </c>
      <c r="P859" s="6" t="s">
        <v>6239</v>
      </c>
      <c r="Q859" s="6" t="s">
        <v>2899</v>
      </c>
    </row>
    <row r="860" spans="1:17" ht="48">
      <c r="A860" s="7" t="s">
        <v>10597</v>
      </c>
      <c r="B860" s="6" t="s">
        <v>1985</v>
      </c>
      <c r="C860" s="6" t="s">
        <v>824</v>
      </c>
      <c r="D860" s="6" t="s">
        <v>10598</v>
      </c>
      <c r="E860" s="6" t="s">
        <v>10599</v>
      </c>
      <c r="F860" s="6" t="s">
        <v>10600</v>
      </c>
      <c r="G860" s="6" t="s">
        <v>10601</v>
      </c>
      <c r="H860" s="6" t="s">
        <v>10602</v>
      </c>
      <c r="I860" s="6" t="s">
        <v>2718</v>
      </c>
      <c r="J860" s="6" t="s">
        <v>10603</v>
      </c>
      <c r="K860" s="6" t="s">
        <v>3230</v>
      </c>
      <c r="L860" s="6" t="s">
        <v>10604</v>
      </c>
      <c r="M860" s="6" t="s">
        <v>10605</v>
      </c>
      <c r="N860" s="6" t="s">
        <v>7373</v>
      </c>
      <c r="O860" s="6" t="s">
        <v>10606</v>
      </c>
      <c r="P860" s="6" t="s">
        <v>3308</v>
      </c>
      <c r="Q860" s="15"/>
    </row>
    <row r="861" spans="1:17" ht="36">
      <c r="A861" s="7" t="s">
        <v>10607</v>
      </c>
      <c r="B861" s="6" t="s">
        <v>10608</v>
      </c>
      <c r="C861" s="6" t="s">
        <v>10609</v>
      </c>
      <c r="D861" s="6" t="s">
        <v>10610</v>
      </c>
      <c r="E861" s="6" t="s">
        <v>10611</v>
      </c>
      <c r="F861" s="6" t="s">
        <v>10612</v>
      </c>
      <c r="G861" s="6" t="s">
        <v>10613</v>
      </c>
      <c r="H861" s="6" t="s">
        <v>10614</v>
      </c>
      <c r="I861" s="6" t="s">
        <v>10615</v>
      </c>
      <c r="J861" s="6" t="s">
        <v>10616</v>
      </c>
      <c r="K861" s="6" t="s">
        <v>10617</v>
      </c>
      <c r="L861" s="6" t="s">
        <v>10618</v>
      </c>
      <c r="M861" s="6" t="s">
        <v>10619</v>
      </c>
      <c r="N861" s="6" t="s">
        <v>10620</v>
      </c>
      <c r="O861" s="6" t="s">
        <v>10621</v>
      </c>
      <c r="P861" s="6" t="s">
        <v>1996</v>
      </c>
      <c r="Q861" s="6" t="s">
        <v>549</v>
      </c>
    </row>
    <row r="862" spans="1:17" ht="36">
      <c r="A862" s="7" t="s">
        <v>10622</v>
      </c>
      <c r="B862" s="6" t="s">
        <v>7974</v>
      </c>
      <c r="C862" s="6" t="s">
        <v>10623</v>
      </c>
      <c r="D862" s="6" t="s">
        <v>10624</v>
      </c>
      <c r="E862" s="6" t="s">
        <v>10625</v>
      </c>
      <c r="F862" s="6" t="s">
        <v>10626</v>
      </c>
      <c r="G862" s="6" t="s">
        <v>10627</v>
      </c>
      <c r="H862" s="6" t="s">
        <v>10628</v>
      </c>
      <c r="I862" s="6" t="s">
        <v>10629</v>
      </c>
      <c r="J862" s="6" t="s">
        <v>9310</v>
      </c>
      <c r="K862" s="6" t="s">
        <v>10630</v>
      </c>
      <c r="L862" s="6" t="s">
        <v>10631</v>
      </c>
      <c r="M862" s="6" t="s">
        <v>10632</v>
      </c>
      <c r="N862" s="6" t="s">
        <v>10633</v>
      </c>
      <c r="O862" s="6" t="s">
        <v>10634</v>
      </c>
      <c r="P862" s="6" t="s">
        <v>10635</v>
      </c>
      <c r="Q862" s="6" t="s">
        <v>3337</v>
      </c>
    </row>
    <row r="863" spans="1:17" ht="36">
      <c r="A863" s="7" t="s">
        <v>10636</v>
      </c>
      <c r="B863" s="6" t="s">
        <v>10637</v>
      </c>
      <c r="C863" s="6" t="s">
        <v>10638</v>
      </c>
      <c r="D863" s="6" t="s">
        <v>10639</v>
      </c>
      <c r="E863" s="6" t="s">
        <v>10640</v>
      </c>
      <c r="F863" s="6" t="s">
        <v>10641</v>
      </c>
      <c r="G863" s="6" t="s">
        <v>10642</v>
      </c>
      <c r="H863" s="6" t="s">
        <v>10643</v>
      </c>
      <c r="I863" s="6" t="s">
        <v>10644</v>
      </c>
      <c r="J863" s="6" t="s">
        <v>10645</v>
      </c>
      <c r="K863" s="6" t="s">
        <v>10646</v>
      </c>
      <c r="L863" s="6" t="s">
        <v>10647</v>
      </c>
      <c r="M863" s="6" t="s">
        <v>10648</v>
      </c>
      <c r="N863" s="6" t="s">
        <v>10649</v>
      </c>
      <c r="O863" s="6" t="s">
        <v>10650</v>
      </c>
      <c r="P863" s="6" t="s">
        <v>7088</v>
      </c>
      <c r="Q863" s="6" t="s">
        <v>7447</v>
      </c>
    </row>
    <row r="864" spans="1:17" ht="48">
      <c r="A864" s="7" t="s">
        <v>10651</v>
      </c>
      <c r="B864" s="6" t="s">
        <v>1717</v>
      </c>
      <c r="C864" s="6" t="s">
        <v>10652</v>
      </c>
      <c r="D864" s="6" t="s">
        <v>10653</v>
      </c>
      <c r="E864" s="6" t="s">
        <v>10654</v>
      </c>
      <c r="F864" s="6" t="s">
        <v>10655</v>
      </c>
      <c r="G864" s="6" t="s">
        <v>10656</v>
      </c>
      <c r="H864" s="6" t="s">
        <v>10657</v>
      </c>
      <c r="I864" s="6" t="s">
        <v>10658</v>
      </c>
      <c r="J864" s="6" t="s">
        <v>5590</v>
      </c>
      <c r="K864" s="6" t="s">
        <v>10659</v>
      </c>
      <c r="L864" s="6" t="s">
        <v>10660</v>
      </c>
      <c r="M864" s="6" t="s">
        <v>3405</v>
      </c>
      <c r="N864" s="6" t="s">
        <v>10661</v>
      </c>
      <c r="O864" s="6" t="s">
        <v>5288</v>
      </c>
      <c r="P864" s="6" t="s">
        <v>4458</v>
      </c>
      <c r="Q864" s="6" t="s">
        <v>871</v>
      </c>
    </row>
    <row r="865" spans="1:17" ht="36">
      <c r="A865" s="7" t="s">
        <v>10662</v>
      </c>
      <c r="B865" s="6" t="s">
        <v>8205</v>
      </c>
      <c r="C865" s="6" t="s">
        <v>10663</v>
      </c>
      <c r="D865" s="6" t="s">
        <v>10664</v>
      </c>
      <c r="E865" s="6" t="s">
        <v>10665</v>
      </c>
      <c r="F865" s="6" t="s">
        <v>630</v>
      </c>
      <c r="G865" s="6" t="s">
        <v>10666</v>
      </c>
      <c r="H865" s="6" t="s">
        <v>10667</v>
      </c>
      <c r="I865" s="6" t="s">
        <v>10668</v>
      </c>
      <c r="J865" s="6" t="s">
        <v>2015</v>
      </c>
      <c r="K865" s="6" t="s">
        <v>10669</v>
      </c>
      <c r="L865" s="6" t="s">
        <v>10670</v>
      </c>
      <c r="M865" s="6" t="s">
        <v>10671</v>
      </c>
      <c r="N865" s="6" t="s">
        <v>10672</v>
      </c>
      <c r="O865" s="6" t="s">
        <v>10673</v>
      </c>
      <c r="P865" s="15"/>
      <c r="Q865" s="15"/>
    </row>
    <row r="866" spans="1:17" ht="60">
      <c r="A866" s="7" t="s">
        <v>10674</v>
      </c>
      <c r="B866" s="6" t="s">
        <v>8897</v>
      </c>
      <c r="C866" s="6" t="s">
        <v>10675</v>
      </c>
      <c r="D866" s="6" t="s">
        <v>10676</v>
      </c>
      <c r="E866" s="6" t="s">
        <v>10677</v>
      </c>
      <c r="F866" s="6" t="s">
        <v>5802</v>
      </c>
      <c r="G866" s="6" t="s">
        <v>10678</v>
      </c>
      <c r="H866" s="6" t="s">
        <v>10679</v>
      </c>
      <c r="I866" s="6" t="s">
        <v>5251</v>
      </c>
      <c r="J866" s="6" t="s">
        <v>10006</v>
      </c>
      <c r="K866" s="6" t="s">
        <v>10680</v>
      </c>
      <c r="L866" s="6" t="s">
        <v>7960</v>
      </c>
      <c r="M866" s="6" t="s">
        <v>1644</v>
      </c>
      <c r="N866" s="6" t="s">
        <v>10681</v>
      </c>
      <c r="O866" s="6" t="s">
        <v>10682</v>
      </c>
      <c r="P866" s="6" t="s">
        <v>1129</v>
      </c>
      <c r="Q866" s="6" t="s">
        <v>2569</v>
      </c>
    </row>
    <row r="867" spans="1:17" ht="48">
      <c r="A867" s="7" t="s">
        <v>10683</v>
      </c>
      <c r="B867" s="6" t="s">
        <v>10684</v>
      </c>
      <c r="C867" s="6" t="s">
        <v>10685</v>
      </c>
      <c r="D867" s="6" t="s">
        <v>10686</v>
      </c>
      <c r="E867" s="6" t="s">
        <v>10687</v>
      </c>
      <c r="F867" s="6" t="s">
        <v>10688</v>
      </c>
      <c r="G867" s="6" t="s">
        <v>10689</v>
      </c>
      <c r="H867" s="6" t="s">
        <v>10690</v>
      </c>
      <c r="I867" s="6" t="s">
        <v>3116</v>
      </c>
      <c r="J867" s="6" t="s">
        <v>3131</v>
      </c>
      <c r="K867" s="6" t="s">
        <v>10691</v>
      </c>
      <c r="L867" s="6" t="s">
        <v>10692</v>
      </c>
      <c r="M867" s="6" t="s">
        <v>10693</v>
      </c>
      <c r="N867" s="6" t="s">
        <v>10694</v>
      </c>
      <c r="O867" s="6" t="s">
        <v>10695</v>
      </c>
      <c r="P867" s="6" t="s">
        <v>10696</v>
      </c>
      <c r="Q867" s="6" t="s">
        <v>2666</v>
      </c>
    </row>
    <row r="868" spans="1:17" ht="48">
      <c r="A868" s="7" t="s">
        <v>10697</v>
      </c>
      <c r="B868" s="6" t="s">
        <v>639</v>
      </c>
      <c r="C868" s="6" t="s">
        <v>10698</v>
      </c>
      <c r="D868" s="6" t="s">
        <v>10699</v>
      </c>
      <c r="E868" s="6" t="s">
        <v>4218</v>
      </c>
      <c r="F868" s="6" t="s">
        <v>9674</v>
      </c>
      <c r="G868" s="6" t="s">
        <v>10700</v>
      </c>
      <c r="H868" s="6" t="s">
        <v>7667</v>
      </c>
      <c r="I868" s="6" t="s">
        <v>10701</v>
      </c>
      <c r="J868" s="6" t="s">
        <v>10702</v>
      </c>
      <c r="K868" s="6" t="s">
        <v>10703</v>
      </c>
      <c r="L868" s="6" t="s">
        <v>10704</v>
      </c>
      <c r="M868" s="6" t="s">
        <v>10705</v>
      </c>
      <c r="N868" s="6" t="s">
        <v>10706</v>
      </c>
      <c r="O868" s="6" t="s">
        <v>10707</v>
      </c>
      <c r="P868" s="6" t="s">
        <v>3650</v>
      </c>
      <c r="Q868" s="6" t="s">
        <v>3748</v>
      </c>
    </row>
    <row r="869" spans="1:17" ht="60">
      <c r="A869" s="7" t="s">
        <v>10708</v>
      </c>
      <c r="B869" s="6" t="s">
        <v>9480</v>
      </c>
      <c r="C869" s="6" t="s">
        <v>10709</v>
      </c>
      <c r="D869" s="6" t="s">
        <v>10710</v>
      </c>
      <c r="E869" s="6" t="s">
        <v>10711</v>
      </c>
      <c r="F869" s="6" t="s">
        <v>10712</v>
      </c>
      <c r="G869" s="6" t="s">
        <v>10713</v>
      </c>
      <c r="H869" s="6" t="s">
        <v>10714</v>
      </c>
      <c r="I869" s="6" t="s">
        <v>10715</v>
      </c>
      <c r="J869" s="6" t="s">
        <v>545</v>
      </c>
      <c r="K869" s="6" t="s">
        <v>10716</v>
      </c>
      <c r="L869" s="6" t="s">
        <v>10717</v>
      </c>
      <c r="M869" s="6" t="s">
        <v>10718</v>
      </c>
      <c r="N869" s="6" t="s">
        <v>10719</v>
      </c>
      <c r="O869" s="6" t="s">
        <v>10720</v>
      </c>
      <c r="P869" s="6" t="s">
        <v>10721</v>
      </c>
      <c r="Q869" s="6" t="s">
        <v>10436</v>
      </c>
    </row>
    <row r="870" spans="1:17" ht="48">
      <c r="A870" s="7" t="s">
        <v>10722</v>
      </c>
      <c r="B870" s="6" t="s">
        <v>10723</v>
      </c>
      <c r="C870" s="6" t="s">
        <v>10724</v>
      </c>
      <c r="D870" s="6" t="s">
        <v>10725</v>
      </c>
      <c r="E870" s="6" t="s">
        <v>10726</v>
      </c>
      <c r="F870" s="6" t="s">
        <v>10727</v>
      </c>
      <c r="G870" s="6" t="s">
        <v>10728</v>
      </c>
      <c r="H870" s="6" t="s">
        <v>10729</v>
      </c>
      <c r="I870" s="6" t="s">
        <v>10730</v>
      </c>
      <c r="J870" s="6" t="s">
        <v>10731</v>
      </c>
      <c r="K870" s="6" t="s">
        <v>10732</v>
      </c>
      <c r="L870" s="6" t="s">
        <v>10733</v>
      </c>
      <c r="M870" s="6" t="s">
        <v>10734</v>
      </c>
      <c r="N870" s="6" t="s">
        <v>10735</v>
      </c>
      <c r="O870" s="6" t="s">
        <v>10736</v>
      </c>
      <c r="P870" s="6" t="s">
        <v>10737</v>
      </c>
      <c r="Q870" s="6" t="s">
        <v>10738</v>
      </c>
    </row>
    <row r="871" spans="1:17" ht="36">
      <c r="A871" s="7" t="s">
        <v>10739</v>
      </c>
      <c r="B871" s="6" t="s">
        <v>10740</v>
      </c>
      <c r="C871" s="6" t="s">
        <v>10741</v>
      </c>
      <c r="D871" s="6" t="s">
        <v>10742</v>
      </c>
      <c r="E871" s="6" t="s">
        <v>10743</v>
      </c>
      <c r="F871" s="6" t="s">
        <v>10744</v>
      </c>
      <c r="G871" s="6" t="s">
        <v>10745</v>
      </c>
      <c r="H871" s="6" t="s">
        <v>10746</v>
      </c>
      <c r="I871" s="6" t="s">
        <v>10747</v>
      </c>
      <c r="J871" s="6" t="s">
        <v>10748</v>
      </c>
      <c r="K871" s="6" t="s">
        <v>10749</v>
      </c>
      <c r="L871" s="6" t="s">
        <v>10750</v>
      </c>
      <c r="M871" s="6" t="s">
        <v>10751</v>
      </c>
      <c r="N871" s="6" t="s">
        <v>10752</v>
      </c>
      <c r="O871" s="6" t="s">
        <v>10753</v>
      </c>
      <c r="P871" s="6" t="s">
        <v>10754</v>
      </c>
      <c r="Q871" s="6" t="s">
        <v>5945</v>
      </c>
    </row>
    <row r="872" spans="1:17" ht="36">
      <c r="A872" s="7" t="s">
        <v>10755</v>
      </c>
      <c r="B872" s="6" t="s">
        <v>10756</v>
      </c>
      <c r="C872" s="6" t="s">
        <v>10757</v>
      </c>
      <c r="D872" s="6" t="s">
        <v>10758</v>
      </c>
      <c r="E872" s="6" t="s">
        <v>10759</v>
      </c>
      <c r="F872" s="6" t="s">
        <v>10760</v>
      </c>
      <c r="G872" s="6" t="s">
        <v>10761</v>
      </c>
      <c r="H872" s="6" t="s">
        <v>10762</v>
      </c>
      <c r="I872" s="6" t="s">
        <v>10763</v>
      </c>
      <c r="J872" s="6" t="s">
        <v>10764</v>
      </c>
      <c r="K872" s="6" t="s">
        <v>10765</v>
      </c>
      <c r="L872" s="6" t="s">
        <v>10766</v>
      </c>
      <c r="M872" s="6" t="s">
        <v>10767</v>
      </c>
      <c r="N872" s="6" t="s">
        <v>10768</v>
      </c>
      <c r="O872" s="6" t="s">
        <v>740</v>
      </c>
      <c r="P872" s="6" t="s">
        <v>3168</v>
      </c>
      <c r="Q872" s="6" t="s">
        <v>1162</v>
      </c>
    </row>
    <row r="873" spans="1:17" ht="36">
      <c r="A873" s="7" t="s">
        <v>10769</v>
      </c>
      <c r="B873" s="6" t="s">
        <v>10770</v>
      </c>
      <c r="C873" s="6" t="s">
        <v>10771</v>
      </c>
      <c r="D873" s="6" t="s">
        <v>10772</v>
      </c>
      <c r="E873" s="6" t="s">
        <v>10773</v>
      </c>
      <c r="F873" s="6" t="s">
        <v>10774</v>
      </c>
      <c r="G873" s="6" t="s">
        <v>10775</v>
      </c>
      <c r="H873" s="6" t="s">
        <v>10776</v>
      </c>
      <c r="I873" s="6" t="s">
        <v>10777</v>
      </c>
      <c r="J873" s="6" t="s">
        <v>10778</v>
      </c>
      <c r="K873" s="6" t="s">
        <v>10779</v>
      </c>
      <c r="L873" s="6" t="s">
        <v>10780</v>
      </c>
      <c r="M873" s="6" t="s">
        <v>10781</v>
      </c>
      <c r="N873" s="6" t="s">
        <v>10782</v>
      </c>
      <c r="O873" s="6" t="s">
        <v>10783</v>
      </c>
      <c r="P873" s="6" t="s">
        <v>4250</v>
      </c>
      <c r="Q873" s="6" t="s">
        <v>261</v>
      </c>
    </row>
    <row r="874" spans="1:17" ht="48">
      <c r="A874" s="7" t="s">
        <v>10784</v>
      </c>
      <c r="B874" s="6" t="s">
        <v>10785</v>
      </c>
      <c r="C874" s="6" t="s">
        <v>10786</v>
      </c>
      <c r="D874" s="6" t="s">
        <v>10787</v>
      </c>
      <c r="E874" s="6" t="s">
        <v>10788</v>
      </c>
      <c r="F874" s="6" t="s">
        <v>10789</v>
      </c>
      <c r="G874" s="6" t="s">
        <v>10790</v>
      </c>
      <c r="H874" s="6" t="s">
        <v>6927</v>
      </c>
      <c r="I874" s="6" t="s">
        <v>10791</v>
      </c>
      <c r="J874" s="6" t="s">
        <v>10792</v>
      </c>
      <c r="K874" s="6" t="s">
        <v>10793</v>
      </c>
      <c r="L874" s="6" t="s">
        <v>10794</v>
      </c>
      <c r="M874" s="6" t="s">
        <v>10795</v>
      </c>
      <c r="N874" s="6" t="s">
        <v>10796</v>
      </c>
      <c r="O874" s="6" t="s">
        <v>10797</v>
      </c>
      <c r="P874" s="6" t="s">
        <v>10798</v>
      </c>
      <c r="Q874" s="6" t="s">
        <v>1603</v>
      </c>
    </row>
    <row r="875" spans="1:17" ht="48">
      <c r="A875" s="7" t="s">
        <v>10799</v>
      </c>
      <c r="B875" s="6" t="s">
        <v>10800</v>
      </c>
      <c r="C875" s="6" t="s">
        <v>10801</v>
      </c>
      <c r="D875" s="6" t="s">
        <v>10802</v>
      </c>
      <c r="E875" s="6" t="s">
        <v>10803</v>
      </c>
      <c r="F875" s="6" t="s">
        <v>1471</v>
      </c>
      <c r="G875" s="6" t="s">
        <v>10804</v>
      </c>
      <c r="H875" s="6" t="s">
        <v>8256</v>
      </c>
      <c r="I875" s="6" t="s">
        <v>10805</v>
      </c>
      <c r="J875" s="6" t="s">
        <v>3797</v>
      </c>
      <c r="K875" s="6" t="s">
        <v>10806</v>
      </c>
      <c r="L875" s="6" t="s">
        <v>10807</v>
      </c>
      <c r="M875" s="6" t="s">
        <v>10808</v>
      </c>
      <c r="N875" s="6" t="s">
        <v>10809</v>
      </c>
      <c r="O875" s="6" t="s">
        <v>10810</v>
      </c>
      <c r="P875" s="6" t="s">
        <v>10811</v>
      </c>
      <c r="Q875" s="6" t="s">
        <v>4465</v>
      </c>
    </row>
    <row r="876" spans="1:17" ht="36">
      <c r="A876" s="7" t="s">
        <v>10812</v>
      </c>
      <c r="B876" s="6" t="s">
        <v>6725</v>
      </c>
      <c r="C876" s="6" t="s">
        <v>10813</v>
      </c>
      <c r="D876" s="6" t="s">
        <v>2155</v>
      </c>
      <c r="E876" s="6" t="s">
        <v>4096</v>
      </c>
      <c r="F876" s="6" t="s">
        <v>7496</v>
      </c>
      <c r="G876" s="6" t="s">
        <v>10814</v>
      </c>
      <c r="H876" s="6" t="s">
        <v>10815</v>
      </c>
      <c r="I876" s="6" t="s">
        <v>6975</v>
      </c>
      <c r="J876" s="6" t="s">
        <v>6684</v>
      </c>
      <c r="K876" s="6" t="s">
        <v>10816</v>
      </c>
      <c r="L876" s="6" t="s">
        <v>10817</v>
      </c>
      <c r="M876" s="6" t="s">
        <v>3800</v>
      </c>
      <c r="N876" s="6" t="s">
        <v>10818</v>
      </c>
      <c r="O876" s="6" t="s">
        <v>10819</v>
      </c>
      <c r="P876" s="6" t="s">
        <v>3638</v>
      </c>
      <c r="Q876" s="6" t="s">
        <v>919</v>
      </c>
    </row>
    <row r="877" spans="1:17" ht="36">
      <c r="A877" s="7" t="s">
        <v>10820</v>
      </c>
      <c r="B877" s="6" t="s">
        <v>10821</v>
      </c>
      <c r="C877" s="6" t="s">
        <v>10822</v>
      </c>
      <c r="D877" s="6" t="s">
        <v>705</v>
      </c>
      <c r="E877" s="6" t="s">
        <v>10823</v>
      </c>
      <c r="F877" s="6" t="s">
        <v>10824</v>
      </c>
      <c r="G877" s="6" t="s">
        <v>10825</v>
      </c>
      <c r="H877" s="6" t="s">
        <v>10826</v>
      </c>
      <c r="I877" s="6" t="s">
        <v>10827</v>
      </c>
      <c r="J877" s="6" t="s">
        <v>10828</v>
      </c>
      <c r="K877" s="6" t="s">
        <v>10829</v>
      </c>
      <c r="L877" s="6" t="s">
        <v>10830</v>
      </c>
      <c r="M877" s="6" t="s">
        <v>10831</v>
      </c>
      <c r="N877" s="6" t="s">
        <v>10832</v>
      </c>
      <c r="O877" s="6" t="s">
        <v>10833</v>
      </c>
      <c r="P877" s="6" t="s">
        <v>9394</v>
      </c>
      <c r="Q877" s="6" t="s">
        <v>945</v>
      </c>
    </row>
    <row r="878" spans="1:17" ht="36">
      <c r="A878" s="7" t="s">
        <v>10834</v>
      </c>
      <c r="B878" s="6" t="s">
        <v>10835</v>
      </c>
      <c r="C878" s="6" t="s">
        <v>10836</v>
      </c>
      <c r="D878" s="6" t="s">
        <v>10837</v>
      </c>
      <c r="E878" s="6" t="s">
        <v>10838</v>
      </c>
      <c r="F878" s="6" t="s">
        <v>10839</v>
      </c>
      <c r="G878" s="6" t="s">
        <v>10840</v>
      </c>
      <c r="H878" s="6" t="s">
        <v>10841</v>
      </c>
      <c r="I878" s="6" t="s">
        <v>10842</v>
      </c>
      <c r="J878" s="6" t="s">
        <v>10843</v>
      </c>
      <c r="K878" s="6" t="s">
        <v>10844</v>
      </c>
      <c r="L878" s="6" t="s">
        <v>10845</v>
      </c>
      <c r="M878" s="6" t="s">
        <v>10846</v>
      </c>
      <c r="N878" s="6" t="s">
        <v>10847</v>
      </c>
      <c r="O878" s="6" t="s">
        <v>10848</v>
      </c>
      <c r="P878" s="6" t="s">
        <v>10849</v>
      </c>
      <c r="Q878" s="6" t="s">
        <v>10850</v>
      </c>
    </row>
    <row r="879" spans="1:17" ht="36">
      <c r="A879" s="7" t="s">
        <v>10851</v>
      </c>
      <c r="B879" s="6" t="s">
        <v>10852</v>
      </c>
      <c r="C879" s="6" t="s">
        <v>10853</v>
      </c>
      <c r="D879" s="6" t="s">
        <v>10854</v>
      </c>
      <c r="E879" s="6" t="s">
        <v>10855</v>
      </c>
      <c r="F879" s="6" t="s">
        <v>10856</v>
      </c>
      <c r="G879" s="6" t="s">
        <v>10857</v>
      </c>
      <c r="H879" s="6" t="s">
        <v>10858</v>
      </c>
      <c r="I879" s="6" t="s">
        <v>10859</v>
      </c>
      <c r="J879" s="6" t="s">
        <v>10860</v>
      </c>
      <c r="K879" s="6" t="s">
        <v>10861</v>
      </c>
      <c r="L879" s="6" t="s">
        <v>10862</v>
      </c>
      <c r="M879" s="6" t="s">
        <v>10863</v>
      </c>
      <c r="N879" s="6" t="s">
        <v>10864</v>
      </c>
      <c r="O879" s="6" t="s">
        <v>10865</v>
      </c>
      <c r="P879" s="6" t="s">
        <v>10866</v>
      </c>
      <c r="Q879" s="6" t="s">
        <v>794</v>
      </c>
    </row>
    <row r="880" spans="1:17" ht="36">
      <c r="A880" s="7" t="s">
        <v>10867</v>
      </c>
      <c r="B880" s="6" t="s">
        <v>10868</v>
      </c>
      <c r="C880" s="6" t="s">
        <v>10869</v>
      </c>
      <c r="D880" s="6" t="s">
        <v>10870</v>
      </c>
      <c r="E880" s="6" t="s">
        <v>10871</v>
      </c>
      <c r="F880" s="6" t="s">
        <v>10872</v>
      </c>
      <c r="G880" s="6" t="s">
        <v>10873</v>
      </c>
      <c r="H880" s="6" t="s">
        <v>10874</v>
      </c>
      <c r="I880" s="6" t="s">
        <v>10875</v>
      </c>
      <c r="J880" s="6" t="s">
        <v>10876</v>
      </c>
      <c r="K880" s="6" t="s">
        <v>10877</v>
      </c>
      <c r="L880" s="6" t="s">
        <v>10878</v>
      </c>
      <c r="M880" s="6" t="s">
        <v>10879</v>
      </c>
      <c r="N880" s="6" t="s">
        <v>10880</v>
      </c>
      <c r="O880" s="6" t="s">
        <v>10881</v>
      </c>
      <c r="P880" s="6" t="s">
        <v>5659</v>
      </c>
      <c r="Q880" s="6" t="s">
        <v>10882</v>
      </c>
    </row>
    <row r="881" spans="1:17" ht="36">
      <c r="A881" s="7" t="s">
        <v>10883</v>
      </c>
      <c r="B881" s="6" t="s">
        <v>10884</v>
      </c>
      <c r="C881" s="6" t="s">
        <v>10885</v>
      </c>
      <c r="D881" s="6" t="s">
        <v>10886</v>
      </c>
      <c r="E881" s="6" t="s">
        <v>10887</v>
      </c>
      <c r="F881" s="6" t="s">
        <v>10888</v>
      </c>
      <c r="G881" s="6" t="s">
        <v>10889</v>
      </c>
      <c r="H881" s="6" t="s">
        <v>10890</v>
      </c>
      <c r="I881" s="6" t="s">
        <v>10891</v>
      </c>
      <c r="J881" s="6" t="s">
        <v>10892</v>
      </c>
      <c r="K881" s="6" t="s">
        <v>10893</v>
      </c>
      <c r="L881" s="6" t="s">
        <v>10894</v>
      </c>
      <c r="M881" s="6" t="s">
        <v>10895</v>
      </c>
      <c r="N881" s="6" t="s">
        <v>10896</v>
      </c>
      <c r="O881" s="6" t="s">
        <v>10897</v>
      </c>
      <c r="P881" s="6" t="s">
        <v>10898</v>
      </c>
      <c r="Q881" s="6" t="s">
        <v>709</v>
      </c>
    </row>
    <row r="882" spans="1:17" ht="60">
      <c r="A882" s="7" t="s">
        <v>10899</v>
      </c>
      <c r="B882" s="6" t="s">
        <v>3553</v>
      </c>
      <c r="C882" s="6" t="s">
        <v>10900</v>
      </c>
      <c r="D882" s="6" t="s">
        <v>5739</v>
      </c>
      <c r="E882" s="6" t="s">
        <v>7156</v>
      </c>
      <c r="F882" s="6" t="s">
        <v>6113</v>
      </c>
      <c r="G882" s="6" t="s">
        <v>4155</v>
      </c>
      <c r="H882" s="6" t="s">
        <v>1789</v>
      </c>
      <c r="I882" s="6" t="s">
        <v>10901</v>
      </c>
      <c r="J882" s="6" t="s">
        <v>8832</v>
      </c>
      <c r="K882" s="6" t="s">
        <v>10902</v>
      </c>
      <c r="L882" s="6" t="s">
        <v>3796</v>
      </c>
      <c r="M882" s="6" t="s">
        <v>10903</v>
      </c>
      <c r="N882" s="6" t="s">
        <v>10904</v>
      </c>
      <c r="O882" s="6" t="s">
        <v>10905</v>
      </c>
      <c r="P882" s="6" t="s">
        <v>2212</v>
      </c>
      <c r="Q882" s="15"/>
    </row>
    <row r="883" spans="1:17" ht="48">
      <c r="A883" s="7" t="s">
        <v>10906</v>
      </c>
      <c r="B883" s="6" t="s">
        <v>10907</v>
      </c>
      <c r="C883" s="6" t="s">
        <v>10908</v>
      </c>
      <c r="D883" s="6" t="s">
        <v>10909</v>
      </c>
      <c r="E883" s="6" t="s">
        <v>10910</v>
      </c>
      <c r="F883" s="6" t="s">
        <v>10911</v>
      </c>
      <c r="G883" s="6" t="s">
        <v>10912</v>
      </c>
      <c r="H883" s="6" t="s">
        <v>10913</v>
      </c>
      <c r="I883" s="6" t="s">
        <v>10914</v>
      </c>
      <c r="J883" s="6" t="s">
        <v>10915</v>
      </c>
      <c r="K883" s="6" t="s">
        <v>10916</v>
      </c>
      <c r="L883" s="6" t="s">
        <v>10917</v>
      </c>
      <c r="M883" s="6" t="s">
        <v>10918</v>
      </c>
      <c r="N883" s="6" t="s">
        <v>10919</v>
      </c>
      <c r="O883" s="6" t="s">
        <v>10920</v>
      </c>
      <c r="P883" s="6" t="s">
        <v>8817</v>
      </c>
      <c r="Q883" s="6" t="s">
        <v>2883</v>
      </c>
    </row>
    <row r="884" spans="1:17" ht="48">
      <c r="A884" s="7" t="s">
        <v>10921</v>
      </c>
      <c r="B884" s="6" t="s">
        <v>6948</v>
      </c>
      <c r="C884" s="6" t="s">
        <v>9932</v>
      </c>
      <c r="D884" s="6" t="s">
        <v>9007</v>
      </c>
      <c r="E884" s="6" t="s">
        <v>10922</v>
      </c>
      <c r="F884" s="6" t="s">
        <v>8098</v>
      </c>
      <c r="G884" s="6" t="s">
        <v>10923</v>
      </c>
      <c r="H884" s="6" t="s">
        <v>1112</v>
      </c>
      <c r="I884" s="6" t="s">
        <v>4703</v>
      </c>
      <c r="J884" s="6" t="s">
        <v>4250</v>
      </c>
      <c r="K884" s="6" t="s">
        <v>10924</v>
      </c>
      <c r="L884" s="6" t="s">
        <v>1815</v>
      </c>
      <c r="M884" s="6" t="s">
        <v>10925</v>
      </c>
      <c r="N884" s="6" t="s">
        <v>10926</v>
      </c>
      <c r="O884" s="6" t="s">
        <v>987</v>
      </c>
      <c r="P884" s="6" t="s">
        <v>1162</v>
      </c>
      <c r="Q884" s="6" t="s">
        <v>981</v>
      </c>
    </row>
    <row r="885" spans="1:17" ht="36">
      <c r="A885" s="7" t="s">
        <v>10927</v>
      </c>
      <c r="B885" s="6" t="s">
        <v>10928</v>
      </c>
      <c r="C885" s="6" t="s">
        <v>10929</v>
      </c>
      <c r="D885" s="6" t="s">
        <v>10930</v>
      </c>
      <c r="E885" s="6" t="s">
        <v>10931</v>
      </c>
      <c r="F885" s="6" t="s">
        <v>10932</v>
      </c>
      <c r="G885" s="6" t="s">
        <v>3159</v>
      </c>
      <c r="H885" s="6" t="s">
        <v>10933</v>
      </c>
      <c r="I885" s="6" t="s">
        <v>10934</v>
      </c>
      <c r="J885" s="6" t="s">
        <v>10935</v>
      </c>
      <c r="K885" s="6" t="s">
        <v>10936</v>
      </c>
      <c r="L885" s="6" t="s">
        <v>10937</v>
      </c>
      <c r="M885" s="6" t="s">
        <v>10938</v>
      </c>
      <c r="N885" s="6" t="s">
        <v>10939</v>
      </c>
      <c r="O885" s="6" t="s">
        <v>10940</v>
      </c>
      <c r="P885" s="15"/>
      <c r="Q885" s="15"/>
    </row>
    <row r="886" spans="1:17" ht="72">
      <c r="A886" s="7" t="s">
        <v>10941</v>
      </c>
      <c r="B886" s="6" t="s">
        <v>10942</v>
      </c>
      <c r="C886" s="6" t="s">
        <v>10943</v>
      </c>
      <c r="D886" s="6" t="s">
        <v>10944</v>
      </c>
      <c r="E886" s="6" t="s">
        <v>10945</v>
      </c>
      <c r="F886" s="6" t="s">
        <v>10946</v>
      </c>
      <c r="G886" s="6" t="s">
        <v>10947</v>
      </c>
      <c r="H886" s="6" t="s">
        <v>10948</v>
      </c>
      <c r="I886" s="6" t="s">
        <v>10949</v>
      </c>
      <c r="J886" s="6" t="s">
        <v>10950</v>
      </c>
      <c r="K886" s="6" t="s">
        <v>10951</v>
      </c>
      <c r="L886" s="6" t="s">
        <v>10952</v>
      </c>
      <c r="M886" s="6" t="s">
        <v>10953</v>
      </c>
      <c r="N886" s="6" t="s">
        <v>10954</v>
      </c>
      <c r="O886" s="6" t="s">
        <v>10955</v>
      </c>
      <c r="P886" s="6" t="s">
        <v>10956</v>
      </c>
      <c r="Q886" s="6" t="s">
        <v>7872</v>
      </c>
    </row>
    <row r="887" spans="1:17" ht="48">
      <c r="A887" s="7" t="s">
        <v>10957</v>
      </c>
      <c r="B887" s="6" t="s">
        <v>589</v>
      </c>
      <c r="C887" s="6" t="s">
        <v>10958</v>
      </c>
      <c r="D887" s="6" t="s">
        <v>10959</v>
      </c>
      <c r="E887" s="6" t="s">
        <v>10960</v>
      </c>
      <c r="F887" s="6" t="s">
        <v>5290</v>
      </c>
      <c r="G887" s="6" t="s">
        <v>10961</v>
      </c>
      <c r="H887" s="6" t="s">
        <v>10962</v>
      </c>
      <c r="I887" s="6" t="s">
        <v>10963</v>
      </c>
      <c r="J887" s="6" t="s">
        <v>10964</v>
      </c>
      <c r="K887" s="6" t="s">
        <v>10965</v>
      </c>
      <c r="L887" s="6" t="s">
        <v>10966</v>
      </c>
      <c r="M887" s="6" t="s">
        <v>10967</v>
      </c>
      <c r="N887" s="6" t="s">
        <v>10968</v>
      </c>
      <c r="O887" s="6" t="s">
        <v>10969</v>
      </c>
      <c r="P887" s="6" t="s">
        <v>10970</v>
      </c>
      <c r="Q887" s="6" t="s">
        <v>1163</v>
      </c>
    </row>
    <row r="888" spans="1:17" ht="48">
      <c r="A888" s="7" t="s">
        <v>10971</v>
      </c>
      <c r="B888" s="6" t="s">
        <v>10972</v>
      </c>
      <c r="C888" s="6" t="s">
        <v>10973</v>
      </c>
      <c r="D888" s="6" t="s">
        <v>10974</v>
      </c>
      <c r="E888" s="6" t="s">
        <v>10975</v>
      </c>
      <c r="F888" s="6" t="s">
        <v>10976</v>
      </c>
      <c r="G888" s="6" t="s">
        <v>10977</v>
      </c>
      <c r="H888" s="6" t="s">
        <v>10978</v>
      </c>
      <c r="I888" s="6" t="s">
        <v>10979</v>
      </c>
      <c r="J888" s="6" t="s">
        <v>10980</v>
      </c>
      <c r="K888" s="6" t="s">
        <v>10981</v>
      </c>
      <c r="L888" s="6" t="s">
        <v>10982</v>
      </c>
      <c r="M888" s="6" t="s">
        <v>10983</v>
      </c>
      <c r="N888" s="6" t="s">
        <v>10984</v>
      </c>
      <c r="O888" s="6" t="s">
        <v>10985</v>
      </c>
      <c r="P888" s="6" t="s">
        <v>10986</v>
      </c>
      <c r="Q888" s="6" t="s">
        <v>6086</v>
      </c>
    </row>
    <row r="889" spans="1:17" ht="36">
      <c r="A889" s="7" t="s">
        <v>10987</v>
      </c>
      <c r="B889" s="6" t="s">
        <v>1506</v>
      </c>
      <c r="C889" s="6" t="s">
        <v>10988</v>
      </c>
      <c r="D889" s="6" t="s">
        <v>10989</v>
      </c>
      <c r="E889" s="6" t="s">
        <v>10990</v>
      </c>
      <c r="F889" s="6" t="s">
        <v>10991</v>
      </c>
      <c r="G889" s="6" t="s">
        <v>10992</v>
      </c>
      <c r="H889" s="6" t="s">
        <v>10993</v>
      </c>
      <c r="I889" s="6" t="s">
        <v>10994</v>
      </c>
      <c r="J889" s="6" t="s">
        <v>10995</v>
      </c>
      <c r="K889" s="6" t="s">
        <v>10996</v>
      </c>
      <c r="L889" s="6" t="s">
        <v>10997</v>
      </c>
      <c r="M889" s="6" t="s">
        <v>10998</v>
      </c>
      <c r="N889" s="6" t="s">
        <v>10999</v>
      </c>
      <c r="O889" s="6" t="s">
        <v>11000</v>
      </c>
      <c r="P889" s="6" t="s">
        <v>11001</v>
      </c>
      <c r="Q889" s="6" t="s">
        <v>4055</v>
      </c>
    </row>
    <row r="890" spans="1:17" ht="36">
      <c r="A890" s="7" t="s">
        <v>11002</v>
      </c>
      <c r="B890" s="6" t="s">
        <v>11003</v>
      </c>
      <c r="C890" s="6" t="s">
        <v>11004</v>
      </c>
      <c r="D890" s="6" t="s">
        <v>11005</v>
      </c>
      <c r="E890" s="6" t="s">
        <v>11006</v>
      </c>
      <c r="F890" s="6" t="s">
        <v>11007</v>
      </c>
      <c r="G890" s="6" t="s">
        <v>11008</v>
      </c>
      <c r="H890" s="6" t="s">
        <v>11009</v>
      </c>
      <c r="I890" s="6" t="s">
        <v>11010</v>
      </c>
      <c r="J890" s="6" t="s">
        <v>11011</v>
      </c>
      <c r="K890" s="6" t="s">
        <v>11012</v>
      </c>
      <c r="L890" s="6" t="s">
        <v>11013</v>
      </c>
      <c r="M890" s="6" t="s">
        <v>11014</v>
      </c>
      <c r="N890" s="6" t="s">
        <v>11015</v>
      </c>
      <c r="O890" s="6" t="s">
        <v>11016</v>
      </c>
      <c r="P890" s="6" t="s">
        <v>11017</v>
      </c>
      <c r="Q890" s="6" t="s">
        <v>11018</v>
      </c>
    </row>
    <row r="891" spans="1:17" ht="36">
      <c r="A891" s="7" t="s">
        <v>11019</v>
      </c>
      <c r="B891" s="6" t="s">
        <v>2521</v>
      </c>
      <c r="C891" s="6" t="s">
        <v>11020</v>
      </c>
      <c r="D891" s="6" t="s">
        <v>11021</v>
      </c>
      <c r="E891" s="6" t="s">
        <v>11022</v>
      </c>
      <c r="F891" s="6" t="s">
        <v>11023</v>
      </c>
      <c r="G891" s="6" t="s">
        <v>11024</v>
      </c>
      <c r="H891" s="6" t="s">
        <v>11025</v>
      </c>
      <c r="I891" s="6" t="s">
        <v>11026</v>
      </c>
      <c r="J891" s="6" t="s">
        <v>11027</v>
      </c>
      <c r="K891" s="6" t="s">
        <v>11028</v>
      </c>
      <c r="L891" s="6" t="s">
        <v>11029</v>
      </c>
      <c r="M891" s="6" t="s">
        <v>11030</v>
      </c>
      <c r="N891" s="6" t="s">
        <v>11031</v>
      </c>
      <c r="O891" s="6" t="s">
        <v>7492</v>
      </c>
      <c r="P891" s="6" t="s">
        <v>5805</v>
      </c>
      <c r="Q891" s="6" t="s">
        <v>3015</v>
      </c>
    </row>
    <row r="892" spans="1:17" ht="36">
      <c r="A892" s="7" t="s">
        <v>11032</v>
      </c>
      <c r="B892" s="6" t="s">
        <v>11033</v>
      </c>
      <c r="C892" s="6" t="s">
        <v>11034</v>
      </c>
      <c r="D892" s="6" t="s">
        <v>11035</v>
      </c>
      <c r="E892" s="6" t="s">
        <v>11036</v>
      </c>
      <c r="F892" s="6" t="s">
        <v>11037</v>
      </c>
      <c r="G892" s="6" t="s">
        <v>11038</v>
      </c>
      <c r="H892" s="6" t="s">
        <v>11039</v>
      </c>
      <c r="I892" s="6" t="s">
        <v>11040</v>
      </c>
      <c r="J892" s="6" t="s">
        <v>6426</v>
      </c>
      <c r="K892" s="6" t="s">
        <v>11041</v>
      </c>
      <c r="L892" s="6" t="s">
        <v>11042</v>
      </c>
      <c r="M892" s="6" t="s">
        <v>11043</v>
      </c>
      <c r="N892" s="6" t="s">
        <v>11044</v>
      </c>
      <c r="O892" s="6" t="s">
        <v>11045</v>
      </c>
      <c r="P892" s="6" t="s">
        <v>11046</v>
      </c>
      <c r="Q892" s="6" t="s">
        <v>7597</v>
      </c>
    </row>
    <row r="893" spans="1:17" ht="48">
      <c r="A893" s="7" t="s">
        <v>11047</v>
      </c>
      <c r="B893" s="6" t="s">
        <v>11048</v>
      </c>
      <c r="C893" s="6" t="s">
        <v>11049</v>
      </c>
      <c r="D893" s="6" t="s">
        <v>11050</v>
      </c>
      <c r="E893" s="6" t="s">
        <v>11051</v>
      </c>
      <c r="F893" s="6" t="s">
        <v>9092</v>
      </c>
      <c r="G893" s="6" t="s">
        <v>11052</v>
      </c>
      <c r="H893" s="6" t="s">
        <v>11053</v>
      </c>
      <c r="I893" s="6" t="s">
        <v>11054</v>
      </c>
      <c r="J893" s="6" t="s">
        <v>11055</v>
      </c>
      <c r="K893" s="6" t="s">
        <v>11056</v>
      </c>
      <c r="L893" s="6" t="s">
        <v>11057</v>
      </c>
      <c r="M893" s="6" t="s">
        <v>10301</v>
      </c>
      <c r="N893" s="6" t="s">
        <v>11058</v>
      </c>
      <c r="O893" s="6" t="s">
        <v>2530</v>
      </c>
      <c r="P893" s="15"/>
      <c r="Q893" s="6" t="s">
        <v>3337</v>
      </c>
    </row>
    <row r="894" spans="1:17" ht="36">
      <c r="A894" s="7" t="s">
        <v>11059</v>
      </c>
      <c r="B894" s="6" t="s">
        <v>11060</v>
      </c>
      <c r="C894" s="6" t="s">
        <v>11061</v>
      </c>
      <c r="D894" s="6" t="s">
        <v>11062</v>
      </c>
      <c r="E894" s="6" t="s">
        <v>11063</v>
      </c>
      <c r="F894" s="6" t="s">
        <v>11064</v>
      </c>
      <c r="G894" s="6" t="s">
        <v>11065</v>
      </c>
      <c r="H894" s="6" t="s">
        <v>11066</v>
      </c>
      <c r="I894" s="6" t="s">
        <v>11067</v>
      </c>
      <c r="J894" s="6" t="s">
        <v>696</v>
      </c>
      <c r="K894" s="6" t="s">
        <v>11068</v>
      </c>
      <c r="L894" s="6" t="s">
        <v>11069</v>
      </c>
      <c r="M894" s="6" t="s">
        <v>11070</v>
      </c>
      <c r="N894" s="6" t="s">
        <v>11071</v>
      </c>
      <c r="O894" s="6" t="s">
        <v>11072</v>
      </c>
      <c r="P894" s="6" t="s">
        <v>11073</v>
      </c>
      <c r="Q894" s="6" t="s">
        <v>9205</v>
      </c>
    </row>
    <row r="895" spans="1:17" ht="48">
      <c r="A895" s="7" t="s">
        <v>11074</v>
      </c>
      <c r="B895" s="6" t="s">
        <v>11075</v>
      </c>
      <c r="C895" s="6" t="s">
        <v>11076</v>
      </c>
      <c r="D895" s="6" t="s">
        <v>11077</v>
      </c>
      <c r="E895" s="6" t="s">
        <v>11078</v>
      </c>
      <c r="F895" s="6" t="s">
        <v>10046</v>
      </c>
      <c r="G895" s="6" t="s">
        <v>11079</v>
      </c>
      <c r="H895" s="6" t="s">
        <v>11080</v>
      </c>
      <c r="I895" s="6" t="s">
        <v>11081</v>
      </c>
      <c r="J895" s="6" t="s">
        <v>4082</v>
      </c>
      <c r="K895" s="6" t="s">
        <v>11082</v>
      </c>
      <c r="L895" s="6" t="s">
        <v>11083</v>
      </c>
      <c r="M895" s="6" t="s">
        <v>11084</v>
      </c>
      <c r="N895" s="6" t="s">
        <v>11085</v>
      </c>
      <c r="O895" s="6" t="s">
        <v>11086</v>
      </c>
      <c r="P895" s="6" t="s">
        <v>991</v>
      </c>
      <c r="Q895" s="15"/>
    </row>
    <row r="896" spans="1:17" ht="48">
      <c r="A896" s="7" t="s">
        <v>11087</v>
      </c>
      <c r="B896" s="6" t="s">
        <v>11075</v>
      </c>
      <c r="C896" s="6" t="s">
        <v>11088</v>
      </c>
      <c r="D896" s="6" t="s">
        <v>1096</v>
      </c>
      <c r="E896" s="6" t="s">
        <v>6523</v>
      </c>
      <c r="F896" s="6" t="s">
        <v>9134</v>
      </c>
      <c r="G896" s="6" t="s">
        <v>5682</v>
      </c>
      <c r="H896" s="6" t="s">
        <v>10452</v>
      </c>
      <c r="I896" s="6" t="s">
        <v>10702</v>
      </c>
      <c r="J896" s="6" t="s">
        <v>6513</v>
      </c>
      <c r="K896" s="6" t="s">
        <v>11089</v>
      </c>
      <c r="L896" s="6" t="s">
        <v>11090</v>
      </c>
      <c r="M896" s="6" t="s">
        <v>3600</v>
      </c>
      <c r="N896" s="6" t="s">
        <v>8965</v>
      </c>
      <c r="O896" s="6" t="s">
        <v>4546</v>
      </c>
      <c r="P896" s="6" t="s">
        <v>532</v>
      </c>
      <c r="Q896" s="15"/>
    </row>
    <row r="897" spans="1:17" ht="48">
      <c r="A897" s="8" t="s">
        <v>11091</v>
      </c>
      <c r="B897" s="9" t="s">
        <v>11092</v>
      </c>
      <c r="C897" s="9" t="s">
        <v>11093</v>
      </c>
      <c r="D897" s="9" t="s">
        <v>11094</v>
      </c>
      <c r="E897" s="9" t="s">
        <v>11095</v>
      </c>
      <c r="F897" s="9" t="s">
        <v>11096</v>
      </c>
      <c r="G897" s="9" t="s">
        <v>11097</v>
      </c>
      <c r="H897" s="9" t="s">
        <v>11098</v>
      </c>
      <c r="I897" s="9" t="s">
        <v>11099</v>
      </c>
      <c r="J897" s="9" t="s">
        <v>11100</v>
      </c>
      <c r="K897" s="9" t="s">
        <v>11101</v>
      </c>
      <c r="L897" s="9" t="s">
        <v>11102</v>
      </c>
      <c r="M897" s="9" t="s">
        <v>11103</v>
      </c>
      <c r="N897" s="9" t="s">
        <v>11104</v>
      </c>
      <c r="O897" s="9" t="s">
        <v>11105</v>
      </c>
      <c r="P897" s="9" t="s">
        <v>7680</v>
      </c>
      <c r="Q897" s="9" t="s">
        <v>2324</v>
      </c>
    </row>
    <row r="898" spans="1:17" ht="15.6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</row>
    <row r="899" spans="1:17" ht="15.6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</row>
    <row r="900" spans="1:17">
      <c r="A900" s="12" t="s">
        <v>11106</v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spans="1:17">
      <c r="A901" s="3" t="s">
        <v>159</v>
      </c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 spans="1:17">
      <c r="A902" s="127" t="s">
        <v>160</v>
      </c>
      <c r="B902" s="131" t="s">
        <v>161</v>
      </c>
      <c r="C902" s="135" t="s">
        <v>162</v>
      </c>
      <c r="D902" s="125"/>
      <c r="E902" s="125"/>
      <c r="F902" s="125"/>
      <c r="G902" s="125"/>
      <c r="H902" s="125"/>
      <c r="I902" s="125"/>
      <c r="J902" s="126"/>
      <c r="K902" s="135" t="s">
        <v>163</v>
      </c>
      <c r="L902" s="125"/>
      <c r="M902" s="126"/>
      <c r="N902" s="135" t="s">
        <v>164</v>
      </c>
      <c r="O902" s="125"/>
      <c r="P902" s="125"/>
      <c r="Q902" s="125"/>
    </row>
    <row r="903" spans="1:17">
      <c r="A903" s="128"/>
      <c r="B903" s="132"/>
      <c r="C903" s="132"/>
      <c r="D903" s="131" t="s">
        <v>165</v>
      </c>
      <c r="E903" s="131" t="s">
        <v>166</v>
      </c>
      <c r="F903" s="131" t="s">
        <v>167</v>
      </c>
      <c r="G903" s="135" t="s">
        <v>168</v>
      </c>
      <c r="H903" s="125"/>
      <c r="I903" s="125"/>
      <c r="J903" s="126"/>
      <c r="K903" s="132"/>
      <c r="L903" s="135" t="s">
        <v>169</v>
      </c>
      <c r="M903" s="13"/>
      <c r="N903" s="132"/>
      <c r="O903" s="135" t="s">
        <v>170</v>
      </c>
      <c r="P903" s="125"/>
      <c r="Q903" s="125"/>
    </row>
    <row r="904" spans="1:17">
      <c r="A904" s="128"/>
      <c r="B904" s="132"/>
      <c r="C904" s="132"/>
      <c r="D904" s="132"/>
      <c r="E904" s="132"/>
      <c r="F904" s="132"/>
      <c r="G904" s="132"/>
      <c r="H904" s="131" t="s">
        <v>171</v>
      </c>
      <c r="I904" s="135" t="s">
        <v>854</v>
      </c>
      <c r="J904" s="13"/>
      <c r="K904" s="132"/>
      <c r="L904" s="132"/>
      <c r="M904" s="131" t="s">
        <v>173</v>
      </c>
      <c r="N904" s="132"/>
      <c r="O904" s="132"/>
      <c r="P904" s="131" t="s">
        <v>174</v>
      </c>
      <c r="Q904" s="135" t="s">
        <v>175</v>
      </c>
    </row>
    <row r="905" spans="1:17">
      <c r="A905" s="129"/>
      <c r="B905" s="133"/>
      <c r="C905" s="133"/>
      <c r="D905" s="133"/>
      <c r="E905" s="133"/>
      <c r="F905" s="133"/>
      <c r="G905" s="133"/>
      <c r="H905" s="133"/>
      <c r="I905" s="133"/>
      <c r="J905" s="14" t="s">
        <v>176</v>
      </c>
      <c r="K905" s="133"/>
      <c r="L905" s="133"/>
      <c r="M905" s="133"/>
      <c r="N905" s="133"/>
      <c r="O905" s="133"/>
      <c r="P905" s="133"/>
      <c r="Q905" s="137"/>
    </row>
    <row r="906" spans="1:17" ht="36">
      <c r="A906" s="7" t="s">
        <v>11107</v>
      </c>
      <c r="B906" s="6" t="s">
        <v>11108</v>
      </c>
      <c r="C906" s="6" t="s">
        <v>11109</v>
      </c>
      <c r="D906" s="6" t="s">
        <v>11110</v>
      </c>
      <c r="E906" s="6" t="s">
        <v>11111</v>
      </c>
      <c r="F906" s="6" t="s">
        <v>11112</v>
      </c>
      <c r="G906" s="6" t="s">
        <v>11113</v>
      </c>
      <c r="H906" s="6" t="s">
        <v>11114</v>
      </c>
      <c r="I906" s="6" t="s">
        <v>11115</v>
      </c>
      <c r="J906" s="6" t="s">
        <v>11116</v>
      </c>
      <c r="K906" s="6" t="s">
        <v>11117</v>
      </c>
      <c r="L906" s="6" t="s">
        <v>11118</v>
      </c>
      <c r="M906" s="6" t="s">
        <v>11119</v>
      </c>
      <c r="N906" s="6" t="s">
        <v>11120</v>
      </c>
      <c r="O906" s="6" t="s">
        <v>11121</v>
      </c>
      <c r="P906" s="6" t="s">
        <v>11122</v>
      </c>
      <c r="Q906" s="6" t="s">
        <v>11123</v>
      </c>
    </row>
    <row r="907" spans="1:17" ht="36">
      <c r="A907" s="7" t="s">
        <v>11124</v>
      </c>
      <c r="B907" s="6" t="s">
        <v>11125</v>
      </c>
      <c r="C907" s="6" t="s">
        <v>11126</v>
      </c>
      <c r="D907" s="6" t="s">
        <v>11127</v>
      </c>
      <c r="E907" s="6" t="s">
        <v>11128</v>
      </c>
      <c r="F907" s="6" t="s">
        <v>11129</v>
      </c>
      <c r="G907" s="6" t="s">
        <v>11130</v>
      </c>
      <c r="H907" s="6" t="s">
        <v>11131</v>
      </c>
      <c r="I907" s="6" t="s">
        <v>11132</v>
      </c>
      <c r="J907" s="6" t="s">
        <v>11133</v>
      </c>
      <c r="K907" s="6" t="s">
        <v>11134</v>
      </c>
      <c r="L907" s="6" t="s">
        <v>11135</v>
      </c>
      <c r="M907" s="6" t="s">
        <v>11136</v>
      </c>
      <c r="N907" s="6" t="s">
        <v>11137</v>
      </c>
      <c r="O907" s="6" t="s">
        <v>11138</v>
      </c>
      <c r="P907" s="6" t="s">
        <v>4097</v>
      </c>
      <c r="Q907" s="6" t="s">
        <v>11139</v>
      </c>
    </row>
    <row r="908" spans="1:17" ht="48">
      <c r="A908" s="7" t="s">
        <v>11140</v>
      </c>
      <c r="B908" s="6" t="s">
        <v>11141</v>
      </c>
      <c r="C908" s="6" t="s">
        <v>11142</v>
      </c>
      <c r="D908" s="6" t="s">
        <v>4988</v>
      </c>
      <c r="E908" s="6" t="s">
        <v>11143</v>
      </c>
      <c r="F908" s="6" t="s">
        <v>11144</v>
      </c>
      <c r="G908" s="6" t="s">
        <v>11145</v>
      </c>
      <c r="H908" s="6" t="s">
        <v>11146</v>
      </c>
      <c r="I908" s="6" t="s">
        <v>11147</v>
      </c>
      <c r="J908" s="6" t="s">
        <v>11148</v>
      </c>
      <c r="K908" s="6" t="s">
        <v>11149</v>
      </c>
      <c r="L908" s="6" t="s">
        <v>11150</v>
      </c>
      <c r="M908" s="6" t="s">
        <v>10813</v>
      </c>
      <c r="N908" s="6" t="s">
        <v>11151</v>
      </c>
      <c r="O908" s="6" t="s">
        <v>11152</v>
      </c>
      <c r="P908" s="6" t="s">
        <v>11153</v>
      </c>
      <c r="Q908" s="6" t="s">
        <v>4688</v>
      </c>
    </row>
    <row r="909" spans="1:17" ht="36">
      <c r="A909" s="7" t="s">
        <v>11154</v>
      </c>
      <c r="B909" s="6" t="s">
        <v>11155</v>
      </c>
      <c r="C909" s="6" t="s">
        <v>11156</v>
      </c>
      <c r="D909" s="6" t="s">
        <v>11157</v>
      </c>
      <c r="E909" s="6" t="s">
        <v>11158</v>
      </c>
      <c r="F909" s="6" t="s">
        <v>11159</v>
      </c>
      <c r="G909" s="6" t="s">
        <v>11160</v>
      </c>
      <c r="H909" s="6" t="s">
        <v>11161</v>
      </c>
      <c r="I909" s="6" t="s">
        <v>11162</v>
      </c>
      <c r="J909" s="6" t="s">
        <v>11163</v>
      </c>
      <c r="K909" s="6" t="s">
        <v>11164</v>
      </c>
      <c r="L909" s="6" t="s">
        <v>11165</v>
      </c>
      <c r="M909" s="6" t="s">
        <v>11166</v>
      </c>
      <c r="N909" s="6" t="s">
        <v>11167</v>
      </c>
      <c r="O909" s="6" t="s">
        <v>11168</v>
      </c>
      <c r="P909" s="6" t="s">
        <v>11169</v>
      </c>
      <c r="Q909" s="6" t="s">
        <v>9697</v>
      </c>
    </row>
    <row r="910" spans="1:17" ht="36">
      <c r="A910" s="7" t="s">
        <v>11170</v>
      </c>
      <c r="B910" s="6" t="s">
        <v>11171</v>
      </c>
      <c r="C910" s="6" t="s">
        <v>11172</v>
      </c>
      <c r="D910" s="6" t="s">
        <v>11173</v>
      </c>
      <c r="E910" s="6" t="s">
        <v>11174</v>
      </c>
      <c r="F910" s="6" t="s">
        <v>11175</v>
      </c>
      <c r="G910" s="6" t="s">
        <v>11176</v>
      </c>
      <c r="H910" s="6" t="s">
        <v>11177</v>
      </c>
      <c r="I910" s="6" t="s">
        <v>11178</v>
      </c>
      <c r="J910" s="6" t="s">
        <v>3476</v>
      </c>
      <c r="K910" s="6" t="s">
        <v>11179</v>
      </c>
      <c r="L910" s="6" t="s">
        <v>11180</v>
      </c>
      <c r="M910" s="6" t="s">
        <v>11181</v>
      </c>
      <c r="N910" s="6" t="s">
        <v>11182</v>
      </c>
      <c r="O910" s="6" t="s">
        <v>11183</v>
      </c>
      <c r="P910" s="6" t="s">
        <v>11184</v>
      </c>
      <c r="Q910" s="6" t="s">
        <v>4473</v>
      </c>
    </row>
    <row r="911" spans="1:17" ht="48">
      <c r="A911" s="7" t="s">
        <v>11185</v>
      </c>
      <c r="B911" s="6" t="s">
        <v>11186</v>
      </c>
      <c r="C911" s="6" t="s">
        <v>11187</v>
      </c>
      <c r="D911" s="6" t="s">
        <v>11188</v>
      </c>
      <c r="E911" s="6" t="s">
        <v>4310</v>
      </c>
      <c r="F911" s="6" t="s">
        <v>11189</v>
      </c>
      <c r="G911" s="6" t="s">
        <v>11190</v>
      </c>
      <c r="H911" s="6" t="s">
        <v>11191</v>
      </c>
      <c r="I911" s="6" t="s">
        <v>2735</v>
      </c>
      <c r="J911" s="6" t="s">
        <v>11192</v>
      </c>
      <c r="K911" s="6" t="s">
        <v>11193</v>
      </c>
      <c r="L911" s="6" t="s">
        <v>11194</v>
      </c>
      <c r="M911" s="6" t="s">
        <v>11195</v>
      </c>
      <c r="N911" s="6" t="s">
        <v>11196</v>
      </c>
      <c r="O911" s="6" t="s">
        <v>11197</v>
      </c>
      <c r="P911" s="6" t="s">
        <v>11198</v>
      </c>
      <c r="Q911" s="6" t="s">
        <v>5816</v>
      </c>
    </row>
    <row r="912" spans="1:17" ht="36">
      <c r="A912" s="7" t="s">
        <v>11199</v>
      </c>
      <c r="B912" s="6" t="s">
        <v>11200</v>
      </c>
      <c r="C912" s="6" t="s">
        <v>11201</v>
      </c>
      <c r="D912" s="6" t="s">
        <v>11202</v>
      </c>
      <c r="E912" s="6" t="s">
        <v>11203</v>
      </c>
      <c r="F912" s="6" t="s">
        <v>11204</v>
      </c>
      <c r="G912" s="6" t="s">
        <v>11205</v>
      </c>
      <c r="H912" s="6" t="s">
        <v>11206</v>
      </c>
      <c r="I912" s="6" t="s">
        <v>11207</v>
      </c>
      <c r="J912" s="6" t="s">
        <v>11208</v>
      </c>
      <c r="K912" s="6" t="s">
        <v>11209</v>
      </c>
      <c r="L912" s="6" t="s">
        <v>11210</v>
      </c>
      <c r="M912" s="6" t="s">
        <v>11211</v>
      </c>
      <c r="N912" s="6" t="s">
        <v>11212</v>
      </c>
      <c r="O912" s="6" t="s">
        <v>11213</v>
      </c>
      <c r="P912" s="6" t="s">
        <v>7545</v>
      </c>
      <c r="Q912" s="6" t="s">
        <v>3676</v>
      </c>
    </row>
    <row r="913" spans="1:17" ht="36">
      <c r="A913" s="7" t="s">
        <v>11214</v>
      </c>
      <c r="B913" s="6" t="s">
        <v>3608</v>
      </c>
      <c r="C913" s="6" t="s">
        <v>11215</v>
      </c>
      <c r="D913" s="6" t="s">
        <v>11216</v>
      </c>
      <c r="E913" s="6" t="s">
        <v>11217</v>
      </c>
      <c r="F913" s="6" t="s">
        <v>11218</v>
      </c>
      <c r="G913" s="6" t="s">
        <v>11219</v>
      </c>
      <c r="H913" s="6" t="s">
        <v>11220</v>
      </c>
      <c r="I913" s="6" t="s">
        <v>11221</v>
      </c>
      <c r="J913" s="6" t="s">
        <v>11222</v>
      </c>
      <c r="K913" s="6" t="s">
        <v>11223</v>
      </c>
      <c r="L913" s="6" t="s">
        <v>11224</v>
      </c>
      <c r="M913" s="6" t="s">
        <v>11225</v>
      </c>
      <c r="N913" s="6" t="s">
        <v>11226</v>
      </c>
      <c r="O913" s="6" t="s">
        <v>11227</v>
      </c>
      <c r="P913" s="6" t="s">
        <v>11228</v>
      </c>
      <c r="Q913" s="6" t="s">
        <v>2227</v>
      </c>
    </row>
    <row r="914" spans="1:17" ht="60">
      <c r="A914" s="7" t="s">
        <v>11229</v>
      </c>
      <c r="B914" s="6" t="s">
        <v>11230</v>
      </c>
      <c r="C914" s="6" t="s">
        <v>11231</v>
      </c>
      <c r="D914" s="6" t="s">
        <v>11232</v>
      </c>
      <c r="E914" s="6" t="s">
        <v>11233</v>
      </c>
      <c r="F914" s="6" t="s">
        <v>11234</v>
      </c>
      <c r="G914" s="6" t="s">
        <v>11235</v>
      </c>
      <c r="H914" s="6" t="s">
        <v>11236</v>
      </c>
      <c r="I914" s="6" t="s">
        <v>11237</v>
      </c>
      <c r="J914" s="6" t="s">
        <v>11238</v>
      </c>
      <c r="K914" s="6" t="s">
        <v>11239</v>
      </c>
      <c r="L914" s="6" t="s">
        <v>11240</v>
      </c>
      <c r="M914" s="6" t="s">
        <v>11241</v>
      </c>
      <c r="N914" s="6" t="s">
        <v>11242</v>
      </c>
      <c r="O914" s="6" t="s">
        <v>11243</v>
      </c>
      <c r="P914" s="6" t="s">
        <v>11244</v>
      </c>
      <c r="Q914" s="6" t="s">
        <v>11245</v>
      </c>
    </row>
    <row r="915" spans="1:17" ht="48">
      <c r="A915" s="7" t="s">
        <v>11246</v>
      </c>
      <c r="B915" s="6" t="s">
        <v>11247</v>
      </c>
      <c r="C915" s="6" t="s">
        <v>11248</v>
      </c>
      <c r="D915" s="6" t="s">
        <v>11249</v>
      </c>
      <c r="E915" s="6" t="s">
        <v>11250</v>
      </c>
      <c r="F915" s="6" t="s">
        <v>11251</v>
      </c>
      <c r="G915" s="6" t="s">
        <v>11252</v>
      </c>
      <c r="H915" s="6" t="s">
        <v>11253</v>
      </c>
      <c r="I915" s="6" t="s">
        <v>11254</v>
      </c>
      <c r="J915" s="6" t="s">
        <v>11255</v>
      </c>
      <c r="K915" s="6" t="s">
        <v>11256</v>
      </c>
      <c r="L915" s="6" t="s">
        <v>11257</v>
      </c>
      <c r="M915" s="6" t="s">
        <v>11258</v>
      </c>
      <c r="N915" s="6" t="s">
        <v>11259</v>
      </c>
      <c r="O915" s="6" t="s">
        <v>11260</v>
      </c>
      <c r="P915" s="6" t="s">
        <v>11261</v>
      </c>
      <c r="Q915" s="6" t="s">
        <v>11262</v>
      </c>
    </row>
    <row r="916" spans="1:17" ht="36">
      <c r="A916" s="7" t="s">
        <v>11263</v>
      </c>
      <c r="B916" s="6" t="s">
        <v>5519</v>
      </c>
      <c r="C916" s="6" t="s">
        <v>11264</v>
      </c>
      <c r="D916" s="6" t="s">
        <v>11265</v>
      </c>
      <c r="E916" s="6" t="s">
        <v>11266</v>
      </c>
      <c r="F916" s="6" t="s">
        <v>11267</v>
      </c>
      <c r="G916" s="6" t="s">
        <v>11268</v>
      </c>
      <c r="H916" s="6" t="s">
        <v>11269</v>
      </c>
      <c r="I916" s="6" t="s">
        <v>11270</v>
      </c>
      <c r="J916" s="6" t="s">
        <v>11271</v>
      </c>
      <c r="K916" s="6" t="s">
        <v>11272</v>
      </c>
      <c r="L916" s="6" t="s">
        <v>11273</v>
      </c>
      <c r="M916" s="6" t="s">
        <v>11274</v>
      </c>
      <c r="N916" s="6" t="s">
        <v>11275</v>
      </c>
      <c r="O916" s="6" t="s">
        <v>11276</v>
      </c>
      <c r="P916" s="6" t="s">
        <v>3212</v>
      </c>
      <c r="Q916" s="6" t="s">
        <v>11277</v>
      </c>
    </row>
    <row r="917" spans="1:17" ht="48">
      <c r="A917" s="7" t="s">
        <v>11278</v>
      </c>
      <c r="B917" s="6" t="s">
        <v>11279</v>
      </c>
      <c r="C917" s="6" t="s">
        <v>11280</v>
      </c>
      <c r="D917" s="6" t="s">
        <v>11281</v>
      </c>
      <c r="E917" s="6" t="s">
        <v>11282</v>
      </c>
      <c r="F917" s="6" t="s">
        <v>11283</v>
      </c>
      <c r="G917" s="6" t="s">
        <v>11284</v>
      </c>
      <c r="H917" s="6" t="s">
        <v>11285</v>
      </c>
      <c r="I917" s="6" t="s">
        <v>8903</v>
      </c>
      <c r="J917" s="6" t="s">
        <v>5320</v>
      </c>
      <c r="K917" s="6" t="s">
        <v>11286</v>
      </c>
      <c r="L917" s="6" t="s">
        <v>11287</v>
      </c>
      <c r="M917" s="6" t="s">
        <v>11288</v>
      </c>
      <c r="N917" s="6" t="s">
        <v>11289</v>
      </c>
      <c r="O917" s="6" t="s">
        <v>11290</v>
      </c>
      <c r="P917" s="6" t="s">
        <v>2850</v>
      </c>
      <c r="Q917" s="6" t="s">
        <v>9007</v>
      </c>
    </row>
    <row r="918" spans="1:17" ht="48">
      <c r="A918" s="7" t="s">
        <v>11291</v>
      </c>
      <c r="B918" s="6" t="s">
        <v>11292</v>
      </c>
      <c r="C918" s="6" t="s">
        <v>11293</v>
      </c>
      <c r="D918" s="6" t="s">
        <v>11294</v>
      </c>
      <c r="E918" s="6" t="s">
        <v>11295</v>
      </c>
      <c r="F918" s="6" t="s">
        <v>11296</v>
      </c>
      <c r="G918" s="6" t="s">
        <v>11297</v>
      </c>
      <c r="H918" s="6" t="s">
        <v>8382</v>
      </c>
      <c r="I918" s="6" t="s">
        <v>11298</v>
      </c>
      <c r="J918" s="6" t="s">
        <v>11299</v>
      </c>
      <c r="K918" s="6" t="s">
        <v>11300</v>
      </c>
      <c r="L918" s="6" t="s">
        <v>11301</v>
      </c>
      <c r="M918" s="6" t="s">
        <v>11302</v>
      </c>
      <c r="N918" s="6" t="s">
        <v>11303</v>
      </c>
      <c r="O918" s="6" t="s">
        <v>11304</v>
      </c>
      <c r="P918" s="6" t="s">
        <v>2572</v>
      </c>
      <c r="Q918" s="6" t="s">
        <v>587</v>
      </c>
    </row>
    <row r="919" spans="1:17" ht="36">
      <c r="A919" s="7" t="s">
        <v>11305</v>
      </c>
      <c r="B919" s="6" t="s">
        <v>11306</v>
      </c>
      <c r="C919" s="6" t="s">
        <v>11307</v>
      </c>
      <c r="D919" s="6" t="s">
        <v>11308</v>
      </c>
      <c r="E919" s="6" t="s">
        <v>11309</v>
      </c>
      <c r="F919" s="6" t="s">
        <v>11310</v>
      </c>
      <c r="G919" s="6" t="s">
        <v>11311</v>
      </c>
      <c r="H919" s="6" t="s">
        <v>11312</v>
      </c>
      <c r="I919" s="6" t="s">
        <v>11313</v>
      </c>
      <c r="J919" s="6" t="s">
        <v>11314</v>
      </c>
      <c r="K919" s="6" t="s">
        <v>11315</v>
      </c>
      <c r="L919" s="6" t="s">
        <v>11316</v>
      </c>
      <c r="M919" s="6" t="s">
        <v>11317</v>
      </c>
      <c r="N919" s="6" t="s">
        <v>11318</v>
      </c>
      <c r="O919" s="6" t="s">
        <v>11319</v>
      </c>
      <c r="P919" s="6" t="s">
        <v>11320</v>
      </c>
      <c r="Q919" s="6" t="s">
        <v>11321</v>
      </c>
    </row>
    <row r="920" spans="1:17" ht="36">
      <c r="A920" s="7" t="s">
        <v>11322</v>
      </c>
      <c r="B920" s="6" t="s">
        <v>11323</v>
      </c>
      <c r="C920" s="6" t="s">
        <v>11324</v>
      </c>
      <c r="D920" s="6" t="s">
        <v>11325</v>
      </c>
      <c r="E920" s="6" t="s">
        <v>11326</v>
      </c>
      <c r="F920" s="6" t="s">
        <v>11327</v>
      </c>
      <c r="G920" s="6" t="s">
        <v>11328</v>
      </c>
      <c r="H920" s="6" t="s">
        <v>11329</v>
      </c>
      <c r="I920" s="6" t="s">
        <v>11330</v>
      </c>
      <c r="J920" s="6" t="s">
        <v>11331</v>
      </c>
      <c r="K920" s="6" t="s">
        <v>11332</v>
      </c>
      <c r="L920" s="6" t="s">
        <v>11333</v>
      </c>
      <c r="M920" s="6" t="s">
        <v>11334</v>
      </c>
      <c r="N920" s="6" t="s">
        <v>11335</v>
      </c>
      <c r="O920" s="6" t="s">
        <v>11336</v>
      </c>
      <c r="P920" s="6" t="s">
        <v>2715</v>
      </c>
      <c r="Q920" s="6" t="s">
        <v>11337</v>
      </c>
    </row>
    <row r="921" spans="1:17" ht="36">
      <c r="A921" s="7" t="s">
        <v>11338</v>
      </c>
      <c r="B921" s="6" t="s">
        <v>2836</v>
      </c>
      <c r="C921" s="6" t="s">
        <v>11339</v>
      </c>
      <c r="D921" s="6" t="s">
        <v>11340</v>
      </c>
      <c r="E921" s="6" t="s">
        <v>11341</v>
      </c>
      <c r="F921" s="6" t="s">
        <v>11342</v>
      </c>
      <c r="G921" s="6" t="s">
        <v>11343</v>
      </c>
      <c r="H921" s="6" t="s">
        <v>11344</v>
      </c>
      <c r="I921" s="6" t="s">
        <v>11345</v>
      </c>
      <c r="J921" s="6" t="s">
        <v>11346</v>
      </c>
      <c r="K921" s="6" t="s">
        <v>11347</v>
      </c>
      <c r="L921" s="6" t="s">
        <v>11348</v>
      </c>
      <c r="M921" s="6" t="s">
        <v>11349</v>
      </c>
      <c r="N921" s="6" t="s">
        <v>11350</v>
      </c>
      <c r="O921" s="6" t="s">
        <v>11351</v>
      </c>
      <c r="P921" s="6" t="s">
        <v>11352</v>
      </c>
      <c r="Q921" s="6" t="s">
        <v>11353</v>
      </c>
    </row>
    <row r="922" spans="1:17" ht="24">
      <c r="A922" s="7" t="s">
        <v>11354</v>
      </c>
      <c r="B922" s="6" t="s">
        <v>11355</v>
      </c>
      <c r="C922" s="6" t="s">
        <v>11356</v>
      </c>
      <c r="D922" s="6" t="s">
        <v>11357</v>
      </c>
      <c r="E922" s="6" t="s">
        <v>11358</v>
      </c>
      <c r="F922" s="6" t="s">
        <v>11359</v>
      </c>
      <c r="G922" s="6" t="s">
        <v>11360</v>
      </c>
      <c r="H922" s="6" t="s">
        <v>11361</v>
      </c>
      <c r="I922" s="6" t="s">
        <v>11362</v>
      </c>
      <c r="J922" s="6" t="s">
        <v>11363</v>
      </c>
      <c r="K922" s="6" t="s">
        <v>11364</v>
      </c>
      <c r="L922" s="6" t="s">
        <v>11365</v>
      </c>
      <c r="M922" s="6" t="s">
        <v>11366</v>
      </c>
      <c r="N922" s="6" t="s">
        <v>11367</v>
      </c>
      <c r="O922" s="6" t="s">
        <v>11368</v>
      </c>
      <c r="P922" s="6" t="s">
        <v>11369</v>
      </c>
      <c r="Q922" s="6" t="s">
        <v>11370</v>
      </c>
    </row>
    <row r="923" spans="1:17" ht="36">
      <c r="A923" s="7" t="s">
        <v>11371</v>
      </c>
      <c r="B923" s="6" t="s">
        <v>11372</v>
      </c>
      <c r="C923" s="6" t="s">
        <v>11373</v>
      </c>
      <c r="D923" s="6" t="s">
        <v>11374</v>
      </c>
      <c r="E923" s="6" t="s">
        <v>11375</v>
      </c>
      <c r="F923" s="6" t="s">
        <v>11376</v>
      </c>
      <c r="G923" s="6" t="s">
        <v>11377</v>
      </c>
      <c r="H923" s="6" t="s">
        <v>11378</v>
      </c>
      <c r="I923" s="6" t="s">
        <v>11379</v>
      </c>
      <c r="J923" s="6" t="s">
        <v>11380</v>
      </c>
      <c r="K923" s="6" t="s">
        <v>11381</v>
      </c>
      <c r="L923" s="6" t="s">
        <v>11382</v>
      </c>
      <c r="M923" s="6" t="s">
        <v>11383</v>
      </c>
      <c r="N923" s="6" t="s">
        <v>11384</v>
      </c>
      <c r="O923" s="6" t="s">
        <v>11385</v>
      </c>
      <c r="P923" s="6" t="s">
        <v>5706</v>
      </c>
      <c r="Q923" s="6" t="s">
        <v>11386</v>
      </c>
    </row>
    <row r="924" spans="1:17" ht="48">
      <c r="A924" s="7" t="s">
        <v>11387</v>
      </c>
      <c r="B924" s="6" t="s">
        <v>11388</v>
      </c>
      <c r="C924" s="6" t="s">
        <v>11389</v>
      </c>
      <c r="D924" s="6" t="s">
        <v>11390</v>
      </c>
      <c r="E924" s="6" t="s">
        <v>11391</v>
      </c>
      <c r="F924" s="6" t="s">
        <v>11392</v>
      </c>
      <c r="G924" s="6" t="s">
        <v>11393</v>
      </c>
      <c r="H924" s="6" t="s">
        <v>11394</v>
      </c>
      <c r="I924" s="6" t="s">
        <v>11395</v>
      </c>
      <c r="J924" s="6" t="s">
        <v>11396</v>
      </c>
      <c r="K924" s="6" t="s">
        <v>11397</v>
      </c>
      <c r="L924" s="6" t="s">
        <v>11398</v>
      </c>
      <c r="M924" s="6" t="s">
        <v>11399</v>
      </c>
      <c r="N924" s="6" t="s">
        <v>11400</v>
      </c>
      <c r="O924" s="6" t="s">
        <v>11401</v>
      </c>
      <c r="P924" s="6" t="s">
        <v>11402</v>
      </c>
      <c r="Q924" s="6" t="s">
        <v>7850</v>
      </c>
    </row>
    <row r="925" spans="1:17" ht="36">
      <c r="A925" s="7" t="s">
        <v>11403</v>
      </c>
      <c r="B925" s="6" t="s">
        <v>11404</v>
      </c>
      <c r="C925" s="6" t="s">
        <v>11405</v>
      </c>
      <c r="D925" s="6" t="s">
        <v>11406</v>
      </c>
      <c r="E925" s="6" t="s">
        <v>11407</v>
      </c>
      <c r="F925" s="6" t="s">
        <v>11408</v>
      </c>
      <c r="G925" s="6" t="s">
        <v>11409</v>
      </c>
      <c r="H925" s="6" t="s">
        <v>11410</v>
      </c>
      <c r="I925" s="6" t="s">
        <v>11411</v>
      </c>
      <c r="J925" s="6" t="s">
        <v>11412</v>
      </c>
      <c r="K925" s="6" t="s">
        <v>11413</v>
      </c>
      <c r="L925" s="6" t="s">
        <v>11414</v>
      </c>
      <c r="M925" s="6" t="s">
        <v>11415</v>
      </c>
      <c r="N925" s="6" t="s">
        <v>11416</v>
      </c>
      <c r="O925" s="6" t="s">
        <v>11417</v>
      </c>
      <c r="P925" s="6" t="s">
        <v>11418</v>
      </c>
      <c r="Q925" s="6" t="s">
        <v>3847</v>
      </c>
    </row>
    <row r="926" spans="1:17" ht="48">
      <c r="A926" s="7" t="s">
        <v>11419</v>
      </c>
      <c r="B926" s="6" t="s">
        <v>9422</v>
      </c>
      <c r="C926" s="6" t="s">
        <v>11420</v>
      </c>
      <c r="D926" s="6" t="s">
        <v>11421</v>
      </c>
      <c r="E926" s="6" t="s">
        <v>7866</v>
      </c>
      <c r="F926" s="6" t="s">
        <v>2518</v>
      </c>
      <c r="G926" s="6" t="s">
        <v>11422</v>
      </c>
      <c r="H926" s="6" t="s">
        <v>11423</v>
      </c>
      <c r="I926" s="6" t="s">
        <v>4671</v>
      </c>
      <c r="J926" s="6" t="s">
        <v>11424</v>
      </c>
      <c r="K926" s="6" t="s">
        <v>11425</v>
      </c>
      <c r="L926" s="6" t="s">
        <v>11426</v>
      </c>
      <c r="M926" s="6" t="s">
        <v>11427</v>
      </c>
      <c r="N926" s="6" t="s">
        <v>11428</v>
      </c>
      <c r="O926" s="6" t="s">
        <v>11429</v>
      </c>
      <c r="P926" s="6" t="s">
        <v>2519</v>
      </c>
      <c r="Q926" s="6" t="s">
        <v>979</v>
      </c>
    </row>
    <row r="927" spans="1:17" ht="36">
      <c r="A927" s="7" t="s">
        <v>11430</v>
      </c>
      <c r="B927" s="6" t="s">
        <v>2591</v>
      </c>
      <c r="C927" s="6" t="s">
        <v>11431</v>
      </c>
      <c r="D927" s="6" t="s">
        <v>11432</v>
      </c>
      <c r="E927" s="6" t="s">
        <v>11433</v>
      </c>
      <c r="F927" s="6" t="s">
        <v>11434</v>
      </c>
      <c r="G927" s="6" t="s">
        <v>11435</v>
      </c>
      <c r="H927" s="6" t="s">
        <v>11436</v>
      </c>
      <c r="I927" s="6" t="s">
        <v>11437</v>
      </c>
      <c r="J927" s="6" t="s">
        <v>11438</v>
      </c>
      <c r="K927" s="6" t="s">
        <v>6178</v>
      </c>
      <c r="L927" s="6" t="s">
        <v>11439</v>
      </c>
      <c r="M927" s="6" t="s">
        <v>11440</v>
      </c>
      <c r="N927" s="6" t="s">
        <v>11441</v>
      </c>
      <c r="O927" s="6" t="s">
        <v>11442</v>
      </c>
      <c r="P927" s="6" t="s">
        <v>975</v>
      </c>
      <c r="Q927" s="6" t="s">
        <v>1965</v>
      </c>
    </row>
    <row r="928" spans="1:17" ht="36">
      <c r="A928" s="7" t="s">
        <v>11443</v>
      </c>
      <c r="B928" s="6" t="s">
        <v>11444</v>
      </c>
      <c r="C928" s="6" t="s">
        <v>11445</v>
      </c>
      <c r="D928" s="6" t="s">
        <v>9742</v>
      </c>
      <c r="E928" s="6" t="s">
        <v>11446</v>
      </c>
      <c r="F928" s="6" t="s">
        <v>2531</v>
      </c>
      <c r="G928" s="6" t="s">
        <v>11447</v>
      </c>
      <c r="H928" s="6" t="s">
        <v>3274</v>
      </c>
      <c r="I928" s="6" t="s">
        <v>11448</v>
      </c>
      <c r="J928" s="6" t="s">
        <v>11449</v>
      </c>
      <c r="K928" s="6" t="s">
        <v>11450</v>
      </c>
      <c r="L928" s="6" t="s">
        <v>11451</v>
      </c>
      <c r="M928" s="6" t="s">
        <v>3156</v>
      </c>
      <c r="N928" s="6" t="s">
        <v>11452</v>
      </c>
      <c r="O928" s="6" t="s">
        <v>8868</v>
      </c>
      <c r="P928" s="6" t="s">
        <v>871</v>
      </c>
      <c r="Q928" s="6" t="s">
        <v>2571</v>
      </c>
    </row>
    <row r="929" spans="1:17" ht="48">
      <c r="A929" s="7" t="s">
        <v>11453</v>
      </c>
      <c r="B929" s="6" t="s">
        <v>2245</v>
      </c>
      <c r="C929" s="6" t="s">
        <v>7471</v>
      </c>
      <c r="D929" s="6" t="s">
        <v>8469</v>
      </c>
      <c r="E929" s="6" t="s">
        <v>11454</v>
      </c>
      <c r="F929" s="6" t="s">
        <v>11299</v>
      </c>
      <c r="G929" s="6" t="s">
        <v>1915</v>
      </c>
      <c r="H929" s="6" t="s">
        <v>11455</v>
      </c>
      <c r="I929" s="6" t="s">
        <v>9889</v>
      </c>
      <c r="J929" s="6" t="s">
        <v>11456</v>
      </c>
      <c r="K929" s="6" t="s">
        <v>11457</v>
      </c>
      <c r="L929" s="6" t="s">
        <v>11458</v>
      </c>
      <c r="M929" s="6" t="s">
        <v>11459</v>
      </c>
      <c r="N929" s="6" t="s">
        <v>11460</v>
      </c>
      <c r="O929" s="6" t="s">
        <v>6823</v>
      </c>
      <c r="P929" s="6" t="s">
        <v>11461</v>
      </c>
      <c r="Q929" s="6" t="s">
        <v>3640</v>
      </c>
    </row>
    <row r="930" spans="1:17" ht="36">
      <c r="A930" s="7" t="s">
        <v>11462</v>
      </c>
      <c r="B930" s="6" t="s">
        <v>11463</v>
      </c>
      <c r="C930" s="6" t="s">
        <v>11464</v>
      </c>
      <c r="D930" s="6" t="s">
        <v>11465</v>
      </c>
      <c r="E930" s="6" t="s">
        <v>11466</v>
      </c>
      <c r="F930" s="6" t="s">
        <v>11467</v>
      </c>
      <c r="G930" s="6" t="s">
        <v>11468</v>
      </c>
      <c r="H930" s="6" t="s">
        <v>11469</v>
      </c>
      <c r="I930" s="6" t="s">
        <v>11470</v>
      </c>
      <c r="J930" s="6" t="s">
        <v>11471</v>
      </c>
      <c r="K930" s="6" t="s">
        <v>11472</v>
      </c>
      <c r="L930" s="6" t="s">
        <v>11473</v>
      </c>
      <c r="M930" s="6" t="s">
        <v>11474</v>
      </c>
      <c r="N930" s="6" t="s">
        <v>11475</v>
      </c>
      <c r="O930" s="6" t="s">
        <v>11476</v>
      </c>
      <c r="P930" s="6" t="s">
        <v>996</v>
      </c>
      <c r="Q930" s="6" t="s">
        <v>11477</v>
      </c>
    </row>
    <row r="931" spans="1:17" ht="36">
      <c r="A931" s="7" t="s">
        <v>11478</v>
      </c>
      <c r="B931" s="6" t="s">
        <v>11479</v>
      </c>
      <c r="C931" s="6" t="s">
        <v>11480</v>
      </c>
      <c r="D931" s="6" t="s">
        <v>11481</v>
      </c>
      <c r="E931" s="6" t="s">
        <v>11482</v>
      </c>
      <c r="F931" s="6" t="s">
        <v>11483</v>
      </c>
      <c r="G931" s="6" t="s">
        <v>2409</v>
      </c>
      <c r="H931" s="6" t="s">
        <v>11484</v>
      </c>
      <c r="I931" s="6" t="s">
        <v>11485</v>
      </c>
      <c r="J931" s="6" t="s">
        <v>11486</v>
      </c>
      <c r="K931" s="6" t="s">
        <v>11487</v>
      </c>
      <c r="L931" s="6" t="s">
        <v>11488</v>
      </c>
      <c r="M931" s="6" t="s">
        <v>11489</v>
      </c>
      <c r="N931" s="6" t="s">
        <v>11490</v>
      </c>
      <c r="O931" s="6" t="s">
        <v>11491</v>
      </c>
      <c r="P931" s="6" t="s">
        <v>7089</v>
      </c>
      <c r="Q931" s="6" t="s">
        <v>3914</v>
      </c>
    </row>
    <row r="932" spans="1:17" ht="48">
      <c r="A932" s="7" t="s">
        <v>11492</v>
      </c>
      <c r="B932" s="6" t="s">
        <v>787</v>
      </c>
      <c r="C932" s="6" t="s">
        <v>11493</v>
      </c>
      <c r="D932" s="6" t="s">
        <v>8053</v>
      </c>
      <c r="E932" s="6" t="s">
        <v>11494</v>
      </c>
      <c r="F932" s="6" t="s">
        <v>11495</v>
      </c>
      <c r="G932" s="6" t="s">
        <v>11496</v>
      </c>
      <c r="H932" s="6" t="s">
        <v>11497</v>
      </c>
      <c r="I932" s="6" t="s">
        <v>8999</v>
      </c>
      <c r="J932" s="6" t="s">
        <v>11498</v>
      </c>
      <c r="K932" s="6" t="s">
        <v>5902</v>
      </c>
      <c r="L932" s="6" t="s">
        <v>11499</v>
      </c>
      <c r="M932" s="6" t="s">
        <v>11500</v>
      </c>
      <c r="N932" s="6" t="s">
        <v>11501</v>
      </c>
      <c r="O932" s="6" t="s">
        <v>11502</v>
      </c>
      <c r="P932" s="6" t="s">
        <v>11503</v>
      </c>
      <c r="Q932" s="6" t="s">
        <v>270</v>
      </c>
    </row>
    <row r="933" spans="1:17" ht="60">
      <c r="A933" s="7" t="s">
        <v>11504</v>
      </c>
      <c r="B933" s="6" t="s">
        <v>8205</v>
      </c>
      <c r="C933" s="6" t="s">
        <v>2482</v>
      </c>
      <c r="D933" s="6" t="s">
        <v>2271</v>
      </c>
      <c r="E933" s="6" t="s">
        <v>11505</v>
      </c>
      <c r="F933" s="6" t="s">
        <v>11506</v>
      </c>
      <c r="G933" s="6" t="s">
        <v>11507</v>
      </c>
      <c r="H933" s="6" t="s">
        <v>5286</v>
      </c>
      <c r="I933" s="6" t="s">
        <v>11508</v>
      </c>
      <c r="J933" s="6" t="s">
        <v>11509</v>
      </c>
      <c r="K933" s="6" t="s">
        <v>11510</v>
      </c>
      <c r="L933" s="6" t="s">
        <v>11511</v>
      </c>
      <c r="M933" s="6" t="s">
        <v>8569</v>
      </c>
      <c r="N933" s="6" t="s">
        <v>11512</v>
      </c>
      <c r="O933" s="6" t="s">
        <v>2367</v>
      </c>
      <c r="P933" s="6" t="s">
        <v>9333</v>
      </c>
      <c r="Q933" s="6" t="s">
        <v>2772</v>
      </c>
    </row>
    <row r="934" spans="1:17" ht="72">
      <c r="A934" s="7" t="s">
        <v>11513</v>
      </c>
      <c r="B934" s="6" t="s">
        <v>589</v>
      </c>
      <c r="C934" s="6" t="s">
        <v>11514</v>
      </c>
      <c r="D934" s="6" t="s">
        <v>8922</v>
      </c>
      <c r="E934" s="6" t="s">
        <v>11515</v>
      </c>
      <c r="F934" s="6" t="s">
        <v>713</v>
      </c>
      <c r="G934" s="6" t="s">
        <v>11516</v>
      </c>
      <c r="H934" s="6" t="s">
        <v>11517</v>
      </c>
      <c r="I934" s="6" t="s">
        <v>10148</v>
      </c>
      <c r="J934" s="6" t="s">
        <v>5069</v>
      </c>
      <c r="K934" s="6" t="s">
        <v>11518</v>
      </c>
      <c r="L934" s="6" t="s">
        <v>11519</v>
      </c>
      <c r="M934" s="6" t="s">
        <v>4950</v>
      </c>
      <c r="N934" s="6" t="s">
        <v>11520</v>
      </c>
      <c r="O934" s="6" t="s">
        <v>8842</v>
      </c>
      <c r="P934" s="6" t="s">
        <v>975</v>
      </c>
      <c r="Q934" s="15"/>
    </row>
    <row r="935" spans="1:17" ht="48">
      <c r="A935" s="7" t="s">
        <v>11521</v>
      </c>
      <c r="B935" s="6" t="s">
        <v>655</v>
      </c>
      <c r="C935" s="6" t="s">
        <v>7548</v>
      </c>
      <c r="D935" s="6" t="s">
        <v>8200</v>
      </c>
      <c r="E935" s="6" t="s">
        <v>11522</v>
      </c>
      <c r="F935" s="6" t="s">
        <v>11523</v>
      </c>
      <c r="G935" s="6" t="s">
        <v>2815</v>
      </c>
      <c r="H935" s="6" t="s">
        <v>970</v>
      </c>
      <c r="I935" s="6" t="s">
        <v>4022</v>
      </c>
      <c r="J935" s="6" t="s">
        <v>8091</v>
      </c>
      <c r="K935" s="6" t="s">
        <v>11524</v>
      </c>
      <c r="L935" s="6" t="s">
        <v>335</v>
      </c>
      <c r="M935" s="6" t="s">
        <v>3787</v>
      </c>
      <c r="N935" s="6" t="s">
        <v>11525</v>
      </c>
      <c r="O935" s="6" t="s">
        <v>11526</v>
      </c>
      <c r="P935" s="6" t="s">
        <v>992</v>
      </c>
      <c r="Q935" s="6" t="s">
        <v>11527</v>
      </c>
    </row>
    <row r="936" spans="1:17" ht="60">
      <c r="A936" s="7" t="s">
        <v>11528</v>
      </c>
      <c r="B936" s="6" t="s">
        <v>2342</v>
      </c>
      <c r="C936" s="6" t="s">
        <v>11529</v>
      </c>
      <c r="D936" s="6" t="s">
        <v>993</v>
      </c>
      <c r="E936" s="6" t="s">
        <v>515</v>
      </c>
      <c r="F936" s="6" t="s">
        <v>11530</v>
      </c>
      <c r="G936" s="6" t="s">
        <v>11531</v>
      </c>
      <c r="H936" s="6" t="s">
        <v>5000</v>
      </c>
      <c r="I936" s="6" t="s">
        <v>11532</v>
      </c>
      <c r="J936" s="6" t="s">
        <v>8181</v>
      </c>
      <c r="K936" s="6" t="s">
        <v>11533</v>
      </c>
      <c r="L936" s="6" t="s">
        <v>2950</v>
      </c>
      <c r="M936" s="6" t="s">
        <v>11534</v>
      </c>
      <c r="N936" s="6" t="s">
        <v>3549</v>
      </c>
      <c r="O936" s="6" t="s">
        <v>11535</v>
      </c>
      <c r="P936" s="6" t="s">
        <v>4655</v>
      </c>
      <c r="Q936" s="6" t="s">
        <v>3747</v>
      </c>
    </row>
    <row r="937" spans="1:17" ht="36">
      <c r="A937" s="7" t="s">
        <v>11536</v>
      </c>
      <c r="B937" s="6" t="s">
        <v>605</v>
      </c>
      <c r="C937" s="6" t="s">
        <v>11537</v>
      </c>
      <c r="D937" s="6" t="s">
        <v>452</v>
      </c>
      <c r="E937" s="6" t="s">
        <v>6304</v>
      </c>
      <c r="F937" s="6" t="s">
        <v>1122</v>
      </c>
      <c r="G937" s="6" t="s">
        <v>10682</v>
      </c>
      <c r="H937" s="6" t="s">
        <v>11538</v>
      </c>
      <c r="I937" s="6" t="s">
        <v>4956</v>
      </c>
      <c r="J937" s="6" t="s">
        <v>768</v>
      </c>
      <c r="K937" s="6" t="s">
        <v>9581</v>
      </c>
      <c r="L937" s="6" t="s">
        <v>11539</v>
      </c>
      <c r="M937" s="6" t="s">
        <v>3693</v>
      </c>
      <c r="N937" s="6" t="s">
        <v>5920</v>
      </c>
      <c r="O937" s="6" t="s">
        <v>3474</v>
      </c>
      <c r="P937" s="6" t="s">
        <v>981</v>
      </c>
      <c r="Q937" s="6" t="s">
        <v>1129</v>
      </c>
    </row>
    <row r="938" spans="1:17" ht="48">
      <c r="A938" s="7" t="s">
        <v>11540</v>
      </c>
      <c r="B938" s="6" t="s">
        <v>5731</v>
      </c>
      <c r="C938" s="6" t="s">
        <v>11541</v>
      </c>
      <c r="D938" s="6" t="s">
        <v>2573</v>
      </c>
      <c r="E938" s="6" t="s">
        <v>3658</v>
      </c>
      <c r="F938" s="6" t="s">
        <v>539</v>
      </c>
      <c r="G938" s="6" t="s">
        <v>11542</v>
      </c>
      <c r="H938" s="6" t="s">
        <v>2650</v>
      </c>
      <c r="I938" s="6" t="s">
        <v>7626</v>
      </c>
      <c r="J938" s="6" t="s">
        <v>4458</v>
      </c>
      <c r="K938" s="6" t="s">
        <v>5005</v>
      </c>
      <c r="L938" s="6" t="s">
        <v>11543</v>
      </c>
      <c r="M938" s="6" t="s">
        <v>3560</v>
      </c>
      <c r="N938" s="6" t="s">
        <v>11544</v>
      </c>
      <c r="O938" s="6" t="s">
        <v>6235</v>
      </c>
      <c r="P938" s="6" t="s">
        <v>1098</v>
      </c>
      <c r="Q938" s="15"/>
    </row>
    <row r="939" spans="1:17" ht="36">
      <c r="A939" s="7" t="s">
        <v>11545</v>
      </c>
      <c r="B939" s="6" t="s">
        <v>10342</v>
      </c>
      <c r="C939" s="6" t="s">
        <v>11546</v>
      </c>
      <c r="D939" s="6" t="s">
        <v>11547</v>
      </c>
      <c r="E939" s="6" t="s">
        <v>11548</v>
      </c>
      <c r="F939" s="6" t="s">
        <v>11549</v>
      </c>
      <c r="G939" s="6" t="s">
        <v>11550</v>
      </c>
      <c r="H939" s="6" t="s">
        <v>2589</v>
      </c>
      <c r="I939" s="6" t="s">
        <v>11551</v>
      </c>
      <c r="J939" s="6" t="s">
        <v>9342</v>
      </c>
      <c r="K939" s="6" t="s">
        <v>11552</v>
      </c>
      <c r="L939" s="6" t="s">
        <v>11553</v>
      </c>
      <c r="M939" s="6" t="s">
        <v>11554</v>
      </c>
      <c r="N939" s="6" t="s">
        <v>11555</v>
      </c>
      <c r="O939" s="6" t="s">
        <v>1123</v>
      </c>
      <c r="P939" s="6" t="s">
        <v>4012</v>
      </c>
      <c r="Q939" s="6" t="s">
        <v>2916</v>
      </c>
    </row>
    <row r="940" spans="1:17" ht="36">
      <c r="A940" s="7" t="s">
        <v>11556</v>
      </c>
      <c r="B940" s="6" t="s">
        <v>2164</v>
      </c>
      <c r="C940" s="6" t="s">
        <v>11557</v>
      </c>
      <c r="D940" s="6" t="s">
        <v>11558</v>
      </c>
      <c r="E940" s="6" t="s">
        <v>11559</v>
      </c>
      <c r="F940" s="6" t="s">
        <v>11560</v>
      </c>
      <c r="G940" s="6" t="s">
        <v>11561</v>
      </c>
      <c r="H940" s="6" t="s">
        <v>11562</v>
      </c>
      <c r="I940" s="6" t="s">
        <v>11563</v>
      </c>
      <c r="J940" s="6" t="s">
        <v>9424</v>
      </c>
      <c r="K940" s="6" t="s">
        <v>11564</v>
      </c>
      <c r="L940" s="6" t="s">
        <v>11565</v>
      </c>
      <c r="M940" s="6" t="s">
        <v>9311</v>
      </c>
      <c r="N940" s="6" t="s">
        <v>11566</v>
      </c>
      <c r="O940" s="6" t="s">
        <v>11567</v>
      </c>
      <c r="P940" s="6" t="s">
        <v>11568</v>
      </c>
      <c r="Q940" s="6" t="s">
        <v>1520</v>
      </c>
    </row>
    <row r="941" spans="1:17" ht="48">
      <c r="A941" s="7" t="s">
        <v>11569</v>
      </c>
      <c r="B941" s="6" t="s">
        <v>953</v>
      </c>
      <c r="C941" s="6" t="s">
        <v>11570</v>
      </c>
      <c r="D941" s="6" t="s">
        <v>11571</v>
      </c>
      <c r="E941" s="6" t="s">
        <v>11572</v>
      </c>
      <c r="F941" s="6" t="s">
        <v>7561</v>
      </c>
      <c r="G941" s="6" t="s">
        <v>11573</v>
      </c>
      <c r="H941" s="6" t="s">
        <v>11574</v>
      </c>
      <c r="I941" s="6" t="s">
        <v>11575</v>
      </c>
      <c r="J941" s="6" t="s">
        <v>11576</v>
      </c>
      <c r="K941" s="6" t="s">
        <v>7891</v>
      </c>
      <c r="L941" s="6" t="s">
        <v>11577</v>
      </c>
      <c r="M941" s="6" t="s">
        <v>11578</v>
      </c>
      <c r="N941" s="6" t="s">
        <v>11579</v>
      </c>
      <c r="O941" s="6" t="s">
        <v>11580</v>
      </c>
      <c r="P941" s="6" t="s">
        <v>1360</v>
      </c>
      <c r="Q941" s="6" t="s">
        <v>871</v>
      </c>
    </row>
    <row r="942" spans="1:17" ht="36">
      <c r="A942" s="7" t="s">
        <v>11581</v>
      </c>
      <c r="B942" s="6" t="s">
        <v>11582</v>
      </c>
      <c r="C942" s="6" t="s">
        <v>11583</v>
      </c>
      <c r="D942" s="6" t="s">
        <v>11584</v>
      </c>
      <c r="E942" s="6" t="s">
        <v>7839</v>
      </c>
      <c r="F942" s="6" t="s">
        <v>11585</v>
      </c>
      <c r="G942" s="6" t="s">
        <v>11586</v>
      </c>
      <c r="H942" s="6" t="s">
        <v>11587</v>
      </c>
      <c r="I942" s="6" t="s">
        <v>11588</v>
      </c>
      <c r="J942" s="6" t="s">
        <v>11589</v>
      </c>
      <c r="K942" s="6" t="s">
        <v>11590</v>
      </c>
      <c r="L942" s="6" t="s">
        <v>11591</v>
      </c>
      <c r="M942" s="6" t="s">
        <v>11592</v>
      </c>
      <c r="N942" s="6" t="s">
        <v>11593</v>
      </c>
      <c r="O942" s="6" t="s">
        <v>11594</v>
      </c>
      <c r="P942" s="6" t="s">
        <v>9824</v>
      </c>
      <c r="Q942" s="6" t="s">
        <v>3645</v>
      </c>
    </row>
    <row r="943" spans="1:17" ht="24">
      <c r="A943" s="7" t="s">
        <v>11595</v>
      </c>
      <c r="B943" s="6" t="s">
        <v>11444</v>
      </c>
      <c r="C943" s="6" t="s">
        <v>11596</v>
      </c>
      <c r="D943" s="6" t="s">
        <v>8487</v>
      </c>
      <c r="E943" s="6" t="s">
        <v>11597</v>
      </c>
      <c r="F943" s="6" t="s">
        <v>11598</v>
      </c>
      <c r="G943" s="6" t="s">
        <v>10018</v>
      </c>
      <c r="H943" s="6" t="s">
        <v>11599</v>
      </c>
      <c r="I943" s="6" t="s">
        <v>515</v>
      </c>
      <c r="J943" s="6" t="s">
        <v>8202</v>
      </c>
      <c r="K943" s="6" t="s">
        <v>11600</v>
      </c>
      <c r="L943" s="6" t="s">
        <v>11601</v>
      </c>
      <c r="M943" s="6" t="s">
        <v>11602</v>
      </c>
      <c r="N943" s="6" t="s">
        <v>11603</v>
      </c>
      <c r="O943" s="6" t="s">
        <v>11604</v>
      </c>
      <c r="P943" s="6" t="s">
        <v>11605</v>
      </c>
      <c r="Q943" s="6" t="s">
        <v>11606</v>
      </c>
    </row>
    <row r="944" spans="1:17" ht="48">
      <c r="A944" s="7" t="s">
        <v>11607</v>
      </c>
      <c r="B944" s="6" t="s">
        <v>11608</v>
      </c>
      <c r="C944" s="6" t="s">
        <v>11609</v>
      </c>
      <c r="D944" s="6" t="s">
        <v>11610</v>
      </c>
      <c r="E944" s="6" t="s">
        <v>10579</v>
      </c>
      <c r="F944" s="6" t="s">
        <v>11611</v>
      </c>
      <c r="G944" s="6" t="s">
        <v>11612</v>
      </c>
      <c r="H944" s="6" t="s">
        <v>7679</v>
      </c>
      <c r="I944" s="6" t="s">
        <v>11613</v>
      </c>
      <c r="J944" s="6" t="s">
        <v>4104</v>
      </c>
      <c r="K944" s="6" t="s">
        <v>10462</v>
      </c>
      <c r="L944" s="6" t="s">
        <v>9996</v>
      </c>
      <c r="M944" s="6" t="s">
        <v>11614</v>
      </c>
      <c r="N944" s="6" t="s">
        <v>11615</v>
      </c>
      <c r="O944" s="6" t="s">
        <v>656</v>
      </c>
      <c r="P944" s="6" t="s">
        <v>1667</v>
      </c>
      <c r="Q944" s="6" t="s">
        <v>971</v>
      </c>
    </row>
    <row r="945" spans="1:17" ht="24">
      <c r="A945" s="7" t="s">
        <v>11616</v>
      </c>
      <c r="B945" s="6" t="s">
        <v>11617</v>
      </c>
      <c r="C945" s="6" t="s">
        <v>11618</v>
      </c>
      <c r="D945" s="6" t="s">
        <v>11619</v>
      </c>
      <c r="E945" s="6" t="s">
        <v>11620</v>
      </c>
      <c r="F945" s="6" t="s">
        <v>11621</v>
      </c>
      <c r="G945" s="6" t="s">
        <v>11622</v>
      </c>
      <c r="H945" s="6" t="s">
        <v>11623</v>
      </c>
      <c r="I945" s="6" t="s">
        <v>11624</v>
      </c>
      <c r="J945" s="6" t="s">
        <v>11625</v>
      </c>
      <c r="K945" s="6" t="s">
        <v>11626</v>
      </c>
      <c r="L945" s="6" t="s">
        <v>11627</v>
      </c>
      <c r="M945" s="6" t="s">
        <v>11628</v>
      </c>
      <c r="N945" s="6" t="s">
        <v>11629</v>
      </c>
      <c r="O945" s="6" t="s">
        <v>11630</v>
      </c>
      <c r="P945" s="6" t="s">
        <v>11631</v>
      </c>
      <c r="Q945" s="6" t="s">
        <v>9363</v>
      </c>
    </row>
    <row r="946" spans="1:17" ht="36">
      <c r="A946" s="8" t="s">
        <v>11632</v>
      </c>
      <c r="B946" s="9" t="s">
        <v>11633</v>
      </c>
      <c r="C946" s="9" t="s">
        <v>11634</v>
      </c>
      <c r="D946" s="9" t="s">
        <v>11635</v>
      </c>
      <c r="E946" s="9" t="s">
        <v>11636</v>
      </c>
      <c r="F946" s="9" t="s">
        <v>11079</v>
      </c>
      <c r="G946" s="9" t="s">
        <v>11637</v>
      </c>
      <c r="H946" s="9" t="s">
        <v>11638</v>
      </c>
      <c r="I946" s="9" t="s">
        <v>11639</v>
      </c>
      <c r="J946" s="9" t="s">
        <v>11640</v>
      </c>
      <c r="K946" s="9" t="s">
        <v>11641</v>
      </c>
      <c r="L946" s="9" t="s">
        <v>11642</v>
      </c>
      <c r="M946" s="9" t="s">
        <v>11643</v>
      </c>
      <c r="N946" s="9" t="s">
        <v>1978</v>
      </c>
      <c r="O946" s="9" t="s">
        <v>11644</v>
      </c>
      <c r="P946" s="9" t="s">
        <v>4108</v>
      </c>
      <c r="Q946" s="9" t="s">
        <v>3803</v>
      </c>
    </row>
    <row r="947" spans="1:17" ht="15.6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</row>
    <row r="948" spans="1:17" ht="15.6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</row>
    <row r="949" spans="1:17">
      <c r="A949" s="16" t="s">
        <v>11645</v>
      </c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spans="1:17">
      <c r="A950" s="17" t="s">
        <v>159</v>
      </c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 spans="1:17">
      <c r="A951" s="130" t="s">
        <v>160</v>
      </c>
      <c r="B951" s="134" t="s">
        <v>161</v>
      </c>
      <c r="C951" s="136" t="s">
        <v>162</v>
      </c>
      <c r="D951" s="125"/>
      <c r="E951" s="125"/>
      <c r="F951" s="125"/>
      <c r="G951" s="125"/>
      <c r="H951" s="125"/>
      <c r="I951" s="125"/>
      <c r="J951" s="126"/>
      <c r="K951" s="136" t="s">
        <v>163</v>
      </c>
      <c r="L951" s="125"/>
      <c r="M951" s="126"/>
      <c r="N951" s="136" t="s">
        <v>164</v>
      </c>
      <c r="O951" s="125"/>
      <c r="P951" s="125"/>
      <c r="Q951" s="125"/>
    </row>
    <row r="952" spans="1:17">
      <c r="A952" s="128"/>
      <c r="B952" s="132"/>
      <c r="C952" s="132"/>
      <c r="D952" s="134" t="s">
        <v>165</v>
      </c>
      <c r="E952" s="134" t="s">
        <v>166</v>
      </c>
      <c r="F952" s="134" t="s">
        <v>167</v>
      </c>
      <c r="G952" s="136" t="s">
        <v>168</v>
      </c>
      <c r="H952" s="125"/>
      <c r="I952" s="125"/>
      <c r="J952" s="126"/>
      <c r="K952" s="132"/>
      <c r="L952" s="136" t="s">
        <v>169</v>
      </c>
      <c r="M952" s="13"/>
      <c r="N952" s="132"/>
      <c r="O952" s="136" t="s">
        <v>170</v>
      </c>
      <c r="P952" s="125"/>
      <c r="Q952" s="125"/>
    </row>
    <row r="953" spans="1:17">
      <c r="A953" s="128"/>
      <c r="B953" s="132"/>
      <c r="C953" s="132"/>
      <c r="D953" s="132"/>
      <c r="E953" s="132"/>
      <c r="F953" s="132"/>
      <c r="G953" s="132"/>
      <c r="H953" s="134" t="s">
        <v>171</v>
      </c>
      <c r="I953" s="136" t="s">
        <v>854</v>
      </c>
      <c r="J953" s="13"/>
      <c r="K953" s="132"/>
      <c r="L953" s="132"/>
      <c r="M953" s="134" t="s">
        <v>173</v>
      </c>
      <c r="N953" s="132"/>
      <c r="O953" s="132"/>
      <c r="P953" s="134" t="s">
        <v>174</v>
      </c>
      <c r="Q953" s="136" t="s">
        <v>175</v>
      </c>
    </row>
    <row r="954" spans="1:17">
      <c r="A954" s="129"/>
      <c r="B954" s="133"/>
      <c r="C954" s="133"/>
      <c r="D954" s="133"/>
      <c r="E954" s="133"/>
      <c r="F954" s="133"/>
      <c r="G954" s="133"/>
      <c r="H954" s="133"/>
      <c r="I954" s="133"/>
      <c r="J954" s="22" t="s">
        <v>176</v>
      </c>
      <c r="K954" s="133"/>
      <c r="L954" s="133"/>
      <c r="M954" s="133"/>
      <c r="N954" s="133"/>
      <c r="O954" s="133"/>
      <c r="P954" s="133"/>
      <c r="Q954" s="137"/>
    </row>
    <row r="955" spans="1:17" ht="60">
      <c r="A955" s="18" t="s">
        <v>11646</v>
      </c>
      <c r="B955" s="19" t="s">
        <v>11647</v>
      </c>
      <c r="C955" s="19" t="s">
        <v>11648</v>
      </c>
      <c r="D955" s="19" t="s">
        <v>11649</v>
      </c>
      <c r="E955" s="19" t="s">
        <v>11650</v>
      </c>
      <c r="F955" s="19" t="s">
        <v>11651</v>
      </c>
      <c r="G955" s="19" t="s">
        <v>11652</v>
      </c>
      <c r="H955" s="19" t="s">
        <v>11653</v>
      </c>
      <c r="I955" s="19" t="s">
        <v>11654</v>
      </c>
      <c r="J955" s="19" t="s">
        <v>9675</v>
      </c>
      <c r="K955" s="19" t="s">
        <v>11655</v>
      </c>
      <c r="L955" s="19" t="s">
        <v>11656</v>
      </c>
      <c r="M955" s="19" t="s">
        <v>11657</v>
      </c>
      <c r="N955" s="19" t="s">
        <v>11658</v>
      </c>
      <c r="O955" s="19" t="s">
        <v>11659</v>
      </c>
      <c r="P955" s="19" t="s">
        <v>999</v>
      </c>
      <c r="Q955" s="19" t="s">
        <v>2569</v>
      </c>
    </row>
    <row r="956" spans="1:17" ht="36">
      <c r="A956" s="18" t="s">
        <v>11660</v>
      </c>
      <c r="B956" s="19" t="s">
        <v>11661</v>
      </c>
      <c r="C956" s="19" t="s">
        <v>11662</v>
      </c>
      <c r="D956" s="19" t="s">
        <v>11663</v>
      </c>
      <c r="E956" s="19" t="s">
        <v>11664</v>
      </c>
      <c r="F956" s="19" t="s">
        <v>11665</v>
      </c>
      <c r="G956" s="19" t="s">
        <v>11666</v>
      </c>
      <c r="H956" s="19" t="s">
        <v>11667</v>
      </c>
      <c r="I956" s="19" t="s">
        <v>11668</v>
      </c>
      <c r="J956" s="19" t="s">
        <v>11669</v>
      </c>
      <c r="K956" s="19" t="s">
        <v>11670</v>
      </c>
      <c r="L956" s="19" t="s">
        <v>11671</v>
      </c>
      <c r="M956" s="19" t="s">
        <v>11672</v>
      </c>
      <c r="N956" s="19" t="s">
        <v>11673</v>
      </c>
      <c r="O956" s="19" t="s">
        <v>10695</v>
      </c>
      <c r="P956" s="19" t="s">
        <v>2162</v>
      </c>
      <c r="Q956" s="19" t="s">
        <v>6054</v>
      </c>
    </row>
    <row r="957" spans="1:17" ht="36">
      <c r="A957" s="18" t="s">
        <v>11674</v>
      </c>
      <c r="B957" s="19" t="s">
        <v>11675</v>
      </c>
      <c r="C957" s="19" t="s">
        <v>11676</v>
      </c>
      <c r="D957" s="19" t="s">
        <v>11677</v>
      </c>
      <c r="E957" s="19" t="s">
        <v>11678</v>
      </c>
      <c r="F957" s="19" t="s">
        <v>11679</v>
      </c>
      <c r="G957" s="19" t="s">
        <v>11680</v>
      </c>
      <c r="H957" s="19" t="s">
        <v>11681</v>
      </c>
      <c r="I957" s="19" t="s">
        <v>11682</v>
      </c>
      <c r="J957" s="19" t="s">
        <v>11683</v>
      </c>
      <c r="K957" s="19" t="s">
        <v>11684</v>
      </c>
      <c r="L957" s="19" t="s">
        <v>11685</v>
      </c>
      <c r="M957" s="19" t="s">
        <v>11686</v>
      </c>
      <c r="N957" s="19" t="s">
        <v>11687</v>
      </c>
      <c r="O957" s="19" t="s">
        <v>11688</v>
      </c>
      <c r="P957" s="19" t="s">
        <v>11689</v>
      </c>
      <c r="Q957" s="19" t="s">
        <v>11690</v>
      </c>
    </row>
    <row r="958" spans="1:17" ht="48">
      <c r="A958" s="18" t="s">
        <v>11691</v>
      </c>
      <c r="B958" s="19" t="s">
        <v>11692</v>
      </c>
      <c r="C958" s="19" t="s">
        <v>11693</v>
      </c>
      <c r="D958" s="19" t="s">
        <v>10551</v>
      </c>
      <c r="E958" s="19" t="s">
        <v>11694</v>
      </c>
      <c r="F958" s="19" t="s">
        <v>3213</v>
      </c>
      <c r="G958" s="19" t="s">
        <v>11695</v>
      </c>
      <c r="H958" s="19" t="s">
        <v>11696</v>
      </c>
      <c r="I958" s="19" t="s">
        <v>11697</v>
      </c>
      <c r="J958" s="19" t="s">
        <v>11698</v>
      </c>
      <c r="K958" s="19" t="s">
        <v>11699</v>
      </c>
      <c r="L958" s="19" t="s">
        <v>11700</v>
      </c>
      <c r="M958" s="19" t="s">
        <v>11701</v>
      </c>
      <c r="N958" s="19" t="s">
        <v>11702</v>
      </c>
      <c r="O958" s="19" t="s">
        <v>11703</v>
      </c>
      <c r="P958" s="19" t="s">
        <v>11704</v>
      </c>
      <c r="Q958" s="19" t="s">
        <v>4393</v>
      </c>
    </row>
    <row r="959" spans="1:17" ht="48">
      <c r="A959" s="18" t="s">
        <v>11705</v>
      </c>
      <c r="B959" s="19" t="s">
        <v>11479</v>
      </c>
      <c r="C959" s="19" t="s">
        <v>11706</v>
      </c>
      <c r="D959" s="19" t="s">
        <v>11707</v>
      </c>
      <c r="E959" s="19" t="s">
        <v>11708</v>
      </c>
      <c r="F959" s="19" t="s">
        <v>11709</v>
      </c>
      <c r="G959" s="19" t="s">
        <v>11710</v>
      </c>
      <c r="H959" s="19" t="s">
        <v>11711</v>
      </c>
      <c r="I959" s="19" t="s">
        <v>11712</v>
      </c>
      <c r="J959" s="19" t="s">
        <v>11713</v>
      </c>
      <c r="K959" s="19" t="s">
        <v>11714</v>
      </c>
      <c r="L959" s="19" t="s">
        <v>11715</v>
      </c>
      <c r="M959" s="19" t="s">
        <v>11716</v>
      </c>
      <c r="N959" s="19" t="s">
        <v>11717</v>
      </c>
      <c r="O959" s="19" t="s">
        <v>11718</v>
      </c>
      <c r="P959" s="19" t="s">
        <v>10605</v>
      </c>
      <c r="Q959" s="19" t="s">
        <v>1125</v>
      </c>
    </row>
    <row r="960" spans="1:17" ht="48">
      <c r="A960" s="18" t="s">
        <v>11719</v>
      </c>
      <c r="B960" s="19" t="s">
        <v>11720</v>
      </c>
      <c r="C960" s="19" t="s">
        <v>11721</v>
      </c>
      <c r="D960" s="19" t="s">
        <v>1171</v>
      </c>
      <c r="E960" s="19" t="s">
        <v>11722</v>
      </c>
      <c r="F960" s="19" t="s">
        <v>11723</v>
      </c>
      <c r="G960" s="19" t="s">
        <v>11724</v>
      </c>
      <c r="H960" s="19" t="s">
        <v>11725</v>
      </c>
      <c r="I960" s="19" t="s">
        <v>11726</v>
      </c>
      <c r="J960" s="19" t="s">
        <v>2896</v>
      </c>
      <c r="K960" s="19" t="s">
        <v>11727</v>
      </c>
      <c r="L960" s="19" t="s">
        <v>11728</v>
      </c>
      <c r="M960" s="19" t="s">
        <v>11729</v>
      </c>
      <c r="N960" s="19" t="s">
        <v>11730</v>
      </c>
      <c r="O960" s="19" t="s">
        <v>11731</v>
      </c>
      <c r="P960" s="19" t="s">
        <v>11732</v>
      </c>
      <c r="Q960" s="19" t="s">
        <v>878</v>
      </c>
    </row>
    <row r="961" spans="1:17" ht="36">
      <c r="A961" s="18" t="s">
        <v>11733</v>
      </c>
      <c r="B961" s="19" t="s">
        <v>5657</v>
      </c>
      <c r="C961" s="19" t="s">
        <v>10229</v>
      </c>
      <c r="D961" s="19" t="s">
        <v>11734</v>
      </c>
      <c r="E961" s="19" t="s">
        <v>3693</v>
      </c>
      <c r="F961" s="19" t="s">
        <v>4176</v>
      </c>
      <c r="G961" s="19" t="s">
        <v>11735</v>
      </c>
      <c r="H961" s="19" t="s">
        <v>1372</v>
      </c>
      <c r="I961" s="19" t="s">
        <v>261</v>
      </c>
      <c r="J961" s="19" t="s">
        <v>3747</v>
      </c>
      <c r="K961" s="19" t="s">
        <v>1811</v>
      </c>
      <c r="L961" s="19" t="s">
        <v>1107</v>
      </c>
      <c r="M961" s="19" t="s">
        <v>11736</v>
      </c>
      <c r="N961" s="19" t="s">
        <v>1838</v>
      </c>
      <c r="O961" s="19" t="s">
        <v>11737</v>
      </c>
      <c r="P961" s="19" t="s">
        <v>2802</v>
      </c>
      <c r="Q961" s="19" t="s">
        <v>999</v>
      </c>
    </row>
    <row r="962" spans="1:17" ht="36">
      <c r="A962" s="18" t="s">
        <v>11738</v>
      </c>
      <c r="B962" s="19" t="s">
        <v>11739</v>
      </c>
      <c r="C962" s="19" t="s">
        <v>11740</v>
      </c>
      <c r="D962" s="19" t="s">
        <v>11741</v>
      </c>
      <c r="E962" s="19" t="s">
        <v>11742</v>
      </c>
      <c r="F962" s="19" t="s">
        <v>6717</v>
      </c>
      <c r="G962" s="19" t="s">
        <v>9225</v>
      </c>
      <c r="H962" s="19" t="s">
        <v>6516</v>
      </c>
      <c r="I962" s="19" t="s">
        <v>11734</v>
      </c>
      <c r="J962" s="19" t="s">
        <v>3979</v>
      </c>
      <c r="K962" s="19" t="s">
        <v>11743</v>
      </c>
      <c r="L962" s="19" t="s">
        <v>3616</v>
      </c>
      <c r="M962" s="19" t="s">
        <v>8534</v>
      </c>
      <c r="N962" s="19" t="s">
        <v>8620</v>
      </c>
      <c r="O962" s="19" t="s">
        <v>7583</v>
      </c>
      <c r="P962" s="19" t="s">
        <v>11744</v>
      </c>
      <c r="Q962" s="19" t="s">
        <v>4464</v>
      </c>
    </row>
    <row r="963" spans="1:17" ht="36">
      <c r="A963" s="18" t="s">
        <v>11745</v>
      </c>
      <c r="B963" s="19" t="s">
        <v>4681</v>
      </c>
      <c r="C963" s="19" t="s">
        <v>11746</v>
      </c>
      <c r="D963" s="19" t="s">
        <v>2080</v>
      </c>
      <c r="E963" s="19" t="s">
        <v>11747</v>
      </c>
      <c r="F963" s="19" t="s">
        <v>11748</v>
      </c>
      <c r="G963" s="19" t="s">
        <v>11749</v>
      </c>
      <c r="H963" s="19" t="s">
        <v>3419</v>
      </c>
      <c r="I963" s="19" t="s">
        <v>3793</v>
      </c>
      <c r="J963" s="19" t="s">
        <v>9800</v>
      </c>
      <c r="K963" s="19" t="s">
        <v>11750</v>
      </c>
      <c r="L963" s="19" t="s">
        <v>11751</v>
      </c>
      <c r="M963" s="19" t="s">
        <v>3778</v>
      </c>
      <c r="N963" s="19" t="s">
        <v>11752</v>
      </c>
      <c r="O963" s="19" t="s">
        <v>11753</v>
      </c>
      <c r="P963" s="19" t="s">
        <v>2779</v>
      </c>
      <c r="Q963" s="19" t="s">
        <v>4107</v>
      </c>
    </row>
    <row r="964" spans="1:17" ht="72">
      <c r="A964" s="18" t="s">
        <v>11754</v>
      </c>
      <c r="B964" s="19" t="s">
        <v>10342</v>
      </c>
      <c r="C964" s="19" t="s">
        <v>11755</v>
      </c>
      <c r="D964" s="19" t="s">
        <v>11756</v>
      </c>
      <c r="E964" s="19" t="s">
        <v>11757</v>
      </c>
      <c r="F964" s="19" t="s">
        <v>11758</v>
      </c>
      <c r="G964" s="19" t="s">
        <v>11759</v>
      </c>
      <c r="H964" s="19" t="s">
        <v>11760</v>
      </c>
      <c r="I964" s="19" t="s">
        <v>11761</v>
      </c>
      <c r="J964" s="19" t="s">
        <v>9300</v>
      </c>
      <c r="K964" s="19" t="s">
        <v>11762</v>
      </c>
      <c r="L964" s="19" t="s">
        <v>11763</v>
      </c>
      <c r="M964" s="19" t="s">
        <v>11764</v>
      </c>
      <c r="N964" s="19" t="s">
        <v>11765</v>
      </c>
      <c r="O964" s="19" t="s">
        <v>11766</v>
      </c>
      <c r="P964" s="19" t="s">
        <v>11767</v>
      </c>
      <c r="Q964" s="19" t="s">
        <v>3804</v>
      </c>
    </row>
    <row r="965" spans="1:17" ht="36">
      <c r="A965" s="18" t="s">
        <v>11768</v>
      </c>
      <c r="B965" s="19" t="s">
        <v>9068</v>
      </c>
      <c r="C965" s="19" t="s">
        <v>11769</v>
      </c>
      <c r="D965" s="19" t="s">
        <v>10015</v>
      </c>
      <c r="E965" s="19" t="s">
        <v>11770</v>
      </c>
      <c r="F965" s="19" t="s">
        <v>1487</v>
      </c>
      <c r="G965" s="19" t="s">
        <v>11771</v>
      </c>
      <c r="H965" s="19" t="s">
        <v>11772</v>
      </c>
      <c r="I965" s="19" t="s">
        <v>11773</v>
      </c>
      <c r="J965" s="19" t="s">
        <v>6721</v>
      </c>
      <c r="K965" s="19" t="s">
        <v>11774</v>
      </c>
      <c r="L965" s="19" t="s">
        <v>504</v>
      </c>
      <c r="M965" s="19" t="s">
        <v>3316</v>
      </c>
      <c r="N965" s="19" t="s">
        <v>11775</v>
      </c>
      <c r="O965" s="19" t="s">
        <v>11776</v>
      </c>
      <c r="P965" s="19" t="s">
        <v>11777</v>
      </c>
      <c r="Q965" s="19" t="s">
        <v>1129</v>
      </c>
    </row>
    <row r="966" spans="1:17" ht="24">
      <c r="A966" s="18" t="s">
        <v>11778</v>
      </c>
      <c r="B966" s="19" t="s">
        <v>7585</v>
      </c>
      <c r="C966" s="19" t="s">
        <v>11779</v>
      </c>
      <c r="D966" s="19" t="s">
        <v>11780</v>
      </c>
      <c r="E966" s="19" t="s">
        <v>11781</v>
      </c>
      <c r="F966" s="19" t="s">
        <v>11782</v>
      </c>
      <c r="G966" s="19" t="s">
        <v>11783</v>
      </c>
      <c r="H966" s="19" t="s">
        <v>11784</v>
      </c>
      <c r="I966" s="19" t="s">
        <v>11785</v>
      </c>
      <c r="J966" s="19" t="s">
        <v>3653</v>
      </c>
      <c r="K966" s="19" t="s">
        <v>2238</v>
      </c>
      <c r="L966" s="19" t="s">
        <v>11786</v>
      </c>
      <c r="M966" s="19" t="s">
        <v>11787</v>
      </c>
      <c r="N966" s="19" t="s">
        <v>11788</v>
      </c>
      <c r="O966" s="19" t="s">
        <v>11789</v>
      </c>
      <c r="P966" s="19" t="s">
        <v>11790</v>
      </c>
      <c r="Q966" s="19" t="s">
        <v>271</v>
      </c>
    </row>
    <row r="967" spans="1:17" ht="36">
      <c r="A967" s="18" t="s">
        <v>11791</v>
      </c>
      <c r="B967" s="19" t="s">
        <v>11792</v>
      </c>
      <c r="C967" s="19" t="s">
        <v>11793</v>
      </c>
      <c r="D967" s="19" t="s">
        <v>11794</v>
      </c>
      <c r="E967" s="19" t="s">
        <v>11795</v>
      </c>
      <c r="F967" s="19" t="s">
        <v>11796</v>
      </c>
      <c r="G967" s="19" t="s">
        <v>11797</v>
      </c>
      <c r="H967" s="19" t="s">
        <v>11798</v>
      </c>
      <c r="I967" s="19" t="s">
        <v>11799</v>
      </c>
      <c r="J967" s="19" t="s">
        <v>11800</v>
      </c>
      <c r="K967" s="19" t="s">
        <v>11801</v>
      </c>
      <c r="L967" s="19" t="s">
        <v>11802</v>
      </c>
      <c r="M967" s="19" t="s">
        <v>11454</v>
      </c>
      <c r="N967" s="19" t="s">
        <v>11803</v>
      </c>
      <c r="O967" s="19" t="s">
        <v>6439</v>
      </c>
      <c r="P967" s="19" t="s">
        <v>4006</v>
      </c>
      <c r="Q967" s="19" t="s">
        <v>11527</v>
      </c>
    </row>
    <row r="968" spans="1:17" ht="36">
      <c r="A968" s="18" t="s">
        <v>11804</v>
      </c>
      <c r="B968" s="19" t="s">
        <v>328</v>
      </c>
      <c r="C968" s="19" t="s">
        <v>11805</v>
      </c>
      <c r="D968" s="19" t="s">
        <v>11806</v>
      </c>
      <c r="E968" s="19" t="s">
        <v>11807</v>
      </c>
      <c r="F968" s="19" t="s">
        <v>11808</v>
      </c>
      <c r="G968" s="19" t="s">
        <v>11809</v>
      </c>
      <c r="H968" s="19" t="s">
        <v>11810</v>
      </c>
      <c r="I968" s="19" t="s">
        <v>11811</v>
      </c>
      <c r="J968" s="19" t="s">
        <v>999</v>
      </c>
      <c r="K968" s="19" t="s">
        <v>11812</v>
      </c>
      <c r="L968" s="19" t="s">
        <v>11813</v>
      </c>
      <c r="M968" s="19" t="s">
        <v>11814</v>
      </c>
      <c r="N968" s="19" t="s">
        <v>11815</v>
      </c>
      <c r="O968" s="19" t="s">
        <v>11816</v>
      </c>
      <c r="P968" s="19" t="s">
        <v>4177</v>
      </c>
      <c r="Q968" s="15"/>
    </row>
    <row r="969" spans="1:17" ht="36">
      <c r="A969" s="18" t="s">
        <v>11817</v>
      </c>
      <c r="B969" s="19" t="s">
        <v>3767</v>
      </c>
      <c r="C969" s="19" t="s">
        <v>8442</v>
      </c>
      <c r="D969" s="19" t="s">
        <v>11818</v>
      </c>
      <c r="E969" s="19" t="s">
        <v>6523</v>
      </c>
      <c r="F969" s="19" t="s">
        <v>448</v>
      </c>
      <c r="G969" s="19" t="s">
        <v>4401</v>
      </c>
      <c r="H969" s="19" t="s">
        <v>10702</v>
      </c>
      <c r="I969" s="19" t="s">
        <v>11737</v>
      </c>
      <c r="J969" s="19" t="s">
        <v>1965</v>
      </c>
      <c r="K969" s="19" t="s">
        <v>11819</v>
      </c>
      <c r="L969" s="19" t="s">
        <v>11820</v>
      </c>
      <c r="M969" s="19" t="s">
        <v>11821</v>
      </c>
      <c r="N969" s="19" t="s">
        <v>11822</v>
      </c>
      <c r="O969" s="19" t="s">
        <v>5387</v>
      </c>
      <c r="P969" s="19" t="s">
        <v>11823</v>
      </c>
      <c r="Q969" s="19" t="s">
        <v>6239</v>
      </c>
    </row>
    <row r="970" spans="1:17" ht="36">
      <c r="A970" s="18" t="s">
        <v>11824</v>
      </c>
      <c r="B970" s="19" t="s">
        <v>873</v>
      </c>
      <c r="C970" s="19" t="s">
        <v>11825</v>
      </c>
      <c r="D970" s="19" t="s">
        <v>2883</v>
      </c>
      <c r="E970" s="19" t="s">
        <v>5193</v>
      </c>
      <c r="F970" s="19" t="s">
        <v>3643</v>
      </c>
      <c r="G970" s="19" t="s">
        <v>6113</v>
      </c>
      <c r="H970" s="19" t="s">
        <v>11826</v>
      </c>
      <c r="I970" s="19" t="s">
        <v>2649</v>
      </c>
      <c r="J970" s="19" t="s">
        <v>3308</v>
      </c>
      <c r="K970" s="19" t="s">
        <v>6683</v>
      </c>
      <c r="L970" s="19" t="s">
        <v>613</v>
      </c>
      <c r="M970" s="19" t="s">
        <v>11018</v>
      </c>
      <c r="N970" s="19" t="s">
        <v>4426</v>
      </c>
      <c r="O970" s="19" t="s">
        <v>1812</v>
      </c>
      <c r="P970" s="19" t="s">
        <v>982</v>
      </c>
      <c r="Q970" s="15"/>
    </row>
    <row r="971" spans="1:17" ht="48">
      <c r="A971" s="18" t="s">
        <v>11827</v>
      </c>
      <c r="B971" s="19" t="s">
        <v>11075</v>
      </c>
      <c r="C971" s="19" t="s">
        <v>11828</v>
      </c>
      <c r="D971" s="19" t="s">
        <v>11829</v>
      </c>
      <c r="E971" s="19" t="s">
        <v>11830</v>
      </c>
      <c r="F971" s="19" t="s">
        <v>7620</v>
      </c>
      <c r="G971" s="19" t="s">
        <v>11831</v>
      </c>
      <c r="H971" s="19" t="s">
        <v>5292</v>
      </c>
      <c r="I971" s="19" t="s">
        <v>381</v>
      </c>
      <c r="J971" s="19" t="s">
        <v>7872</v>
      </c>
      <c r="K971" s="19" t="s">
        <v>11832</v>
      </c>
      <c r="L971" s="19" t="s">
        <v>11833</v>
      </c>
      <c r="M971" s="19" t="s">
        <v>1224</v>
      </c>
      <c r="N971" s="19" t="s">
        <v>11834</v>
      </c>
      <c r="O971" s="19" t="s">
        <v>11835</v>
      </c>
      <c r="P971" s="19" t="s">
        <v>970</v>
      </c>
      <c r="Q971" s="19" t="s">
        <v>10563</v>
      </c>
    </row>
    <row r="972" spans="1:17" ht="48">
      <c r="A972" s="24" t="s">
        <v>11836</v>
      </c>
      <c r="B972" s="19" t="s">
        <v>11837</v>
      </c>
      <c r="C972" s="19" t="s">
        <v>11838</v>
      </c>
      <c r="D972" s="19" t="s">
        <v>11839</v>
      </c>
      <c r="E972" s="19" t="s">
        <v>11840</v>
      </c>
      <c r="F972" s="19" t="s">
        <v>11841</v>
      </c>
      <c r="G972" s="19" t="s">
        <v>11842</v>
      </c>
      <c r="H972" s="19" t="s">
        <v>11843</v>
      </c>
      <c r="I972" s="19" t="s">
        <v>11844</v>
      </c>
      <c r="J972" s="19" t="s">
        <v>11845</v>
      </c>
      <c r="K972" s="19" t="s">
        <v>11846</v>
      </c>
      <c r="L972" s="19" t="s">
        <v>11847</v>
      </c>
      <c r="M972" s="19" t="s">
        <v>11848</v>
      </c>
      <c r="N972" s="19" t="s">
        <v>11849</v>
      </c>
      <c r="O972" s="19" t="s">
        <v>11850</v>
      </c>
      <c r="P972" s="19" t="s">
        <v>11851</v>
      </c>
      <c r="Q972" s="19" t="s">
        <v>11852</v>
      </c>
    </row>
    <row r="973" spans="1:17" ht="36">
      <c r="A973" s="18" t="s">
        <v>11853</v>
      </c>
      <c r="B973" s="19" t="s">
        <v>11854</v>
      </c>
      <c r="C973" s="19" t="s">
        <v>11855</v>
      </c>
      <c r="D973" s="19" t="s">
        <v>11856</v>
      </c>
      <c r="E973" s="19" t="s">
        <v>11857</v>
      </c>
      <c r="F973" s="19" t="s">
        <v>11858</v>
      </c>
      <c r="G973" s="19" t="s">
        <v>11859</v>
      </c>
      <c r="H973" s="19" t="s">
        <v>11860</v>
      </c>
      <c r="I973" s="19" t="s">
        <v>11861</v>
      </c>
      <c r="J973" s="19" t="s">
        <v>5658</v>
      </c>
      <c r="K973" s="19" t="s">
        <v>11862</v>
      </c>
      <c r="L973" s="19" t="s">
        <v>11863</v>
      </c>
      <c r="M973" s="19" t="s">
        <v>11864</v>
      </c>
      <c r="N973" s="19" t="s">
        <v>11865</v>
      </c>
      <c r="O973" s="19" t="s">
        <v>11866</v>
      </c>
      <c r="P973" s="19" t="s">
        <v>11867</v>
      </c>
      <c r="Q973" s="19" t="s">
        <v>11868</v>
      </c>
    </row>
    <row r="974" spans="1:17" ht="24">
      <c r="A974" s="18" t="s">
        <v>11869</v>
      </c>
      <c r="B974" s="19" t="s">
        <v>11870</v>
      </c>
      <c r="C974" s="19" t="s">
        <v>11871</v>
      </c>
      <c r="D974" s="19" t="s">
        <v>11872</v>
      </c>
      <c r="E974" s="19" t="s">
        <v>11873</v>
      </c>
      <c r="F974" s="19" t="s">
        <v>11874</v>
      </c>
      <c r="G974" s="19" t="s">
        <v>11875</v>
      </c>
      <c r="H974" s="19" t="s">
        <v>11876</v>
      </c>
      <c r="I974" s="19" t="s">
        <v>11877</v>
      </c>
      <c r="J974" s="19" t="s">
        <v>6476</v>
      </c>
      <c r="K974" s="19" t="s">
        <v>11878</v>
      </c>
      <c r="L974" s="19" t="s">
        <v>11879</v>
      </c>
      <c r="M974" s="19" t="s">
        <v>11880</v>
      </c>
      <c r="N974" s="19" t="s">
        <v>11881</v>
      </c>
      <c r="O974" s="19" t="s">
        <v>11882</v>
      </c>
      <c r="P974" s="19" t="s">
        <v>11883</v>
      </c>
      <c r="Q974" s="19" t="s">
        <v>11884</v>
      </c>
    </row>
    <row r="975" spans="1:17" ht="24">
      <c r="A975" s="18" t="s">
        <v>11885</v>
      </c>
      <c r="B975" s="19" t="s">
        <v>11886</v>
      </c>
      <c r="C975" s="19" t="s">
        <v>11887</v>
      </c>
      <c r="D975" s="19" t="s">
        <v>11888</v>
      </c>
      <c r="E975" s="19" t="s">
        <v>11889</v>
      </c>
      <c r="F975" s="19" t="s">
        <v>11890</v>
      </c>
      <c r="G975" s="19" t="s">
        <v>11891</v>
      </c>
      <c r="H975" s="19" t="s">
        <v>11892</v>
      </c>
      <c r="I975" s="19" t="s">
        <v>11893</v>
      </c>
      <c r="J975" s="19" t="s">
        <v>11894</v>
      </c>
      <c r="K975" s="19" t="s">
        <v>11895</v>
      </c>
      <c r="L975" s="19" t="s">
        <v>11896</v>
      </c>
      <c r="M975" s="19" t="s">
        <v>11897</v>
      </c>
      <c r="N975" s="19" t="s">
        <v>11898</v>
      </c>
      <c r="O975" s="19" t="s">
        <v>11899</v>
      </c>
      <c r="P975" s="19" t="s">
        <v>11900</v>
      </c>
      <c r="Q975" s="19" t="s">
        <v>11901</v>
      </c>
    </row>
    <row r="976" spans="1:17" ht="24">
      <c r="A976" s="18" t="s">
        <v>11902</v>
      </c>
      <c r="B976" s="19" t="s">
        <v>11903</v>
      </c>
      <c r="C976" s="19" t="s">
        <v>11904</v>
      </c>
      <c r="D976" s="19" t="s">
        <v>11905</v>
      </c>
      <c r="E976" s="19" t="s">
        <v>11906</v>
      </c>
      <c r="F976" s="19" t="s">
        <v>11907</v>
      </c>
      <c r="G976" s="19" t="s">
        <v>11908</v>
      </c>
      <c r="H976" s="19" t="s">
        <v>11909</v>
      </c>
      <c r="I976" s="19" t="s">
        <v>11910</v>
      </c>
      <c r="J976" s="19" t="s">
        <v>11538</v>
      </c>
      <c r="K976" s="19" t="s">
        <v>11911</v>
      </c>
      <c r="L976" s="19" t="s">
        <v>11912</v>
      </c>
      <c r="M976" s="19" t="s">
        <v>11913</v>
      </c>
      <c r="N976" s="19" t="s">
        <v>11914</v>
      </c>
      <c r="O976" s="19" t="s">
        <v>11915</v>
      </c>
      <c r="P976" s="19" t="s">
        <v>11916</v>
      </c>
      <c r="Q976" s="19" t="s">
        <v>11917</v>
      </c>
    </row>
    <row r="977" spans="1:17" ht="24">
      <c r="A977" s="18" t="s">
        <v>11918</v>
      </c>
      <c r="B977" s="19" t="s">
        <v>11919</v>
      </c>
      <c r="C977" s="19" t="s">
        <v>11920</v>
      </c>
      <c r="D977" s="19" t="s">
        <v>11921</v>
      </c>
      <c r="E977" s="19" t="s">
        <v>11922</v>
      </c>
      <c r="F977" s="19" t="s">
        <v>11923</v>
      </c>
      <c r="G977" s="19" t="s">
        <v>11924</v>
      </c>
      <c r="H977" s="19" t="s">
        <v>11925</v>
      </c>
      <c r="I977" s="19" t="s">
        <v>4134</v>
      </c>
      <c r="J977" s="19" t="s">
        <v>835</v>
      </c>
      <c r="K977" s="19" t="s">
        <v>11926</v>
      </c>
      <c r="L977" s="19" t="s">
        <v>11927</v>
      </c>
      <c r="M977" s="19" t="s">
        <v>11928</v>
      </c>
      <c r="N977" s="19" t="s">
        <v>11929</v>
      </c>
      <c r="O977" s="19" t="s">
        <v>11930</v>
      </c>
      <c r="P977" s="19" t="s">
        <v>11931</v>
      </c>
      <c r="Q977" s="19" t="s">
        <v>11932</v>
      </c>
    </row>
    <row r="978" spans="1:17" ht="24">
      <c r="A978" s="18" t="s">
        <v>11933</v>
      </c>
      <c r="B978" s="19" t="s">
        <v>4138</v>
      </c>
      <c r="C978" s="19" t="s">
        <v>11934</v>
      </c>
      <c r="D978" s="19" t="s">
        <v>11935</v>
      </c>
      <c r="E978" s="19" t="s">
        <v>11936</v>
      </c>
      <c r="F978" s="19" t="s">
        <v>11937</v>
      </c>
      <c r="G978" s="19" t="s">
        <v>11938</v>
      </c>
      <c r="H978" s="19" t="s">
        <v>11939</v>
      </c>
      <c r="I978" s="19" t="s">
        <v>11940</v>
      </c>
      <c r="J978" s="15"/>
      <c r="K978" s="19" t="s">
        <v>11941</v>
      </c>
      <c r="L978" s="19" t="s">
        <v>11942</v>
      </c>
      <c r="M978" s="19" t="s">
        <v>11943</v>
      </c>
      <c r="N978" s="19" t="s">
        <v>11944</v>
      </c>
      <c r="O978" s="19" t="s">
        <v>11945</v>
      </c>
      <c r="P978" s="19" t="s">
        <v>11946</v>
      </c>
      <c r="Q978" s="15"/>
    </row>
    <row r="979" spans="1:17" ht="24">
      <c r="A979" s="18" t="s">
        <v>11947</v>
      </c>
      <c r="B979" s="19" t="s">
        <v>11948</v>
      </c>
      <c r="C979" s="19" t="s">
        <v>11949</v>
      </c>
      <c r="D979" s="19" t="s">
        <v>11950</v>
      </c>
      <c r="E979" s="19" t="s">
        <v>11951</v>
      </c>
      <c r="F979" s="19" t="s">
        <v>11952</v>
      </c>
      <c r="G979" s="19" t="s">
        <v>11953</v>
      </c>
      <c r="H979" s="19" t="s">
        <v>11954</v>
      </c>
      <c r="I979" s="19" t="s">
        <v>1356</v>
      </c>
      <c r="J979" s="19" t="s">
        <v>3700</v>
      </c>
      <c r="K979" s="19" t="s">
        <v>11955</v>
      </c>
      <c r="L979" s="19" t="s">
        <v>11956</v>
      </c>
      <c r="M979" s="19" t="s">
        <v>11957</v>
      </c>
      <c r="N979" s="19" t="s">
        <v>11958</v>
      </c>
      <c r="O979" s="19" t="s">
        <v>11959</v>
      </c>
      <c r="P979" s="19" t="s">
        <v>11960</v>
      </c>
      <c r="Q979" s="19" t="s">
        <v>11961</v>
      </c>
    </row>
    <row r="980" spans="1:17" ht="36">
      <c r="A980" s="18" t="s">
        <v>11962</v>
      </c>
      <c r="B980" s="19" t="s">
        <v>11963</v>
      </c>
      <c r="C980" s="19" t="s">
        <v>11964</v>
      </c>
      <c r="D980" s="19" t="s">
        <v>11965</v>
      </c>
      <c r="E980" s="19" t="s">
        <v>11966</v>
      </c>
      <c r="F980" s="19" t="s">
        <v>11967</v>
      </c>
      <c r="G980" s="19" t="s">
        <v>11968</v>
      </c>
      <c r="H980" s="19" t="s">
        <v>11969</v>
      </c>
      <c r="I980" s="19" t="s">
        <v>11970</v>
      </c>
      <c r="J980" s="19" t="s">
        <v>875</v>
      </c>
      <c r="K980" s="19" t="s">
        <v>11971</v>
      </c>
      <c r="L980" s="19" t="s">
        <v>11972</v>
      </c>
      <c r="M980" s="19" t="s">
        <v>11973</v>
      </c>
      <c r="N980" s="19" t="s">
        <v>11974</v>
      </c>
      <c r="O980" s="19" t="s">
        <v>11975</v>
      </c>
      <c r="P980" s="19" t="s">
        <v>11976</v>
      </c>
      <c r="Q980" s="19" t="s">
        <v>11977</v>
      </c>
    </row>
    <row r="981" spans="1:17" ht="36">
      <c r="A981" s="18" t="s">
        <v>11978</v>
      </c>
      <c r="B981" s="19" t="s">
        <v>11979</v>
      </c>
      <c r="C981" s="19" t="s">
        <v>11980</v>
      </c>
      <c r="D981" s="19" t="s">
        <v>11981</v>
      </c>
      <c r="E981" s="19" t="s">
        <v>11982</v>
      </c>
      <c r="F981" s="19" t="s">
        <v>7639</v>
      </c>
      <c r="G981" s="19" t="s">
        <v>11983</v>
      </c>
      <c r="H981" s="19" t="s">
        <v>11984</v>
      </c>
      <c r="I981" s="19" t="s">
        <v>2599</v>
      </c>
      <c r="J981" s="19" t="s">
        <v>11985</v>
      </c>
      <c r="K981" s="19" t="s">
        <v>11986</v>
      </c>
      <c r="L981" s="19" t="s">
        <v>11987</v>
      </c>
      <c r="M981" s="19" t="s">
        <v>11988</v>
      </c>
      <c r="N981" s="19" t="s">
        <v>11989</v>
      </c>
      <c r="O981" s="19" t="s">
        <v>11990</v>
      </c>
      <c r="P981" s="19" t="s">
        <v>11991</v>
      </c>
      <c r="Q981" s="19" t="s">
        <v>3173</v>
      </c>
    </row>
    <row r="982" spans="1:17" ht="36">
      <c r="A982" s="18" t="s">
        <v>11992</v>
      </c>
      <c r="B982" s="19" t="s">
        <v>11993</v>
      </c>
      <c r="C982" s="19" t="s">
        <v>11994</v>
      </c>
      <c r="D982" s="19" t="s">
        <v>11995</v>
      </c>
      <c r="E982" s="19" t="s">
        <v>11996</v>
      </c>
      <c r="F982" s="19" t="s">
        <v>11997</v>
      </c>
      <c r="G982" s="19" t="s">
        <v>11998</v>
      </c>
      <c r="H982" s="19" t="s">
        <v>11999</v>
      </c>
      <c r="I982" s="19" t="s">
        <v>4239</v>
      </c>
      <c r="J982" s="19" t="s">
        <v>2487</v>
      </c>
      <c r="K982" s="19" t="s">
        <v>12000</v>
      </c>
      <c r="L982" s="19" t="s">
        <v>12001</v>
      </c>
      <c r="M982" s="19" t="s">
        <v>4723</v>
      </c>
      <c r="N982" s="19" t="s">
        <v>12002</v>
      </c>
      <c r="O982" s="19" t="s">
        <v>12003</v>
      </c>
      <c r="P982" s="19" t="s">
        <v>12004</v>
      </c>
      <c r="Q982" s="19" t="s">
        <v>8926</v>
      </c>
    </row>
    <row r="983" spans="1:17" ht="24">
      <c r="A983" s="18" t="s">
        <v>12005</v>
      </c>
      <c r="B983" s="19" t="s">
        <v>12006</v>
      </c>
      <c r="C983" s="19" t="s">
        <v>12007</v>
      </c>
      <c r="D983" s="19" t="s">
        <v>12008</v>
      </c>
      <c r="E983" s="19" t="s">
        <v>12009</v>
      </c>
      <c r="F983" s="19" t="s">
        <v>12010</v>
      </c>
      <c r="G983" s="19" t="s">
        <v>12011</v>
      </c>
      <c r="H983" s="19" t="s">
        <v>12012</v>
      </c>
      <c r="I983" s="19" t="s">
        <v>12013</v>
      </c>
      <c r="J983" s="19" t="s">
        <v>1128</v>
      </c>
      <c r="K983" s="19" t="s">
        <v>12014</v>
      </c>
      <c r="L983" s="19" t="s">
        <v>12015</v>
      </c>
      <c r="M983" s="19" t="s">
        <v>12016</v>
      </c>
      <c r="N983" s="19" t="s">
        <v>12017</v>
      </c>
      <c r="O983" s="19" t="s">
        <v>12018</v>
      </c>
      <c r="P983" s="19" t="s">
        <v>12019</v>
      </c>
      <c r="Q983" s="19" t="s">
        <v>6982</v>
      </c>
    </row>
    <row r="984" spans="1:17" ht="36">
      <c r="A984" s="18" t="s">
        <v>12020</v>
      </c>
      <c r="B984" s="19" t="s">
        <v>2741</v>
      </c>
      <c r="C984" s="19" t="s">
        <v>12021</v>
      </c>
      <c r="D984" s="19" t="s">
        <v>12022</v>
      </c>
      <c r="E984" s="19" t="s">
        <v>12023</v>
      </c>
      <c r="F984" s="19" t="s">
        <v>12024</v>
      </c>
      <c r="G984" s="19" t="s">
        <v>12025</v>
      </c>
      <c r="H984" s="19" t="s">
        <v>12026</v>
      </c>
      <c r="I984" s="19" t="s">
        <v>12027</v>
      </c>
      <c r="J984" s="19" t="s">
        <v>4349</v>
      </c>
      <c r="K984" s="19" t="s">
        <v>12028</v>
      </c>
      <c r="L984" s="19" t="s">
        <v>12029</v>
      </c>
      <c r="M984" s="19" t="s">
        <v>12030</v>
      </c>
      <c r="N984" s="19" t="s">
        <v>12031</v>
      </c>
      <c r="O984" s="19" t="s">
        <v>12032</v>
      </c>
      <c r="P984" s="19" t="s">
        <v>12033</v>
      </c>
      <c r="Q984" s="19" t="s">
        <v>12034</v>
      </c>
    </row>
    <row r="985" spans="1:17" ht="24">
      <c r="A985" s="18" t="s">
        <v>12035</v>
      </c>
      <c r="B985" s="19" t="s">
        <v>12036</v>
      </c>
      <c r="C985" s="19" t="s">
        <v>12037</v>
      </c>
      <c r="D985" s="19" t="s">
        <v>12038</v>
      </c>
      <c r="E985" s="19" t="s">
        <v>12039</v>
      </c>
      <c r="F985" s="19" t="s">
        <v>12040</v>
      </c>
      <c r="G985" s="19" t="s">
        <v>12041</v>
      </c>
      <c r="H985" s="19" t="s">
        <v>12042</v>
      </c>
      <c r="I985" s="19" t="s">
        <v>12043</v>
      </c>
      <c r="J985" s="19" t="s">
        <v>12044</v>
      </c>
      <c r="K985" s="19" t="s">
        <v>12045</v>
      </c>
      <c r="L985" s="19" t="s">
        <v>12046</v>
      </c>
      <c r="M985" s="19" t="s">
        <v>12047</v>
      </c>
      <c r="N985" s="19" t="s">
        <v>12048</v>
      </c>
      <c r="O985" s="19" t="s">
        <v>12049</v>
      </c>
      <c r="P985" s="19" t="s">
        <v>12050</v>
      </c>
      <c r="Q985" s="19" t="s">
        <v>5933</v>
      </c>
    </row>
    <row r="986" spans="1:17" ht="36">
      <c r="A986" s="18" t="s">
        <v>12051</v>
      </c>
      <c r="B986" s="19" t="s">
        <v>12052</v>
      </c>
      <c r="C986" s="19" t="s">
        <v>12053</v>
      </c>
      <c r="D986" s="19" t="s">
        <v>12054</v>
      </c>
      <c r="E986" s="19" t="s">
        <v>12055</v>
      </c>
      <c r="F986" s="19" t="s">
        <v>12056</v>
      </c>
      <c r="G986" s="19" t="s">
        <v>12057</v>
      </c>
      <c r="H986" s="19" t="s">
        <v>12058</v>
      </c>
      <c r="I986" s="19" t="s">
        <v>6586</v>
      </c>
      <c r="J986" s="19" t="s">
        <v>12059</v>
      </c>
      <c r="K986" s="19" t="s">
        <v>12060</v>
      </c>
      <c r="L986" s="19" t="s">
        <v>12061</v>
      </c>
      <c r="M986" s="19" t="s">
        <v>12062</v>
      </c>
      <c r="N986" s="19" t="s">
        <v>12063</v>
      </c>
      <c r="O986" s="19" t="s">
        <v>12064</v>
      </c>
      <c r="P986" s="19" t="s">
        <v>12050</v>
      </c>
      <c r="Q986" s="19" t="s">
        <v>12065</v>
      </c>
    </row>
    <row r="987" spans="1:17" ht="48">
      <c r="A987" s="18" t="s">
        <v>12066</v>
      </c>
      <c r="B987" s="19" t="s">
        <v>12067</v>
      </c>
      <c r="C987" s="19" t="s">
        <v>12068</v>
      </c>
      <c r="D987" s="19" t="s">
        <v>12069</v>
      </c>
      <c r="E987" s="19" t="s">
        <v>12070</v>
      </c>
      <c r="F987" s="19" t="s">
        <v>12071</v>
      </c>
      <c r="G987" s="19" t="s">
        <v>12072</v>
      </c>
      <c r="H987" s="19" t="s">
        <v>12073</v>
      </c>
      <c r="I987" s="19" t="s">
        <v>12074</v>
      </c>
      <c r="J987" s="19" t="s">
        <v>12075</v>
      </c>
      <c r="K987" s="19" t="s">
        <v>12076</v>
      </c>
      <c r="L987" s="19" t="s">
        <v>12077</v>
      </c>
      <c r="M987" s="19" t="s">
        <v>12078</v>
      </c>
      <c r="N987" s="19" t="s">
        <v>12079</v>
      </c>
      <c r="O987" s="19" t="s">
        <v>12080</v>
      </c>
      <c r="P987" s="19" t="s">
        <v>12081</v>
      </c>
      <c r="Q987" s="19" t="s">
        <v>12082</v>
      </c>
    </row>
    <row r="988" spans="1:17" ht="48">
      <c r="A988" s="18" t="s">
        <v>12083</v>
      </c>
      <c r="B988" s="19" t="s">
        <v>10033</v>
      </c>
      <c r="C988" s="19" t="s">
        <v>12084</v>
      </c>
      <c r="D988" s="19" t="s">
        <v>12085</v>
      </c>
      <c r="E988" s="19" t="s">
        <v>12086</v>
      </c>
      <c r="F988" s="19" t="s">
        <v>12087</v>
      </c>
      <c r="G988" s="19" t="s">
        <v>12088</v>
      </c>
      <c r="H988" s="19" t="s">
        <v>12089</v>
      </c>
      <c r="I988" s="19" t="s">
        <v>12090</v>
      </c>
      <c r="J988" s="19" t="s">
        <v>11077</v>
      </c>
      <c r="K988" s="19" t="s">
        <v>12091</v>
      </c>
      <c r="L988" s="19" t="s">
        <v>12092</v>
      </c>
      <c r="M988" s="19" t="s">
        <v>12093</v>
      </c>
      <c r="N988" s="19" t="s">
        <v>12094</v>
      </c>
      <c r="O988" s="19" t="s">
        <v>12095</v>
      </c>
      <c r="P988" s="19" t="s">
        <v>12096</v>
      </c>
      <c r="Q988" s="19" t="s">
        <v>9333</v>
      </c>
    </row>
    <row r="989" spans="1:17" ht="36">
      <c r="A989" s="18" t="s">
        <v>12097</v>
      </c>
      <c r="B989" s="19" t="s">
        <v>7073</v>
      </c>
      <c r="C989" s="19" t="s">
        <v>12098</v>
      </c>
      <c r="D989" s="19" t="s">
        <v>12099</v>
      </c>
      <c r="E989" s="19" t="s">
        <v>12100</v>
      </c>
      <c r="F989" s="19" t="s">
        <v>12101</v>
      </c>
      <c r="G989" s="19" t="s">
        <v>12102</v>
      </c>
      <c r="H989" s="19" t="s">
        <v>12103</v>
      </c>
      <c r="I989" s="19" t="s">
        <v>6686</v>
      </c>
      <c r="J989" s="19" t="s">
        <v>4953</v>
      </c>
      <c r="K989" s="19" t="s">
        <v>12104</v>
      </c>
      <c r="L989" s="19" t="s">
        <v>12105</v>
      </c>
      <c r="M989" s="19" t="s">
        <v>10000</v>
      </c>
      <c r="N989" s="19" t="s">
        <v>12106</v>
      </c>
      <c r="O989" s="19" t="s">
        <v>12107</v>
      </c>
      <c r="P989" s="19" t="s">
        <v>12108</v>
      </c>
      <c r="Q989" s="19" t="s">
        <v>919</v>
      </c>
    </row>
    <row r="990" spans="1:17" ht="48">
      <c r="A990" s="18" t="s">
        <v>12109</v>
      </c>
      <c r="B990" s="19" t="s">
        <v>4138</v>
      </c>
      <c r="C990" s="19" t="s">
        <v>12110</v>
      </c>
      <c r="D990" s="19" t="s">
        <v>8439</v>
      </c>
      <c r="E990" s="19" t="s">
        <v>12111</v>
      </c>
      <c r="F990" s="19" t="s">
        <v>2371</v>
      </c>
      <c r="G990" s="19" t="s">
        <v>1641</v>
      </c>
      <c r="H990" s="19" t="s">
        <v>12112</v>
      </c>
      <c r="I990" s="19" t="s">
        <v>7786</v>
      </c>
      <c r="J990" s="19" t="s">
        <v>12113</v>
      </c>
      <c r="K990" s="19" t="s">
        <v>2508</v>
      </c>
      <c r="L990" s="19" t="s">
        <v>12114</v>
      </c>
      <c r="M990" s="19" t="s">
        <v>4117</v>
      </c>
      <c r="N990" s="19" t="s">
        <v>3948</v>
      </c>
      <c r="O990" s="19" t="s">
        <v>8982</v>
      </c>
      <c r="P990" s="15"/>
      <c r="Q990" s="19" t="s">
        <v>982</v>
      </c>
    </row>
    <row r="991" spans="1:17" ht="24">
      <c r="A991" s="18" t="s">
        <v>12115</v>
      </c>
      <c r="B991" s="19" t="s">
        <v>12116</v>
      </c>
      <c r="C991" s="19" t="s">
        <v>12117</v>
      </c>
      <c r="D991" s="19" t="s">
        <v>12118</v>
      </c>
      <c r="E991" s="19" t="s">
        <v>12119</v>
      </c>
      <c r="F991" s="19" t="s">
        <v>12120</v>
      </c>
      <c r="G991" s="19" t="s">
        <v>12121</v>
      </c>
      <c r="H991" s="19" t="s">
        <v>12122</v>
      </c>
      <c r="I991" s="19" t="s">
        <v>12123</v>
      </c>
      <c r="J991" s="19" t="s">
        <v>4401</v>
      </c>
      <c r="K991" s="19" t="s">
        <v>12124</v>
      </c>
      <c r="L991" s="19" t="s">
        <v>12125</v>
      </c>
      <c r="M991" s="19" t="s">
        <v>12126</v>
      </c>
      <c r="N991" s="19" t="s">
        <v>12127</v>
      </c>
      <c r="O991" s="19" t="s">
        <v>12128</v>
      </c>
      <c r="P991" s="19" t="s">
        <v>12129</v>
      </c>
      <c r="Q991" s="19" t="s">
        <v>12130</v>
      </c>
    </row>
    <row r="992" spans="1:17" ht="36">
      <c r="A992" s="18" t="s">
        <v>12131</v>
      </c>
      <c r="B992" s="19" t="s">
        <v>12132</v>
      </c>
      <c r="C992" s="19" t="s">
        <v>12133</v>
      </c>
      <c r="D992" s="19" t="s">
        <v>12134</v>
      </c>
      <c r="E992" s="19" t="s">
        <v>12135</v>
      </c>
      <c r="F992" s="19" t="s">
        <v>12136</v>
      </c>
      <c r="G992" s="19" t="s">
        <v>12137</v>
      </c>
      <c r="H992" s="19" t="s">
        <v>12138</v>
      </c>
      <c r="I992" s="19" t="s">
        <v>12139</v>
      </c>
      <c r="J992" s="19" t="s">
        <v>12140</v>
      </c>
      <c r="K992" s="19" t="s">
        <v>12141</v>
      </c>
      <c r="L992" s="19" t="s">
        <v>12142</v>
      </c>
      <c r="M992" s="19" t="s">
        <v>12143</v>
      </c>
      <c r="N992" s="19" t="s">
        <v>12144</v>
      </c>
      <c r="O992" s="19" t="s">
        <v>12145</v>
      </c>
      <c r="P992" s="19" t="s">
        <v>12146</v>
      </c>
      <c r="Q992" s="19" t="s">
        <v>12147</v>
      </c>
    </row>
    <row r="993" spans="1:17" ht="48">
      <c r="A993" s="18" t="s">
        <v>12148</v>
      </c>
      <c r="B993" s="19" t="s">
        <v>12149</v>
      </c>
      <c r="C993" s="19" t="s">
        <v>12150</v>
      </c>
      <c r="D993" s="19" t="s">
        <v>12151</v>
      </c>
      <c r="E993" s="19" t="s">
        <v>12152</v>
      </c>
      <c r="F993" s="19" t="s">
        <v>12153</v>
      </c>
      <c r="G993" s="19" t="s">
        <v>12154</v>
      </c>
      <c r="H993" s="19" t="s">
        <v>12155</v>
      </c>
      <c r="I993" s="19" t="s">
        <v>12156</v>
      </c>
      <c r="J993" s="19" t="s">
        <v>5760</v>
      </c>
      <c r="K993" s="19" t="s">
        <v>12157</v>
      </c>
      <c r="L993" s="19" t="s">
        <v>12158</v>
      </c>
      <c r="M993" s="19" t="s">
        <v>12159</v>
      </c>
      <c r="N993" s="19" t="s">
        <v>12160</v>
      </c>
      <c r="O993" s="19" t="s">
        <v>12161</v>
      </c>
      <c r="P993" s="19" t="s">
        <v>12162</v>
      </c>
      <c r="Q993" s="19" t="s">
        <v>12163</v>
      </c>
    </row>
    <row r="994" spans="1:17" ht="36">
      <c r="A994" s="18" t="s">
        <v>12164</v>
      </c>
      <c r="B994" s="19" t="s">
        <v>984</v>
      </c>
      <c r="C994" s="19" t="s">
        <v>12165</v>
      </c>
      <c r="D994" s="19" t="s">
        <v>12166</v>
      </c>
      <c r="E994" s="19" t="s">
        <v>1498</v>
      </c>
      <c r="F994" s="19" t="s">
        <v>3843</v>
      </c>
      <c r="G994" s="19" t="s">
        <v>1366</v>
      </c>
      <c r="H994" s="19" t="s">
        <v>9190</v>
      </c>
      <c r="I994" s="19" t="s">
        <v>979</v>
      </c>
      <c r="J994" s="19" t="s">
        <v>2519</v>
      </c>
      <c r="K994" s="19" t="s">
        <v>10411</v>
      </c>
      <c r="L994" s="19" t="s">
        <v>11077</v>
      </c>
      <c r="M994" s="19" t="s">
        <v>4270</v>
      </c>
      <c r="N994" s="19" t="s">
        <v>936</v>
      </c>
      <c r="O994" s="19" t="s">
        <v>12167</v>
      </c>
      <c r="P994" s="19" t="s">
        <v>9146</v>
      </c>
      <c r="Q994" s="15"/>
    </row>
    <row r="995" spans="1:17" ht="48">
      <c r="A995" s="20" t="s">
        <v>12168</v>
      </c>
      <c r="B995" s="21" t="s">
        <v>4455</v>
      </c>
      <c r="C995" s="21" t="s">
        <v>12169</v>
      </c>
      <c r="D995" s="21" t="s">
        <v>12170</v>
      </c>
      <c r="E995" s="21" t="s">
        <v>10296</v>
      </c>
      <c r="F995" s="21" t="s">
        <v>12171</v>
      </c>
      <c r="G995" s="21" t="s">
        <v>1352</v>
      </c>
      <c r="H995" s="21" t="s">
        <v>1309</v>
      </c>
      <c r="I995" s="21" t="s">
        <v>886</v>
      </c>
      <c r="J995" s="21" t="s">
        <v>1098</v>
      </c>
      <c r="K995" s="21" t="s">
        <v>12172</v>
      </c>
      <c r="L995" s="21" t="s">
        <v>12173</v>
      </c>
      <c r="M995" s="21" t="s">
        <v>4953</v>
      </c>
      <c r="N995" s="21" t="s">
        <v>12174</v>
      </c>
      <c r="O995" s="21" t="s">
        <v>12175</v>
      </c>
      <c r="P995" s="21" t="s">
        <v>12176</v>
      </c>
      <c r="Q995" s="21" t="s">
        <v>1520</v>
      </c>
    </row>
    <row r="996" spans="1:17" ht="15.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</row>
    <row r="997" spans="1:17" ht="15.6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</row>
  </sheetData>
  <mergeCells count="420">
    <mergeCell ref="Q904:Q905"/>
    <mergeCell ref="Q953:Q954"/>
    <mergeCell ref="Q453:Q454"/>
    <mergeCell ref="Q504:Q505"/>
    <mergeCell ref="Q554:Q555"/>
    <mergeCell ref="Q603:Q604"/>
    <mergeCell ref="Q653:Q654"/>
    <mergeCell ref="Q703:Q704"/>
    <mergeCell ref="Q753:Q754"/>
    <mergeCell ref="Q804:Q805"/>
    <mergeCell ref="Q853:Q854"/>
    <mergeCell ref="Q5:Q6"/>
    <mergeCell ref="Q54:Q55"/>
    <mergeCell ref="Q104:Q105"/>
    <mergeCell ref="Q153:Q154"/>
    <mergeCell ref="Q203:Q204"/>
    <mergeCell ref="Q254:Q255"/>
    <mergeCell ref="Q303:Q304"/>
    <mergeCell ref="Q353:Q354"/>
    <mergeCell ref="Q403:Q404"/>
    <mergeCell ref="O903:O905"/>
    <mergeCell ref="O952:O954"/>
    <mergeCell ref="P5:P6"/>
    <mergeCell ref="P54:P55"/>
    <mergeCell ref="P104:P105"/>
    <mergeCell ref="P153:P154"/>
    <mergeCell ref="P203:P204"/>
    <mergeCell ref="P254:P255"/>
    <mergeCell ref="P303:P304"/>
    <mergeCell ref="P353:P354"/>
    <mergeCell ref="P403:P404"/>
    <mergeCell ref="P453:P454"/>
    <mergeCell ref="P504:P505"/>
    <mergeCell ref="P554:P555"/>
    <mergeCell ref="P603:P604"/>
    <mergeCell ref="P653:P654"/>
    <mergeCell ref="P703:P704"/>
    <mergeCell ref="P753:P754"/>
    <mergeCell ref="P804:P805"/>
    <mergeCell ref="P853:P854"/>
    <mergeCell ref="P904:P905"/>
    <mergeCell ref="P953:P954"/>
    <mergeCell ref="O452:O454"/>
    <mergeCell ref="O503:O505"/>
    <mergeCell ref="O553:O555"/>
    <mergeCell ref="O602:O604"/>
    <mergeCell ref="O652:O654"/>
    <mergeCell ref="O702:O704"/>
    <mergeCell ref="O752:O754"/>
    <mergeCell ref="O803:O805"/>
    <mergeCell ref="O852:O854"/>
    <mergeCell ref="O4:O6"/>
    <mergeCell ref="O53:O55"/>
    <mergeCell ref="O103:O105"/>
    <mergeCell ref="O152:O154"/>
    <mergeCell ref="O202:O204"/>
    <mergeCell ref="O253:O255"/>
    <mergeCell ref="O302:O304"/>
    <mergeCell ref="O352:O354"/>
    <mergeCell ref="O402:O404"/>
    <mergeCell ref="M904:M905"/>
    <mergeCell ref="M953:M954"/>
    <mergeCell ref="N3:N6"/>
    <mergeCell ref="N52:N55"/>
    <mergeCell ref="N102:N105"/>
    <mergeCell ref="N151:N154"/>
    <mergeCell ref="N201:N204"/>
    <mergeCell ref="N252:N255"/>
    <mergeCell ref="N301:N304"/>
    <mergeCell ref="N351:N354"/>
    <mergeCell ref="N401:N404"/>
    <mergeCell ref="N451:N454"/>
    <mergeCell ref="N502:N505"/>
    <mergeCell ref="N552:N555"/>
    <mergeCell ref="N601:N604"/>
    <mergeCell ref="N651:N654"/>
    <mergeCell ref="N701:N704"/>
    <mergeCell ref="N751:N754"/>
    <mergeCell ref="N802:N805"/>
    <mergeCell ref="N851:N854"/>
    <mergeCell ref="N902:N905"/>
    <mergeCell ref="N951:N954"/>
    <mergeCell ref="M453:M454"/>
    <mergeCell ref="M504:M505"/>
    <mergeCell ref="M554:M555"/>
    <mergeCell ref="M603:M604"/>
    <mergeCell ref="M653:M654"/>
    <mergeCell ref="M703:M704"/>
    <mergeCell ref="M753:M754"/>
    <mergeCell ref="M804:M805"/>
    <mergeCell ref="M853:M854"/>
    <mergeCell ref="M5:M6"/>
    <mergeCell ref="M54:M55"/>
    <mergeCell ref="M104:M105"/>
    <mergeCell ref="M153:M154"/>
    <mergeCell ref="M203:M204"/>
    <mergeCell ref="M254:M255"/>
    <mergeCell ref="M303:M304"/>
    <mergeCell ref="M353:M354"/>
    <mergeCell ref="M403:M404"/>
    <mergeCell ref="C902:C905"/>
    <mergeCell ref="C951:C954"/>
    <mergeCell ref="D4:D6"/>
    <mergeCell ref="D53:D55"/>
    <mergeCell ref="D103:D105"/>
    <mergeCell ref="D152:D154"/>
    <mergeCell ref="D202:D204"/>
    <mergeCell ref="D253:D255"/>
    <mergeCell ref="D302:D304"/>
    <mergeCell ref="D352:D354"/>
    <mergeCell ref="D402:D404"/>
    <mergeCell ref="D452:D454"/>
    <mergeCell ref="D503:D505"/>
    <mergeCell ref="D553:D555"/>
    <mergeCell ref="D602:D604"/>
    <mergeCell ref="D652:D654"/>
    <mergeCell ref="D702:D704"/>
    <mergeCell ref="D752:D754"/>
    <mergeCell ref="D803:D805"/>
    <mergeCell ref="D852:D854"/>
    <mergeCell ref="D903:D905"/>
    <mergeCell ref="D952:D954"/>
    <mergeCell ref="C451:C454"/>
    <mergeCell ref="C502:C505"/>
    <mergeCell ref="C552:C555"/>
    <mergeCell ref="C601:C604"/>
    <mergeCell ref="C651:C654"/>
    <mergeCell ref="C701:C704"/>
    <mergeCell ref="C751:C754"/>
    <mergeCell ref="C802:C805"/>
    <mergeCell ref="C851:C854"/>
    <mergeCell ref="C3:C6"/>
    <mergeCell ref="C52:C55"/>
    <mergeCell ref="C102:C105"/>
    <mergeCell ref="C151:C154"/>
    <mergeCell ref="C201:C204"/>
    <mergeCell ref="C252:C255"/>
    <mergeCell ref="C301:C304"/>
    <mergeCell ref="C351:C354"/>
    <mergeCell ref="C401:C404"/>
    <mergeCell ref="A902:A905"/>
    <mergeCell ref="A951:A954"/>
    <mergeCell ref="B3:B6"/>
    <mergeCell ref="B52:B55"/>
    <mergeCell ref="B102:B105"/>
    <mergeCell ref="B151:B154"/>
    <mergeCell ref="B201:B204"/>
    <mergeCell ref="B252:B255"/>
    <mergeCell ref="B301:B304"/>
    <mergeCell ref="B351:B354"/>
    <mergeCell ref="B401:B404"/>
    <mergeCell ref="B451:B454"/>
    <mergeCell ref="B502:B505"/>
    <mergeCell ref="B552:B555"/>
    <mergeCell ref="B601:B604"/>
    <mergeCell ref="B651:B654"/>
    <mergeCell ref="B701:B704"/>
    <mergeCell ref="B751:B754"/>
    <mergeCell ref="B802:B805"/>
    <mergeCell ref="B851:B854"/>
    <mergeCell ref="B902:B905"/>
    <mergeCell ref="B951:B954"/>
    <mergeCell ref="A451:A454"/>
    <mergeCell ref="A502:A505"/>
    <mergeCell ref="A552:A555"/>
    <mergeCell ref="A601:A604"/>
    <mergeCell ref="A651:A654"/>
    <mergeCell ref="A701:A704"/>
    <mergeCell ref="A751:A754"/>
    <mergeCell ref="A802:A805"/>
    <mergeCell ref="A851:A854"/>
    <mergeCell ref="A3:A6"/>
    <mergeCell ref="A52:A55"/>
    <mergeCell ref="A102:A105"/>
    <mergeCell ref="A151:A154"/>
    <mergeCell ref="A201:A204"/>
    <mergeCell ref="A252:A255"/>
    <mergeCell ref="A301:A304"/>
    <mergeCell ref="A351:A354"/>
    <mergeCell ref="A401:A404"/>
    <mergeCell ref="D902:J902"/>
    <mergeCell ref="L902:M902"/>
    <mergeCell ref="O902:Q902"/>
    <mergeCell ref="H903:J903"/>
    <mergeCell ref="P903:Q903"/>
    <mergeCell ref="D951:J951"/>
    <mergeCell ref="L951:M951"/>
    <mergeCell ref="O951:Q951"/>
    <mergeCell ref="H952:J952"/>
    <mergeCell ref="P952:Q952"/>
    <mergeCell ref="E903:E905"/>
    <mergeCell ref="E952:E954"/>
    <mergeCell ref="F903:F905"/>
    <mergeCell ref="F952:F954"/>
    <mergeCell ref="G903:G905"/>
    <mergeCell ref="G952:G954"/>
    <mergeCell ref="H904:H905"/>
    <mergeCell ref="H953:H954"/>
    <mergeCell ref="I904:I905"/>
    <mergeCell ref="I953:I954"/>
    <mergeCell ref="K902:K905"/>
    <mergeCell ref="K951:K954"/>
    <mergeCell ref="L903:L905"/>
    <mergeCell ref="L952:L954"/>
    <mergeCell ref="D802:J802"/>
    <mergeCell ref="L802:M802"/>
    <mergeCell ref="O802:Q802"/>
    <mergeCell ref="H803:J803"/>
    <mergeCell ref="P803:Q803"/>
    <mergeCell ref="D851:J851"/>
    <mergeCell ref="L851:M851"/>
    <mergeCell ref="O851:Q851"/>
    <mergeCell ref="H852:J852"/>
    <mergeCell ref="P852:Q852"/>
    <mergeCell ref="E803:E805"/>
    <mergeCell ref="E852:E854"/>
    <mergeCell ref="F803:F805"/>
    <mergeCell ref="F852:F854"/>
    <mergeCell ref="G803:G805"/>
    <mergeCell ref="G852:G854"/>
    <mergeCell ref="H804:H805"/>
    <mergeCell ref="H853:H854"/>
    <mergeCell ref="I804:I805"/>
    <mergeCell ref="I853:I854"/>
    <mergeCell ref="K802:K805"/>
    <mergeCell ref="K851:K854"/>
    <mergeCell ref="L803:L805"/>
    <mergeCell ref="L852:L854"/>
    <mergeCell ref="D701:J701"/>
    <mergeCell ref="L701:M701"/>
    <mergeCell ref="O701:Q701"/>
    <mergeCell ref="H702:J702"/>
    <mergeCell ref="P702:Q702"/>
    <mergeCell ref="D751:J751"/>
    <mergeCell ref="L751:M751"/>
    <mergeCell ref="O751:Q751"/>
    <mergeCell ref="H752:J752"/>
    <mergeCell ref="P752:Q752"/>
    <mergeCell ref="E702:E704"/>
    <mergeCell ref="E752:E754"/>
    <mergeCell ref="F702:F704"/>
    <mergeCell ref="F752:F754"/>
    <mergeCell ref="G702:G704"/>
    <mergeCell ref="G752:G754"/>
    <mergeCell ref="H703:H704"/>
    <mergeCell ref="H753:H754"/>
    <mergeCell ref="I703:I704"/>
    <mergeCell ref="I753:I754"/>
    <mergeCell ref="K701:K704"/>
    <mergeCell ref="K751:K754"/>
    <mergeCell ref="L702:L704"/>
    <mergeCell ref="L752:L754"/>
    <mergeCell ref="D601:J601"/>
    <mergeCell ref="L601:M601"/>
    <mergeCell ref="O601:Q601"/>
    <mergeCell ref="H602:J602"/>
    <mergeCell ref="P602:Q602"/>
    <mergeCell ref="D651:J651"/>
    <mergeCell ref="L651:M651"/>
    <mergeCell ref="O651:Q651"/>
    <mergeCell ref="H652:J652"/>
    <mergeCell ref="P652:Q652"/>
    <mergeCell ref="E602:E604"/>
    <mergeCell ref="E652:E654"/>
    <mergeCell ref="F602:F604"/>
    <mergeCell ref="F652:F654"/>
    <mergeCell ref="G602:G604"/>
    <mergeCell ref="G652:G654"/>
    <mergeCell ref="H603:H604"/>
    <mergeCell ref="H653:H654"/>
    <mergeCell ref="I603:I604"/>
    <mergeCell ref="I653:I654"/>
    <mergeCell ref="K601:K604"/>
    <mergeCell ref="K651:K654"/>
    <mergeCell ref="L602:L604"/>
    <mergeCell ref="L652:L654"/>
    <mergeCell ref="D502:J502"/>
    <mergeCell ref="L502:M502"/>
    <mergeCell ref="O502:Q502"/>
    <mergeCell ref="H503:J503"/>
    <mergeCell ref="P503:Q503"/>
    <mergeCell ref="D552:J552"/>
    <mergeCell ref="L552:M552"/>
    <mergeCell ref="O552:Q552"/>
    <mergeCell ref="H553:J553"/>
    <mergeCell ref="P553:Q553"/>
    <mergeCell ref="E503:E505"/>
    <mergeCell ref="E553:E555"/>
    <mergeCell ref="F503:F505"/>
    <mergeCell ref="F553:F555"/>
    <mergeCell ref="G503:G505"/>
    <mergeCell ref="G553:G555"/>
    <mergeCell ref="H504:H505"/>
    <mergeCell ref="H554:H555"/>
    <mergeCell ref="I504:I505"/>
    <mergeCell ref="I554:I555"/>
    <mergeCell ref="K502:K505"/>
    <mergeCell ref="K552:K555"/>
    <mergeCell ref="L503:L505"/>
    <mergeCell ref="L553:L555"/>
    <mergeCell ref="D401:J401"/>
    <mergeCell ref="L401:M401"/>
    <mergeCell ref="O401:Q401"/>
    <mergeCell ref="H402:J402"/>
    <mergeCell ref="P402:Q402"/>
    <mergeCell ref="D451:J451"/>
    <mergeCell ref="L451:M451"/>
    <mergeCell ref="O451:Q451"/>
    <mergeCell ref="H452:J452"/>
    <mergeCell ref="P452:Q452"/>
    <mergeCell ref="E402:E404"/>
    <mergeCell ref="E452:E454"/>
    <mergeCell ref="F402:F404"/>
    <mergeCell ref="F452:F454"/>
    <mergeCell ref="G402:G404"/>
    <mergeCell ref="G452:G454"/>
    <mergeCell ref="H403:H404"/>
    <mergeCell ref="H453:H454"/>
    <mergeCell ref="I403:I404"/>
    <mergeCell ref="I453:I454"/>
    <mergeCell ref="K401:K404"/>
    <mergeCell ref="K451:K454"/>
    <mergeCell ref="L402:L404"/>
    <mergeCell ref="L452:L454"/>
    <mergeCell ref="D301:J301"/>
    <mergeCell ref="L301:M301"/>
    <mergeCell ref="O301:Q301"/>
    <mergeCell ref="H302:J302"/>
    <mergeCell ref="P302:Q302"/>
    <mergeCell ref="D351:J351"/>
    <mergeCell ref="L351:M351"/>
    <mergeCell ref="O351:Q351"/>
    <mergeCell ref="H352:J352"/>
    <mergeCell ref="P352:Q352"/>
    <mergeCell ref="E302:E304"/>
    <mergeCell ref="E352:E354"/>
    <mergeCell ref="F302:F304"/>
    <mergeCell ref="F352:F354"/>
    <mergeCell ref="G302:G304"/>
    <mergeCell ref="G352:G354"/>
    <mergeCell ref="H303:H304"/>
    <mergeCell ref="H353:H354"/>
    <mergeCell ref="I303:I304"/>
    <mergeCell ref="I353:I354"/>
    <mergeCell ref="K301:K304"/>
    <mergeCell ref="K351:K354"/>
    <mergeCell ref="L302:L304"/>
    <mergeCell ref="L352:L354"/>
    <mergeCell ref="D201:J201"/>
    <mergeCell ref="L201:M201"/>
    <mergeCell ref="O201:Q201"/>
    <mergeCell ref="H202:J202"/>
    <mergeCell ref="P202:Q202"/>
    <mergeCell ref="D252:J252"/>
    <mergeCell ref="L252:M252"/>
    <mergeCell ref="O252:Q252"/>
    <mergeCell ref="H253:J253"/>
    <mergeCell ref="P253:Q253"/>
    <mergeCell ref="E202:E204"/>
    <mergeCell ref="E253:E255"/>
    <mergeCell ref="F202:F204"/>
    <mergeCell ref="F253:F255"/>
    <mergeCell ref="G202:G204"/>
    <mergeCell ref="G253:G255"/>
    <mergeCell ref="H203:H204"/>
    <mergeCell ref="H254:H255"/>
    <mergeCell ref="I203:I204"/>
    <mergeCell ref="I254:I255"/>
    <mergeCell ref="K201:K204"/>
    <mergeCell ref="K252:K255"/>
    <mergeCell ref="L202:L204"/>
    <mergeCell ref="L253:L255"/>
    <mergeCell ref="D102:J102"/>
    <mergeCell ref="L102:M102"/>
    <mergeCell ref="O102:Q102"/>
    <mergeCell ref="H103:J103"/>
    <mergeCell ref="P103:Q103"/>
    <mergeCell ref="D151:J151"/>
    <mergeCell ref="L151:M151"/>
    <mergeCell ref="O151:Q151"/>
    <mergeCell ref="H152:J152"/>
    <mergeCell ref="P152:Q152"/>
    <mergeCell ref="E103:E105"/>
    <mergeCell ref="E152:E154"/>
    <mergeCell ref="F103:F105"/>
    <mergeCell ref="F152:F154"/>
    <mergeCell ref="G103:G105"/>
    <mergeCell ref="G152:G154"/>
    <mergeCell ref="H104:H105"/>
    <mergeCell ref="H153:H154"/>
    <mergeCell ref="I104:I105"/>
    <mergeCell ref="I153:I154"/>
    <mergeCell ref="K102:K105"/>
    <mergeCell ref="K151:K154"/>
    <mergeCell ref="L103:L105"/>
    <mergeCell ref="L152:L154"/>
    <mergeCell ref="D3:J3"/>
    <mergeCell ref="L3:M3"/>
    <mergeCell ref="O3:Q3"/>
    <mergeCell ref="H4:J4"/>
    <mergeCell ref="P4:Q4"/>
    <mergeCell ref="D52:J52"/>
    <mergeCell ref="L52:M52"/>
    <mergeCell ref="O52:Q52"/>
    <mergeCell ref="H53:J53"/>
    <mergeCell ref="P53:Q53"/>
    <mergeCell ref="E4:E6"/>
    <mergeCell ref="E53:E55"/>
    <mergeCell ref="F4:F6"/>
    <mergeCell ref="F53:F55"/>
    <mergeCell ref="G4:G6"/>
    <mergeCell ref="G53:G55"/>
    <mergeCell ref="H5:H6"/>
    <mergeCell ref="H54:H55"/>
    <mergeCell ref="I5:I6"/>
    <mergeCell ref="I54:I55"/>
    <mergeCell ref="K3:K6"/>
    <mergeCell ref="K52:K55"/>
    <mergeCell ref="L4:L6"/>
    <mergeCell ref="L53:L5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4"/>
  <sheetViews>
    <sheetView tabSelected="1" workbookViewId="0">
      <selection activeCell="A3" sqref="A3:XFD3"/>
    </sheetView>
  </sheetViews>
  <sheetFormatPr defaultColWidth="9" defaultRowHeight="14.4"/>
  <cols>
    <col min="1" max="1" width="28.33203125" customWidth="1"/>
    <col min="2" max="2" width="10.88671875" customWidth="1"/>
    <col min="5" max="5" width="12.6640625"/>
  </cols>
  <sheetData>
    <row r="1" spans="1:43">
      <c r="A1" s="25" t="s">
        <v>155</v>
      </c>
      <c r="B1" s="26" t="s">
        <v>86</v>
      </c>
      <c r="C1" s="26" t="s">
        <v>87</v>
      </c>
      <c r="D1" s="26" t="s">
        <v>88</v>
      </c>
      <c r="E1" s="26" t="s">
        <v>89</v>
      </c>
      <c r="F1" s="26" t="s">
        <v>90</v>
      </c>
      <c r="G1" s="26" t="s">
        <v>91</v>
      </c>
      <c r="H1" s="26" t="s">
        <v>92</v>
      </c>
      <c r="I1" s="26" t="s">
        <v>93</v>
      </c>
      <c r="J1" s="26" t="s">
        <v>94</v>
      </c>
      <c r="K1" s="26" t="s">
        <v>95</v>
      </c>
      <c r="L1" s="26" t="s">
        <v>96</v>
      </c>
      <c r="M1" s="26" t="s">
        <v>97</v>
      </c>
      <c r="N1" s="26" t="s">
        <v>98</v>
      </c>
      <c r="O1" s="26" t="s">
        <v>99</v>
      </c>
      <c r="P1" s="26" t="s">
        <v>104</v>
      </c>
      <c r="Q1" s="26" t="s">
        <v>100</v>
      </c>
      <c r="R1" s="26" t="s">
        <v>101</v>
      </c>
      <c r="S1" s="26" t="s">
        <v>102</v>
      </c>
      <c r="T1" s="26" t="s">
        <v>108</v>
      </c>
      <c r="U1" s="26" t="s">
        <v>107</v>
      </c>
      <c r="V1" s="26" t="s">
        <v>103</v>
      </c>
      <c r="W1" s="26" t="s">
        <v>105</v>
      </c>
      <c r="X1" s="26" t="s">
        <v>106</v>
      </c>
      <c r="Y1" s="26" t="s">
        <v>109</v>
      </c>
      <c r="Z1" s="26" t="s">
        <v>110</v>
      </c>
      <c r="AA1" s="26" t="s">
        <v>111</v>
      </c>
      <c r="AB1" s="26" t="s">
        <v>112</v>
      </c>
      <c r="AC1" s="26" t="s">
        <v>113</v>
      </c>
      <c r="AD1" s="26" t="s">
        <v>114</v>
      </c>
      <c r="AE1" s="26" t="s">
        <v>115</v>
      </c>
      <c r="AF1" s="26" t="s">
        <v>116</v>
      </c>
      <c r="AG1" s="26" t="s">
        <v>117</v>
      </c>
      <c r="AH1" s="26" t="s">
        <v>120</v>
      </c>
      <c r="AI1" s="26" t="s">
        <v>156</v>
      </c>
      <c r="AJ1" s="26" t="s">
        <v>118</v>
      </c>
      <c r="AK1" s="26" t="s">
        <v>119</v>
      </c>
      <c r="AL1" s="26" t="s">
        <v>121</v>
      </c>
      <c r="AM1" s="26" t="s">
        <v>126</v>
      </c>
      <c r="AN1" s="26" t="s">
        <v>123</v>
      </c>
      <c r="AO1" s="26" t="s">
        <v>124</v>
      </c>
      <c r="AP1" s="26" t="s">
        <v>125</v>
      </c>
      <c r="AQ1" s="26" t="s">
        <v>122</v>
      </c>
    </row>
    <row r="2" spans="1:43">
      <c r="A2" s="27" t="s">
        <v>157</v>
      </c>
      <c r="B2" s="27">
        <f>Calculation!O22/'2020年全国投入产出表'!BF7</f>
        <v>1.8132690333896279E-4</v>
      </c>
      <c r="C2" s="27">
        <v>1</v>
      </c>
      <c r="D2" s="27">
        <v>1</v>
      </c>
      <c r="E2" s="27">
        <f>Calculation!P62/'2020年全国投入产出表'!BF10</f>
        <v>4.6017836982730376E-4</v>
      </c>
      <c r="F2" s="27">
        <v>0</v>
      </c>
      <c r="G2" s="27">
        <v>0</v>
      </c>
      <c r="H2" s="27">
        <v>0</v>
      </c>
      <c r="I2" s="27">
        <v>0</v>
      </c>
      <c r="J2" s="27">
        <v>0</v>
      </c>
      <c r="K2" s="27">
        <v>0.957398280138539</v>
      </c>
      <c r="L2" s="27">
        <v>0</v>
      </c>
      <c r="M2" s="27">
        <v>0</v>
      </c>
      <c r="N2" s="27">
        <v>0</v>
      </c>
      <c r="O2" s="27">
        <v>0</v>
      </c>
      <c r="P2" s="27">
        <v>0</v>
      </c>
      <c r="Q2" s="27">
        <v>0</v>
      </c>
      <c r="R2" s="27">
        <v>0</v>
      </c>
      <c r="S2" s="27">
        <v>0</v>
      </c>
      <c r="T2" s="27">
        <v>0</v>
      </c>
      <c r="U2" s="27">
        <v>0</v>
      </c>
      <c r="V2" s="27">
        <v>0</v>
      </c>
      <c r="W2" s="27">
        <v>0</v>
      </c>
      <c r="X2" s="27">
        <v>0</v>
      </c>
      <c r="Y2" s="27">
        <v>0</v>
      </c>
      <c r="Z2" s="27">
        <v>1</v>
      </c>
      <c r="AA2" s="27">
        <v>1</v>
      </c>
      <c r="AB2" s="27">
        <v>0</v>
      </c>
      <c r="AC2" s="27">
        <v>0</v>
      </c>
      <c r="AD2" s="27">
        <v>0</v>
      </c>
      <c r="AE2" s="27">
        <v>0</v>
      </c>
      <c r="AF2" s="27">
        <v>0</v>
      </c>
      <c r="AG2" s="27">
        <v>0</v>
      </c>
      <c r="AH2" s="27">
        <v>0</v>
      </c>
      <c r="AI2" s="27">
        <v>0</v>
      </c>
      <c r="AJ2" s="27">
        <v>0</v>
      </c>
      <c r="AK2" s="27">
        <v>0</v>
      </c>
      <c r="AL2" s="27">
        <v>0</v>
      </c>
      <c r="AM2" s="27">
        <v>0</v>
      </c>
      <c r="AN2" s="27">
        <v>0</v>
      </c>
      <c r="AO2" s="27">
        <v>0</v>
      </c>
      <c r="AP2" s="27">
        <v>0</v>
      </c>
      <c r="AQ2" s="27">
        <v>0</v>
      </c>
    </row>
    <row r="3" spans="1:43">
      <c r="A3" s="27"/>
      <c r="B3" s="29"/>
    </row>
    <row r="4" spans="1:43">
      <c r="A4" s="27"/>
      <c r="B4" s="2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Calculation</vt:lpstr>
      <vt:lpstr>2020年全国投入产出表</vt:lpstr>
      <vt:lpstr>规模以上工业企业主要经济指标</vt:lpstr>
      <vt:lpstr>FoPTaFbIC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zhlx2</dc:creator>
  <cp:lastModifiedBy>Wang Rui 2nd</cp:lastModifiedBy>
  <dcterms:created xsi:type="dcterms:W3CDTF">2023-02-16T02:13:57Z</dcterms:created>
  <dcterms:modified xsi:type="dcterms:W3CDTF">2023-02-27T17:43:03Z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8C94A4D6A33448CDBB111224C6A70150</vt:lpwstr>
  </property>
  <property fmtid="{D5CDD505-2E9C-101B-9397-08002B2CF9AE}" pid="3" name="KSOProductBuildVer">
    <vt:lpwstr>2052-11.1.0.13703</vt:lpwstr>
  </property>
</Properties>
</file>