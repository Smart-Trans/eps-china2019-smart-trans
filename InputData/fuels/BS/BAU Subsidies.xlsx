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028"/>
  <workbookPr defaultThemeVersion="124226"/>
  <mc:AlternateContent xmlns:mc="http://schemas.openxmlformats.org/markup-compatibility/2006">
    <mc:Choice Requires="x15">
      <x15ac:absPath xmlns:x15ac="http://schemas.microsoft.com/office/spreadsheetml/2010/11/ac" url="C:\Users\mmahajan\Documents\eps-china-igdp\InputData\fuels\BS\"/>
    </mc:Choice>
  </mc:AlternateContent>
  <xr:revisionPtr revIDLastSave="0" documentId="13_ncr:1_{C67E0218-4C6A-4C11-9E28-BD2D74179EB6}" xr6:coauthVersionLast="47" xr6:coauthVersionMax="47" xr10:uidLastSave="{00000000-0000-0000-0000-000000000000}"/>
  <bookViews>
    <workbookView xWindow="-120" yWindow="-120" windowWidth="29040" windowHeight="17640" xr2:uid="{00000000-000D-0000-FFFF-FFFF00000000}"/>
  </bookViews>
  <sheets>
    <sheet name="About" sheetId="1" r:id="rId1"/>
    <sheet name="Fossil Fuels" sheetId="16" r:id="rId2"/>
    <sheet name="Conv Factor" sheetId="20" r:id="rId3"/>
    <sheet name="Capacity Price Peaker " sheetId="25" r:id="rId4"/>
    <sheet name="Solar 2019" sheetId="26" r:id="rId5"/>
    <sheet name="Wind 2019" sheetId="27" r:id="rId6"/>
    <sheet name="Sub by Power Price" sheetId="24" r:id="rId7"/>
    <sheet name="BS-BSfTFpEUP" sheetId="10" r:id="rId8"/>
    <sheet name="BS-BSpUEO-PreRet" sheetId="28" r:id="rId9"/>
    <sheet name="BS-BSpUEO-PreNonRet" sheetId="29" r:id="rId10"/>
    <sheet name="BS-BSpUEO-NewBlt" sheetId="30" r:id="rId11"/>
    <sheet name="BS-BSpUECB" sheetId="21" r:id="rId12"/>
    <sheet name="biomass &amp; geothermal -not used" sheetId="19" r:id="rId13"/>
    <sheet name="solar - not used" sheetId="18" r:id="rId14"/>
    <sheet name="subsidy for gen- not usd" sheetId="22" r:id="rId15"/>
    <sheet name="wind - not used" sheetId="17" r:id="rId16"/>
  </sheets>
  <externalReferences>
    <externalReference r:id="rId17"/>
    <externalReference r:id="rId18"/>
    <externalReference r:id="rId19"/>
  </externalReferences>
  <definedNames>
    <definedName name="BTU_per_GJ">#REF!</definedName>
    <definedName name="BTU_per_kcal">#REF!</definedName>
    <definedName name="BTU_per_kwh">#REF!</definedName>
    <definedName name="dollars_per_yuan">#REF!</definedName>
    <definedName name="gal_per_barrel">[1]About!$A$63</definedName>
    <definedName name="lignite_multiplier">'[2]Hard Coal and Lig Multipliers'!$N$16</definedName>
    <definedName name="nonlignite_multiplier">'[2]Hard Coal and Lig Multipliers'!$N$17</definedName>
    <definedName name="usd_per_yuan" localSheetId="11">'[3]Conv Factor'!$A$1</definedName>
    <definedName name="usd_per_yuan" localSheetId="14">'[3]Conv Factor'!$A$1</definedName>
    <definedName name="usd_per_yuan">'Conv Factor'!$A$1</definedName>
  </definedNames>
  <calcPr calcId="191029" iterate="1" iterateDelta="1.0000000000000001E-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12" i="21" l="1"/>
  <c r="AK12" i="21" s="1"/>
  <c r="AL12" i="21" s="1"/>
  <c r="AM12" i="21" s="1"/>
  <c r="AN12" i="21" s="1"/>
  <c r="AO12" i="21" s="1"/>
  <c r="AP12" i="21" s="1"/>
  <c r="AQ12" i="21" s="1"/>
  <c r="AR12" i="21" s="1"/>
  <c r="AS12" i="21" s="1"/>
  <c r="AL2" i="10"/>
  <c r="AM2" i="10"/>
  <c r="AN2" i="10"/>
  <c r="AO2" i="10"/>
  <c r="AP2" i="10"/>
  <c r="AQ2" i="10"/>
  <c r="AR2" i="10"/>
  <c r="AS2" i="10"/>
  <c r="AT2" i="10"/>
  <c r="AU2" i="10"/>
  <c r="AL3" i="10"/>
  <c r="AM3" i="10"/>
  <c r="AN3" i="10"/>
  <c r="AO3" i="10"/>
  <c r="AP3" i="10"/>
  <c r="AQ3" i="10"/>
  <c r="AR3" i="10"/>
  <c r="AS3" i="10"/>
  <c r="AT3" i="10"/>
  <c r="AU3" i="10"/>
  <c r="AL4" i="10"/>
  <c r="AM4" i="10"/>
  <c r="AN4" i="10"/>
  <c r="AO4" i="10"/>
  <c r="AP4" i="10"/>
  <c r="AQ4" i="10"/>
  <c r="AR4" i="10"/>
  <c r="AS4" i="10"/>
  <c r="AT4" i="10"/>
  <c r="AU4" i="10"/>
  <c r="AL5" i="10"/>
  <c r="AM5" i="10"/>
  <c r="AN5" i="10"/>
  <c r="AO5" i="10"/>
  <c r="AP5" i="10"/>
  <c r="AQ5" i="10"/>
  <c r="AR5" i="10"/>
  <c r="AS5" i="10"/>
  <c r="AT5" i="10"/>
  <c r="AU5" i="10"/>
  <c r="AL6" i="10"/>
  <c r="AM6" i="10"/>
  <c r="AN6" i="10"/>
  <c r="AO6" i="10"/>
  <c r="AP6" i="10"/>
  <c r="AQ6" i="10"/>
  <c r="AR6" i="10"/>
  <c r="AS6" i="10"/>
  <c r="AT6" i="10"/>
  <c r="AU6" i="10"/>
  <c r="AL7" i="10"/>
  <c r="AM7" i="10"/>
  <c r="AN7" i="10"/>
  <c r="AO7" i="10"/>
  <c r="AP7" i="10"/>
  <c r="AQ7" i="10"/>
  <c r="AR7" i="10"/>
  <c r="AS7" i="10"/>
  <c r="AT7" i="10"/>
  <c r="AU7" i="10"/>
  <c r="AL8" i="10"/>
  <c r="AM8" i="10"/>
  <c r="AN8" i="10"/>
  <c r="AO8" i="10"/>
  <c r="AP8" i="10"/>
  <c r="AQ8" i="10"/>
  <c r="AR8" i="10"/>
  <c r="AS8" i="10"/>
  <c r="AT8" i="10"/>
  <c r="AU8" i="10"/>
  <c r="AL9" i="10"/>
  <c r="AM9" i="10"/>
  <c r="AN9" i="10"/>
  <c r="AO9" i="10"/>
  <c r="AP9" i="10"/>
  <c r="AQ9" i="10"/>
  <c r="AR9" i="10"/>
  <c r="AS9" i="10"/>
  <c r="AT9" i="10"/>
  <c r="AU9" i="10"/>
  <c r="AL10" i="10"/>
  <c r="AM10" i="10"/>
  <c r="AN10" i="10"/>
  <c r="AO10" i="10"/>
  <c r="AP10" i="10"/>
  <c r="AQ10" i="10"/>
  <c r="AR10" i="10"/>
  <c r="AS10" i="10"/>
  <c r="AT10" i="10"/>
  <c r="AU10" i="10"/>
  <c r="AL11" i="10"/>
  <c r="AM11" i="10"/>
  <c r="AN11" i="10"/>
  <c r="AO11" i="10"/>
  <c r="AP11" i="10"/>
  <c r="AQ11" i="10"/>
  <c r="AR11" i="10"/>
  <c r="AS11" i="10"/>
  <c r="AT11" i="10"/>
  <c r="AU11" i="10"/>
  <c r="AL12" i="10"/>
  <c r="AM12" i="10"/>
  <c r="AN12" i="10"/>
  <c r="AO12" i="10"/>
  <c r="AP12" i="10"/>
  <c r="AQ12" i="10"/>
  <c r="AR12" i="10"/>
  <c r="AS12" i="10"/>
  <c r="AT12" i="10"/>
  <c r="AU12" i="10"/>
  <c r="AL13" i="10"/>
  <c r="AM13" i="10"/>
  <c r="AN13" i="10"/>
  <c r="AO13" i="10"/>
  <c r="AP13" i="10"/>
  <c r="AQ13" i="10"/>
  <c r="AR13" i="10"/>
  <c r="AS13" i="10"/>
  <c r="AT13" i="10"/>
  <c r="AU13" i="10"/>
  <c r="AL14" i="10"/>
  <c r="AM14" i="10"/>
  <c r="AN14" i="10"/>
  <c r="AO14" i="10"/>
  <c r="AP14" i="10"/>
  <c r="AQ14" i="10"/>
  <c r="AR14" i="10"/>
  <c r="AS14" i="10"/>
  <c r="AT14" i="10"/>
  <c r="AU14" i="10"/>
  <c r="AL15" i="10"/>
  <c r="AM15" i="10"/>
  <c r="AN15" i="10"/>
  <c r="AO15" i="10"/>
  <c r="AP15" i="10"/>
  <c r="AQ15" i="10"/>
  <c r="AR15" i="10"/>
  <c r="AS15" i="10"/>
  <c r="AT15" i="10"/>
  <c r="AU15" i="10"/>
  <c r="AL16" i="10"/>
  <c r="AM16" i="10"/>
  <c r="AN16" i="10"/>
  <c r="AO16" i="10"/>
  <c r="AP16" i="10"/>
  <c r="AQ16" i="10"/>
  <c r="AR16" i="10"/>
  <c r="AS16" i="10"/>
  <c r="AT16" i="10"/>
  <c r="AU16" i="10"/>
  <c r="AL17" i="10"/>
  <c r="AM17" i="10"/>
  <c r="AN17" i="10"/>
  <c r="AO17" i="10"/>
  <c r="AP17" i="10"/>
  <c r="AQ17" i="10"/>
  <c r="AR17" i="10"/>
  <c r="AS17" i="10"/>
  <c r="AT17" i="10"/>
  <c r="AU17" i="10"/>
  <c r="B47" i="24"/>
  <c r="C47" i="24"/>
  <c r="D47" i="24" l="1"/>
  <c r="B4" i="27"/>
  <c r="B10" i="27" s="1"/>
  <c r="B11" i="27" s="1"/>
  <c r="C4" i="27"/>
  <c r="C10" i="27"/>
  <c r="J39" i="24"/>
  <c r="I39" i="24"/>
  <c r="H39" i="24"/>
  <c r="G39" i="24"/>
  <c r="F38" i="24"/>
  <c r="E38" i="24"/>
  <c r="B9" i="26"/>
  <c r="C9" i="26" s="1"/>
  <c r="C10" i="26" s="1"/>
  <c r="B21" i="26" s="1"/>
  <c r="C21" i="26" l="1"/>
  <c r="D4" i="27"/>
  <c r="D21" i="26" l="1"/>
  <c r="B55" i="24"/>
  <c r="C11" i="27" l="1"/>
  <c r="D11" i="27" l="1"/>
  <c r="F32" i="24"/>
  <c r="G9" i="24"/>
  <c r="G11" i="24"/>
  <c r="G12" i="24"/>
  <c r="G13" i="24"/>
  <c r="G14" i="24"/>
  <c r="G15" i="24"/>
  <c r="G16" i="24"/>
  <c r="G17" i="24"/>
  <c r="G18" i="24"/>
  <c r="G5" i="24"/>
  <c r="B38" i="24"/>
  <c r="B27" i="24"/>
  <c r="B28" i="24" l="1"/>
  <c r="B48" i="24"/>
  <c r="E39" i="24"/>
  <c r="C48" i="24"/>
  <c r="F39" i="24"/>
  <c r="D48" i="24"/>
  <c r="E6" i="25"/>
  <c r="E7" i="25" s="1"/>
  <c r="E8" i="25" s="1"/>
  <c r="B12" i="21" s="1"/>
  <c r="C12" i="21" l="1"/>
  <c r="D12" i="21" s="1"/>
  <c r="E12" i="21" s="1"/>
  <c r="F12" i="21" s="1"/>
  <c r="G12" i="21" s="1"/>
  <c r="H12" i="21" s="1"/>
  <c r="I12" i="21" s="1"/>
  <c r="J12" i="21" s="1"/>
  <c r="K12" i="21" s="1"/>
  <c r="L12" i="21" s="1"/>
  <c r="M12" i="21" s="1"/>
  <c r="N12" i="21" s="1"/>
  <c r="O12" i="21" s="1"/>
  <c r="P12" i="21" s="1"/>
  <c r="Q12" i="21" s="1"/>
  <c r="R12" i="21" s="1"/>
  <c r="S12" i="21" s="1"/>
  <c r="T12" i="21" s="1"/>
  <c r="U12" i="21" s="1"/>
  <c r="V12" i="21" s="1"/>
  <c r="W12" i="21" s="1"/>
  <c r="X12" i="21" s="1"/>
  <c r="Y12" i="21" s="1"/>
  <c r="Z12" i="21" s="1"/>
  <c r="AA12" i="21" s="1"/>
  <c r="AB12" i="21" s="1"/>
  <c r="AC12" i="21" s="1"/>
  <c r="AD12" i="21" s="1"/>
  <c r="AE12" i="21" s="1"/>
  <c r="AF12" i="21" s="1"/>
  <c r="AG12" i="21" s="1"/>
  <c r="AH12" i="21" s="1"/>
  <c r="AI12" i="21" s="1"/>
  <c r="C38" i="24" l="1"/>
  <c r="D38" i="24"/>
  <c r="H27" i="24"/>
  <c r="H28" i="24" s="1"/>
  <c r="C27" i="24"/>
  <c r="D27" i="24"/>
  <c r="F27" i="24"/>
  <c r="F28" i="24" s="1"/>
  <c r="G27" i="24"/>
  <c r="G28" i="24" s="1"/>
  <c r="J27" i="24"/>
  <c r="J28" i="24" s="1"/>
  <c r="I26" i="24"/>
  <c r="I27" i="24" s="1"/>
  <c r="I28" i="24" s="1"/>
  <c r="D39" i="24" l="1"/>
  <c r="D28" i="24"/>
  <c r="B32" i="24" s="1"/>
  <c r="C32" i="24" l="1"/>
  <c r="B39" i="24"/>
  <c r="C39" i="24"/>
  <c r="D32" i="24" l="1"/>
  <c r="L3" i="22" l="1"/>
  <c r="L4" i="22"/>
  <c r="L2" i="22"/>
  <c r="B9" i="22" l="1"/>
  <c r="B6" i="22"/>
  <c r="G34" i="16" l="1"/>
  <c r="E34" i="16"/>
  <c r="E35" i="16" l="1"/>
  <c r="E36" i="16" s="1"/>
  <c r="F2" i="16"/>
  <c r="G2" i="16" s="1"/>
  <c r="AK17" i="10" l="1"/>
  <c r="AJ17" i="10"/>
  <c r="AI17" i="10"/>
  <c r="AH17" i="10"/>
  <c r="AG17" i="10"/>
  <c r="AF17" i="10"/>
  <c r="AE17" i="10"/>
  <c r="AD17" i="10"/>
  <c r="AC17" i="10"/>
  <c r="AB17" i="10"/>
  <c r="AA17" i="10"/>
  <c r="Z17" i="10"/>
  <c r="Y17" i="10"/>
  <c r="X17" i="10"/>
  <c r="W17" i="10"/>
  <c r="V17" i="10"/>
  <c r="U17" i="10"/>
  <c r="T17" i="10"/>
  <c r="S17" i="10"/>
  <c r="R17" i="10"/>
  <c r="Q17" i="10"/>
  <c r="P17" i="10"/>
  <c r="O17" i="10"/>
  <c r="N17" i="10"/>
  <c r="M17" i="10"/>
  <c r="L17" i="10"/>
  <c r="K17" i="10"/>
  <c r="J17" i="10"/>
  <c r="I17" i="10"/>
  <c r="H17" i="10"/>
  <c r="G17" i="10"/>
  <c r="F17" i="10"/>
  <c r="E17" i="10"/>
  <c r="D17" i="10"/>
  <c r="C17" i="10"/>
  <c r="AK14" i="19" l="1"/>
  <c r="AJ14" i="19"/>
  <c r="AI14" i="19"/>
  <c r="AH14" i="19"/>
  <c r="AG14" i="19"/>
  <c r="AF14" i="19"/>
  <c r="AE14" i="19"/>
  <c r="AD14" i="19"/>
  <c r="AC14" i="19"/>
  <c r="AB14" i="19"/>
  <c r="AA14" i="19"/>
  <c r="Z14" i="19"/>
  <c r="Y14" i="19"/>
  <c r="X14" i="19"/>
  <c r="W14" i="19"/>
  <c r="V14" i="19"/>
  <c r="U14" i="19"/>
  <c r="T14" i="19"/>
  <c r="S14" i="19"/>
  <c r="R14" i="19"/>
  <c r="Q14" i="19"/>
  <c r="C21" i="19"/>
  <c r="B21" i="19"/>
  <c r="C20" i="19"/>
  <c r="B20" i="19"/>
  <c r="B11" i="17"/>
  <c r="C10" i="18"/>
  <c r="B22" i="19" l="1"/>
  <c r="B7" i="19" s="1"/>
  <c r="B8" i="19" s="1"/>
  <c r="C22" i="19"/>
  <c r="B13" i="19" s="1"/>
  <c r="Q8" i="19"/>
  <c r="R8" i="19"/>
  <c r="S8" i="19"/>
  <c r="T8" i="19"/>
  <c r="U8" i="19"/>
  <c r="V8" i="19"/>
  <c r="W8" i="19"/>
  <c r="X8" i="19"/>
  <c r="Y8" i="19"/>
  <c r="Z8" i="19"/>
  <c r="AA8" i="19"/>
  <c r="AB8" i="19"/>
  <c r="AC8" i="19"/>
  <c r="AD8" i="19"/>
  <c r="AE8" i="19"/>
  <c r="AF8" i="19"/>
  <c r="AG8" i="19"/>
  <c r="AH8" i="19"/>
  <c r="AI8" i="19"/>
  <c r="AJ8" i="19"/>
  <c r="AK8" i="19"/>
  <c r="R18" i="18"/>
  <c r="S18" i="18"/>
  <c r="T18" i="18"/>
  <c r="U18" i="18"/>
  <c r="V18" i="18"/>
  <c r="W18" i="18"/>
  <c r="X18" i="18"/>
  <c r="Y18" i="18"/>
  <c r="Z18" i="18"/>
  <c r="AA18" i="18"/>
  <c r="AB18" i="18"/>
  <c r="AC18" i="18"/>
  <c r="AD18" i="18"/>
  <c r="AE18" i="18"/>
  <c r="AF18" i="18"/>
  <c r="AG18" i="18"/>
  <c r="AH18" i="18"/>
  <c r="AI18" i="18"/>
  <c r="AJ18" i="18"/>
  <c r="AK18" i="18"/>
  <c r="AL18" i="18"/>
  <c r="R20" i="17"/>
  <c r="S20" i="17"/>
  <c r="T20" i="17"/>
  <c r="U20" i="17"/>
  <c r="V20" i="17"/>
  <c r="W20" i="17"/>
  <c r="X20" i="17"/>
  <c r="Y20" i="17"/>
  <c r="Z20" i="17"/>
  <c r="AA20" i="17"/>
  <c r="AB20" i="17"/>
  <c r="AC20" i="17"/>
  <c r="AD20" i="17"/>
  <c r="AE20" i="17"/>
  <c r="AF20" i="17"/>
  <c r="AG20" i="17"/>
  <c r="AH20" i="17"/>
  <c r="AI20" i="17"/>
  <c r="AJ20" i="17"/>
  <c r="AK20" i="17"/>
  <c r="AL20" i="17"/>
  <c r="C6" i="18"/>
  <c r="B6" i="17"/>
  <c r="B19" i="17" s="1"/>
  <c r="C22" i="17" s="1"/>
  <c r="C7" i="19" l="1"/>
  <c r="C8" i="19" s="1"/>
  <c r="B8" i="17"/>
  <c r="B20" i="17"/>
  <c r="C11" i="18"/>
  <c r="B17" i="18" s="1"/>
  <c r="B18" i="18" s="1"/>
  <c r="I9" i="19"/>
  <c r="D7" i="19" s="1"/>
  <c r="C20" i="18" l="1"/>
  <c r="C17" i="18" s="1"/>
  <c r="C18" i="18" s="1"/>
  <c r="E7" i="19"/>
  <c r="D8" i="19"/>
  <c r="C19" i="17"/>
  <c r="D19" i="17" s="1"/>
  <c r="E19" i="17" s="1"/>
  <c r="F19" i="17" s="1"/>
  <c r="D2" i="10"/>
  <c r="E2" i="10"/>
  <c r="F2" i="10"/>
  <c r="G2" i="10"/>
  <c r="H2" i="10"/>
  <c r="I2" i="10"/>
  <c r="J2" i="10"/>
  <c r="K2" i="10"/>
  <c r="L2" i="10"/>
  <c r="M2" i="10"/>
  <c r="N2" i="10"/>
  <c r="O2" i="10"/>
  <c r="P2" i="10"/>
  <c r="Q2" i="10"/>
  <c r="R2" i="10"/>
  <c r="S2" i="10"/>
  <c r="T2" i="10"/>
  <c r="U2" i="10"/>
  <c r="V2" i="10"/>
  <c r="W2" i="10"/>
  <c r="X2" i="10"/>
  <c r="Y2" i="10"/>
  <c r="Z2" i="10"/>
  <c r="AA2" i="10"/>
  <c r="AB2" i="10"/>
  <c r="AC2" i="10"/>
  <c r="AD2" i="10"/>
  <c r="AE2" i="10"/>
  <c r="AF2" i="10"/>
  <c r="AG2" i="10"/>
  <c r="AH2" i="10"/>
  <c r="AI2" i="10"/>
  <c r="AJ2" i="10"/>
  <c r="AK2"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I5" i="10"/>
  <c r="AJ5" i="10"/>
  <c r="AK5"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I6" i="10"/>
  <c r="AJ6" i="10"/>
  <c r="AK6"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I7" i="10"/>
  <c r="AJ7" i="10"/>
  <c r="AK7"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I8" i="10"/>
  <c r="AJ8" i="10"/>
  <c r="AK8"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I9" i="10"/>
  <c r="AJ9" i="10"/>
  <c r="AK9"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I12" i="10"/>
  <c r="AJ12" i="10"/>
  <c r="AK12"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I13" i="10"/>
  <c r="AJ13" i="10"/>
  <c r="AK13"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I15" i="10"/>
  <c r="AJ15" i="10"/>
  <c r="AK15"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I16" i="10"/>
  <c r="AJ16" i="10"/>
  <c r="AK16" i="10"/>
  <c r="C5" i="10"/>
  <c r="C6" i="10"/>
  <c r="C7" i="10"/>
  <c r="C8" i="10"/>
  <c r="C9" i="10"/>
  <c r="C12" i="10"/>
  <c r="C13" i="10"/>
  <c r="C15" i="10"/>
  <c r="C16" i="10"/>
  <c r="C2" i="10"/>
  <c r="B23" i="16"/>
  <c r="B29" i="16" s="1"/>
  <c r="B24" i="16"/>
  <c r="B30" i="16" s="1"/>
  <c r="B22" i="16"/>
  <c r="B28" i="16" s="1"/>
  <c r="D17" i="18" l="1"/>
  <c r="E17" i="18" s="1"/>
  <c r="F7" i="19"/>
  <c r="E8" i="19"/>
  <c r="B14" i="19"/>
  <c r="C13" i="19"/>
  <c r="C20" i="17"/>
  <c r="B13" i="16"/>
  <c r="B34" i="16" s="1"/>
  <c r="B4" i="10" s="1"/>
  <c r="B14" i="16"/>
  <c r="B35" i="16" s="1"/>
  <c r="B12" i="16"/>
  <c r="D18" i="18" l="1"/>
  <c r="B33" i="16"/>
  <c r="B3" i="10" s="1"/>
  <c r="I3" i="10" s="1"/>
  <c r="G7" i="19"/>
  <c r="F8" i="19"/>
  <c r="D15" i="19"/>
  <c r="D13" i="19"/>
  <c r="C14" i="19"/>
  <c r="F17" i="18"/>
  <c r="E18" i="18"/>
  <c r="D20" i="17"/>
  <c r="B14" i="10"/>
  <c r="B11" i="10"/>
  <c r="B10" i="10"/>
  <c r="E3" i="10"/>
  <c r="M3" i="10"/>
  <c r="Y3" i="10"/>
  <c r="F3" i="10"/>
  <c r="V3" i="10"/>
  <c r="Z3" i="10"/>
  <c r="G3" i="10"/>
  <c r="K3" i="10"/>
  <c r="W3" i="10"/>
  <c r="D3" i="10"/>
  <c r="T3" i="10"/>
  <c r="X3" i="10"/>
  <c r="AJ3" i="10"/>
  <c r="C3" i="10"/>
  <c r="G4" i="10"/>
  <c r="K4" i="10"/>
  <c r="O4" i="10"/>
  <c r="S4" i="10"/>
  <c r="W4" i="10"/>
  <c r="AA4" i="10"/>
  <c r="AE4" i="10"/>
  <c r="AI4" i="10"/>
  <c r="D4" i="10"/>
  <c r="H4" i="10"/>
  <c r="L4" i="10"/>
  <c r="P4" i="10"/>
  <c r="T4" i="10"/>
  <c r="X4" i="10"/>
  <c r="AB4" i="10"/>
  <c r="AF4" i="10"/>
  <c r="AJ4" i="10"/>
  <c r="E4" i="10"/>
  <c r="I4" i="10"/>
  <c r="M4" i="10"/>
  <c r="Q4" i="10"/>
  <c r="U4" i="10"/>
  <c r="Y4" i="10"/>
  <c r="AC4" i="10"/>
  <c r="AG4" i="10"/>
  <c r="AK4" i="10"/>
  <c r="F4" i="10"/>
  <c r="J4" i="10"/>
  <c r="N4" i="10"/>
  <c r="R4" i="10"/>
  <c r="V4" i="10"/>
  <c r="Z4" i="10"/>
  <c r="AD4" i="10"/>
  <c r="AH4" i="10"/>
  <c r="C4" i="10"/>
  <c r="H3" i="10" l="1"/>
  <c r="J3" i="10"/>
  <c r="AA3" i="10"/>
  <c r="AC3" i="10"/>
  <c r="AF3" i="10"/>
  <c r="P3" i="10"/>
  <c r="AI3" i="10"/>
  <c r="S3" i="10"/>
  <c r="AH3" i="10"/>
  <c r="R3" i="10"/>
  <c r="AK3" i="10"/>
  <c r="U3" i="10"/>
  <c r="AB3" i="10"/>
  <c r="L3" i="10"/>
  <c r="AE3" i="10"/>
  <c r="O3" i="10"/>
  <c r="AD3" i="10"/>
  <c r="N3" i="10"/>
  <c r="AG3" i="10"/>
  <c r="Q3" i="10"/>
  <c r="H7" i="19"/>
  <c r="G8" i="19"/>
  <c r="E13" i="19"/>
  <c r="D14" i="19"/>
  <c r="G17" i="18"/>
  <c r="F18" i="18"/>
  <c r="E20" i="17"/>
  <c r="D14" i="10"/>
  <c r="H14" i="10"/>
  <c r="L14" i="10"/>
  <c r="P14" i="10"/>
  <c r="T14" i="10"/>
  <c r="X14" i="10"/>
  <c r="AB14" i="10"/>
  <c r="AF14" i="10"/>
  <c r="AJ14" i="10"/>
  <c r="F14" i="10"/>
  <c r="J14" i="10"/>
  <c r="N14" i="10"/>
  <c r="R14" i="10"/>
  <c r="V14" i="10"/>
  <c r="Z14" i="10"/>
  <c r="AD14" i="10"/>
  <c r="AH14" i="10"/>
  <c r="E14" i="10"/>
  <c r="M14" i="10"/>
  <c r="U14" i="10"/>
  <c r="AC14" i="10"/>
  <c r="AK14" i="10"/>
  <c r="C14" i="10"/>
  <c r="G14" i="10"/>
  <c r="O14" i="10"/>
  <c r="AE14" i="10"/>
  <c r="W14" i="10"/>
  <c r="I14" i="10"/>
  <c r="Q14" i="10"/>
  <c r="Y14" i="10"/>
  <c r="AG14" i="10"/>
  <c r="K14" i="10"/>
  <c r="S14" i="10"/>
  <c r="AA14" i="10"/>
  <c r="AI14" i="10"/>
  <c r="G10" i="10"/>
  <c r="K10" i="10"/>
  <c r="O10" i="10"/>
  <c r="S10" i="10"/>
  <c r="W10" i="10"/>
  <c r="AA10" i="10"/>
  <c r="AE10" i="10"/>
  <c r="AI10" i="10"/>
  <c r="D10" i="10"/>
  <c r="H10" i="10"/>
  <c r="L10" i="10"/>
  <c r="P10" i="10"/>
  <c r="T10" i="10"/>
  <c r="X10" i="10"/>
  <c r="AB10" i="10"/>
  <c r="AF10" i="10"/>
  <c r="AJ10" i="10"/>
  <c r="F10" i="10"/>
  <c r="J10" i="10"/>
  <c r="N10" i="10"/>
  <c r="R10" i="10"/>
  <c r="V10" i="10"/>
  <c r="Z10" i="10"/>
  <c r="AD10" i="10"/>
  <c r="AH10" i="10"/>
  <c r="U10" i="10"/>
  <c r="I10" i="10"/>
  <c r="Y10" i="10"/>
  <c r="C10" i="10"/>
  <c r="AC10" i="10"/>
  <c r="M10" i="10"/>
  <c r="Q10" i="10"/>
  <c r="AG10" i="10"/>
  <c r="E10" i="10"/>
  <c r="AK10" i="10"/>
  <c r="E11" i="10"/>
  <c r="F11" i="10"/>
  <c r="J11" i="10"/>
  <c r="N11" i="10"/>
  <c r="R11" i="10"/>
  <c r="V11" i="10"/>
  <c r="Z11" i="10"/>
  <c r="AD11" i="10"/>
  <c r="AH11" i="10"/>
  <c r="D11" i="10"/>
  <c r="H11" i="10"/>
  <c r="L11" i="10"/>
  <c r="P11" i="10"/>
  <c r="T11" i="10"/>
  <c r="X11" i="10"/>
  <c r="AB11" i="10"/>
  <c r="AF11" i="10"/>
  <c r="AJ11" i="10"/>
  <c r="G11" i="10"/>
  <c r="O11" i="10"/>
  <c r="W11" i="10"/>
  <c r="AE11" i="10"/>
  <c r="I11" i="10"/>
  <c r="Q11" i="10"/>
  <c r="Y11" i="10"/>
  <c r="AG11" i="10"/>
  <c r="C11" i="10"/>
  <c r="K11" i="10"/>
  <c r="S11" i="10"/>
  <c r="AA11" i="10"/>
  <c r="AI11" i="10"/>
  <c r="M11" i="10"/>
  <c r="U11" i="10"/>
  <c r="AC11" i="10"/>
  <c r="AK11" i="10"/>
  <c r="I7" i="19" l="1"/>
  <c r="H8" i="19"/>
  <c r="F13" i="19"/>
  <c r="E14" i="19"/>
  <c r="H17" i="18"/>
  <c r="G18" i="18"/>
  <c r="G19" i="17"/>
  <c r="F20" i="17"/>
  <c r="J7" i="19" l="1"/>
  <c r="I8" i="19"/>
  <c r="F14" i="19"/>
  <c r="G13" i="19"/>
  <c r="I17" i="18"/>
  <c r="H18" i="18"/>
  <c r="H19" i="17"/>
  <c r="G20" i="17"/>
  <c r="K7" i="19" l="1"/>
  <c r="J8" i="19"/>
  <c r="H13" i="19"/>
  <c r="G14" i="19"/>
  <c r="J17" i="18"/>
  <c r="I18" i="18"/>
  <c r="I19" i="17"/>
  <c r="H20" i="17"/>
  <c r="L7" i="19" l="1"/>
  <c r="K8" i="19"/>
  <c r="I13" i="19"/>
  <c r="H14" i="19"/>
  <c r="K17" i="18"/>
  <c r="J18" i="18"/>
  <c r="J19" i="17"/>
  <c r="I20" i="17"/>
  <c r="M7" i="19" l="1"/>
  <c r="L8" i="19"/>
  <c r="J13" i="19"/>
  <c r="I14" i="19"/>
  <c r="L17" i="18"/>
  <c r="K18" i="18"/>
  <c r="K19" i="17"/>
  <c r="J20" i="17"/>
  <c r="N7" i="19" l="1"/>
  <c r="M8" i="19"/>
  <c r="J14" i="19"/>
  <c r="K13" i="19"/>
  <c r="M17" i="18"/>
  <c r="L18" i="18"/>
  <c r="L19" i="17"/>
  <c r="K20" i="17"/>
  <c r="O7" i="19" l="1"/>
  <c r="N8" i="19"/>
  <c r="L13" i="19"/>
  <c r="K14" i="19"/>
  <c r="N17" i="18"/>
  <c r="M18" i="18"/>
  <c r="M19" i="17"/>
  <c r="L20" i="17"/>
  <c r="P7" i="19" l="1"/>
  <c r="P8" i="19" s="1"/>
  <c r="O8" i="19"/>
  <c r="M13" i="19"/>
  <c r="L14" i="19"/>
  <c r="O17" i="18"/>
  <c r="N18" i="18"/>
  <c r="N19" i="17"/>
  <c r="M20" i="17"/>
  <c r="N13" i="19" l="1"/>
  <c r="M14" i="19"/>
  <c r="P17" i="18"/>
  <c r="O18" i="18"/>
  <c r="O19" i="17"/>
  <c r="N20" i="17"/>
  <c r="N14" i="19" l="1"/>
  <c r="O13" i="19"/>
  <c r="Q17" i="18"/>
  <c r="Q18" i="18" s="1"/>
  <c r="P18" i="18"/>
  <c r="P19" i="17"/>
  <c r="O20" i="17"/>
  <c r="P13" i="19" l="1"/>
  <c r="P14" i="19" s="1"/>
  <c r="O14" i="19"/>
  <c r="Q19" i="17"/>
  <c r="Q20" i="17" s="1"/>
  <c r="P20"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Wenyi Xi</author>
  </authors>
  <commentList>
    <comment ref="B2" authorId="0" shapeId="0" xr:uid="{00000000-0006-0000-0600-000001000000}">
      <text>
        <r>
          <rPr>
            <b/>
            <sz val="9"/>
            <color rgb="FF000000"/>
            <rFont val="Tahoma"/>
            <family val="2"/>
          </rPr>
          <t>Wenyi Xi:</t>
        </r>
        <r>
          <rPr>
            <sz val="9"/>
            <color rgb="FF000000"/>
            <rFont val="Tahoma"/>
            <family val="2"/>
          </rPr>
          <t xml:space="preserve">
</t>
        </r>
        <r>
          <rPr>
            <sz val="9"/>
            <color rgb="FF000000"/>
            <rFont val="Tahoma"/>
            <family val="2"/>
          </rPr>
          <t xml:space="preserve">only convered by pronvical
</t>
        </r>
      </text>
    </comment>
  </commentList>
</comments>
</file>

<file path=xl/sharedStrings.xml><?xml version="1.0" encoding="utf-8"?>
<sst xmlns="http://schemas.openxmlformats.org/spreadsheetml/2006/main" count="392" uniqueCount="273">
  <si>
    <t>BS BAU Subsidy for Thermal Fuels per Energy Unit Produced</t>
  </si>
  <si>
    <t>BS BAU Subsidy per Unit Electricity Output</t>
  </si>
  <si>
    <t>Source:</t>
  </si>
  <si>
    <t>Subsidies for Electricity Production from Renewables</t>
  </si>
  <si>
    <t>http://www.sdpc.gov.cn/zcfb/zcfbtz/201308/W020130830538568620813.pdf</t>
  </si>
  <si>
    <t>http://www.gov.cn/ztzl/2006-01/20/content_165910.htm</t>
  </si>
  <si>
    <t>Total Fossil Fuel Subsidies Paid in 2013</t>
  </si>
  <si>
    <t>International Monetary Fund, Fiscal Affairs Department</t>
  </si>
  <si>
    <t>How Large are Global Energy Subsidies?</t>
  </si>
  <si>
    <t>Detailed country-level data Excel files</t>
  </si>
  <si>
    <t>Total fossil fuel consuption by fuel in 2013</t>
  </si>
  <si>
    <t>China Statistics Press</t>
  </si>
  <si>
    <t>China Energy Statistical Yearbook 2016</t>
  </si>
  <si>
    <t>Fossil fuel subsidy breakdown by fuel type in 2012</t>
  </si>
  <si>
    <t>International Energy Agency</t>
  </si>
  <si>
    <t>World Energy Outlook 2013: Energy Subsidies</t>
  </si>
  <si>
    <t>http://www.iea.org/subsidy/index.html</t>
  </si>
  <si>
    <t>Via online data viewer</t>
  </si>
  <si>
    <t>Notes</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</si>
  <si>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</si>
  <si>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</si>
  <si>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</si>
  <si>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</si>
  <si>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Note on Inclusion / Non-Inclusion of Subsidy Types for China</t>
  </si>
  <si>
    <t>In China, there is no power generation subsidy for nuclear, hydro, or fossil fuel generation.</t>
  </si>
  <si>
    <t>Although there are subsidies for wind, solar, biomass, and geothermal, using them to adjust</t>
  </si>
  <si>
    <t>the prices causes our BAU case capacity results to be quite different from the results of NCSC's model's</t>
  </si>
  <si>
    <t>BAU case (because they don't use electricity subsidies).  NCSC has requested we not use</t>
  </si>
  <si>
    <t>these subsidies in the EPS, so that it is possible to more closely match their BAU scenario.</t>
  </si>
  <si>
    <t>However, we leave the tabs for calculating these subsidies in this spreadsheet, so they are</t>
  </si>
  <si>
    <t>easy to add to the CSV output tabs in the future.</t>
  </si>
  <si>
    <t>Fossil fuel subsidies are per unit fuel (not confined to the electric power sector) and are included</t>
  </si>
  <si>
    <t>in the EPS.</t>
  </si>
  <si>
    <t>source</t>
    <phoneticPr fontId="2" type="noConversion"/>
  </si>
  <si>
    <t>http://www.sdpc.gov.cn/gzdt/201501/t20150109_659879.html</t>
    <phoneticPr fontId="13" type="noConversion"/>
  </si>
  <si>
    <t>一类</t>
    <phoneticPr fontId="2" type="noConversion"/>
  </si>
  <si>
    <t>元/度</t>
    <phoneticPr fontId="2" type="noConversion"/>
  </si>
  <si>
    <t>http://www.chinairn.com/news/20130910/101802663.html</t>
  </si>
  <si>
    <t>内蒙古自治区除赤峰市、通辽市、兴安盟、呼伦贝尔市以外其</t>
  </si>
  <si>
    <t>二类</t>
    <phoneticPr fontId="2" type="noConversion"/>
  </si>
  <si>
    <t>他地区；新疆维吾尔自治区乌鲁木齐市、伊犁哈萨克族自治州</t>
  </si>
  <si>
    <t>三类</t>
    <phoneticPr fontId="2" type="noConversion"/>
  </si>
  <si>
    <t>、克拉玛依市、石河子市</t>
  </si>
  <si>
    <t>四类</t>
    <phoneticPr fontId="2" type="noConversion"/>
  </si>
  <si>
    <t>平均补贴</t>
    <phoneticPr fontId="2" type="noConversion"/>
  </si>
  <si>
    <t>河北省张家口市、承德市；内蒙古自治区赤峰市、通辽市、兴</t>
  </si>
  <si>
    <t>发电量</t>
    <phoneticPr fontId="2" type="noConversion"/>
  </si>
  <si>
    <t>亿度</t>
    <phoneticPr fontId="2" type="noConversion"/>
  </si>
  <si>
    <t>安盟、呼伦贝尔市；甘肃省嘉峪关市、酒泉市</t>
  </si>
  <si>
    <t>亿元</t>
    <phoneticPr fontId="2" type="noConversion"/>
  </si>
  <si>
    <t>吉林省白城市、松原市；黑龙江省鸡西市、双鸭山市、七台河</t>
  </si>
  <si>
    <t>$/MWh</t>
  </si>
  <si>
    <t>市、绥化市、伊春市，大兴安岭地区；甘肃省除嘉峪关市、酒</t>
  </si>
  <si>
    <t>RMB/kWh</t>
  </si>
  <si>
    <t>泉市以外其他地区；新疆维吾尔自治区除乌鲁木齐市、伊犁哈</t>
  </si>
  <si>
    <t>萨克族自治州、克拉玛依市、石河子市以外其他地区；宁夏回</t>
  </si>
  <si>
    <t>族自治区</t>
  </si>
  <si>
    <t>除Ⅰ类、Ⅱ类、Ⅲ类资源区以外的其他地区</t>
  </si>
  <si>
    <t>Wind</t>
  </si>
  <si>
    <t>yuan/kwh</t>
    <phoneticPr fontId="2" type="noConversion"/>
  </si>
  <si>
    <t>No more subsidy after 2021</t>
    <phoneticPr fontId="13" type="noConversion"/>
  </si>
  <si>
    <t>https://baijiahao.baidu.com/s?id=1634482543833385999&amp;wfr=spider&amp;for=pc</t>
  </si>
  <si>
    <t>Region 1</t>
  </si>
  <si>
    <t>宁夏，青海海西，甘肃嘉峪关、武威、张掖、酒泉、敦煌、金</t>
  </si>
  <si>
    <t>Region 2</t>
  </si>
  <si>
    <t>昌，新疆哈密、塔城、阿勒泰、克拉玛依，内蒙古除赤峰、通</t>
  </si>
  <si>
    <t>Region 3</t>
  </si>
  <si>
    <t>辽、兴安盟、呼伦贝尔以外地区</t>
  </si>
  <si>
    <t>北京，天津，黑龙江，吉林，辽宁，四川，云南，内蒙古赤峰</t>
  </si>
  <si>
    <t>、通辽、兴安盟、呼伦贝尔，河北承德、张家口、唐山、秦皇</t>
  </si>
  <si>
    <t>岛，山西大同、朔州、忻州，陕西榆林、延安，青海、甘肃、</t>
  </si>
  <si>
    <t>LCOE</t>
  </si>
  <si>
    <t>新疆除Ⅰ类外其他地区</t>
  </si>
  <si>
    <t>Subsidy</t>
  </si>
  <si>
    <t>除Ⅰ类、Ⅱ类资源区以外的其他地区</t>
  </si>
  <si>
    <t>Solar</t>
  </si>
  <si>
    <t>Assume no more subsidy after 2030</t>
    <phoneticPr fontId="13" type="noConversion"/>
  </si>
  <si>
    <t>国家发展改革委关于印发《可再生能源发电价格和费用分摊管理试行办法》的通知</t>
    <phoneticPr fontId="2" type="noConversion"/>
  </si>
  <si>
    <t>Biomass and Geothermal</t>
  </si>
  <si>
    <t>Geothermal (not used)</t>
  </si>
  <si>
    <t>We assume geothermal to have the same subsidy schedule as biomass.</t>
  </si>
  <si>
    <t>Biomass</t>
  </si>
  <si>
    <t>Geothermal</t>
  </si>
  <si>
    <t>LCOE ($/MWh)</t>
  </si>
  <si>
    <t>LCOE (RMB/kWh)</t>
  </si>
  <si>
    <t>FiT</t>
  </si>
  <si>
    <t>Though we calculate a separte subsidy for geothermal, the subsidy is actually unknown and assumed to be the same amount as the biomass subsidy.</t>
  </si>
  <si>
    <t>Subsidy for Fossil Fuels in 2013</t>
  </si>
  <si>
    <t>Total</t>
  </si>
  <si>
    <t>2013 USD</t>
  </si>
  <si>
    <t>12是油，7是电</t>
    <phoneticPr fontId="13" type="noConversion"/>
  </si>
  <si>
    <t>We allocate according to the way fossil fuel subsidies were divided in 2012 according to the IEA:</t>
  </si>
  <si>
    <t>2012 Subsidy for Fossil Fuels by Fuel Type:</t>
  </si>
  <si>
    <t>coal</t>
  </si>
  <si>
    <t>2012 USD</t>
  </si>
  <si>
    <t>natural gas</t>
  </si>
  <si>
    <t>oil</t>
  </si>
  <si>
    <t>Consumption of Fossil Fuels in 2013 (from China Energy Statistical Yearbook 2016)</t>
  </si>
  <si>
    <t>total</t>
  </si>
  <si>
    <t>10^4 tce</t>
  </si>
  <si>
    <t>percentage of total</t>
  </si>
  <si>
    <t>Conversion Factor</t>
  </si>
  <si>
    <t>BTU / tce</t>
  </si>
  <si>
    <t>BTU</t>
  </si>
  <si>
    <t>Subsidy Rate in 2013</t>
  </si>
  <si>
    <t>$ / BTU</t>
  </si>
  <si>
    <t>万tce</t>
    <phoneticPr fontId="13" type="noConversion"/>
  </si>
  <si>
    <t>yuan</t>
    <phoneticPr fontId="13" type="noConversion"/>
  </si>
  <si>
    <t>yuan/万tce</t>
    <phoneticPr fontId="13" type="noConversion"/>
  </si>
  <si>
    <t>$/yuan</t>
  </si>
  <si>
    <t>type</t>
    <phoneticPr fontId="16" type="noConversion"/>
  </si>
  <si>
    <t>data</t>
    <phoneticPr fontId="16" type="noConversion"/>
  </si>
  <si>
    <t>unit</t>
    <phoneticPr fontId="16" type="noConversion"/>
  </si>
  <si>
    <t>source</t>
    <phoneticPr fontId="16" type="noConversion"/>
  </si>
  <si>
    <t>Electricity subsidy（yuan/Mwh)</t>
    <phoneticPr fontId="16" type="noConversion"/>
  </si>
  <si>
    <t>natural gas</t>
    <phoneticPr fontId="16" type="noConversion"/>
  </si>
  <si>
    <t>yuan/kwh</t>
    <phoneticPr fontId="16" type="noConversion"/>
  </si>
  <si>
    <t>https://www.xianjichina.com/news/details_93212.html</t>
  </si>
  <si>
    <t>wind</t>
    <phoneticPr fontId="16" type="noConversion"/>
  </si>
  <si>
    <t>http://news.bjx.com.cn/html/20190416/974996.shtml</t>
  </si>
  <si>
    <t>solar-residential</t>
    <phoneticPr fontId="13" type="noConversion"/>
  </si>
  <si>
    <t>http://guangfu.bjx.com.cn/news/20180918/928845.shtml</t>
    <phoneticPr fontId="13" type="noConversion"/>
  </si>
  <si>
    <t>solar</t>
    <phoneticPr fontId="16" type="noConversion"/>
  </si>
  <si>
    <t xml:space="preserve">solar-commercial </t>
    <phoneticPr fontId="13" type="noConversion"/>
  </si>
  <si>
    <t>http://guangfu.bjx.com.cn/news/20180918/928846.shtml</t>
  </si>
  <si>
    <t>municipal solid waste 1</t>
    <phoneticPr fontId="16" type="noConversion"/>
  </si>
  <si>
    <t>yuan/ton</t>
    <phoneticPr fontId="16" type="noConversion"/>
  </si>
  <si>
    <t>http://news.bjx.com.cn/html/20151231/697146.shtml</t>
    <phoneticPr fontId="13" type="noConversion"/>
  </si>
  <si>
    <t>municipal solid waste 2</t>
    <phoneticPr fontId="16" type="noConversion"/>
  </si>
  <si>
    <t>http://news.bjx.com.cn/html/20151231/697147.shtml</t>
  </si>
  <si>
    <t xml:space="preserve">municipal solid waste </t>
    <phoneticPr fontId="16" type="noConversion"/>
  </si>
  <si>
    <t>https://www.sohu.com/a/306834225_788193</t>
  </si>
  <si>
    <t>municipal solid waste 电价</t>
    <phoneticPr fontId="16" type="noConversion"/>
  </si>
  <si>
    <t>yuan/kwh</t>
    <phoneticPr fontId="13" type="noConversion"/>
  </si>
  <si>
    <t>http://news.bjx.com.cn/html/20190603/983959.shtml</t>
  </si>
  <si>
    <t>http://www.nea.gov.cn/2014-09/29/c_133682178.htm</t>
  </si>
  <si>
    <t>subsidy</t>
    <phoneticPr fontId="13" type="noConversion"/>
  </si>
  <si>
    <t>yuan/kwh</t>
  </si>
  <si>
    <t>https://wenku.baidu.com/view/bb454668b7360b4c2f3f642d.html</t>
  </si>
  <si>
    <t>Electricity subsidy（$/Mwh)</t>
    <phoneticPr fontId="16" type="noConversion"/>
  </si>
  <si>
    <t>biomass/municial solid waste</t>
  </si>
  <si>
    <t>Year</t>
  </si>
  <si>
    <t>electricity</t>
  </si>
  <si>
    <t>hard coal ($/BTU)</t>
    <phoneticPr fontId="13" type="noConversion"/>
  </si>
  <si>
    <t>natural gas ($/BTU)</t>
  </si>
  <si>
    <t>nuclear</t>
  </si>
  <si>
    <t>hydro</t>
  </si>
  <si>
    <t>wind</t>
  </si>
  <si>
    <t>solar</t>
  </si>
  <si>
    <t>biomass ($/BTU)</t>
  </si>
  <si>
    <t>petroleum gasoline ($/BTU)</t>
  </si>
  <si>
    <t>petroleum diesel ($/BTU)</t>
  </si>
  <si>
    <t>biofuel gasoline</t>
  </si>
  <si>
    <t>biofuel diesel</t>
  </si>
  <si>
    <t>jet fuel ($/BTU)</t>
  </si>
  <si>
    <t>heat</t>
  </si>
  <si>
    <t>geothermal</t>
  </si>
  <si>
    <t>lignite</t>
  </si>
  <si>
    <t>crude oil</t>
  </si>
  <si>
    <t>heavy fuel oil</t>
  </si>
  <si>
    <t>LPG propane or butane</t>
  </si>
  <si>
    <t>municipal solid waste</t>
  </si>
  <si>
    <t>hydrogen</t>
  </si>
  <si>
    <t>hard coal ($/MWh)</t>
  </si>
  <si>
    <t>nuclear ($/MWh)</t>
  </si>
  <si>
    <t>hydro ($/MWh)</t>
  </si>
  <si>
    <t>onshore wind ($/MWh)</t>
  </si>
  <si>
    <t>solar PV ($/MWh)</t>
  </si>
  <si>
    <t>geothermal ($/MWh)</t>
  </si>
  <si>
    <t>petroleum ($/MWh)</t>
  </si>
  <si>
    <t>natural gas peaker ($/MWh)</t>
  </si>
  <si>
    <t>lignite ($/MWh)</t>
  </si>
  <si>
    <t>offshore wind ($/MWh)</t>
  </si>
  <si>
    <t>crude oil ($/MWh)</t>
  </si>
  <si>
    <t>heavy or residual fuel oil ($/MWh)</t>
  </si>
  <si>
    <t>hard coal ($/MW)</t>
  </si>
  <si>
    <t>natural gas nonpeaker ($/MW)</t>
  </si>
  <si>
    <t>nuclear ($/MW)</t>
  </si>
  <si>
    <t>hydro ($/MW)</t>
  </si>
  <si>
    <t>onshore wind ($/MW)</t>
  </si>
  <si>
    <t>solar PV ($/MW)</t>
  </si>
  <si>
    <t>solar thermal ($/MW)</t>
  </si>
  <si>
    <t>biomass ($/MW)</t>
  </si>
  <si>
    <t>geothermal ($/MW)</t>
  </si>
  <si>
    <t>petroleum ($/MW)</t>
  </si>
  <si>
    <t>natural gas peaker ($/MW)</t>
  </si>
  <si>
    <t>lignite ($/MW)</t>
  </si>
  <si>
    <t>offshore wind ($/MW)</t>
  </si>
  <si>
    <t>municipal solid waste ($/MWh)</t>
  </si>
  <si>
    <t>BS BAU Subsidy per Unit Electricity Capacity Built</t>
  </si>
  <si>
    <t>Coal</t>
  </si>
  <si>
    <t>Hydro</t>
  </si>
  <si>
    <t>Nuclear</t>
  </si>
  <si>
    <t>We adjust 2018 dollars to 2012 dollars using the following conversion factor:</t>
  </si>
  <si>
    <t>Offshore Wind</t>
  </si>
  <si>
    <t>Price</t>
  </si>
  <si>
    <t>Source:  https://finance.huanqiu.com/article/3wVEyZ7gvub</t>
  </si>
  <si>
    <t>Total National Average (RMB/MWh) 2018 Price</t>
  </si>
  <si>
    <t>Solar Thermal</t>
  </si>
  <si>
    <t>Onshore Wind</t>
  </si>
  <si>
    <t>Time (Year)</t>
  </si>
  <si>
    <t>BAU Cost per Unit New Elec Output Before Subsidies[hard coal es] : MostRecentRun</t>
  </si>
  <si>
    <t>BAU Cost per Unit New Elec Output Before Subsidies[natural gas nonpeaker es] : MostRecentRun</t>
  </si>
  <si>
    <t>BAU Cost per Unit New Elec Output Before Subsidies[nuclear es] : MostRecentRun</t>
  </si>
  <si>
    <t>BAU Cost per Unit New Elec Output Before Subsidies[hydro es] : MostRecentRun</t>
  </si>
  <si>
    <t>BAU Cost per Unit New Elec Output Before Subsidies[onshore wind es] : MostRecentRun</t>
  </si>
  <si>
    <t>BAU Cost per Unit New Elec Output Before Subsidies[solar PV es] : MostRecentRun</t>
  </si>
  <si>
    <t>BAU Cost per Unit New Elec Output Before Subsidies[solar thermal es] : MostRecentRun</t>
  </si>
  <si>
    <t>BAU Cost per Unit New Elec Output Before Subsidies[biomass es] : MostRecentRun</t>
  </si>
  <si>
    <t>BAU Cost per Unit New Elec Output Before Subsidies[geothermal es] : MostRecentRun</t>
  </si>
  <si>
    <t>BAU Cost per Unit New Elec Output Before Subsidies[petroleum es] : MostRecentRun</t>
  </si>
  <si>
    <t>BAU Cost per Unit New Elec Output Before Subsidies[natural gas peaker es] : MostRecentRun</t>
  </si>
  <si>
    <t>BAU Cost per Unit New Elec Output Before Subsidies[lignite es] : MostRecentRun</t>
  </si>
  <si>
    <t>BAU Cost per Unit New Elec Output Before Subsidies[offshore wind es] : MostRecentRun</t>
  </si>
  <si>
    <t>BAU Cost per Unit New Elec Output Before Subsidies[crude oil es] : MostRecentRun</t>
  </si>
  <si>
    <t>BAU Cost per Unit New Elec Output Before Subsidies[heavy or residual fuel oil es] : MostRecentRun</t>
  </si>
  <si>
    <t>BAU Cost per Unit New Elec Output Before Subsidies[municipal solid waste es] : MostRecentRun</t>
  </si>
  <si>
    <t>Unsubsidize Cost of Power Output ($/MWh) in 2012 price (2019 value);  Source: Earlier EPS model run when subsidy is set as zero</t>
  </si>
  <si>
    <t>Natural Gas peaker</t>
  </si>
  <si>
    <t>Natural Gas non-peaker</t>
  </si>
  <si>
    <t>in 2012 price</t>
  </si>
  <si>
    <t>Price price of current year</t>
  </si>
  <si>
    <t xml:space="preserve">In 2012 Price  (USD/MWh) </t>
  </si>
  <si>
    <t xml:space="preserve">See tab for details. </t>
  </si>
  <si>
    <t>Subsidy is calculated by subtracting the annualized cost of electricity output before subsidy from the average national price for that type of electricity in 2019. Most subsidies will be phased down based on latested projection of policy development.</t>
  </si>
  <si>
    <t>Subsidy comparied to Cost ($/MWh) 2012Price minus coal benchmark</t>
  </si>
  <si>
    <t>RMB/USD Exchange Rate 2018</t>
  </si>
  <si>
    <t>"浙江天然气发电，9F、6F机组电量电价为每千瓦时0.507元，9E、6B机组为每千瓦时0.567元;容量电价分成470、360和680元每千瓦每年三档。"</t>
  </si>
  <si>
    <t>It seems on natural gas has a capacity price. There are various pricing policies across the country. Use Zhejiang Province as a proxy and make adjustment based on the average national price for natural gas and Zhejiang's natural gas power price. https://zhuanlan.zhihu.com/p/42577257</t>
  </si>
  <si>
    <t>Zhejiang Natural Gas Power Price (RMB/MWh)</t>
  </si>
  <si>
    <t>National Natural Gas Power Price Average (RMB/MWh)</t>
  </si>
  <si>
    <t>Assume natural gas peaker operating hours</t>
  </si>
  <si>
    <t>Zhejiang natural gas peaker capacity price (RMB/MWh)</t>
  </si>
  <si>
    <t>Calculated national  natural gas peaker capacity price (RMB/MWh)</t>
  </si>
  <si>
    <t>Calculated national  natural gas peaker capacity price ($/MWh in 2012 price)</t>
  </si>
  <si>
    <t>Subsidy (Difference of grid paid price and coal benchmark price, if the grid paid price is higher)</t>
  </si>
  <si>
    <t>Source: for all power except for MSW: NEA. 2019. National Power Price Regulation Report for 2018. 能源局.2019.2018年度全国电力价格情况监管通报 http://shoudian.bjx.com.cn/html/20191105/1018668.shtml</t>
  </si>
  <si>
    <t>Source for MSW: 中国产业信息网. 2019. 中国垃圾焚烧发电行业发展：多重政策支持发展及大气环保标准分析. https://www.cenews.com.cn/pollution_ctr/201906/t20190613_900356.html</t>
  </si>
  <si>
    <t>Assume solar subsidy will end on 2023. This assumption is sourced from https://www.ne21.com/news/show-115169.html</t>
  </si>
  <si>
    <t xml:space="preserve">Subsidy needed </t>
  </si>
  <si>
    <t>Onshore wind</t>
  </si>
  <si>
    <t>NEA. 2019. 2019年光伏发电项目国家补贴竞价工作总体情况.http://www.nea.gov.cn/2019-07/11/c_138217905.htm</t>
  </si>
  <si>
    <t>Resources Region 1</t>
  </si>
  <si>
    <t>Resources Region 2</t>
  </si>
  <si>
    <t>Resources Region 3</t>
  </si>
  <si>
    <t>RMB/KWh</t>
  </si>
  <si>
    <t>RMB - USD Exchange Rate 2019</t>
  </si>
  <si>
    <t>2019 inflation rate ($)</t>
  </si>
  <si>
    <t>Average 2019 Price</t>
  </si>
  <si>
    <t>Average 2012 Price</t>
  </si>
  <si>
    <t>2019 Rate</t>
  </si>
  <si>
    <t>Resources Region 4</t>
  </si>
  <si>
    <t>Difference from coal price (RMB/MWh 2019 price)</t>
  </si>
  <si>
    <t>Subsidy ($/MWh 2012)</t>
  </si>
  <si>
    <t>Exclude resources region 1 from subsidy average as it is already lower than coal price</t>
  </si>
  <si>
    <t>Onshore wind subsidy will end on 2022;https://baijiahao.baidu.com/s?id=1634482543833385999&amp;wfr=spider&amp;for=pc</t>
  </si>
  <si>
    <t xml:space="preserve">Additional subsidy for MSW </t>
  </si>
  <si>
    <t>For every ton of waste processed, MSW plants will getprocessing fee. Since we do not have a negative fuel costs in EPS, we convert the waste processing fee as subsidy as below:</t>
  </si>
  <si>
    <t xml:space="preserve">Each ton of waste will produce 280 KWh power; each ton waste have around 66 RMB processing fee. </t>
  </si>
  <si>
    <t>Additional subsidy $/MWh</t>
  </si>
  <si>
    <t>2020 subsidy is assumed to declined by 11.5% based on the percentage of gudiance price change.</t>
  </si>
  <si>
    <t>Source: NDRC. 2020. 关于2020年光伏发电上网电价政策有关事项的通知</t>
  </si>
  <si>
    <t>Solar PV sub rate $/MWh in 2012 price</t>
  </si>
  <si>
    <t>Assume solar subsidy will end on 2023. This assumption is sourced from https://www.ne21.com/news/show-115169.html; Assume 2021 and 2022 will decrease by the same percentage as 2020.</t>
  </si>
  <si>
    <t>Although national subsidy for off shore wind will end of 2020, subsidy still exist at the provicne level. We assume the subsidy will be  0.2 RMB/KWh in 2022 and reduce 0.05 per year until 2025. Assumption is sourced from https://www.reuters.com/article/中国经济：海上风电国家补贴2022年或取消，鼓励地方政府自行补贴-报载-idCNL4S29C047</t>
  </si>
  <si>
    <t>Source: 上海证券报. 2019. 2021年我国陆上风电将全面进入平价时代.http://www.xinhuanet.com/2019-05/25/c_1124539698.htm</t>
  </si>
  <si>
    <t>Average Grid purchase guidance price</t>
  </si>
  <si>
    <t>2020 decrease compare to 2019</t>
  </si>
  <si>
    <t xml:space="preserve">Assume  subsidy will end of the end of 2021. Source: http://www.cspplaza.com/article-15533-1.html; , </t>
  </si>
  <si>
    <t>1/1.3</t>
  </si>
  <si>
    <t>natural gas nonpeaker ($/MWh)</t>
  </si>
  <si>
    <t>solar thermal ($/MWh)</t>
  </si>
  <si>
    <t>biomass ($/MWh)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</si>
</sst>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164" formatCode="_ * #,##0.00_ ;_ * \-#,##0.00_ ;_ * &quot;-&quot;??_ ;_ @_ "/>
    <numFmt numFmtId="165" formatCode="&quot;$&quot;#,##0"/>
    <numFmt numFmtId="166" formatCode="0.000"/>
  </numFmts>
  <fonts count="22">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sz val="11"/>
      <color theme="1"/>
      <name val="Calibri"/>
      <family val="2"/>
      <scheme val="minor"/>
    </font>
    <font>
      <i/>
      <sz val="11"/>
      <color theme="1"/>
      <name val="Calibri"/>
      <family val="2"/>
      <scheme val="minor"/>
    </font>
    <font>
      <sz val="11"/>
      <color theme="1"/>
      <name val="Times New Roman"/>
      <family val="1"/>
    </font>
    <font>
      <sz val="12"/>
      <name val="宋体"/>
      <family val="3"/>
      <charset val="134"/>
    </font>
    <font>
      <sz val="11"/>
      <color indexed="8"/>
      <name val="宋体"/>
      <family val="3"/>
      <charset val="134"/>
    </font>
    <font>
      <sz val="12"/>
      <color rgb="FF333333"/>
      <name val="宋体"/>
      <family val="3"/>
      <charset val="134"/>
    </font>
    <font>
      <sz val="12"/>
      <color rgb="FF000000"/>
      <name val="Calibri"/>
      <family val="3"/>
      <charset val="134"/>
      <scheme val="minor"/>
    </font>
    <font>
      <sz val="9"/>
      <name val="Calibri"/>
      <family val="3"/>
      <charset val="134"/>
      <scheme val="minor"/>
    </font>
    <font>
      <sz val="11"/>
      <color theme="1"/>
      <name val="Calibri"/>
      <family val="2"/>
      <charset val="134"/>
      <scheme val="minor"/>
    </font>
    <font>
      <sz val="11"/>
      <color theme="1"/>
      <name val="Calibri"/>
      <family val="2"/>
    </font>
    <font>
      <sz val="9"/>
      <name val="Calibri"/>
      <family val="2"/>
      <charset val="134"/>
      <scheme val="minor"/>
    </font>
    <font>
      <b/>
      <sz val="11"/>
      <color theme="1"/>
      <name val="Calibri"/>
      <family val="3"/>
      <charset val="134"/>
      <scheme val="minor"/>
    </font>
    <font>
      <sz val="11"/>
      <color rgb="FFFF0000"/>
      <name val="Calibri"/>
      <family val="2"/>
      <scheme val="minor"/>
    </font>
    <font>
      <b/>
      <sz val="9"/>
      <color rgb="FF000000"/>
      <name val="Tahoma"/>
      <family val="2"/>
    </font>
    <font>
      <sz val="9"/>
      <color rgb="FF000000"/>
      <name val="Tahoma"/>
      <family val="2"/>
    </font>
    <font>
      <sz val="14"/>
      <color rgb="FF1A1A1A"/>
      <name val="Helvetica Neue"/>
      <family val="2"/>
    </font>
  </fonts>
  <fills count="6">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theme="0" tint="-0.14999847407452621"/>
        <bgColor indexed="64"/>
      </patternFill>
    </fill>
  </fills>
  <borders count="5">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s>
  <cellStyleXfs count="1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44" fontId="6" fillId="0" borderId="0" applyFont="0" applyFill="0" applyBorder="0" applyAlignment="0" applyProtection="0"/>
    <xf numFmtId="0" fontId="9" fillId="0" borderId="0"/>
    <xf numFmtId="0" fontId="10" fillId="0" borderId="0">
      <alignment vertical="center"/>
    </xf>
    <xf numFmtId="9" fontId="6" fillId="0" borderId="0" applyFont="0" applyFill="0" applyBorder="0" applyAlignment="0" applyProtection="0">
      <alignment vertical="center"/>
    </xf>
    <xf numFmtId="0" fontId="10" fillId="0" borderId="0">
      <alignment vertical="center"/>
    </xf>
    <xf numFmtId="0" fontId="9" fillId="0" borderId="0">
      <alignment vertical="center"/>
    </xf>
    <xf numFmtId="164" fontId="6" fillId="0" borderId="0" applyFont="0" applyFill="0" applyBorder="0" applyAlignment="0" applyProtection="0">
      <alignment vertical="center"/>
    </xf>
    <xf numFmtId="0" fontId="6" fillId="0" borderId="0"/>
    <xf numFmtId="0" fontId="14" fillId="0" borderId="0">
      <alignment vertical="center"/>
    </xf>
  </cellStyleXfs>
  <cellXfs count="48">
    <xf numFmtId="0" fontId="0" fillId="0" borderId="0" xfId="0"/>
    <xf numFmtId="0" fontId="1" fillId="0" borderId="0" xfId="0" applyFont="1"/>
    <xf numFmtId="0" fontId="0" fillId="0" borderId="0" xfId="0" applyAlignment="1">
      <alignment horizontal="left"/>
    </xf>
    <xf numFmtId="0" fontId="0" fillId="0" borderId="0" xfId="0" applyFill="1"/>
    <xf numFmtId="0" fontId="0" fillId="0" borderId="0" xfId="0" applyAlignment="1"/>
    <xf numFmtId="0" fontId="1" fillId="2" borderId="0" xfId="0" applyFont="1" applyFill="1"/>
    <xf numFmtId="11" fontId="0" fillId="0" borderId="0" xfId="0" applyNumberFormat="1"/>
    <xf numFmtId="0" fontId="0" fillId="0" borderId="0" xfId="0"/>
    <xf numFmtId="0" fontId="0" fillId="2" borderId="0" xfId="0" applyFill="1"/>
    <xf numFmtId="6" fontId="0" fillId="0" borderId="0" xfId="0" applyNumberFormat="1"/>
    <xf numFmtId="165" fontId="0" fillId="0" borderId="0" xfId="8" applyNumberFormat="1" applyFont="1"/>
    <xf numFmtId="0" fontId="1" fillId="0" borderId="0" xfId="0" applyFont="1" applyFill="1"/>
    <xf numFmtId="0" fontId="0" fillId="0" borderId="0" xfId="0" applyFont="1"/>
    <xf numFmtId="0" fontId="8" fillId="0" borderId="0" xfId="0" applyFont="1"/>
    <xf numFmtId="1" fontId="0" fillId="0" borderId="0" xfId="0" applyNumberFormat="1"/>
    <xf numFmtId="11" fontId="0" fillId="3" borderId="0" xfId="0" applyNumberFormat="1" applyFill="1"/>
    <xf numFmtId="0" fontId="1" fillId="0" borderId="0" xfId="0" applyFont="1" applyAlignment="1"/>
    <xf numFmtId="0" fontId="1" fillId="2" borderId="0" xfId="0" applyFont="1" applyFill="1" applyAlignment="1"/>
    <xf numFmtId="0" fontId="2" fillId="0" borderId="0" xfId="1" applyAlignment="1"/>
    <xf numFmtId="0" fontId="7" fillId="0" borderId="0" xfId="0" applyFont="1" applyAlignment="1"/>
    <xf numFmtId="0" fontId="11" fillId="0" borderId="0" xfId="0" applyFont="1"/>
    <xf numFmtId="0" fontId="12" fillId="0" borderId="0" xfId="0" applyFont="1" applyAlignment="1">
      <alignment horizontal="left" vertical="center"/>
    </xf>
    <xf numFmtId="0" fontId="1" fillId="0" borderId="0" xfId="0" applyFont="1" applyAlignment="1">
      <alignment horizontal="left"/>
    </xf>
    <xf numFmtId="0" fontId="15" fillId="0" borderId="0" xfId="0" applyFont="1" applyAlignment="1"/>
    <xf numFmtId="11" fontId="15" fillId="0" borderId="0" xfId="14" applyNumberFormat="1" applyFont="1" applyAlignment="1"/>
    <xf numFmtId="0" fontId="6" fillId="0" borderId="0" xfId="15"/>
    <xf numFmtId="0" fontId="15" fillId="0" borderId="0" xfId="15" applyFont="1"/>
    <xf numFmtId="0" fontId="17" fillId="0" borderId="0" xfId="16" applyFont="1">
      <alignment vertical="center"/>
    </xf>
    <xf numFmtId="0" fontId="14" fillId="0" borderId="0" xfId="16">
      <alignment vertical="center"/>
    </xf>
    <xf numFmtId="0" fontId="17" fillId="0" borderId="0" xfId="16" applyFont="1" applyAlignment="1">
      <alignment vertical="center" wrapText="1"/>
    </xf>
    <xf numFmtId="0" fontId="14" fillId="0" borderId="0" xfId="16" applyFill="1">
      <alignment vertical="center"/>
    </xf>
    <xf numFmtId="0" fontId="2" fillId="0" borderId="0" xfId="1" applyAlignment="1">
      <alignment vertical="center"/>
    </xf>
    <xf numFmtId="0" fontId="17" fillId="0" borderId="0" xfId="16" applyFont="1" applyAlignment="1">
      <alignment horizontal="right" vertical="center"/>
    </xf>
    <xf numFmtId="0" fontId="14" fillId="3" borderId="0" xfId="16" applyFill="1">
      <alignment vertical="center"/>
    </xf>
    <xf numFmtId="0" fontId="2" fillId="0" borderId="0" xfId="1"/>
    <xf numFmtId="0" fontId="18" fillId="0" borderId="0" xfId="0" applyFont="1"/>
    <xf numFmtId="0" fontId="6" fillId="0" borderId="0" xfId="0" applyFont="1"/>
    <xf numFmtId="166" fontId="0" fillId="0" borderId="0" xfId="0" applyNumberFormat="1" applyAlignment="1">
      <alignment horizontal="right"/>
    </xf>
    <xf numFmtId="0" fontId="0" fillId="4" borderId="0" xfId="0" applyFill="1"/>
    <xf numFmtId="0" fontId="0" fillId="5" borderId="0" xfId="0" applyFill="1"/>
    <xf numFmtId="10" fontId="0" fillId="0" borderId="0" xfId="0" applyNumberFormat="1"/>
    <xf numFmtId="0" fontId="21" fillId="0" borderId="0" xfId="0" applyFont="1"/>
    <xf numFmtId="0" fontId="6" fillId="0" borderId="0" xfId="0" applyFont="1" applyAlignment="1">
      <alignment wrapText="1"/>
    </xf>
    <xf numFmtId="0" fontId="0" fillId="0" borderId="0" xfId="0" applyAlignment="1">
      <alignment wrapText="1"/>
    </xf>
    <xf numFmtId="166"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wrapText="1"/>
    </xf>
  </cellXfs>
  <cellStyles count="17">
    <cellStyle name="Body: normal cell" xfId="5" xr:uid="{00000000-0005-0000-0000-000000000000}"/>
    <cellStyle name="Comma" xfId="14" builtinId="3"/>
    <cellStyle name="Currency" xfId="8" builtinId="4"/>
    <cellStyle name="Font: Calibri, 9pt regular" xfId="2" xr:uid="{00000000-0005-0000-0000-000003000000}"/>
    <cellStyle name="Footnotes: top row" xfId="7" xr:uid="{00000000-0005-0000-0000-000004000000}"/>
    <cellStyle name="Header: bottom row" xfId="3" xr:uid="{00000000-0005-0000-0000-000005000000}"/>
    <cellStyle name="Hyperlink" xfId="1" builtinId="8"/>
    <cellStyle name="Normal" xfId="0" builtinId="0"/>
    <cellStyle name="Parent row" xfId="6" xr:uid="{00000000-0005-0000-0000-000008000000}"/>
    <cellStyle name="Percent 2" xfId="11" xr:uid="{00000000-0005-0000-0000-000009000000}"/>
    <cellStyle name="Table title" xfId="4" xr:uid="{00000000-0005-0000-0000-00000A000000}"/>
    <cellStyle name="常规 10" xfId="9" xr:uid="{00000000-0005-0000-0000-00000B000000}"/>
    <cellStyle name="常规 2" xfId="15" xr:uid="{00000000-0005-0000-0000-00000C000000}"/>
    <cellStyle name="常规 2 2 2" xfId="12" xr:uid="{00000000-0005-0000-0000-00000D000000}"/>
    <cellStyle name="常规 3" xfId="13" xr:uid="{00000000-0005-0000-0000-00000E000000}"/>
    <cellStyle name="常规 3 2" xfId="16" xr:uid="{00000000-0005-0000-0000-00000F000000}"/>
    <cellStyle name="常规 4" xfId="10"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336549</xdr:colOff>
      <xdr:row>17</xdr:row>
      <xdr:rowOff>165099</xdr:rowOff>
    </xdr:from>
    <xdr:to>
      <xdr:col>14</xdr:col>
      <xdr:colOff>431578</xdr:colOff>
      <xdr:row>29</xdr:row>
      <xdr:rowOff>139700</xdr:rowOff>
    </xdr:to>
    <xdr:pic>
      <xdr:nvPicPr>
        <xdr:cNvPr id="2" name="Picture 1">
          <a:extLst>
            <a:ext uri="{FF2B5EF4-FFF2-40B4-BE49-F238E27FC236}">
              <a16:creationId xmlns:a16="http://schemas.microsoft.com/office/drawing/2014/main" id="{73A8310F-5EE4-4076-8775-D21D6D6F8D13}"/>
            </a:ext>
          </a:extLst>
        </xdr:cNvPr>
        <xdr:cNvPicPr>
          <a:picLocks noChangeAspect="1"/>
        </xdr:cNvPicPr>
      </xdr:nvPicPr>
      <xdr:blipFill>
        <a:blip xmlns:r="http://schemas.openxmlformats.org/officeDocument/2006/relationships" r:embed="rId1"/>
        <a:stretch>
          <a:fillRect/>
        </a:stretch>
      </xdr:blipFill>
      <xdr:spPr>
        <a:xfrm>
          <a:off x="5213349" y="3619499"/>
          <a:ext cx="6775229" cy="2260601"/>
        </a:xfrm>
        <a:prstGeom prst="rect">
          <a:avLst/>
        </a:prstGeom>
      </xdr:spPr>
    </xdr:pic>
    <xdr:clientData/>
  </xdr:twoCellAnchor>
  <xdr:oneCellAnchor>
    <xdr:from>
      <xdr:col>14</xdr:col>
      <xdr:colOff>393700</xdr:colOff>
      <xdr:row>17</xdr:row>
      <xdr:rowOff>12701</xdr:rowOff>
    </xdr:from>
    <xdr:ext cx="4421453" cy="4013200"/>
    <xdr:pic>
      <xdr:nvPicPr>
        <xdr:cNvPr id="3" name="Picture 2">
          <a:extLst>
            <a:ext uri="{FF2B5EF4-FFF2-40B4-BE49-F238E27FC236}">
              <a16:creationId xmlns:a16="http://schemas.microsoft.com/office/drawing/2014/main" id="{B2F3AFD4-174C-4D16-8284-55E35F1658BA}"/>
            </a:ext>
          </a:extLst>
        </xdr:cNvPr>
        <xdr:cNvPicPr>
          <a:picLocks noChangeAspect="1"/>
        </xdr:cNvPicPr>
      </xdr:nvPicPr>
      <xdr:blipFill>
        <a:blip xmlns:r="http://schemas.openxmlformats.org/officeDocument/2006/relationships" r:embed="rId2"/>
        <a:stretch>
          <a:fillRect/>
        </a:stretch>
      </xdr:blipFill>
      <xdr:spPr>
        <a:xfrm>
          <a:off x="11950700" y="3467101"/>
          <a:ext cx="4421453" cy="40132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wri.sharepoint.com/Users/jeff-nonadmin/Dropbox%20(Energy%20Innovation)/EI-PlcyMdl/eps-1.5.0-us-wipE/InputData/web-app/BCF/BTU%20Conversion%20Factor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onewri.sharepoint.com/all/&#20854;&#23427;/&#23454;&#20064;&#30340;&#19996;&#35199;&#65281;/Model/Zhejiang%202.0/fuels/BFCpUEbS/BAU%20Fuel%20Cost%20per%20Unit%20Energy%20by%20Secto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onewri.sharepoint.com/all/&#20854;&#23427;/&#23454;&#20064;&#30340;&#19996;&#35199;&#65281;/Model&#20013;&#33258;&#24049;&#20316;&#30340;&#27599;&#24352;&#34920;/china%20&#20511;&#37492;%20B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AEO Table 2"/>
      <sheetName val="AEO Table 3"/>
      <sheetName val="AEO Table 12"/>
      <sheetName val="Natural Gas and Coal Adjustment"/>
      <sheetName val="Hard Coal and Lig Multipliers"/>
      <sheetName val="Hydrogen"/>
      <sheetName val="Other Fuels"/>
      <sheetName val="BFCpUEbS-electricity"/>
      <sheetName val="BFCpUEbS-coal"/>
      <sheetName val="BFCpUEbS-natural-gas"/>
      <sheetName val="BFCpUEbS-nuclear"/>
      <sheetName val="BFCpUEbS-hydro"/>
      <sheetName val="BFCpUEbS-wind"/>
      <sheetName val="BFCpUEbS-solar"/>
      <sheetName val="BFCpUEbS-biomass"/>
      <sheetName val="BFCpUEbS-petroleum-gasoline"/>
      <sheetName val="BFCpUEbS-petroleum-diesel"/>
      <sheetName val="BFCpUEbS-biofuel-gasoline"/>
      <sheetName val="BFCpUEbS-biofuel-diesel"/>
      <sheetName val="BFCpUEbS-jet-fuel-or-kerosene"/>
      <sheetName val="BFCpUEbS-heat"/>
      <sheetName val="BFCpUEbS-lignite"/>
      <sheetName val="BFCpUEbS-geothermal"/>
      <sheetName val="BFCpUEbS-crude-oil"/>
      <sheetName val="BFCpUEbS-heavy-fuel-oil"/>
      <sheetName val="BFCpUEbS-lpg-propane-or-butane"/>
      <sheetName val="BFCpUEbS-municipal-solid-waste"/>
      <sheetName val="BFCpUEbS-hydrogen"/>
    </sheetNames>
    <sheetDataSet>
      <sheetData sheetId="0"/>
      <sheetData sheetId="1"/>
      <sheetData sheetId="2"/>
      <sheetData sheetId="3"/>
      <sheetData sheetId="4"/>
      <sheetData sheetId="5">
        <row r="16">
          <cell r="N16">
            <v>0.92062879123815489</v>
          </cell>
        </row>
        <row r="17">
          <cell r="N17">
            <v>1.0036394752510358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wind"/>
      <sheetName val="solar"/>
      <sheetName val="biomass &amp; geothermal"/>
      <sheetName val="Fossil Fuels"/>
      <sheetName val="Conv Factor"/>
      <sheetName val="BS-BSfTFpEUP"/>
      <sheetName val="BS-BSpUEO"/>
    </sheetNames>
    <sheetDataSet>
      <sheetData sheetId="0" refreshError="1"/>
      <sheetData sheetId="1" refreshError="1"/>
      <sheetData sheetId="2" refreshError="1"/>
      <sheetData sheetId="3" refreshError="1"/>
      <sheetData sheetId="4" refreshError="1"/>
      <sheetData sheetId="5" refreshError="1">
        <row r="1">
          <cell r="A1">
            <v>0.14538000000000001</v>
          </cell>
        </row>
      </sheetData>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iea.org/subsidy/index.html"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hyperlink" Target="http://www.gov.cn/ztzl/2006-01/20/content_165910.ht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xianjichina.com/news/details_93212.html" TargetMode="External"/><Relationship Id="rId13" Type="http://schemas.openxmlformats.org/officeDocument/2006/relationships/drawing" Target="../drawings/drawing1.xml"/><Relationship Id="rId3" Type="http://schemas.openxmlformats.org/officeDocument/2006/relationships/hyperlink" Target="http://news.bjx.com.cn/html/20151231/697146.shtml" TargetMode="External"/><Relationship Id="rId7" Type="http://schemas.openxmlformats.org/officeDocument/2006/relationships/hyperlink" Target="https://wenku.baidu.com/view/bb454668b7360b4c2f3f642d.html" TargetMode="External"/><Relationship Id="rId12" Type="http://schemas.openxmlformats.org/officeDocument/2006/relationships/printerSettings" Target="../printerSettings/printerSettings3.bin"/><Relationship Id="rId2" Type="http://schemas.openxmlformats.org/officeDocument/2006/relationships/hyperlink" Target="http://guangfu.bjx.com.cn/news/20180918/928846.shtml" TargetMode="External"/><Relationship Id="rId1" Type="http://schemas.openxmlformats.org/officeDocument/2006/relationships/hyperlink" Target="http://guangfu.bjx.com.cn/news/20180918/928845.shtml" TargetMode="External"/><Relationship Id="rId6" Type="http://schemas.openxmlformats.org/officeDocument/2006/relationships/hyperlink" Target="http://www.nea.gov.cn/2014-09/29/c_133682178.htm" TargetMode="External"/><Relationship Id="rId11" Type="http://schemas.openxmlformats.org/officeDocument/2006/relationships/hyperlink" Target="https://baijiahao.baidu.com/s?id=1634482543833385999&amp;wfr=spider&amp;for=pc" TargetMode="External"/><Relationship Id="rId5" Type="http://schemas.openxmlformats.org/officeDocument/2006/relationships/hyperlink" Target="https://www.sohu.com/a/306834225_788193" TargetMode="External"/><Relationship Id="rId15" Type="http://schemas.openxmlformats.org/officeDocument/2006/relationships/comments" Target="../comments1.xml"/><Relationship Id="rId10" Type="http://schemas.openxmlformats.org/officeDocument/2006/relationships/hyperlink" Target="http://news.bjx.com.cn/html/20190416/974996.shtml" TargetMode="External"/><Relationship Id="rId4" Type="http://schemas.openxmlformats.org/officeDocument/2006/relationships/hyperlink" Target="http://news.bjx.com.cn/html/20190603/983959.shtml" TargetMode="External"/><Relationship Id="rId9" Type="http://schemas.openxmlformats.org/officeDocument/2006/relationships/hyperlink" Target="http://news.bjx.com.cn/html/20190416/974996.shtml" TargetMode="External"/><Relationship Id="rId14"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3" Type="http://schemas.openxmlformats.org/officeDocument/2006/relationships/hyperlink" Target="https://baijiahao.baidu.com/s?id=1634482543833385999&amp;wfr=spider&amp;for=pc" TargetMode="External"/><Relationship Id="rId2" Type="http://schemas.openxmlformats.org/officeDocument/2006/relationships/hyperlink" Target="http://www.chinairn.com/news/20130910/101802663.html" TargetMode="External"/><Relationship Id="rId1" Type="http://schemas.openxmlformats.org/officeDocument/2006/relationships/hyperlink" Target="http://www.sdpc.gov.cn/gzdt/201501/t20150109_65987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
  <sheetViews>
    <sheetView tabSelected="1" workbookViewId="0">
      <selection activeCell="A38" sqref="A38"/>
    </sheetView>
  </sheetViews>
  <sheetFormatPr defaultColWidth="9.140625" defaultRowHeight="15"/>
  <cols>
    <col min="1" max="1" width="9.140625" style="4"/>
    <col min="2" max="2" width="83.140625" style="4" customWidth="1"/>
    <col min="3" max="16384" width="9.140625" style="4"/>
  </cols>
  <sheetData>
    <row r="1" spans="1:2">
      <c r="A1" s="1" t="s">
        <v>0</v>
      </c>
    </row>
    <row r="2" spans="1:2">
      <c r="A2" s="1" t="s">
        <v>1</v>
      </c>
    </row>
    <row r="3" spans="1:2">
      <c r="A3" s="1" t="s">
        <v>189</v>
      </c>
    </row>
    <row r="4" spans="1:2">
      <c r="A4" s="16" t="s">
        <v>2</v>
      </c>
      <c r="B4" s="17" t="s">
        <v>3</v>
      </c>
    </row>
    <row r="5" spans="1:2">
      <c r="B5" s="4" t="s">
        <v>223</v>
      </c>
    </row>
    <row r="6" spans="1:2">
      <c r="B6" s="2"/>
    </row>
    <row r="7" spans="1:2">
      <c r="B7" s="22"/>
    </row>
    <row r="8" spans="1:2">
      <c r="B8" s="2"/>
    </row>
    <row r="9" spans="1:2">
      <c r="B9" s="22"/>
    </row>
    <row r="10" spans="1:2">
      <c r="B10" s="2"/>
    </row>
    <row r="11" spans="1:2">
      <c r="B11" s="22"/>
    </row>
    <row r="12" spans="1:2">
      <c r="B12" s="2"/>
    </row>
    <row r="14" spans="1:2">
      <c r="B14" s="17" t="s">
        <v>6</v>
      </c>
    </row>
    <row r="15" spans="1:2">
      <c r="B15" s="4" t="s">
        <v>7</v>
      </c>
    </row>
    <row r="16" spans="1:2">
      <c r="B16" s="2">
        <v>2015</v>
      </c>
    </row>
    <row r="17" spans="1:2">
      <c r="B17" s="4" t="s">
        <v>8</v>
      </c>
    </row>
    <row r="18" spans="1:2">
      <c r="B18" s="19" t="s">
        <v>9</v>
      </c>
    </row>
    <row r="20" spans="1:2">
      <c r="B20" s="17" t="s">
        <v>10</v>
      </c>
    </row>
    <row r="21" spans="1:2">
      <c r="B21" s="4" t="s">
        <v>11</v>
      </c>
    </row>
    <row r="22" spans="1:2">
      <c r="B22" s="2">
        <v>2016</v>
      </c>
    </row>
    <row r="23" spans="1:2">
      <c r="B23" s="4" t="s">
        <v>12</v>
      </c>
    </row>
    <row r="25" spans="1:2">
      <c r="B25" s="17" t="s">
        <v>13</v>
      </c>
    </row>
    <row r="26" spans="1:2">
      <c r="B26" s="4" t="s">
        <v>14</v>
      </c>
    </row>
    <row r="27" spans="1:2">
      <c r="B27" s="2">
        <v>2013</v>
      </c>
    </row>
    <row r="28" spans="1:2">
      <c r="B28" s="4" t="s">
        <v>15</v>
      </c>
    </row>
    <row r="29" spans="1:2">
      <c r="B29" s="18" t="s">
        <v>16</v>
      </c>
    </row>
    <row r="30" spans="1:2">
      <c r="B30" s="4" t="s">
        <v>17</v>
      </c>
    </row>
    <row r="32" spans="1:2">
      <c r="A32" s="16" t="s">
        <v>18</v>
      </c>
    </row>
    <row r="33" spans="1:1">
      <c r="A33" s="4" t="s">
        <v>19</v>
      </c>
    </row>
    <row r="34" spans="1:1">
      <c r="A34" s="4" t="s">
        <v>20</v>
      </c>
    </row>
    <row r="35" spans="1:1">
      <c r="A35" s="4" t="s">
        <v>21</v>
      </c>
    </row>
    <row r="36" spans="1:1">
      <c r="A36" s="4" t="s">
        <v>22</v>
      </c>
    </row>
    <row r="38" spans="1:1">
      <c r="A38" s="4" t="s">
        <v>224</v>
      </c>
    </row>
    <row r="39" spans="1:1" hidden="1">
      <c r="A39" s="16" t="s">
        <v>23</v>
      </c>
    </row>
    <row r="40" spans="1:1" hidden="1">
      <c r="A40" s="4" t="s">
        <v>24</v>
      </c>
    </row>
    <row r="41" spans="1:1" hidden="1">
      <c r="A41" s="4" t="s">
        <v>25</v>
      </c>
    </row>
    <row r="42" spans="1:1" hidden="1">
      <c r="A42" s="4" t="s">
        <v>26</v>
      </c>
    </row>
    <row r="43" spans="1:1" hidden="1">
      <c r="A43" s="4" t="s">
        <v>27</v>
      </c>
    </row>
    <row r="44" spans="1:1" hidden="1">
      <c r="A44" s="4" t="s">
        <v>28</v>
      </c>
    </row>
    <row r="45" spans="1:1" hidden="1">
      <c r="A45" s="4" t="s">
        <v>29</v>
      </c>
    </row>
    <row r="46" spans="1:1" hidden="1">
      <c r="A46" s="4" t="s">
        <v>30</v>
      </c>
    </row>
    <row r="48" spans="1:1">
      <c r="A48" s="4" t="s">
        <v>31</v>
      </c>
    </row>
    <row r="49" spans="1:1">
      <c r="A49" s="4" t="s">
        <v>32</v>
      </c>
    </row>
  </sheetData>
  <phoneticPr fontId="13" type="noConversion"/>
  <hyperlinks>
    <hyperlink ref="B29"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6"/>
  <sheetViews>
    <sheetView topLeftCell="A22" workbookViewId="0">
      <selection activeCell="C41" sqref="C41"/>
    </sheetView>
  </sheetViews>
  <sheetFormatPr defaultColWidth="8.85546875" defaultRowHeight="15"/>
  <cols>
    <col min="1" max="1" width="29.28515625" customWidth="1"/>
    <col min="2" max="2" width="19.7109375" customWidth="1"/>
    <col min="3" max="3" width="16" customWidth="1"/>
    <col min="5" max="6" width="12.7109375" bestFit="1" customWidth="1"/>
    <col min="7" max="7" width="18.28515625" bestFit="1" customWidth="1"/>
    <col min="11" max="11" width="11.7109375" bestFit="1" customWidth="1"/>
  </cols>
  <sheetData>
    <row r="1" spans="1:9">
      <c r="A1" s="5" t="s">
        <v>87</v>
      </c>
      <c r="B1" s="8"/>
      <c r="C1" s="8"/>
      <c r="D1" s="7"/>
      <c r="E1" s="7"/>
      <c r="F1" s="7"/>
      <c r="G1" s="7"/>
      <c r="H1" s="7"/>
      <c r="I1" s="7"/>
    </row>
    <row r="2" spans="1:9">
      <c r="A2" s="7" t="s">
        <v>88</v>
      </c>
      <c r="B2" s="9">
        <v>7214700222.0153799</v>
      </c>
      <c r="C2" s="7" t="s">
        <v>89</v>
      </c>
      <c r="D2" s="7"/>
      <c r="E2" s="7"/>
      <c r="F2" s="7">
        <f>19*10^9</f>
        <v>19000000000</v>
      </c>
      <c r="G2" s="9">
        <f>F2-B2</f>
        <v>11785299777.984619</v>
      </c>
      <c r="H2" s="7"/>
      <c r="I2" s="7" t="s">
        <v>90</v>
      </c>
    </row>
    <row r="4" spans="1:9">
      <c r="A4" s="12" t="s">
        <v>91</v>
      </c>
      <c r="B4" s="7"/>
      <c r="C4" s="7"/>
      <c r="D4" s="7"/>
      <c r="E4" s="7"/>
      <c r="F4" s="7"/>
      <c r="G4" s="7"/>
      <c r="H4" s="7"/>
      <c r="I4" s="7"/>
    </row>
    <row r="6" spans="1:9">
      <c r="A6" s="11" t="s">
        <v>92</v>
      </c>
      <c r="B6" s="3"/>
      <c r="C6" s="3"/>
      <c r="D6" s="7"/>
      <c r="E6" s="7"/>
      <c r="F6" s="7"/>
      <c r="G6" s="7"/>
      <c r="H6" s="7"/>
      <c r="I6" s="7"/>
    </row>
    <row r="7" spans="1:9">
      <c r="A7" s="7" t="s">
        <v>93</v>
      </c>
      <c r="B7" s="6">
        <v>3300000000</v>
      </c>
      <c r="C7" s="7" t="s">
        <v>94</v>
      </c>
      <c r="D7" s="7"/>
      <c r="E7" s="7"/>
      <c r="F7" s="7"/>
      <c r="G7" s="7"/>
      <c r="H7" s="7"/>
      <c r="I7" s="7"/>
    </row>
    <row r="8" spans="1:9">
      <c r="A8" s="7" t="s">
        <v>95</v>
      </c>
      <c r="B8" s="6">
        <v>500000000</v>
      </c>
      <c r="C8" s="7" t="s">
        <v>94</v>
      </c>
      <c r="D8" s="7"/>
      <c r="E8" s="7"/>
      <c r="F8" s="7"/>
      <c r="G8" s="7"/>
      <c r="H8" s="7"/>
      <c r="I8" s="7"/>
    </row>
    <row r="9" spans="1:9">
      <c r="A9" s="7" t="s">
        <v>96</v>
      </c>
      <c r="B9" s="6">
        <v>12900000000</v>
      </c>
      <c r="C9" s="7" t="s">
        <v>94</v>
      </c>
      <c r="D9" s="7"/>
      <c r="E9" s="7"/>
      <c r="F9" s="7"/>
      <c r="G9" s="7"/>
      <c r="H9" s="7"/>
      <c r="I9" s="7"/>
    </row>
    <row r="11" spans="1:9">
      <c r="A11" s="11" t="s">
        <v>87</v>
      </c>
      <c r="B11" s="3"/>
      <c r="C11" s="3"/>
      <c r="D11" s="7"/>
      <c r="E11" s="7"/>
      <c r="F11" s="7"/>
      <c r="G11" s="7"/>
      <c r="H11" s="7"/>
      <c r="I11" s="7"/>
    </row>
    <row r="12" spans="1:9">
      <c r="A12" s="7" t="s">
        <v>93</v>
      </c>
      <c r="B12" s="10">
        <f>B$2*(B7/SUM(B$7:B$9))</f>
        <v>1425659325.3084283</v>
      </c>
      <c r="C12" s="7" t="s">
        <v>89</v>
      </c>
      <c r="D12" s="7"/>
      <c r="E12" s="7"/>
      <c r="F12" s="7"/>
      <c r="G12" s="7"/>
      <c r="H12" s="7"/>
      <c r="I12" s="7"/>
    </row>
    <row r="13" spans="1:9">
      <c r="A13" s="7" t="s">
        <v>95</v>
      </c>
      <c r="B13" s="10">
        <f>B$2*(B8/SUM(B$7:B$9))</f>
        <v>216008988.68309522</v>
      </c>
      <c r="C13" s="7" t="s">
        <v>89</v>
      </c>
      <c r="D13" s="7"/>
      <c r="E13" s="7"/>
      <c r="F13" s="7"/>
      <c r="G13" s="7"/>
      <c r="H13" s="7"/>
      <c r="I13" s="7"/>
    </row>
    <row r="14" spans="1:9">
      <c r="A14" s="7" t="s">
        <v>96</v>
      </c>
      <c r="B14" s="10">
        <f>B$2*(B9/SUM(B$7:B$9))</f>
        <v>5573031908.0238562</v>
      </c>
      <c r="C14" s="7" t="s">
        <v>89</v>
      </c>
      <c r="D14" s="7"/>
      <c r="E14" s="7"/>
      <c r="F14" s="7"/>
      <c r="G14" s="7"/>
      <c r="H14" s="7"/>
      <c r="I14" s="7"/>
    </row>
    <row r="16" spans="1:9">
      <c r="A16" s="1" t="s">
        <v>97</v>
      </c>
      <c r="B16" s="7"/>
      <c r="C16" s="7"/>
      <c r="D16" s="7"/>
      <c r="E16" s="7"/>
      <c r="F16" s="7"/>
      <c r="G16" s="7"/>
      <c r="H16" s="7"/>
      <c r="I16" s="7"/>
    </row>
    <row r="17" spans="1:6" s="7" customFormat="1">
      <c r="A17" s="1" t="s">
        <v>98</v>
      </c>
      <c r="B17" s="7">
        <v>400299</v>
      </c>
      <c r="C17" s="7" t="s">
        <v>99</v>
      </c>
    </row>
    <row r="18" spans="1:6">
      <c r="A18" s="7" t="s">
        <v>93</v>
      </c>
      <c r="B18" s="7">
        <v>0.69799999999999995</v>
      </c>
      <c r="C18" s="7" t="s">
        <v>100</v>
      </c>
      <c r="D18" s="7"/>
      <c r="E18" s="7"/>
      <c r="F18" s="7"/>
    </row>
    <row r="19" spans="1:6">
      <c r="A19" s="7" t="s">
        <v>95</v>
      </c>
      <c r="B19" s="7">
        <v>0.185</v>
      </c>
      <c r="C19" s="7" t="s">
        <v>100</v>
      </c>
      <c r="D19" s="7"/>
      <c r="E19" s="7"/>
      <c r="F19" s="7"/>
    </row>
    <row r="20" spans="1:6">
      <c r="A20" s="7" t="s">
        <v>96</v>
      </c>
      <c r="B20" s="7">
        <v>0.06</v>
      </c>
      <c r="C20" s="7" t="s">
        <v>100</v>
      </c>
      <c r="D20" s="7"/>
      <c r="E20" s="7"/>
      <c r="F20" s="7"/>
    </row>
    <row r="21" spans="1:6">
      <c r="A21" s="13"/>
      <c r="B21" s="13"/>
      <c r="C21" s="13"/>
      <c r="D21" s="13"/>
      <c r="E21" s="13"/>
      <c r="F21" s="7"/>
    </row>
    <row r="22" spans="1:6">
      <c r="A22" s="7" t="s">
        <v>93</v>
      </c>
      <c r="B22" s="14">
        <f>B$17*B18</f>
        <v>279408.70199999999</v>
      </c>
      <c r="C22" s="7" t="s">
        <v>99</v>
      </c>
      <c r="D22" s="7"/>
      <c r="E22" s="7"/>
      <c r="F22" s="7"/>
    </row>
    <row r="23" spans="1:6">
      <c r="A23" s="7" t="s">
        <v>95</v>
      </c>
      <c r="B23" s="14">
        <f t="shared" ref="B23:B24" si="0">B$17*B19</f>
        <v>74055.315000000002</v>
      </c>
      <c r="C23" s="7" t="s">
        <v>99</v>
      </c>
      <c r="D23" s="7"/>
      <c r="E23" s="7"/>
      <c r="F23" s="7"/>
    </row>
    <row r="24" spans="1:6">
      <c r="A24" s="7" t="s">
        <v>96</v>
      </c>
      <c r="B24" s="14">
        <f t="shared" si="0"/>
        <v>24017.94</v>
      </c>
      <c r="C24" s="7" t="s">
        <v>99</v>
      </c>
      <c r="D24" s="7"/>
      <c r="E24" s="7"/>
      <c r="F24" s="7"/>
    </row>
    <row r="25" spans="1:6">
      <c r="A25" s="7"/>
      <c r="B25" s="7"/>
      <c r="C25" s="7"/>
      <c r="D25" s="7"/>
      <c r="E25" s="7"/>
      <c r="F25" s="7"/>
    </row>
    <row r="26" spans="1:6">
      <c r="A26" s="7" t="s">
        <v>101</v>
      </c>
      <c r="B26" s="7">
        <v>27778245</v>
      </c>
      <c r="C26" s="7" t="s">
        <v>102</v>
      </c>
      <c r="D26" s="7"/>
      <c r="E26" s="7"/>
      <c r="F26" s="7"/>
    </row>
    <row r="27" spans="1:6">
      <c r="A27" s="7"/>
      <c r="B27" s="7"/>
      <c r="C27" s="7"/>
      <c r="D27" s="7"/>
      <c r="E27" s="7"/>
      <c r="F27" s="7"/>
    </row>
    <row r="28" spans="1:6">
      <c r="A28" s="7" t="s">
        <v>93</v>
      </c>
      <c r="B28" s="7">
        <f>B22*B$26*10^4</f>
        <v>7.7614833792879888E+16</v>
      </c>
      <c r="C28" s="7" t="s">
        <v>103</v>
      </c>
      <c r="D28" s="7"/>
      <c r="E28" s="7"/>
      <c r="F28" s="7"/>
    </row>
    <row r="29" spans="1:6">
      <c r="A29" s="7" t="s">
        <v>95</v>
      </c>
      <c r="B29" s="7">
        <f t="shared" ref="B29:B30" si="1">B23*B$26*10^4</f>
        <v>2.0571266836221752E+16</v>
      </c>
      <c r="C29" s="7" t="s">
        <v>103</v>
      </c>
      <c r="D29" s="7"/>
      <c r="E29" s="7"/>
      <c r="F29" s="7"/>
    </row>
    <row r="30" spans="1:6">
      <c r="A30" s="7" t="s">
        <v>96</v>
      </c>
      <c r="B30" s="7">
        <f t="shared" si="1"/>
        <v>6671762217152999</v>
      </c>
      <c r="C30" s="7" t="s">
        <v>103</v>
      </c>
      <c r="D30" s="7"/>
      <c r="E30" s="7"/>
      <c r="F30" s="7"/>
    </row>
    <row r="32" spans="1:6">
      <c r="A32" s="1" t="s">
        <v>104</v>
      </c>
      <c r="B32" s="7"/>
      <c r="C32" s="7"/>
      <c r="D32" s="7"/>
      <c r="E32" s="7"/>
      <c r="F32" s="7"/>
    </row>
    <row r="33" spans="1:7">
      <c r="A33" s="7" t="s">
        <v>93</v>
      </c>
      <c r="B33" s="15">
        <f>B12/B28</f>
        <v>1.8368387273918422E-8</v>
      </c>
      <c r="C33" s="7" t="s">
        <v>105</v>
      </c>
      <c r="D33" s="7"/>
      <c r="E33" s="7">
        <v>2427094.2000000002</v>
      </c>
      <c r="F33" s="7" t="s">
        <v>106</v>
      </c>
      <c r="G33" s="7"/>
    </row>
    <row r="34" spans="1:7">
      <c r="A34" s="7" t="s">
        <v>95</v>
      </c>
      <c r="B34" s="15">
        <f t="shared" ref="B34:B35" si="2">B13/B29</f>
        <v>1.0500519506302256E-8</v>
      </c>
      <c r="C34" s="7" t="s">
        <v>105</v>
      </c>
      <c r="D34" s="7"/>
      <c r="E34" s="7">
        <f>17.3*17.2%*10^9*7</f>
        <v>20829200000</v>
      </c>
      <c r="F34" s="7" t="s">
        <v>107</v>
      </c>
      <c r="G34" s="7">
        <f>17.3*10*6.8*17.2%/24</f>
        <v>8.430866666666665</v>
      </c>
    </row>
    <row r="35" spans="1:7">
      <c r="A35" s="7" t="s">
        <v>96</v>
      </c>
      <c r="B35" s="15">
        <f t="shared" si="2"/>
        <v>8.3531632672634463E-7</v>
      </c>
      <c r="C35" s="7" t="s">
        <v>105</v>
      </c>
      <c r="D35" s="7"/>
      <c r="E35" s="7">
        <f>E34/E33</f>
        <v>8581.9495592713283</v>
      </c>
      <c r="F35" s="7" t="s">
        <v>108</v>
      </c>
      <c r="G35" s="7"/>
    </row>
    <row r="36" spans="1:7">
      <c r="A36" s="7"/>
      <c r="B36" s="7"/>
      <c r="C36" s="7"/>
      <c r="D36" s="7"/>
      <c r="E36" s="7">
        <f>E35/10000</f>
        <v>0.8581949559271328</v>
      </c>
      <c r="F36" s="7"/>
      <c r="G36" s="7"/>
    </row>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
  <sheetViews>
    <sheetView workbookViewId="0">
      <selection activeCell="D7" sqref="D7"/>
    </sheetView>
  </sheetViews>
  <sheetFormatPr defaultColWidth="8.85546875" defaultRowHeight="15"/>
  <sheetData>
    <row r="1" spans="1:2">
      <c r="A1" s="7">
        <v>0.14538000000000001</v>
      </c>
      <c r="B1" s="7" t="s">
        <v>109</v>
      </c>
    </row>
  </sheetData>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6F9EA-98A1-2D4A-9BF9-6CEB1E7B24A7}">
  <dimension ref="A1:K8"/>
  <sheetViews>
    <sheetView workbookViewId="0">
      <selection activeCell="K8" sqref="K8"/>
    </sheetView>
  </sheetViews>
  <sheetFormatPr defaultColWidth="11.42578125" defaultRowHeight="15"/>
  <cols>
    <col min="1" max="1" width="10.85546875" style="7"/>
    <col min="4" max="4" width="23.85546875" customWidth="1"/>
  </cols>
  <sheetData>
    <row r="1" spans="1:11" s="7" customFormat="1">
      <c r="A1" s="7" t="s">
        <v>228</v>
      </c>
    </row>
    <row r="2" spans="1:11" ht="18">
      <c r="A2" s="41" t="s">
        <v>227</v>
      </c>
    </row>
    <row r="3" spans="1:11" s="7" customFormat="1">
      <c r="A3" s="7" t="s">
        <v>230</v>
      </c>
      <c r="E3" s="7">
        <v>584.1</v>
      </c>
    </row>
    <row r="4" spans="1:11" s="7" customFormat="1">
      <c r="A4" s="7" t="s">
        <v>229</v>
      </c>
      <c r="E4" s="7">
        <v>507</v>
      </c>
    </row>
    <row r="5" spans="1:11" s="7" customFormat="1">
      <c r="A5" s="7" t="s">
        <v>231</v>
      </c>
      <c r="E5" s="7">
        <v>900</v>
      </c>
    </row>
    <row r="6" spans="1:11">
      <c r="A6" s="7" t="s">
        <v>232</v>
      </c>
      <c r="E6">
        <f>SUM(470,360,680)/3*1000</f>
        <v>503333.33333333331</v>
      </c>
    </row>
    <row r="7" spans="1:11">
      <c r="A7" s="7" t="s">
        <v>233</v>
      </c>
      <c r="E7">
        <f>E6-(E3-E4)*E5</f>
        <v>433943.33333333331</v>
      </c>
      <c r="I7" s="7" t="s">
        <v>226</v>
      </c>
      <c r="J7" s="7"/>
      <c r="K7" s="36" t="s">
        <v>193</v>
      </c>
    </row>
    <row r="8" spans="1:11">
      <c r="A8" s="7" t="s">
        <v>234</v>
      </c>
      <c r="E8">
        <f>E7/I8*K8</f>
        <v>59956.235026848408</v>
      </c>
      <c r="I8" s="7">
        <v>6.6173999999999999</v>
      </c>
      <c r="J8" s="7"/>
      <c r="K8" s="37">
        <v>0.9143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9EF4A-703B-44E4-8DF0-CB1E4DC4BF3D}">
  <dimension ref="A1:E23"/>
  <sheetViews>
    <sheetView workbookViewId="0">
      <selection activeCell="I24" sqref="I24"/>
    </sheetView>
  </sheetViews>
  <sheetFormatPr defaultColWidth="8.85546875" defaultRowHeight="15"/>
  <cols>
    <col min="1" max="1" width="38.28515625" customWidth="1"/>
    <col min="2" max="2" width="10.85546875" customWidth="1"/>
  </cols>
  <sheetData>
    <row r="1" spans="1:5">
      <c r="A1" t="s">
        <v>241</v>
      </c>
    </row>
    <row r="2" spans="1:5" s="7" customFormat="1">
      <c r="B2" s="45" t="s">
        <v>250</v>
      </c>
      <c r="C2" s="45"/>
      <c r="D2" s="45"/>
      <c r="E2" s="45"/>
    </row>
    <row r="3" spans="1:5">
      <c r="B3" t="s">
        <v>245</v>
      </c>
      <c r="C3" t="s">
        <v>51</v>
      </c>
      <c r="D3" s="7"/>
      <c r="E3" s="7"/>
    </row>
    <row r="4" spans="1:5">
      <c r="A4" t="s">
        <v>242</v>
      </c>
      <c r="B4">
        <v>6.6299999999999998E-2</v>
      </c>
    </row>
    <row r="5" spans="1:5">
      <c r="A5" s="7" t="s">
        <v>243</v>
      </c>
      <c r="B5">
        <v>3.8100000000000002E-2</v>
      </c>
    </row>
    <row r="6" spans="1:5">
      <c r="A6" s="7" t="s">
        <v>244</v>
      </c>
      <c r="B6">
        <v>7.4899999999999994E-2</v>
      </c>
    </row>
    <row r="7" spans="1:5">
      <c r="A7" s="7"/>
    </row>
    <row r="8" spans="1:5" s="7" customFormat="1"/>
    <row r="9" spans="1:5">
      <c r="A9" t="s">
        <v>248</v>
      </c>
      <c r="B9">
        <f>AVERAGE(B4:B7)</f>
        <v>5.9766666666666662E-2</v>
      </c>
      <c r="C9">
        <f>B9*1000/B12</f>
        <v>8.6493005306319333</v>
      </c>
    </row>
    <row r="10" spans="1:5">
      <c r="A10" t="s">
        <v>249</v>
      </c>
      <c r="C10">
        <f>C9*B14*(1-B15)</f>
        <v>7.7663245769416305</v>
      </c>
    </row>
    <row r="11" spans="1:5" s="7" customFormat="1"/>
    <row r="12" spans="1:5">
      <c r="A12" t="s">
        <v>246</v>
      </c>
      <c r="B12">
        <v>6.91</v>
      </c>
    </row>
    <row r="14" spans="1:5" ht="30">
      <c r="A14" s="42" t="s">
        <v>193</v>
      </c>
      <c r="B14">
        <v>0.91400000000000003</v>
      </c>
    </row>
    <row r="15" spans="1:5">
      <c r="A15" s="12" t="s">
        <v>247</v>
      </c>
      <c r="B15" s="40">
        <v>1.7600000000000001E-2</v>
      </c>
    </row>
    <row r="17" spans="1:4">
      <c r="A17" t="s">
        <v>260</v>
      </c>
    </row>
    <row r="18" spans="1:4">
      <c r="A18" t="s">
        <v>261</v>
      </c>
    </row>
    <row r="19" spans="1:4">
      <c r="A19" t="s">
        <v>263</v>
      </c>
    </row>
    <row r="20" spans="1:4">
      <c r="B20">
        <v>2020</v>
      </c>
      <c r="C20">
        <v>2021</v>
      </c>
      <c r="D20">
        <v>2022</v>
      </c>
    </row>
    <row r="21" spans="1:4">
      <c r="A21" t="s">
        <v>262</v>
      </c>
      <c r="B21">
        <f>C10*(1-11.5%)</f>
        <v>6.8731972505933427</v>
      </c>
      <c r="C21">
        <f>B21*(1-11.5%)</f>
        <v>6.0827795667751081</v>
      </c>
      <c r="D21" s="7">
        <f>C21*(1-11.5%)</f>
        <v>5.3832599165959705</v>
      </c>
    </row>
    <row r="23" spans="1:4">
      <c r="A23" t="s">
        <v>238</v>
      </c>
    </row>
  </sheetData>
  <mergeCells count="2">
    <mergeCell ref="B2:C2"/>
    <mergeCell ref="D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C39BE-D9A5-4969-A016-C3803268BC31}">
  <dimension ref="A1:D13"/>
  <sheetViews>
    <sheetView workbookViewId="0">
      <selection activeCell="D29" sqref="D29"/>
    </sheetView>
  </sheetViews>
  <sheetFormatPr defaultColWidth="8.85546875" defaultRowHeight="15"/>
  <cols>
    <col min="1" max="1" width="64.85546875" style="7" customWidth="1"/>
    <col min="4" max="4" width="17.28515625" customWidth="1"/>
  </cols>
  <sheetData>
    <row r="1" spans="1:4" s="7" customFormat="1">
      <c r="A1" s="7" t="s">
        <v>265</v>
      </c>
    </row>
    <row r="2" spans="1:4" s="7" customFormat="1"/>
    <row r="3" spans="1:4">
      <c r="B3">
        <v>2019</v>
      </c>
      <c r="C3">
        <v>2020</v>
      </c>
      <c r="D3" t="s">
        <v>267</v>
      </c>
    </row>
    <row r="4" spans="1:4">
      <c r="A4" s="7" t="s">
        <v>266</v>
      </c>
      <c r="B4" s="7">
        <f>AVERAGE(B6:B8)</f>
        <v>0.44666666666666671</v>
      </c>
      <c r="C4" s="7">
        <f>AVERAGE(C6:C8)</f>
        <v>0.39666666666666667</v>
      </c>
      <c r="D4" s="40">
        <f>1-C4/B4</f>
        <v>0.11194029850746279</v>
      </c>
    </row>
    <row r="5" spans="1:4" ht="30">
      <c r="A5" s="43" t="s">
        <v>254</v>
      </c>
      <c r="B5" s="7"/>
      <c r="C5" s="7"/>
    </row>
    <row r="6" spans="1:4">
      <c r="A6" s="7" t="s">
        <v>243</v>
      </c>
      <c r="B6" s="7">
        <v>0.39</v>
      </c>
      <c r="C6" s="7">
        <v>0.34</v>
      </c>
    </row>
    <row r="7" spans="1:4">
      <c r="A7" s="7" t="s">
        <v>244</v>
      </c>
      <c r="B7" s="7">
        <v>0.43</v>
      </c>
      <c r="C7" s="7">
        <v>0.38</v>
      </c>
    </row>
    <row r="8" spans="1:4">
      <c r="A8" s="7" t="s">
        <v>251</v>
      </c>
      <c r="B8" s="7">
        <v>0.52</v>
      </c>
      <c r="C8" s="7">
        <v>0.47</v>
      </c>
    </row>
    <row r="10" spans="1:4">
      <c r="A10" s="7" t="s">
        <v>252</v>
      </c>
      <c r="B10">
        <f>B4*1000-'Sub by Power Price'!B26</f>
        <v>76.146666666666704</v>
      </c>
      <c r="C10" s="7">
        <f>C4*1000-'Sub by Power Price'!B26</f>
        <v>26.146666666666704</v>
      </c>
    </row>
    <row r="11" spans="1:4">
      <c r="A11" s="7" t="s">
        <v>253</v>
      </c>
      <c r="B11">
        <f>B10/'Solar 2019'!$B$12*'Solar 2019'!$B$14*(1-'Solar 2019'!$B$15)</f>
        <v>9.8948086244090749</v>
      </c>
      <c r="C11" s="7">
        <f>C10/'Solar 2019'!$B$12*'Solar 2019'!$B$14*(1-'Solar 2019'!$B$15)</f>
        <v>3.3976045723106663</v>
      </c>
      <c r="D11">
        <f>C11</f>
        <v>3.3976045723106663</v>
      </c>
    </row>
    <row r="13" spans="1:4">
      <c r="A13" s="7" t="s">
        <v>255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FF08B-2DB8-0744-9EAC-F8D73E0D6244}">
  <dimension ref="A1:X55"/>
  <sheetViews>
    <sheetView topLeftCell="D40" workbookViewId="0">
      <selection activeCell="L49" sqref="L49"/>
    </sheetView>
  </sheetViews>
  <sheetFormatPr defaultColWidth="11.42578125" defaultRowHeight="15"/>
  <cols>
    <col min="1" max="1" width="73.85546875" customWidth="1"/>
    <col min="3" max="3" width="14.28515625" customWidth="1"/>
    <col min="6" max="6" width="14.85546875" customWidth="1"/>
    <col min="7" max="7" width="14.140625" customWidth="1"/>
    <col min="9" max="9" width="16" customWidth="1"/>
    <col min="10" max="10" width="17.42578125" style="7" customWidth="1"/>
    <col min="16" max="16" width="24" customWidth="1"/>
  </cols>
  <sheetData>
    <row r="1" spans="1:7" s="39" customFormat="1">
      <c r="A1" s="39" t="s">
        <v>217</v>
      </c>
    </row>
    <row r="2" spans="1:7" s="7" customFormat="1" hidden="1"/>
    <row r="3" spans="1:7" s="7" customFormat="1" hidden="1">
      <c r="A3" s="7" t="s">
        <v>200</v>
      </c>
      <c r="B3" s="7" t="s">
        <v>220</v>
      </c>
      <c r="G3" s="7" t="s">
        <v>239</v>
      </c>
    </row>
    <row r="4" spans="1:7" s="7" customFormat="1" hidden="1">
      <c r="A4" s="7" t="s">
        <v>201</v>
      </c>
      <c r="B4" s="7">
        <v>38.976999999999997</v>
      </c>
      <c r="D4" s="40"/>
    </row>
    <row r="5" spans="1:7" s="7" customFormat="1" hidden="1">
      <c r="A5" s="7" t="s">
        <v>202</v>
      </c>
      <c r="B5" s="7">
        <v>91.726900000000001</v>
      </c>
      <c r="G5" s="7">
        <f>B5-$B$4</f>
        <v>52.749900000000004</v>
      </c>
    </row>
    <row r="6" spans="1:7" s="7" customFormat="1" hidden="1">
      <c r="A6" s="7" t="s">
        <v>203</v>
      </c>
      <c r="B6" s="7">
        <v>36.954300000000003</v>
      </c>
    </row>
    <row r="7" spans="1:7" s="7" customFormat="1" hidden="1">
      <c r="A7" s="7" t="s">
        <v>204</v>
      </c>
      <c r="B7" s="7">
        <v>18.6402</v>
      </c>
    </row>
    <row r="8" spans="1:7" s="7" customFormat="1" hidden="1">
      <c r="A8" s="7" t="s">
        <v>205</v>
      </c>
      <c r="B8" s="7">
        <v>37.914299999999997</v>
      </c>
    </row>
    <row r="9" spans="1:7" s="7" customFormat="1" hidden="1">
      <c r="A9" s="7" t="s">
        <v>206</v>
      </c>
      <c r="B9" s="7">
        <v>41.789400000000001</v>
      </c>
      <c r="G9" s="7">
        <f t="shared" ref="G9:G18" si="0">B9-$B$4</f>
        <v>2.8124000000000038</v>
      </c>
    </row>
    <row r="10" spans="1:7" s="7" customFormat="1" hidden="1">
      <c r="A10" s="7" t="s">
        <v>207</v>
      </c>
      <c r="B10" s="7">
        <v>69.268100000000004</v>
      </c>
    </row>
    <row r="11" spans="1:7" s="7" customFormat="1" hidden="1">
      <c r="A11" s="7" t="s">
        <v>208</v>
      </c>
      <c r="B11" s="7">
        <v>94.406000000000006</v>
      </c>
      <c r="G11" s="7">
        <f t="shared" si="0"/>
        <v>55.429000000000009</v>
      </c>
    </row>
    <row r="12" spans="1:7" s="7" customFormat="1" hidden="1">
      <c r="A12" s="7" t="s">
        <v>209</v>
      </c>
      <c r="B12" s="7">
        <v>33.971400000000003</v>
      </c>
      <c r="G12" s="7">
        <f t="shared" si="0"/>
        <v>-5.0055999999999941</v>
      </c>
    </row>
    <row r="13" spans="1:7" s="7" customFormat="1" hidden="1">
      <c r="A13" s="7" t="s">
        <v>210</v>
      </c>
      <c r="B13" s="7">
        <v>277.35300000000001</v>
      </c>
      <c r="G13" s="7">
        <f t="shared" si="0"/>
        <v>238.376</v>
      </c>
    </row>
    <row r="14" spans="1:7" s="7" customFormat="1" hidden="1">
      <c r="A14" s="7" t="s">
        <v>211</v>
      </c>
      <c r="B14" s="7">
        <v>152.16399999999999</v>
      </c>
      <c r="G14" s="7">
        <f t="shared" si="0"/>
        <v>113.18699999999998</v>
      </c>
    </row>
    <row r="15" spans="1:7" s="7" customFormat="1" hidden="1">
      <c r="A15" s="7" t="s">
        <v>212</v>
      </c>
      <c r="B15" s="7">
        <v>53.776200000000003</v>
      </c>
      <c r="G15" s="7">
        <f t="shared" si="0"/>
        <v>14.799200000000006</v>
      </c>
    </row>
    <row r="16" spans="1:7" s="7" customFormat="1" hidden="1">
      <c r="A16" s="7" t="s">
        <v>213</v>
      </c>
      <c r="B16" s="7">
        <v>69.808899999999994</v>
      </c>
      <c r="G16" s="7">
        <f t="shared" si="0"/>
        <v>30.831899999999997</v>
      </c>
    </row>
    <row r="17" spans="1:24" s="7" customFormat="1" hidden="1">
      <c r="A17" s="7" t="s">
        <v>214</v>
      </c>
      <c r="B17" s="7">
        <v>78.709999999999994</v>
      </c>
      <c r="G17" s="7">
        <f t="shared" si="0"/>
        <v>39.732999999999997</v>
      </c>
    </row>
    <row r="18" spans="1:24" s="7" customFormat="1" hidden="1">
      <c r="A18" s="7" t="s">
        <v>215</v>
      </c>
      <c r="B18" s="7">
        <v>63.11</v>
      </c>
      <c r="G18" s="7">
        <f t="shared" si="0"/>
        <v>24.133000000000003</v>
      </c>
    </row>
    <row r="19" spans="1:24" s="7" customFormat="1" hidden="1">
      <c r="A19" s="7" t="s">
        <v>216</v>
      </c>
      <c r="B19" s="7">
        <v>30.5655</v>
      </c>
    </row>
    <row r="20" spans="1:24" s="7" customFormat="1"/>
    <row r="21" spans="1:24" s="7" customFormat="1"/>
    <row r="22" spans="1:24">
      <c r="A22" s="7" t="s">
        <v>236</v>
      </c>
      <c r="B22" s="7"/>
      <c r="C22" s="7"/>
    </row>
    <row r="23" spans="1:24">
      <c r="A23" s="7" t="s">
        <v>237</v>
      </c>
      <c r="B23" s="7"/>
      <c r="C23" s="7"/>
    </row>
    <row r="24" spans="1:24">
      <c r="A24" s="7"/>
      <c r="B24" s="7"/>
      <c r="C24" s="7"/>
    </row>
    <row r="25" spans="1:24">
      <c r="A25" s="7"/>
      <c r="B25" s="7" t="s">
        <v>190</v>
      </c>
      <c r="C25" s="7" t="s">
        <v>191</v>
      </c>
      <c r="D25" t="s">
        <v>199</v>
      </c>
      <c r="F25" t="s">
        <v>219</v>
      </c>
      <c r="G25" t="s">
        <v>192</v>
      </c>
      <c r="H25" t="s">
        <v>81</v>
      </c>
      <c r="I25" t="s">
        <v>218</v>
      </c>
      <c r="J25" s="7" t="s">
        <v>161</v>
      </c>
      <c r="N25" t="s">
        <v>226</v>
      </c>
      <c r="P25" s="36" t="s">
        <v>193</v>
      </c>
    </row>
    <row r="26" spans="1:24">
      <c r="A26" s="7" t="s">
        <v>197</v>
      </c>
      <c r="B26" s="7">
        <v>370.52</v>
      </c>
      <c r="C26" s="7">
        <v>267.19</v>
      </c>
      <c r="D26">
        <v>529.01</v>
      </c>
      <c r="F26">
        <v>584.1</v>
      </c>
      <c r="G26">
        <v>395.02</v>
      </c>
      <c r="H26" s="7">
        <v>677.99</v>
      </c>
      <c r="I26" s="39">
        <f>F26</f>
        <v>584.1</v>
      </c>
      <c r="J26" s="7">
        <v>650</v>
      </c>
      <c r="N26">
        <v>6.6173999999999999</v>
      </c>
      <c r="P26" s="37">
        <v>0.9143</v>
      </c>
    </row>
    <row r="27" spans="1:24" s="7" customFormat="1">
      <c r="A27" s="7" t="s">
        <v>222</v>
      </c>
      <c r="B27" s="7">
        <f>B26/$N$26*$P$26</f>
        <v>51.193283767038416</v>
      </c>
      <c r="C27" s="7">
        <f t="shared" ref="C27:J27" si="1">C26/$N$26*$P$26</f>
        <v>36.916586121437419</v>
      </c>
      <c r="D27" s="7">
        <f t="shared" si="1"/>
        <v>73.091220570012396</v>
      </c>
      <c r="F27" s="7">
        <f t="shared" si="1"/>
        <v>80.702788104089223</v>
      </c>
      <c r="G27" s="7">
        <f t="shared" si="1"/>
        <v>54.578351920693926</v>
      </c>
      <c r="H27" s="7">
        <f t="shared" si="1"/>
        <v>93.675198265179688</v>
      </c>
      <c r="I27" s="7">
        <f t="shared" si="1"/>
        <v>80.702788104089223</v>
      </c>
      <c r="J27" s="7">
        <f t="shared" si="1"/>
        <v>89.807930607187117</v>
      </c>
    </row>
    <row r="28" spans="1:24" ht="30">
      <c r="A28" s="43" t="s">
        <v>235</v>
      </c>
      <c r="B28">
        <f>B27-$B$27</f>
        <v>0</v>
      </c>
      <c r="C28" s="7"/>
      <c r="D28" s="7">
        <f>D27-$B$27</f>
        <v>21.89793680297398</v>
      </c>
      <c r="E28" s="7"/>
      <c r="F28" s="7">
        <f t="shared" ref="F28:J28" si="2">F27-$B$27</f>
        <v>29.509504337050807</v>
      </c>
      <c r="G28" s="7">
        <f t="shared" si="2"/>
        <v>3.3850681536555101</v>
      </c>
      <c r="H28" s="7">
        <f t="shared" si="2"/>
        <v>42.481914498141272</v>
      </c>
      <c r="I28" s="7">
        <f t="shared" si="2"/>
        <v>29.509504337050807</v>
      </c>
      <c r="J28" s="7">
        <f t="shared" si="2"/>
        <v>38.614646840148701</v>
      </c>
      <c r="N28" s="7"/>
    </row>
    <row r="29" spans="1:24" s="7" customFormat="1">
      <c r="A29" s="43"/>
    </row>
    <row r="30" spans="1:24" s="7" customFormat="1"/>
    <row r="31" spans="1:24" s="7" customFormat="1">
      <c r="B31" s="7">
        <v>2019</v>
      </c>
      <c r="C31" s="7">
        <v>2020</v>
      </c>
      <c r="D31" s="7">
        <v>2021</v>
      </c>
      <c r="E31" s="7">
        <v>2022</v>
      </c>
      <c r="F31" s="7">
        <v>2023</v>
      </c>
      <c r="W31" s="7">
        <v>0.34</v>
      </c>
      <c r="X31" s="7">
        <v>0.28999999999999998</v>
      </c>
    </row>
    <row r="32" spans="1:24" s="7" customFormat="1">
      <c r="A32" s="38" t="s">
        <v>240</v>
      </c>
      <c r="B32" s="7">
        <f>D28</f>
        <v>21.89793680297398</v>
      </c>
      <c r="C32" s="7">
        <f>B32-$B$32/3</f>
        <v>14.598624535315988</v>
      </c>
      <c r="D32" s="7">
        <f>C32-$B$32/3</f>
        <v>7.2993122676579949</v>
      </c>
      <c r="E32" s="7">
        <v>0</v>
      </c>
      <c r="F32" s="7">
        <f>0</f>
        <v>0</v>
      </c>
      <c r="W32" s="7">
        <v>0.39</v>
      </c>
      <c r="X32" s="7">
        <v>0.34</v>
      </c>
    </row>
    <row r="33" spans="1:24" s="7" customFormat="1">
      <c r="W33" s="7">
        <v>0.43</v>
      </c>
      <c r="X33" s="7">
        <v>0.38</v>
      </c>
    </row>
    <row r="34" spans="1:24">
      <c r="A34" s="34"/>
      <c r="W34">
        <v>0.52</v>
      </c>
      <c r="X34">
        <v>0.47</v>
      </c>
    </row>
    <row r="35" spans="1:24" ht="36" customHeight="1">
      <c r="A35" s="38" t="s">
        <v>194</v>
      </c>
      <c r="B35" s="46" t="s">
        <v>196</v>
      </c>
      <c r="C35" s="46"/>
      <c r="D35" s="46"/>
      <c r="E35" s="46"/>
      <c r="F35" s="46"/>
      <c r="G35" s="47" t="s">
        <v>264</v>
      </c>
      <c r="H35" s="47"/>
      <c r="I35" s="47"/>
      <c r="J35" s="47"/>
      <c r="K35" s="47"/>
      <c r="L35" s="47"/>
      <c r="M35" s="47"/>
      <c r="N35" s="47"/>
      <c r="O35" s="47"/>
      <c r="P35" s="47"/>
    </row>
    <row r="36" spans="1:24">
      <c r="A36" s="34"/>
      <c r="B36">
        <v>2017</v>
      </c>
      <c r="C36">
        <v>2018</v>
      </c>
      <c r="D36">
        <v>2019</v>
      </c>
      <c r="E36">
        <v>2020</v>
      </c>
      <c r="F36" s="7">
        <v>2021</v>
      </c>
      <c r="G36" s="7">
        <v>2022</v>
      </c>
      <c r="H36" s="7">
        <v>2023</v>
      </c>
      <c r="I36" s="7">
        <v>2024</v>
      </c>
      <c r="J36" s="7">
        <v>2025</v>
      </c>
      <c r="K36" s="7">
        <v>2026</v>
      </c>
      <c r="L36" s="7">
        <v>2027</v>
      </c>
      <c r="M36" s="7">
        <v>2028</v>
      </c>
      <c r="N36" s="7">
        <v>2029</v>
      </c>
      <c r="O36" s="7">
        <v>2030</v>
      </c>
      <c r="Q36" s="7"/>
    </row>
    <row r="37" spans="1:24">
      <c r="A37" s="7" t="s">
        <v>221</v>
      </c>
      <c r="B37">
        <v>800</v>
      </c>
      <c r="C37">
        <v>800</v>
      </c>
      <c r="D37">
        <v>800</v>
      </c>
      <c r="E37">
        <v>750</v>
      </c>
      <c r="F37">
        <v>700</v>
      </c>
      <c r="G37" s="7"/>
      <c r="H37" s="7"/>
      <c r="I37" s="7"/>
      <c r="K37" s="7"/>
      <c r="L37" s="7"/>
      <c r="M37" s="7"/>
    </row>
    <row r="38" spans="1:24">
      <c r="A38" s="7" t="s">
        <v>222</v>
      </c>
      <c r="B38" s="7">
        <f>B37/$N$26*$P$26</f>
        <v>110.53283767038414</v>
      </c>
      <c r="C38" s="7">
        <f>C37/$N$26*$P$26</f>
        <v>110.53283767038414</v>
      </c>
      <c r="D38" s="7">
        <f t="shared" ref="D38" si="3">D37/$N$26*$P$26</f>
        <v>110.53283767038414</v>
      </c>
      <c r="E38" s="7">
        <f>E37/$N$26*$P$26</f>
        <v>103.62453531598514</v>
      </c>
      <c r="F38" s="7">
        <f>F37/$N$26*$P$26</f>
        <v>96.71623296158613</v>
      </c>
      <c r="G38" s="7"/>
    </row>
    <row r="39" spans="1:24">
      <c r="A39" s="7" t="s">
        <v>235</v>
      </c>
      <c r="B39" s="7">
        <f>D39</f>
        <v>59.339553903345724</v>
      </c>
      <c r="C39" s="7">
        <f>D39</f>
        <v>59.339553903345724</v>
      </c>
      <c r="D39" s="7">
        <f>D38-$B$27</f>
        <v>59.339553903345724</v>
      </c>
      <c r="E39" s="7">
        <f>E38-$B$27</f>
        <v>52.431251548946726</v>
      </c>
      <c r="F39" s="7">
        <f>F38-$B$27</f>
        <v>45.522949194547714</v>
      </c>
      <c r="G39" s="7">
        <f>200/N26*P26</f>
        <v>27.633209417596035</v>
      </c>
      <c r="H39" s="7">
        <f>150/N26*P26</f>
        <v>20.724907063197026</v>
      </c>
      <c r="I39" s="7">
        <f>100/N26*P26</f>
        <v>13.816604708798017</v>
      </c>
      <c r="J39" s="7">
        <f>50/N26*P26</f>
        <v>6.9083023543990087</v>
      </c>
      <c r="K39" s="7">
        <v>0</v>
      </c>
      <c r="L39" s="7">
        <v>0</v>
      </c>
      <c r="M39" s="7">
        <v>0</v>
      </c>
      <c r="N39" s="7">
        <v>0</v>
      </c>
      <c r="O39">
        <v>0</v>
      </c>
    </row>
    <row r="40" spans="1:24" s="7" customFormat="1"/>
    <row r="41" spans="1:24">
      <c r="I41" t="s">
        <v>269</v>
      </c>
    </row>
    <row r="42" spans="1:24">
      <c r="A42" s="38" t="s">
        <v>198</v>
      </c>
      <c r="B42" t="s">
        <v>268</v>
      </c>
    </row>
    <row r="43" spans="1:24" s="7" customFormat="1">
      <c r="A43" s="38"/>
    </row>
    <row r="44" spans="1:24" s="7" customFormat="1">
      <c r="A44" s="38"/>
    </row>
    <row r="45" spans="1:24">
      <c r="B45">
        <v>2019</v>
      </c>
      <c r="C45">
        <v>2020</v>
      </c>
      <c r="D45" s="7">
        <v>2021</v>
      </c>
      <c r="E45" s="7">
        <v>2022</v>
      </c>
      <c r="F45" s="7">
        <v>2023</v>
      </c>
      <c r="G45">
        <v>2024</v>
      </c>
      <c r="H45">
        <v>2025</v>
      </c>
      <c r="I45" s="7">
        <v>2026</v>
      </c>
      <c r="J45" s="7">
        <v>2027</v>
      </c>
      <c r="K45" s="7">
        <v>2028</v>
      </c>
      <c r="L45" s="7">
        <v>2029</v>
      </c>
      <c r="M45">
        <v>2030</v>
      </c>
    </row>
    <row r="46" spans="1:24">
      <c r="A46" s="7" t="s">
        <v>195</v>
      </c>
      <c r="B46">
        <v>1140</v>
      </c>
      <c r="C46">
        <v>1100</v>
      </c>
      <c r="D46" s="7">
        <v>1100</v>
      </c>
      <c r="E46" s="7"/>
    </row>
    <row r="47" spans="1:24">
      <c r="A47" s="7" t="s">
        <v>222</v>
      </c>
      <c r="B47" s="7">
        <f>B46/$N$26*$P$26</f>
        <v>157.50929368029739</v>
      </c>
      <c r="C47" s="7">
        <f>C46/$N$26*$P$26</f>
        <v>151.98265179677821</v>
      </c>
      <c r="D47" s="7">
        <f>C47</f>
        <v>151.98265179677821</v>
      </c>
      <c r="E47" s="7"/>
    </row>
    <row r="48" spans="1:24">
      <c r="A48" s="7" t="s">
        <v>225</v>
      </c>
      <c r="B48" s="7">
        <f>B47-$B$27</f>
        <v>106.31600991325897</v>
      </c>
      <c r="C48" s="7">
        <f t="shared" ref="C48" si="4">C47-$B$27</f>
        <v>100.78936802973979</v>
      </c>
      <c r="D48" s="7">
        <f>D47-$B$27</f>
        <v>100.78936802973979</v>
      </c>
      <c r="E48" s="7"/>
    </row>
    <row r="49" spans="1:2" s="7" customFormat="1"/>
    <row r="50" spans="1:2" s="7" customFormat="1"/>
    <row r="52" spans="1:2">
      <c r="A52" s="38" t="s">
        <v>256</v>
      </c>
    </row>
    <row r="53" spans="1:2">
      <c r="A53" t="s">
        <v>257</v>
      </c>
    </row>
    <row r="54" spans="1:2">
      <c r="A54" t="s">
        <v>258</v>
      </c>
    </row>
    <row r="55" spans="1:2">
      <c r="A55" t="s">
        <v>259</v>
      </c>
      <c r="B55">
        <f>66/280/N26*P26*1000</f>
        <v>32.567711099309605</v>
      </c>
    </row>
  </sheetData>
  <mergeCells count="2">
    <mergeCell ref="B35:F35"/>
    <mergeCell ref="G35:P3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U22"/>
  <sheetViews>
    <sheetView topLeftCell="T1" workbookViewId="0">
      <selection activeCell="AK2" sqref="AK2:AU22"/>
    </sheetView>
  </sheetViews>
  <sheetFormatPr defaultColWidth="8.85546875" defaultRowHeight="15"/>
  <cols>
    <col min="1" max="1" width="26.7109375" customWidth="1"/>
  </cols>
  <sheetData>
    <row r="1" spans="1:47">
      <c r="A1" s="7" t="s">
        <v>141</v>
      </c>
      <c r="B1" s="7">
        <v>2015</v>
      </c>
      <c r="C1" s="7">
        <v>2016</v>
      </c>
      <c r="D1" s="7">
        <v>2017</v>
      </c>
      <c r="E1" s="7">
        <v>2018</v>
      </c>
      <c r="F1" s="7">
        <v>2019</v>
      </c>
      <c r="G1" s="7">
        <v>2020</v>
      </c>
      <c r="H1" s="7">
        <v>2021</v>
      </c>
      <c r="I1" s="7">
        <v>2022</v>
      </c>
      <c r="J1" s="7">
        <v>2023</v>
      </c>
      <c r="K1" s="7">
        <v>2024</v>
      </c>
      <c r="L1" s="7">
        <v>2025</v>
      </c>
      <c r="M1" s="7">
        <v>2026</v>
      </c>
      <c r="N1" s="7">
        <v>2027</v>
      </c>
      <c r="O1" s="7">
        <v>2028</v>
      </c>
      <c r="P1" s="7">
        <v>2029</v>
      </c>
      <c r="Q1" s="7">
        <v>2030</v>
      </c>
      <c r="R1" s="7">
        <v>2031</v>
      </c>
      <c r="S1" s="7">
        <v>2032</v>
      </c>
      <c r="T1" s="7">
        <v>2033</v>
      </c>
      <c r="U1" s="7">
        <v>2034</v>
      </c>
      <c r="V1" s="7">
        <v>2035</v>
      </c>
      <c r="W1" s="7">
        <v>2036</v>
      </c>
      <c r="X1" s="7">
        <v>2037</v>
      </c>
      <c r="Y1" s="7">
        <v>2038</v>
      </c>
      <c r="Z1" s="7">
        <v>2039</v>
      </c>
      <c r="AA1" s="7">
        <v>2040</v>
      </c>
      <c r="AB1" s="7">
        <v>2041</v>
      </c>
      <c r="AC1" s="7">
        <v>2042</v>
      </c>
      <c r="AD1" s="7">
        <v>2043</v>
      </c>
      <c r="AE1" s="7">
        <v>2044</v>
      </c>
      <c r="AF1" s="7">
        <v>2045</v>
      </c>
      <c r="AG1" s="7">
        <v>2046</v>
      </c>
      <c r="AH1" s="7">
        <v>2047</v>
      </c>
      <c r="AI1" s="7">
        <v>2048</v>
      </c>
      <c r="AJ1" s="7">
        <v>2049</v>
      </c>
      <c r="AK1" s="7">
        <v>2050</v>
      </c>
      <c r="AL1" s="7">
        <v>2051</v>
      </c>
      <c r="AM1" s="7">
        <v>2052</v>
      </c>
      <c r="AN1" s="7">
        <v>2053</v>
      </c>
      <c r="AO1" s="7">
        <v>2054</v>
      </c>
      <c r="AP1" s="7">
        <v>2055</v>
      </c>
      <c r="AQ1" s="7">
        <v>2056</v>
      </c>
      <c r="AR1" s="7">
        <v>2057</v>
      </c>
      <c r="AS1" s="7">
        <v>2058</v>
      </c>
      <c r="AT1" s="7">
        <v>2059</v>
      </c>
      <c r="AU1" s="7">
        <v>2060</v>
      </c>
    </row>
    <row r="2" spans="1:47">
      <c r="A2" s="26" t="s">
        <v>142</v>
      </c>
      <c r="B2" s="7">
        <v>0</v>
      </c>
      <c r="C2" s="7">
        <f>$B2</f>
        <v>0</v>
      </c>
      <c r="D2" s="7">
        <f t="shared" ref="D2:AK9" si="0">$B2</f>
        <v>0</v>
      </c>
      <c r="E2" s="7">
        <f t="shared" si="0"/>
        <v>0</v>
      </c>
      <c r="F2" s="7">
        <f t="shared" si="0"/>
        <v>0</v>
      </c>
      <c r="G2" s="7">
        <f t="shared" si="0"/>
        <v>0</v>
      </c>
      <c r="H2" s="7">
        <f t="shared" si="0"/>
        <v>0</v>
      </c>
      <c r="I2" s="7">
        <f t="shared" si="0"/>
        <v>0</v>
      </c>
      <c r="J2" s="7">
        <f t="shared" si="0"/>
        <v>0</v>
      </c>
      <c r="K2" s="7">
        <f t="shared" si="0"/>
        <v>0</v>
      </c>
      <c r="L2" s="7">
        <f t="shared" si="0"/>
        <v>0</v>
      </c>
      <c r="M2" s="7">
        <f t="shared" si="0"/>
        <v>0</v>
      </c>
      <c r="N2" s="7">
        <f t="shared" si="0"/>
        <v>0</v>
      </c>
      <c r="O2" s="7">
        <f t="shared" si="0"/>
        <v>0</v>
      </c>
      <c r="P2" s="7">
        <f t="shared" si="0"/>
        <v>0</v>
      </c>
      <c r="Q2" s="7">
        <f t="shared" si="0"/>
        <v>0</v>
      </c>
      <c r="R2" s="7">
        <f t="shared" si="0"/>
        <v>0</v>
      </c>
      <c r="S2" s="7">
        <f t="shared" si="0"/>
        <v>0</v>
      </c>
      <c r="T2" s="7">
        <f t="shared" si="0"/>
        <v>0</v>
      </c>
      <c r="U2" s="7">
        <f t="shared" si="0"/>
        <v>0</v>
      </c>
      <c r="V2" s="7">
        <f t="shared" si="0"/>
        <v>0</v>
      </c>
      <c r="W2" s="7">
        <f t="shared" si="0"/>
        <v>0</v>
      </c>
      <c r="X2" s="7">
        <f t="shared" si="0"/>
        <v>0</v>
      </c>
      <c r="Y2" s="7">
        <f t="shared" si="0"/>
        <v>0</v>
      </c>
      <c r="Z2" s="7">
        <f t="shared" si="0"/>
        <v>0</v>
      </c>
      <c r="AA2" s="7">
        <f t="shared" si="0"/>
        <v>0</v>
      </c>
      <c r="AB2" s="7">
        <f t="shared" si="0"/>
        <v>0</v>
      </c>
      <c r="AC2" s="7">
        <f t="shared" si="0"/>
        <v>0</v>
      </c>
      <c r="AD2" s="7">
        <f t="shared" si="0"/>
        <v>0</v>
      </c>
      <c r="AE2" s="7">
        <f t="shared" si="0"/>
        <v>0</v>
      </c>
      <c r="AF2" s="7">
        <f t="shared" si="0"/>
        <v>0</v>
      </c>
      <c r="AG2" s="7">
        <f t="shared" si="0"/>
        <v>0</v>
      </c>
      <c r="AH2" s="7">
        <f t="shared" si="0"/>
        <v>0</v>
      </c>
      <c r="AI2" s="7">
        <f t="shared" si="0"/>
        <v>0</v>
      </c>
      <c r="AJ2" s="7">
        <f t="shared" si="0"/>
        <v>0</v>
      </c>
      <c r="AK2" s="7">
        <f t="shared" si="0"/>
        <v>0</v>
      </c>
      <c r="AL2" s="7">
        <f t="shared" ref="AL2:AU16" si="1">$B2</f>
        <v>0</v>
      </c>
      <c r="AM2" s="7">
        <f t="shared" si="1"/>
        <v>0</v>
      </c>
      <c r="AN2" s="7">
        <f t="shared" si="1"/>
        <v>0</v>
      </c>
      <c r="AO2" s="7">
        <f t="shared" si="1"/>
        <v>0</v>
      </c>
      <c r="AP2" s="7">
        <f t="shared" si="1"/>
        <v>0</v>
      </c>
      <c r="AQ2" s="7">
        <f t="shared" si="1"/>
        <v>0</v>
      </c>
      <c r="AR2" s="7">
        <f t="shared" si="1"/>
        <v>0</v>
      </c>
      <c r="AS2" s="7">
        <f t="shared" si="1"/>
        <v>0</v>
      </c>
      <c r="AT2" s="7">
        <f t="shared" si="1"/>
        <v>0</v>
      </c>
      <c r="AU2" s="7">
        <f t="shared" si="1"/>
        <v>0</v>
      </c>
    </row>
    <row r="3" spans="1:47">
      <c r="A3" s="26" t="s">
        <v>143</v>
      </c>
      <c r="B3" s="6">
        <f>'Fossil Fuels'!B33</f>
        <v>1.8368387273918422E-8</v>
      </c>
      <c r="C3" s="7">
        <f t="shared" ref="C3:R17" si="2">$B3</f>
        <v>1.8368387273918422E-8</v>
      </c>
      <c r="D3" s="7">
        <f t="shared" si="2"/>
        <v>1.8368387273918422E-8</v>
      </c>
      <c r="E3" s="7">
        <f t="shared" si="2"/>
        <v>1.8368387273918422E-8</v>
      </c>
      <c r="F3" s="7">
        <f t="shared" si="2"/>
        <v>1.8368387273918422E-8</v>
      </c>
      <c r="G3" s="7">
        <f t="shared" si="2"/>
        <v>1.8368387273918422E-8</v>
      </c>
      <c r="H3" s="7">
        <f t="shared" si="2"/>
        <v>1.8368387273918422E-8</v>
      </c>
      <c r="I3" s="7">
        <f t="shared" si="2"/>
        <v>1.8368387273918422E-8</v>
      </c>
      <c r="J3" s="7">
        <f t="shared" si="2"/>
        <v>1.8368387273918422E-8</v>
      </c>
      <c r="K3" s="7">
        <f t="shared" si="2"/>
        <v>1.8368387273918422E-8</v>
      </c>
      <c r="L3" s="7">
        <f t="shared" si="2"/>
        <v>1.8368387273918422E-8</v>
      </c>
      <c r="M3" s="7">
        <f t="shared" si="2"/>
        <v>1.8368387273918422E-8</v>
      </c>
      <c r="N3" s="7">
        <f t="shared" si="2"/>
        <v>1.8368387273918422E-8</v>
      </c>
      <c r="O3" s="7">
        <f t="shared" si="2"/>
        <v>1.8368387273918422E-8</v>
      </c>
      <c r="P3" s="7">
        <f t="shared" si="2"/>
        <v>1.8368387273918422E-8</v>
      </c>
      <c r="Q3" s="7">
        <f t="shared" si="2"/>
        <v>1.8368387273918422E-8</v>
      </c>
      <c r="R3" s="7">
        <f t="shared" si="2"/>
        <v>1.8368387273918422E-8</v>
      </c>
      <c r="S3" s="7">
        <f t="shared" si="0"/>
        <v>1.8368387273918422E-8</v>
      </c>
      <c r="T3" s="7">
        <f t="shared" si="0"/>
        <v>1.8368387273918422E-8</v>
      </c>
      <c r="U3" s="7">
        <f t="shared" si="0"/>
        <v>1.8368387273918422E-8</v>
      </c>
      <c r="V3" s="7">
        <f t="shared" si="0"/>
        <v>1.8368387273918422E-8</v>
      </c>
      <c r="W3" s="7">
        <f t="shared" si="0"/>
        <v>1.8368387273918422E-8</v>
      </c>
      <c r="X3" s="7">
        <f t="shared" si="0"/>
        <v>1.8368387273918422E-8</v>
      </c>
      <c r="Y3" s="7">
        <f t="shared" si="0"/>
        <v>1.8368387273918422E-8</v>
      </c>
      <c r="Z3" s="7">
        <f t="shared" si="0"/>
        <v>1.8368387273918422E-8</v>
      </c>
      <c r="AA3" s="7">
        <f t="shared" si="0"/>
        <v>1.8368387273918422E-8</v>
      </c>
      <c r="AB3" s="7">
        <f t="shared" si="0"/>
        <v>1.8368387273918422E-8</v>
      </c>
      <c r="AC3" s="7">
        <f t="shared" si="0"/>
        <v>1.8368387273918422E-8</v>
      </c>
      <c r="AD3" s="7">
        <f t="shared" si="0"/>
        <v>1.8368387273918422E-8</v>
      </c>
      <c r="AE3" s="7">
        <f t="shared" si="0"/>
        <v>1.8368387273918422E-8</v>
      </c>
      <c r="AF3" s="7">
        <f t="shared" si="0"/>
        <v>1.8368387273918422E-8</v>
      </c>
      <c r="AG3" s="7">
        <f t="shared" si="0"/>
        <v>1.8368387273918422E-8</v>
      </c>
      <c r="AH3" s="7">
        <f t="shared" si="0"/>
        <v>1.8368387273918422E-8</v>
      </c>
      <c r="AI3" s="7">
        <f t="shared" si="0"/>
        <v>1.8368387273918422E-8</v>
      </c>
      <c r="AJ3" s="7">
        <f t="shared" si="0"/>
        <v>1.8368387273918422E-8</v>
      </c>
      <c r="AK3" s="7">
        <f t="shared" si="0"/>
        <v>1.8368387273918422E-8</v>
      </c>
      <c r="AL3" s="7">
        <f t="shared" si="1"/>
        <v>1.8368387273918422E-8</v>
      </c>
      <c r="AM3" s="7">
        <f t="shared" si="1"/>
        <v>1.8368387273918422E-8</v>
      </c>
      <c r="AN3" s="7">
        <f t="shared" si="1"/>
        <v>1.8368387273918422E-8</v>
      </c>
      <c r="AO3" s="7">
        <f t="shared" si="1"/>
        <v>1.8368387273918422E-8</v>
      </c>
      <c r="AP3" s="7">
        <f t="shared" si="1"/>
        <v>1.8368387273918422E-8</v>
      </c>
      <c r="AQ3" s="7">
        <f t="shared" si="1"/>
        <v>1.8368387273918422E-8</v>
      </c>
      <c r="AR3" s="7">
        <f t="shared" si="1"/>
        <v>1.8368387273918422E-8</v>
      </c>
      <c r="AS3" s="7">
        <f t="shared" si="1"/>
        <v>1.8368387273918422E-8</v>
      </c>
      <c r="AT3" s="7">
        <f t="shared" si="1"/>
        <v>1.8368387273918422E-8</v>
      </c>
      <c r="AU3" s="7">
        <f t="shared" si="1"/>
        <v>1.8368387273918422E-8</v>
      </c>
    </row>
    <row r="4" spans="1:47">
      <c r="A4" s="26" t="s">
        <v>144</v>
      </c>
      <c r="B4" s="6">
        <f>'Fossil Fuels'!B34</f>
        <v>1.0500519506302256E-8</v>
      </c>
      <c r="C4" s="7">
        <f t="shared" si="2"/>
        <v>1.0500519506302256E-8</v>
      </c>
      <c r="D4" s="7">
        <f t="shared" si="0"/>
        <v>1.0500519506302256E-8</v>
      </c>
      <c r="E4" s="7">
        <f t="shared" si="0"/>
        <v>1.0500519506302256E-8</v>
      </c>
      <c r="F4" s="7">
        <f t="shared" si="0"/>
        <v>1.0500519506302256E-8</v>
      </c>
      <c r="G4" s="7">
        <f t="shared" si="0"/>
        <v>1.0500519506302256E-8</v>
      </c>
      <c r="H4" s="7">
        <f t="shared" si="0"/>
        <v>1.0500519506302256E-8</v>
      </c>
      <c r="I4" s="7">
        <f t="shared" si="0"/>
        <v>1.0500519506302256E-8</v>
      </c>
      <c r="J4" s="7">
        <f t="shared" si="0"/>
        <v>1.0500519506302256E-8</v>
      </c>
      <c r="K4" s="7">
        <f t="shared" si="0"/>
        <v>1.0500519506302256E-8</v>
      </c>
      <c r="L4" s="7">
        <f t="shared" si="0"/>
        <v>1.0500519506302256E-8</v>
      </c>
      <c r="M4" s="7">
        <f t="shared" si="0"/>
        <v>1.0500519506302256E-8</v>
      </c>
      <c r="N4" s="7">
        <f t="shared" si="0"/>
        <v>1.0500519506302256E-8</v>
      </c>
      <c r="O4" s="7">
        <f t="shared" si="0"/>
        <v>1.0500519506302256E-8</v>
      </c>
      <c r="P4" s="7">
        <f t="shared" si="0"/>
        <v>1.0500519506302256E-8</v>
      </c>
      <c r="Q4" s="7">
        <f t="shared" si="0"/>
        <v>1.0500519506302256E-8</v>
      </c>
      <c r="R4" s="7">
        <f t="shared" si="0"/>
        <v>1.0500519506302256E-8</v>
      </c>
      <c r="S4" s="7">
        <f t="shared" si="0"/>
        <v>1.0500519506302256E-8</v>
      </c>
      <c r="T4" s="7">
        <f t="shared" si="0"/>
        <v>1.0500519506302256E-8</v>
      </c>
      <c r="U4" s="7">
        <f t="shared" si="0"/>
        <v>1.0500519506302256E-8</v>
      </c>
      <c r="V4" s="7">
        <f t="shared" si="0"/>
        <v>1.0500519506302256E-8</v>
      </c>
      <c r="W4" s="7">
        <f t="shared" si="0"/>
        <v>1.0500519506302256E-8</v>
      </c>
      <c r="X4" s="7">
        <f t="shared" si="0"/>
        <v>1.0500519506302256E-8</v>
      </c>
      <c r="Y4" s="7">
        <f t="shared" si="0"/>
        <v>1.0500519506302256E-8</v>
      </c>
      <c r="Z4" s="7">
        <f t="shared" si="0"/>
        <v>1.0500519506302256E-8</v>
      </c>
      <c r="AA4" s="7">
        <f t="shared" si="0"/>
        <v>1.0500519506302256E-8</v>
      </c>
      <c r="AB4" s="7">
        <f t="shared" si="0"/>
        <v>1.0500519506302256E-8</v>
      </c>
      <c r="AC4" s="7">
        <f t="shared" si="0"/>
        <v>1.0500519506302256E-8</v>
      </c>
      <c r="AD4" s="7">
        <f t="shared" si="0"/>
        <v>1.0500519506302256E-8</v>
      </c>
      <c r="AE4" s="7">
        <f t="shared" si="0"/>
        <v>1.0500519506302256E-8</v>
      </c>
      <c r="AF4" s="7">
        <f t="shared" si="0"/>
        <v>1.0500519506302256E-8</v>
      </c>
      <c r="AG4" s="7">
        <f t="shared" si="0"/>
        <v>1.0500519506302256E-8</v>
      </c>
      <c r="AH4" s="7">
        <f t="shared" si="0"/>
        <v>1.0500519506302256E-8</v>
      </c>
      <c r="AI4" s="7">
        <f t="shared" si="0"/>
        <v>1.0500519506302256E-8</v>
      </c>
      <c r="AJ4" s="7">
        <f t="shared" si="0"/>
        <v>1.0500519506302256E-8</v>
      </c>
      <c r="AK4" s="7">
        <f t="shared" si="0"/>
        <v>1.0500519506302256E-8</v>
      </c>
      <c r="AL4" s="7">
        <f t="shared" si="1"/>
        <v>1.0500519506302256E-8</v>
      </c>
      <c r="AM4" s="7">
        <f t="shared" si="1"/>
        <v>1.0500519506302256E-8</v>
      </c>
      <c r="AN4" s="7">
        <f t="shared" si="1"/>
        <v>1.0500519506302256E-8</v>
      </c>
      <c r="AO4" s="7">
        <f t="shared" si="1"/>
        <v>1.0500519506302256E-8</v>
      </c>
      <c r="AP4" s="7">
        <f t="shared" si="1"/>
        <v>1.0500519506302256E-8</v>
      </c>
      <c r="AQ4" s="7">
        <f t="shared" si="1"/>
        <v>1.0500519506302256E-8</v>
      </c>
      <c r="AR4" s="7">
        <f t="shared" si="1"/>
        <v>1.0500519506302256E-8</v>
      </c>
      <c r="AS4" s="7">
        <f t="shared" si="1"/>
        <v>1.0500519506302256E-8</v>
      </c>
      <c r="AT4" s="7">
        <f t="shared" si="1"/>
        <v>1.0500519506302256E-8</v>
      </c>
      <c r="AU4" s="7">
        <f t="shared" si="1"/>
        <v>1.0500519506302256E-8</v>
      </c>
    </row>
    <row r="5" spans="1:47">
      <c r="A5" s="26" t="s">
        <v>145</v>
      </c>
      <c r="B5" s="7">
        <v>0</v>
      </c>
      <c r="C5" s="7">
        <f t="shared" si="2"/>
        <v>0</v>
      </c>
      <c r="D5" s="7">
        <f t="shared" si="0"/>
        <v>0</v>
      </c>
      <c r="E5" s="7">
        <f t="shared" si="0"/>
        <v>0</v>
      </c>
      <c r="F5" s="7">
        <f t="shared" si="0"/>
        <v>0</v>
      </c>
      <c r="G5" s="7">
        <f t="shared" si="0"/>
        <v>0</v>
      </c>
      <c r="H5" s="7">
        <f t="shared" si="0"/>
        <v>0</v>
      </c>
      <c r="I5" s="7">
        <f t="shared" si="0"/>
        <v>0</v>
      </c>
      <c r="J5" s="7">
        <f t="shared" si="0"/>
        <v>0</v>
      </c>
      <c r="K5" s="7">
        <f t="shared" si="0"/>
        <v>0</v>
      </c>
      <c r="L5" s="7">
        <f t="shared" si="0"/>
        <v>0</v>
      </c>
      <c r="M5" s="7">
        <f t="shared" si="0"/>
        <v>0</v>
      </c>
      <c r="N5" s="7">
        <f t="shared" si="0"/>
        <v>0</v>
      </c>
      <c r="O5" s="7">
        <f t="shared" si="0"/>
        <v>0</v>
      </c>
      <c r="P5" s="7">
        <f t="shared" si="0"/>
        <v>0</v>
      </c>
      <c r="Q5" s="7">
        <f t="shared" si="0"/>
        <v>0</v>
      </c>
      <c r="R5" s="7">
        <f t="shared" si="0"/>
        <v>0</v>
      </c>
      <c r="S5" s="7">
        <f t="shared" si="0"/>
        <v>0</v>
      </c>
      <c r="T5" s="7">
        <f t="shared" si="0"/>
        <v>0</v>
      </c>
      <c r="U5" s="7">
        <f t="shared" si="0"/>
        <v>0</v>
      </c>
      <c r="V5" s="7">
        <f t="shared" si="0"/>
        <v>0</v>
      </c>
      <c r="W5" s="7">
        <f t="shared" si="0"/>
        <v>0</v>
      </c>
      <c r="X5" s="7">
        <f t="shared" si="0"/>
        <v>0</v>
      </c>
      <c r="Y5" s="7">
        <f t="shared" si="0"/>
        <v>0</v>
      </c>
      <c r="Z5" s="7">
        <f t="shared" si="0"/>
        <v>0</v>
      </c>
      <c r="AA5" s="7">
        <f t="shared" si="0"/>
        <v>0</v>
      </c>
      <c r="AB5" s="7">
        <f t="shared" si="0"/>
        <v>0</v>
      </c>
      <c r="AC5" s="7">
        <f t="shared" si="0"/>
        <v>0</v>
      </c>
      <c r="AD5" s="7">
        <f t="shared" si="0"/>
        <v>0</v>
      </c>
      <c r="AE5" s="7">
        <f t="shared" si="0"/>
        <v>0</v>
      </c>
      <c r="AF5" s="7">
        <f t="shared" si="0"/>
        <v>0</v>
      </c>
      <c r="AG5" s="7">
        <f t="shared" si="0"/>
        <v>0</v>
      </c>
      <c r="AH5" s="7">
        <f t="shared" si="0"/>
        <v>0</v>
      </c>
      <c r="AI5" s="7">
        <f t="shared" si="0"/>
        <v>0</v>
      </c>
      <c r="AJ5" s="7">
        <f t="shared" si="0"/>
        <v>0</v>
      </c>
      <c r="AK5" s="7">
        <f t="shared" si="0"/>
        <v>0</v>
      </c>
      <c r="AL5" s="7">
        <f t="shared" si="1"/>
        <v>0</v>
      </c>
      <c r="AM5" s="7">
        <f t="shared" si="1"/>
        <v>0</v>
      </c>
      <c r="AN5" s="7">
        <f t="shared" si="1"/>
        <v>0</v>
      </c>
      <c r="AO5" s="7">
        <f t="shared" si="1"/>
        <v>0</v>
      </c>
      <c r="AP5" s="7">
        <f t="shared" si="1"/>
        <v>0</v>
      </c>
      <c r="AQ5" s="7">
        <f t="shared" si="1"/>
        <v>0</v>
      </c>
      <c r="AR5" s="7">
        <f t="shared" si="1"/>
        <v>0</v>
      </c>
      <c r="AS5" s="7">
        <f t="shared" si="1"/>
        <v>0</v>
      </c>
      <c r="AT5" s="7">
        <f t="shared" si="1"/>
        <v>0</v>
      </c>
      <c r="AU5" s="7">
        <f t="shared" si="1"/>
        <v>0</v>
      </c>
    </row>
    <row r="6" spans="1:47">
      <c r="A6" s="26" t="s">
        <v>146</v>
      </c>
      <c r="B6" s="7">
        <v>0</v>
      </c>
      <c r="C6" s="7">
        <f t="shared" si="2"/>
        <v>0</v>
      </c>
      <c r="D6" s="7">
        <f t="shared" si="0"/>
        <v>0</v>
      </c>
      <c r="E6" s="7">
        <f t="shared" si="0"/>
        <v>0</v>
      </c>
      <c r="F6" s="7">
        <f t="shared" si="0"/>
        <v>0</v>
      </c>
      <c r="G6" s="7">
        <f t="shared" si="0"/>
        <v>0</v>
      </c>
      <c r="H6" s="7">
        <f t="shared" si="0"/>
        <v>0</v>
      </c>
      <c r="I6" s="7">
        <f t="shared" si="0"/>
        <v>0</v>
      </c>
      <c r="J6" s="7">
        <f t="shared" si="0"/>
        <v>0</v>
      </c>
      <c r="K6" s="7">
        <f t="shared" si="0"/>
        <v>0</v>
      </c>
      <c r="L6" s="7">
        <f t="shared" si="0"/>
        <v>0</v>
      </c>
      <c r="M6" s="7">
        <f t="shared" si="0"/>
        <v>0</v>
      </c>
      <c r="N6" s="7">
        <f t="shared" si="0"/>
        <v>0</v>
      </c>
      <c r="O6" s="7">
        <f t="shared" si="0"/>
        <v>0</v>
      </c>
      <c r="P6" s="7">
        <f t="shared" si="0"/>
        <v>0</v>
      </c>
      <c r="Q6" s="7">
        <f t="shared" si="0"/>
        <v>0</v>
      </c>
      <c r="R6" s="7">
        <f t="shared" si="0"/>
        <v>0</v>
      </c>
      <c r="S6" s="7">
        <f t="shared" si="0"/>
        <v>0</v>
      </c>
      <c r="T6" s="7">
        <f t="shared" si="0"/>
        <v>0</v>
      </c>
      <c r="U6" s="7">
        <f t="shared" si="0"/>
        <v>0</v>
      </c>
      <c r="V6" s="7">
        <f t="shared" si="0"/>
        <v>0</v>
      </c>
      <c r="W6" s="7">
        <f t="shared" si="0"/>
        <v>0</v>
      </c>
      <c r="X6" s="7">
        <f t="shared" si="0"/>
        <v>0</v>
      </c>
      <c r="Y6" s="7">
        <f t="shared" si="0"/>
        <v>0</v>
      </c>
      <c r="Z6" s="7">
        <f t="shared" si="0"/>
        <v>0</v>
      </c>
      <c r="AA6" s="7">
        <f t="shared" si="0"/>
        <v>0</v>
      </c>
      <c r="AB6" s="7">
        <f t="shared" si="0"/>
        <v>0</v>
      </c>
      <c r="AC6" s="7">
        <f t="shared" si="0"/>
        <v>0</v>
      </c>
      <c r="AD6" s="7">
        <f t="shared" si="0"/>
        <v>0</v>
      </c>
      <c r="AE6" s="7">
        <f t="shared" si="0"/>
        <v>0</v>
      </c>
      <c r="AF6" s="7">
        <f t="shared" si="0"/>
        <v>0</v>
      </c>
      <c r="AG6" s="7">
        <f t="shared" si="0"/>
        <v>0</v>
      </c>
      <c r="AH6" s="7">
        <f t="shared" si="0"/>
        <v>0</v>
      </c>
      <c r="AI6" s="7">
        <f t="shared" si="0"/>
        <v>0</v>
      </c>
      <c r="AJ6" s="7">
        <f t="shared" si="0"/>
        <v>0</v>
      </c>
      <c r="AK6" s="7">
        <f t="shared" si="0"/>
        <v>0</v>
      </c>
      <c r="AL6" s="7">
        <f t="shared" si="1"/>
        <v>0</v>
      </c>
      <c r="AM6" s="7">
        <f t="shared" si="1"/>
        <v>0</v>
      </c>
      <c r="AN6" s="7">
        <f t="shared" si="1"/>
        <v>0</v>
      </c>
      <c r="AO6" s="7">
        <f t="shared" si="1"/>
        <v>0</v>
      </c>
      <c r="AP6" s="7">
        <f t="shared" si="1"/>
        <v>0</v>
      </c>
      <c r="AQ6" s="7">
        <f t="shared" si="1"/>
        <v>0</v>
      </c>
      <c r="AR6" s="7">
        <f t="shared" si="1"/>
        <v>0</v>
      </c>
      <c r="AS6" s="7">
        <f t="shared" si="1"/>
        <v>0</v>
      </c>
      <c r="AT6" s="7">
        <f t="shared" si="1"/>
        <v>0</v>
      </c>
      <c r="AU6" s="7">
        <f t="shared" si="1"/>
        <v>0</v>
      </c>
    </row>
    <row r="7" spans="1:47">
      <c r="A7" s="26" t="s">
        <v>147</v>
      </c>
      <c r="B7" s="7">
        <v>0</v>
      </c>
      <c r="C7" s="7">
        <f t="shared" si="2"/>
        <v>0</v>
      </c>
      <c r="D7" s="7">
        <f t="shared" si="0"/>
        <v>0</v>
      </c>
      <c r="E7" s="7">
        <f t="shared" si="0"/>
        <v>0</v>
      </c>
      <c r="F7" s="7">
        <f t="shared" si="0"/>
        <v>0</v>
      </c>
      <c r="G7" s="7">
        <f t="shared" si="0"/>
        <v>0</v>
      </c>
      <c r="H7" s="7">
        <f t="shared" si="0"/>
        <v>0</v>
      </c>
      <c r="I7" s="7">
        <f t="shared" si="0"/>
        <v>0</v>
      </c>
      <c r="J7" s="7">
        <f t="shared" si="0"/>
        <v>0</v>
      </c>
      <c r="K7" s="7">
        <f t="shared" si="0"/>
        <v>0</v>
      </c>
      <c r="L7" s="7">
        <f t="shared" si="0"/>
        <v>0</v>
      </c>
      <c r="M7" s="7">
        <f t="shared" si="0"/>
        <v>0</v>
      </c>
      <c r="N7" s="7">
        <f t="shared" si="0"/>
        <v>0</v>
      </c>
      <c r="O7" s="7">
        <f t="shared" si="0"/>
        <v>0</v>
      </c>
      <c r="P7" s="7">
        <f t="shared" si="0"/>
        <v>0</v>
      </c>
      <c r="Q7" s="7">
        <f t="shared" si="0"/>
        <v>0</v>
      </c>
      <c r="R7" s="7">
        <f t="shared" si="0"/>
        <v>0</v>
      </c>
      <c r="S7" s="7">
        <f t="shared" si="0"/>
        <v>0</v>
      </c>
      <c r="T7" s="7">
        <f t="shared" si="0"/>
        <v>0</v>
      </c>
      <c r="U7" s="7">
        <f t="shared" si="0"/>
        <v>0</v>
      </c>
      <c r="V7" s="7">
        <f t="shared" si="0"/>
        <v>0</v>
      </c>
      <c r="W7" s="7">
        <f t="shared" si="0"/>
        <v>0</v>
      </c>
      <c r="X7" s="7">
        <f t="shared" si="0"/>
        <v>0</v>
      </c>
      <c r="Y7" s="7">
        <f t="shared" si="0"/>
        <v>0</v>
      </c>
      <c r="Z7" s="7">
        <f t="shared" si="0"/>
        <v>0</v>
      </c>
      <c r="AA7" s="7">
        <f t="shared" si="0"/>
        <v>0</v>
      </c>
      <c r="AB7" s="7">
        <f t="shared" si="0"/>
        <v>0</v>
      </c>
      <c r="AC7" s="7">
        <f t="shared" si="0"/>
        <v>0</v>
      </c>
      <c r="AD7" s="7">
        <f t="shared" si="0"/>
        <v>0</v>
      </c>
      <c r="AE7" s="7">
        <f t="shared" si="0"/>
        <v>0</v>
      </c>
      <c r="AF7" s="7">
        <f t="shared" si="0"/>
        <v>0</v>
      </c>
      <c r="AG7" s="7">
        <f t="shared" si="0"/>
        <v>0</v>
      </c>
      <c r="AH7" s="7">
        <f t="shared" si="0"/>
        <v>0</v>
      </c>
      <c r="AI7" s="7">
        <f t="shared" si="0"/>
        <v>0</v>
      </c>
      <c r="AJ7" s="7">
        <f t="shared" si="0"/>
        <v>0</v>
      </c>
      <c r="AK7" s="7">
        <f t="shared" si="0"/>
        <v>0</v>
      </c>
      <c r="AL7" s="7">
        <f t="shared" si="1"/>
        <v>0</v>
      </c>
      <c r="AM7" s="7">
        <f t="shared" si="1"/>
        <v>0</v>
      </c>
      <c r="AN7" s="7">
        <f t="shared" si="1"/>
        <v>0</v>
      </c>
      <c r="AO7" s="7">
        <f t="shared" si="1"/>
        <v>0</v>
      </c>
      <c r="AP7" s="7">
        <f t="shared" si="1"/>
        <v>0</v>
      </c>
      <c r="AQ7" s="7">
        <f t="shared" si="1"/>
        <v>0</v>
      </c>
      <c r="AR7" s="7">
        <f t="shared" si="1"/>
        <v>0</v>
      </c>
      <c r="AS7" s="7">
        <f t="shared" si="1"/>
        <v>0</v>
      </c>
      <c r="AT7" s="7">
        <f t="shared" si="1"/>
        <v>0</v>
      </c>
      <c r="AU7" s="7">
        <f t="shared" si="1"/>
        <v>0</v>
      </c>
    </row>
    <row r="8" spans="1:47">
      <c r="A8" s="26" t="s">
        <v>148</v>
      </c>
      <c r="B8" s="7">
        <v>0</v>
      </c>
      <c r="C8" s="7">
        <f t="shared" si="2"/>
        <v>0</v>
      </c>
      <c r="D8" s="7">
        <f t="shared" si="0"/>
        <v>0</v>
      </c>
      <c r="E8" s="7">
        <f t="shared" si="0"/>
        <v>0</v>
      </c>
      <c r="F8" s="7">
        <f t="shared" si="0"/>
        <v>0</v>
      </c>
      <c r="G8" s="7">
        <f t="shared" si="0"/>
        <v>0</v>
      </c>
      <c r="H8" s="7">
        <f t="shared" si="0"/>
        <v>0</v>
      </c>
      <c r="I8" s="7">
        <f t="shared" si="0"/>
        <v>0</v>
      </c>
      <c r="J8" s="7">
        <f t="shared" si="0"/>
        <v>0</v>
      </c>
      <c r="K8" s="7">
        <f t="shared" si="0"/>
        <v>0</v>
      </c>
      <c r="L8" s="7">
        <f t="shared" si="0"/>
        <v>0</v>
      </c>
      <c r="M8" s="7">
        <f t="shared" si="0"/>
        <v>0</v>
      </c>
      <c r="N8" s="7">
        <f t="shared" si="0"/>
        <v>0</v>
      </c>
      <c r="O8" s="7">
        <f t="shared" si="0"/>
        <v>0</v>
      </c>
      <c r="P8" s="7">
        <f t="shared" si="0"/>
        <v>0</v>
      </c>
      <c r="Q8" s="7">
        <f t="shared" si="0"/>
        <v>0</v>
      </c>
      <c r="R8" s="7">
        <f t="shared" si="0"/>
        <v>0</v>
      </c>
      <c r="S8" s="7">
        <f t="shared" si="0"/>
        <v>0</v>
      </c>
      <c r="T8" s="7">
        <f t="shared" si="0"/>
        <v>0</v>
      </c>
      <c r="U8" s="7">
        <f t="shared" si="0"/>
        <v>0</v>
      </c>
      <c r="V8" s="7">
        <f t="shared" si="0"/>
        <v>0</v>
      </c>
      <c r="W8" s="7">
        <f t="shared" si="0"/>
        <v>0</v>
      </c>
      <c r="X8" s="7">
        <f t="shared" si="0"/>
        <v>0</v>
      </c>
      <c r="Y8" s="7">
        <f t="shared" si="0"/>
        <v>0</v>
      </c>
      <c r="Z8" s="7">
        <f t="shared" si="0"/>
        <v>0</v>
      </c>
      <c r="AA8" s="7">
        <f t="shared" si="0"/>
        <v>0</v>
      </c>
      <c r="AB8" s="7">
        <f t="shared" si="0"/>
        <v>0</v>
      </c>
      <c r="AC8" s="7">
        <f t="shared" si="0"/>
        <v>0</v>
      </c>
      <c r="AD8" s="7">
        <f t="shared" si="0"/>
        <v>0</v>
      </c>
      <c r="AE8" s="7">
        <f t="shared" si="0"/>
        <v>0</v>
      </c>
      <c r="AF8" s="7">
        <f t="shared" si="0"/>
        <v>0</v>
      </c>
      <c r="AG8" s="7">
        <f t="shared" si="0"/>
        <v>0</v>
      </c>
      <c r="AH8" s="7">
        <f t="shared" si="0"/>
        <v>0</v>
      </c>
      <c r="AI8" s="7">
        <f t="shared" si="0"/>
        <v>0</v>
      </c>
      <c r="AJ8" s="7">
        <f t="shared" si="0"/>
        <v>0</v>
      </c>
      <c r="AK8" s="7">
        <f t="shared" si="0"/>
        <v>0</v>
      </c>
      <c r="AL8" s="7">
        <f t="shared" si="1"/>
        <v>0</v>
      </c>
      <c r="AM8" s="7">
        <f t="shared" si="1"/>
        <v>0</v>
      </c>
      <c r="AN8" s="7">
        <f t="shared" si="1"/>
        <v>0</v>
      </c>
      <c r="AO8" s="7">
        <f t="shared" si="1"/>
        <v>0</v>
      </c>
      <c r="AP8" s="7">
        <f t="shared" si="1"/>
        <v>0</v>
      </c>
      <c r="AQ8" s="7">
        <f t="shared" si="1"/>
        <v>0</v>
      </c>
      <c r="AR8" s="7">
        <f t="shared" si="1"/>
        <v>0</v>
      </c>
      <c r="AS8" s="7">
        <f t="shared" si="1"/>
        <v>0</v>
      </c>
      <c r="AT8" s="7">
        <f t="shared" si="1"/>
        <v>0</v>
      </c>
      <c r="AU8" s="7">
        <f t="shared" si="1"/>
        <v>0</v>
      </c>
    </row>
    <row r="9" spans="1:47">
      <c r="A9" s="26" t="s">
        <v>149</v>
      </c>
      <c r="B9" s="7">
        <v>0</v>
      </c>
      <c r="C9" s="7">
        <f t="shared" si="2"/>
        <v>0</v>
      </c>
      <c r="D9" s="7">
        <f t="shared" si="0"/>
        <v>0</v>
      </c>
      <c r="E9" s="7">
        <f t="shared" si="0"/>
        <v>0</v>
      </c>
      <c r="F9" s="7">
        <f t="shared" si="0"/>
        <v>0</v>
      </c>
      <c r="G9" s="7">
        <f t="shared" si="0"/>
        <v>0</v>
      </c>
      <c r="H9" s="7">
        <f t="shared" si="0"/>
        <v>0</v>
      </c>
      <c r="I9" s="7">
        <f t="shared" si="0"/>
        <v>0</v>
      </c>
      <c r="J9" s="7">
        <f t="shared" si="0"/>
        <v>0</v>
      </c>
      <c r="K9" s="7">
        <f t="shared" si="0"/>
        <v>0</v>
      </c>
      <c r="L9" s="7">
        <f t="shared" si="0"/>
        <v>0</v>
      </c>
      <c r="M9" s="7">
        <f t="shared" si="0"/>
        <v>0</v>
      </c>
      <c r="N9" s="7">
        <f t="shared" si="0"/>
        <v>0</v>
      </c>
      <c r="O9" s="7">
        <f t="shared" si="0"/>
        <v>0</v>
      </c>
      <c r="P9" s="7">
        <f t="shared" si="0"/>
        <v>0</v>
      </c>
      <c r="Q9" s="7">
        <f t="shared" si="0"/>
        <v>0</v>
      </c>
      <c r="R9" s="7">
        <f t="shared" si="0"/>
        <v>0</v>
      </c>
      <c r="S9" s="7">
        <f t="shared" si="0"/>
        <v>0</v>
      </c>
      <c r="T9" s="7">
        <f t="shared" si="0"/>
        <v>0</v>
      </c>
      <c r="U9" s="7">
        <f t="shared" si="0"/>
        <v>0</v>
      </c>
      <c r="V9" s="7">
        <f t="shared" si="0"/>
        <v>0</v>
      </c>
      <c r="W9" s="7">
        <f t="shared" si="0"/>
        <v>0</v>
      </c>
      <c r="X9" s="7">
        <f t="shared" si="0"/>
        <v>0</v>
      </c>
      <c r="Y9" s="7">
        <f t="shared" si="0"/>
        <v>0</v>
      </c>
      <c r="Z9" s="7">
        <f t="shared" si="0"/>
        <v>0</v>
      </c>
      <c r="AA9" s="7">
        <f t="shared" si="0"/>
        <v>0</v>
      </c>
      <c r="AB9" s="7">
        <f t="shared" si="0"/>
        <v>0</v>
      </c>
      <c r="AC9" s="7">
        <f t="shared" si="0"/>
        <v>0</v>
      </c>
      <c r="AD9" s="7">
        <f t="shared" si="0"/>
        <v>0</v>
      </c>
      <c r="AE9" s="7">
        <f t="shared" si="0"/>
        <v>0</v>
      </c>
      <c r="AF9" s="7">
        <f t="shared" si="0"/>
        <v>0</v>
      </c>
      <c r="AG9" s="7">
        <f t="shared" si="0"/>
        <v>0</v>
      </c>
      <c r="AH9" s="7">
        <f t="shared" si="0"/>
        <v>0</v>
      </c>
      <c r="AI9" s="7">
        <f t="shared" si="0"/>
        <v>0</v>
      </c>
      <c r="AJ9" s="7">
        <f t="shared" ref="D9:AK17" si="3">$B9</f>
        <v>0</v>
      </c>
      <c r="AK9" s="7">
        <f t="shared" si="3"/>
        <v>0</v>
      </c>
      <c r="AL9" s="7">
        <f t="shared" si="1"/>
        <v>0</v>
      </c>
      <c r="AM9" s="7">
        <f t="shared" si="1"/>
        <v>0</v>
      </c>
      <c r="AN9" s="7">
        <f t="shared" si="1"/>
        <v>0</v>
      </c>
      <c r="AO9" s="7">
        <f t="shared" si="1"/>
        <v>0</v>
      </c>
      <c r="AP9" s="7">
        <f t="shared" si="1"/>
        <v>0</v>
      </c>
      <c r="AQ9" s="7">
        <f t="shared" si="1"/>
        <v>0</v>
      </c>
      <c r="AR9" s="7">
        <f t="shared" si="1"/>
        <v>0</v>
      </c>
      <c r="AS9" s="7">
        <f t="shared" si="1"/>
        <v>0</v>
      </c>
      <c r="AT9" s="7">
        <f t="shared" si="1"/>
        <v>0</v>
      </c>
      <c r="AU9" s="7">
        <f t="shared" si="1"/>
        <v>0</v>
      </c>
    </row>
    <row r="10" spans="1:47">
      <c r="A10" s="26" t="s">
        <v>150</v>
      </c>
      <c r="B10" s="6">
        <f>'Fossil Fuels'!B35</f>
        <v>8.3531632672634463E-7</v>
      </c>
      <c r="C10" s="7">
        <f t="shared" si="2"/>
        <v>8.3531632672634463E-7</v>
      </c>
      <c r="D10" s="7">
        <f t="shared" si="3"/>
        <v>8.3531632672634463E-7</v>
      </c>
      <c r="E10" s="7">
        <f t="shared" si="3"/>
        <v>8.3531632672634463E-7</v>
      </c>
      <c r="F10" s="7">
        <f t="shared" si="3"/>
        <v>8.3531632672634463E-7</v>
      </c>
      <c r="G10" s="7">
        <f t="shared" si="3"/>
        <v>8.3531632672634463E-7</v>
      </c>
      <c r="H10" s="7">
        <f t="shared" si="3"/>
        <v>8.3531632672634463E-7</v>
      </c>
      <c r="I10" s="7">
        <f t="shared" si="3"/>
        <v>8.3531632672634463E-7</v>
      </c>
      <c r="J10" s="7">
        <f t="shared" si="3"/>
        <v>8.3531632672634463E-7</v>
      </c>
      <c r="K10" s="7">
        <f t="shared" si="3"/>
        <v>8.3531632672634463E-7</v>
      </c>
      <c r="L10" s="7">
        <f t="shared" si="3"/>
        <v>8.3531632672634463E-7</v>
      </c>
      <c r="M10" s="7">
        <f t="shared" si="3"/>
        <v>8.3531632672634463E-7</v>
      </c>
      <c r="N10" s="7">
        <f t="shared" si="3"/>
        <v>8.3531632672634463E-7</v>
      </c>
      <c r="O10" s="7">
        <f t="shared" si="3"/>
        <v>8.3531632672634463E-7</v>
      </c>
      <c r="P10" s="7">
        <f t="shared" si="3"/>
        <v>8.3531632672634463E-7</v>
      </c>
      <c r="Q10" s="7">
        <f t="shared" si="3"/>
        <v>8.3531632672634463E-7</v>
      </c>
      <c r="R10" s="7">
        <f t="shared" si="3"/>
        <v>8.3531632672634463E-7</v>
      </c>
      <c r="S10" s="7">
        <f t="shared" si="3"/>
        <v>8.3531632672634463E-7</v>
      </c>
      <c r="T10" s="7">
        <f t="shared" si="3"/>
        <v>8.3531632672634463E-7</v>
      </c>
      <c r="U10" s="7">
        <f t="shared" si="3"/>
        <v>8.3531632672634463E-7</v>
      </c>
      <c r="V10" s="7">
        <f t="shared" si="3"/>
        <v>8.3531632672634463E-7</v>
      </c>
      <c r="W10" s="7">
        <f t="shared" si="3"/>
        <v>8.3531632672634463E-7</v>
      </c>
      <c r="X10" s="7">
        <f t="shared" si="3"/>
        <v>8.3531632672634463E-7</v>
      </c>
      <c r="Y10" s="7">
        <f t="shared" si="3"/>
        <v>8.3531632672634463E-7</v>
      </c>
      <c r="Z10" s="7">
        <f t="shared" si="3"/>
        <v>8.3531632672634463E-7</v>
      </c>
      <c r="AA10" s="7">
        <f t="shared" si="3"/>
        <v>8.3531632672634463E-7</v>
      </c>
      <c r="AB10" s="7">
        <f t="shared" si="3"/>
        <v>8.3531632672634463E-7</v>
      </c>
      <c r="AC10" s="7">
        <f t="shared" si="3"/>
        <v>8.3531632672634463E-7</v>
      </c>
      <c r="AD10" s="7">
        <f t="shared" si="3"/>
        <v>8.3531632672634463E-7</v>
      </c>
      <c r="AE10" s="7">
        <f t="shared" si="3"/>
        <v>8.3531632672634463E-7</v>
      </c>
      <c r="AF10" s="7">
        <f t="shared" si="3"/>
        <v>8.3531632672634463E-7</v>
      </c>
      <c r="AG10" s="7">
        <f t="shared" si="3"/>
        <v>8.3531632672634463E-7</v>
      </c>
      <c r="AH10" s="7">
        <f t="shared" si="3"/>
        <v>8.3531632672634463E-7</v>
      </c>
      <c r="AI10" s="7">
        <f t="shared" si="3"/>
        <v>8.3531632672634463E-7</v>
      </c>
      <c r="AJ10" s="7">
        <f t="shared" si="3"/>
        <v>8.3531632672634463E-7</v>
      </c>
      <c r="AK10" s="7">
        <f t="shared" si="3"/>
        <v>8.3531632672634463E-7</v>
      </c>
      <c r="AL10" s="7">
        <f t="shared" si="1"/>
        <v>8.3531632672634463E-7</v>
      </c>
      <c r="AM10" s="7">
        <f t="shared" si="1"/>
        <v>8.3531632672634463E-7</v>
      </c>
      <c r="AN10" s="7">
        <f t="shared" si="1"/>
        <v>8.3531632672634463E-7</v>
      </c>
      <c r="AO10" s="7">
        <f t="shared" si="1"/>
        <v>8.3531632672634463E-7</v>
      </c>
      <c r="AP10" s="7">
        <f t="shared" si="1"/>
        <v>8.3531632672634463E-7</v>
      </c>
      <c r="AQ10" s="7">
        <f t="shared" si="1"/>
        <v>8.3531632672634463E-7</v>
      </c>
      <c r="AR10" s="7">
        <f t="shared" si="1"/>
        <v>8.3531632672634463E-7</v>
      </c>
      <c r="AS10" s="7">
        <f t="shared" si="1"/>
        <v>8.3531632672634463E-7</v>
      </c>
      <c r="AT10" s="7">
        <f t="shared" si="1"/>
        <v>8.3531632672634463E-7</v>
      </c>
      <c r="AU10" s="7">
        <f t="shared" si="1"/>
        <v>8.3531632672634463E-7</v>
      </c>
    </row>
    <row r="11" spans="1:47">
      <c r="A11" s="26" t="s">
        <v>151</v>
      </c>
      <c r="B11" s="6">
        <f>'Fossil Fuels'!B35</f>
        <v>8.3531632672634463E-7</v>
      </c>
      <c r="C11" s="7">
        <f t="shared" si="2"/>
        <v>8.3531632672634463E-7</v>
      </c>
      <c r="D11" s="7">
        <f t="shared" si="3"/>
        <v>8.3531632672634463E-7</v>
      </c>
      <c r="E11" s="7">
        <f t="shared" si="3"/>
        <v>8.3531632672634463E-7</v>
      </c>
      <c r="F11" s="7">
        <f t="shared" si="3"/>
        <v>8.3531632672634463E-7</v>
      </c>
      <c r="G11" s="7">
        <f t="shared" si="3"/>
        <v>8.3531632672634463E-7</v>
      </c>
      <c r="H11" s="7">
        <f t="shared" si="3"/>
        <v>8.3531632672634463E-7</v>
      </c>
      <c r="I11" s="7">
        <f t="shared" si="3"/>
        <v>8.3531632672634463E-7</v>
      </c>
      <c r="J11" s="7">
        <f t="shared" si="3"/>
        <v>8.3531632672634463E-7</v>
      </c>
      <c r="K11" s="7">
        <f t="shared" si="3"/>
        <v>8.3531632672634463E-7</v>
      </c>
      <c r="L11" s="7">
        <f t="shared" si="3"/>
        <v>8.3531632672634463E-7</v>
      </c>
      <c r="M11" s="7">
        <f t="shared" si="3"/>
        <v>8.3531632672634463E-7</v>
      </c>
      <c r="N11" s="7">
        <f t="shared" si="3"/>
        <v>8.3531632672634463E-7</v>
      </c>
      <c r="O11" s="7">
        <f t="shared" si="3"/>
        <v>8.3531632672634463E-7</v>
      </c>
      <c r="P11" s="7">
        <f t="shared" si="3"/>
        <v>8.3531632672634463E-7</v>
      </c>
      <c r="Q11" s="7">
        <f t="shared" si="3"/>
        <v>8.3531632672634463E-7</v>
      </c>
      <c r="R11" s="7">
        <f t="shared" si="3"/>
        <v>8.3531632672634463E-7</v>
      </c>
      <c r="S11" s="7">
        <f t="shared" si="3"/>
        <v>8.3531632672634463E-7</v>
      </c>
      <c r="T11" s="7">
        <f t="shared" si="3"/>
        <v>8.3531632672634463E-7</v>
      </c>
      <c r="U11" s="7">
        <f t="shared" si="3"/>
        <v>8.3531632672634463E-7</v>
      </c>
      <c r="V11" s="7">
        <f t="shared" si="3"/>
        <v>8.3531632672634463E-7</v>
      </c>
      <c r="W11" s="7">
        <f t="shared" si="3"/>
        <v>8.3531632672634463E-7</v>
      </c>
      <c r="X11" s="7">
        <f t="shared" si="3"/>
        <v>8.3531632672634463E-7</v>
      </c>
      <c r="Y11" s="7">
        <f t="shared" si="3"/>
        <v>8.3531632672634463E-7</v>
      </c>
      <c r="Z11" s="7">
        <f t="shared" si="3"/>
        <v>8.3531632672634463E-7</v>
      </c>
      <c r="AA11" s="7">
        <f t="shared" si="3"/>
        <v>8.3531632672634463E-7</v>
      </c>
      <c r="AB11" s="7">
        <f t="shared" si="3"/>
        <v>8.3531632672634463E-7</v>
      </c>
      <c r="AC11" s="7">
        <f t="shared" si="3"/>
        <v>8.3531632672634463E-7</v>
      </c>
      <c r="AD11" s="7">
        <f t="shared" si="3"/>
        <v>8.3531632672634463E-7</v>
      </c>
      <c r="AE11" s="7">
        <f t="shared" si="3"/>
        <v>8.3531632672634463E-7</v>
      </c>
      <c r="AF11" s="7">
        <f t="shared" si="3"/>
        <v>8.3531632672634463E-7</v>
      </c>
      <c r="AG11" s="7">
        <f t="shared" si="3"/>
        <v>8.3531632672634463E-7</v>
      </c>
      <c r="AH11" s="7">
        <f t="shared" si="3"/>
        <v>8.3531632672634463E-7</v>
      </c>
      <c r="AI11" s="7">
        <f t="shared" si="3"/>
        <v>8.3531632672634463E-7</v>
      </c>
      <c r="AJ11" s="7">
        <f t="shared" si="3"/>
        <v>8.3531632672634463E-7</v>
      </c>
      <c r="AK11" s="7">
        <f t="shared" si="3"/>
        <v>8.3531632672634463E-7</v>
      </c>
      <c r="AL11" s="7">
        <f t="shared" si="1"/>
        <v>8.3531632672634463E-7</v>
      </c>
      <c r="AM11" s="7">
        <f t="shared" si="1"/>
        <v>8.3531632672634463E-7</v>
      </c>
      <c r="AN11" s="7">
        <f t="shared" si="1"/>
        <v>8.3531632672634463E-7</v>
      </c>
      <c r="AO11" s="7">
        <f t="shared" si="1"/>
        <v>8.3531632672634463E-7</v>
      </c>
      <c r="AP11" s="7">
        <f t="shared" si="1"/>
        <v>8.3531632672634463E-7</v>
      </c>
      <c r="AQ11" s="7">
        <f t="shared" si="1"/>
        <v>8.3531632672634463E-7</v>
      </c>
      <c r="AR11" s="7">
        <f t="shared" si="1"/>
        <v>8.3531632672634463E-7</v>
      </c>
      <c r="AS11" s="7">
        <f t="shared" si="1"/>
        <v>8.3531632672634463E-7</v>
      </c>
      <c r="AT11" s="7">
        <f t="shared" si="1"/>
        <v>8.3531632672634463E-7</v>
      </c>
      <c r="AU11" s="7">
        <f t="shared" si="1"/>
        <v>8.3531632672634463E-7</v>
      </c>
    </row>
    <row r="12" spans="1:47">
      <c r="A12" s="26" t="s">
        <v>152</v>
      </c>
      <c r="B12" s="7">
        <v>0</v>
      </c>
      <c r="C12" s="7">
        <f t="shared" si="2"/>
        <v>0</v>
      </c>
      <c r="D12" s="7">
        <f t="shared" si="3"/>
        <v>0</v>
      </c>
      <c r="E12" s="7">
        <f t="shared" si="3"/>
        <v>0</v>
      </c>
      <c r="F12" s="7">
        <f t="shared" si="3"/>
        <v>0</v>
      </c>
      <c r="G12" s="7">
        <f t="shared" si="3"/>
        <v>0</v>
      </c>
      <c r="H12" s="7">
        <f t="shared" si="3"/>
        <v>0</v>
      </c>
      <c r="I12" s="7">
        <f t="shared" si="3"/>
        <v>0</v>
      </c>
      <c r="J12" s="7">
        <f t="shared" si="3"/>
        <v>0</v>
      </c>
      <c r="K12" s="7">
        <f t="shared" si="3"/>
        <v>0</v>
      </c>
      <c r="L12" s="7">
        <f t="shared" si="3"/>
        <v>0</v>
      </c>
      <c r="M12" s="7">
        <f t="shared" si="3"/>
        <v>0</v>
      </c>
      <c r="N12" s="7">
        <f t="shared" si="3"/>
        <v>0</v>
      </c>
      <c r="O12" s="7">
        <f t="shared" si="3"/>
        <v>0</v>
      </c>
      <c r="P12" s="7">
        <f t="shared" si="3"/>
        <v>0</v>
      </c>
      <c r="Q12" s="7">
        <f t="shared" si="3"/>
        <v>0</v>
      </c>
      <c r="R12" s="7">
        <f t="shared" si="3"/>
        <v>0</v>
      </c>
      <c r="S12" s="7">
        <f t="shared" si="3"/>
        <v>0</v>
      </c>
      <c r="T12" s="7">
        <f t="shared" si="3"/>
        <v>0</v>
      </c>
      <c r="U12" s="7">
        <f t="shared" si="3"/>
        <v>0</v>
      </c>
      <c r="V12" s="7">
        <f t="shared" si="3"/>
        <v>0</v>
      </c>
      <c r="W12" s="7">
        <f t="shared" si="3"/>
        <v>0</v>
      </c>
      <c r="X12" s="7">
        <f t="shared" si="3"/>
        <v>0</v>
      </c>
      <c r="Y12" s="7">
        <f t="shared" si="3"/>
        <v>0</v>
      </c>
      <c r="Z12" s="7">
        <f t="shared" si="3"/>
        <v>0</v>
      </c>
      <c r="AA12" s="7">
        <f t="shared" si="3"/>
        <v>0</v>
      </c>
      <c r="AB12" s="7">
        <f t="shared" si="3"/>
        <v>0</v>
      </c>
      <c r="AC12" s="7">
        <f t="shared" si="3"/>
        <v>0</v>
      </c>
      <c r="AD12" s="7">
        <f t="shared" si="3"/>
        <v>0</v>
      </c>
      <c r="AE12" s="7">
        <f t="shared" si="3"/>
        <v>0</v>
      </c>
      <c r="AF12" s="7">
        <f t="shared" si="3"/>
        <v>0</v>
      </c>
      <c r="AG12" s="7">
        <f t="shared" si="3"/>
        <v>0</v>
      </c>
      <c r="AH12" s="7">
        <f t="shared" si="3"/>
        <v>0</v>
      </c>
      <c r="AI12" s="7">
        <f t="shared" si="3"/>
        <v>0</v>
      </c>
      <c r="AJ12" s="7">
        <f t="shared" si="3"/>
        <v>0</v>
      </c>
      <c r="AK12" s="7">
        <f t="shared" si="3"/>
        <v>0</v>
      </c>
      <c r="AL12" s="7">
        <f t="shared" si="1"/>
        <v>0</v>
      </c>
      <c r="AM12" s="7">
        <f t="shared" si="1"/>
        <v>0</v>
      </c>
      <c r="AN12" s="7">
        <f t="shared" si="1"/>
        <v>0</v>
      </c>
      <c r="AO12" s="7">
        <f t="shared" si="1"/>
        <v>0</v>
      </c>
      <c r="AP12" s="7">
        <f t="shared" si="1"/>
        <v>0</v>
      </c>
      <c r="AQ12" s="7">
        <f t="shared" si="1"/>
        <v>0</v>
      </c>
      <c r="AR12" s="7">
        <f t="shared" si="1"/>
        <v>0</v>
      </c>
      <c r="AS12" s="7">
        <f t="shared" si="1"/>
        <v>0</v>
      </c>
      <c r="AT12" s="7">
        <f t="shared" si="1"/>
        <v>0</v>
      </c>
      <c r="AU12" s="7">
        <f t="shared" si="1"/>
        <v>0</v>
      </c>
    </row>
    <row r="13" spans="1:47">
      <c r="A13" s="26" t="s">
        <v>153</v>
      </c>
      <c r="B13" s="7">
        <v>0</v>
      </c>
      <c r="C13" s="7">
        <f t="shared" si="2"/>
        <v>0</v>
      </c>
      <c r="D13" s="7">
        <f t="shared" si="3"/>
        <v>0</v>
      </c>
      <c r="E13" s="7">
        <f t="shared" si="3"/>
        <v>0</v>
      </c>
      <c r="F13" s="7">
        <f t="shared" si="3"/>
        <v>0</v>
      </c>
      <c r="G13" s="7">
        <f t="shared" si="3"/>
        <v>0</v>
      </c>
      <c r="H13" s="7">
        <f t="shared" si="3"/>
        <v>0</v>
      </c>
      <c r="I13" s="7">
        <f t="shared" si="3"/>
        <v>0</v>
      </c>
      <c r="J13" s="7">
        <f t="shared" si="3"/>
        <v>0</v>
      </c>
      <c r="K13" s="7">
        <f t="shared" si="3"/>
        <v>0</v>
      </c>
      <c r="L13" s="7">
        <f t="shared" si="3"/>
        <v>0</v>
      </c>
      <c r="M13" s="7">
        <f t="shared" si="3"/>
        <v>0</v>
      </c>
      <c r="N13" s="7">
        <f t="shared" si="3"/>
        <v>0</v>
      </c>
      <c r="O13" s="7">
        <f t="shared" si="3"/>
        <v>0</v>
      </c>
      <c r="P13" s="7">
        <f t="shared" si="3"/>
        <v>0</v>
      </c>
      <c r="Q13" s="7">
        <f t="shared" si="3"/>
        <v>0</v>
      </c>
      <c r="R13" s="7">
        <f t="shared" si="3"/>
        <v>0</v>
      </c>
      <c r="S13" s="7">
        <f t="shared" si="3"/>
        <v>0</v>
      </c>
      <c r="T13" s="7">
        <f t="shared" si="3"/>
        <v>0</v>
      </c>
      <c r="U13" s="7">
        <f t="shared" si="3"/>
        <v>0</v>
      </c>
      <c r="V13" s="7">
        <f t="shared" si="3"/>
        <v>0</v>
      </c>
      <c r="W13" s="7">
        <f t="shared" si="3"/>
        <v>0</v>
      </c>
      <c r="X13" s="7">
        <f t="shared" si="3"/>
        <v>0</v>
      </c>
      <c r="Y13" s="7">
        <f t="shared" si="3"/>
        <v>0</v>
      </c>
      <c r="Z13" s="7">
        <f t="shared" si="3"/>
        <v>0</v>
      </c>
      <c r="AA13" s="7">
        <f t="shared" si="3"/>
        <v>0</v>
      </c>
      <c r="AB13" s="7">
        <f t="shared" si="3"/>
        <v>0</v>
      </c>
      <c r="AC13" s="7">
        <f t="shared" si="3"/>
        <v>0</v>
      </c>
      <c r="AD13" s="7">
        <f t="shared" si="3"/>
        <v>0</v>
      </c>
      <c r="AE13" s="7">
        <f t="shared" si="3"/>
        <v>0</v>
      </c>
      <c r="AF13" s="7">
        <f t="shared" si="3"/>
        <v>0</v>
      </c>
      <c r="AG13" s="7">
        <f t="shared" si="3"/>
        <v>0</v>
      </c>
      <c r="AH13" s="7">
        <f t="shared" si="3"/>
        <v>0</v>
      </c>
      <c r="AI13" s="7">
        <f t="shared" si="3"/>
        <v>0</v>
      </c>
      <c r="AJ13" s="7">
        <f t="shared" si="3"/>
        <v>0</v>
      </c>
      <c r="AK13" s="7">
        <f t="shared" si="3"/>
        <v>0</v>
      </c>
      <c r="AL13" s="7">
        <f t="shared" si="1"/>
        <v>0</v>
      </c>
      <c r="AM13" s="7">
        <f t="shared" si="1"/>
        <v>0</v>
      </c>
      <c r="AN13" s="7">
        <f t="shared" si="1"/>
        <v>0</v>
      </c>
      <c r="AO13" s="7">
        <f t="shared" si="1"/>
        <v>0</v>
      </c>
      <c r="AP13" s="7">
        <f t="shared" si="1"/>
        <v>0</v>
      </c>
      <c r="AQ13" s="7">
        <f t="shared" si="1"/>
        <v>0</v>
      </c>
      <c r="AR13" s="7">
        <f t="shared" si="1"/>
        <v>0</v>
      </c>
      <c r="AS13" s="7">
        <f t="shared" si="1"/>
        <v>0</v>
      </c>
      <c r="AT13" s="7">
        <f t="shared" si="1"/>
        <v>0</v>
      </c>
      <c r="AU13" s="7">
        <f t="shared" si="1"/>
        <v>0</v>
      </c>
    </row>
    <row r="14" spans="1:47">
      <c r="A14" s="26" t="s">
        <v>154</v>
      </c>
      <c r="B14" s="6">
        <f>'Fossil Fuels'!B35</f>
        <v>8.3531632672634463E-7</v>
      </c>
      <c r="C14" s="7">
        <f t="shared" si="2"/>
        <v>8.3531632672634463E-7</v>
      </c>
      <c r="D14" s="7">
        <f t="shared" si="3"/>
        <v>8.3531632672634463E-7</v>
      </c>
      <c r="E14" s="7">
        <f t="shared" si="3"/>
        <v>8.3531632672634463E-7</v>
      </c>
      <c r="F14" s="7">
        <f t="shared" si="3"/>
        <v>8.3531632672634463E-7</v>
      </c>
      <c r="G14" s="7">
        <f t="shared" si="3"/>
        <v>8.3531632672634463E-7</v>
      </c>
      <c r="H14" s="7">
        <f t="shared" si="3"/>
        <v>8.3531632672634463E-7</v>
      </c>
      <c r="I14" s="7">
        <f t="shared" si="3"/>
        <v>8.3531632672634463E-7</v>
      </c>
      <c r="J14" s="7">
        <f t="shared" si="3"/>
        <v>8.3531632672634463E-7</v>
      </c>
      <c r="K14" s="7">
        <f t="shared" si="3"/>
        <v>8.3531632672634463E-7</v>
      </c>
      <c r="L14" s="7">
        <f t="shared" si="3"/>
        <v>8.3531632672634463E-7</v>
      </c>
      <c r="M14" s="7">
        <f t="shared" si="3"/>
        <v>8.3531632672634463E-7</v>
      </c>
      <c r="N14" s="7">
        <f t="shared" si="3"/>
        <v>8.3531632672634463E-7</v>
      </c>
      <c r="O14" s="7">
        <f t="shared" si="3"/>
        <v>8.3531632672634463E-7</v>
      </c>
      <c r="P14" s="7">
        <f t="shared" si="3"/>
        <v>8.3531632672634463E-7</v>
      </c>
      <c r="Q14" s="7">
        <f t="shared" si="3"/>
        <v>8.3531632672634463E-7</v>
      </c>
      <c r="R14" s="7">
        <f t="shared" si="3"/>
        <v>8.3531632672634463E-7</v>
      </c>
      <c r="S14" s="7">
        <f t="shared" si="3"/>
        <v>8.3531632672634463E-7</v>
      </c>
      <c r="T14" s="7">
        <f t="shared" si="3"/>
        <v>8.3531632672634463E-7</v>
      </c>
      <c r="U14" s="7">
        <f t="shared" si="3"/>
        <v>8.3531632672634463E-7</v>
      </c>
      <c r="V14" s="7">
        <f t="shared" si="3"/>
        <v>8.3531632672634463E-7</v>
      </c>
      <c r="W14" s="7">
        <f t="shared" si="3"/>
        <v>8.3531632672634463E-7</v>
      </c>
      <c r="X14" s="7">
        <f t="shared" si="3"/>
        <v>8.3531632672634463E-7</v>
      </c>
      <c r="Y14" s="7">
        <f t="shared" si="3"/>
        <v>8.3531632672634463E-7</v>
      </c>
      <c r="Z14" s="7">
        <f t="shared" si="3"/>
        <v>8.3531632672634463E-7</v>
      </c>
      <c r="AA14" s="7">
        <f t="shared" si="3"/>
        <v>8.3531632672634463E-7</v>
      </c>
      <c r="AB14" s="7">
        <f t="shared" si="3"/>
        <v>8.3531632672634463E-7</v>
      </c>
      <c r="AC14" s="7">
        <f t="shared" si="3"/>
        <v>8.3531632672634463E-7</v>
      </c>
      <c r="AD14" s="7">
        <f t="shared" si="3"/>
        <v>8.3531632672634463E-7</v>
      </c>
      <c r="AE14" s="7">
        <f t="shared" si="3"/>
        <v>8.3531632672634463E-7</v>
      </c>
      <c r="AF14" s="7">
        <f t="shared" si="3"/>
        <v>8.3531632672634463E-7</v>
      </c>
      <c r="AG14" s="7">
        <f t="shared" si="3"/>
        <v>8.3531632672634463E-7</v>
      </c>
      <c r="AH14" s="7">
        <f t="shared" si="3"/>
        <v>8.3531632672634463E-7</v>
      </c>
      <c r="AI14" s="7">
        <f t="shared" si="3"/>
        <v>8.3531632672634463E-7</v>
      </c>
      <c r="AJ14" s="7">
        <f t="shared" si="3"/>
        <v>8.3531632672634463E-7</v>
      </c>
      <c r="AK14" s="7">
        <f t="shared" si="3"/>
        <v>8.3531632672634463E-7</v>
      </c>
      <c r="AL14" s="7">
        <f t="shared" si="1"/>
        <v>8.3531632672634463E-7</v>
      </c>
      <c r="AM14" s="7">
        <f t="shared" si="1"/>
        <v>8.3531632672634463E-7</v>
      </c>
      <c r="AN14" s="7">
        <f t="shared" si="1"/>
        <v>8.3531632672634463E-7</v>
      </c>
      <c r="AO14" s="7">
        <f t="shared" si="1"/>
        <v>8.3531632672634463E-7</v>
      </c>
      <c r="AP14" s="7">
        <f t="shared" si="1"/>
        <v>8.3531632672634463E-7</v>
      </c>
      <c r="AQ14" s="7">
        <f t="shared" si="1"/>
        <v>8.3531632672634463E-7</v>
      </c>
      <c r="AR14" s="7">
        <f t="shared" si="1"/>
        <v>8.3531632672634463E-7</v>
      </c>
      <c r="AS14" s="7">
        <f t="shared" si="1"/>
        <v>8.3531632672634463E-7</v>
      </c>
      <c r="AT14" s="7">
        <f t="shared" si="1"/>
        <v>8.3531632672634463E-7</v>
      </c>
      <c r="AU14" s="7">
        <f t="shared" si="1"/>
        <v>8.3531632672634463E-7</v>
      </c>
    </row>
    <row r="15" spans="1:47">
      <c r="A15" s="26" t="s">
        <v>155</v>
      </c>
      <c r="B15" s="7">
        <v>0</v>
      </c>
      <c r="C15" s="7">
        <f t="shared" si="2"/>
        <v>0</v>
      </c>
      <c r="D15" s="7">
        <f t="shared" si="3"/>
        <v>0</v>
      </c>
      <c r="E15" s="7">
        <f t="shared" si="3"/>
        <v>0</v>
      </c>
      <c r="F15" s="7">
        <f t="shared" si="3"/>
        <v>0</v>
      </c>
      <c r="G15" s="7">
        <f t="shared" si="3"/>
        <v>0</v>
      </c>
      <c r="H15" s="7">
        <f t="shared" si="3"/>
        <v>0</v>
      </c>
      <c r="I15" s="7">
        <f t="shared" si="3"/>
        <v>0</v>
      </c>
      <c r="J15" s="7">
        <f t="shared" si="3"/>
        <v>0</v>
      </c>
      <c r="K15" s="7">
        <f t="shared" si="3"/>
        <v>0</v>
      </c>
      <c r="L15" s="7">
        <f t="shared" si="3"/>
        <v>0</v>
      </c>
      <c r="M15" s="7">
        <f t="shared" si="3"/>
        <v>0</v>
      </c>
      <c r="N15" s="7">
        <f t="shared" si="3"/>
        <v>0</v>
      </c>
      <c r="O15" s="7">
        <f t="shared" si="3"/>
        <v>0</v>
      </c>
      <c r="P15" s="7">
        <f t="shared" si="3"/>
        <v>0</v>
      </c>
      <c r="Q15" s="7">
        <f t="shared" si="3"/>
        <v>0</v>
      </c>
      <c r="R15" s="7">
        <f t="shared" si="3"/>
        <v>0</v>
      </c>
      <c r="S15" s="7">
        <f t="shared" si="3"/>
        <v>0</v>
      </c>
      <c r="T15" s="7">
        <f t="shared" si="3"/>
        <v>0</v>
      </c>
      <c r="U15" s="7">
        <f t="shared" si="3"/>
        <v>0</v>
      </c>
      <c r="V15" s="7">
        <f t="shared" si="3"/>
        <v>0</v>
      </c>
      <c r="W15" s="7">
        <f t="shared" si="3"/>
        <v>0</v>
      </c>
      <c r="X15" s="7">
        <f t="shared" si="3"/>
        <v>0</v>
      </c>
      <c r="Y15" s="7">
        <f t="shared" si="3"/>
        <v>0</v>
      </c>
      <c r="Z15" s="7">
        <f t="shared" si="3"/>
        <v>0</v>
      </c>
      <c r="AA15" s="7">
        <f t="shared" si="3"/>
        <v>0</v>
      </c>
      <c r="AB15" s="7">
        <f t="shared" si="3"/>
        <v>0</v>
      </c>
      <c r="AC15" s="7">
        <f t="shared" si="3"/>
        <v>0</v>
      </c>
      <c r="AD15" s="7">
        <f t="shared" si="3"/>
        <v>0</v>
      </c>
      <c r="AE15" s="7">
        <f t="shared" si="3"/>
        <v>0</v>
      </c>
      <c r="AF15" s="7">
        <f t="shared" si="3"/>
        <v>0</v>
      </c>
      <c r="AG15" s="7">
        <f t="shared" si="3"/>
        <v>0</v>
      </c>
      <c r="AH15" s="7">
        <f t="shared" si="3"/>
        <v>0</v>
      </c>
      <c r="AI15" s="7">
        <f t="shared" si="3"/>
        <v>0</v>
      </c>
      <c r="AJ15" s="7">
        <f t="shared" si="3"/>
        <v>0</v>
      </c>
      <c r="AK15" s="7">
        <f t="shared" si="3"/>
        <v>0</v>
      </c>
      <c r="AL15" s="7">
        <f t="shared" si="1"/>
        <v>0</v>
      </c>
      <c r="AM15" s="7">
        <f t="shared" si="1"/>
        <v>0</v>
      </c>
      <c r="AN15" s="7">
        <f t="shared" si="1"/>
        <v>0</v>
      </c>
      <c r="AO15" s="7">
        <f t="shared" si="1"/>
        <v>0</v>
      </c>
      <c r="AP15" s="7">
        <f t="shared" si="1"/>
        <v>0</v>
      </c>
      <c r="AQ15" s="7">
        <f t="shared" si="1"/>
        <v>0</v>
      </c>
      <c r="AR15" s="7">
        <f t="shared" si="1"/>
        <v>0</v>
      </c>
      <c r="AS15" s="7">
        <f t="shared" si="1"/>
        <v>0</v>
      </c>
      <c r="AT15" s="7">
        <f t="shared" si="1"/>
        <v>0</v>
      </c>
      <c r="AU15" s="7">
        <f t="shared" si="1"/>
        <v>0</v>
      </c>
    </row>
    <row r="16" spans="1:47">
      <c r="A16" s="26" t="s">
        <v>156</v>
      </c>
      <c r="B16" s="7">
        <v>0</v>
      </c>
      <c r="C16" s="7">
        <f t="shared" si="2"/>
        <v>0</v>
      </c>
      <c r="D16" s="7">
        <f t="shared" si="3"/>
        <v>0</v>
      </c>
      <c r="E16" s="7">
        <f t="shared" si="3"/>
        <v>0</v>
      </c>
      <c r="F16" s="7">
        <f t="shared" si="3"/>
        <v>0</v>
      </c>
      <c r="G16" s="7">
        <f t="shared" si="3"/>
        <v>0</v>
      </c>
      <c r="H16" s="7">
        <f t="shared" si="3"/>
        <v>0</v>
      </c>
      <c r="I16" s="7">
        <f t="shared" si="3"/>
        <v>0</v>
      </c>
      <c r="J16" s="7">
        <f t="shared" si="3"/>
        <v>0</v>
      </c>
      <c r="K16" s="7">
        <f t="shared" si="3"/>
        <v>0</v>
      </c>
      <c r="L16" s="7">
        <f t="shared" si="3"/>
        <v>0</v>
      </c>
      <c r="M16" s="7">
        <f t="shared" si="3"/>
        <v>0</v>
      </c>
      <c r="N16" s="7">
        <f t="shared" si="3"/>
        <v>0</v>
      </c>
      <c r="O16" s="7">
        <f t="shared" si="3"/>
        <v>0</v>
      </c>
      <c r="P16" s="7">
        <f t="shared" si="3"/>
        <v>0</v>
      </c>
      <c r="Q16" s="7">
        <f t="shared" si="3"/>
        <v>0</v>
      </c>
      <c r="R16" s="7">
        <f t="shared" si="3"/>
        <v>0</v>
      </c>
      <c r="S16" s="7">
        <f t="shared" si="3"/>
        <v>0</v>
      </c>
      <c r="T16" s="7">
        <f t="shared" si="3"/>
        <v>0</v>
      </c>
      <c r="U16" s="7">
        <f t="shared" si="3"/>
        <v>0</v>
      </c>
      <c r="V16" s="7">
        <f t="shared" si="3"/>
        <v>0</v>
      </c>
      <c r="W16" s="7">
        <f t="shared" si="3"/>
        <v>0</v>
      </c>
      <c r="X16" s="7">
        <f t="shared" si="3"/>
        <v>0</v>
      </c>
      <c r="Y16" s="7">
        <f t="shared" si="3"/>
        <v>0</v>
      </c>
      <c r="Z16" s="7">
        <f t="shared" si="3"/>
        <v>0</v>
      </c>
      <c r="AA16" s="7">
        <f t="shared" si="3"/>
        <v>0</v>
      </c>
      <c r="AB16" s="7">
        <f t="shared" si="3"/>
        <v>0</v>
      </c>
      <c r="AC16" s="7">
        <f t="shared" si="3"/>
        <v>0</v>
      </c>
      <c r="AD16" s="7">
        <f t="shared" si="3"/>
        <v>0</v>
      </c>
      <c r="AE16" s="7">
        <f t="shared" si="3"/>
        <v>0</v>
      </c>
      <c r="AF16" s="7">
        <f t="shared" si="3"/>
        <v>0</v>
      </c>
      <c r="AG16" s="7">
        <f t="shared" si="3"/>
        <v>0</v>
      </c>
      <c r="AH16" s="7">
        <f t="shared" si="3"/>
        <v>0</v>
      </c>
      <c r="AI16" s="7">
        <f t="shared" si="3"/>
        <v>0</v>
      </c>
      <c r="AJ16" s="7">
        <f t="shared" si="3"/>
        <v>0</v>
      </c>
      <c r="AK16" s="7">
        <f t="shared" si="3"/>
        <v>0</v>
      </c>
      <c r="AL16" s="7">
        <f t="shared" si="1"/>
        <v>0</v>
      </c>
      <c r="AM16" s="7">
        <f t="shared" si="1"/>
        <v>0</v>
      </c>
      <c r="AN16" s="7">
        <f t="shared" si="1"/>
        <v>0</v>
      </c>
      <c r="AO16" s="7">
        <f t="shared" si="1"/>
        <v>0</v>
      </c>
      <c r="AP16" s="7">
        <f t="shared" si="1"/>
        <v>0</v>
      </c>
      <c r="AQ16" s="7">
        <f t="shared" si="1"/>
        <v>0</v>
      </c>
      <c r="AR16" s="7">
        <f t="shared" si="1"/>
        <v>0</v>
      </c>
      <c r="AS16" s="7">
        <f t="shared" si="1"/>
        <v>0</v>
      </c>
      <c r="AT16" s="7">
        <f t="shared" si="1"/>
        <v>0</v>
      </c>
      <c r="AU16" s="7">
        <f t="shared" si="1"/>
        <v>0</v>
      </c>
    </row>
    <row r="17" spans="1:47">
      <c r="A17" s="26" t="s">
        <v>157</v>
      </c>
      <c r="B17" s="7">
        <v>0</v>
      </c>
      <c r="C17" s="7">
        <f t="shared" si="2"/>
        <v>0</v>
      </c>
      <c r="D17" s="7">
        <f t="shared" si="3"/>
        <v>0</v>
      </c>
      <c r="E17" s="7">
        <f t="shared" si="3"/>
        <v>0</v>
      </c>
      <c r="F17" s="7">
        <f t="shared" si="3"/>
        <v>0</v>
      </c>
      <c r="G17" s="7">
        <f t="shared" si="3"/>
        <v>0</v>
      </c>
      <c r="H17" s="7">
        <f t="shared" si="3"/>
        <v>0</v>
      </c>
      <c r="I17" s="7">
        <f t="shared" si="3"/>
        <v>0</v>
      </c>
      <c r="J17" s="7">
        <f t="shared" si="3"/>
        <v>0</v>
      </c>
      <c r="K17" s="7">
        <f t="shared" si="3"/>
        <v>0</v>
      </c>
      <c r="L17" s="7">
        <f t="shared" si="3"/>
        <v>0</v>
      </c>
      <c r="M17" s="7">
        <f t="shared" si="3"/>
        <v>0</v>
      </c>
      <c r="N17" s="7">
        <f t="shared" si="3"/>
        <v>0</v>
      </c>
      <c r="O17" s="7">
        <f t="shared" si="3"/>
        <v>0</v>
      </c>
      <c r="P17" s="7">
        <f t="shared" si="3"/>
        <v>0</v>
      </c>
      <c r="Q17" s="7">
        <f t="shared" si="3"/>
        <v>0</v>
      </c>
      <c r="R17" s="7">
        <f t="shared" si="3"/>
        <v>0</v>
      </c>
      <c r="S17" s="7">
        <f t="shared" ref="S17:AU17" si="4">$B17</f>
        <v>0</v>
      </c>
      <c r="T17" s="7">
        <f t="shared" si="4"/>
        <v>0</v>
      </c>
      <c r="U17" s="7">
        <f t="shared" si="4"/>
        <v>0</v>
      </c>
      <c r="V17" s="7">
        <f t="shared" si="4"/>
        <v>0</v>
      </c>
      <c r="W17" s="7">
        <f t="shared" si="4"/>
        <v>0</v>
      </c>
      <c r="X17" s="7">
        <f t="shared" si="4"/>
        <v>0</v>
      </c>
      <c r="Y17" s="7">
        <f t="shared" si="4"/>
        <v>0</v>
      </c>
      <c r="Z17" s="7">
        <f t="shared" si="4"/>
        <v>0</v>
      </c>
      <c r="AA17" s="7">
        <f t="shared" si="4"/>
        <v>0</v>
      </c>
      <c r="AB17" s="7">
        <f t="shared" si="4"/>
        <v>0</v>
      </c>
      <c r="AC17" s="7">
        <f t="shared" si="4"/>
        <v>0</v>
      </c>
      <c r="AD17" s="7">
        <f t="shared" si="4"/>
        <v>0</v>
      </c>
      <c r="AE17" s="7">
        <f t="shared" si="4"/>
        <v>0</v>
      </c>
      <c r="AF17" s="7">
        <f t="shared" si="4"/>
        <v>0</v>
      </c>
      <c r="AG17" s="7">
        <f t="shared" si="4"/>
        <v>0</v>
      </c>
      <c r="AH17" s="7">
        <f t="shared" si="4"/>
        <v>0</v>
      </c>
      <c r="AI17" s="7">
        <f t="shared" si="4"/>
        <v>0</v>
      </c>
      <c r="AJ17" s="7">
        <f t="shared" si="4"/>
        <v>0</v>
      </c>
      <c r="AK17" s="7">
        <f t="shared" si="4"/>
        <v>0</v>
      </c>
      <c r="AL17" s="7">
        <f t="shared" si="4"/>
        <v>0</v>
      </c>
      <c r="AM17" s="7">
        <f t="shared" si="4"/>
        <v>0</v>
      </c>
      <c r="AN17" s="7">
        <f t="shared" si="4"/>
        <v>0</v>
      </c>
      <c r="AO17" s="7">
        <f t="shared" si="4"/>
        <v>0</v>
      </c>
      <c r="AP17" s="7">
        <f t="shared" si="4"/>
        <v>0</v>
      </c>
      <c r="AQ17" s="7">
        <f t="shared" si="4"/>
        <v>0</v>
      </c>
      <c r="AR17" s="7">
        <f t="shared" si="4"/>
        <v>0</v>
      </c>
      <c r="AS17" s="7">
        <f t="shared" si="4"/>
        <v>0</v>
      </c>
      <c r="AT17" s="7">
        <f t="shared" si="4"/>
        <v>0</v>
      </c>
      <c r="AU17" s="7">
        <f t="shared" si="4"/>
        <v>0</v>
      </c>
    </row>
    <row r="18" spans="1:47" s="25" customFormat="1">
      <c r="A18" s="23" t="s">
        <v>158</v>
      </c>
      <c r="B18" s="24">
        <v>0</v>
      </c>
      <c r="C18" s="24">
        <v>0</v>
      </c>
      <c r="D18" s="24">
        <v>0</v>
      </c>
      <c r="E18" s="24">
        <v>0</v>
      </c>
      <c r="F18" s="24">
        <v>0</v>
      </c>
      <c r="G18" s="24">
        <v>0</v>
      </c>
      <c r="H18" s="24">
        <v>0</v>
      </c>
      <c r="I18" s="24">
        <v>0</v>
      </c>
      <c r="J18" s="24">
        <v>0</v>
      </c>
      <c r="K18" s="24">
        <v>0</v>
      </c>
      <c r="L18" s="24">
        <v>0</v>
      </c>
      <c r="M18" s="24">
        <v>0</v>
      </c>
      <c r="N18" s="24">
        <v>0</v>
      </c>
      <c r="O18" s="24">
        <v>0</v>
      </c>
      <c r="P18" s="24">
        <v>0</v>
      </c>
      <c r="Q18" s="24">
        <v>0</v>
      </c>
      <c r="R18" s="24">
        <v>0</v>
      </c>
      <c r="S18" s="24">
        <v>0</v>
      </c>
      <c r="T18" s="24">
        <v>0</v>
      </c>
      <c r="U18" s="24">
        <v>0</v>
      </c>
      <c r="V18" s="24">
        <v>0</v>
      </c>
      <c r="W18" s="24">
        <v>0</v>
      </c>
      <c r="X18" s="24">
        <v>0</v>
      </c>
      <c r="Y18" s="24">
        <v>0</v>
      </c>
      <c r="Z18" s="24">
        <v>0</v>
      </c>
      <c r="AA18" s="24">
        <v>0</v>
      </c>
      <c r="AB18" s="24">
        <v>0</v>
      </c>
      <c r="AC18" s="24">
        <v>0</v>
      </c>
      <c r="AD18" s="24">
        <v>0</v>
      </c>
      <c r="AE18" s="24">
        <v>0</v>
      </c>
      <c r="AF18" s="24">
        <v>0</v>
      </c>
      <c r="AG18" s="24">
        <v>0</v>
      </c>
      <c r="AH18" s="24">
        <v>0</v>
      </c>
      <c r="AI18" s="24">
        <v>0</v>
      </c>
      <c r="AJ18" s="24">
        <v>0</v>
      </c>
      <c r="AK18" s="24">
        <v>0</v>
      </c>
      <c r="AL18" s="24">
        <v>0</v>
      </c>
      <c r="AM18" s="24">
        <v>0</v>
      </c>
      <c r="AN18" s="24">
        <v>0</v>
      </c>
      <c r="AO18" s="24">
        <v>0</v>
      </c>
      <c r="AP18" s="24">
        <v>0</v>
      </c>
      <c r="AQ18" s="24">
        <v>0</v>
      </c>
      <c r="AR18" s="24">
        <v>0</v>
      </c>
      <c r="AS18" s="24">
        <v>0</v>
      </c>
      <c r="AT18" s="24">
        <v>0</v>
      </c>
      <c r="AU18" s="24">
        <v>0</v>
      </c>
    </row>
    <row r="19" spans="1:47" s="25" customFormat="1">
      <c r="A19" s="23" t="s">
        <v>159</v>
      </c>
      <c r="B19" s="24">
        <v>0</v>
      </c>
      <c r="C19" s="24">
        <v>0</v>
      </c>
      <c r="D19" s="24">
        <v>0</v>
      </c>
      <c r="E19" s="24">
        <v>0</v>
      </c>
      <c r="F19" s="24">
        <v>0</v>
      </c>
      <c r="G19" s="24">
        <v>0</v>
      </c>
      <c r="H19" s="24">
        <v>0</v>
      </c>
      <c r="I19" s="24">
        <v>0</v>
      </c>
      <c r="J19" s="24">
        <v>0</v>
      </c>
      <c r="K19" s="24">
        <v>0</v>
      </c>
      <c r="L19" s="24">
        <v>0</v>
      </c>
      <c r="M19" s="24">
        <v>0</v>
      </c>
      <c r="N19" s="24">
        <v>0</v>
      </c>
      <c r="O19" s="24">
        <v>0</v>
      </c>
      <c r="P19" s="24">
        <v>0</v>
      </c>
      <c r="Q19" s="24">
        <v>0</v>
      </c>
      <c r="R19" s="24">
        <v>0</v>
      </c>
      <c r="S19" s="24">
        <v>0</v>
      </c>
      <c r="T19" s="24">
        <v>0</v>
      </c>
      <c r="U19" s="24">
        <v>0</v>
      </c>
      <c r="V19" s="24">
        <v>0</v>
      </c>
      <c r="W19" s="24">
        <v>0</v>
      </c>
      <c r="X19" s="24">
        <v>0</v>
      </c>
      <c r="Y19" s="24">
        <v>0</v>
      </c>
      <c r="Z19" s="24">
        <v>0</v>
      </c>
      <c r="AA19" s="24">
        <v>0</v>
      </c>
      <c r="AB19" s="24">
        <v>0</v>
      </c>
      <c r="AC19" s="24">
        <v>0</v>
      </c>
      <c r="AD19" s="24">
        <v>0</v>
      </c>
      <c r="AE19" s="24">
        <v>0</v>
      </c>
      <c r="AF19" s="24">
        <v>0</v>
      </c>
      <c r="AG19" s="24">
        <v>0</v>
      </c>
      <c r="AH19" s="24">
        <v>0</v>
      </c>
      <c r="AI19" s="24">
        <v>0</v>
      </c>
      <c r="AJ19" s="24">
        <v>0</v>
      </c>
      <c r="AK19" s="24">
        <v>0</v>
      </c>
      <c r="AL19" s="24">
        <v>0</v>
      </c>
      <c r="AM19" s="24">
        <v>0</v>
      </c>
      <c r="AN19" s="24">
        <v>0</v>
      </c>
      <c r="AO19" s="24">
        <v>0</v>
      </c>
      <c r="AP19" s="24">
        <v>0</v>
      </c>
      <c r="AQ19" s="24">
        <v>0</v>
      </c>
      <c r="AR19" s="24">
        <v>0</v>
      </c>
      <c r="AS19" s="24">
        <v>0</v>
      </c>
      <c r="AT19" s="24">
        <v>0</v>
      </c>
      <c r="AU19" s="24">
        <v>0</v>
      </c>
    </row>
    <row r="20" spans="1:47" s="25" customFormat="1">
      <c r="A20" s="23" t="s">
        <v>160</v>
      </c>
      <c r="B20" s="24">
        <v>0</v>
      </c>
      <c r="C20" s="24">
        <v>0</v>
      </c>
      <c r="D20" s="24">
        <v>0</v>
      </c>
      <c r="E20" s="24">
        <v>0</v>
      </c>
      <c r="F20" s="24">
        <v>0</v>
      </c>
      <c r="G20" s="24">
        <v>0</v>
      </c>
      <c r="H20" s="24">
        <v>0</v>
      </c>
      <c r="I20" s="24">
        <v>0</v>
      </c>
      <c r="J20" s="24">
        <v>0</v>
      </c>
      <c r="K20" s="24">
        <v>0</v>
      </c>
      <c r="L20" s="24">
        <v>0</v>
      </c>
      <c r="M20" s="24">
        <v>0</v>
      </c>
      <c r="N20" s="24">
        <v>0</v>
      </c>
      <c r="O20" s="24">
        <v>0</v>
      </c>
      <c r="P20" s="24">
        <v>0</v>
      </c>
      <c r="Q20" s="24">
        <v>0</v>
      </c>
      <c r="R20" s="24">
        <v>0</v>
      </c>
      <c r="S20" s="24">
        <v>0</v>
      </c>
      <c r="T20" s="24">
        <v>0</v>
      </c>
      <c r="U20" s="24">
        <v>0</v>
      </c>
      <c r="V20" s="24">
        <v>0</v>
      </c>
      <c r="W20" s="24">
        <v>0</v>
      </c>
      <c r="X20" s="24">
        <v>0</v>
      </c>
      <c r="Y20" s="24">
        <v>0</v>
      </c>
      <c r="Z20" s="24">
        <v>0</v>
      </c>
      <c r="AA20" s="24">
        <v>0</v>
      </c>
      <c r="AB20" s="24">
        <v>0</v>
      </c>
      <c r="AC20" s="24">
        <v>0</v>
      </c>
      <c r="AD20" s="24">
        <v>0</v>
      </c>
      <c r="AE20" s="24">
        <v>0</v>
      </c>
      <c r="AF20" s="24">
        <v>0</v>
      </c>
      <c r="AG20" s="24">
        <v>0</v>
      </c>
      <c r="AH20" s="24">
        <v>0</v>
      </c>
      <c r="AI20" s="24">
        <v>0</v>
      </c>
      <c r="AJ20" s="24">
        <v>0</v>
      </c>
      <c r="AK20" s="24">
        <v>0</v>
      </c>
      <c r="AL20" s="24">
        <v>0</v>
      </c>
      <c r="AM20" s="24">
        <v>0</v>
      </c>
      <c r="AN20" s="24">
        <v>0</v>
      </c>
      <c r="AO20" s="24">
        <v>0</v>
      </c>
      <c r="AP20" s="24">
        <v>0</v>
      </c>
      <c r="AQ20" s="24">
        <v>0</v>
      </c>
      <c r="AR20" s="24">
        <v>0</v>
      </c>
      <c r="AS20" s="24">
        <v>0</v>
      </c>
      <c r="AT20" s="24">
        <v>0</v>
      </c>
      <c r="AU20" s="24">
        <v>0</v>
      </c>
    </row>
    <row r="21" spans="1:47" s="25" customFormat="1">
      <c r="A21" s="23" t="s">
        <v>161</v>
      </c>
      <c r="B21" s="24">
        <v>0</v>
      </c>
      <c r="C21" s="24">
        <v>0</v>
      </c>
      <c r="D21" s="24">
        <v>0</v>
      </c>
      <c r="E21" s="24">
        <v>0</v>
      </c>
      <c r="F21" s="24">
        <v>0</v>
      </c>
      <c r="G21" s="24">
        <v>0</v>
      </c>
      <c r="H21" s="24">
        <v>0</v>
      </c>
      <c r="I21" s="24">
        <v>0</v>
      </c>
      <c r="J21" s="24">
        <v>0</v>
      </c>
      <c r="K21" s="24">
        <v>0</v>
      </c>
      <c r="L21" s="24">
        <v>0</v>
      </c>
      <c r="M21" s="24">
        <v>0</v>
      </c>
      <c r="N21" s="24">
        <v>0</v>
      </c>
      <c r="O21" s="24">
        <v>0</v>
      </c>
      <c r="P21" s="24">
        <v>0</v>
      </c>
      <c r="Q21" s="24">
        <v>0</v>
      </c>
      <c r="R21" s="24">
        <v>0</v>
      </c>
      <c r="S21" s="24">
        <v>0</v>
      </c>
      <c r="T21" s="24">
        <v>0</v>
      </c>
      <c r="U21" s="24">
        <v>0</v>
      </c>
      <c r="V21" s="24">
        <v>0</v>
      </c>
      <c r="W21" s="24">
        <v>0</v>
      </c>
      <c r="X21" s="24">
        <v>0</v>
      </c>
      <c r="Y21" s="24">
        <v>0</v>
      </c>
      <c r="Z21" s="24">
        <v>0</v>
      </c>
      <c r="AA21" s="24">
        <v>0</v>
      </c>
      <c r="AB21" s="24">
        <v>0</v>
      </c>
      <c r="AC21" s="24">
        <v>0</v>
      </c>
      <c r="AD21" s="24">
        <v>0</v>
      </c>
      <c r="AE21" s="24">
        <v>0</v>
      </c>
      <c r="AF21" s="24">
        <v>0</v>
      </c>
      <c r="AG21" s="24">
        <v>0</v>
      </c>
      <c r="AH21" s="24">
        <v>0</v>
      </c>
      <c r="AI21" s="24">
        <v>0</v>
      </c>
      <c r="AJ21" s="24">
        <v>0</v>
      </c>
      <c r="AK21" s="24">
        <v>0</v>
      </c>
      <c r="AL21" s="24">
        <v>0</v>
      </c>
      <c r="AM21" s="24">
        <v>0</v>
      </c>
      <c r="AN21" s="24">
        <v>0</v>
      </c>
      <c r="AO21" s="24">
        <v>0</v>
      </c>
      <c r="AP21" s="24">
        <v>0</v>
      </c>
      <c r="AQ21" s="24">
        <v>0</v>
      </c>
      <c r="AR21" s="24">
        <v>0</v>
      </c>
      <c r="AS21" s="24">
        <v>0</v>
      </c>
      <c r="AT21" s="24">
        <v>0</v>
      </c>
      <c r="AU21" s="24">
        <v>0</v>
      </c>
    </row>
    <row r="22" spans="1:47" s="25" customFormat="1">
      <c r="A22" s="23" t="s">
        <v>162</v>
      </c>
      <c r="B22" s="24">
        <v>0</v>
      </c>
      <c r="C22" s="24">
        <v>0</v>
      </c>
      <c r="D22" s="24">
        <v>0</v>
      </c>
      <c r="E22" s="24">
        <v>0</v>
      </c>
      <c r="F22" s="24">
        <v>0</v>
      </c>
      <c r="G22" s="24">
        <v>0</v>
      </c>
      <c r="H22" s="24">
        <v>0</v>
      </c>
      <c r="I22" s="24">
        <v>0</v>
      </c>
      <c r="J22" s="24">
        <v>0</v>
      </c>
      <c r="K22" s="24">
        <v>0</v>
      </c>
      <c r="L22" s="24">
        <v>0</v>
      </c>
      <c r="M22" s="24">
        <v>0</v>
      </c>
      <c r="N22" s="24">
        <v>0</v>
      </c>
      <c r="O22" s="24">
        <v>0</v>
      </c>
      <c r="P22" s="24">
        <v>0</v>
      </c>
      <c r="Q22" s="24">
        <v>0</v>
      </c>
      <c r="R22" s="24">
        <v>0</v>
      </c>
      <c r="S22" s="24">
        <v>0</v>
      </c>
      <c r="T22" s="24">
        <v>0</v>
      </c>
      <c r="U22" s="24">
        <v>0</v>
      </c>
      <c r="V22" s="24">
        <v>0</v>
      </c>
      <c r="W22" s="24">
        <v>0</v>
      </c>
      <c r="X22" s="24">
        <v>0</v>
      </c>
      <c r="Y22" s="24">
        <v>0</v>
      </c>
      <c r="Z22" s="24">
        <v>0</v>
      </c>
      <c r="AA22" s="24">
        <v>0</v>
      </c>
      <c r="AB22" s="24">
        <v>0</v>
      </c>
      <c r="AC22" s="24">
        <v>0</v>
      </c>
      <c r="AD22" s="24">
        <v>0</v>
      </c>
      <c r="AE22" s="24">
        <v>0</v>
      </c>
      <c r="AF22" s="24">
        <v>0</v>
      </c>
      <c r="AG22" s="24">
        <v>0</v>
      </c>
      <c r="AH22" s="24">
        <v>0</v>
      </c>
      <c r="AI22" s="24">
        <v>0</v>
      </c>
      <c r="AJ22" s="24">
        <v>0</v>
      </c>
      <c r="AK22" s="24">
        <v>0</v>
      </c>
      <c r="AL22" s="24">
        <v>0</v>
      </c>
      <c r="AM22" s="24">
        <v>0</v>
      </c>
      <c r="AN22" s="24">
        <v>0</v>
      </c>
      <c r="AO22" s="24">
        <v>0</v>
      </c>
      <c r="AP22" s="24">
        <v>0</v>
      </c>
      <c r="AQ22" s="24">
        <v>0</v>
      </c>
      <c r="AR22" s="24">
        <v>0</v>
      </c>
      <c r="AS22" s="24">
        <v>0</v>
      </c>
      <c r="AT22" s="24">
        <v>0</v>
      </c>
      <c r="AU22" s="24">
        <v>0</v>
      </c>
    </row>
  </sheetData>
  <phoneticPr fontId="1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211B-05F1-4D7E-B8FA-56D09CCF2152}">
  <sheetPr>
    <tabColor theme="3"/>
  </sheetPr>
  <dimension ref="A1:AQ17"/>
  <sheetViews>
    <sheetView topLeftCell="S1" workbookViewId="0">
      <selection activeCell="AG2" sqref="AG2:AQ17"/>
    </sheetView>
  </sheetViews>
  <sheetFormatPr defaultRowHeight="15"/>
  <cols>
    <col min="1" max="2" width="32.42578125" style="7" customWidth="1"/>
    <col min="3" max="16384" width="9.140625" style="7"/>
  </cols>
  <sheetData>
    <row r="1" spans="1:43">
      <c r="A1" s="7" t="s">
        <v>141</v>
      </c>
      <c r="B1" s="7">
        <v>2019</v>
      </c>
      <c r="C1" s="7">
        <v>2020</v>
      </c>
      <c r="D1" s="7">
        <v>2021</v>
      </c>
      <c r="E1" s="7">
        <v>2022</v>
      </c>
      <c r="F1" s="7">
        <v>2023</v>
      </c>
      <c r="G1" s="7">
        <v>2024</v>
      </c>
      <c r="H1" s="7">
        <v>2025</v>
      </c>
      <c r="I1" s="7">
        <v>2026</v>
      </c>
      <c r="J1" s="7">
        <v>2027</v>
      </c>
      <c r="K1" s="7">
        <v>2028</v>
      </c>
      <c r="L1" s="7">
        <v>2029</v>
      </c>
      <c r="M1" s="7">
        <v>2030</v>
      </c>
      <c r="N1" s="7">
        <v>2031</v>
      </c>
      <c r="O1" s="7">
        <v>2032</v>
      </c>
      <c r="P1" s="7">
        <v>2033</v>
      </c>
      <c r="Q1" s="7">
        <v>2034</v>
      </c>
      <c r="R1" s="7">
        <v>2035</v>
      </c>
      <c r="S1" s="7">
        <v>2036</v>
      </c>
      <c r="T1" s="7">
        <v>2037</v>
      </c>
      <c r="U1" s="7">
        <v>2038</v>
      </c>
      <c r="V1" s="7">
        <v>2039</v>
      </c>
      <c r="W1" s="7">
        <v>2040</v>
      </c>
      <c r="X1" s="7">
        <v>2041</v>
      </c>
      <c r="Y1" s="7">
        <v>2042</v>
      </c>
      <c r="Z1" s="7">
        <v>2043</v>
      </c>
      <c r="AA1" s="7">
        <v>2044</v>
      </c>
      <c r="AB1" s="7">
        <v>2045</v>
      </c>
      <c r="AC1" s="7">
        <v>2046</v>
      </c>
      <c r="AD1" s="7">
        <v>2047</v>
      </c>
      <c r="AE1" s="7">
        <v>2048</v>
      </c>
      <c r="AF1" s="7">
        <v>2049</v>
      </c>
      <c r="AG1" s="7">
        <v>2050</v>
      </c>
      <c r="AH1" s="7">
        <v>2051</v>
      </c>
      <c r="AI1" s="7">
        <v>2052</v>
      </c>
      <c r="AJ1" s="7">
        <v>2053</v>
      </c>
      <c r="AK1" s="7">
        <v>2054</v>
      </c>
      <c r="AL1" s="7">
        <v>2055</v>
      </c>
      <c r="AM1" s="7">
        <v>2056</v>
      </c>
      <c r="AN1" s="7">
        <v>2057</v>
      </c>
      <c r="AO1" s="7">
        <v>2058</v>
      </c>
      <c r="AP1" s="7">
        <v>2059</v>
      </c>
      <c r="AQ1" s="7">
        <v>2060</v>
      </c>
    </row>
    <row r="2" spans="1:43">
      <c r="A2" s="7" t="s">
        <v>163</v>
      </c>
      <c r="B2" s="7">
        <v>0</v>
      </c>
      <c r="C2" s="14">
        <v>0</v>
      </c>
      <c r="D2" s="14">
        <v>0</v>
      </c>
      <c r="E2" s="14">
        <v>0</v>
      </c>
      <c r="F2" s="14">
        <v>0</v>
      </c>
      <c r="G2" s="14">
        <v>0</v>
      </c>
      <c r="H2" s="14">
        <v>0</v>
      </c>
      <c r="I2" s="14">
        <v>0</v>
      </c>
      <c r="J2" s="14">
        <v>0</v>
      </c>
      <c r="K2" s="14">
        <v>0</v>
      </c>
      <c r="L2" s="14">
        <v>0</v>
      </c>
      <c r="M2" s="14">
        <v>0</v>
      </c>
      <c r="N2" s="14">
        <v>0</v>
      </c>
      <c r="O2" s="14">
        <v>0</v>
      </c>
      <c r="P2" s="14">
        <v>0</v>
      </c>
      <c r="Q2" s="14">
        <v>0</v>
      </c>
      <c r="R2" s="14">
        <v>0</v>
      </c>
      <c r="S2" s="14">
        <v>0</v>
      </c>
      <c r="T2" s="14">
        <v>0</v>
      </c>
      <c r="U2" s="14">
        <v>0</v>
      </c>
      <c r="V2" s="14">
        <v>0</v>
      </c>
      <c r="W2" s="14">
        <v>0</v>
      </c>
      <c r="X2" s="14">
        <v>0</v>
      </c>
      <c r="Y2" s="14">
        <v>0</v>
      </c>
      <c r="Z2" s="14">
        <v>0</v>
      </c>
      <c r="AA2" s="14">
        <v>0</v>
      </c>
      <c r="AB2" s="14">
        <v>0</v>
      </c>
      <c r="AC2" s="14">
        <v>0</v>
      </c>
      <c r="AD2" s="14">
        <v>0</v>
      </c>
      <c r="AE2" s="14">
        <v>0</v>
      </c>
      <c r="AF2" s="14">
        <v>0</v>
      </c>
      <c r="AG2" s="14">
        <v>0</v>
      </c>
      <c r="AH2" s="14">
        <v>0</v>
      </c>
      <c r="AI2" s="14">
        <v>0</v>
      </c>
      <c r="AJ2" s="14">
        <v>0</v>
      </c>
      <c r="AK2" s="14">
        <v>0</v>
      </c>
      <c r="AL2" s="14">
        <v>0</v>
      </c>
      <c r="AM2" s="14">
        <v>0</v>
      </c>
      <c r="AN2" s="14">
        <v>0</v>
      </c>
      <c r="AO2" s="14">
        <v>0</v>
      </c>
      <c r="AP2" s="14">
        <v>0</v>
      </c>
      <c r="AQ2" s="14">
        <v>0</v>
      </c>
    </row>
    <row r="3" spans="1:43">
      <c r="A3" s="7" t="s">
        <v>270</v>
      </c>
      <c r="B3" s="7">
        <v>0</v>
      </c>
      <c r="C3" s="14">
        <v>0</v>
      </c>
      <c r="D3" s="14">
        <v>0</v>
      </c>
      <c r="E3" s="14">
        <v>0</v>
      </c>
      <c r="F3" s="14">
        <v>0</v>
      </c>
      <c r="G3" s="14">
        <v>0</v>
      </c>
      <c r="H3" s="14">
        <v>0</v>
      </c>
      <c r="I3" s="14">
        <v>0</v>
      </c>
      <c r="J3" s="14">
        <v>0</v>
      </c>
      <c r="K3" s="14">
        <v>0</v>
      </c>
      <c r="L3" s="14">
        <v>0</v>
      </c>
      <c r="M3" s="14">
        <v>0</v>
      </c>
      <c r="N3" s="14">
        <v>0</v>
      </c>
      <c r="O3" s="14">
        <v>0</v>
      </c>
      <c r="P3" s="14">
        <v>0</v>
      </c>
      <c r="Q3" s="14">
        <v>0</v>
      </c>
      <c r="R3" s="14">
        <v>0</v>
      </c>
      <c r="S3" s="14">
        <v>0</v>
      </c>
      <c r="T3" s="14">
        <v>0</v>
      </c>
      <c r="U3" s="14">
        <v>0</v>
      </c>
      <c r="V3" s="14">
        <v>0</v>
      </c>
      <c r="W3" s="14">
        <v>0</v>
      </c>
      <c r="X3" s="14">
        <v>0</v>
      </c>
      <c r="Y3" s="14">
        <v>0</v>
      </c>
      <c r="Z3" s="14">
        <v>0</v>
      </c>
      <c r="AA3" s="14">
        <v>0</v>
      </c>
      <c r="AB3" s="14">
        <v>0</v>
      </c>
      <c r="AC3" s="14">
        <v>0</v>
      </c>
      <c r="AD3" s="14">
        <v>0</v>
      </c>
      <c r="AE3" s="14">
        <v>0</v>
      </c>
      <c r="AF3" s="14">
        <v>0</v>
      </c>
      <c r="AG3" s="14">
        <v>0</v>
      </c>
      <c r="AH3" s="14">
        <v>0</v>
      </c>
      <c r="AI3" s="14">
        <v>0</v>
      </c>
      <c r="AJ3" s="14">
        <v>0</v>
      </c>
      <c r="AK3" s="14">
        <v>0</v>
      </c>
      <c r="AL3" s="14">
        <v>0</v>
      </c>
      <c r="AM3" s="14">
        <v>0</v>
      </c>
      <c r="AN3" s="14">
        <v>0</v>
      </c>
      <c r="AO3" s="14">
        <v>0</v>
      </c>
      <c r="AP3" s="14">
        <v>0</v>
      </c>
      <c r="AQ3" s="14">
        <v>0</v>
      </c>
    </row>
    <row r="4" spans="1:43">
      <c r="A4" s="7" t="s">
        <v>164</v>
      </c>
      <c r="B4" s="7">
        <v>0</v>
      </c>
      <c r="C4" s="14">
        <v>0</v>
      </c>
      <c r="D4" s="14">
        <v>0</v>
      </c>
      <c r="E4" s="14">
        <v>0</v>
      </c>
      <c r="F4" s="14">
        <v>0</v>
      </c>
      <c r="G4" s="14">
        <v>0</v>
      </c>
      <c r="H4" s="14">
        <v>0</v>
      </c>
      <c r="I4" s="14">
        <v>0</v>
      </c>
      <c r="J4" s="14">
        <v>0</v>
      </c>
      <c r="K4" s="14">
        <v>0</v>
      </c>
      <c r="L4" s="14">
        <v>0</v>
      </c>
      <c r="M4" s="14">
        <v>0</v>
      </c>
      <c r="N4" s="14">
        <v>0</v>
      </c>
      <c r="O4" s="14">
        <v>0</v>
      </c>
      <c r="P4" s="14">
        <v>0</v>
      </c>
      <c r="Q4" s="14">
        <v>0</v>
      </c>
      <c r="R4" s="14">
        <v>0</v>
      </c>
      <c r="S4" s="14">
        <v>0</v>
      </c>
      <c r="T4" s="14">
        <v>0</v>
      </c>
      <c r="U4" s="14">
        <v>0</v>
      </c>
      <c r="V4" s="14">
        <v>0</v>
      </c>
      <c r="W4" s="14">
        <v>0</v>
      </c>
      <c r="X4" s="14">
        <v>0</v>
      </c>
      <c r="Y4" s="14">
        <v>0</v>
      </c>
      <c r="Z4" s="14">
        <v>0</v>
      </c>
      <c r="AA4" s="14">
        <v>0</v>
      </c>
      <c r="AB4" s="14">
        <v>0</v>
      </c>
      <c r="AC4" s="14">
        <v>0</v>
      </c>
      <c r="AD4" s="14">
        <v>0</v>
      </c>
      <c r="AE4" s="14">
        <v>0</v>
      </c>
      <c r="AF4" s="14">
        <v>0</v>
      </c>
      <c r="AG4" s="14">
        <v>0</v>
      </c>
      <c r="AH4" s="14">
        <v>0</v>
      </c>
      <c r="AI4" s="14">
        <v>0</v>
      </c>
      <c r="AJ4" s="14">
        <v>0</v>
      </c>
      <c r="AK4" s="14">
        <v>0</v>
      </c>
      <c r="AL4" s="14">
        <v>0</v>
      </c>
      <c r="AM4" s="14">
        <v>0</v>
      </c>
      <c r="AN4" s="14">
        <v>0</v>
      </c>
      <c r="AO4" s="14">
        <v>0</v>
      </c>
      <c r="AP4" s="14">
        <v>0</v>
      </c>
      <c r="AQ4" s="14">
        <v>0</v>
      </c>
    </row>
    <row r="5" spans="1:43">
      <c r="A5" s="7" t="s">
        <v>165</v>
      </c>
      <c r="B5" s="7">
        <v>0</v>
      </c>
      <c r="C5" s="14">
        <v>0</v>
      </c>
      <c r="D5" s="14">
        <v>0</v>
      </c>
      <c r="E5" s="14">
        <v>0</v>
      </c>
      <c r="F5" s="14">
        <v>0</v>
      </c>
      <c r="G5" s="14">
        <v>0</v>
      </c>
      <c r="H5" s="14">
        <v>0</v>
      </c>
      <c r="I5" s="14">
        <v>0</v>
      </c>
      <c r="J5" s="14">
        <v>0</v>
      </c>
      <c r="K5" s="14">
        <v>0</v>
      </c>
      <c r="L5" s="14">
        <v>0</v>
      </c>
      <c r="M5" s="14">
        <v>0</v>
      </c>
      <c r="N5" s="14">
        <v>0</v>
      </c>
      <c r="O5" s="14">
        <v>0</v>
      </c>
      <c r="P5" s="14">
        <v>0</v>
      </c>
      <c r="Q5" s="14">
        <v>0</v>
      </c>
      <c r="R5" s="14">
        <v>0</v>
      </c>
      <c r="S5" s="14">
        <v>0</v>
      </c>
      <c r="T5" s="14">
        <v>0</v>
      </c>
      <c r="U5" s="14">
        <v>0</v>
      </c>
      <c r="V5" s="14">
        <v>0</v>
      </c>
      <c r="W5" s="14">
        <v>0</v>
      </c>
      <c r="X5" s="14">
        <v>0</v>
      </c>
      <c r="Y5" s="14">
        <v>0</v>
      </c>
      <c r="Z5" s="14">
        <v>0</v>
      </c>
      <c r="AA5" s="14">
        <v>0</v>
      </c>
      <c r="AB5" s="14">
        <v>0</v>
      </c>
      <c r="AC5" s="14">
        <v>0</v>
      </c>
      <c r="AD5" s="14">
        <v>0</v>
      </c>
      <c r="AE5" s="14">
        <v>0</v>
      </c>
      <c r="AF5" s="14">
        <v>0</v>
      </c>
      <c r="AG5" s="14">
        <v>0</v>
      </c>
      <c r="AH5" s="14">
        <v>0</v>
      </c>
      <c r="AI5" s="14">
        <v>0</v>
      </c>
      <c r="AJ5" s="14">
        <v>0</v>
      </c>
      <c r="AK5" s="14">
        <v>0</v>
      </c>
      <c r="AL5" s="14">
        <v>0</v>
      </c>
      <c r="AM5" s="14">
        <v>0</v>
      </c>
      <c r="AN5" s="14">
        <v>0</v>
      </c>
      <c r="AO5" s="14">
        <v>0</v>
      </c>
      <c r="AP5" s="14">
        <v>0</v>
      </c>
      <c r="AQ5" s="14">
        <v>0</v>
      </c>
    </row>
    <row r="6" spans="1:43">
      <c r="A6" s="7" t="s">
        <v>166</v>
      </c>
      <c r="B6" s="7">
        <v>0</v>
      </c>
      <c r="C6" s="14">
        <v>0</v>
      </c>
      <c r="D6" s="14">
        <v>0</v>
      </c>
      <c r="E6" s="14">
        <v>0</v>
      </c>
      <c r="F6" s="14">
        <v>0</v>
      </c>
      <c r="G6" s="14">
        <v>0</v>
      </c>
      <c r="H6" s="14">
        <v>0</v>
      </c>
      <c r="I6" s="14">
        <v>0</v>
      </c>
      <c r="J6" s="14">
        <v>0</v>
      </c>
      <c r="K6" s="14">
        <v>0</v>
      </c>
      <c r="L6" s="14">
        <v>0</v>
      </c>
      <c r="M6" s="14">
        <v>0</v>
      </c>
      <c r="N6" s="14">
        <v>0</v>
      </c>
      <c r="O6" s="14">
        <v>0</v>
      </c>
      <c r="P6" s="14">
        <v>0</v>
      </c>
      <c r="Q6" s="14">
        <v>0</v>
      </c>
      <c r="R6" s="14">
        <v>0</v>
      </c>
      <c r="S6" s="14">
        <v>0</v>
      </c>
      <c r="T6" s="14">
        <v>0</v>
      </c>
      <c r="U6" s="14">
        <v>0</v>
      </c>
      <c r="V6" s="14">
        <v>0</v>
      </c>
      <c r="W6" s="14">
        <v>0</v>
      </c>
      <c r="X6" s="14">
        <v>0</v>
      </c>
      <c r="Y6" s="14">
        <v>0</v>
      </c>
      <c r="Z6" s="14">
        <v>0</v>
      </c>
      <c r="AA6" s="14">
        <v>0</v>
      </c>
      <c r="AB6" s="14">
        <v>0</v>
      </c>
      <c r="AC6" s="14">
        <v>0</v>
      </c>
      <c r="AD6" s="14">
        <v>0</v>
      </c>
      <c r="AE6" s="14">
        <v>0</v>
      </c>
      <c r="AF6" s="14">
        <v>0</v>
      </c>
      <c r="AG6" s="14">
        <v>0</v>
      </c>
      <c r="AH6" s="14">
        <v>0</v>
      </c>
      <c r="AI6" s="14">
        <v>0</v>
      </c>
      <c r="AJ6" s="14">
        <v>0</v>
      </c>
      <c r="AK6" s="14">
        <v>0</v>
      </c>
      <c r="AL6" s="14">
        <v>0</v>
      </c>
      <c r="AM6" s="14">
        <v>0</v>
      </c>
      <c r="AN6" s="14">
        <v>0</v>
      </c>
      <c r="AO6" s="14">
        <v>0</v>
      </c>
      <c r="AP6" s="14">
        <v>0</v>
      </c>
      <c r="AQ6" s="14">
        <v>0</v>
      </c>
    </row>
    <row r="7" spans="1:43">
      <c r="A7" s="7" t="s">
        <v>167</v>
      </c>
      <c r="B7" s="7">
        <v>0</v>
      </c>
      <c r="C7" s="14">
        <v>0</v>
      </c>
      <c r="D7" s="14">
        <v>0</v>
      </c>
      <c r="E7" s="14">
        <v>0</v>
      </c>
      <c r="F7" s="14">
        <v>0</v>
      </c>
      <c r="G7" s="14">
        <v>0</v>
      </c>
      <c r="H7" s="14">
        <v>0</v>
      </c>
      <c r="I7" s="14">
        <v>0</v>
      </c>
      <c r="J7" s="14">
        <v>0</v>
      </c>
      <c r="K7" s="14">
        <v>0</v>
      </c>
      <c r="L7" s="14">
        <v>0</v>
      </c>
      <c r="M7" s="14">
        <v>0</v>
      </c>
      <c r="N7" s="14">
        <v>0</v>
      </c>
      <c r="O7" s="14">
        <v>0</v>
      </c>
      <c r="P7" s="14">
        <v>0</v>
      </c>
      <c r="Q7" s="14">
        <v>0</v>
      </c>
      <c r="R7" s="14">
        <v>0</v>
      </c>
      <c r="S7" s="14">
        <v>0</v>
      </c>
      <c r="T7" s="14">
        <v>0</v>
      </c>
      <c r="U7" s="14">
        <v>0</v>
      </c>
      <c r="V7" s="14">
        <v>0</v>
      </c>
      <c r="W7" s="14">
        <v>0</v>
      </c>
      <c r="X7" s="14">
        <v>0</v>
      </c>
      <c r="Y7" s="14">
        <v>0</v>
      </c>
      <c r="Z7" s="14">
        <v>0</v>
      </c>
      <c r="AA7" s="14">
        <v>0</v>
      </c>
      <c r="AB7" s="14">
        <v>0</v>
      </c>
      <c r="AC7" s="14">
        <v>0</v>
      </c>
      <c r="AD7" s="14">
        <v>0</v>
      </c>
      <c r="AE7" s="14">
        <v>0</v>
      </c>
      <c r="AF7" s="14">
        <v>0</v>
      </c>
      <c r="AG7" s="14">
        <v>0</v>
      </c>
      <c r="AH7" s="14">
        <v>0</v>
      </c>
      <c r="AI7" s="14">
        <v>0</v>
      </c>
      <c r="AJ7" s="14">
        <v>0</v>
      </c>
      <c r="AK7" s="14">
        <v>0</v>
      </c>
      <c r="AL7" s="14">
        <v>0</v>
      </c>
      <c r="AM7" s="14">
        <v>0</v>
      </c>
      <c r="AN7" s="14">
        <v>0</v>
      </c>
      <c r="AO7" s="14">
        <v>0</v>
      </c>
      <c r="AP7" s="14">
        <v>0</v>
      </c>
      <c r="AQ7" s="14">
        <v>0</v>
      </c>
    </row>
    <row r="8" spans="1:43">
      <c r="A8" s="7" t="s">
        <v>271</v>
      </c>
      <c r="B8" s="7">
        <v>0</v>
      </c>
      <c r="C8" s="14">
        <v>0</v>
      </c>
      <c r="D8" s="14">
        <v>0</v>
      </c>
      <c r="E8" s="14">
        <v>0</v>
      </c>
      <c r="F8" s="14">
        <v>0</v>
      </c>
      <c r="G8" s="14">
        <v>0</v>
      </c>
      <c r="H8" s="14">
        <v>0</v>
      </c>
      <c r="I8" s="14">
        <v>0</v>
      </c>
      <c r="J8" s="14">
        <v>0</v>
      </c>
      <c r="K8" s="14">
        <v>0</v>
      </c>
      <c r="L8" s="14">
        <v>0</v>
      </c>
      <c r="M8" s="14">
        <v>0</v>
      </c>
      <c r="N8" s="14">
        <v>0</v>
      </c>
      <c r="O8" s="14">
        <v>0</v>
      </c>
      <c r="P8" s="14">
        <v>0</v>
      </c>
      <c r="Q8" s="14">
        <v>0</v>
      </c>
      <c r="R8" s="14">
        <v>0</v>
      </c>
      <c r="S8" s="14">
        <v>0</v>
      </c>
      <c r="T8" s="14">
        <v>0</v>
      </c>
      <c r="U8" s="14">
        <v>0</v>
      </c>
      <c r="V8" s="14">
        <v>0</v>
      </c>
      <c r="W8" s="14">
        <v>0</v>
      </c>
      <c r="X8" s="14">
        <v>0</v>
      </c>
      <c r="Y8" s="14">
        <v>0</v>
      </c>
      <c r="Z8" s="14">
        <v>0</v>
      </c>
      <c r="AA8" s="14">
        <v>0</v>
      </c>
      <c r="AB8" s="14">
        <v>0</v>
      </c>
      <c r="AC8" s="14">
        <v>0</v>
      </c>
      <c r="AD8" s="14">
        <v>0</v>
      </c>
      <c r="AE8" s="14">
        <v>0</v>
      </c>
      <c r="AF8" s="14">
        <v>0</v>
      </c>
      <c r="AG8" s="14">
        <v>0</v>
      </c>
      <c r="AH8" s="14">
        <v>0</v>
      </c>
      <c r="AI8" s="14">
        <v>0</v>
      </c>
      <c r="AJ8" s="14">
        <v>0</v>
      </c>
      <c r="AK8" s="14">
        <v>0</v>
      </c>
      <c r="AL8" s="14">
        <v>0</v>
      </c>
      <c r="AM8" s="14">
        <v>0</v>
      </c>
      <c r="AN8" s="14">
        <v>0</v>
      </c>
      <c r="AO8" s="14">
        <v>0</v>
      </c>
      <c r="AP8" s="14">
        <v>0</v>
      </c>
      <c r="AQ8" s="14">
        <v>0</v>
      </c>
    </row>
    <row r="9" spans="1:43">
      <c r="A9" s="7" t="s">
        <v>272</v>
      </c>
      <c r="B9" s="7">
        <v>0</v>
      </c>
      <c r="C9" s="14">
        <v>0</v>
      </c>
      <c r="D9" s="14">
        <v>0</v>
      </c>
      <c r="E9" s="14">
        <v>0</v>
      </c>
      <c r="F9" s="14">
        <v>0</v>
      </c>
      <c r="G9" s="14">
        <v>0</v>
      </c>
      <c r="H9" s="14">
        <v>0</v>
      </c>
      <c r="I9" s="14">
        <v>0</v>
      </c>
      <c r="J9" s="14">
        <v>0</v>
      </c>
      <c r="K9" s="14">
        <v>0</v>
      </c>
      <c r="L9" s="14">
        <v>0</v>
      </c>
      <c r="M9" s="14">
        <v>0</v>
      </c>
      <c r="N9" s="14">
        <v>0</v>
      </c>
      <c r="O9" s="14">
        <v>0</v>
      </c>
      <c r="P9" s="14">
        <v>0</v>
      </c>
      <c r="Q9" s="14">
        <v>0</v>
      </c>
      <c r="R9" s="14">
        <v>0</v>
      </c>
      <c r="S9" s="14">
        <v>0</v>
      </c>
      <c r="T9" s="14">
        <v>0</v>
      </c>
      <c r="U9" s="14">
        <v>0</v>
      </c>
      <c r="V9" s="14">
        <v>0</v>
      </c>
      <c r="W9" s="14">
        <v>0</v>
      </c>
      <c r="X9" s="14">
        <v>0</v>
      </c>
      <c r="Y9" s="14">
        <v>0</v>
      </c>
      <c r="Z9" s="14">
        <v>0</v>
      </c>
      <c r="AA9" s="14">
        <v>0</v>
      </c>
      <c r="AB9" s="14">
        <v>0</v>
      </c>
      <c r="AC9" s="14">
        <v>0</v>
      </c>
      <c r="AD9" s="14">
        <v>0</v>
      </c>
      <c r="AE9" s="14">
        <v>0</v>
      </c>
      <c r="AF9" s="14">
        <v>0</v>
      </c>
      <c r="AG9" s="14">
        <v>0</v>
      </c>
      <c r="AH9" s="14">
        <v>0</v>
      </c>
      <c r="AI9" s="14">
        <v>0</v>
      </c>
      <c r="AJ9" s="14">
        <v>0</v>
      </c>
      <c r="AK9" s="14">
        <v>0</v>
      </c>
      <c r="AL9" s="14">
        <v>0</v>
      </c>
      <c r="AM9" s="14">
        <v>0</v>
      </c>
      <c r="AN9" s="14">
        <v>0</v>
      </c>
      <c r="AO9" s="14">
        <v>0</v>
      </c>
      <c r="AP9" s="14">
        <v>0</v>
      </c>
      <c r="AQ9" s="14">
        <v>0</v>
      </c>
    </row>
    <row r="10" spans="1:43">
      <c r="A10" s="7" t="s">
        <v>168</v>
      </c>
      <c r="B10" s="7">
        <v>0</v>
      </c>
      <c r="C10" s="14">
        <v>0</v>
      </c>
      <c r="D10" s="14">
        <v>0</v>
      </c>
      <c r="E10" s="14">
        <v>0</v>
      </c>
      <c r="F10" s="14">
        <v>0</v>
      </c>
      <c r="G10" s="14">
        <v>0</v>
      </c>
      <c r="H10" s="14">
        <v>0</v>
      </c>
      <c r="I10" s="14">
        <v>0</v>
      </c>
      <c r="J10" s="14">
        <v>0</v>
      </c>
      <c r="K10" s="14">
        <v>0</v>
      </c>
      <c r="L10" s="14">
        <v>0</v>
      </c>
      <c r="M10" s="14">
        <v>0</v>
      </c>
      <c r="N10" s="14">
        <v>0</v>
      </c>
      <c r="O10" s="14">
        <v>0</v>
      </c>
      <c r="P10" s="14">
        <v>0</v>
      </c>
      <c r="Q10" s="14">
        <v>0</v>
      </c>
      <c r="R10" s="14">
        <v>0</v>
      </c>
      <c r="S10" s="14">
        <v>0</v>
      </c>
      <c r="T10" s="14">
        <v>0</v>
      </c>
      <c r="U10" s="14">
        <v>0</v>
      </c>
      <c r="V10" s="14">
        <v>0</v>
      </c>
      <c r="W10" s="14">
        <v>0</v>
      </c>
      <c r="X10" s="14">
        <v>0</v>
      </c>
      <c r="Y10" s="14">
        <v>0</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4">
        <v>0</v>
      </c>
      <c r="AP10" s="14">
        <v>0</v>
      </c>
      <c r="AQ10" s="14">
        <v>0</v>
      </c>
    </row>
    <row r="11" spans="1:43">
      <c r="A11" s="7" t="s">
        <v>169</v>
      </c>
      <c r="B11" s="7">
        <v>0</v>
      </c>
      <c r="C11" s="14">
        <v>0</v>
      </c>
      <c r="D11" s="14">
        <v>0</v>
      </c>
      <c r="E11" s="14">
        <v>0</v>
      </c>
      <c r="F11" s="14">
        <v>0</v>
      </c>
      <c r="G11" s="14">
        <v>0</v>
      </c>
      <c r="H11" s="14">
        <v>0</v>
      </c>
      <c r="I11" s="14">
        <v>0</v>
      </c>
      <c r="J11" s="14">
        <v>0</v>
      </c>
      <c r="K11" s="14">
        <v>0</v>
      </c>
      <c r="L11" s="14">
        <v>0</v>
      </c>
      <c r="M11" s="14">
        <v>0</v>
      </c>
      <c r="N11" s="14">
        <v>0</v>
      </c>
      <c r="O11" s="14">
        <v>0</v>
      </c>
      <c r="P11" s="14">
        <v>0</v>
      </c>
      <c r="Q11" s="14">
        <v>0</v>
      </c>
      <c r="R11" s="14">
        <v>0</v>
      </c>
      <c r="S11" s="14">
        <v>0</v>
      </c>
      <c r="T11" s="14">
        <v>0</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0</v>
      </c>
      <c r="AL11" s="14">
        <v>0</v>
      </c>
      <c r="AM11" s="14">
        <v>0</v>
      </c>
      <c r="AN11" s="14">
        <v>0</v>
      </c>
      <c r="AO11" s="14">
        <v>0</v>
      </c>
      <c r="AP11" s="14">
        <v>0</v>
      </c>
      <c r="AQ11" s="14">
        <v>0</v>
      </c>
    </row>
    <row r="12" spans="1:43">
      <c r="A12" s="7" t="s">
        <v>170</v>
      </c>
      <c r="B12" s="7">
        <v>0</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0</v>
      </c>
      <c r="AL12" s="14">
        <v>0</v>
      </c>
      <c r="AM12" s="14">
        <v>0</v>
      </c>
      <c r="AN12" s="14">
        <v>0</v>
      </c>
      <c r="AO12" s="14">
        <v>0</v>
      </c>
      <c r="AP12" s="14">
        <v>0</v>
      </c>
      <c r="AQ12" s="14">
        <v>0</v>
      </c>
    </row>
    <row r="13" spans="1:43">
      <c r="A13" s="7" t="s">
        <v>171</v>
      </c>
      <c r="B13" s="7">
        <v>0</v>
      </c>
      <c r="C13" s="14">
        <v>0</v>
      </c>
      <c r="D13" s="14">
        <v>0</v>
      </c>
      <c r="E13" s="14">
        <v>0</v>
      </c>
      <c r="F13" s="14">
        <v>0</v>
      </c>
      <c r="G13" s="14">
        <v>0</v>
      </c>
      <c r="H13" s="14">
        <v>0</v>
      </c>
      <c r="I13" s="14">
        <v>0</v>
      </c>
      <c r="J13" s="14">
        <v>0</v>
      </c>
      <c r="K13" s="14">
        <v>0</v>
      </c>
      <c r="L13" s="14">
        <v>0</v>
      </c>
      <c r="M13" s="14">
        <v>0</v>
      </c>
      <c r="N13" s="14">
        <v>0</v>
      </c>
      <c r="O13" s="14">
        <v>0</v>
      </c>
      <c r="P13" s="14">
        <v>0</v>
      </c>
      <c r="Q13" s="14">
        <v>0</v>
      </c>
      <c r="R13" s="14">
        <v>0</v>
      </c>
      <c r="S13" s="14">
        <v>0</v>
      </c>
      <c r="T13" s="14">
        <v>0</v>
      </c>
      <c r="U13" s="14">
        <v>0</v>
      </c>
      <c r="V13" s="14">
        <v>0</v>
      </c>
      <c r="W13" s="14">
        <v>0</v>
      </c>
      <c r="X13" s="14">
        <v>0</v>
      </c>
      <c r="Y13" s="14">
        <v>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row>
    <row r="14" spans="1:43">
      <c r="A14" s="7" t="s">
        <v>172</v>
      </c>
      <c r="B14" s="7">
        <v>0</v>
      </c>
      <c r="C14" s="14">
        <v>0</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c r="AG14" s="14">
        <v>0</v>
      </c>
      <c r="AH14" s="14">
        <v>0</v>
      </c>
      <c r="AI14" s="14">
        <v>0</v>
      </c>
      <c r="AJ14" s="14">
        <v>0</v>
      </c>
      <c r="AK14" s="14">
        <v>0</v>
      </c>
      <c r="AL14" s="14">
        <v>0</v>
      </c>
      <c r="AM14" s="14">
        <v>0</v>
      </c>
      <c r="AN14" s="14">
        <v>0</v>
      </c>
      <c r="AO14" s="14">
        <v>0</v>
      </c>
      <c r="AP14" s="14">
        <v>0</v>
      </c>
      <c r="AQ14" s="14">
        <v>0</v>
      </c>
    </row>
    <row r="15" spans="1:43">
      <c r="A15" s="7" t="s">
        <v>173</v>
      </c>
      <c r="B15" s="7">
        <v>0</v>
      </c>
      <c r="C15" s="14">
        <v>0</v>
      </c>
      <c r="D15" s="14">
        <v>0</v>
      </c>
      <c r="E15" s="14">
        <v>0</v>
      </c>
      <c r="F15" s="14">
        <v>0</v>
      </c>
      <c r="G15" s="14">
        <v>0</v>
      </c>
      <c r="H15" s="14">
        <v>0</v>
      </c>
      <c r="I15" s="14">
        <v>0</v>
      </c>
      <c r="J15" s="14">
        <v>0</v>
      </c>
      <c r="K15" s="14">
        <v>0</v>
      </c>
      <c r="L15" s="14">
        <v>0</v>
      </c>
      <c r="M15" s="14">
        <v>0</v>
      </c>
      <c r="N15" s="14">
        <v>0</v>
      </c>
      <c r="O15" s="14">
        <v>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row>
    <row r="16" spans="1:43">
      <c r="A16" s="7" t="s">
        <v>174</v>
      </c>
      <c r="B16" s="7">
        <v>0</v>
      </c>
      <c r="C16" s="14">
        <v>0</v>
      </c>
      <c r="D16" s="14">
        <v>0</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row>
    <row r="17" spans="1:43">
      <c r="A17" s="7" t="s">
        <v>188</v>
      </c>
      <c r="B17" s="7">
        <v>0</v>
      </c>
      <c r="C17" s="14">
        <v>0</v>
      </c>
      <c r="D17" s="14">
        <v>0</v>
      </c>
      <c r="E17" s="14">
        <v>0</v>
      </c>
      <c r="F17" s="14">
        <v>0</v>
      </c>
      <c r="G17" s="14">
        <v>0</v>
      </c>
      <c r="H17" s="14">
        <v>0</v>
      </c>
      <c r="I17" s="14">
        <v>0</v>
      </c>
      <c r="J17" s="14">
        <v>0</v>
      </c>
      <c r="K17" s="14">
        <v>0</v>
      </c>
      <c r="L17" s="14">
        <v>0</v>
      </c>
      <c r="M17" s="14">
        <v>0</v>
      </c>
      <c r="N17" s="14">
        <v>0</v>
      </c>
      <c r="O17" s="14">
        <v>0</v>
      </c>
      <c r="P17" s="14">
        <v>0</v>
      </c>
      <c r="Q17" s="14">
        <v>0</v>
      </c>
      <c r="R17" s="14">
        <v>0</v>
      </c>
      <c r="S17" s="14">
        <v>0</v>
      </c>
      <c r="T17" s="14">
        <v>0</v>
      </c>
      <c r="U17" s="14">
        <v>0</v>
      </c>
      <c r="V17" s="14">
        <v>0</v>
      </c>
      <c r="W17" s="14">
        <v>0</v>
      </c>
      <c r="X17" s="14">
        <v>0</v>
      </c>
      <c r="Y17" s="14">
        <v>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0490-6644-4BA3-BB0F-62B1097FAF83}">
  <sheetPr>
    <tabColor theme="3"/>
  </sheetPr>
  <dimension ref="A1:AQ17"/>
  <sheetViews>
    <sheetView topLeftCell="S1" workbookViewId="0">
      <selection activeCell="AR2" sqref="AR2:AR17"/>
    </sheetView>
  </sheetViews>
  <sheetFormatPr defaultColWidth="9.140625" defaultRowHeight="15"/>
  <cols>
    <col min="1" max="2" width="32.42578125" style="7" customWidth="1"/>
    <col min="3" max="16384" width="9.140625" style="7"/>
  </cols>
  <sheetData>
    <row r="1" spans="1:43">
      <c r="A1" s="7" t="s">
        <v>141</v>
      </c>
      <c r="B1" s="7">
        <v>2019</v>
      </c>
      <c r="C1" s="7">
        <v>2020</v>
      </c>
      <c r="D1" s="7">
        <v>2021</v>
      </c>
      <c r="E1" s="7">
        <v>2022</v>
      </c>
      <c r="F1" s="7">
        <v>2023</v>
      </c>
      <c r="G1" s="7">
        <v>2024</v>
      </c>
      <c r="H1" s="7">
        <v>2025</v>
      </c>
      <c r="I1" s="7">
        <v>2026</v>
      </c>
      <c r="J1" s="7">
        <v>2027</v>
      </c>
      <c r="K1" s="7">
        <v>2028</v>
      </c>
      <c r="L1" s="7">
        <v>2029</v>
      </c>
      <c r="M1" s="7">
        <v>2030</v>
      </c>
      <c r="N1" s="7">
        <v>2031</v>
      </c>
      <c r="O1" s="7">
        <v>2032</v>
      </c>
      <c r="P1" s="7">
        <v>2033</v>
      </c>
      <c r="Q1" s="7">
        <v>2034</v>
      </c>
      <c r="R1" s="7">
        <v>2035</v>
      </c>
      <c r="S1" s="7">
        <v>2036</v>
      </c>
      <c r="T1" s="7">
        <v>2037</v>
      </c>
      <c r="U1" s="7">
        <v>2038</v>
      </c>
      <c r="V1" s="7">
        <v>2039</v>
      </c>
      <c r="W1" s="7">
        <v>2040</v>
      </c>
      <c r="X1" s="7">
        <v>2041</v>
      </c>
      <c r="Y1" s="7">
        <v>2042</v>
      </c>
      <c r="Z1" s="7">
        <v>2043</v>
      </c>
      <c r="AA1" s="7">
        <v>2044</v>
      </c>
      <c r="AB1" s="7">
        <v>2045</v>
      </c>
      <c r="AC1" s="7">
        <v>2046</v>
      </c>
      <c r="AD1" s="7">
        <v>2047</v>
      </c>
      <c r="AE1" s="7">
        <v>2048</v>
      </c>
      <c r="AF1" s="7">
        <v>2049</v>
      </c>
      <c r="AG1" s="7">
        <v>2050</v>
      </c>
      <c r="AH1" s="7">
        <v>2051</v>
      </c>
      <c r="AI1" s="7">
        <v>2052</v>
      </c>
      <c r="AJ1" s="7">
        <v>2053</v>
      </c>
      <c r="AK1" s="7">
        <v>2054</v>
      </c>
      <c r="AL1" s="7">
        <v>2055</v>
      </c>
      <c r="AM1" s="7">
        <v>2056</v>
      </c>
      <c r="AN1" s="7">
        <v>2057</v>
      </c>
      <c r="AO1" s="7">
        <v>2058</v>
      </c>
      <c r="AP1" s="7">
        <v>2059</v>
      </c>
      <c r="AQ1" s="7">
        <v>2060</v>
      </c>
    </row>
    <row r="2" spans="1:43">
      <c r="A2" s="7" t="s">
        <v>163</v>
      </c>
      <c r="B2" s="7">
        <v>0</v>
      </c>
      <c r="C2" s="7">
        <v>0</v>
      </c>
      <c r="D2" s="7">
        <v>0</v>
      </c>
      <c r="E2" s="7">
        <v>0</v>
      </c>
      <c r="F2" s="7">
        <v>0</v>
      </c>
      <c r="G2" s="7">
        <v>0</v>
      </c>
      <c r="H2" s="7">
        <v>0</v>
      </c>
      <c r="I2" s="7">
        <v>0</v>
      </c>
      <c r="J2" s="7">
        <v>0</v>
      </c>
      <c r="K2" s="7">
        <v>0</v>
      </c>
      <c r="L2" s="7">
        <v>0</v>
      </c>
      <c r="M2" s="7">
        <v>0</v>
      </c>
      <c r="N2" s="7">
        <v>0</v>
      </c>
      <c r="O2" s="7">
        <v>0</v>
      </c>
      <c r="P2" s="7">
        <v>0</v>
      </c>
      <c r="Q2" s="7">
        <v>0</v>
      </c>
      <c r="R2" s="7">
        <v>0</v>
      </c>
      <c r="S2" s="7">
        <v>0</v>
      </c>
      <c r="T2" s="7">
        <v>0</v>
      </c>
      <c r="U2" s="7">
        <v>0</v>
      </c>
      <c r="V2" s="7">
        <v>0</v>
      </c>
      <c r="W2" s="7">
        <v>0</v>
      </c>
      <c r="X2" s="7">
        <v>0</v>
      </c>
      <c r="Y2" s="7">
        <v>0</v>
      </c>
      <c r="Z2" s="7">
        <v>0</v>
      </c>
      <c r="AA2" s="7">
        <v>0</v>
      </c>
      <c r="AB2" s="7">
        <v>0</v>
      </c>
      <c r="AC2" s="7">
        <v>0</v>
      </c>
      <c r="AD2" s="7">
        <v>0</v>
      </c>
      <c r="AE2" s="7">
        <v>0</v>
      </c>
      <c r="AF2" s="7">
        <v>0</v>
      </c>
      <c r="AG2" s="7">
        <v>0</v>
      </c>
      <c r="AH2" s="7">
        <v>0</v>
      </c>
      <c r="AI2" s="7">
        <v>0</v>
      </c>
      <c r="AJ2" s="7">
        <v>0</v>
      </c>
      <c r="AK2" s="7">
        <v>0</v>
      </c>
      <c r="AL2" s="7">
        <v>0</v>
      </c>
      <c r="AM2" s="7">
        <v>0</v>
      </c>
      <c r="AN2" s="7">
        <v>0</v>
      </c>
      <c r="AO2" s="7">
        <v>0</v>
      </c>
      <c r="AP2" s="7">
        <v>0</v>
      </c>
      <c r="AQ2" s="7">
        <v>0</v>
      </c>
    </row>
    <row r="3" spans="1:43">
      <c r="A3" s="7" t="s">
        <v>270</v>
      </c>
      <c r="B3" s="7">
        <v>0</v>
      </c>
      <c r="C3" s="7">
        <v>0</v>
      </c>
      <c r="D3" s="7">
        <v>0</v>
      </c>
      <c r="E3" s="7">
        <v>0</v>
      </c>
      <c r="F3" s="7">
        <v>0</v>
      </c>
      <c r="G3" s="7">
        <v>0</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c r="AF3" s="7">
        <v>0</v>
      </c>
      <c r="AG3" s="7">
        <v>0</v>
      </c>
      <c r="AH3" s="7">
        <v>0</v>
      </c>
      <c r="AI3" s="7">
        <v>0</v>
      </c>
      <c r="AJ3" s="7">
        <v>0</v>
      </c>
      <c r="AK3" s="7">
        <v>0</v>
      </c>
      <c r="AL3" s="7">
        <v>0</v>
      </c>
      <c r="AM3" s="7">
        <v>0</v>
      </c>
      <c r="AN3" s="7">
        <v>0</v>
      </c>
      <c r="AO3" s="7">
        <v>0</v>
      </c>
      <c r="AP3" s="7">
        <v>0</v>
      </c>
      <c r="AQ3" s="7">
        <v>0</v>
      </c>
    </row>
    <row r="4" spans="1:43">
      <c r="A4" s="7" t="s">
        <v>164</v>
      </c>
      <c r="B4" s="7">
        <v>0</v>
      </c>
      <c r="C4" s="7">
        <v>0</v>
      </c>
      <c r="D4" s="7">
        <v>0</v>
      </c>
      <c r="E4" s="7">
        <v>0</v>
      </c>
      <c r="F4" s="7">
        <v>0</v>
      </c>
      <c r="G4" s="7">
        <v>0</v>
      </c>
      <c r="H4" s="7">
        <v>0</v>
      </c>
      <c r="I4" s="7">
        <v>0</v>
      </c>
      <c r="J4" s="7">
        <v>0</v>
      </c>
      <c r="K4" s="7">
        <v>0</v>
      </c>
      <c r="L4" s="7">
        <v>0</v>
      </c>
      <c r="M4" s="7">
        <v>0</v>
      </c>
      <c r="N4" s="7">
        <v>0</v>
      </c>
      <c r="O4" s="7">
        <v>0</v>
      </c>
      <c r="P4" s="7">
        <v>0</v>
      </c>
      <c r="Q4" s="7">
        <v>0</v>
      </c>
      <c r="R4" s="7">
        <v>0</v>
      </c>
      <c r="S4" s="7">
        <v>0</v>
      </c>
      <c r="T4" s="7">
        <v>0</v>
      </c>
      <c r="U4" s="7">
        <v>0</v>
      </c>
      <c r="V4" s="7">
        <v>0</v>
      </c>
      <c r="W4" s="7">
        <v>0</v>
      </c>
      <c r="X4" s="7">
        <v>0</v>
      </c>
      <c r="Y4" s="7">
        <v>0</v>
      </c>
      <c r="Z4" s="7">
        <v>0</v>
      </c>
      <c r="AA4" s="7">
        <v>0</v>
      </c>
      <c r="AB4" s="7">
        <v>0</v>
      </c>
      <c r="AC4" s="7">
        <v>0</v>
      </c>
      <c r="AD4" s="7">
        <v>0</v>
      </c>
      <c r="AE4" s="7">
        <v>0</v>
      </c>
      <c r="AF4" s="7">
        <v>0</v>
      </c>
      <c r="AG4" s="7">
        <v>0</v>
      </c>
      <c r="AH4" s="7">
        <v>0</v>
      </c>
      <c r="AI4" s="7">
        <v>0</v>
      </c>
      <c r="AJ4" s="7">
        <v>0</v>
      </c>
      <c r="AK4" s="7">
        <v>0</v>
      </c>
      <c r="AL4" s="7">
        <v>0</v>
      </c>
      <c r="AM4" s="7">
        <v>0</v>
      </c>
      <c r="AN4" s="7">
        <v>0</v>
      </c>
      <c r="AO4" s="7">
        <v>0</v>
      </c>
      <c r="AP4" s="7">
        <v>0</v>
      </c>
      <c r="AQ4" s="7">
        <v>0</v>
      </c>
    </row>
    <row r="5" spans="1:43">
      <c r="A5" s="7" t="s">
        <v>165</v>
      </c>
      <c r="B5" s="7">
        <v>0</v>
      </c>
      <c r="C5" s="7">
        <v>0</v>
      </c>
      <c r="D5" s="7">
        <v>0</v>
      </c>
      <c r="E5" s="7">
        <v>0</v>
      </c>
      <c r="F5" s="7">
        <v>0</v>
      </c>
      <c r="G5" s="7">
        <v>0</v>
      </c>
      <c r="H5" s="7">
        <v>0</v>
      </c>
      <c r="I5" s="7">
        <v>0</v>
      </c>
      <c r="J5" s="7">
        <v>0</v>
      </c>
      <c r="K5" s="7">
        <v>0</v>
      </c>
      <c r="L5" s="7">
        <v>0</v>
      </c>
      <c r="M5" s="7">
        <v>0</v>
      </c>
      <c r="N5" s="7">
        <v>0</v>
      </c>
      <c r="O5" s="7">
        <v>0</v>
      </c>
      <c r="P5" s="7">
        <v>0</v>
      </c>
      <c r="Q5" s="7">
        <v>0</v>
      </c>
      <c r="R5" s="7">
        <v>0</v>
      </c>
      <c r="S5" s="7">
        <v>0</v>
      </c>
      <c r="T5" s="7">
        <v>0</v>
      </c>
      <c r="U5" s="7">
        <v>0</v>
      </c>
      <c r="V5" s="7">
        <v>0</v>
      </c>
      <c r="W5" s="7">
        <v>0</v>
      </c>
      <c r="X5" s="7">
        <v>0</v>
      </c>
      <c r="Y5" s="7">
        <v>0</v>
      </c>
      <c r="Z5" s="7">
        <v>0</v>
      </c>
      <c r="AA5" s="7">
        <v>0</v>
      </c>
      <c r="AB5" s="7">
        <v>0</v>
      </c>
      <c r="AC5" s="7">
        <v>0</v>
      </c>
      <c r="AD5" s="7">
        <v>0</v>
      </c>
      <c r="AE5" s="7">
        <v>0</v>
      </c>
      <c r="AF5" s="7">
        <v>0</v>
      </c>
      <c r="AG5" s="7">
        <v>0</v>
      </c>
      <c r="AH5" s="7">
        <v>0</v>
      </c>
      <c r="AI5" s="7">
        <v>0</v>
      </c>
      <c r="AJ5" s="7">
        <v>0</v>
      </c>
      <c r="AK5" s="7">
        <v>0</v>
      </c>
      <c r="AL5" s="7">
        <v>0</v>
      </c>
      <c r="AM5" s="7">
        <v>0</v>
      </c>
      <c r="AN5" s="7">
        <v>0</v>
      </c>
      <c r="AO5" s="7">
        <v>0</v>
      </c>
      <c r="AP5" s="7">
        <v>0</v>
      </c>
      <c r="AQ5" s="7">
        <v>0</v>
      </c>
    </row>
    <row r="6" spans="1:43">
      <c r="A6" s="7" t="s">
        <v>166</v>
      </c>
      <c r="B6" s="7">
        <v>0</v>
      </c>
      <c r="C6" s="7">
        <v>0</v>
      </c>
      <c r="D6" s="7">
        <v>0</v>
      </c>
      <c r="E6" s="7">
        <v>0</v>
      </c>
      <c r="F6" s="7">
        <v>0</v>
      </c>
      <c r="G6" s="7">
        <v>0</v>
      </c>
      <c r="H6" s="7">
        <v>0</v>
      </c>
      <c r="I6" s="7">
        <v>0</v>
      </c>
      <c r="J6" s="7">
        <v>0</v>
      </c>
      <c r="K6" s="7">
        <v>0</v>
      </c>
      <c r="L6" s="7">
        <v>0</v>
      </c>
      <c r="M6" s="7">
        <v>0</v>
      </c>
      <c r="N6" s="7">
        <v>0</v>
      </c>
      <c r="O6" s="7">
        <v>0</v>
      </c>
      <c r="P6" s="7">
        <v>0</v>
      </c>
      <c r="Q6" s="7">
        <v>0</v>
      </c>
      <c r="R6" s="7">
        <v>0</v>
      </c>
      <c r="S6" s="7">
        <v>0</v>
      </c>
      <c r="T6" s="7">
        <v>0</v>
      </c>
      <c r="U6" s="7">
        <v>0</v>
      </c>
      <c r="V6" s="7">
        <v>0</v>
      </c>
      <c r="W6" s="7">
        <v>0</v>
      </c>
      <c r="X6" s="7">
        <v>0</v>
      </c>
      <c r="Y6" s="7">
        <v>0</v>
      </c>
      <c r="Z6" s="7">
        <v>0</v>
      </c>
      <c r="AA6" s="7">
        <v>0</v>
      </c>
      <c r="AB6" s="7">
        <v>0</v>
      </c>
      <c r="AC6" s="7">
        <v>0</v>
      </c>
      <c r="AD6" s="7">
        <v>0</v>
      </c>
      <c r="AE6" s="7">
        <v>0</v>
      </c>
      <c r="AF6" s="7">
        <v>0</v>
      </c>
      <c r="AG6" s="7">
        <v>0</v>
      </c>
      <c r="AH6" s="7">
        <v>0</v>
      </c>
      <c r="AI6" s="7">
        <v>0</v>
      </c>
      <c r="AJ6" s="7">
        <v>0</v>
      </c>
      <c r="AK6" s="7">
        <v>0</v>
      </c>
      <c r="AL6" s="7">
        <v>0</v>
      </c>
      <c r="AM6" s="7">
        <v>0</v>
      </c>
      <c r="AN6" s="7">
        <v>0</v>
      </c>
      <c r="AO6" s="7">
        <v>0</v>
      </c>
      <c r="AP6" s="7">
        <v>0</v>
      </c>
      <c r="AQ6" s="7">
        <v>0</v>
      </c>
    </row>
    <row r="7" spans="1:43">
      <c r="A7" s="7" t="s">
        <v>167</v>
      </c>
      <c r="B7" s="7">
        <v>0</v>
      </c>
      <c r="C7" s="7">
        <v>0</v>
      </c>
      <c r="D7" s="7">
        <v>0</v>
      </c>
      <c r="E7" s="7">
        <v>0</v>
      </c>
      <c r="F7" s="7">
        <v>0</v>
      </c>
      <c r="G7" s="7">
        <v>0</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c r="AF7" s="7">
        <v>0</v>
      </c>
      <c r="AG7" s="7">
        <v>0</v>
      </c>
      <c r="AH7" s="7">
        <v>0</v>
      </c>
      <c r="AI7" s="7">
        <v>0</v>
      </c>
      <c r="AJ7" s="7">
        <v>0</v>
      </c>
      <c r="AK7" s="7">
        <v>0</v>
      </c>
      <c r="AL7" s="7">
        <v>0</v>
      </c>
      <c r="AM7" s="7">
        <v>0</v>
      </c>
      <c r="AN7" s="7">
        <v>0</v>
      </c>
      <c r="AO7" s="7">
        <v>0</v>
      </c>
      <c r="AP7" s="7">
        <v>0</v>
      </c>
      <c r="AQ7" s="7">
        <v>0</v>
      </c>
    </row>
    <row r="8" spans="1:43">
      <c r="A8" s="7" t="s">
        <v>271</v>
      </c>
      <c r="B8" s="7">
        <v>0</v>
      </c>
      <c r="C8" s="7">
        <v>0</v>
      </c>
      <c r="D8" s="7">
        <v>0</v>
      </c>
      <c r="E8" s="7">
        <v>0</v>
      </c>
      <c r="F8" s="7">
        <v>0</v>
      </c>
      <c r="G8" s="7">
        <v>0</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c r="AF8" s="7">
        <v>0</v>
      </c>
      <c r="AG8" s="7">
        <v>0</v>
      </c>
      <c r="AH8" s="7">
        <v>0</v>
      </c>
      <c r="AI8" s="7">
        <v>0</v>
      </c>
      <c r="AJ8" s="7">
        <v>0</v>
      </c>
      <c r="AK8" s="7">
        <v>0</v>
      </c>
      <c r="AL8" s="7">
        <v>0</v>
      </c>
      <c r="AM8" s="7">
        <v>0</v>
      </c>
      <c r="AN8" s="7">
        <v>0</v>
      </c>
      <c r="AO8" s="7">
        <v>0</v>
      </c>
      <c r="AP8" s="7">
        <v>0</v>
      </c>
      <c r="AQ8" s="7">
        <v>0</v>
      </c>
    </row>
    <row r="9" spans="1:43">
      <c r="A9" s="7" t="s">
        <v>272</v>
      </c>
      <c r="B9" s="7">
        <v>0</v>
      </c>
      <c r="C9" s="7">
        <v>0</v>
      </c>
      <c r="D9" s="7">
        <v>0</v>
      </c>
      <c r="E9" s="7">
        <v>0</v>
      </c>
      <c r="F9" s="7">
        <v>0</v>
      </c>
      <c r="G9" s="7">
        <v>0</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c r="AF9" s="7">
        <v>0</v>
      </c>
      <c r="AG9" s="7">
        <v>0</v>
      </c>
      <c r="AH9" s="7">
        <v>0</v>
      </c>
      <c r="AI9" s="7">
        <v>0</v>
      </c>
      <c r="AJ9" s="7">
        <v>0</v>
      </c>
      <c r="AK9" s="7">
        <v>0</v>
      </c>
      <c r="AL9" s="7">
        <v>0</v>
      </c>
      <c r="AM9" s="7">
        <v>0</v>
      </c>
      <c r="AN9" s="7">
        <v>0</v>
      </c>
      <c r="AO9" s="7">
        <v>0</v>
      </c>
      <c r="AP9" s="7">
        <v>0</v>
      </c>
      <c r="AQ9" s="7">
        <v>0</v>
      </c>
    </row>
    <row r="10" spans="1:43">
      <c r="A10" s="7" t="s">
        <v>168</v>
      </c>
      <c r="B10" s="7">
        <v>0</v>
      </c>
      <c r="C10" s="7">
        <v>0</v>
      </c>
      <c r="D10" s="7">
        <v>0</v>
      </c>
      <c r="E10" s="7">
        <v>0</v>
      </c>
      <c r="F10" s="7">
        <v>0</v>
      </c>
      <c r="G10" s="7">
        <v>0</v>
      </c>
      <c r="H10" s="7">
        <v>0</v>
      </c>
      <c r="I10" s="7">
        <v>0</v>
      </c>
      <c r="J10" s="7">
        <v>0</v>
      </c>
      <c r="K10" s="7">
        <v>0</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c r="AF10" s="7">
        <v>0</v>
      </c>
      <c r="AG10" s="7">
        <v>0</v>
      </c>
      <c r="AH10" s="7">
        <v>0</v>
      </c>
      <c r="AI10" s="7">
        <v>0</v>
      </c>
      <c r="AJ10" s="7">
        <v>0</v>
      </c>
      <c r="AK10" s="7">
        <v>0</v>
      </c>
      <c r="AL10" s="7">
        <v>0</v>
      </c>
      <c r="AM10" s="7">
        <v>0</v>
      </c>
      <c r="AN10" s="7">
        <v>0</v>
      </c>
      <c r="AO10" s="7">
        <v>0</v>
      </c>
      <c r="AP10" s="7">
        <v>0</v>
      </c>
      <c r="AQ10" s="7">
        <v>0</v>
      </c>
    </row>
    <row r="11" spans="1:43">
      <c r="A11" s="7" t="s">
        <v>169</v>
      </c>
      <c r="B11" s="7">
        <v>0</v>
      </c>
      <c r="C11" s="7">
        <v>0</v>
      </c>
      <c r="D11" s="7">
        <v>0</v>
      </c>
      <c r="E11" s="7">
        <v>0</v>
      </c>
      <c r="F11" s="7">
        <v>0</v>
      </c>
      <c r="G11" s="7">
        <v>0</v>
      </c>
      <c r="H11" s="7">
        <v>0</v>
      </c>
      <c r="I11" s="7">
        <v>0</v>
      </c>
      <c r="J11" s="7">
        <v>0</v>
      </c>
      <c r="K11" s="7">
        <v>0</v>
      </c>
      <c r="L11" s="7">
        <v>0</v>
      </c>
      <c r="M11" s="7">
        <v>0</v>
      </c>
      <c r="N11" s="7">
        <v>0</v>
      </c>
      <c r="O11" s="7">
        <v>0</v>
      </c>
      <c r="P11" s="7">
        <v>0</v>
      </c>
      <c r="Q11" s="7">
        <v>0</v>
      </c>
      <c r="R11" s="7">
        <v>0</v>
      </c>
      <c r="S11" s="7">
        <v>0</v>
      </c>
      <c r="T11" s="7">
        <v>0</v>
      </c>
      <c r="U11" s="7">
        <v>0</v>
      </c>
      <c r="V11" s="7">
        <v>0</v>
      </c>
      <c r="W11" s="7">
        <v>0</v>
      </c>
      <c r="X11" s="7">
        <v>0</v>
      </c>
      <c r="Y11" s="7">
        <v>0</v>
      </c>
      <c r="Z11" s="7">
        <v>0</v>
      </c>
      <c r="AA11" s="7">
        <v>0</v>
      </c>
      <c r="AB11" s="7">
        <v>0</v>
      </c>
      <c r="AC11" s="7">
        <v>0</v>
      </c>
      <c r="AD11" s="7">
        <v>0</v>
      </c>
      <c r="AE11" s="7">
        <v>0</v>
      </c>
      <c r="AF11" s="7">
        <v>0</v>
      </c>
      <c r="AG11" s="7">
        <v>0</v>
      </c>
      <c r="AH11" s="7">
        <v>0</v>
      </c>
      <c r="AI11" s="7">
        <v>0</v>
      </c>
      <c r="AJ11" s="7">
        <v>0</v>
      </c>
      <c r="AK11" s="7">
        <v>0</v>
      </c>
      <c r="AL11" s="7">
        <v>0</v>
      </c>
      <c r="AM11" s="7">
        <v>0</v>
      </c>
      <c r="AN11" s="7">
        <v>0</v>
      </c>
      <c r="AO11" s="7">
        <v>0</v>
      </c>
      <c r="AP11" s="7">
        <v>0</v>
      </c>
      <c r="AQ11" s="7">
        <v>0</v>
      </c>
    </row>
    <row r="12" spans="1:43">
      <c r="A12" s="7" t="s">
        <v>170</v>
      </c>
      <c r="B12" s="7">
        <v>0</v>
      </c>
      <c r="C12" s="7">
        <v>0</v>
      </c>
      <c r="D12" s="7">
        <v>0</v>
      </c>
      <c r="E12" s="7">
        <v>0</v>
      </c>
      <c r="F12" s="7">
        <v>0</v>
      </c>
      <c r="G12" s="7">
        <v>0</v>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c r="AF12" s="7">
        <v>0</v>
      </c>
      <c r="AG12" s="7">
        <v>0</v>
      </c>
      <c r="AH12" s="7">
        <v>0</v>
      </c>
      <c r="AI12" s="7">
        <v>0</v>
      </c>
      <c r="AJ12" s="7">
        <v>0</v>
      </c>
      <c r="AK12" s="7">
        <v>0</v>
      </c>
      <c r="AL12" s="7">
        <v>0</v>
      </c>
      <c r="AM12" s="7">
        <v>0</v>
      </c>
      <c r="AN12" s="7">
        <v>0</v>
      </c>
      <c r="AO12" s="7">
        <v>0</v>
      </c>
      <c r="AP12" s="7">
        <v>0</v>
      </c>
      <c r="AQ12" s="7">
        <v>0</v>
      </c>
    </row>
    <row r="13" spans="1:43">
      <c r="A13" s="7" t="s">
        <v>171</v>
      </c>
      <c r="B13" s="7">
        <v>0</v>
      </c>
      <c r="C13" s="7">
        <v>0</v>
      </c>
      <c r="D13" s="7">
        <v>0</v>
      </c>
      <c r="E13" s="7">
        <v>0</v>
      </c>
      <c r="F13" s="7">
        <v>0</v>
      </c>
      <c r="G13" s="7">
        <v>0</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c r="AF13" s="7">
        <v>0</v>
      </c>
      <c r="AG13" s="7">
        <v>0</v>
      </c>
      <c r="AH13" s="7">
        <v>0</v>
      </c>
      <c r="AI13" s="7">
        <v>0</v>
      </c>
      <c r="AJ13" s="7">
        <v>0</v>
      </c>
      <c r="AK13" s="7">
        <v>0</v>
      </c>
      <c r="AL13" s="7">
        <v>0</v>
      </c>
      <c r="AM13" s="7">
        <v>0</v>
      </c>
      <c r="AN13" s="7">
        <v>0</v>
      </c>
      <c r="AO13" s="7">
        <v>0</v>
      </c>
      <c r="AP13" s="7">
        <v>0</v>
      </c>
      <c r="AQ13" s="7">
        <v>0</v>
      </c>
    </row>
    <row r="14" spans="1:43">
      <c r="A14" s="7" t="s">
        <v>172</v>
      </c>
      <c r="B14" s="7">
        <v>0</v>
      </c>
      <c r="C14" s="7">
        <v>0</v>
      </c>
      <c r="D14" s="7">
        <v>0</v>
      </c>
      <c r="E14" s="7">
        <v>0</v>
      </c>
      <c r="F14" s="7">
        <v>0</v>
      </c>
      <c r="G14" s="7">
        <v>0</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c r="AF14" s="7">
        <v>0</v>
      </c>
      <c r="AG14" s="7">
        <v>0</v>
      </c>
      <c r="AH14" s="7">
        <v>0</v>
      </c>
      <c r="AI14" s="7">
        <v>0</v>
      </c>
      <c r="AJ14" s="7">
        <v>0</v>
      </c>
      <c r="AK14" s="7">
        <v>0</v>
      </c>
      <c r="AL14" s="7">
        <v>0</v>
      </c>
      <c r="AM14" s="7">
        <v>0</v>
      </c>
      <c r="AN14" s="7">
        <v>0</v>
      </c>
      <c r="AO14" s="7">
        <v>0</v>
      </c>
      <c r="AP14" s="7">
        <v>0</v>
      </c>
      <c r="AQ14" s="7">
        <v>0</v>
      </c>
    </row>
    <row r="15" spans="1:43">
      <c r="A15" s="7" t="s">
        <v>173</v>
      </c>
      <c r="B15" s="7">
        <v>0</v>
      </c>
      <c r="C15" s="7">
        <v>0</v>
      </c>
      <c r="D15" s="7">
        <v>0</v>
      </c>
      <c r="E15" s="7">
        <v>0</v>
      </c>
      <c r="F15" s="7">
        <v>0</v>
      </c>
      <c r="G15" s="7">
        <v>0</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c r="AF15" s="7">
        <v>0</v>
      </c>
      <c r="AG15" s="7">
        <v>0</v>
      </c>
      <c r="AH15" s="7">
        <v>0</v>
      </c>
      <c r="AI15" s="7">
        <v>0</v>
      </c>
      <c r="AJ15" s="7">
        <v>0</v>
      </c>
      <c r="AK15" s="7">
        <v>0</v>
      </c>
      <c r="AL15" s="7">
        <v>0</v>
      </c>
      <c r="AM15" s="7">
        <v>0</v>
      </c>
      <c r="AN15" s="7">
        <v>0</v>
      </c>
      <c r="AO15" s="7">
        <v>0</v>
      </c>
      <c r="AP15" s="7">
        <v>0</v>
      </c>
      <c r="AQ15" s="7">
        <v>0</v>
      </c>
    </row>
    <row r="16" spans="1:43">
      <c r="A16" s="7" t="s">
        <v>174</v>
      </c>
      <c r="B16" s="7">
        <v>0</v>
      </c>
      <c r="C16" s="7">
        <v>0</v>
      </c>
      <c r="D16" s="7">
        <v>0</v>
      </c>
      <c r="E16" s="7">
        <v>0</v>
      </c>
      <c r="F16" s="7">
        <v>0</v>
      </c>
      <c r="G16" s="7">
        <v>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c r="AF16" s="7">
        <v>0</v>
      </c>
      <c r="AG16" s="7">
        <v>0</v>
      </c>
      <c r="AH16" s="7">
        <v>0</v>
      </c>
      <c r="AI16" s="7">
        <v>0</v>
      </c>
      <c r="AJ16" s="7">
        <v>0</v>
      </c>
      <c r="AK16" s="7">
        <v>0</v>
      </c>
      <c r="AL16" s="7">
        <v>0</v>
      </c>
      <c r="AM16" s="7">
        <v>0</v>
      </c>
      <c r="AN16" s="7">
        <v>0</v>
      </c>
      <c r="AO16" s="7">
        <v>0</v>
      </c>
      <c r="AP16" s="7">
        <v>0</v>
      </c>
      <c r="AQ16" s="7">
        <v>0</v>
      </c>
    </row>
    <row r="17" spans="1:43">
      <c r="A17" s="7" t="s">
        <v>188</v>
      </c>
      <c r="B17" s="7">
        <v>0</v>
      </c>
      <c r="C17" s="7">
        <v>0</v>
      </c>
      <c r="D17" s="7">
        <v>0</v>
      </c>
      <c r="E17" s="7">
        <v>0</v>
      </c>
      <c r="F17" s="7">
        <v>0</v>
      </c>
      <c r="G17" s="7">
        <v>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v>0</v>
      </c>
      <c r="AI17" s="7">
        <v>0</v>
      </c>
      <c r="AJ17" s="7">
        <v>0</v>
      </c>
      <c r="AK17" s="7">
        <v>0</v>
      </c>
      <c r="AL17" s="7">
        <v>0</v>
      </c>
      <c r="AM17" s="7">
        <v>0</v>
      </c>
      <c r="AN17" s="7">
        <v>0</v>
      </c>
      <c r="AO17" s="7">
        <v>0</v>
      </c>
      <c r="AP17" s="7">
        <v>0</v>
      </c>
      <c r="AQ17" s="7">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5FD3E-6AE5-47E8-8D52-5227A6EDA9E7}">
  <sheetPr>
    <tabColor theme="3"/>
  </sheetPr>
  <dimension ref="A1:AQ17"/>
  <sheetViews>
    <sheetView topLeftCell="S1" workbookViewId="0">
      <selection activeCell="AG2" sqref="AG2:AQ17"/>
    </sheetView>
  </sheetViews>
  <sheetFormatPr defaultColWidth="9.140625" defaultRowHeight="15"/>
  <cols>
    <col min="1" max="2" width="32.42578125" style="7" customWidth="1"/>
    <col min="3" max="16384" width="9.140625" style="7"/>
  </cols>
  <sheetData>
    <row r="1" spans="1:43">
      <c r="A1" s="7" t="s">
        <v>141</v>
      </c>
      <c r="B1" s="7">
        <v>2019</v>
      </c>
      <c r="C1" s="7">
        <v>2020</v>
      </c>
      <c r="D1" s="7">
        <v>2021</v>
      </c>
      <c r="E1" s="7">
        <v>2022</v>
      </c>
      <c r="F1" s="7">
        <v>2023</v>
      </c>
      <c r="G1" s="7">
        <v>2024</v>
      </c>
      <c r="H1" s="7">
        <v>2025</v>
      </c>
      <c r="I1" s="7">
        <v>2026</v>
      </c>
      <c r="J1" s="7">
        <v>2027</v>
      </c>
      <c r="K1" s="7">
        <v>2028</v>
      </c>
      <c r="L1" s="7">
        <v>2029</v>
      </c>
      <c r="M1" s="7">
        <v>2030</v>
      </c>
      <c r="N1" s="7">
        <v>2031</v>
      </c>
      <c r="O1" s="7">
        <v>2032</v>
      </c>
      <c r="P1" s="7">
        <v>2033</v>
      </c>
      <c r="Q1" s="7">
        <v>2034</v>
      </c>
      <c r="R1" s="7">
        <v>2035</v>
      </c>
      <c r="S1" s="7">
        <v>2036</v>
      </c>
      <c r="T1" s="7">
        <v>2037</v>
      </c>
      <c r="U1" s="7">
        <v>2038</v>
      </c>
      <c r="V1" s="7">
        <v>2039</v>
      </c>
      <c r="W1" s="7">
        <v>2040</v>
      </c>
      <c r="X1" s="7">
        <v>2041</v>
      </c>
      <c r="Y1" s="7">
        <v>2042</v>
      </c>
      <c r="Z1" s="7">
        <v>2043</v>
      </c>
      <c r="AA1" s="7">
        <v>2044</v>
      </c>
      <c r="AB1" s="7">
        <v>2045</v>
      </c>
      <c r="AC1" s="7">
        <v>2046</v>
      </c>
      <c r="AD1" s="7">
        <v>2047</v>
      </c>
      <c r="AE1" s="7">
        <v>2048</v>
      </c>
      <c r="AF1" s="7">
        <v>2049</v>
      </c>
      <c r="AG1" s="7">
        <v>2050</v>
      </c>
      <c r="AH1" s="7">
        <v>2051</v>
      </c>
      <c r="AI1" s="7">
        <v>2052</v>
      </c>
      <c r="AJ1" s="7">
        <v>2053</v>
      </c>
      <c r="AK1" s="7">
        <v>2054</v>
      </c>
      <c r="AL1" s="7">
        <v>2055</v>
      </c>
      <c r="AM1" s="7">
        <v>2056</v>
      </c>
      <c r="AN1" s="7">
        <v>2057</v>
      </c>
      <c r="AO1" s="7">
        <v>2058</v>
      </c>
      <c r="AP1" s="7">
        <v>2059</v>
      </c>
      <c r="AQ1" s="7">
        <v>2060</v>
      </c>
    </row>
    <row r="2" spans="1:43">
      <c r="A2" s="7" t="s">
        <v>163</v>
      </c>
      <c r="B2" s="7">
        <v>0</v>
      </c>
      <c r="C2" s="44">
        <v>0</v>
      </c>
      <c r="D2" s="44">
        <v>0</v>
      </c>
      <c r="E2" s="44">
        <v>0</v>
      </c>
      <c r="F2" s="44">
        <v>0</v>
      </c>
      <c r="G2" s="44">
        <v>0</v>
      </c>
      <c r="H2" s="44">
        <v>0</v>
      </c>
      <c r="I2" s="44">
        <v>0</v>
      </c>
      <c r="J2" s="44">
        <v>0</v>
      </c>
      <c r="K2" s="44">
        <v>0</v>
      </c>
      <c r="L2" s="44">
        <v>0</v>
      </c>
      <c r="M2" s="44">
        <v>0</v>
      </c>
      <c r="N2" s="44">
        <v>0</v>
      </c>
      <c r="O2" s="44">
        <v>0</v>
      </c>
      <c r="P2" s="44">
        <v>0</v>
      </c>
      <c r="Q2" s="44">
        <v>0</v>
      </c>
      <c r="R2" s="44">
        <v>0</v>
      </c>
      <c r="S2" s="44">
        <v>0</v>
      </c>
      <c r="T2" s="44">
        <v>0</v>
      </c>
      <c r="U2" s="44">
        <v>0</v>
      </c>
      <c r="V2" s="44">
        <v>0</v>
      </c>
      <c r="W2" s="44">
        <v>0</v>
      </c>
      <c r="X2" s="44">
        <v>0</v>
      </c>
      <c r="Y2" s="44">
        <v>0</v>
      </c>
      <c r="Z2" s="44">
        <v>0</v>
      </c>
      <c r="AA2" s="44">
        <v>0</v>
      </c>
      <c r="AB2" s="44">
        <v>0</v>
      </c>
      <c r="AC2" s="44">
        <v>0</v>
      </c>
      <c r="AD2" s="44">
        <v>0</v>
      </c>
      <c r="AE2" s="44">
        <v>0</v>
      </c>
      <c r="AF2" s="44">
        <v>0</v>
      </c>
      <c r="AG2" s="44">
        <v>0</v>
      </c>
      <c r="AH2" s="44">
        <v>0</v>
      </c>
      <c r="AI2" s="44">
        <v>0</v>
      </c>
      <c r="AJ2" s="44">
        <v>0</v>
      </c>
      <c r="AK2" s="44">
        <v>0</v>
      </c>
      <c r="AL2" s="44">
        <v>0</v>
      </c>
      <c r="AM2" s="44">
        <v>0</v>
      </c>
      <c r="AN2" s="44">
        <v>0</v>
      </c>
      <c r="AO2" s="44">
        <v>0</v>
      </c>
      <c r="AP2" s="44">
        <v>0</v>
      </c>
      <c r="AQ2" s="44">
        <v>0</v>
      </c>
    </row>
    <row r="3" spans="1:43">
      <c r="A3" s="7" t="s">
        <v>270</v>
      </c>
      <c r="B3" s="7">
        <v>0</v>
      </c>
      <c r="C3" s="44">
        <v>0</v>
      </c>
      <c r="D3" s="44">
        <v>0</v>
      </c>
      <c r="E3" s="44">
        <v>0</v>
      </c>
      <c r="F3" s="44">
        <v>0</v>
      </c>
      <c r="G3" s="44">
        <v>0</v>
      </c>
      <c r="H3" s="44">
        <v>0</v>
      </c>
      <c r="I3" s="44">
        <v>0</v>
      </c>
      <c r="J3" s="44">
        <v>0</v>
      </c>
      <c r="K3" s="44">
        <v>0</v>
      </c>
      <c r="L3" s="44">
        <v>0</v>
      </c>
      <c r="M3" s="44">
        <v>0</v>
      </c>
      <c r="N3" s="44">
        <v>0</v>
      </c>
      <c r="O3" s="44">
        <v>0</v>
      </c>
      <c r="P3" s="44">
        <v>0</v>
      </c>
      <c r="Q3" s="44">
        <v>0</v>
      </c>
      <c r="R3" s="44">
        <v>0</v>
      </c>
      <c r="S3" s="44">
        <v>0</v>
      </c>
      <c r="T3" s="44">
        <v>0</v>
      </c>
      <c r="U3" s="44">
        <v>0</v>
      </c>
      <c r="V3" s="44">
        <v>0</v>
      </c>
      <c r="W3" s="44">
        <v>0</v>
      </c>
      <c r="X3" s="44">
        <v>0</v>
      </c>
      <c r="Y3" s="44">
        <v>0</v>
      </c>
      <c r="Z3" s="44">
        <v>0</v>
      </c>
      <c r="AA3" s="44">
        <v>0</v>
      </c>
      <c r="AB3" s="44">
        <v>0</v>
      </c>
      <c r="AC3" s="44">
        <v>0</v>
      </c>
      <c r="AD3" s="44">
        <v>0</v>
      </c>
      <c r="AE3" s="44">
        <v>0</v>
      </c>
      <c r="AF3" s="44">
        <v>0</v>
      </c>
      <c r="AG3" s="44">
        <v>0</v>
      </c>
      <c r="AH3" s="44">
        <v>0</v>
      </c>
      <c r="AI3" s="44">
        <v>0</v>
      </c>
      <c r="AJ3" s="44">
        <v>0</v>
      </c>
      <c r="AK3" s="44">
        <v>0</v>
      </c>
      <c r="AL3" s="44">
        <v>0</v>
      </c>
      <c r="AM3" s="44">
        <v>0</v>
      </c>
      <c r="AN3" s="44">
        <v>0</v>
      </c>
      <c r="AO3" s="44">
        <v>0</v>
      </c>
      <c r="AP3" s="44">
        <v>0</v>
      </c>
      <c r="AQ3" s="44">
        <v>0</v>
      </c>
    </row>
    <row r="4" spans="1:43">
      <c r="A4" s="7" t="s">
        <v>164</v>
      </c>
      <c r="B4" s="7">
        <v>0</v>
      </c>
      <c r="C4" s="44">
        <v>0</v>
      </c>
      <c r="D4" s="44">
        <v>0</v>
      </c>
      <c r="E4" s="44">
        <v>0</v>
      </c>
      <c r="F4" s="44">
        <v>0</v>
      </c>
      <c r="G4" s="44">
        <v>0</v>
      </c>
      <c r="H4" s="44">
        <v>0</v>
      </c>
      <c r="I4" s="44">
        <v>0</v>
      </c>
      <c r="J4" s="44">
        <v>0</v>
      </c>
      <c r="K4" s="44">
        <v>0</v>
      </c>
      <c r="L4" s="44">
        <v>0</v>
      </c>
      <c r="M4" s="44">
        <v>0</v>
      </c>
      <c r="N4" s="44">
        <v>0</v>
      </c>
      <c r="O4" s="44">
        <v>0</v>
      </c>
      <c r="P4" s="44">
        <v>0</v>
      </c>
      <c r="Q4" s="44">
        <v>0</v>
      </c>
      <c r="R4" s="44">
        <v>0</v>
      </c>
      <c r="S4" s="44">
        <v>0</v>
      </c>
      <c r="T4" s="44">
        <v>0</v>
      </c>
      <c r="U4" s="44">
        <v>0</v>
      </c>
      <c r="V4" s="44">
        <v>0</v>
      </c>
      <c r="W4" s="44">
        <v>0</v>
      </c>
      <c r="X4" s="44">
        <v>0</v>
      </c>
      <c r="Y4" s="44">
        <v>0</v>
      </c>
      <c r="Z4" s="44">
        <v>0</v>
      </c>
      <c r="AA4" s="44">
        <v>0</v>
      </c>
      <c r="AB4" s="44">
        <v>0</v>
      </c>
      <c r="AC4" s="44">
        <v>0</v>
      </c>
      <c r="AD4" s="44">
        <v>0</v>
      </c>
      <c r="AE4" s="44">
        <v>0</v>
      </c>
      <c r="AF4" s="44">
        <v>0</v>
      </c>
      <c r="AG4" s="44">
        <v>0</v>
      </c>
      <c r="AH4" s="44">
        <v>0</v>
      </c>
      <c r="AI4" s="44">
        <v>0</v>
      </c>
      <c r="AJ4" s="44">
        <v>0</v>
      </c>
      <c r="AK4" s="44">
        <v>0</v>
      </c>
      <c r="AL4" s="44">
        <v>0</v>
      </c>
      <c r="AM4" s="44">
        <v>0</v>
      </c>
      <c r="AN4" s="44">
        <v>0</v>
      </c>
      <c r="AO4" s="44">
        <v>0</v>
      </c>
      <c r="AP4" s="44">
        <v>0</v>
      </c>
      <c r="AQ4" s="44">
        <v>0</v>
      </c>
    </row>
    <row r="5" spans="1:43">
      <c r="A5" s="7" t="s">
        <v>165</v>
      </c>
      <c r="B5" s="7">
        <v>0</v>
      </c>
      <c r="C5" s="44">
        <v>0</v>
      </c>
      <c r="D5" s="44">
        <v>0</v>
      </c>
      <c r="E5" s="44">
        <v>0</v>
      </c>
      <c r="F5" s="44">
        <v>0</v>
      </c>
      <c r="G5" s="44">
        <v>0</v>
      </c>
      <c r="H5" s="44">
        <v>0</v>
      </c>
      <c r="I5" s="44">
        <v>0</v>
      </c>
      <c r="J5" s="44">
        <v>0</v>
      </c>
      <c r="K5" s="44">
        <v>0</v>
      </c>
      <c r="L5" s="44">
        <v>0</v>
      </c>
      <c r="M5" s="44">
        <v>0</v>
      </c>
      <c r="N5" s="44">
        <v>0</v>
      </c>
      <c r="O5" s="44">
        <v>0</v>
      </c>
      <c r="P5" s="44">
        <v>0</v>
      </c>
      <c r="Q5" s="44">
        <v>0</v>
      </c>
      <c r="R5" s="44">
        <v>0</v>
      </c>
      <c r="S5" s="44">
        <v>0</v>
      </c>
      <c r="T5" s="44">
        <v>0</v>
      </c>
      <c r="U5" s="44">
        <v>0</v>
      </c>
      <c r="V5" s="44">
        <v>0</v>
      </c>
      <c r="W5" s="44">
        <v>0</v>
      </c>
      <c r="X5" s="44">
        <v>0</v>
      </c>
      <c r="Y5" s="44">
        <v>0</v>
      </c>
      <c r="Z5" s="44">
        <v>0</v>
      </c>
      <c r="AA5" s="44">
        <v>0</v>
      </c>
      <c r="AB5" s="44">
        <v>0</v>
      </c>
      <c r="AC5" s="44">
        <v>0</v>
      </c>
      <c r="AD5" s="44">
        <v>0</v>
      </c>
      <c r="AE5" s="44">
        <v>0</v>
      </c>
      <c r="AF5" s="44">
        <v>0</v>
      </c>
      <c r="AG5" s="44">
        <v>0</v>
      </c>
      <c r="AH5" s="44">
        <v>0</v>
      </c>
      <c r="AI5" s="44">
        <v>0</v>
      </c>
      <c r="AJ5" s="44">
        <v>0</v>
      </c>
      <c r="AK5" s="44">
        <v>0</v>
      </c>
      <c r="AL5" s="44">
        <v>0</v>
      </c>
      <c r="AM5" s="44">
        <v>0</v>
      </c>
      <c r="AN5" s="44">
        <v>0</v>
      </c>
      <c r="AO5" s="44">
        <v>0</v>
      </c>
      <c r="AP5" s="44">
        <v>0</v>
      </c>
      <c r="AQ5" s="44">
        <v>0</v>
      </c>
    </row>
    <row r="6" spans="1:43">
      <c r="A6" s="7" t="s">
        <v>166</v>
      </c>
      <c r="B6" s="7">
        <v>0</v>
      </c>
      <c r="C6" s="44">
        <v>0</v>
      </c>
      <c r="D6" s="44">
        <v>0</v>
      </c>
      <c r="E6" s="44">
        <v>0</v>
      </c>
      <c r="F6" s="44">
        <v>0</v>
      </c>
      <c r="G6" s="44">
        <v>0</v>
      </c>
      <c r="H6" s="44">
        <v>0</v>
      </c>
      <c r="I6" s="44">
        <v>0</v>
      </c>
      <c r="J6" s="44">
        <v>0</v>
      </c>
      <c r="K6" s="44">
        <v>0</v>
      </c>
      <c r="L6" s="44">
        <v>0</v>
      </c>
      <c r="M6" s="44">
        <v>0</v>
      </c>
      <c r="N6" s="44">
        <v>0</v>
      </c>
      <c r="O6" s="44">
        <v>0</v>
      </c>
      <c r="P6" s="44">
        <v>0</v>
      </c>
      <c r="Q6" s="44">
        <v>0</v>
      </c>
      <c r="R6" s="44">
        <v>0</v>
      </c>
      <c r="S6" s="44">
        <v>0</v>
      </c>
      <c r="T6" s="44">
        <v>0</v>
      </c>
      <c r="U6" s="44">
        <v>0</v>
      </c>
      <c r="V6" s="44">
        <v>0</v>
      </c>
      <c r="W6" s="44">
        <v>0</v>
      </c>
      <c r="X6" s="44">
        <v>0</v>
      </c>
      <c r="Y6" s="44">
        <v>0</v>
      </c>
      <c r="Z6" s="44">
        <v>0</v>
      </c>
      <c r="AA6" s="44">
        <v>0</v>
      </c>
      <c r="AB6" s="44">
        <v>0</v>
      </c>
      <c r="AC6" s="44">
        <v>0</v>
      </c>
      <c r="AD6" s="44">
        <v>0</v>
      </c>
      <c r="AE6" s="44">
        <v>0</v>
      </c>
      <c r="AF6" s="44">
        <v>0</v>
      </c>
      <c r="AG6" s="44">
        <v>0</v>
      </c>
      <c r="AH6" s="44">
        <v>0</v>
      </c>
      <c r="AI6" s="44">
        <v>0</v>
      </c>
      <c r="AJ6" s="44">
        <v>0</v>
      </c>
      <c r="AK6" s="44">
        <v>0</v>
      </c>
      <c r="AL6" s="44">
        <v>0</v>
      </c>
      <c r="AM6" s="44">
        <v>0</v>
      </c>
      <c r="AN6" s="44">
        <v>0</v>
      </c>
      <c r="AO6" s="44">
        <v>0</v>
      </c>
      <c r="AP6" s="44">
        <v>0</v>
      </c>
      <c r="AQ6" s="44">
        <v>0</v>
      </c>
    </row>
    <row r="7" spans="1:43">
      <c r="A7" s="7" t="s">
        <v>167</v>
      </c>
      <c r="B7" s="7">
        <v>0</v>
      </c>
      <c r="C7" s="44">
        <v>0</v>
      </c>
      <c r="D7" s="44">
        <v>0</v>
      </c>
      <c r="E7" s="44">
        <v>0</v>
      </c>
      <c r="F7" s="44">
        <v>0</v>
      </c>
      <c r="G7" s="44">
        <v>0</v>
      </c>
      <c r="H7" s="44">
        <v>0</v>
      </c>
      <c r="I7" s="44">
        <v>0</v>
      </c>
      <c r="J7" s="44">
        <v>0</v>
      </c>
      <c r="K7" s="44">
        <v>0</v>
      </c>
      <c r="L7" s="44">
        <v>0</v>
      </c>
      <c r="M7" s="44">
        <v>0</v>
      </c>
      <c r="N7" s="44">
        <v>0</v>
      </c>
      <c r="O7" s="44">
        <v>0</v>
      </c>
      <c r="P7" s="44">
        <v>0</v>
      </c>
      <c r="Q7" s="44">
        <v>0</v>
      </c>
      <c r="R7" s="44">
        <v>0</v>
      </c>
      <c r="S7" s="44">
        <v>0</v>
      </c>
      <c r="T7" s="44">
        <v>0</v>
      </c>
      <c r="U7" s="44">
        <v>0</v>
      </c>
      <c r="V7" s="44">
        <v>0</v>
      </c>
      <c r="W7" s="44">
        <v>0</v>
      </c>
      <c r="X7" s="44">
        <v>0</v>
      </c>
      <c r="Y7" s="44">
        <v>0</v>
      </c>
      <c r="Z7" s="44">
        <v>0</v>
      </c>
      <c r="AA7" s="44">
        <v>0</v>
      </c>
      <c r="AB7" s="44">
        <v>0</v>
      </c>
      <c r="AC7" s="44">
        <v>0</v>
      </c>
      <c r="AD7" s="44">
        <v>0</v>
      </c>
      <c r="AE7" s="44">
        <v>0</v>
      </c>
      <c r="AF7" s="44">
        <v>0</v>
      </c>
      <c r="AG7" s="44">
        <v>0</v>
      </c>
      <c r="AH7" s="44">
        <v>0</v>
      </c>
      <c r="AI7" s="44">
        <v>0</v>
      </c>
      <c r="AJ7" s="44">
        <v>0</v>
      </c>
      <c r="AK7" s="44">
        <v>0</v>
      </c>
      <c r="AL7" s="44">
        <v>0</v>
      </c>
      <c r="AM7" s="44">
        <v>0</v>
      </c>
      <c r="AN7" s="44">
        <v>0</v>
      </c>
      <c r="AO7" s="44">
        <v>0</v>
      </c>
      <c r="AP7" s="44">
        <v>0</v>
      </c>
      <c r="AQ7" s="44">
        <v>0</v>
      </c>
    </row>
    <row r="8" spans="1:43">
      <c r="A8" s="7" t="s">
        <v>271</v>
      </c>
      <c r="B8" s="7">
        <v>0</v>
      </c>
      <c r="C8" s="44">
        <v>0</v>
      </c>
      <c r="D8" s="44">
        <v>0</v>
      </c>
      <c r="E8" s="44">
        <v>0</v>
      </c>
      <c r="F8" s="44">
        <v>0</v>
      </c>
      <c r="G8" s="44">
        <v>0</v>
      </c>
      <c r="H8" s="44">
        <v>0</v>
      </c>
      <c r="I8" s="44">
        <v>0</v>
      </c>
      <c r="J8" s="44">
        <v>0</v>
      </c>
      <c r="K8" s="44">
        <v>0</v>
      </c>
      <c r="L8" s="44">
        <v>0</v>
      </c>
      <c r="M8" s="44">
        <v>0</v>
      </c>
      <c r="N8" s="44">
        <v>0</v>
      </c>
      <c r="O8" s="44">
        <v>0</v>
      </c>
      <c r="P8" s="44">
        <v>0</v>
      </c>
      <c r="Q8" s="44">
        <v>0</v>
      </c>
      <c r="R8" s="44">
        <v>0</v>
      </c>
      <c r="S8" s="44">
        <v>0</v>
      </c>
      <c r="T8" s="44">
        <v>0</v>
      </c>
      <c r="U8" s="44">
        <v>0</v>
      </c>
      <c r="V8" s="44">
        <v>0</v>
      </c>
      <c r="W8" s="44">
        <v>0</v>
      </c>
      <c r="X8" s="44">
        <v>0</v>
      </c>
      <c r="Y8" s="44">
        <v>0</v>
      </c>
      <c r="Z8" s="44">
        <v>0</v>
      </c>
      <c r="AA8" s="44">
        <v>0</v>
      </c>
      <c r="AB8" s="44">
        <v>0</v>
      </c>
      <c r="AC8" s="44">
        <v>0</v>
      </c>
      <c r="AD8" s="44">
        <v>0</v>
      </c>
      <c r="AE8" s="44">
        <v>0</v>
      </c>
      <c r="AF8" s="44">
        <v>0</v>
      </c>
      <c r="AG8" s="44">
        <v>0</v>
      </c>
      <c r="AH8" s="44">
        <v>0</v>
      </c>
      <c r="AI8" s="44">
        <v>0</v>
      </c>
      <c r="AJ8" s="44">
        <v>0</v>
      </c>
      <c r="AK8" s="44">
        <v>0</v>
      </c>
      <c r="AL8" s="44">
        <v>0</v>
      </c>
      <c r="AM8" s="44">
        <v>0</v>
      </c>
      <c r="AN8" s="44">
        <v>0</v>
      </c>
      <c r="AO8" s="44">
        <v>0</v>
      </c>
      <c r="AP8" s="44">
        <v>0</v>
      </c>
      <c r="AQ8" s="44">
        <v>0</v>
      </c>
    </row>
    <row r="9" spans="1:43">
      <c r="A9" s="7" t="s">
        <v>272</v>
      </c>
      <c r="B9" s="7">
        <v>0</v>
      </c>
      <c r="C9" s="44">
        <v>0</v>
      </c>
      <c r="D9" s="44">
        <v>0</v>
      </c>
      <c r="E9" s="44">
        <v>0</v>
      </c>
      <c r="F9" s="44">
        <v>0</v>
      </c>
      <c r="G9" s="44">
        <v>0</v>
      </c>
      <c r="H9" s="44">
        <v>0</v>
      </c>
      <c r="I9" s="44">
        <v>0</v>
      </c>
      <c r="J9" s="44">
        <v>0</v>
      </c>
      <c r="K9" s="44">
        <v>0</v>
      </c>
      <c r="L9" s="44">
        <v>0</v>
      </c>
      <c r="M9" s="44">
        <v>0</v>
      </c>
      <c r="N9" s="44">
        <v>0</v>
      </c>
      <c r="O9" s="44">
        <v>0</v>
      </c>
      <c r="P9" s="44">
        <v>0</v>
      </c>
      <c r="Q9" s="44">
        <v>0</v>
      </c>
      <c r="R9" s="44">
        <v>0</v>
      </c>
      <c r="S9" s="44">
        <v>0</v>
      </c>
      <c r="T9" s="44">
        <v>0</v>
      </c>
      <c r="U9" s="44">
        <v>0</v>
      </c>
      <c r="V9" s="44">
        <v>0</v>
      </c>
      <c r="W9" s="44">
        <v>0</v>
      </c>
      <c r="X9" s="44">
        <v>0</v>
      </c>
      <c r="Y9" s="44">
        <v>0</v>
      </c>
      <c r="Z9" s="44">
        <v>0</v>
      </c>
      <c r="AA9" s="44">
        <v>0</v>
      </c>
      <c r="AB9" s="44">
        <v>0</v>
      </c>
      <c r="AC9" s="44">
        <v>0</v>
      </c>
      <c r="AD9" s="44">
        <v>0</v>
      </c>
      <c r="AE9" s="44">
        <v>0</v>
      </c>
      <c r="AF9" s="44">
        <v>0</v>
      </c>
      <c r="AG9" s="44">
        <v>0</v>
      </c>
      <c r="AH9" s="44">
        <v>0</v>
      </c>
      <c r="AI9" s="44">
        <v>0</v>
      </c>
      <c r="AJ9" s="44">
        <v>0</v>
      </c>
      <c r="AK9" s="44">
        <v>0</v>
      </c>
      <c r="AL9" s="44">
        <v>0</v>
      </c>
      <c r="AM9" s="44">
        <v>0</v>
      </c>
      <c r="AN9" s="44">
        <v>0</v>
      </c>
      <c r="AO9" s="44">
        <v>0</v>
      </c>
      <c r="AP9" s="44">
        <v>0</v>
      </c>
      <c r="AQ9" s="44">
        <v>0</v>
      </c>
    </row>
    <row r="10" spans="1:43">
      <c r="A10" s="7" t="s">
        <v>168</v>
      </c>
      <c r="B10" s="7">
        <v>0</v>
      </c>
      <c r="C10" s="44">
        <v>0</v>
      </c>
      <c r="D10" s="44">
        <v>0</v>
      </c>
      <c r="E10" s="44">
        <v>0</v>
      </c>
      <c r="F10" s="44">
        <v>0</v>
      </c>
      <c r="G10" s="44">
        <v>0</v>
      </c>
      <c r="H10" s="44">
        <v>0</v>
      </c>
      <c r="I10" s="44">
        <v>0</v>
      </c>
      <c r="J10" s="44">
        <v>0</v>
      </c>
      <c r="K10" s="44">
        <v>0</v>
      </c>
      <c r="L10" s="44">
        <v>0</v>
      </c>
      <c r="M10" s="44">
        <v>0</v>
      </c>
      <c r="N10" s="44">
        <v>0</v>
      </c>
      <c r="O10" s="44">
        <v>0</v>
      </c>
      <c r="P10" s="44">
        <v>0</v>
      </c>
      <c r="Q10" s="44">
        <v>0</v>
      </c>
      <c r="R10" s="44">
        <v>0</v>
      </c>
      <c r="S10" s="44">
        <v>0</v>
      </c>
      <c r="T10" s="44">
        <v>0</v>
      </c>
      <c r="U10" s="44">
        <v>0</v>
      </c>
      <c r="V10" s="44">
        <v>0</v>
      </c>
      <c r="W10" s="44">
        <v>0</v>
      </c>
      <c r="X10" s="44">
        <v>0</v>
      </c>
      <c r="Y10" s="44">
        <v>0</v>
      </c>
      <c r="Z10" s="44">
        <v>0</v>
      </c>
      <c r="AA10" s="44">
        <v>0</v>
      </c>
      <c r="AB10" s="44">
        <v>0</v>
      </c>
      <c r="AC10" s="44">
        <v>0</v>
      </c>
      <c r="AD10" s="44">
        <v>0</v>
      </c>
      <c r="AE10" s="44">
        <v>0</v>
      </c>
      <c r="AF10" s="44">
        <v>0</v>
      </c>
      <c r="AG10" s="44">
        <v>0</v>
      </c>
      <c r="AH10" s="44">
        <v>0</v>
      </c>
      <c r="AI10" s="44">
        <v>0</v>
      </c>
      <c r="AJ10" s="44">
        <v>0</v>
      </c>
      <c r="AK10" s="44">
        <v>0</v>
      </c>
      <c r="AL10" s="44">
        <v>0</v>
      </c>
      <c r="AM10" s="44">
        <v>0</v>
      </c>
      <c r="AN10" s="44">
        <v>0</v>
      </c>
      <c r="AO10" s="44">
        <v>0</v>
      </c>
      <c r="AP10" s="44">
        <v>0</v>
      </c>
      <c r="AQ10" s="44">
        <v>0</v>
      </c>
    </row>
    <row r="11" spans="1:43">
      <c r="A11" s="7" t="s">
        <v>169</v>
      </c>
      <c r="B11" s="7">
        <v>0</v>
      </c>
      <c r="C11" s="44">
        <v>0</v>
      </c>
      <c r="D11" s="44">
        <v>0</v>
      </c>
      <c r="E11" s="44">
        <v>0</v>
      </c>
      <c r="F11" s="44">
        <v>0</v>
      </c>
      <c r="G11" s="44">
        <v>0</v>
      </c>
      <c r="H11" s="44">
        <v>0</v>
      </c>
      <c r="I11" s="44">
        <v>0</v>
      </c>
      <c r="J11" s="44">
        <v>0</v>
      </c>
      <c r="K11" s="44">
        <v>0</v>
      </c>
      <c r="L11" s="44">
        <v>0</v>
      </c>
      <c r="M11" s="44">
        <v>0</v>
      </c>
      <c r="N11" s="44">
        <v>0</v>
      </c>
      <c r="O11" s="44">
        <v>0</v>
      </c>
      <c r="P11" s="44">
        <v>0</v>
      </c>
      <c r="Q11" s="44">
        <v>0</v>
      </c>
      <c r="R11" s="44">
        <v>0</v>
      </c>
      <c r="S11" s="44">
        <v>0</v>
      </c>
      <c r="T11" s="44">
        <v>0</v>
      </c>
      <c r="U11" s="44">
        <v>0</v>
      </c>
      <c r="V11" s="44">
        <v>0</v>
      </c>
      <c r="W11" s="44">
        <v>0</v>
      </c>
      <c r="X11" s="44">
        <v>0</v>
      </c>
      <c r="Y11" s="44">
        <v>0</v>
      </c>
      <c r="Z11" s="44">
        <v>0</v>
      </c>
      <c r="AA11" s="44">
        <v>0</v>
      </c>
      <c r="AB11" s="44">
        <v>0</v>
      </c>
      <c r="AC11" s="44">
        <v>0</v>
      </c>
      <c r="AD11" s="44">
        <v>0</v>
      </c>
      <c r="AE11" s="44">
        <v>0</v>
      </c>
      <c r="AF11" s="44">
        <v>0</v>
      </c>
      <c r="AG11" s="44">
        <v>0</v>
      </c>
      <c r="AH11" s="44">
        <v>0</v>
      </c>
      <c r="AI11" s="44">
        <v>0</v>
      </c>
      <c r="AJ11" s="44">
        <v>0</v>
      </c>
      <c r="AK11" s="44">
        <v>0</v>
      </c>
      <c r="AL11" s="44">
        <v>0</v>
      </c>
      <c r="AM11" s="44">
        <v>0</v>
      </c>
      <c r="AN11" s="44">
        <v>0</v>
      </c>
      <c r="AO11" s="44">
        <v>0</v>
      </c>
      <c r="AP11" s="44">
        <v>0</v>
      </c>
      <c r="AQ11" s="44">
        <v>0</v>
      </c>
    </row>
    <row r="12" spans="1:43">
      <c r="A12" s="7" t="s">
        <v>170</v>
      </c>
      <c r="B12" s="7">
        <v>0</v>
      </c>
      <c r="C12" s="44">
        <v>0</v>
      </c>
      <c r="D12" s="44">
        <v>0</v>
      </c>
      <c r="E12" s="44">
        <v>0</v>
      </c>
      <c r="F12" s="44">
        <v>0</v>
      </c>
      <c r="G12" s="44">
        <v>0</v>
      </c>
      <c r="H12" s="44">
        <v>0</v>
      </c>
      <c r="I12" s="44">
        <v>0</v>
      </c>
      <c r="J12" s="44">
        <v>0</v>
      </c>
      <c r="K12" s="44">
        <v>0</v>
      </c>
      <c r="L12" s="44">
        <v>0</v>
      </c>
      <c r="M12" s="44">
        <v>0</v>
      </c>
      <c r="N12" s="44">
        <v>0</v>
      </c>
      <c r="O12" s="44">
        <v>0</v>
      </c>
      <c r="P12" s="44">
        <v>0</v>
      </c>
      <c r="Q12" s="44">
        <v>0</v>
      </c>
      <c r="R12" s="44">
        <v>0</v>
      </c>
      <c r="S12" s="44">
        <v>0</v>
      </c>
      <c r="T12" s="44">
        <v>0</v>
      </c>
      <c r="U12" s="44">
        <v>0</v>
      </c>
      <c r="V12" s="44">
        <v>0</v>
      </c>
      <c r="W12" s="44">
        <v>0</v>
      </c>
      <c r="X12" s="44">
        <v>0</v>
      </c>
      <c r="Y12" s="44">
        <v>0</v>
      </c>
      <c r="Z12" s="44">
        <v>0</v>
      </c>
      <c r="AA12" s="44">
        <v>0</v>
      </c>
      <c r="AB12" s="44">
        <v>0</v>
      </c>
      <c r="AC12" s="44">
        <v>0</v>
      </c>
      <c r="AD12" s="44">
        <v>0</v>
      </c>
      <c r="AE12" s="44">
        <v>0</v>
      </c>
      <c r="AF12" s="44">
        <v>0</v>
      </c>
      <c r="AG12" s="44">
        <v>0</v>
      </c>
      <c r="AH12" s="44">
        <v>0</v>
      </c>
      <c r="AI12" s="44">
        <v>0</v>
      </c>
      <c r="AJ12" s="44">
        <v>0</v>
      </c>
      <c r="AK12" s="44">
        <v>0</v>
      </c>
      <c r="AL12" s="44">
        <v>0</v>
      </c>
      <c r="AM12" s="44">
        <v>0</v>
      </c>
      <c r="AN12" s="44">
        <v>0</v>
      </c>
      <c r="AO12" s="44">
        <v>0</v>
      </c>
      <c r="AP12" s="44">
        <v>0</v>
      </c>
      <c r="AQ12" s="44">
        <v>0</v>
      </c>
    </row>
    <row r="13" spans="1:43">
      <c r="A13" s="7" t="s">
        <v>171</v>
      </c>
      <c r="B13" s="7">
        <v>0</v>
      </c>
      <c r="C13" s="44">
        <v>0</v>
      </c>
      <c r="D13" s="44">
        <v>0</v>
      </c>
      <c r="E13" s="44">
        <v>0</v>
      </c>
      <c r="F13" s="44">
        <v>0</v>
      </c>
      <c r="G13" s="44">
        <v>0</v>
      </c>
      <c r="H13" s="44">
        <v>0</v>
      </c>
      <c r="I13" s="44">
        <v>0</v>
      </c>
      <c r="J13" s="44">
        <v>0</v>
      </c>
      <c r="K13" s="44">
        <v>0</v>
      </c>
      <c r="L13" s="44">
        <v>0</v>
      </c>
      <c r="M13" s="44">
        <v>0</v>
      </c>
      <c r="N13" s="44">
        <v>0</v>
      </c>
      <c r="O13" s="44">
        <v>0</v>
      </c>
      <c r="P13" s="44">
        <v>0</v>
      </c>
      <c r="Q13" s="44">
        <v>0</v>
      </c>
      <c r="R13" s="44">
        <v>0</v>
      </c>
      <c r="S13" s="44">
        <v>0</v>
      </c>
      <c r="T13" s="44">
        <v>0</v>
      </c>
      <c r="U13" s="44">
        <v>0</v>
      </c>
      <c r="V13" s="44">
        <v>0</v>
      </c>
      <c r="W13" s="44">
        <v>0</v>
      </c>
      <c r="X13" s="44">
        <v>0</v>
      </c>
      <c r="Y13" s="44">
        <v>0</v>
      </c>
      <c r="Z13" s="44">
        <v>0</v>
      </c>
      <c r="AA13" s="44">
        <v>0</v>
      </c>
      <c r="AB13" s="44">
        <v>0</v>
      </c>
      <c r="AC13" s="44">
        <v>0</v>
      </c>
      <c r="AD13" s="44">
        <v>0</v>
      </c>
      <c r="AE13" s="44">
        <v>0</v>
      </c>
      <c r="AF13" s="44">
        <v>0</v>
      </c>
      <c r="AG13" s="44">
        <v>0</v>
      </c>
      <c r="AH13" s="44">
        <v>0</v>
      </c>
      <c r="AI13" s="44">
        <v>0</v>
      </c>
      <c r="AJ13" s="44">
        <v>0</v>
      </c>
      <c r="AK13" s="44">
        <v>0</v>
      </c>
      <c r="AL13" s="44">
        <v>0</v>
      </c>
      <c r="AM13" s="44">
        <v>0</v>
      </c>
      <c r="AN13" s="44">
        <v>0</v>
      </c>
      <c r="AO13" s="44">
        <v>0</v>
      </c>
      <c r="AP13" s="44">
        <v>0</v>
      </c>
      <c r="AQ13" s="44">
        <v>0</v>
      </c>
    </row>
    <row r="14" spans="1:43">
      <c r="A14" s="7" t="s">
        <v>172</v>
      </c>
      <c r="B14" s="7">
        <v>0</v>
      </c>
      <c r="C14" s="44">
        <v>0</v>
      </c>
      <c r="D14" s="44">
        <v>0</v>
      </c>
      <c r="E14" s="44">
        <v>0</v>
      </c>
      <c r="F14" s="44">
        <v>0</v>
      </c>
      <c r="G14" s="44">
        <v>0</v>
      </c>
      <c r="H14" s="44">
        <v>0</v>
      </c>
      <c r="I14" s="44">
        <v>0</v>
      </c>
      <c r="J14" s="44">
        <v>0</v>
      </c>
      <c r="K14" s="44">
        <v>0</v>
      </c>
      <c r="L14" s="44">
        <v>0</v>
      </c>
      <c r="M14" s="44">
        <v>0</v>
      </c>
      <c r="N14" s="44">
        <v>0</v>
      </c>
      <c r="O14" s="44">
        <v>0</v>
      </c>
      <c r="P14" s="44">
        <v>0</v>
      </c>
      <c r="Q14" s="44">
        <v>0</v>
      </c>
      <c r="R14" s="44">
        <v>0</v>
      </c>
      <c r="S14" s="44">
        <v>0</v>
      </c>
      <c r="T14" s="44">
        <v>0</v>
      </c>
      <c r="U14" s="44">
        <v>0</v>
      </c>
      <c r="V14" s="44">
        <v>0</v>
      </c>
      <c r="W14" s="44">
        <v>0</v>
      </c>
      <c r="X14" s="44">
        <v>0</v>
      </c>
      <c r="Y14" s="44">
        <v>0</v>
      </c>
      <c r="Z14" s="44">
        <v>0</v>
      </c>
      <c r="AA14" s="44">
        <v>0</v>
      </c>
      <c r="AB14" s="44">
        <v>0</v>
      </c>
      <c r="AC14" s="44">
        <v>0</v>
      </c>
      <c r="AD14" s="44">
        <v>0</v>
      </c>
      <c r="AE14" s="44">
        <v>0</v>
      </c>
      <c r="AF14" s="44">
        <v>0</v>
      </c>
      <c r="AG14" s="44">
        <v>0</v>
      </c>
      <c r="AH14" s="44">
        <v>0</v>
      </c>
      <c r="AI14" s="44">
        <v>0</v>
      </c>
      <c r="AJ14" s="44">
        <v>0</v>
      </c>
      <c r="AK14" s="44">
        <v>0</v>
      </c>
      <c r="AL14" s="44">
        <v>0</v>
      </c>
      <c r="AM14" s="44">
        <v>0</v>
      </c>
      <c r="AN14" s="44">
        <v>0</v>
      </c>
      <c r="AO14" s="44">
        <v>0</v>
      </c>
      <c r="AP14" s="44">
        <v>0</v>
      </c>
      <c r="AQ14" s="44">
        <v>0</v>
      </c>
    </row>
    <row r="15" spans="1:43">
      <c r="A15" s="7" t="s">
        <v>173</v>
      </c>
      <c r="B15" s="7">
        <v>0</v>
      </c>
      <c r="C15" s="44">
        <v>0</v>
      </c>
      <c r="D15" s="44">
        <v>0</v>
      </c>
      <c r="E15" s="44">
        <v>0</v>
      </c>
      <c r="F15" s="44">
        <v>0</v>
      </c>
      <c r="G15" s="44">
        <v>0</v>
      </c>
      <c r="H15" s="44">
        <v>0</v>
      </c>
      <c r="I15" s="44">
        <v>0</v>
      </c>
      <c r="J15" s="44">
        <v>0</v>
      </c>
      <c r="K15" s="44">
        <v>0</v>
      </c>
      <c r="L15" s="44">
        <v>0</v>
      </c>
      <c r="M15" s="44">
        <v>0</v>
      </c>
      <c r="N15" s="44">
        <v>0</v>
      </c>
      <c r="O15" s="44">
        <v>0</v>
      </c>
      <c r="P15" s="44">
        <v>0</v>
      </c>
      <c r="Q15" s="44">
        <v>0</v>
      </c>
      <c r="R15" s="44">
        <v>0</v>
      </c>
      <c r="S15" s="44">
        <v>0</v>
      </c>
      <c r="T15" s="44">
        <v>0</v>
      </c>
      <c r="U15" s="44">
        <v>0</v>
      </c>
      <c r="V15" s="44">
        <v>0</v>
      </c>
      <c r="W15" s="44">
        <v>0</v>
      </c>
      <c r="X15" s="44">
        <v>0</v>
      </c>
      <c r="Y15" s="44">
        <v>0</v>
      </c>
      <c r="Z15" s="44">
        <v>0</v>
      </c>
      <c r="AA15" s="44">
        <v>0</v>
      </c>
      <c r="AB15" s="44">
        <v>0</v>
      </c>
      <c r="AC15" s="44">
        <v>0</v>
      </c>
      <c r="AD15" s="44">
        <v>0</v>
      </c>
      <c r="AE15" s="44">
        <v>0</v>
      </c>
      <c r="AF15" s="44">
        <v>0</v>
      </c>
      <c r="AG15" s="44">
        <v>0</v>
      </c>
      <c r="AH15" s="44">
        <v>0</v>
      </c>
      <c r="AI15" s="44">
        <v>0</v>
      </c>
      <c r="AJ15" s="44">
        <v>0</v>
      </c>
      <c r="AK15" s="44">
        <v>0</v>
      </c>
      <c r="AL15" s="44">
        <v>0</v>
      </c>
      <c r="AM15" s="44">
        <v>0</v>
      </c>
      <c r="AN15" s="44">
        <v>0</v>
      </c>
      <c r="AO15" s="44">
        <v>0</v>
      </c>
      <c r="AP15" s="44">
        <v>0</v>
      </c>
      <c r="AQ15" s="44">
        <v>0</v>
      </c>
    </row>
    <row r="16" spans="1:43">
      <c r="A16" s="7" t="s">
        <v>174</v>
      </c>
      <c r="B16" s="7">
        <v>0</v>
      </c>
      <c r="C16" s="44">
        <v>0</v>
      </c>
      <c r="D16" s="44">
        <v>0</v>
      </c>
      <c r="E16" s="44">
        <v>0</v>
      </c>
      <c r="F16" s="44">
        <v>0</v>
      </c>
      <c r="G16" s="44">
        <v>0</v>
      </c>
      <c r="H16" s="44">
        <v>0</v>
      </c>
      <c r="I16" s="44">
        <v>0</v>
      </c>
      <c r="J16" s="44">
        <v>0</v>
      </c>
      <c r="K16" s="44">
        <v>0</v>
      </c>
      <c r="L16" s="44">
        <v>0</v>
      </c>
      <c r="M16" s="44">
        <v>0</v>
      </c>
      <c r="N16" s="44">
        <v>0</v>
      </c>
      <c r="O16" s="44">
        <v>0</v>
      </c>
      <c r="P16" s="44">
        <v>0</v>
      </c>
      <c r="Q16" s="44">
        <v>0</v>
      </c>
      <c r="R16" s="44">
        <v>0</v>
      </c>
      <c r="S16" s="44">
        <v>0</v>
      </c>
      <c r="T16" s="44">
        <v>0</v>
      </c>
      <c r="U16" s="44">
        <v>0</v>
      </c>
      <c r="V16" s="44">
        <v>0</v>
      </c>
      <c r="W16" s="44">
        <v>0</v>
      </c>
      <c r="X16" s="44">
        <v>0</v>
      </c>
      <c r="Y16" s="44">
        <v>0</v>
      </c>
      <c r="Z16" s="44">
        <v>0</v>
      </c>
      <c r="AA16" s="44">
        <v>0</v>
      </c>
      <c r="AB16" s="44">
        <v>0</v>
      </c>
      <c r="AC16" s="44">
        <v>0</v>
      </c>
      <c r="AD16" s="44">
        <v>0</v>
      </c>
      <c r="AE16" s="44">
        <v>0</v>
      </c>
      <c r="AF16" s="44">
        <v>0</v>
      </c>
      <c r="AG16" s="44">
        <v>0</v>
      </c>
      <c r="AH16" s="44">
        <v>0</v>
      </c>
      <c r="AI16" s="44">
        <v>0</v>
      </c>
      <c r="AJ16" s="44">
        <v>0</v>
      </c>
      <c r="AK16" s="44">
        <v>0</v>
      </c>
      <c r="AL16" s="44">
        <v>0</v>
      </c>
      <c r="AM16" s="44">
        <v>0</v>
      </c>
      <c r="AN16" s="44">
        <v>0</v>
      </c>
      <c r="AO16" s="44">
        <v>0</v>
      </c>
      <c r="AP16" s="44">
        <v>0</v>
      </c>
      <c r="AQ16" s="44">
        <v>0</v>
      </c>
    </row>
    <row r="17" spans="1:43">
      <c r="A17" s="7" t="s">
        <v>188</v>
      </c>
      <c r="B17" s="7">
        <v>0</v>
      </c>
      <c r="C17" s="44">
        <v>0</v>
      </c>
      <c r="D17" s="44">
        <v>0</v>
      </c>
      <c r="E17" s="44">
        <v>0</v>
      </c>
      <c r="F17" s="44">
        <v>0</v>
      </c>
      <c r="G17" s="44">
        <v>0</v>
      </c>
      <c r="H17" s="44">
        <v>0</v>
      </c>
      <c r="I17" s="44">
        <v>0</v>
      </c>
      <c r="J17" s="44">
        <v>0</v>
      </c>
      <c r="K17" s="44">
        <v>0</v>
      </c>
      <c r="L17" s="44">
        <v>0</v>
      </c>
      <c r="M17" s="44">
        <v>0</v>
      </c>
      <c r="N17" s="44">
        <v>0</v>
      </c>
      <c r="O17" s="44">
        <v>0</v>
      </c>
      <c r="P17" s="44">
        <v>0</v>
      </c>
      <c r="Q17" s="44">
        <v>0</v>
      </c>
      <c r="R17" s="44">
        <v>0</v>
      </c>
      <c r="S17" s="44">
        <v>0</v>
      </c>
      <c r="T17" s="44">
        <v>0</v>
      </c>
      <c r="U17" s="44">
        <v>0</v>
      </c>
      <c r="V17" s="44">
        <v>0</v>
      </c>
      <c r="W17" s="44">
        <v>0</v>
      </c>
      <c r="X17" s="44">
        <v>0</v>
      </c>
      <c r="Y17" s="44">
        <v>0</v>
      </c>
      <c r="Z17" s="44">
        <v>0</v>
      </c>
      <c r="AA17" s="44">
        <v>0</v>
      </c>
      <c r="AB17" s="44">
        <v>0</v>
      </c>
      <c r="AC17" s="44">
        <v>0</v>
      </c>
      <c r="AD17" s="44">
        <v>0</v>
      </c>
      <c r="AE17" s="44">
        <v>0</v>
      </c>
      <c r="AF17" s="44">
        <v>0</v>
      </c>
      <c r="AG17" s="44">
        <v>0</v>
      </c>
      <c r="AH17" s="44">
        <v>0</v>
      </c>
      <c r="AI17" s="44">
        <v>0</v>
      </c>
      <c r="AJ17" s="44">
        <v>0</v>
      </c>
      <c r="AK17" s="44">
        <v>0</v>
      </c>
      <c r="AL17" s="44">
        <v>0</v>
      </c>
      <c r="AM17" s="44">
        <v>0</v>
      </c>
      <c r="AN17" s="44">
        <v>0</v>
      </c>
      <c r="AO17" s="44">
        <v>0</v>
      </c>
      <c r="AP17" s="44">
        <v>0</v>
      </c>
      <c r="AQ17" s="44">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S17"/>
  <sheetViews>
    <sheetView topLeftCell="S1" workbookViewId="0">
      <selection activeCell="AI2" sqref="AI2:AS17"/>
    </sheetView>
  </sheetViews>
  <sheetFormatPr defaultColWidth="9" defaultRowHeight="15"/>
  <cols>
    <col min="1" max="1" width="32.7109375" style="7" customWidth="1"/>
    <col min="2" max="16384" width="9" style="7"/>
  </cols>
  <sheetData>
    <row r="1" spans="1:45">
      <c r="A1" s="7" t="s">
        <v>141</v>
      </c>
      <c r="B1" s="7">
        <v>2017</v>
      </c>
      <c r="C1" s="7">
        <v>2018</v>
      </c>
      <c r="D1" s="7">
        <v>2019</v>
      </c>
      <c r="E1" s="7">
        <v>2020</v>
      </c>
      <c r="F1" s="7">
        <v>2021</v>
      </c>
      <c r="G1" s="7">
        <v>2022</v>
      </c>
      <c r="H1" s="7">
        <v>2023</v>
      </c>
      <c r="I1" s="7">
        <v>2024</v>
      </c>
      <c r="J1" s="7">
        <v>2025</v>
      </c>
      <c r="K1" s="7">
        <v>2026</v>
      </c>
      <c r="L1" s="7">
        <v>2027</v>
      </c>
      <c r="M1" s="7">
        <v>2028</v>
      </c>
      <c r="N1" s="7">
        <v>2029</v>
      </c>
      <c r="O1" s="7">
        <v>2030</v>
      </c>
      <c r="P1" s="7">
        <v>2031</v>
      </c>
      <c r="Q1" s="7">
        <v>2032</v>
      </c>
      <c r="R1" s="7">
        <v>2033</v>
      </c>
      <c r="S1" s="7">
        <v>2034</v>
      </c>
      <c r="T1" s="7">
        <v>2035</v>
      </c>
      <c r="U1" s="7">
        <v>2036</v>
      </c>
      <c r="V1" s="7">
        <v>2037</v>
      </c>
      <c r="W1" s="7">
        <v>2038</v>
      </c>
      <c r="X1" s="7">
        <v>2039</v>
      </c>
      <c r="Y1" s="7">
        <v>2040</v>
      </c>
      <c r="Z1" s="7">
        <v>2041</v>
      </c>
      <c r="AA1" s="7">
        <v>2042</v>
      </c>
      <c r="AB1" s="7">
        <v>2043</v>
      </c>
      <c r="AC1" s="7">
        <v>2044</v>
      </c>
      <c r="AD1" s="7">
        <v>2045</v>
      </c>
      <c r="AE1" s="7">
        <v>2046</v>
      </c>
      <c r="AF1" s="7">
        <v>2047</v>
      </c>
      <c r="AG1" s="7">
        <v>2048</v>
      </c>
      <c r="AH1" s="7">
        <v>2049</v>
      </c>
      <c r="AI1" s="7">
        <v>2050</v>
      </c>
      <c r="AJ1" s="7">
        <v>2051</v>
      </c>
      <c r="AK1" s="7">
        <v>2052</v>
      </c>
      <c r="AL1" s="7">
        <v>2053</v>
      </c>
      <c r="AM1" s="7">
        <v>2054</v>
      </c>
      <c r="AN1" s="7">
        <v>2055</v>
      </c>
      <c r="AO1" s="7">
        <v>2056</v>
      </c>
      <c r="AP1" s="7">
        <v>2057</v>
      </c>
      <c r="AQ1" s="7">
        <v>2058</v>
      </c>
      <c r="AR1" s="7">
        <v>2059</v>
      </c>
      <c r="AS1" s="7">
        <v>2060</v>
      </c>
    </row>
    <row r="2" spans="1:45">
      <c r="A2" s="7" t="s">
        <v>175</v>
      </c>
      <c r="B2" s="14">
        <v>0</v>
      </c>
      <c r="C2" s="14">
        <v>0</v>
      </c>
      <c r="D2" s="14">
        <v>0</v>
      </c>
      <c r="E2" s="14">
        <v>0</v>
      </c>
      <c r="F2" s="14">
        <v>0</v>
      </c>
      <c r="G2" s="14">
        <v>0</v>
      </c>
      <c r="H2" s="14">
        <v>0</v>
      </c>
      <c r="I2" s="14">
        <v>0</v>
      </c>
      <c r="J2" s="14">
        <v>0</v>
      </c>
      <c r="K2" s="14">
        <v>0</v>
      </c>
      <c r="L2" s="14">
        <v>0</v>
      </c>
      <c r="M2" s="14">
        <v>0</v>
      </c>
      <c r="N2" s="14">
        <v>0</v>
      </c>
      <c r="O2" s="14">
        <v>0</v>
      </c>
      <c r="P2" s="14">
        <v>0</v>
      </c>
      <c r="Q2" s="14">
        <v>0</v>
      </c>
      <c r="R2" s="14">
        <v>0</v>
      </c>
      <c r="S2" s="14">
        <v>0</v>
      </c>
      <c r="T2" s="14">
        <v>0</v>
      </c>
      <c r="U2" s="14">
        <v>0</v>
      </c>
      <c r="V2" s="14">
        <v>0</v>
      </c>
      <c r="W2" s="14">
        <v>0</v>
      </c>
      <c r="X2" s="14">
        <v>0</v>
      </c>
      <c r="Y2" s="14">
        <v>0</v>
      </c>
      <c r="Z2" s="14">
        <v>0</v>
      </c>
      <c r="AA2" s="14">
        <v>0</v>
      </c>
      <c r="AB2" s="14">
        <v>0</v>
      </c>
      <c r="AC2" s="14">
        <v>0</v>
      </c>
      <c r="AD2" s="14">
        <v>0</v>
      </c>
      <c r="AE2" s="14">
        <v>0</v>
      </c>
      <c r="AF2" s="14">
        <v>0</v>
      </c>
      <c r="AG2" s="14">
        <v>0</v>
      </c>
      <c r="AH2" s="14">
        <v>0</v>
      </c>
      <c r="AI2" s="14">
        <v>0</v>
      </c>
      <c r="AJ2" s="14">
        <v>0</v>
      </c>
      <c r="AK2" s="14">
        <v>0</v>
      </c>
      <c r="AL2" s="14">
        <v>0</v>
      </c>
      <c r="AM2" s="14">
        <v>0</v>
      </c>
      <c r="AN2" s="14">
        <v>0</v>
      </c>
      <c r="AO2" s="14">
        <v>0</v>
      </c>
      <c r="AP2" s="14">
        <v>0</v>
      </c>
      <c r="AQ2" s="14">
        <v>0</v>
      </c>
      <c r="AR2" s="14">
        <v>0</v>
      </c>
      <c r="AS2" s="14">
        <v>0</v>
      </c>
    </row>
    <row r="3" spans="1:45">
      <c r="A3" s="7" t="s">
        <v>176</v>
      </c>
      <c r="B3" s="14">
        <v>0</v>
      </c>
      <c r="C3" s="14">
        <v>0</v>
      </c>
      <c r="D3" s="14">
        <v>0</v>
      </c>
      <c r="E3" s="14">
        <v>0</v>
      </c>
      <c r="F3" s="14">
        <v>0</v>
      </c>
      <c r="G3" s="14">
        <v>0</v>
      </c>
      <c r="H3" s="14">
        <v>0</v>
      </c>
      <c r="I3" s="14">
        <v>0</v>
      </c>
      <c r="J3" s="14">
        <v>0</v>
      </c>
      <c r="K3" s="14">
        <v>0</v>
      </c>
      <c r="L3" s="14">
        <v>0</v>
      </c>
      <c r="M3" s="14">
        <v>0</v>
      </c>
      <c r="N3" s="14">
        <v>0</v>
      </c>
      <c r="O3" s="14">
        <v>0</v>
      </c>
      <c r="P3" s="14">
        <v>0</v>
      </c>
      <c r="Q3" s="14">
        <v>0</v>
      </c>
      <c r="R3" s="14">
        <v>0</v>
      </c>
      <c r="S3" s="14">
        <v>0</v>
      </c>
      <c r="T3" s="14">
        <v>0</v>
      </c>
      <c r="U3" s="14">
        <v>0</v>
      </c>
      <c r="V3" s="14">
        <v>0</v>
      </c>
      <c r="W3" s="14">
        <v>0</v>
      </c>
      <c r="X3" s="14">
        <v>0</v>
      </c>
      <c r="Y3" s="14">
        <v>0</v>
      </c>
      <c r="Z3" s="14">
        <v>0</v>
      </c>
      <c r="AA3" s="14">
        <v>0</v>
      </c>
      <c r="AB3" s="14">
        <v>0</v>
      </c>
      <c r="AC3" s="14">
        <v>0</v>
      </c>
      <c r="AD3" s="14">
        <v>0</v>
      </c>
      <c r="AE3" s="14">
        <v>0</v>
      </c>
      <c r="AF3" s="14">
        <v>0</v>
      </c>
      <c r="AG3" s="14">
        <v>0</v>
      </c>
      <c r="AH3" s="14">
        <v>0</v>
      </c>
      <c r="AI3" s="14">
        <v>0</v>
      </c>
      <c r="AJ3" s="14">
        <v>0</v>
      </c>
      <c r="AK3" s="14">
        <v>0</v>
      </c>
      <c r="AL3" s="14">
        <v>0</v>
      </c>
      <c r="AM3" s="14">
        <v>0</v>
      </c>
      <c r="AN3" s="14">
        <v>0</v>
      </c>
      <c r="AO3" s="14">
        <v>0</v>
      </c>
      <c r="AP3" s="14">
        <v>0</v>
      </c>
      <c r="AQ3" s="14">
        <v>0</v>
      </c>
      <c r="AR3" s="14">
        <v>0</v>
      </c>
      <c r="AS3" s="14">
        <v>0</v>
      </c>
    </row>
    <row r="4" spans="1:45">
      <c r="A4" s="7" t="s">
        <v>177</v>
      </c>
      <c r="B4" s="14">
        <v>0</v>
      </c>
      <c r="C4" s="14">
        <v>0</v>
      </c>
      <c r="D4" s="14">
        <v>0</v>
      </c>
      <c r="E4" s="14">
        <v>0</v>
      </c>
      <c r="F4" s="14">
        <v>0</v>
      </c>
      <c r="G4" s="14">
        <v>0</v>
      </c>
      <c r="H4" s="14">
        <v>0</v>
      </c>
      <c r="I4" s="14">
        <v>0</v>
      </c>
      <c r="J4" s="14">
        <v>0</v>
      </c>
      <c r="K4" s="14">
        <v>0</v>
      </c>
      <c r="L4" s="14">
        <v>0</v>
      </c>
      <c r="M4" s="14">
        <v>0</v>
      </c>
      <c r="N4" s="14">
        <v>0</v>
      </c>
      <c r="O4" s="14">
        <v>0</v>
      </c>
      <c r="P4" s="14">
        <v>0</v>
      </c>
      <c r="Q4" s="14">
        <v>0</v>
      </c>
      <c r="R4" s="14">
        <v>0</v>
      </c>
      <c r="S4" s="14">
        <v>0</v>
      </c>
      <c r="T4" s="14">
        <v>0</v>
      </c>
      <c r="U4" s="14">
        <v>0</v>
      </c>
      <c r="V4" s="14">
        <v>0</v>
      </c>
      <c r="W4" s="14">
        <v>0</v>
      </c>
      <c r="X4" s="14">
        <v>0</v>
      </c>
      <c r="Y4" s="14">
        <v>0</v>
      </c>
      <c r="Z4" s="14">
        <v>0</v>
      </c>
      <c r="AA4" s="14">
        <v>0</v>
      </c>
      <c r="AB4" s="14">
        <v>0</v>
      </c>
      <c r="AC4" s="14">
        <v>0</v>
      </c>
      <c r="AD4" s="14">
        <v>0</v>
      </c>
      <c r="AE4" s="14">
        <v>0</v>
      </c>
      <c r="AF4" s="14">
        <v>0</v>
      </c>
      <c r="AG4" s="14">
        <v>0</v>
      </c>
      <c r="AH4" s="14">
        <v>0</v>
      </c>
      <c r="AI4" s="14">
        <v>0</v>
      </c>
      <c r="AJ4" s="14">
        <v>0</v>
      </c>
      <c r="AK4" s="14">
        <v>0</v>
      </c>
      <c r="AL4" s="14">
        <v>0</v>
      </c>
      <c r="AM4" s="14">
        <v>0</v>
      </c>
      <c r="AN4" s="14">
        <v>0</v>
      </c>
      <c r="AO4" s="14">
        <v>0</v>
      </c>
      <c r="AP4" s="14">
        <v>0</v>
      </c>
      <c r="AQ4" s="14">
        <v>0</v>
      </c>
      <c r="AR4" s="14">
        <v>0</v>
      </c>
      <c r="AS4" s="14">
        <v>0</v>
      </c>
    </row>
    <row r="5" spans="1:45">
      <c r="A5" s="7" t="s">
        <v>178</v>
      </c>
      <c r="B5" s="14">
        <v>0</v>
      </c>
      <c r="C5" s="14">
        <v>0</v>
      </c>
      <c r="D5" s="14">
        <v>0</v>
      </c>
      <c r="E5" s="14">
        <v>0</v>
      </c>
      <c r="F5" s="14">
        <v>0</v>
      </c>
      <c r="G5" s="14">
        <v>0</v>
      </c>
      <c r="H5" s="14">
        <v>0</v>
      </c>
      <c r="I5" s="14">
        <v>0</v>
      </c>
      <c r="J5" s="14">
        <v>0</v>
      </c>
      <c r="K5" s="14">
        <v>0</v>
      </c>
      <c r="L5" s="14">
        <v>0</v>
      </c>
      <c r="M5" s="14">
        <v>0</v>
      </c>
      <c r="N5" s="14">
        <v>0</v>
      </c>
      <c r="O5" s="14">
        <v>0</v>
      </c>
      <c r="P5" s="14">
        <v>0</v>
      </c>
      <c r="Q5" s="14">
        <v>0</v>
      </c>
      <c r="R5" s="14">
        <v>0</v>
      </c>
      <c r="S5" s="14">
        <v>0</v>
      </c>
      <c r="T5" s="14">
        <v>0</v>
      </c>
      <c r="U5" s="14">
        <v>0</v>
      </c>
      <c r="V5" s="14">
        <v>0</v>
      </c>
      <c r="W5" s="14">
        <v>0</v>
      </c>
      <c r="X5" s="14">
        <v>0</v>
      </c>
      <c r="Y5" s="14">
        <v>0</v>
      </c>
      <c r="Z5" s="14">
        <v>0</v>
      </c>
      <c r="AA5" s="14">
        <v>0</v>
      </c>
      <c r="AB5" s="14">
        <v>0</v>
      </c>
      <c r="AC5" s="14">
        <v>0</v>
      </c>
      <c r="AD5" s="14">
        <v>0</v>
      </c>
      <c r="AE5" s="14">
        <v>0</v>
      </c>
      <c r="AF5" s="14">
        <v>0</v>
      </c>
      <c r="AG5" s="14">
        <v>0</v>
      </c>
      <c r="AH5" s="14">
        <v>0</v>
      </c>
      <c r="AI5" s="14">
        <v>0</v>
      </c>
      <c r="AJ5" s="14">
        <v>0</v>
      </c>
      <c r="AK5" s="14">
        <v>0</v>
      </c>
      <c r="AL5" s="14">
        <v>0</v>
      </c>
      <c r="AM5" s="14">
        <v>0</v>
      </c>
      <c r="AN5" s="14">
        <v>0</v>
      </c>
      <c r="AO5" s="14">
        <v>0</v>
      </c>
      <c r="AP5" s="14">
        <v>0</v>
      </c>
      <c r="AQ5" s="14">
        <v>0</v>
      </c>
      <c r="AR5" s="14">
        <v>0</v>
      </c>
      <c r="AS5" s="14">
        <v>0</v>
      </c>
    </row>
    <row r="6" spans="1:45">
      <c r="A6" s="7" t="s">
        <v>179</v>
      </c>
      <c r="B6" s="14">
        <v>0</v>
      </c>
      <c r="C6" s="14">
        <v>0</v>
      </c>
      <c r="D6" s="14">
        <v>0</v>
      </c>
      <c r="E6" s="14">
        <v>0</v>
      </c>
      <c r="F6" s="14">
        <v>0</v>
      </c>
      <c r="G6" s="14">
        <v>0</v>
      </c>
      <c r="H6" s="14">
        <v>0</v>
      </c>
      <c r="I6" s="14">
        <v>0</v>
      </c>
      <c r="J6" s="14">
        <v>0</v>
      </c>
      <c r="K6" s="14">
        <v>0</v>
      </c>
      <c r="L6" s="14">
        <v>0</v>
      </c>
      <c r="M6" s="14">
        <v>0</v>
      </c>
      <c r="N6" s="14">
        <v>0</v>
      </c>
      <c r="O6" s="14">
        <v>0</v>
      </c>
      <c r="P6" s="14">
        <v>0</v>
      </c>
      <c r="Q6" s="14">
        <v>0</v>
      </c>
      <c r="R6" s="14">
        <v>0</v>
      </c>
      <c r="S6" s="14">
        <v>0</v>
      </c>
      <c r="T6" s="14">
        <v>0</v>
      </c>
      <c r="U6" s="14">
        <v>0</v>
      </c>
      <c r="V6" s="14">
        <v>0</v>
      </c>
      <c r="W6" s="14">
        <v>0</v>
      </c>
      <c r="X6" s="14">
        <v>0</v>
      </c>
      <c r="Y6" s="14">
        <v>0</v>
      </c>
      <c r="Z6" s="14">
        <v>0</v>
      </c>
      <c r="AA6" s="14">
        <v>0</v>
      </c>
      <c r="AB6" s="14">
        <v>0</v>
      </c>
      <c r="AC6" s="14">
        <v>0</v>
      </c>
      <c r="AD6" s="14">
        <v>0</v>
      </c>
      <c r="AE6" s="14">
        <v>0</v>
      </c>
      <c r="AF6" s="14">
        <v>0</v>
      </c>
      <c r="AG6" s="14">
        <v>0</v>
      </c>
      <c r="AH6" s="14">
        <v>0</v>
      </c>
      <c r="AI6" s="14">
        <v>0</v>
      </c>
      <c r="AJ6" s="14">
        <v>0</v>
      </c>
      <c r="AK6" s="14">
        <v>0</v>
      </c>
      <c r="AL6" s="14">
        <v>0</v>
      </c>
      <c r="AM6" s="14">
        <v>0</v>
      </c>
      <c r="AN6" s="14">
        <v>0</v>
      </c>
      <c r="AO6" s="14">
        <v>0</v>
      </c>
      <c r="AP6" s="14">
        <v>0</v>
      </c>
      <c r="AQ6" s="14">
        <v>0</v>
      </c>
      <c r="AR6" s="14">
        <v>0</v>
      </c>
      <c r="AS6" s="14">
        <v>0</v>
      </c>
    </row>
    <row r="7" spans="1:45">
      <c r="A7" s="7" t="s">
        <v>180</v>
      </c>
      <c r="B7" s="14">
        <v>0</v>
      </c>
      <c r="C7" s="14">
        <v>0</v>
      </c>
      <c r="D7" s="14">
        <v>0</v>
      </c>
      <c r="E7" s="14">
        <v>0</v>
      </c>
      <c r="F7" s="14">
        <v>0</v>
      </c>
      <c r="G7" s="14">
        <v>0</v>
      </c>
      <c r="H7" s="14">
        <v>0</v>
      </c>
      <c r="I7" s="14">
        <v>0</v>
      </c>
      <c r="J7" s="14">
        <v>0</v>
      </c>
      <c r="K7" s="14">
        <v>0</v>
      </c>
      <c r="L7" s="14">
        <v>0</v>
      </c>
      <c r="M7" s="14">
        <v>0</v>
      </c>
      <c r="N7" s="14">
        <v>0</v>
      </c>
      <c r="O7" s="14">
        <v>0</v>
      </c>
      <c r="P7" s="14">
        <v>0</v>
      </c>
      <c r="Q7" s="14">
        <v>0</v>
      </c>
      <c r="R7" s="14">
        <v>0</v>
      </c>
      <c r="S7" s="14">
        <v>0</v>
      </c>
      <c r="T7" s="14">
        <v>0</v>
      </c>
      <c r="U7" s="14">
        <v>0</v>
      </c>
      <c r="V7" s="14">
        <v>0</v>
      </c>
      <c r="W7" s="14">
        <v>0</v>
      </c>
      <c r="X7" s="14">
        <v>0</v>
      </c>
      <c r="Y7" s="14">
        <v>0</v>
      </c>
      <c r="Z7" s="14">
        <v>0</v>
      </c>
      <c r="AA7" s="14">
        <v>0</v>
      </c>
      <c r="AB7" s="14">
        <v>0</v>
      </c>
      <c r="AC7" s="14">
        <v>0</v>
      </c>
      <c r="AD7" s="14">
        <v>0</v>
      </c>
      <c r="AE7" s="14">
        <v>0</v>
      </c>
      <c r="AF7" s="14">
        <v>0</v>
      </c>
      <c r="AG7" s="14">
        <v>0</v>
      </c>
      <c r="AH7" s="14">
        <v>0</v>
      </c>
      <c r="AI7" s="14">
        <v>0</v>
      </c>
      <c r="AJ7" s="14">
        <v>0</v>
      </c>
      <c r="AK7" s="14">
        <v>0</v>
      </c>
      <c r="AL7" s="14">
        <v>0</v>
      </c>
      <c r="AM7" s="14">
        <v>0</v>
      </c>
      <c r="AN7" s="14">
        <v>0</v>
      </c>
      <c r="AO7" s="14">
        <v>0</v>
      </c>
      <c r="AP7" s="14">
        <v>0</v>
      </c>
      <c r="AQ7" s="14">
        <v>0</v>
      </c>
      <c r="AR7" s="14">
        <v>0</v>
      </c>
      <c r="AS7" s="14">
        <v>0</v>
      </c>
    </row>
    <row r="8" spans="1:45">
      <c r="A8" s="7" t="s">
        <v>181</v>
      </c>
      <c r="B8" s="14">
        <v>0</v>
      </c>
      <c r="C8" s="14">
        <v>0</v>
      </c>
      <c r="D8" s="14">
        <v>0</v>
      </c>
      <c r="E8" s="14">
        <v>0</v>
      </c>
      <c r="F8" s="14">
        <v>0</v>
      </c>
      <c r="G8" s="14">
        <v>0</v>
      </c>
      <c r="H8" s="14">
        <v>0</v>
      </c>
      <c r="I8" s="14">
        <v>0</v>
      </c>
      <c r="J8" s="14">
        <v>0</v>
      </c>
      <c r="K8" s="14">
        <v>0</v>
      </c>
      <c r="L8" s="14">
        <v>0</v>
      </c>
      <c r="M8" s="14">
        <v>0</v>
      </c>
      <c r="N8" s="14">
        <v>0</v>
      </c>
      <c r="O8" s="14">
        <v>0</v>
      </c>
      <c r="P8" s="14">
        <v>0</v>
      </c>
      <c r="Q8" s="14">
        <v>0</v>
      </c>
      <c r="R8" s="14">
        <v>0</v>
      </c>
      <c r="S8" s="14">
        <v>0</v>
      </c>
      <c r="T8" s="14">
        <v>0</v>
      </c>
      <c r="U8" s="14">
        <v>0</v>
      </c>
      <c r="V8" s="14">
        <v>0</v>
      </c>
      <c r="W8" s="14">
        <v>0</v>
      </c>
      <c r="X8" s="14">
        <v>0</v>
      </c>
      <c r="Y8" s="14">
        <v>0</v>
      </c>
      <c r="Z8" s="14">
        <v>0</v>
      </c>
      <c r="AA8" s="14">
        <v>0</v>
      </c>
      <c r="AB8" s="14">
        <v>0</v>
      </c>
      <c r="AC8" s="14">
        <v>0</v>
      </c>
      <c r="AD8" s="14">
        <v>0</v>
      </c>
      <c r="AE8" s="14">
        <v>0</v>
      </c>
      <c r="AF8" s="14">
        <v>0</v>
      </c>
      <c r="AG8" s="14">
        <v>0</v>
      </c>
      <c r="AH8" s="14">
        <v>0</v>
      </c>
      <c r="AI8" s="14">
        <v>0</v>
      </c>
      <c r="AJ8" s="14">
        <v>0</v>
      </c>
      <c r="AK8" s="14">
        <v>0</v>
      </c>
      <c r="AL8" s="14">
        <v>0</v>
      </c>
      <c r="AM8" s="14">
        <v>0</v>
      </c>
      <c r="AN8" s="14">
        <v>0</v>
      </c>
      <c r="AO8" s="14">
        <v>0</v>
      </c>
      <c r="AP8" s="14">
        <v>0</v>
      </c>
      <c r="AQ8" s="14">
        <v>0</v>
      </c>
      <c r="AR8" s="14">
        <v>0</v>
      </c>
      <c r="AS8" s="14">
        <v>0</v>
      </c>
    </row>
    <row r="9" spans="1:45">
      <c r="A9" s="7" t="s">
        <v>182</v>
      </c>
      <c r="B9" s="14">
        <v>0</v>
      </c>
      <c r="C9" s="14">
        <v>0</v>
      </c>
      <c r="D9" s="14">
        <v>0</v>
      </c>
      <c r="E9" s="14">
        <v>0</v>
      </c>
      <c r="F9" s="14">
        <v>0</v>
      </c>
      <c r="G9" s="14">
        <v>0</v>
      </c>
      <c r="H9" s="14">
        <v>0</v>
      </c>
      <c r="I9" s="14">
        <v>0</v>
      </c>
      <c r="J9" s="14">
        <v>0</v>
      </c>
      <c r="K9" s="14">
        <v>0</v>
      </c>
      <c r="L9" s="14">
        <v>0</v>
      </c>
      <c r="M9" s="14">
        <v>0</v>
      </c>
      <c r="N9" s="14">
        <v>0</v>
      </c>
      <c r="O9" s="14">
        <v>0</v>
      </c>
      <c r="P9" s="14">
        <v>0</v>
      </c>
      <c r="Q9" s="14">
        <v>0</v>
      </c>
      <c r="R9" s="14">
        <v>0</v>
      </c>
      <c r="S9" s="14">
        <v>0</v>
      </c>
      <c r="T9" s="14">
        <v>0</v>
      </c>
      <c r="U9" s="14">
        <v>0</v>
      </c>
      <c r="V9" s="14">
        <v>0</v>
      </c>
      <c r="W9" s="14">
        <v>0</v>
      </c>
      <c r="X9" s="14">
        <v>0</v>
      </c>
      <c r="Y9" s="14">
        <v>0</v>
      </c>
      <c r="Z9" s="14">
        <v>0</v>
      </c>
      <c r="AA9" s="14">
        <v>0</v>
      </c>
      <c r="AB9" s="14">
        <v>0</v>
      </c>
      <c r="AC9" s="14">
        <v>0</v>
      </c>
      <c r="AD9" s="14">
        <v>0</v>
      </c>
      <c r="AE9" s="14">
        <v>0</v>
      </c>
      <c r="AF9" s="14">
        <v>0</v>
      </c>
      <c r="AG9" s="14">
        <v>0</v>
      </c>
      <c r="AH9" s="14">
        <v>0</v>
      </c>
      <c r="AI9" s="14">
        <v>0</v>
      </c>
      <c r="AJ9" s="14">
        <v>0</v>
      </c>
      <c r="AK9" s="14">
        <v>0</v>
      </c>
      <c r="AL9" s="14">
        <v>0</v>
      </c>
      <c r="AM9" s="14">
        <v>0</v>
      </c>
      <c r="AN9" s="14">
        <v>0</v>
      </c>
      <c r="AO9" s="14">
        <v>0</v>
      </c>
      <c r="AP9" s="14">
        <v>0</v>
      </c>
      <c r="AQ9" s="14">
        <v>0</v>
      </c>
      <c r="AR9" s="14">
        <v>0</v>
      </c>
      <c r="AS9" s="14">
        <v>0</v>
      </c>
    </row>
    <row r="10" spans="1:45">
      <c r="A10" s="7" t="s">
        <v>183</v>
      </c>
      <c r="B10" s="14">
        <v>0</v>
      </c>
      <c r="C10" s="14">
        <v>0</v>
      </c>
      <c r="D10" s="14">
        <v>0</v>
      </c>
      <c r="E10" s="14">
        <v>0</v>
      </c>
      <c r="F10" s="14">
        <v>0</v>
      </c>
      <c r="G10" s="14">
        <v>0</v>
      </c>
      <c r="H10" s="14">
        <v>0</v>
      </c>
      <c r="I10" s="14">
        <v>0</v>
      </c>
      <c r="J10" s="14">
        <v>0</v>
      </c>
      <c r="K10" s="14">
        <v>0</v>
      </c>
      <c r="L10" s="14">
        <v>0</v>
      </c>
      <c r="M10" s="14">
        <v>0</v>
      </c>
      <c r="N10" s="14">
        <v>0</v>
      </c>
      <c r="O10" s="14">
        <v>0</v>
      </c>
      <c r="P10" s="14">
        <v>0</v>
      </c>
      <c r="Q10" s="14">
        <v>0</v>
      </c>
      <c r="R10" s="14">
        <v>0</v>
      </c>
      <c r="S10" s="14">
        <v>0</v>
      </c>
      <c r="T10" s="14">
        <v>0</v>
      </c>
      <c r="U10" s="14">
        <v>0</v>
      </c>
      <c r="V10" s="14">
        <v>0</v>
      </c>
      <c r="W10" s="14">
        <v>0</v>
      </c>
      <c r="X10" s="14">
        <v>0</v>
      </c>
      <c r="Y10" s="14">
        <v>0</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4">
        <v>0</v>
      </c>
      <c r="AP10" s="14">
        <v>0</v>
      </c>
      <c r="AQ10" s="14">
        <v>0</v>
      </c>
      <c r="AR10" s="14">
        <v>0</v>
      </c>
      <c r="AS10" s="14">
        <v>0</v>
      </c>
    </row>
    <row r="11" spans="1:45">
      <c r="A11" s="7" t="s">
        <v>184</v>
      </c>
      <c r="B11" s="14">
        <v>0</v>
      </c>
      <c r="C11" s="14">
        <v>0</v>
      </c>
      <c r="D11" s="14">
        <v>0</v>
      </c>
      <c r="E11" s="14">
        <v>0</v>
      </c>
      <c r="F11" s="14">
        <v>0</v>
      </c>
      <c r="G11" s="14">
        <v>0</v>
      </c>
      <c r="H11" s="14">
        <v>0</v>
      </c>
      <c r="I11" s="14">
        <v>0</v>
      </c>
      <c r="J11" s="14">
        <v>0</v>
      </c>
      <c r="K11" s="14">
        <v>0</v>
      </c>
      <c r="L11" s="14">
        <v>0</v>
      </c>
      <c r="M11" s="14">
        <v>0</v>
      </c>
      <c r="N11" s="14">
        <v>0</v>
      </c>
      <c r="O11" s="14">
        <v>0</v>
      </c>
      <c r="P11" s="14">
        <v>0</v>
      </c>
      <c r="Q11" s="14">
        <v>0</v>
      </c>
      <c r="R11" s="14">
        <v>0</v>
      </c>
      <c r="S11" s="14">
        <v>0</v>
      </c>
      <c r="T11" s="14">
        <v>0</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0</v>
      </c>
      <c r="AL11" s="14">
        <v>0</v>
      </c>
      <c r="AM11" s="14">
        <v>0</v>
      </c>
      <c r="AN11" s="14">
        <v>0</v>
      </c>
      <c r="AO11" s="14">
        <v>0</v>
      </c>
      <c r="AP11" s="14">
        <v>0</v>
      </c>
      <c r="AQ11" s="14">
        <v>0</v>
      </c>
      <c r="AR11" s="14">
        <v>0</v>
      </c>
      <c r="AS11" s="14">
        <v>0</v>
      </c>
    </row>
    <row r="12" spans="1:45">
      <c r="A12" s="7" t="s">
        <v>185</v>
      </c>
      <c r="B12" s="14">
        <f>'Capacity Price Peaker '!E8</f>
        <v>59956.235026848408</v>
      </c>
      <c r="C12" s="14">
        <f>B12</f>
        <v>59956.235026848408</v>
      </c>
      <c r="D12" s="14">
        <f t="shared" ref="D12:AI12" si="0">C12</f>
        <v>59956.235026848408</v>
      </c>
      <c r="E12" s="14">
        <f t="shared" si="0"/>
        <v>59956.235026848408</v>
      </c>
      <c r="F12" s="14">
        <f t="shared" si="0"/>
        <v>59956.235026848408</v>
      </c>
      <c r="G12" s="14">
        <f t="shared" si="0"/>
        <v>59956.235026848408</v>
      </c>
      <c r="H12" s="14">
        <f t="shared" si="0"/>
        <v>59956.235026848408</v>
      </c>
      <c r="I12" s="14">
        <f t="shared" si="0"/>
        <v>59956.235026848408</v>
      </c>
      <c r="J12" s="14">
        <f t="shared" si="0"/>
        <v>59956.235026848408</v>
      </c>
      <c r="K12" s="14">
        <f t="shared" si="0"/>
        <v>59956.235026848408</v>
      </c>
      <c r="L12" s="14">
        <f t="shared" si="0"/>
        <v>59956.235026848408</v>
      </c>
      <c r="M12" s="14">
        <f t="shared" si="0"/>
        <v>59956.235026848408</v>
      </c>
      <c r="N12" s="14">
        <f t="shared" si="0"/>
        <v>59956.235026848408</v>
      </c>
      <c r="O12" s="14">
        <f t="shared" si="0"/>
        <v>59956.235026848408</v>
      </c>
      <c r="P12" s="14">
        <f t="shared" si="0"/>
        <v>59956.235026848408</v>
      </c>
      <c r="Q12" s="14">
        <f t="shared" si="0"/>
        <v>59956.235026848408</v>
      </c>
      <c r="R12" s="14">
        <f t="shared" si="0"/>
        <v>59956.235026848408</v>
      </c>
      <c r="S12" s="14">
        <f t="shared" si="0"/>
        <v>59956.235026848408</v>
      </c>
      <c r="T12" s="14">
        <f t="shared" si="0"/>
        <v>59956.235026848408</v>
      </c>
      <c r="U12" s="14">
        <f t="shared" si="0"/>
        <v>59956.235026848408</v>
      </c>
      <c r="V12" s="14">
        <f t="shared" si="0"/>
        <v>59956.235026848408</v>
      </c>
      <c r="W12" s="14">
        <f t="shared" si="0"/>
        <v>59956.235026848408</v>
      </c>
      <c r="X12" s="14">
        <f t="shared" si="0"/>
        <v>59956.235026848408</v>
      </c>
      <c r="Y12" s="14">
        <f t="shared" si="0"/>
        <v>59956.235026848408</v>
      </c>
      <c r="Z12" s="14">
        <f t="shared" si="0"/>
        <v>59956.235026848408</v>
      </c>
      <c r="AA12" s="14">
        <f t="shared" si="0"/>
        <v>59956.235026848408</v>
      </c>
      <c r="AB12" s="14">
        <f t="shared" si="0"/>
        <v>59956.235026848408</v>
      </c>
      <c r="AC12" s="14">
        <f t="shared" si="0"/>
        <v>59956.235026848408</v>
      </c>
      <c r="AD12" s="14">
        <f t="shared" si="0"/>
        <v>59956.235026848408</v>
      </c>
      <c r="AE12" s="14">
        <f t="shared" si="0"/>
        <v>59956.235026848408</v>
      </c>
      <c r="AF12" s="14">
        <f t="shared" si="0"/>
        <v>59956.235026848408</v>
      </c>
      <c r="AG12" s="14">
        <f t="shared" si="0"/>
        <v>59956.235026848408</v>
      </c>
      <c r="AH12" s="14">
        <f t="shared" si="0"/>
        <v>59956.235026848408</v>
      </c>
      <c r="AI12" s="14">
        <f t="shared" si="0"/>
        <v>59956.235026848408</v>
      </c>
      <c r="AJ12" s="14">
        <f t="shared" ref="AJ12" si="1">AI12</f>
        <v>59956.235026848408</v>
      </c>
      <c r="AK12" s="14">
        <f t="shared" ref="AK12" si="2">AJ12</f>
        <v>59956.235026848408</v>
      </c>
      <c r="AL12" s="14">
        <f t="shared" ref="AL12" si="3">AK12</f>
        <v>59956.235026848408</v>
      </c>
      <c r="AM12" s="14">
        <f t="shared" ref="AM12" si="4">AL12</f>
        <v>59956.235026848408</v>
      </c>
      <c r="AN12" s="14">
        <f t="shared" ref="AN12" si="5">AM12</f>
        <v>59956.235026848408</v>
      </c>
      <c r="AO12" s="14">
        <f t="shared" ref="AO12" si="6">AN12</f>
        <v>59956.235026848408</v>
      </c>
      <c r="AP12" s="14">
        <f t="shared" ref="AP12" si="7">AO12</f>
        <v>59956.235026848408</v>
      </c>
      <c r="AQ12" s="14">
        <f t="shared" ref="AQ12" si="8">AP12</f>
        <v>59956.235026848408</v>
      </c>
      <c r="AR12" s="14">
        <f t="shared" ref="AR12" si="9">AQ12</f>
        <v>59956.235026848408</v>
      </c>
      <c r="AS12" s="14">
        <f t="shared" ref="AS12" si="10">AR12</f>
        <v>59956.235026848408</v>
      </c>
    </row>
    <row r="13" spans="1:45">
      <c r="A13" s="7" t="s">
        <v>186</v>
      </c>
      <c r="B13" s="14">
        <v>0</v>
      </c>
      <c r="C13" s="14">
        <v>0</v>
      </c>
      <c r="D13" s="14">
        <v>0</v>
      </c>
      <c r="E13" s="14">
        <v>0</v>
      </c>
      <c r="F13" s="14">
        <v>0</v>
      </c>
      <c r="G13" s="14">
        <v>0</v>
      </c>
      <c r="H13" s="14">
        <v>0</v>
      </c>
      <c r="I13" s="14">
        <v>0</v>
      </c>
      <c r="J13" s="14">
        <v>0</v>
      </c>
      <c r="K13" s="14">
        <v>0</v>
      </c>
      <c r="L13" s="14">
        <v>0</v>
      </c>
      <c r="M13" s="14">
        <v>0</v>
      </c>
      <c r="N13" s="14">
        <v>0</v>
      </c>
      <c r="O13" s="14">
        <v>0</v>
      </c>
      <c r="P13" s="14">
        <v>0</v>
      </c>
      <c r="Q13" s="14">
        <v>0</v>
      </c>
      <c r="R13" s="14">
        <v>0</v>
      </c>
      <c r="S13" s="14">
        <v>0</v>
      </c>
      <c r="T13" s="14">
        <v>0</v>
      </c>
      <c r="U13" s="14">
        <v>0</v>
      </c>
      <c r="V13" s="14">
        <v>0</v>
      </c>
      <c r="W13" s="14">
        <v>0</v>
      </c>
      <c r="X13" s="14">
        <v>0</v>
      </c>
      <c r="Y13" s="14">
        <v>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row>
    <row r="14" spans="1:45">
      <c r="A14" s="7" t="s">
        <v>187</v>
      </c>
      <c r="B14" s="14">
        <v>0</v>
      </c>
      <c r="C14" s="14">
        <v>0</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c r="AG14" s="14">
        <v>0</v>
      </c>
      <c r="AH14" s="14">
        <v>0</v>
      </c>
      <c r="AI14" s="14">
        <v>0</v>
      </c>
      <c r="AJ14" s="14">
        <v>0</v>
      </c>
      <c r="AK14" s="14">
        <v>0</v>
      </c>
      <c r="AL14" s="14">
        <v>0</v>
      </c>
      <c r="AM14" s="14">
        <v>0</v>
      </c>
      <c r="AN14" s="14">
        <v>0</v>
      </c>
      <c r="AO14" s="14">
        <v>0</v>
      </c>
      <c r="AP14" s="14">
        <v>0</v>
      </c>
      <c r="AQ14" s="14">
        <v>0</v>
      </c>
      <c r="AR14" s="14">
        <v>0</v>
      </c>
      <c r="AS14" s="14">
        <v>0</v>
      </c>
    </row>
    <row r="15" spans="1:45">
      <c r="A15" s="7" t="s">
        <v>173</v>
      </c>
      <c r="B15" s="14">
        <v>0</v>
      </c>
      <c r="C15" s="14">
        <v>0</v>
      </c>
      <c r="D15" s="14">
        <v>0</v>
      </c>
      <c r="E15" s="14">
        <v>0</v>
      </c>
      <c r="F15" s="14">
        <v>0</v>
      </c>
      <c r="G15" s="14">
        <v>0</v>
      </c>
      <c r="H15" s="14">
        <v>0</v>
      </c>
      <c r="I15" s="14">
        <v>0</v>
      </c>
      <c r="J15" s="14">
        <v>0</v>
      </c>
      <c r="K15" s="14">
        <v>0</v>
      </c>
      <c r="L15" s="14">
        <v>0</v>
      </c>
      <c r="M15" s="14">
        <v>0</v>
      </c>
      <c r="N15" s="14">
        <v>0</v>
      </c>
      <c r="O15" s="14">
        <v>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row>
    <row r="16" spans="1:45">
      <c r="A16" s="7" t="s">
        <v>174</v>
      </c>
      <c r="B16" s="14">
        <v>0</v>
      </c>
      <c r="C16" s="14">
        <v>0</v>
      </c>
      <c r="D16" s="14">
        <v>0</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row>
    <row r="17" spans="1:45">
      <c r="A17" s="7" t="s">
        <v>188</v>
      </c>
      <c r="B17" s="14">
        <v>0</v>
      </c>
      <c r="C17" s="14">
        <v>0</v>
      </c>
      <c r="D17" s="14">
        <v>0</v>
      </c>
      <c r="E17" s="14">
        <v>0</v>
      </c>
      <c r="F17" s="14">
        <v>0</v>
      </c>
      <c r="G17" s="14">
        <v>0</v>
      </c>
      <c r="H17" s="14">
        <v>0</v>
      </c>
      <c r="I17" s="14">
        <v>0</v>
      </c>
      <c r="J17" s="14">
        <v>0</v>
      </c>
      <c r="K17" s="14">
        <v>0</v>
      </c>
      <c r="L17" s="14">
        <v>0</v>
      </c>
      <c r="M17" s="14">
        <v>0</v>
      </c>
      <c r="N17" s="14">
        <v>0</v>
      </c>
      <c r="O17" s="14">
        <v>0</v>
      </c>
      <c r="P17" s="14">
        <v>0</v>
      </c>
      <c r="Q17" s="14">
        <v>0</v>
      </c>
      <c r="R17" s="14">
        <v>0</v>
      </c>
      <c r="S17" s="14">
        <v>0</v>
      </c>
      <c r="T17" s="14">
        <v>0</v>
      </c>
      <c r="U17" s="14">
        <v>0</v>
      </c>
      <c r="V17" s="14">
        <v>0</v>
      </c>
      <c r="W17" s="14">
        <v>0</v>
      </c>
      <c r="X17" s="14">
        <v>0</v>
      </c>
      <c r="Y17" s="14">
        <v>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row>
  </sheetData>
  <phoneticPr fontId="13" type="noConversion"/>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5"/>
  <sheetViews>
    <sheetView workbookViewId="0">
      <selection activeCell="G18" sqref="G18"/>
    </sheetView>
  </sheetViews>
  <sheetFormatPr defaultColWidth="9.140625" defaultRowHeight="15"/>
  <cols>
    <col min="1" max="1" width="16.85546875" style="7" customWidth="1"/>
    <col min="2" max="16384" width="9.140625" style="7"/>
  </cols>
  <sheetData>
    <row r="1" spans="1:37">
      <c r="A1" s="7" t="s">
        <v>33</v>
      </c>
      <c r="B1" s="34" t="s">
        <v>5</v>
      </c>
    </row>
    <row r="2" spans="1:37" ht="15.75">
      <c r="B2" s="21" t="s">
        <v>77</v>
      </c>
    </row>
    <row r="5" spans="1:37">
      <c r="A5" s="1" t="s">
        <v>78</v>
      </c>
    </row>
    <row r="6" spans="1:37">
      <c r="B6" s="7">
        <v>2015</v>
      </c>
      <c r="C6" s="7">
        <v>2016</v>
      </c>
      <c r="D6" s="7">
        <v>2017</v>
      </c>
      <c r="E6" s="7">
        <v>2018</v>
      </c>
      <c r="F6" s="7">
        <v>2019</v>
      </c>
      <c r="G6" s="7">
        <v>2020</v>
      </c>
      <c r="H6" s="7">
        <v>2021</v>
      </c>
      <c r="I6" s="7">
        <v>2022</v>
      </c>
      <c r="J6" s="7">
        <v>2023</v>
      </c>
      <c r="K6" s="7">
        <v>2024</v>
      </c>
      <c r="L6" s="7">
        <v>2025</v>
      </c>
      <c r="M6" s="7">
        <v>2026</v>
      </c>
      <c r="N6" s="7">
        <v>2027</v>
      </c>
      <c r="O6" s="7">
        <v>2028</v>
      </c>
      <c r="P6" s="7">
        <v>2029</v>
      </c>
      <c r="Q6" s="7">
        <v>2030</v>
      </c>
      <c r="R6" s="7">
        <v>2031</v>
      </c>
      <c r="S6" s="7">
        <v>2032</v>
      </c>
      <c r="T6" s="7">
        <v>2033</v>
      </c>
      <c r="U6" s="7">
        <v>2034</v>
      </c>
      <c r="V6" s="7">
        <v>2035</v>
      </c>
      <c r="W6" s="7">
        <v>2036</v>
      </c>
      <c r="X6" s="7">
        <v>2037</v>
      </c>
      <c r="Y6" s="7">
        <v>2038</v>
      </c>
      <c r="Z6" s="7">
        <v>2039</v>
      </c>
      <c r="AA6" s="7">
        <v>2040</v>
      </c>
      <c r="AB6" s="7">
        <v>2041</v>
      </c>
      <c r="AC6" s="7">
        <v>2042</v>
      </c>
      <c r="AD6" s="7">
        <v>2043</v>
      </c>
      <c r="AE6" s="7">
        <v>2044</v>
      </c>
      <c r="AF6" s="7">
        <v>2045</v>
      </c>
      <c r="AG6" s="7">
        <v>2046</v>
      </c>
      <c r="AH6" s="7">
        <v>2047</v>
      </c>
      <c r="AI6" s="7">
        <v>2048</v>
      </c>
      <c r="AJ6" s="7">
        <v>2049</v>
      </c>
      <c r="AK6" s="7">
        <v>2050</v>
      </c>
    </row>
    <row r="7" spans="1:37">
      <c r="A7" s="7" t="s">
        <v>59</v>
      </c>
      <c r="B7" s="7">
        <f>B22</f>
        <v>0.18862910991883336</v>
      </c>
      <c r="C7" s="7">
        <f t="shared" ref="C7" si="0">B7*(1-2%)</f>
        <v>0.18485652772045669</v>
      </c>
      <c r="D7" s="7">
        <f>C7+$I$9</f>
        <v>0.17172391859756692</v>
      </c>
      <c r="E7" s="7">
        <f t="shared" ref="E7:P7" si="1">D7+$I$9</f>
        <v>0.15859130947467714</v>
      </c>
      <c r="F7" s="7">
        <f t="shared" si="1"/>
        <v>0.14545870035178737</v>
      </c>
      <c r="G7" s="7">
        <f t="shared" si="1"/>
        <v>0.1323260912288976</v>
      </c>
      <c r="H7" s="7">
        <f t="shared" si="1"/>
        <v>0.11919348210600784</v>
      </c>
      <c r="I7" s="7">
        <f t="shared" si="1"/>
        <v>0.10606087298311809</v>
      </c>
      <c r="J7" s="7">
        <f t="shared" si="1"/>
        <v>9.292826386022833E-2</v>
      </c>
      <c r="K7" s="7">
        <f t="shared" si="1"/>
        <v>7.9795654737338573E-2</v>
      </c>
      <c r="L7" s="7">
        <f t="shared" si="1"/>
        <v>6.6663045614448815E-2</v>
      </c>
      <c r="M7" s="7">
        <f t="shared" si="1"/>
        <v>5.3530436491559051E-2</v>
      </c>
      <c r="N7" s="7">
        <f t="shared" si="1"/>
        <v>4.0397827368669287E-2</v>
      </c>
      <c r="O7" s="7">
        <f t="shared" si="1"/>
        <v>2.7265218245779523E-2</v>
      </c>
      <c r="P7" s="7">
        <f t="shared" si="1"/>
        <v>1.413260912288976E-2</v>
      </c>
      <c r="Q7" s="7">
        <v>1E-3</v>
      </c>
      <c r="R7" s="7">
        <v>0</v>
      </c>
      <c r="S7" s="7">
        <v>0</v>
      </c>
      <c r="T7" s="7">
        <v>0</v>
      </c>
      <c r="U7" s="7">
        <v>0</v>
      </c>
      <c r="V7" s="7">
        <v>0</v>
      </c>
      <c r="W7" s="7">
        <v>0</v>
      </c>
      <c r="X7" s="7">
        <v>0</v>
      </c>
      <c r="Y7" s="7">
        <v>0</v>
      </c>
      <c r="Z7" s="7">
        <v>0</v>
      </c>
      <c r="AA7" s="7">
        <v>0</v>
      </c>
      <c r="AB7" s="7">
        <v>0</v>
      </c>
      <c r="AC7" s="7">
        <v>0</v>
      </c>
      <c r="AD7" s="7">
        <v>0</v>
      </c>
      <c r="AE7" s="7">
        <v>0</v>
      </c>
      <c r="AF7" s="7">
        <v>0</v>
      </c>
      <c r="AG7" s="7">
        <v>0</v>
      </c>
      <c r="AH7" s="7">
        <v>0</v>
      </c>
      <c r="AI7" s="7">
        <v>0</v>
      </c>
      <c r="AJ7" s="7">
        <v>0</v>
      </c>
      <c r="AK7" s="7">
        <v>0</v>
      </c>
    </row>
    <row r="8" spans="1:37">
      <c r="A8" s="7" t="s">
        <v>51</v>
      </c>
      <c r="B8" s="7">
        <f t="shared" ref="B8:AK8" si="2">B7*usd_per_yuan*10^3</f>
        <v>27.422899999999995</v>
      </c>
      <c r="C8" s="7">
        <f t="shared" si="2"/>
        <v>26.874441999999995</v>
      </c>
      <c r="D8" s="7">
        <f t="shared" si="2"/>
        <v>24.965223285714281</v>
      </c>
      <c r="E8" s="7">
        <f t="shared" si="2"/>
        <v>23.056004571428566</v>
      </c>
      <c r="F8" s="7">
        <f t="shared" si="2"/>
        <v>21.146785857142852</v>
      </c>
      <c r="G8" s="7">
        <f t="shared" si="2"/>
        <v>19.237567142857134</v>
      </c>
      <c r="H8" s="7">
        <f t="shared" si="2"/>
        <v>17.32834842857142</v>
      </c>
      <c r="I8" s="7">
        <f t="shared" si="2"/>
        <v>15.41912971428571</v>
      </c>
      <c r="J8" s="7">
        <f t="shared" si="2"/>
        <v>13.509910999999995</v>
      </c>
      <c r="K8" s="7">
        <f t="shared" si="2"/>
        <v>11.600692285714283</v>
      </c>
      <c r="L8" s="7">
        <f t="shared" si="2"/>
        <v>9.6914735714285705</v>
      </c>
      <c r="M8" s="7">
        <f t="shared" si="2"/>
        <v>7.7822548571428554</v>
      </c>
      <c r="N8" s="7">
        <f t="shared" si="2"/>
        <v>5.8730361428571412</v>
      </c>
      <c r="O8" s="7">
        <f t="shared" si="2"/>
        <v>3.9638174285714274</v>
      </c>
      <c r="P8" s="7">
        <f t="shared" si="2"/>
        <v>2.0545987142857136</v>
      </c>
      <c r="Q8" s="7">
        <f t="shared" si="2"/>
        <v>0.14538000000000001</v>
      </c>
      <c r="R8" s="7">
        <f t="shared" si="2"/>
        <v>0</v>
      </c>
      <c r="S8" s="7">
        <f t="shared" si="2"/>
        <v>0</v>
      </c>
      <c r="T8" s="7">
        <f t="shared" si="2"/>
        <v>0</v>
      </c>
      <c r="U8" s="7">
        <f t="shared" si="2"/>
        <v>0</v>
      </c>
      <c r="V8" s="7">
        <f t="shared" si="2"/>
        <v>0</v>
      </c>
      <c r="W8" s="7">
        <f t="shared" si="2"/>
        <v>0</v>
      </c>
      <c r="X8" s="7">
        <f t="shared" si="2"/>
        <v>0</v>
      </c>
      <c r="Y8" s="7">
        <f t="shared" si="2"/>
        <v>0</v>
      </c>
      <c r="Z8" s="7">
        <f t="shared" si="2"/>
        <v>0</v>
      </c>
      <c r="AA8" s="7">
        <f t="shared" si="2"/>
        <v>0</v>
      </c>
      <c r="AB8" s="7">
        <f t="shared" si="2"/>
        <v>0</v>
      </c>
      <c r="AC8" s="7">
        <f t="shared" si="2"/>
        <v>0</v>
      </c>
      <c r="AD8" s="7">
        <f t="shared" si="2"/>
        <v>0</v>
      </c>
      <c r="AE8" s="7">
        <f t="shared" si="2"/>
        <v>0</v>
      </c>
      <c r="AF8" s="7">
        <f t="shared" si="2"/>
        <v>0</v>
      </c>
      <c r="AG8" s="7">
        <f t="shared" si="2"/>
        <v>0</v>
      </c>
      <c r="AH8" s="7">
        <f t="shared" si="2"/>
        <v>0</v>
      </c>
      <c r="AI8" s="7">
        <f t="shared" si="2"/>
        <v>0</v>
      </c>
      <c r="AJ8" s="7">
        <f t="shared" si="2"/>
        <v>0</v>
      </c>
      <c r="AK8" s="7">
        <f t="shared" si="2"/>
        <v>0</v>
      </c>
    </row>
    <row r="9" spans="1:37">
      <c r="I9" s="7">
        <f>(Q7-C7)/14</f>
        <v>-1.3132609122889763E-2</v>
      </c>
    </row>
    <row r="11" spans="1:37">
      <c r="A11" s="1" t="s">
        <v>79</v>
      </c>
    </row>
    <row r="12" spans="1:37">
      <c r="B12" s="7">
        <v>2015</v>
      </c>
      <c r="C12" s="7">
        <v>2016</v>
      </c>
      <c r="D12" s="7">
        <v>2017</v>
      </c>
      <c r="E12" s="7">
        <v>2018</v>
      </c>
      <c r="F12" s="7">
        <v>2019</v>
      </c>
      <c r="G12" s="7">
        <v>2020</v>
      </c>
      <c r="H12" s="7">
        <v>2021</v>
      </c>
      <c r="I12" s="7">
        <v>2022</v>
      </c>
      <c r="J12" s="7">
        <v>2023</v>
      </c>
      <c r="K12" s="7">
        <v>2024</v>
      </c>
      <c r="L12" s="7">
        <v>2025</v>
      </c>
      <c r="M12" s="7">
        <v>2026</v>
      </c>
      <c r="N12" s="7">
        <v>2027</v>
      </c>
      <c r="O12" s="7">
        <v>2028</v>
      </c>
      <c r="P12" s="7">
        <v>2029</v>
      </c>
      <c r="Q12" s="7">
        <v>2030</v>
      </c>
      <c r="R12" s="7">
        <v>2031</v>
      </c>
      <c r="S12" s="7">
        <v>2032</v>
      </c>
      <c r="T12" s="7">
        <v>2033</v>
      </c>
      <c r="U12" s="7">
        <v>2034</v>
      </c>
      <c r="V12" s="7">
        <v>2035</v>
      </c>
      <c r="W12" s="7">
        <v>2036</v>
      </c>
      <c r="X12" s="7">
        <v>2037</v>
      </c>
      <c r="Y12" s="7">
        <v>2038</v>
      </c>
      <c r="Z12" s="7">
        <v>2039</v>
      </c>
      <c r="AA12" s="7">
        <v>2040</v>
      </c>
      <c r="AB12" s="7">
        <v>2041</v>
      </c>
      <c r="AC12" s="7">
        <v>2042</v>
      </c>
      <c r="AD12" s="7">
        <v>2043</v>
      </c>
      <c r="AE12" s="7">
        <v>2044</v>
      </c>
      <c r="AF12" s="7">
        <v>2045</v>
      </c>
      <c r="AG12" s="7">
        <v>2046</v>
      </c>
      <c r="AH12" s="7">
        <v>2047</v>
      </c>
      <c r="AI12" s="7">
        <v>2048</v>
      </c>
      <c r="AJ12" s="7">
        <v>2049</v>
      </c>
      <c r="AK12" s="7">
        <v>2050</v>
      </c>
    </row>
    <row r="13" spans="1:37">
      <c r="A13" s="7" t="s">
        <v>59</v>
      </c>
      <c r="B13" s="7">
        <f>C22</f>
        <v>0.32737584261934233</v>
      </c>
      <c r="C13" s="7">
        <f t="shared" ref="C13" si="3">B13*(1-2%)</f>
        <v>0.32082832576695547</v>
      </c>
      <c r="D13" s="7">
        <f>C13+$I$9</f>
        <v>0.3076957166440657</v>
      </c>
      <c r="E13" s="7">
        <f t="shared" ref="E13" si="4">D13+$I$9</f>
        <v>0.29456310752117593</v>
      </c>
      <c r="F13" s="7">
        <f t="shared" ref="F13" si="5">E13+$I$9</f>
        <v>0.28143049839828616</v>
      </c>
      <c r="G13" s="7">
        <f t="shared" ref="G13" si="6">F13+$I$9</f>
        <v>0.26829788927539638</v>
      </c>
      <c r="H13" s="7">
        <f t="shared" ref="H13" si="7">G13+$I$9</f>
        <v>0.25516528015250661</v>
      </c>
      <c r="I13" s="7">
        <f t="shared" ref="I13" si="8">H13+$I$9</f>
        <v>0.24203267102961684</v>
      </c>
      <c r="J13" s="7">
        <f t="shared" ref="J13" si="9">I13+$I$9</f>
        <v>0.22890006190672707</v>
      </c>
      <c r="K13" s="7">
        <f t="shared" ref="K13" si="10">J13+$I$9</f>
        <v>0.2157674527838373</v>
      </c>
      <c r="L13" s="7">
        <f t="shared" ref="L13" si="11">K13+$I$9</f>
        <v>0.20263484366094753</v>
      </c>
      <c r="M13" s="7">
        <f t="shared" ref="M13" si="12">L13+$I$9</f>
        <v>0.18950223453805776</v>
      </c>
      <c r="N13" s="7">
        <f t="shared" ref="N13" si="13">M13+$I$9</f>
        <v>0.17636962541516799</v>
      </c>
      <c r="O13" s="7">
        <f t="shared" ref="O13" si="14">N13+$I$9</f>
        <v>0.16323701629227821</v>
      </c>
      <c r="P13" s="7">
        <f t="shared" ref="P13" si="15">O13+$I$9</f>
        <v>0.15010440716938844</v>
      </c>
      <c r="Q13" s="7">
        <v>1E-3</v>
      </c>
      <c r="R13" s="7">
        <v>0</v>
      </c>
      <c r="S13" s="7">
        <v>0</v>
      </c>
      <c r="T13" s="7">
        <v>0</v>
      </c>
      <c r="U13" s="7">
        <v>0</v>
      </c>
      <c r="V13" s="7">
        <v>0</v>
      </c>
      <c r="W13" s="7">
        <v>0</v>
      </c>
      <c r="X13" s="7">
        <v>0</v>
      </c>
      <c r="Y13" s="7">
        <v>0</v>
      </c>
      <c r="Z13" s="7">
        <v>0</v>
      </c>
      <c r="AA13" s="7">
        <v>0</v>
      </c>
      <c r="AB13" s="7">
        <v>0</v>
      </c>
      <c r="AC13" s="7">
        <v>0</v>
      </c>
      <c r="AD13" s="7">
        <v>0</v>
      </c>
      <c r="AE13" s="7">
        <v>0</v>
      </c>
      <c r="AF13" s="7">
        <v>0</v>
      </c>
      <c r="AG13" s="7">
        <v>0</v>
      </c>
      <c r="AH13" s="7">
        <v>0</v>
      </c>
      <c r="AI13" s="7">
        <v>0</v>
      </c>
      <c r="AJ13" s="7">
        <v>0</v>
      </c>
      <c r="AK13" s="7">
        <v>0</v>
      </c>
    </row>
    <row r="14" spans="1:37">
      <c r="A14" s="7" t="s">
        <v>51</v>
      </c>
      <c r="B14" s="7">
        <f t="shared" ref="B14" si="16">B13*usd_per_yuan*10^3</f>
        <v>47.593899999999991</v>
      </c>
      <c r="C14" s="7">
        <f t="shared" ref="C14" si="17">C13*usd_per_yuan*10^3</f>
        <v>46.64202199999999</v>
      </c>
      <c r="D14" s="7">
        <f t="shared" ref="D14" si="18">D13*usd_per_yuan*10^3</f>
        <v>44.732803285714276</v>
      </c>
      <c r="E14" s="7">
        <f t="shared" ref="E14" si="19">E13*usd_per_yuan*10^3</f>
        <v>42.823584571428562</v>
      </c>
      <c r="F14" s="7">
        <f t="shared" ref="F14" si="20">F13*usd_per_yuan*10^3</f>
        <v>40.914365857142847</v>
      </c>
      <c r="G14" s="7">
        <f t="shared" ref="G14" si="21">G13*usd_per_yuan*10^3</f>
        <v>39.005147142857126</v>
      </c>
      <c r="H14" s="7">
        <f t="shared" ref="H14" si="22">H13*usd_per_yuan*10^3</f>
        <v>37.095928428571412</v>
      </c>
      <c r="I14" s="7">
        <f t="shared" ref="I14" si="23">I13*usd_per_yuan*10^3</f>
        <v>35.186709714285698</v>
      </c>
      <c r="J14" s="7">
        <f t="shared" ref="J14" si="24">J13*usd_per_yuan*10^3</f>
        <v>33.277490999999984</v>
      </c>
      <c r="K14" s="7">
        <f t="shared" ref="K14" si="25">K13*usd_per_yuan*10^3</f>
        <v>31.368272285714266</v>
      </c>
      <c r="L14" s="7">
        <f t="shared" ref="L14" si="26">L13*usd_per_yuan*10^3</f>
        <v>29.459053571428552</v>
      </c>
      <c r="M14" s="7">
        <f t="shared" ref="M14" si="27">M13*usd_per_yuan*10^3</f>
        <v>27.549834857142837</v>
      </c>
      <c r="N14" s="7">
        <f t="shared" ref="N14" si="28">N13*usd_per_yuan*10^3</f>
        <v>25.640616142857123</v>
      </c>
      <c r="O14" s="7">
        <f t="shared" ref="O14" si="29">O13*usd_per_yuan*10^3</f>
        <v>23.731397428571409</v>
      </c>
      <c r="P14" s="7">
        <f t="shared" ref="P14" si="30">P13*usd_per_yuan*10^3</f>
        <v>21.822178714285695</v>
      </c>
      <c r="Q14" s="7">
        <f t="shared" ref="Q14" si="31">Q13*usd_per_yuan*10^3</f>
        <v>0.14538000000000001</v>
      </c>
      <c r="R14" s="7">
        <f t="shared" ref="R14" si="32">R13*usd_per_yuan*10^3</f>
        <v>0</v>
      </c>
      <c r="S14" s="7">
        <f t="shared" ref="S14" si="33">S13*usd_per_yuan*10^3</f>
        <v>0</v>
      </c>
      <c r="T14" s="7">
        <f t="shared" ref="T14" si="34">T13*usd_per_yuan*10^3</f>
        <v>0</v>
      </c>
      <c r="U14" s="7">
        <f t="shared" ref="U14" si="35">U13*usd_per_yuan*10^3</f>
        <v>0</v>
      </c>
      <c r="V14" s="7">
        <f t="shared" ref="V14" si="36">V13*usd_per_yuan*10^3</f>
        <v>0</v>
      </c>
      <c r="W14" s="7">
        <f t="shared" ref="W14" si="37">W13*usd_per_yuan*10^3</f>
        <v>0</v>
      </c>
      <c r="X14" s="7">
        <f t="shared" ref="X14" si="38">X13*usd_per_yuan*10^3</f>
        <v>0</v>
      </c>
      <c r="Y14" s="7">
        <f t="shared" ref="Y14" si="39">Y13*usd_per_yuan*10^3</f>
        <v>0</v>
      </c>
      <c r="Z14" s="7">
        <f t="shared" ref="Z14" si="40">Z13*usd_per_yuan*10^3</f>
        <v>0</v>
      </c>
      <c r="AA14" s="7">
        <f t="shared" ref="AA14" si="41">AA13*usd_per_yuan*10^3</f>
        <v>0</v>
      </c>
      <c r="AB14" s="7">
        <f t="shared" ref="AB14" si="42">AB13*usd_per_yuan*10^3</f>
        <v>0</v>
      </c>
      <c r="AC14" s="7">
        <f t="shared" ref="AC14" si="43">AC13*usd_per_yuan*10^3</f>
        <v>0</v>
      </c>
      <c r="AD14" s="7">
        <f t="shared" ref="AD14" si="44">AD13*usd_per_yuan*10^3</f>
        <v>0</v>
      </c>
      <c r="AE14" s="7">
        <f t="shared" ref="AE14" si="45">AE13*usd_per_yuan*10^3</f>
        <v>0</v>
      </c>
      <c r="AF14" s="7">
        <f t="shared" ref="AF14" si="46">AF13*usd_per_yuan*10^3</f>
        <v>0</v>
      </c>
      <c r="AG14" s="7">
        <f t="shared" ref="AG14" si="47">AG13*usd_per_yuan*10^3</f>
        <v>0</v>
      </c>
      <c r="AH14" s="7">
        <f t="shared" ref="AH14" si="48">AH13*usd_per_yuan*10^3</f>
        <v>0</v>
      </c>
      <c r="AI14" s="7">
        <f t="shared" ref="AI14" si="49">AI13*usd_per_yuan*10^3</f>
        <v>0</v>
      </c>
      <c r="AJ14" s="7">
        <f t="shared" ref="AJ14" si="50">AJ13*usd_per_yuan*10^3</f>
        <v>0</v>
      </c>
      <c r="AK14" s="7">
        <f t="shared" ref="AK14" si="51">AK13*usd_per_yuan*10^3</f>
        <v>0</v>
      </c>
    </row>
    <row r="15" spans="1:37">
      <c r="D15" s="7">
        <f>(Q13-C13)/14</f>
        <v>-2.2844880411925391E-2</v>
      </c>
    </row>
    <row r="16" spans="1:37">
      <c r="A16" s="7" t="s">
        <v>80</v>
      </c>
    </row>
    <row r="18" spans="1:3">
      <c r="B18" s="7" t="s">
        <v>81</v>
      </c>
      <c r="C18" s="7" t="s">
        <v>82</v>
      </c>
    </row>
    <row r="19" spans="1:3">
      <c r="A19" s="7" t="s">
        <v>83</v>
      </c>
      <c r="B19" s="7">
        <v>68.527900000000002</v>
      </c>
      <c r="C19" s="7">
        <v>48.356900000000003</v>
      </c>
    </row>
    <row r="20" spans="1:3">
      <c r="A20" s="7" t="s">
        <v>84</v>
      </c>
      <c r="B20" s="7">
        <f>B19/usd_per_yuan/1000</f>
        <v>0.47137089008116656</v>
      </c>
      <c r="C20" s="7">
        <f>C19/usd_per_yuan/1000</f>
        <v>0.33262415738065759</v>
      </c>
    </row>
    <row r="21" spans="1:3">
      <c r="A21" s="7" t="s">
        <v>85</v>
      </c>
      <c r="B21" s="7">
        <f>0.41+0.25</f>
        <v>0.65999999999999992</v>
      </c>
      <c r="C21" s="7">
        <f>0.41+0.25</f>
        <v>0.65999999999999992</v>
      </c>
    </row>
    <row r="22" spans="1:3">
      <c r="A22" s="7" t="s">
        <v>73</v>
      </c>
      <c r="B22" s="7">
        <f>B21-B20</f>
        <v>0.18862910991883336</v>
      </c>
      <c r="C22" s="7">
        <f>C21-C20</f>
        <v>0.32737584261934233</v>
      </c>
    </row>
    <row r="25" spans="1:3">
      <c r="A25" s="7" t="s">
        <v>86</v>
      </c>
    </row>
  </sheetData>
  <phoneticPr fontId="13" type="noConversion"/>
  <hyperlinks>
    <hyperlink ref="B1" r:id="rId1" xr:uid="{A7D256F6-EAA7-1B40-8467-6BE867D335F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3"/>
  <sheetViews>
    <sheetView workbookViewId="0">
      <selection activeCell="J29" sqref="J29"/>
    </sheetView>
  </sheetViews>
  <sheetFormatPr defaultColWidth="9.140625" defaultRowHeight="15"/>
  <cols>
    <col min="1" max="1" width="12.7109375" style="7" customWidth="1"/>
    <col min="2" max="16384" width="9.140625" style="7"/>
  </cols>
  <sheetData>
    <row r="1" spans="1:38">
      <c r="A1" s="7" t="s">
        <v>33</v>
      </c>
      <c r="C1" s="7" t="s">
        <v>4</v>
      </c>
    </row>
    <row r="2" spans="1:38">
      <c r="C2" s="7">
        <v>2014</v>
      </c>
      <c r="E2" s="7">
        <v>2016</v>
      </c>
    </row>
    <row r="3" spans="1:38">
      <c r="A3" s="7" t="s">
        <v>35</v>
      </c>
      <c r="B3" s="7" t="s">
        <v>62</v>
      </c>
      <c r="C3" s="7">
        <v>0.9</v>
      </c>
      <c r="E3" s="7">
        <v>0.8</v>
      </c>
      <c r="J3" s="7" t="s">
        <v>35</v>
      </c>
      <c r="K3" s="7" t="s">
        <v>63</v>
      </c>
    </row>
    <row r="4" spans="1:38">
      <c r="A4" s="7" t="s">
        <v>39</v>
      </c>
      <c r="B4" s="7" t="s">
        <v>64</v>
      </c>
      <c r="C4" s="7">
        <v>0.95</v>
      </c>
      <c r="E4" s="7">
        <v>0.88</v>
      </c>
      <c r="K4" s="7" t="s">
        <v>65</v>
      </c>
    </row>
    <row r="5" spans="1:38">
      <c r="A5" s="7" t="s">
        <v>41</v>
      </c>
      <c r="B5" s="7" t="s">
        <v>66</v>
      </c>
      <c r="C5" s="7">
        <v>1</v>
      </c>
      <c r="E5" s="7">
        <v>0.98</v>
      </c>
      <c r="K5" s="7" t="s">
        <v>67</v>
      </c>
    </row>
    <row r="6" spans="1:38">
      <c r="C6" s="7">
        <f>AVERAGE(C3:C5)</f>
        <v>0.95000000000000007</v>
      </c>
    </row>
    <row r="7" spans="1:38">
      <c r="J7" s="7" t="s">
        <v>39</v>
      </c>
      <c r="K7" s="7" t="s">
        <v>68</v>
      </c>
    </row>
    <row r="8" spans="1:38">
      <c r="C8" s="7">
        <v>0.53646309944985193</v>
      </c>
      <c r="K8" s="7" t="s">
        <v>69</v>
      </c>
    </row>
    <row r="9" spans="1:38" ht="15.75" customHeight="1">
      <c r="C9" s="7">
        <v>89.493700000000004</v>
      </c>
      <c r="D9" s="7" t="s">
        <v>51</v>
      </c>
      <c r="K9" s="7" t="s">
        <v>70</v>
      </c>
    </row>
    <row r="10" spans="1:38">
      <c r="B10" s="7" t="s">
        <v>71</v>
      </c>
      <c r="C10" s="7">
        <f>C9/[0]!usd_per_yuan/1000</f>
        <v>0.61558467464575595</v>
      </c>
      <c r="D10" s="7" t="s">
        <v>53</v>
      </c>
      <c r="K10" s="7" t="s">
        <v>72</v>
      </c>
    </row>
    <row r="11" spans="1:38">
      <c r="B11" s="7" t="s">
        <v>73</v>
      </c>
      <c r="C11" s="7">
        <f>C6-C10</f>
        <v>0.33441532535424412</v>
      </c>
    </row>
    <row r="12" spans="1:38">
      <c r="J12" s="7" t="s">
        <v>41</v>
      </c>
      <c r="K12" s="7" t="s">
        <v>74</v>
      </c>
    </row>
    <row r="15" spans="1:38">
      <c r="A15" s="1" t="s">
        <v>75</v>
      </c>
    </row>
    <row r="16" spans="1:38">
      <c r="B16" s="7">
        <v>2014</v>
      </c>
      <c r="C16" s="7">
        <v>2015</v>
      </c>
      <c r="D16" s="7">
        <v>2016</v>
      </c>
      <c r="E16" s="7">
        <v>2017</v>
      </c>
      <c r="F16" s="7">
        <v>2018</v>
      </c>
      <c r="G16" s="7">
        <v>2019</v>
      </c>
      <c r="H16" s="7">
        <v>2020</v>
      </c>
      <c r="I16" s="7">
        <v>2021</v>
      </c>
      <c r="J16" s="7">
        <v>2022</v>
      </c>
      <c r="K16" s="7">
        <v>2023</v>
      </c>
      <c r="L16" s="7">
        <v>2024</v>
      </c>
      <c r="M16" s="7">
        <v>2025</v>
      </c>
      <c r="N16" s="7">
        <v>2026</v>
      </c>
      <c r="O16" s="7">
        <v>2027</v>
      </c>
      <c r="P16" s="7">
        <v>2028</v>
      </c>
      <c r="Q16" s="7">
        <v>2029</v>
      </c>
      <c r="R16" s="7">
        <v>2030</v>
      </c>
      <c r="S16" s="7">
        <v>2031</v>
      </c>
      <c r="T16" s="7">
        <v>2032</v>
      </c>
      <c r="U16" s="7">
        <v>2033</v>
      </c>
      <c r="V16" s="7">
        <v>2034</v>
      </c>
      <c r="W16" s="7">
        <v>2035</v>
      </c>
      <c r="X16" s="7">
        <v>2036</v>
      </c>
      <c r="Y16" s="7">
        <v>2037</v>
      </c>
      <c r="Z16" s="7">
        <v>2038</v>
      </c>
      <c r="AA16" s="7">
        <v>2039</v>
      </c>
      <c r="AB16" s="7">
        <v>2040</v>
      </c>
      <c r="AC16" s="7">
        <v>2041</v>
      </c>
      <c r="AD16" s="7">
        <v>2042</v>
      </c>
      <c r="AE16" s="7">
        <v>2043</v>
      </c>
      <c r="AF16" s="7">
        <v>2044</v>
      </c>
      <c r="AG16" s="7">
        <v>2045</v>
      </c>
      <c r="AH16" s="7">
        <v>2046</v>
      </c>
      <c r="AI16" s="7">
        <v>2047</v>
      </c>
      <c r="AJ16" s="7">
        <v>2048</v>
      </c>
      <c r="AK16" s="7">
        <v>2049</v>
      </c>
      <c r="AL16" s="7">
        <v>2050</v>
      </c>
    </row>
    <row r="17" spans="1:38">
      <c r="A17" s="7" t="s">
        <v>59</v>
      </c>
      <c r="B17" s="7">
        <f>C11</f>
        <v>0.33441532535424412</v>
      </c>
      <c r="C17" s="7">
        <f t="shared" ref="C17:Q17" si="0">B17+$C$20</f>
        <v>0.31357686751960384</v>
      </c>
      <c r="D17" s="7">
        <f t="shared" si="0"/>
        <v>0.29273840968496356</v>
      </c>
      <c r="E17" s="7">
        <f t="shared" si="0"/>
        <v>0.27189995185032328</v>
      </c>
      <c r="F17" s="7">
        <f t="shared" si="0"/>
        <v>0.25106149401568301</v>
      </c>
      <c r="G17" s="7">
        <f t="shared" si="0"/>
        <v>0.23022303618104276</v>
      </c>
      <c r="H17" s="7">
        <f t="shared" si="0"/>
        <v>0.20938457834640251</v>
      </c>
      <c r="I17" s="7">
        <f t="shared" si="0"/>
        <v>0.18854612051176226</v>
      </c>
      <c r="J17" s="7">
        <f t="shared" si="0"/>
        <v>0.167707662677122</v>
      </c>
      <c r="K17" s="7">
        <f t="shared" si="0"/>
        <v>0.14686920484248175</v>
      </c>
      <c r="L17" s="7">
        <f t="shared" si="0"/>
        <v>0.1260307470078415</v>
      </c>
      <c r="M17" s="7">
        <f t="shared" si="0"/>
        <v>0.10519228917320125</v>
      </c>
      <c r="N17" s="7">
        <f t="shared" si="0"/>
        <v>8.4353831338561003E-2</v>
      </c>
      <c r="O17" s="7">
        <f t="shared" si="0"/>
        <v>6.3515373503920752E-2</v>
      </c>
      <c r="P17" s="7">
        <f t="shared" si="0"/>
        <v>4.2676915669280495E-2</v>
      </c>
      <c r="Q17" s="7">
        <f t="shared" si="0"/>
        <v>2.1838457834640237E-2</v>
      </c>
      <c r="R17" s="7">
        <v>1E-3</v>
      </c>
      <c r="S17" s="7">
        <v>0</v>
      </c>
      <c r="T17" s="7">
        <v>0</v>
      </c>
      <c r="U17" s="7">
        <v>0</v>
      </c>
      <c r="V17" s="7">
        <v>0</v>
      </c>
      <c r="W17" s="7">
        <v>0</v>
      </c>
      <c r="X17" s="7">
        <v>0</v>
      </c>
      <c r="Y17" s="7">
        <v>0</v>
      </c>
      <c r="Z17" s="7">
        <v>0</v>
      </c>
      <c r="AA17" s="7">
        <v>0</v>
      </c>
      <c r="AB17" s="7">
        <v>0</v>
      </c>
      <c r="AC17" s="7">
        <v>0</v>
      </c>
      <c r="AD17" s="7">
        <v>0</v>
      </c>
      <c r="AE17" s="7">
        <v>0</v>
      </c>
      <c r="AF17" s="7">
        <v>0</v>
      </c>
      <c r="AG17" s="7">
        <v>0</v>
      </c>
      <c r="AH17" s="7">
        <v>0</v>
      </c>
      <c r="AI17" s="7">
        <v>0</v>
      </c>
      <c r="AJ17" s="7">
        <v>0</v>
      </c>
      <c r="AK17" s="7">
        <v>0</v>
      </c>
      <c r="AL17" s="7">
        <v>0</v>
      </c>
    </row>
    <row r="18" spans="1:38">
      <c r="A18" s="7" t="s">
        <v>51</v>
      </c>
      <c r="B18" s="7">
        <f t="shared" ref="B18:AL18" si="1">B17*usd_per_yuan*10^3</f>
        <v>48.617300000000014</v>
      </c>
      <c r="C18" s="7">
        <f t="shared" si="1"/>
        <v>45.58780500000001</v>
      </c>
      <c r="D18" s="7">
        <f t="shared" si="1"/>
        <v>42.558310000000006</v>
      </c>
      <c r="E18" s="7">
        <f t="shared" si="1"/>
        <v>39.528815000000002</v>
      </c>
      <c r="F18" s="7">
        <f t="shared" si="1"/>
        <v>36.499319999999997</v>
      </c>
      <c r="G18" s="7">
        <f t="shared" si="1"/>
        <v>33.469824999999993</v>
      </c>
      <c r="H18" s="7">
        <f t="shared" si="1"/>
        <v>30.440329999999999</v>
      </c>
      <c r="I18" s="7">
        <f t="shared" si="1"/>
        <v>27.410834999999999</v>
      </c>
      <c r="J18" s="7">
        <f t="shared" si="1"/>
        <v>24.381339999999998</v>
      </c>
      <c r="K18" s="7">
        <f t="shared" si="1"/>
        <v>21.351844999999997</v>
      </c>
      <c r="L18" s="7">
        <f t="shared" si="1"/>
        <v>18.322349999999997</v>
      </c>
      <c r="M18" s="7">
        <f t="shared" si="1"/>
        <v>15.292854999999999</v>
      </c>
      <c r="N18" s="7">
        <f t="shared" si="1"/>
        <v>12.263359999999999</v>
      </c>
      <c r="O18" s="7">
        <f t="shared" si="1"/>
        <v>9.2338649999999998</v>
      </c>
      <c r="P18" s="7">
        <f t="shared" si="1"/>
        <v>6.2043699999999991</v>
      </c>
      <c r="Q18" s="7">
        <f t="shared" si="1"/>
        <v>3.1748749999999979</v>
      </c>
      <c r="R18" s="7">
        <f t="shared" si="1"/>
        <v>0.14538000000000001</v>
      </c>
      <c r="S18" s="7">
        <f t="shared" si="1"/>
        <v>0</v>
      </c>
      <c r="T18" s="7">
        <f t="shared" si="1"/>
        <v>0</v>
      </c>
      <c r="U18" s="7">
        <f t="shared" si="1"/>
        <v>0</v>
      </c>
      <c r="V18" s="7">
        <f t="shared" si="1"/>
        <v>0</v>
      </c>
      <c r="W18" s="7">
        <f t="shared" si="1"/>
        <v>0</v>
      </c>
      <c r="X18" s="7">
        <f t="shared" si="1"/>
        <v>0</v>
      </c>
      <c r="Y18" s="7">
        <f t="shared" si="1"/>
        <v>0</v>
      </c>
      <c r="Z18" s="7">
        <f t="shared" si="1"/>
        <v>0</v>
      </c>
      <c r="AA18" s="7">
        <f t="shared" si="1"/>
        <v>0</v>
      </c>
      <c r="AB18" s="7">
        <f t="shared" si="1"/>
        <v>0</v>
      </c>
      <c r="AC18" s="7">
        <f t="shared" si="1"/>
        <v>0</v>
      </c>
      <c r="AD18" s="7">
        <f t="shared" si="1"/>
        <v>0</v>
      </c>
      <c r="AE18" s="7">
        <f t="shared" si="1"/>
        <v>0</v>
      </c>
      <c r="AF18" s="7">
        <f t="shared" si="1"/>
        <v>0</v>
      </c>
      <c r="AG18" s="7">
        <f t="shared" si="1"/>
        <v>0</v>
      </c>
      <c r="AH18" s="7">
        <f t="shared" si="1"/>
        <v>0</v>
      </c>
      <c r="AI18" s="7">
        <f t="shared" si="1"/>
        <v>0</v>
      </c>
      <c r="AJ18" s="7">
        <f t="shared" si="1"/>
        <v>0</v>
      </c>
      <c r="AK18" s="7">
        <f t="shared" si="1"/>
        <v>0</v>
      </c>
      <c r="AL18" s="7">
        <f t="shared" si="1"/>
        <v>0</v>
      </c>
    </row>
    <row r="20" spans="1:38">
      <c r="C20" s="7">
        <f>(R17-B17)/16</f>
        <v>-2.0838457834640257E-2</v>
      </c>
    </row>
    <row r="23" spans="1:38">
      <c r="B23" s="7" t="s">
        <v>76</v>
      </c>
    </row>
  </sheetData>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19"/>
  <sheetViews>
    <sheetView workbookViewId="0">
      <selection activeCell="I16" sqref="I16"/>
    </sheetView>
  </sheetViews>
  <sheetFormatPr defaultColWidth="8.7109375" defaultRowHeight="15"/>
  <cols>
    <col min="1" max="1" width="29.28515625" style="28" customWidth="1"/>
    <col min="2" max="2" width="8.7109375" style="28" customWidth="1"/>
    <col min="3" max="10" width="8.7109375" style="28"/>
    <col min="11" max="11" width="18.28515625" style="28" customWidth="1"/>
    <col min="12" max="16384" width="8.7109375" style="28"/>
  </cols>
  <sheetData>
    <row r="1" spans="1:12" ht="45">
      <c r="A1" s="27" t="s">
        <v>110</v>
      </c>
      <c r="B1" s="27" t="s">
        <v>111</v>
      </c>
      <c r="C1" s="27" t="s">
        <v>112</v>
      </c>
      <c r="D1" s="27" t="s">
        <v>113</v>
      </c>
      <c r="K1" s="29" t="s">
        <v>114</v>
      </c>
      <c r="L1" s="27">
        <v>2017</v>
      </c>
    </row>
    <row r="2" spans="1:12">
      <c r="A2" s="28" t="s">
        <v>115</v>
      </c>
      <c r="B2" s="28">
        <v>0</v>
      </c>
      <c r="C2" s="28" t="s">
        <v>116</v>
      </c>
      <c r="D2" s="34" t="s">
        <v>117</v>
      </c>
      <c r="K2" s="28" t="s">
        <v>115</v>
      </c>
      <c r="L2" s="30">
        <f>B2*1000</f>
        <v>0</v>
      </c>
    </row>
    <row r="3" spans="1:12">
      <c r="A3" s="28" t="s">
        <v>118</v>
      </c>
      <c r="B3" s="28">
        <v>0.2</v>
      </c>
      <c r="C3" s="28" t="s">
        <v>116</v>
      </c>
      <c r="D3" s="34" t="s">
        <v>119</v>
      </c>
      <c r="K3" s="28" t="s">
        <v>118</v>
      </c>
      <c r="L3" s="30">
        <f t="shared" ref="L3:L4" si="0">B3*1000</f>
        <v>200</v>
      </c>
    </row>
    <row r="4" spans="1:12">
      <c r="A4" s="28" t="s">
        <v>120</v>
      </c>
      <c r="B4" s="28">
        <v>0.32</v>
      </c>
      <c r="C4" s="28" t="s">
        <v>116</v>
      </c>
      <c r="D4" s="31" t="s">
        <v>121</v>
      </c>
      <c r="K4" s="28" t="s">
        <v>122</v>
      </c>
      <c r="L4" s="30">
        <f t="shared" si="0"/>
        <v>320</v>
      </c>
    </row>
    <row r="5" spans="1:12">
      <c r="A5" s="28" t="s">
        <v>123</v>
      </c>
      <c r="B5" s="28">
        <v>0.1</v>
      </c>
      <c r="C5" s="28" t="s">
        <v>116</v>
      </c>
      <c r="D5" s="31" t="s">
        <v>124</v>
      </c>
    </row>
    <row r="6" spans="1:12">
      <c r="A6" s="28" t="s">
        <v>122</v>
      </c>
      <c r="B6" s="28">
        <f>AVERAGE(B4:B5)</f>
        <v>0.21000000000000002</v>
      </c>
      <c r="C6" s="28" t="s">
        <v>116</v>
      </c>
    </row>
    <row r="7" spans="1:12">
      <c r="A7" s="28" t="s">
        <v>125</v>
      </c>
      <c r="B7" s="28">
        <v>8.0000000000000002E-3</v>
      </c>
      <c r="C7" s="28" t="s">
        <v>126</v>
      </c>
      <c r="D7" s="31" t="s">
        <v>127</v>
      </c>
    </row>
    <row r="8" spans="1:12">
      <c r="A8" s="28" t="s">
        <v>128</v>
      </c>
      <c r="B8" s="28">
        <v>6.4000000000000001E-2</v>
      </c>
      <c r="C8" s="28" t="s">
        <v>126</v>
      </c>
      <c r="D8" s="28" t="s">
        <v>129</v>
      </c>
    </row>
    <row r="9" spans="1:12">
      <c r="A9" s="28" t="s">
        <v>130</v>
      </c>
      <c r="B9" s="28">
        <f>AVERAGE(B7:B8)</f>
        <v>3.6000000000000004E-2</v>
      </c>
      <c r="C9" s="28" t="s">
        <v>126</v>
      </c>
      <c r="K9" s="34" t="s">
        <v>131</v>
      </c>
    </row>
    <row r="10" spans="1:12">
      <c r="A10" s="28" t="s">
        <v>132</v>
      </c>
      <c r="B10" s="28">
        <v>0.65</v>
      </c>
      <c r="C10" s="28" t="s">
        <v>133</v>
      </c>
      <c r="D10" s="34" t="s">
        <v>134</v>
      </c>
    </row>
    <row r="11" spans="1:12">
      <c r="D11" s="34" t="s">
        <v>135</v>
      </c>
    </row>
    <row r="12" spans="1:12">
      <c r="A12" s="28" t="s">
        <v>136</v>
      </c>
      <c r="B12" s="28">
        <v>0.25</v>
      </c>
      <c r="C12" s="28" t="s">
        <v>137</v>
      </c>
      <c r="D12" s="34" t="s">
        <v>138</v>
      </c>
    </row>
    <row r="13" spans="1:12">
      <c r="D13" s="28">
        <v>8.0000000000000002E-3</v>
      </c>
      <c r="E13" s="28" t="s">
        <v>133</v>
      </c>
    </row>
    <row r="14" spans="1:12">
      <c r="A14" s="27" t="s">
        <v>139</v>
      </c>
      <c r="B14" s="27">
        <v>2017</v>
      </c>
      <c r="C14" s="32"/>
    </row>
    <row r="15" spans="1:12">
      <c r="A15" s="28" t="s">
        <v>115</v>
      </c>
      <c r="B15" s="30">
        <v>0</v>
      </c>
    </row>
    <row r="16" spans="1:12">
      <c r="A16" s="28" t="s">
        <v>118</v>
      </c>
      <c r="B16" s="30">
        <v>29.076000000000001</v>
      </c>
      <c r="D16" s="35" t="s">
        <v>60</v>
      </c>
      <c r="E16" s="7"/>
      <c r="F16" s="7"/>
      <c r="G16" s="7"/>
      <c r="H16" s="7"/>
      <c r="I16" s="34" t="s">
        <v>61</v>
      </c>
      <c r="J16" s="7"/>
    </row>
    <row r="17" spans="1:21">
      <c r="A17" s="28" t="s">
        <v>122</v>
      </c>
      <c r="B17" s="30">
        <v>46.521600000000007</v>
      </c>
      <c r="K17" s="7"/>
      <c r="L17" s="7"/>
      <c r="M17" s="34" t="s">
        <v>119</v>
      </c>
      <c r="N17" s="7"/>
      <c r="O17" s="7"/>
      <c r="P17" s="7"/>
      <c r="Q17" s="7"/>
      <c r="R17" s="7"/>
      <c r="S17" s="7"/>
      <c r="T17" s="7"/>
      <c r="U17" s="7"/>
    </row>
    <row r="18" spans="1:21">
      <c r="A18" s="28" t="s">
        <v>140</v>
      </c>
      <c r="B18" s="33">
        <v>36.344999999999999</v>
      </c>
      <c r="K18" s="7">
        <v>0.2</v>
      </c>
      <c r="L18" s="7" t="s">
        <v>133</v>
      </c>
      <c r="M18" s="7"/>
      <c r="N18" s="7"/>
      <c r="O18" s="7"/>
      <c r="P18" s="7"/>
      <c r="Q18" s="7"/>
      <c r="R18" s="7"/>
      <c r="S18" s="7"/>
      <c r="T18" s="7"/>
      <c r="U18" s="7"/>
    </row>
    <row r="19" spans="1:21">
      <c r="K19" s="7"/>
      <c r="L19" s="7"/>
      <c r="M19" s="7"/>
      <c r="N19" s="7"/>
      <c r="O19" s="7"/>
      <c r="P19" s="7"/>
      <c r="Q19" s="7"/>
      <c r="R19" s="7"/>
      <c r="S19" s="7"/>
      <c r="T19" s="7"/>
      <c r="U19" s="7"/>
    </row>
    <row r="20" spans="1:21">
      <c r="K20" s="7"/>
      <c r="L20" s="7"/>
      <c r="M20" s="7"/>
      <c r="N20" s="7"/>
      <c r="O20" s="7"/>
      <c r="P20" s="7"/>
      <c r="Q20" s="7"/>
      <c r="R20" s="7"/>
      <c r="S20" s="7"/>
      <c r="T20" s="7"/>
      <c r="U20" s="7"/>
    </row>
    <row r="21" spans="1:21">
      <c r="K21" s="7"/>
      <c r="L21" s="7"/>
      <c r="M21" s="7"/>
      <c r="N21" s="7"/>
      <c r="O21" s="7"/>
      <c r="P21" s="7"/>
      <c r="Q21" s="7"/>
      <c r="R21" s="7"/>
      <c r="S21" s="7"/>
      <c r="T21" s="7"/>
      <c r="U21" s="7"/>
    </row>
    <row r="22" spans="1:21">
      <c r="K22" s="7"/>
      <c r="L22" s="7"/>
      <c r="M22" s="7"/>
      <c r="N22" s="7"/>
      <c r="O22" s="7"/>
      <c r="P22" s="7"/>
      <c r="Q22" s="7"/>
      <c r="R22" s="7"/>
      <c r="S22" s="7"/>
      <c r="T22" s="7"/>
      <c r="U22" s="7"/>
    </row>
    <row r="23" spans="1:21">
      <c r="K23" s="7"/>
      <c r="L23" s="7"/>
      <c r="M23" s="7"/>
      <c r="N23" s="7"/>
      <c r="O23" s="7"/>
      <c r="P23" s="7"/>
      <c r="Q23" s="7"/>
      <c r="R23" s="7"/>
      <c r="S23" s="7"/>
      <c r="T23" s="7"/>
      <c r="U23" s="7"/>
    </row>
    <row r="24" spans="1:21">
      <c r="K24" s="7"/>
      <c r="L24" s="7"/>
      <c r="M24" s="7"/>
      <c r="N24" s="7"/>
      <c r="O24" s="7"/>
      <c r="P24" s="7"/>
      <c r="Q24" s="7"/>
      <c r="R24" s="7"/>
      <c r="S24" s="7"/>
      <c r="T24" s="7"/>
      <c r="U24" s="7"/>
    </row>
    <row r="25" spans="1:21">
      <c r="K25" s="7"/>
      <c r="L25" s="7"/>
      <c r="M25" s="7"/>
      <c r="N25" s="7"/>
      <c r="O25" s="7"/>
      <c r="P25" s="7"/>
      <c r="Q25" s="7"/>
      <c r="R25" s="7"/>
      <c r="S25" s="7"/>
      <c r="T25" s="7"/>
      <c r="U25" s="7"/>
    </row>
    <row r="26" spans="1:21">
      <c r="K26" s="7"/>
      <c r="L26" s="7"/>
      <c r="M26" s="7"/>
      <c r="N26" s="7"/>
      <c r="O26" s="7"/>
      <c r="P26" s="7"/>
      <c r="Q26" s="7"/>
      <c r="R26" s="7"/>
      <c r="S26" s="7"/>
      <c r="T26" s="7"/>
      <c r="U26" s="7"/>
    </row>
    <row r="27" spans="1:21">
      <c r="K27" s="7"/>
      <c r="L27" s="7"/>
      <c r="M27" s="7"/>
      <c r="N27" s="7"/>
      <c r="O27" s="7"/>
      <c r="P27" s="7"/>
      <c r="Q27" s="7"/>
      <c r="R27" s="7"/>
      <c r="S27" s="7"/>
      <c r="T27" s="7"/>
      <c r="U27" s="7"/>
    </row>
    <row r="28" spans="1:21">
      <c r="K28" s="7"/>
      <c r="L28" s="7"/>
      <c r="M28" s="7"/>
      <c r="N28" s="7"/>
      <c r="O28" s="7"/>
      <c r="P28" s="7"/>
      <c r="Q28" s="7"/>
      <c r="R28" s="7"/>
      <c r="S28" s="7"/>
      <c r="T28" s="7"/>
      <c r="U28" s="7"/>
    </row>
    <row r="29" spans="1:21">
      <c r="K29" s="7"/>
      <c r="L29" s="7"/>
      <c r="M29" s="7"/>
      <c r="N29" s="7"/>
      <c r="O29" s="7"/>
      <c r="P29" s="7"/>
      <c r="Q29" s="7"/>
      <c r="R29" s="7"/>
      <c r="S29" s="7"/>
      <c r="T29" s="7"/>
      <c r="U29" s="7"/>
    </row>
    <row r="30" spans="1:21">
      <c r="K30" s="7"/>
      <c r="L30" s="7"/>
      <c r="M30" s="7"/>
      <c r="N30" s="7"/>
      <c r="O30" s="7"/>
      <c r="P30" s="7"/>
      <c r="Q30" s="7"/>
      <c r="R30" s="7"/>
      <c r="S30" s="7"/>
      <c r="T30" s="7"/>
      <c r="U30" s="7"/>
    </row>
    <row r="31" spans="1:21">
      <c r="K31" s="7"/>
      <c r="L31" s="7"/>
      <c r="M31" s="7"/>
      <c r="N31" s="7"/>
      <c r="O31" s="7"/>
      <c r="P31" s="7"/>
      <c r="Q31" s="7"/>
      <c r="R31" s="7"/>
      <c r="S31" s="7"/>
      <c r="T31" s="7"/>
      <c r="U31" s="7"/>
    </row>
    <row r="32" spans="1:21">
      <c r="K32" s="7"/>
      <c r="L32" s="7"/>
      <c r="M32" s="7"/>
      <c r="N32" s="7"/>
      <c r="O32" s="7"/>
      <c r="P32" s="7"/>
      <c r="Q32" s="7"/>
      <c r="R32" s="7"/>
      <c r="S32" s="7"/>
      <c r="T32" s="7"/>
      <c r="U32" s="7"/>
    </row>
    <row r="33" spans="11:21">
      <c r="K33" s="7"/>
      <c r="L33" s="7"/>
      <c r="M33" s="7"/>
      <c r="N33" s="7"/>
      <c r="O33" s="7"/>
      <c r="P33" s="7"/>
      <c r="Q33" s="7"/>
      <c r="R33" s="7"/>
      <c r="S33" s="7"/>
      <c r="T33" s="7"/>
      <c r="U33" s="7"/>
    </row>
    <row r="34" spans="11:21">
      <c r="K34" s="7"/>
      <c r="L34" s="7"/>
      <c r="M34" s="7"/>
      <c r="N34" s="7"/>
      <c r="O34" s="7"/>
      <c r="P34" s="7"/>
      <c r="Q34" s="7"/>
      <c r="R34" s="7"/>
      <c r="S34" s="7"/>
      <c r="T34" s="7"/>
      <c r="U34" s="7"/>
    </row>
    <row r="35" spans="11:21">
      <c r="K35" s="7"/>
      <c r="L35" s="7"/>
      <c r="M35" s="7"/>
      <c r="N35" s="7"/>
      <c r="O35" s="7"/>
      <c r="P35" s="7"/>
      <c r="Q35" s="7"/>
      <c r="R35" s="7"/>
      <c r="S35" s="7"/>
      <c r="T35" s="7"/>
      <c r="U35" s="7"/>
    </row>
    <row r="36" spans="11:21">
      <c r="K36" s="7"/>
      <c r="L36" s="7"/>
      <c r="M36" s="7"/>
      <c r="N36" s="7"/>
      <c r="O36" s="7"/>
      <c r="P36" s="7"/>
      <c r="Q36" s="7"/>
      <c r="R36" s="7"/>
      <c r="S36" s="7"/>
      <c r="T36" s="7"/>
      <c r="U36" s="7"/>
    </row>
    <row r="37" spans="11:21">
      <c r="K37" s="7"/>
      <c r="L37" s="7"/>
      <c r="M37" s="7"/>
      <c r="N37" s="7"/>
      <c r="O37" s="7"/>
      <c r="P37" s="7"/>
      <c r="Q37" s="7"/>
      <c r="R37" s="7"/>
      <c r="S37" s="7"/>
      <c r="T37" s="7"/>
      <c r="U37" s="7"/>
    </row>
    <row r="38" spans="11:21">
      <c r="K38" s="7"/>
      <c r="L38" s="7"/>
      <c r="M38" s="7"/>
      <c r="N38" s="7"/>
      <c r="O38" s="7"/>
      <c r="P38" s="7"/>
      <c r="Q38" s="7"/>
      <c r="R38" s="7"/>
      <c r="S38" s="7"/>
      <c r="T38" s="7"/>
      <c r="U38" s="7"/>
    </row>
    <row r="39" spans="11:21">
      <c r="K39" s="7"/>
      <c r="L39" s="7"/>
      <c r="M39" s="7"/>
      <c r="N39" s="7"/>
      <c r="O39" s="7"/>
      <c r="P39" s="7"/>
      <c r="Q39" s="7"/>
      <c r="R39" s="7"/>
      <c r="S39" s="7"/>
      <c r="T39" s="7"/>
      <c r="U39" s="7"/>
    </row>
    <row r="40" spans="11:21">
      <c r="K40" s="7"/>
      <c r="L40" s="7"/>
      <c r="M40" s="7"/>
      <c r="N40" s="7"/>
      <c r="O40" s="7"/>
      <c r="P40" s="7"/>
      <c r="Q40" s="7"/>
      <c r="R40" s="7"/>
      <c r="S40" s="7"/>
      <c r="T40" s="7"/>
      <c r="U40" s="7"/>
    </row>
    <row r="41" spans="11:21">
      <c r="K41" s="7"/>
      <c r="L41" s="7"/>
      <c r="M41" s="7"/>
      <c r="N41" s="7"/>
      <c r="O41" s="7"/>
      <c r="P41" s="7"/>
      <c r="Q41" s="7"/>
      <c r="R41" s="7"/>
      <c r="S41" s="7"/>
      <c r="T41" s="7"/>
      <c r="U41" s="7"/>
    </row>
    <row r="42" spans="11:21">
      <c r="K42" s="7"/>
      <c r="L42" s="7"/>
      <c r="M42" s="7"/>
      <c r="N42" s="7"/>
      <c r="O42" s="7"/>
      <c r="P42" s="7"/>
      <c r="Q42" s="7"/>
      <c r="R42" s="7"/>
      <c r="S42" s="7"/>
      <c r="T42" s="7"/>
      <c r="U42" s="7"/>
    </row>
    <row r="43" spans="11:21">
      <c r="K43" s="7"/>
      <c r="L43" s="7"/>
      <c r="M43" s="7"/>
      <c r="N43" s="7"/>
      <c r="O43" s="7"/>
      <c r="P43" s="7"/>
      <c r="Q43" s="7"/>
      <c r="R43" s="7"/>
      <c r="S43" s="7"/>
      <c r="T43" s="7"/>
      <c r="U43" s="7"/>
    </row>
    <row r="44" spans="11:21">
      <c r="K44" s="7"/>
      <c r="L44" s="7"/>
      <c r="M44" s="7"/>
      <c r="N44" s="7"/>
      <c r="O44" s="7"/>
      <c r="P44" s="7"/>
      <c r="Q44" s="7"/>
      <c r="R44" s="7"/>
      <c r="S44" s="7"/>
      <c r="T44" s="7"/>
      <c r="U44" s="7"/>
    </row>
    <row r="45" spans="11:21">
      <c r="K45" s="7"/>
      <c r="L45" s="7"/>
      <c r="M45" s="7"/>
      <c r="N45" s="7"/>
      <c r="O45" s="7"/>
      <c r="P45" s="7"/>
      <c r="Q45" s="7"/>
      <c r="R45" s="7"/>
      <c r="S45" s="7"/>
      <c r="T45" s="7"/>
      <c r="U45" s="7"/>
    </row>
    <row r="46" spans="11:21">
      <c r="K46" s="7"/>
      <c r="L46" s="7"/>
      <c r="M46" s="7"/>
      <c r="N46" s="7"/>
      <c r="O46" s="7"/>
      <c r="P46" s="7"/>
      <c r="Q46" s="7"/>
      <c r="R46" s="7"/>
      <c r="S46" s="7"/>
      <c r="T46" s="7"/>
      <c r="U46" s="7"/>
    </row>
    <row r="47" spans="11:21">
      <c r="K47" s="7"/>
      <c r="L47" s="7"/>
      <c r="M47" s="7"/>
      <c r="N47" s="7"/>
      <c r="O47" s="7"/>
      <c r="P47" s="7"/>
      <c r="Q47" s="7"/>
      <c r="R47" s="7"/>
      <c r="S47" s="7"/>
      <c r="T47" s="7"/>
      <c r="U47" s="7"/>
    </row>
    <row r="48" spans="11:21">
      <c r="K48" s="7"/>
      <c r="L48" s="7"/>
      <c r="M48" s="7"/>
      <c r="N48" s="7"/>
      <c r="O48" s="7"/>
      <c r="P48" s="7"/>
      <c r="Q48" s="7"/>
      <c r="R48" s="7"/>
      <c r="S48" s="7"/>
      <c r="T48" s="7"/>
      <c r="U48" s="7"/>
    </row>
    <row r="49" spans="11:21">
      <c r="K49" s="7"/>
      <c r="L49" s="7"/>
      <c r="M49" s="7"/>
      <c r="N49" s="7"/>
      <c r="O49" s="7"/>
      <c r="P49" s="7"/>
      <c r="Q49" s="7"/>
      <c r="R49" s="7"/>
      <c r="S49" s="7"/>
      <c r="T49" s="7"/>
      <c r="U49" s="7"/>
    </row>
    <row r="50" spans="11:21">
      <c r="K50" s="7"/>
      <c r="L50" s="7"/>
      <c r="M50" s="7"/>
      <c r="N50" s="7"/>
      <c r="O50" s="7"/>
      <c r="P50" s="7"/>
      <c r="Q50" s="7"/>
      <c r="R50" s="7"/>
      <c r="S50" s="7"/>
      <c r="T50" s="7"/>
      <c r="U50" s="7"/>
    </row>
    <row r="51" spans="11:21">
      <c r="K51" s="7"/>
      <c r="L51" s="7"/>
      <c r="M51" s="7"/>
      <c r="N51" s="7"/>
      <c r="O51" s="7"/>
      <c r="P51" s="7"/>
      <c r="Q51" s="7"/>
      <c r="R51" s="7"/>
      <c r="S51" s="7"/>
      <c r="T51" s="7"/>
      <c r="U51" s="7"/>
    </row>
    <row r="52" spans="11:21">
      <c r="K52" s="7"/>
      <c r="L52" s="7"/>
      <c r="M52" s="7"/>
      <c r="N52" s="7"/>
      <c r="O52" s="7"/>
      <c r="P52" s="7"/>
      <c r="Q52" s="7"/>
      <c r="R52" s="7"/>
      <c r="S52" s="7"/>
      <c r="T52" s="7"/>
      <c r="U52" s="7"/>
    </row>
    <row r="53" spans="11:21">
      <c r="K53" s="7"/>
      <c r="L53" s="7"/>
      <c r="M53" s="7"/>
      <c r="N53" s="7"/>
      <c r="O53" s="7"/>
      <c r="P53" s="7"/>
      <c r="Q53" s="7"/>
      <c r="R53" s="7"/>
      <c r="S53" s="7"/>
      <c r="T53" s="7"/>
      <c r="U53" s="7"/>
    </row>
    <row r="54" spans="11:21">
      <c r="K54" s="7"/>
      <c r="L54" s="7"/>
      <c r="M54" s="7"/>
      <c r="N54" s="7"/>
      <c r="O54" s="7"/>
      <c r="P54" s="7"/>
      <c r="Q54" s="7"/>
      <c r="R54" s="7"/>
      <c r="S54" s="7"/>
      <c r="T54" s="7"/>
      <c r="U54" s="7"/>
    </row>
    <row r="55" spans="11:21">
      <c r="K55" s="7"/>
      <c r="L55" s="7"/>
      <c r="M55" s="7"/>
      <c r="N55" s="7"/>
      <c r="O55" s="7"/>
      <c r="P55" s="7"/>
      <c r="Q55" s="7"/>
      <c r="R55" s="7"/>
      <c r="S55" s="7"/>
      <c r="T55" s="7"/>
      <c r="U55" s="7"/>
    </row>
    <row r="56" spans="11:21">
      <c r="K56" s="7"/>
      <c r="L56" s="7"/>
      <c r="M56" s="7"/>
      <c r="N56" s="7"/>
      <c r="O56" s="7"/>
      <c r="P56" s="7"/>
      <c r="Q56" s="7"/>
      <c r="R56" s="7"/>
      <c r="S56" s="7"/>
      <c r="T56" s="7"/>
      <c r="U56" s="7"/>
    </row>
    <row r="57" spans="11:21">
      <c r="K57" s="7"/>
      <c r="L57" s="7"/>
      <c r="M57" s="7"/>
      <c r="N57" s="7"/>
      <c r="O57" s="7"/>
      <c r="P57" s="7"/>
      <c r="Q57" s="7"/>
      <c r="R57" s="7"/>
      <c r="S57" s="7"/>
      <c r="T57" s="7"/>
      <c r="U57" s="7"/>
    </row>
    <row r="58" spans="11:21">
      <c r="K58" s="7"/>
      <c r="L58" s="7"/>
      <c r="M58" s="7"/>
      <c r="N58" s="7"/>
      <c r="O58" s="7"/>
      <c r="P58" s="7"/>
      <c r="Q58" s="7"/>
      <c r="R58" s="7"/>
      <c r="S58" s="7"/>
      <c r="T58" s="7"/>
      <c r="U58" s="7"/>
    </row>
    <row r="59" spans="11:21">
      <c r="K59" s="7"/>
      <c r="L59" s="7"/>
      <c r="M59" s="7"/>
      <c r="N59" s="7"/>
      <c r="O59" s="7"/>
      <c r="P59" s="7"/>
      <c r="Q59" s="7"/>
      <c r="R59" s="7"/>
      <c r="S59" s="7"/>
      <c r="T59" s="7"/>
      <c r="U59" s="7"/>
    </row>
    <row r="60" spans="11:21">
      <c r="K60" s="7"/>
      <c r="L60" s="7"/>
      <c r="M60" s="7"/>
      <c r="N60" s="7"/>
      <c r="O60" s="7"/>
      <c r="P60" s="7"/>
      <c r="Q60" s="7"/>
      <c r="R60" s="7"/>
      <c r="S60" s="7"/>
      <c r="T60" s="7"/>
      <c r="U60" s="7"/>
    </row>
    <row r="61" spans="11:21">
      <c r="K61" s="7"/>
      <c r="L61" s="7"/>
      <c r="M61" s="7"/>
      <c r="N61" s="7"/>
      <c r="O61" s="7"/>
      <c r="P61" s="7"/>
      <c r="Q61" s="7"/>
      <c r="R61" s="7"/>
      <c r="S61" s="7"/>
      <c r="T61" s="7"/>
      <c r="U61" s="7"/>
    </row>
    <row r="62" spans="11:21">
      <c r="K62" s="7"/>
      <c r="L62" s="7"/>
      <c r="M62" s="7"/>
      <c r="N62" s="7"/>
      <c r="O62" s="7"/>
      <c r="P62" s="7"/>
      <c r="Q62" s="7"/>
      <c r="R62" s="7"/>
      <c r="S62" s="7"/>
      <c r="T62" s="7"/>
      <c r="U62" s="7"/>
    </row>
    <row r="63" spans="11:21">
      <c r="K63" s="7"/>
      <c r="L63" s="7"/>
      <c r="M63" s="7"/>
      <c r="N63" s="7"/>
      <c r="O63" s="7"/>
      <c r="P63" s="7"/>
      <c r="Q63" s="7"/>
      <c r="R63" s="7"/>
      <c r="S63" s="7"/>
      <c r="T63" s="7"/>
      <c r="U63" s="7"/>
    </row>
    <row r="64" spans="11:21">
      <c r="K64" s="7"/>
      <c r="L64" s="7"/>
      <c r="M64" s="7"/>
      <c r="N64" s="7"/>
      <c r="O64" s="7"/>
      <c r="P64" s="7"/>
      <c r="Q64" s="7"/>
      <c r="R64" s="7"/>
      <c r="S64" s="7"/>
      <c r="T64" s="7"/>
      <c r="U64" s="7"/>
    </row>
    <row r="65" spans="11:21">
      <c r="K65" s="7"/>
      <c r="L65" s="7"/>
      <c r="M65" s="7"/>
      <c r="N65" s="7"/>
      <c r="O65" s="7"/>
      <c r="P65" s="7"/>
      <c r="Q65" s="7"/>
      <c r="R65" s="7"/>
      <c r="S65" s="7"/>
      <c r="T65" s="7"/>
      <c r="U65" s="7"/>
    </row>
    <row r="66" spans="11:21">
      <c r="K66" s="7"/>
      <c r="L66" s="7"/>
      <c r="M66" s="7"/>
      <c r="N66" s="7"/>
      <c r="O66" s="7"/>
      <c r="P66" s="7"/>
      <c r="Q66" s="7"/>
      <c r="R66" s="7"/>
      <c r="S66" s="7"/>
      <c r="T66" s="7"/>
      <c r="U66" s="7"/>
    </row>
    <row r="67" spans="11:21">
      <c r="K67" s="7"/>
      <c r="L67" s="7"/>
      <c r="M67" s="7"/>
      <c r="N67" s="7"/>
      <c r="O67" s="7"/>
      <c r="P67" s="7"/>
      <c r="Q67" s="7"/>
      <c r="R67" s="7"/>
      <c r="S67" s="7"/>
      <c r="T67" s="7"/>
      <c r="U67" s="7"/>
    </row>
    <row r="68" spans="11:21">
      <c r="K68" s="7"/>
      <c r="L68" s="7"/>
      <c r="M68" s="7"/>
      <c r="N68" s="7"/>
      <c r="O68" s="7"/>
      <c r="P68" s="7"/>
      <c r="Q68" s="7"/>
      <c r="R68" s="7"/>
      <c r="S68" s="7"/>
      <c r="T68" s="7"/>
      <c r="U68" s="7"/>
    </row>
    <row r="69" spans="11:21">
      <c r="K69" s="7"/>
      <c r="L69" s="7"/>
      <c r="M69" s="7"/>
      <c r="N69" s="7"/>
      <c r="O69" s="7"/>
      <c r="P69" s="7"/>
      <c r="Q69" s="7"/>
      <c r="R69" s="7"/>
      <c r="S69" s="7"/>
      <c r="T69" s="7"/>
      <c r="U69" s="7"/>
    </row>
    <row r="70" spans="11:21">
      <c r="K70" s="7"/>
      <c r="L70" s="7"/>
      <c r="M70" s="7"/>
      <c r="N70" s="7"/>
      <c r="O70" s="7"/>
      <c r="P70" s="7"/>
      <c r="Q70" s="7"/>
      <c r="R70" s="7"/>
      <c r="S70" s="7"/>
      <c r="T70" s="7"/>
      <c r="U70" s="7"/>
    </row>
    <row r="71" spans="11:21">
      <c r="K71" s="7"/>
      <c r="L71" s="7"/>
      <c r="M71" s="7"/>
      <c r="N71" s="7"/>
      <c r="O71" s="7"/>
      <c r="P71" s="7"/>
      <c r="Q71" s="7"/>
      <c r="R71" s="7"/>
      <c r="S71" s="7"/>
      <c r="T71" s="7"/>
      <c r="U71" s="7"/>
    </row>
    <row r="72" spans="11:21">
      <c r="K72" s="7"/>
      <c r="L72" s="7"/>
      <c r="M72" s="7"/>
      <c r="N72" s="7"/>
      <c r="O72" s="7"/>
      <c r="P72" s="7"/>
      <c r="Q72" s="7"/>
      <c r="R72" s="7"/>
      <c r="S72" s="7"/>
      <c r="T72" s="7"/>
      <c r="U72" s="7"/>
    </row>
    <row r="73" spans="11:21">
      <c r="K73" s="7"/>
      <c r="L73" s="7"/>
      <c r="M73" s="7"/>
      <c r="N73" s="7"/>
      <c r="O73" s="7"/>
      <c r="P73" s="7"/>
      <c r="Q73" s="7"/>
      <c r="R73" s="7"/>
      <c r="S73" s="7"/>
      <c r="T73" s="7"/>
      <c r="U73" s="7"/>
    </row>
    <row r="74" spans="11:21">
      <c r="K74" s="7"/>
      <c r="L74" s="7"/>
      <c r="M74" s="7"/>
      <c r="N74" s="7"/>
      <c r="O74" s="7"/>
      <c r="P74" s="7"/>
      <c r="Q74" s="7"/>
      <c r="R74" s="7"/>
      <c r="S74" s="7"/>
      <c r="T74" s="7"/>
      <c r="U74" s="7"/>
    </row>
    <row r="75" spans="11:21">
      <c r="K75" s="7"/>
      <c r="L75" s="7"/>
      <c r="M75" s="7"/>
      <c r="N75" s="7"/>
      <c r="O75" s="7"/>
      <c r="P75" s="7"/>
      <c r="Q75" s="7"/>
      <c r="R75" s="7"/>
      <c r="S75" s="7"/>
      <c r="T75" s="7"/>
      <c r="U75" s="7"/>
    </row>
    <row r="76" spans="11:21">
      <c r="K76" s="7"/>
      <c r="L76" s="7"/>
      <c r="M76" s="7"/>
      <c r="N76" s="7"/>
      <c r="O76" s="7"/>
      <c r="P76" s="7"/>
      <c r="Q76" s="7"/>
      <c r="R76" s="7"/>
      <c r="S76" s="7"/>
      <c r="T76" s="7"/>
      <c r="U76" s="7"/>
    </row>
    <row r="77" spans="11:21">
      <c r="K77" s="7"/>
      <c r="L77" s="7"/>
      <c r="M77" s="7"/>
      <c r="N77" s="7"/>
      <c r="O77" s="7"/>
      <c r="P77" s="7"/>
      <c r="Q77" s="7"/>
      <c r="R77" s="7"/>
      <c r="S77" s="7"/>
      <c r="T77" s="7"/>
      <c r="U77" s="7"/>
    </row>
    <row r="78" spans="11:21">
      <c r="K78" s="7"/>
      <c r="L78" s="7"/>
      <c r="M78" s="7"/>
      <c r="N78" s="7"/>
      <c r="O78" s="7"/>
      <c r="P78" s="7"/>
      <c r="Q78" s="7"/>
      <c r="R78" s="7"/>
      <c r="S78" s="7"/>
      <c r="T78" s="7"/>
      <c r="U78" s="7"/>
    </row>
    <row r="79" spans="11:21">
      <c r="K79" s="7"/>
      <c r="L79" s="7"/>
      <c r="M79" s="7"/>
      <c r="N79" s="7"/>
      <c r="O79" s="7"/>
      <c r="P79" s="7"/>
      <c r="Q79" s="7"/>
      <c r="R79" s="7"/>
      <c r="S79" s="7"/>
      <c r="T79" s="7"/>
      <c r="U79" s="7"/>
    </row>
    <row r="80" spans="11:21">
      <c r="K80" s="7"/>
      <c r="L80" s="7"/>
      <c r="M80" s="7"/>
      <c r="N80" s="7"/>
      <c r="O80" s="7"/>
      <c r="P80" s="7"/>
      <c r="Q80" s="7"/>
      <c r="R80" s="7"/>
      <c r="S80" s="7"/>
      <c r="T80" s="7"/>
      <c r="U80" s="7"/>
    </row>
    <row r="81" spans="11:21">
      <c r="K81" s="7"/>
      <c r="L81" s="7"/>
      <c r="M81" s="7"/>
      <c r="N81" s="7"/>
      <c r="O81" s="7"/>
      <c r="P81" s="7"/>
      <c r="Q81" s="7"/>
      <c r="R81" s="7"/>
      <c r="S81" s="7"/>
      <c r="T81" s="7"/>
      <c r="U81" s="7"/>
    </row>
    <row r="82" spans="11:21">
      <c r="K82" s="7"/>
      <c r="L82" s="7"/>
      <c r="M82" s="7"/>
      <c r="N82" s="7"/>
      <c r="O82" s="7"/>
      <c r="P82" s="7"/>
      <c r="Q82" s="7"/>
      <c r="R82" s="7"/>
      <c r="S82" s="7"/>
      <c r="T82" s="7"/>
      <c r="U82" s="7"/>
    </row>
    <row r="83" spans="11:21">
      <c r="K83" s="7"/>
      <c r="L83" s="7"/>
      <c r="M83" s="7"/>
      <c r="N83" s="7"/>
      <c r="O83" s="7"/>
      <c r="P83" s="7"/>
      <c r="Q83" s="7"/>
      <c r="R83" s="7"/>
      <c r="S83" s="7"/>
      <c r="T83" s="7"/>
      <c r="U83" s="7"/>
    </row>
    <row r="84" spans="11:21">
      <c r="K84" s="7"/>
      <c r="L84" s="7"/>
      <c r="M84" s="7"/>
      <c r="N84" s="7"/>
      <c r="O84" s="7"/>
      <c r="P84" s="7"/>
      <c r="Q84" s="7"/>
      <c r="R84" s="7"/>
      <c r="S84" s="7"/>
      <c r="T84" s="7"/>
      <c r="U84" s="7"/>
    </row>
    <row r="85" spans="11:21">
      <c r="K85" s="7"/>
      <c r="L85" s="7"/>
      <c r="M85" s="7"/>
      <c r="N85" s="7"/>
      <c r="O85" s="7"/>
      <c r="P85" s="7"/>
      <c r="Q85" s="7"/>
      <c r="R85" s="7"/>
      <c r="S85" s="7"/>
      <c r="T85" s="7"/>
      <c r="U85" s="7"/>
    </row>
    <row r="86" spans="11:21">
      <c r="K86" s="7"/>
      <c r="L86" s="7"/>
      <c r="M86" s="7"/>
      <c r="N86" s="7"/>
      <c r="O86" s="7"/>
      <c r="P86" s="7"/>
      <c r="Q86" s="7"/>
      <c r="R86" s="7"/>
      <c r="S86" s="7"/>
      <c r="T86" s="7"/>
      <c r="U86" s="7"/>
    </row>
    <row r="87" spans="11:21">
      <c r="K87" s="7"/>
      <c r="L87" s="7"/>
      <c r="M87" s="7"/>
      <c r="N87" s="7"/>
      <c r="O87" s="7"/>
      <c r="P87" s="7"/>
      <c r="Q87" s="7"/>
      <c r="R87" s="7"/>
      <c r="S87" s="7"/>
      <c r="T87" s="7"/>
      <c r="U87" s="7"/>
    </row>
    <row r="88" spans="11:21">
      <c r="K88" s="7"/>
      <c r="L88" s="7"/>
      <c r="M88" s="7"/>
      <c r="N88" s="7"/>
      <c r="O88" s="7"/>
      <c r="P88" s="7"/>
      <c r="Q88" s="7"/>
      <c r="R88" s="7"/>
      <c r="S88" s="7"/>
      <c r="T88" s="7"/>
      <c r="U88" s="7"/>
    </row>
    <row r="89" spans="11:21">
      <c r="K89" s="7"/>
      <c r="L89" s="7"/>
      <c r="M89" s="7"/>
      <c r="N89" s="7"/>
      <c r="O89" s="7"/>
      <c r="P89" s="7"/>
      <c r="Q89" s="7"/>
      <c r="R89" s="7"/>
      <c r="S89" s="7"/>
      <c r="T89" s="7"/>
      <c r="U89" s="7"/>
    </row>
    <row r="90" spans="11:21">
      <c r="K90" s="7"/>
      <c r="L90" s="7"/>
      <c r="M90" s="7"/>
      <c r="N90" s="7"/>
      <c r="O90" s="7"/>
      <c r="P90" s="7"/>
      <c r="Q90" s="7"/>
      <c r="R90" s="7"/>
      <c r="S90" s="7"/>
      <c r="T90" s="7"/>
      <c r="U90" s="7"/>
    </row>
    <row r="91" spans="11:21">
      <c r="K91" s="7"/>
      <c r="L91" s="7"/>
      <c r="M91" s="7"/>
      <c r="N91" s="7"/>
      <c r="O91" s="7"/>
      <c r="P91" s="7"/>
      <c r="Q91" s="7"/>
      <c r="R91" s="7"/>
      <c r="S91" s="7"/>
      <c r="T91" s="7"/>
      <c r="U91" s="7"/>
    </row>
    <row r="92" spans="11:21">
      <c r="K92" s="7"/>
      <c r="L92" s="7"/>
      <c r="M92" s="7"/>
      <c r="N92" s="7"/>
      <c r="O92" s="7"/>
      <c r="P92" s="7"/>
      <c r="Q92" s="7"/>
      <c r="R92" s="7"/>
      <c r="S92" s="7"/>
      <c r="T92" s="7"/>
      <c r="U92" s="7"/>
    </row>
    <row r="93" spans="11:21">
      <c r="K93" s="7"/>
      <c r="L93" s="7"/>
      <c r="M93" s="7"/>
      <c r="N93" s="7"/>
      <c r="O93" s="7"/>
      <c r="P93" s="7"/>
      <c r="Q93" s="7"/>
      <c r="R93" s="7"/>
      <c r="S93" s="7"/>
      <c r="T93" s="7"/>
      <c r="U93" s="7"/>
    </row>
    <row r="94" spans="11:21">
      <c r="K94" s="7"/>
      <c r="L94" s="7"/>
      <c r="M94" s="7"/>
      <c r="N94" s="7"/>
      <c r="O94" s="7"/>
      <c r="P94" s="7"/>
      <c r="Q94" s="7"/>
      <c r="R94" s="7"/>
      <c r="S94" s="7"/>
      <c r="T94" s="7"/>
      <c r="U94" s="7"/>
    </row>
    <row r="95" spans="11:21">
      <c r="K95" s="7"/>
      <c r="L95" s="7"/>
      <c r="M95" s="7"/>
      <c r="N95" s="7"/>
      <c r="O95" s="7"/>
      <c r="P95" s="7"/>
      <c r="Q95" s="7"/>
      <c r="R95" s="7"/>
      <c r="S95" s="7"/>
      <c r="T95" s="7"/>
      <c r="U95" s="7"/>
    </row>
    <row r="96" spans="11:21">
      <c r="K96" s="7"/>
      <c r="L96" s="7"/>
      <c r="M96" s="7"/>
      <c r="N96" s="7"/>
      <c r="O96" s="7"/>
      <c r="P96" s="7"/>
      <c r="Q96" s="7"/>
      <c r="R96" s="7"/>
      <c r="S96" s="7"/>
      <c r="T96" s="7"/>
      <c r="U96" s="7"/>
    </row>
    <row r="97" spans="11:21">
      <c r="K97" s="7"/>
      <c r="L97" s="7"/>
      <c r="M97" s="7"/>
      <c r="N97" s="7"/>
      <c r="O97" s="7"/>
      <c r="P97" s="7"/>
      <c r="Q97" s="7"/>
      <c r="R97" s="7"/>
      <c r="S97" s="7"/>
      <c r="T97" s="7"/>
      <c r="U97" s="7"/>
    </row>
    <row r="98" spans="11:21">
      <c r="K98" s="7"/>
      <c r="L98" s="7"/>
      <c r="M98" s="7"/>
      <c r="N98" s="7"/>
      <c r="O98" s="7"/>
      <c r="P98" s="7"/>
      <c r="Q98" s="7"/>
      <c r="R98" s="7"/>
      <c r="S98" s="7"/>
      <c r="T98" s="7"/>
      <c r="U98" s="7"/>
    </row>
    <row r="99" spans="11:21">
      <c r="K99" s="7"/>
      <c r="L99" s="7"/>
      <c r="M99" s="7"/>
      <c r="N99" s="7"/>
      <c r="O99" s="7"/>
      <c r="P99" s="7"/>
      <c r="Q99" s="7"/>
      <c r="R99" s="7"/>
      <c r="S99" s="7"/>
      <c r="T99" s="7"/>
      <c r="U99" s="7"/>
    </row>
    <row r="100" spans="11:21">
      <c r="K100" s="7"/>
      <c r="L100" s="7"/>
      <c r="M100" s="7"/>
      <c r="N100" s="7"/>
      <c r="O100" s="7"/>
      <c r="P100" s="7"/>
      <c r="Q100" s="7"/>
      <c r="R100" s="7"/>
      <c r="S100" s="7"/>
      <c r="T100" s="7"/>
      <c r="U100" s="7"/>
    </row>
    <row r="101" spans="11:21">
      <c r="K101" s="7"/>
      <c r="L101" s="7"/>
      <c r="M101" s="7"/>
      <c r="N101" s="7"/>
      <c r="O101" s="7"/>
      <c r="P101" s="7"/>
      <c r="Q101" s="7"/>
      <c r="R101" s="7"/>
      <c r="S101" s="7"/>
      <c r="T101" s="7"/>
      <c r="U101" s="7"/>
    </row>
    <row r="102" spans="11:21">
      <c r="K102" s="7"/>
      <c r="L102" s="7"/>
      <c r="M102" s="7"/>
      <c r="N102" s="7"/>
      <c r="O102" s="7"/>
      <c r="P102" s="7"/>
      <c r="Q102" s="7"/>
      <c r="R102" s="7"/>
      <c r="S102" s="7"/>
      <c r="T102" s="7"/>
      <c r="U102" s="7"/>
    </row>
    <row r="103" spans="11:21">
      <c r="K103" s="7"/>
      <c r="L103" s="7"/>
      <c r="M103" s="7"/>
      <c r="N103" s="7"/>
      <c r="O103" s="7"/>
      <c r="P103" s="7"/>
      <c r="Q103" s="7"/>
      <c r="R103" s="7"/>
      <c r="S103" s="7"/>
      <c r="T103" s="7"/>
      <c r="U103" s="7"/>
    </row>
    <row r="104" spans="11:21">
      <c r="K104" s="7"/>
      <c r="L104" s="7"/>
      <c r="M104" s="7"/>
      <c r="N104" s="7"/>
      <c r="O104" s="7"/>
      <c r="P104" s="7"/>
      <c r="Q104" s="7"/>
      <c r="R104" s="7"/>
      <c r="S104" s="7"/>
      <c r="T104" s="7"/>
      <c r="U104" s="7"/>
    </row>
    <row r="105" spans="11:21">
      <c r="K105" s="7"/>
      <c r="L105" s="7"/>
      <c r="M105" s="7"/>
      <c r="N105" s="7"/>
      <c r="O105" s="7"/>
      <c r="P105" s="7"/>
      <c r="Q105" s="7"/>
      <c r="R105" s="7"/>
      <c r="S105" s="7"/>
      <c r="T105" s="7"/>
      <c r="U105" s="7"/>
    </row>
    <row r="106" spans="11:21">
      <c r="K106" s="7"/>
      <c r="L106" s="7"/>
      <c r="M106" s="7"/>
      <c r="N106" s="7"/>
      <c r="O106" s="7"/>
      <c r="P106" s="7"/>
      <c r="Q106" s="7"/>
      <c r="R106" s="7"/>
      <c r="S106" s="7"/>
      <c r="T106" s="7"/>
      <c r="U106" s="7"/>
    </row>
    <row r="107" spans="11:21">
      <c r="K107" s="7"/>
      <c r="L107" s="7"/>
      <c r="M107" s="7"/>
      <c r="N107" s="7"/>
      <c r="O107" s="7"/>
      <c r="P107" s="7"/>
      <c r="Q107" s="7"/>
      <c r="R107" s="7"/>
      <c r="S107" s="7"/>
      <c r="T107" s="7"/>
      <c r="U107" s="7"/>
    </row>
    <row r="108" spans="11:21">
      <c r="K108" s="7"/>
      <c r="L108" s="7"/>
      <c r="M108" s="7"/>
      <c r="N108" s="7"/>
      <c r="O108" s="7"/>
      <c r="P108" s="7"/>
      <c r="Q108" s="7"/>
      <c r="R108" s="7"/>
      <c r="S108" s="7"/>
      <c r="T108" s="7"/>
      <c r="U108" s="7"/>
    </row>
    <row r="109" spans="11:21">
      <c r="K109" s="7"/>
      <c r="L109" s="7"/>
      <c r="M109" s="7"/>
      <c r="N109" s="7"/>
      <c r="O109" s="7"/>
      <c r="P109" s="7"/>
      <c r="Q109" s="7"/>
      <c r="R109" s="7"/>
      <c r="S109" s="7"/>
      <c r="T109" s="7"/>
      <c r="U109" s="7"/>
    </row>
    <row r="110" spans="11:21">
      <c r="K110" s="7"/>
      <c r="L110" s="7"/>
      <c r="M110" s="7"/>
      <c r="N110" s="7"/>
      <c r="O110" s="7"/>
      <c r="P110" s="7"/>
      <c r="Q110" s="7"/>
      <c r="R110" s="7"/>
      <c r="S110" s="7"/>
      <c r="T110" s="7"/>
      <c r="U110" s="7"/>
    </row>
    <row r="111" spans="11:21">
      <c r="K111" s="7"/>
      <c r="L111" s="7"/>
      <c r="M111" s="7"/>
      <c r="N111" s="7"/>
      <c r="O111" s="7"/>
      <c r="P111" s="7"/>
      <c r="Q111" s="7"/>
      <c r="R111" s="7"/>
      <c r="S111" s="7"/>
      <c r="T111" s="7"/>
      <c r="U111" s="7"/>
    </row>
    <row r="112" spans="11:21">
      <c r="K112" s="7"/>
      <c r="L112" s="7"/>
      <c r="M112" s="7"/>
      <c r="N112" s="7"/>
      <c r="O112" s="7"/>
      <c r="P112" s="7"/>
      <c r="Q112" s="7"/>
      <c r="R112" s="7"/>
      <c r="S112" s="7"/>
      <c r="T112" s="7"/>
      <c r="U112" s="7"/>
    </row>
    <row r="113" spans="11:21">
      <c r="K113" s="7"/>
      <c r="L113" s="7"/>
      <c r="M113" s="7"/>
      <c r="N113" s="7"/>
      <c r="O113" s="7"/>
      <c r="P113" s="7"/>
      <c r="Q113" s="7"/>
      <c r="R113" s="7"/>
      <c r="S113" s="7"/>
      <c r="T113" s="7"/>
      <c r="U113" s="7"/>
    </row>
    <row r="114" spans="11:21">
      <c r="K114" s="7"/>
      <c r="L114" s="7"/>
      <c r="M114" s="7"/>
      <c r="N114" s="7"/>
      <c r="O114" s="7"/>
      <c r="P114" s="7"/>
      <c r="Q114" s="7"/>
      <c r="R114" s="7"/>
      <c r="S114" s="7"/>
      <c r="T114" s="7"/>
      <c r="U114" s="7"/>
    </row>
    <row r="115" spans="11:21">
      <c r="K115" s="7"/>
      <c r="L115" s="7"/>
      <c r="M115" s="7"/>
      <c r="N115" s="7"/>
      <c r="O115" s="7"/>
      <c r="P115" s="7"/>
      <c r="Q115" s="7"/>
      <c r="R115" s="7"/>
      <c r="S115" s="7"/>
      <c r="T115" s="7"/>
      <c r="U115" s="7"/>
    </row>
    <row r="116" spans="11:21">
      <c r="K116" s="7"/>
      <c r="L116" s="7"/>
      <c r="M116" s="7"/>
      <c r="N116" s="7"/>
      <c r="O116" s="7"/>
      <c r="P116" s="7"/>
      <c r="Q116" s="7"/>
      <c r="R116" s="7"/>
      <c r="S116" s="7"/>
      <c r="T116" s="7"/>
      <c r="U116" s="7"/>
    </row>
    <row r="117" spans="11:21">
      <c r="K117" s="7"/>
      <c r="L117" s="7"/>
      <c r="M117" s="7"/>
      <c r="N117" s="7"/>
      <c r="O117" s="7"/>
      <c r="P117" s="7"/>
      <c r="Q117" s="7"/>
      <c r="R117" s="7"/>
      <c r="S117" s="7"/>
      <c r="T117" s="7"/>
      <c r="U117" s="7"/>
    </row>
    <row r="118" spans="11:21">
      <c r="K118" s="7"/>
      <c r="L118" s="7"/>
      <c r="M118" s="7"/>
      <c r="N118" s="7"/>
      <c r="O118" s="7"/>
      <c r="P118" s="7"/>
      <c r="Q118" s="7"/>
      <c r="R118" s="7"/>
      <c r="S118" s="7"/>
      <c r="T118" s="7"/>
      <c r="U118" s="7"/>
    </row>
    <row r="119" spans="11:21">
      <c r="K119" s="7"/>
      <c r="L119" s="7"/>
      <c r="M119" s="7"/>
      <c r="N119" s="7"/>
      <c r="O119" s="7"/>
      <c r="P119" s="7"/>
      <c r="Q119" s="7"/>
      <c r="R119" s="7"/>
      <c r="S119" s="7"/>
      <c r="T119" s="7"/>
      <c r="U119" s="7"/>
    </row>
  </sheetData>
  <phoneticPr fontId="13" type="noConversion"/>
  <hyperlinks>
    <hyperlink ref="D4" r:id="rId1" xr:uid="{00000000-0004-0000-0600-000000000000}"/>
    <hyperlink ref="D5" r:id="rId2" xr:uid="{00000000-0004-0000-0600-000001000000}"/>
    <hyperlink ref="D7" r:id="rId3" xr:uid="{00000000-0004-0000-0600-000002000000}"/>
    <hyperlink ref="D10" r:id="rId4" xr:uid="{00000000-0004-0000-0600-000003000000}"/>
    <hyperlink ref="K9" r:id="rId5" xr:uid="{00000000-0004-0000-0600-000004000000}"/>
    <hyperlink ref="D11" r:id="rId6" xr:uid="{00000000-0004-0000-0600-000005000000}"/>
    <hyperlink ref="D12" r:id="rId7" xr:uid="{00000000-0004-0000-0600-000006000000}"/>
    <hyperlink ref="D2" r:id="rId8" xr:uid="{00000000-0004-0000-0600-000007000000}"/>
    <hyperlink ref="M17" r:id="rId9" xr:uid="{00000000-0004-0000-0600-000008000000}"/>
    <hyperlink ref="D3" r:id="rId10" xr:uid="{00000000-0004-0000-0600-000009000000}"/>
    <hyperlink ref="I16" r:id="rId11" xr:uid="{9843C1A1-F187-462D-AB97-BC84E29A3BEC}"/>
  </hyperlinks>
  <pageMargins left="0.7" right="0.7" top="0.75" bottom="0.75" header="0.3" footer="0.3"/>
  <pageSetup paperSize="9" orientation="portrait" r:id="rId12"/>
  <drawing r:id="rId13"/>
  <legacyDrawing r:id="rId1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23"/>
  <sheetViews>
    <sheetView topLeftCell="B1" workbookViewId="0">
      <selection activeCell="E28" sqref="E28"/>
    </sheetView>
  </sheetViews>
  <sheetFormatPr defaultColWidth="9.140625" defaultRowHeight="15"/>
  <cols>
    <col min="1" max="1" width="11.7109375" style="7" customWidth="1"/>
    <col min="2" max="2" width="9.140625" style="7"/>
    <col min="3" max="3" width="12.7109375" style="7" bestFit="1" customWidth="1"/>
    <col min="4" max="16384" width="9.140625" style="7"/>
  </cols>
  <sheetData>
    <row r="1" spans="1:9">
      <c r="A1" s="7" t="s">
        <v>33</v>
      </c>
      <c r="B1" s="34" t="s">
        <v>34</v>
      </c>
    </row>
    <row r="2" spans="1:9" ht="15.75">
      <c r="A2" s="7" t="s">
        <v>35</v>
      </c>
      <c r="B2" s="20">
        <v>0.49</v>
      </c>
      <c r="C2" s="7" t="s">
        <v>36</v>
      </c>
      <c r="D2" s="34" t="s">
        <v>37</v>
      </c>
      <c r="H2" s="7" t="s">
        <v>35</v>
      </c>
      <c r="I2" s="7" t="s">
        <v>38</v>
      </c>
    </row>
    <row r="3" spans="1:9" ht="15.75">
      <c r="A3" s="7" t="s">
        <v>39</v>
      </c>
      <c r="B3" s="20">
        <v>0.52</v>
      </c>
      <c r="I3" s="7" t="s">
        <v>40</v>
      </c>
    </row>
    <row r="4" spans="1:9">
      <c r="A4" s="7" t="s">
        <v>41</v>
      </c>
      <c r="B4" s="7">
        <v>0.56000000000000005</v>
      </c>
      <c r="I4" s="7" t="s">
        <v>42</v>
      </c>
    </row>
    <row r="5" spans="1:9">
      <c r="A5" s="7" t="s">
        <v>43</v>
      </c>
      <c r="B5" s="7">
        <v>0.61</v>
      </c>
    </row>
    <row r="6" spans="1:9">
      <c r="A6" s="7" t="s">
        <v>44</v>
      </c>
      <c r="B6" s="7">
        <f>AVERAGE(B2:B5)</f>
        <v>0.54500000000000004</v>
      </c>
      <c r="D6" s="7">
        <v>0.13146309944985191</v>
      </c>
      <c r="H6" s="7" t="s">
        <v>39</v>
      </c>
      <c r="I6" s="7" t="s">
        <v>45</v>
      </c>
    </row>
    <row r="7" spans="1:9">
      <c r="A7" s="7" t="s">
        <v>46</v>
      </c>
      <c r="B7" s="7">
        <v>376.5</v>
      </c>
      <c r="C7" s="7" t="s">
        <v>47</v>
      </c>
      <c r="I7" s="7" t="s">
        <v>48</v>
      </c>
    </row>
    <row r="8" spans="1:9">
      <c r="B8" s="7">
        <f>B6*B7</f>
        <v>205.19250000000002</v>
      </c>
      <c r="C8" s="7" t="s">
        <v>49</v>
      </c>
    </row>
    <row r="9" spans="1:9">
      <c r="H9" s="7" t="s">
        <v>41</v>
      </c>
      <c r="I9" s="7" t="s">
        <v>50</v>
      </c>
    </row>
    <row r="10" spans="1:9">
      <c r="B10" s="7">
        <v>60.778700000000001</v>
      </c>
      <c r="C10" s="7" t="s">
        <v>51</v>
      </c>
      <c r="I10" s="7" t="s">
        <v>52</v>
      </c>
    </row>
    <row r="11" spans="1:9">
      <c r="B11" s="7">
        <f>B10/usd_per_yuan/1000</f>
        <v>0.41806782225890765</v>
      </c>
      <c r="C11" s="7" t="s">
        <v>53</v>
      </c>
      <c r="I11" s="7" t="s">
        <v>54</v>
      </c>
    </row>
    <row r="12" spans="1:9">
      <c r="I12" s="7" t="s">
        <v>55</v>
      </c>
    </row>
    <row r="13" spans="1:9">
      <c r="I13" s="7" t="s">
        <v>56</v>
      </c>
    </row>
    <row r="15" spans="1:9">
      <c r="H15" s="7" t="s">
        <v>43</v>
      </c>
      <c r="I15" s="7" t="s">
        <v>57</v>
      </c>
    </row>
    <row r="17" spans="1:38">
      <c r="A17" s="1" t="s">
        <v>58</v>
      </c>
    </row>
    <row r="18" spans="1:38">
      <c r="B18" s="7">
        <v>2014</v>
      </c>
      <c r="C18" s="7">
        <v>2015</v>
      </c>
      <c r="D18" s="7">
        <v>2016</v>
      </c>
      <c r="E18" s="7">
        <v>2017</v>
      </c>
      <c r="F18" s="7">
        <v>2018</v>
      </c>
      <c r="G18" s="7">
        <v>2019</v>
      </c>
      <c r="H18" s="7">
        <v>2020</v>
      </c>
      <c r="I18" s="7">
        <v>2021</v>
      </c>
      <c r="J18" s="7">
        <v>2022</v>
      </c>
      <c r="K18" s="7">
        <v>2023</v>
      </c>
      <c r="L18" s="7">
        <v>2024</v>
      </c>
      <c r="M18" s="7">
        <v>2025</v>
      </c>
      <c r="N18" s="7">
        <v>2026</v>
      </c>
      <c r="O18" s="7">
        <v>2027</v>
      </c>
      <c r="P18" s="7">
        <v>2028</v>
      </c>
      <c r="Q18" s="7">
        <v>2029</v>
      </c>
      <c r="R18" s="7">
        <v>2030</v>
      </c>
      <c r="S18" s="7">
        <v>2031</v>
      </c>
      <c r="T18" s="7">
        <v>2032</v>
      </c>
      <c r="U18" s="7">
        <v>2033</v>
      </c>
      <c r="V18" s="7">
        <v>2034</v>
      </c>
      <c r="W18" s="7">
        <v>2035</v>
      </c>
      <c r="X18" s="7">
        <v>2036</v>
      </c>
      <c r="Y18" s="7">
        <v>2037</v>
      </c>
      <c r="Z18" s="7">
        <v>2038</v>
      </c>
      <c r="AA18" s="7">
        <v>2039</v>
      </c>
      <c r="AB18" s="7">
        <v>2040</v>
      </c>
      <c r="AC18" s="7">
        <v>2041</v>
      </c>
      <c r="AD18" s="7">
        <v>2042</v>
      </c>
      <c r="AE18" s="7">
        <v>2043</v>
      </c>
      <c r="AF18" s="7">
        <v>2044</v>
      </c>
      <c r="AG18" s="7">
        <v>2045</v>
      </c>
      <c r="AH18" s="7">
        <v>2046</v>
      </c>
      <c r="AI18" s="7">
        <v>2047</v>
      </c>
      <c r="AJ18" s="7">
        <v>2048</v>
      </c>
      <c r="AK18" s="7">
        <v>2049</v>
      </c>
      <c r="AL18" s="7">
        <v>2050</v>
      </c>
    </row>
    <row r="19" spans="1:38">
      <c r="A19" s="7" t="s">
        <v>59</v>
      </c>
      <c r="B19" s="7">
        <f>B6-B11</f>
        <v>0.12693217774109239</v>
      </c>
      <c r="C19" s="7">
        <f t="shared" ref="C19:Q19" si="0">B19+$C$22</f>
        <v>0.11906141663227411</v>
      </c>
      <c r="D19" s="7">
        <f t="shared" si="0"/>
        <v>0.11119065552345583</v>
      </c>
      <c r="E19" s="7">
        <f t="shared" si="0"/>
        <v>0.10331989441463756</v>
      </c>
      <c r="F19" s="7">
        <f t="shared" si="0"/>
        <v>9.5449133305819278E-2</v>
      </c>
      <c r="G19" s="7">
        <f t="shared" si="0"/>
        <v>8.7578372197001E-2</v>
      </c>
      <c r="H19" s="7">
        <f t="shared" si="0"/>
        <v>7.9707611088182723E-2</v>
      </c>
      <c r="I19" s="7">
        <f t="shared" si="0"/>
        <v>7.1836849979364445E-2</v>
      </c>
      <c r="J19" s="7">
        <f t="shared" si="0"/>
        <v>6.3966088870546167E-2</v>
      </c>
      <c r="K19" s="7">
        <f t="shared" si="0"/>
        <v>5.6095327761727889E-2</v>
      </c>
      <c r="L19" s="7">
        <f t="shared" si="0"/>
        <v>4.8224566652909612E-2</v>
      </c>
      <c r="M19" s="7">
        <f t="shared" si="0"/>
        <v>4.0353805544091334E-2</v>
      </c>
      <c r="N19" s="7">
        <f t="shared" si="0"/>
        <v>3.2483044435273056E-2</v>
      </c>
      <c r="O19" s="7">
        <f t="shared" si="0"/>
        <v>2.4612283326454782E-2</v>
      </c>
      <c r="P19" s="7">
        <f t="shared" si="0"/>
        <v>1.6741522217636508E-2</v>
      </c>
      <c r="Q19" s="7">
        <f t="shared" si="0"/>
        <v>8.8707611088182335E-3</v>
      </c>
      <c r="R19" s="7">
        <v>1E-3</v>
      </c>
      <c r="S19" s="7">
        <v>0</v>
      </c>
      <c r="T19" s="7">
        <v>0</v>
      </c>
      <c r="U19" s="7">
        <v>0</v>
      </c>
      <c r="V19" s="7">
        <v>0</v>
      </c>
      <c r="W19" s="7">
        <v>0</v>
      </c>
      <c r="X19" s="7">
        <v>0</v>
      </c>
      <c r="Y19" s="7">
        <v>0</v>
      </c>
      <c r="Z19" s="7">
        <v>0</v>
      </c>
      <c r="AA19" s="7">
        <v>0</v>
      </c>
      <c r="AB19" s="7">
        <v>0</v>
      </c>
      <c r="AC19" s="7">
        <v>0</v>
      </c>
      <c r="AD19" s="7">
        <v>0</v>
      </c>
      <c r="AE19" s="7">
        <v>0</v>
      </c>
      <c r="AF19" s="7">
        <v>0</v>
      </c>
      <c r="AG19" s="7">
        <v>0</v>
      </c>
      <c r="AH19" s="7">
        <v>0</v>
      </c>
      <c r="AI19" s="7">
        <v>0</v>
      </c>
      <c r="AJ19" s="7">
        <v>0</v>
      </c>
      <c r="AK19" s="7">
        <v>0</v>
      </c>
      <c r="AL19" s="7">
        <v>0</v>
      </c>
    </row>
    <row r="20" spans="1:38">
      <c r="A20" s="7" t="s">
        <v>51</v>
      </c>
      <c r="B20" s="7">
        <f t="shared" ref="B20:AL20" si="1">B19*usd_per_yuan*10^3</f>
        <v>18.453400000000013</v>
      </c>
      <c r="C20" s="7">
        <f t="shared" si="1"/>
        <v>17.309148750000009</v>
      </c>
      <c r="D20" s="7">
        <f t="shared" si="1"/>
        <v>16.164897500000013</v>
      </c>
      <c r="E20" s="7">
        <f t="shared" si="1"/>
        <v>15.020646250000009</v>
      </c>
      <c r="F20" s="7">
        <f t="shared" si="1"/>
        <v>13.876395000000008</v>
      </c>
      <c r="G20" s="7">
        <f t="shared" si="1"/>
        <v>12.732143750000006</v>
      </c>
      <c r="H20" s="7">
        <f t="shared" si="1"/>
        <v>11.587892500000006</v>
      </c>
      <c r="I20" s="7">
        <f t="shared" si="1"/>
        <v>10.443641250000004</v>
      </c>
      <c r="J20" s="7">
        <f t="shared" si="1"/>
        <v>9.2993900000000025</v>
      </c>
      <c r="K20" s="7">
        <f t="shared" si="1"/>
        <v>8.1551387500000008</v>
      </c>
      <c r="L20" s="7">
        <f t="shared" si="1"/>
        <v>7.0108874999999999</v>
      </c>
      <c r="M20" s="7">
        <f t="shared" si="1"/>
        <v>5.8666362499999991</v>
      </c>
      <c r="N20" s="7">
        <f t="shared" si="1"/>
        <v>4.7223849999999974</v>
      </c>
      <c r="O20" s="7">
        <f t="shared" si="1"/>
        <v>3.5781337499999966</v>
      </c>
      <c r="P20" s="7">
        <f t="shared" si="1"/>
        <v>2.4338824999999953</v>
      </c>
      <c r="Q20" s="7">
        <f t="shared" si="1"/>
        <v>1.2896312499999949</v>
      </c>
      <c r="R20" s="7">
        <f t="shared" si="1"/>
        <v>0.14538000000000001</v>
      </c>
      <c r="S20" s="7">
        <f t="shared" si="1"/>
        <v>0</v>
      </c>
      <c r="T20" s="7">
        <f t="shared" si="1"/>
        <v>0</v>
      </c>
      <c r="U20" s="7">
        <f t="shared" si="1"/>
        <v>0</v>
      </c>
      <c r="V20" s="7">
        <f t="shared" si="1"/>
        <v>0</v>
      </c>
      <c r="W20" s="7">
        <f t="shared" si="1"/>
        <v>0</v>
      </c>
      <c r="X20" s="7">
        <f t="shared" si="1"/>
        <v>0</v>
      </c>
      <c r="Y20" s="7">
        <f t="shared" si="1"/>
        <v>0</v>
      </c>
      <c r="Z20" s="7">
        <f t="shared" si="1"/>
        <v>0</v>
      </c>
      <c r="AA20" s="7">
        <f t="shared" si="1"/>
        <v>0</v>
      </c>
      <c r="AB20" s="7">
        <f t="shared" si="1"/>
        <v>0</v>
      </c>
      <c r="AC20" s="7">
        <f t="shared" si="1"/>
        <v>0</v>
      </c>
      <c r="AD20" s="7">
        <f t="shared" si="1"/>
        <v>0</v>
      </c>
      <c r="AE20" s="7">
        <f t="shared" si="1"/>
        <v>0</v>
      </c>
      <c r="AF20" s="7">
        <f t="shared" si="1"/>
        <v>0</v>
      </c>
      <c r="AG20" s="7">
        <f t="shared" si="1"/>
        <v>0</v>
      </c>
      <c r="AH20" s="7">
        <f t="shared" si="1"/>
        <v>0</v>
      </c>
      <c r="AI20" s="7">
        <f t="shared" si="1"/>
        <v>0</v>
      </c>
      <c r="AJ20" s="7">
        <f t="shared" si="1"/>
        <v>0</v>
      </c>
      <c r="AK20" s="7">
        <f t="shared" si="1"/>
        <v>0</v>
      </c>
      <c r="AL20" s="7">
        <f t="shared" si="1"/>
        <v>0</v>
      </c>
    </row>
    <row r="22" spans="1:38">
      <c r="C22" s="7">
        <f>(R19-B19)/16</f>
        <v>-7.8707611088182743E-3</v>
      </c>
    </row>
    <row r="23" spans="1:38">
      <c r="B23" s="35" t="s">
        <v>60</v>
      </c>
      <c r="G23" s="34" t="s">
        <v>61</v>
      </c>
    </row>
  </sheetData>
  <phoneticPr fontId="13" type="noConversion"/>
  <hyperlinks>
    <hyperlink ref="B1" r:id="rId1" xr:uid="{00000000-0004-0000-0100-000000000000}"/>
    <hyperlink ref="D2" r:id="rId2" xr:uid="{00000000-0004-0000-0100-000001000000}"/>
    <hyperlink ref="G23" r:id="rId3" xr:uid="{00000000-0004-0000-0100-000002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1DE36A36CC7845A4126EF01914151E" ma:contentTypeVersion="14" ma:contentTypeDescription="Create a new document." ma:contentTypeScope="" ma:versionID="5da84bc0990153aaa3d18f9c278a194d">
  <xsd:schema xmlns:xsd="http://www.w3.org/2001/XMLSchema" xmlns:xs="http://www.w3.org/2001/XMLSchema" xmlns:p="http://schemas.microsoft.com/office/2006/metadata/properties" xmlns:ns1="http://schemas.microsoft.com/sharepoint/v3" xmlns:ns2="2e2398b5-f60e-4ca0-a4ba-6048b5e4e90c" xmlns:ns3="a06c533b-533a-4f75-b7db-110f073002e4" targetNamespace="http://schemas.microsoft.com/office/2006/metadata/properties" ma:root="true" ma:fieldsID="9e6c2c4565c85f7344ff5cc9e932a7f2" ns1:_="" ns2:_="" ns3:_="">
    <xsd:import namespace="http://schemas.microsoft.com/sharepoint/v3"/>
    <xsd:import namespace="2e2398b5-f60e-4ca0-a4ba-6048b5e4e90c"/>
    <xsd:import namespace="a06c533b-533a-4f75-b7db-110f073002e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1:_ip_UnifiedCompliancePolicyProperties" minOccurs="0"/>
                <xsd:element ref="ns1:_ip_UnifiedCompliancePolicyUIAction" minOccurs="0"/>
                <xsd:element ref="ns2:MediaServiceEventHashCode" minOccurs="0"/>
                <xsd:element ref="ns2:MediaServiceGenerationTime"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e2398b5-f60e-4ca0-a4ba-6048b5e4e90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6c533b-533a-4f75-b7db-110f073002e4"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2DFFD3-5179-44EF-AE1A-A643621D13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e2398b5-f60e-4ca0-a4ba-6048b5e4e90c"/>
    <ds:schemaRef ds:uri="a06c533b-533a-4f75-b7db-110f073002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3D2153-BE2D-42A6-9045-8820F90F4A8C}">
  <ds:schemaRefs>
    <ds:schemaRef ds:uri="a06c533b-533a-4f75-b7db-110f073002e4"/>
    <ds:schemaRef ds:uri="http://purl.org/dc/dcmitype/"/>
    <ds:schemaRef ds:uri="http://purl.org/dc/elements/1.1/"/>
    <ds:schemaRef ds:uri="http://schemas.microsoft.com/office/2006/documentManagement/types"/>
    <ds:schemaRef ds:uri="2e2398b5-f60e-4ca0-a4ba-6048b5e4e90c"/>
    <ds:schemaRef ds:uri="http://purl.org/dc/terms/"/>
    <ds:schemaRef ds:uri="http://schemas.microsoft.com/sharepoint/v3"/>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02437622-02BC-4149-AF6E-5EF6040218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About</vt:lpstr>
      <vt:lpstr>Fossil Fuels</vt:lpstr>
      <vt:lpstr>Conv Factor</vt:lpstr>
      <vt:lpstr>Capacity Price Peaker </vt:lpstr>
      <vt:lpstr>Solar 2019</vt:lpstr>
      <vt:lpstr>Wind 2019</vt:lpstr>
      <vt:lpstr>Sub by Power Price</vt:lpstr>
      <vt:lpstr>BS-BSfTFpEUP</vt:lpstr>
      <vt:lpstr>BS-BSpUEO-PreRet</vt:lpstr>
      <vt:lpstr>BS-BSpUEO-PreNonRet</vt:lpstr>
      <vt:lpstr>BS-BSpUEO-NewBlt</vt:lpstr>
      <vt:lpstr>BS-BSpUECB</vt:lpstr>
      <vt:lpstr>biomass &amp; geothermal -not used</vt:lpstr>
      <vt:lpstr>solar - not used</vt:lpstr>
      <vt:lpstr>subsidy for gen- not usd</vt:lpstr>
      <vt:lpstr>wind - not used</vt:lpstr>
      <vt:lpstr>usd_per_yuan</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Megan Mahajan</cp:lastModifiedBy>
  <cp:revision/>
  <dcterms:created xsi:type="dcterms:W3CDTF">2014-08-21T02:04:37Z</dcterms:created>
  <dcterms:modified xsi:type="dcterms:W3CDTF">2022-04-20T20:26:55Z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0x010100BD1DE36A36CC7845A4126EF01914151E</vt:lpwstr>
  </property>
</Properties>
</file>