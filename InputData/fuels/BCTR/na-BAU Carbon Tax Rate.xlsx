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 tabRatio="831" firstSheet="3" activeTab="2"/>
  </bookViews>
  <sheets>
    <sheet name="About" sheetId="3" r:id="rId1"/>
    <sheet name="Carbon Market Price" sheetId="1" r:id="rId2"/>
    <sheet name="Expected Carbon Tax " sheetId="2" r:id="rId3"/>
    <sheet name="Exchange Rate" sheetId="5" r:id="rId4"/>
    <sheet name="Carbon Price" sheetId="8" r:id="rId5"/>
    <sheet name="BCTR" sheetId="7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<sst xmlns="http://schemas.openxmlformats.org/spreadsheetml/2006/main" count="66" uniqueCount="60">
  <si>
    <t>BCTR BAU Carbon Tax Rate</t>
  </si>
  <si>
    <t>Source:</t>
  </si>
  <si>
    <t>Survey results for expected Carbon Price and Coverage</t>
  </si>
  <si>
    <t>ICF International</t>
  </si>
  <si>
    <t>2021 China Carbon Pricing Survey Report</t>
  </si>
  <si>
    <t>2021年中国碳价调查</t>
  </si>
  <si>
    <t>http://www.cet.net.cn/uploads/soft/220223/1_1405539881.pdf</t>
  </si>
  <si>
    <t>2021 Carbon Market Report</t>
  </si>
  <si>
    <t>China Ministry of Ecology and Environment</t>
  </si>
  <si>
    <t>中国生态环境部</t>
  </si>
  <si>
    <t>Report on the  first cimpliance cycle of thie national carbon emission trading market</t>
  </si>
  <si>
    <t>全国碳排放权交易市场第一个履约周期报告</t>
  </si>
  <si>
    <t>https://www.mee.gov.cn/ywgz/ydqhbh/wsqtkz/202212/P020221230799532329594.pdf</t>
  </si>
  <si>
    <t>Policy for future coverage</t>
  </si>
  <si>
    <t>Online Sources</t>
  </si>
  <si>
    <t>“十四五”八大高排放行业将全部纳入</t>
  </si>
  <si>
    <t>https://www.eco.gov.cn/news_info/51919.html</t>
  </si>
  <si>
    <t>Notes</t>
  </si>
  <si>
    <t>As of April 2023, the only sector that is partially covered by the carbon market is electricity,</t>
  </si>
  <si>
    <t>despite expectation from the survey that many sectors will be incorporated by 2022-2023.</t>
  </si>
  <si>
    <t>We therefore expect industrial sector will only be covered by the end of China's 14FYP, as stated by the policy</t>
  </si>
  <si>
    <t>成交量（万吨）</t>
  </si>
  <si>
    <t>成交额（亿元）</t>
  </si>
  <si>
    <t>成交均价 (tCO2e/RMB)</t>
  </si>
  <si>
    <t>成交均价 (tCO2e/2012USD)</t>
  </si>
  <si>
    <t>Expected Carbon Price</t>
  </si>
  <si>
    <t>Expected Carbon Prince (2012 USD)</t>
  </si>
  <si>
    <t>电力行业碳排放（亿吨）</t>
  </si>
  <si>
    <t>碳市场交易额（亿吨）</t>
  </si>
  <si>
    <t>市场渗透率比例</t>
  </si>
  <si>
    <t>https://www.gov.cn/yaowen/liebiao/202509/content_7042104.htm</t>
  </si>
  <si>
    <t>人民币年份</t>
  </si>
  <si>
    <t>当年人民币相对2012美元</t>
  </si>
  <si>
    <t>2012美元相对当年人民币价格</t>
  </si>
  <si>
    <t>指标名称</t>
  </si>
  <si>
    <t>全国碳市场碳排放配额(CEA):收盘价</t>
  </si>
  <si>
    <t>全国碳市场碳排放配额(CEA):开盘价</t>
  </si>
  <si>
    <t>全国碳市场碳排放配额(CEA):最高价</t>
  </si>
  <si>
    <t>全国碳市场碳排放配额(CEA):最低价</t>
  </si>
  <si>
    <t>全国碳市场碳排放配额(CEA):涨跌幅</t>
  </si>
  <si>
    <t>全国碳市场碳排放配额(CEA):成交量</t>
  </si>
  <si>
    <t>全国碳市场碳排放配额(CEA):成交额</t>
  </si>
  <si>
    <t>全国碳市场碳排放配额(CEA):累计成交量</t>
  </si>
  <si>
    <t>全国碳市场碳排放配额(CEA):累计成交额</t>
  </si>
  <si>
    <t>成交均价</t>
  </si>
  <si>
    <t>Year</t>
  </si>
  <si>
    <t>单位</t>
  </si>
  <si>
    <t>元/吨</t>
  </si>
  <si>
    <t>%</t>
  </si>
  <si>
    <t>吨</t>
  </si>
  <si>
    <t>元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</si>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</sst>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yyyy\-mm\-dd"/>
    <numFmt numFmtId="178" formatCode="0.0000_ "/>
    <numFmt numFmtId="179" formatCode="0_ "/>
  </numFmts>
  <fonts count="25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i/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0"/>
      <color theme="1"/>
      <name val="宋体"/>
      <charset val="134"/>
    </font>
    <font>
      <sz val="11"/>
      <color rgb="FFFF000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1" fillId="0" borderId="0"/>
  </cellStyleXfs>
  <cellXfs count="29">
    <xf numFmtId="0" fontId="0" fillId="0" borderId="0" xfId="0">
      <alignment vertical="center"/>
    </xf>
    <xf numFmtId="0" fontId="1" fillId="0" borderId="0" xfId="49"/>
    <xf numFmtId="0" fontId="2" fillId="0" borderId="0" xfId="49" applyFont="1"/>
    <xf numFmtId="0" fontId="3" fillId="0" borderId="0" xfId="49" applyFont="1"/>
    <xf numFmtId="0" fontId="1" fillId="2" borderId="0" xfId="49" applyFill="1"/>
    <xf numFmtId="0" fontId="0" fillId="0" borderId="0" xfId="0" applyAlignment="1">
      <alignment wrapText="1"/>
    </xf>
    <xf numFmtId="176" fontId="0" fillId="0" borderId="0" xfId="0" applyNumberFormat="1" applyAlignment="1">
      <alignment wrapText="1"/>
    </xf>
    <xf numFmtId="0" fontId="4" fillId="0" borderId="0" xfId="0" applyFont="1" applyAlignment="1">
      <alignment wrapText="1"/>
    </xf>
    <xf numFmtId="176" fontId="1" fillId="0" borderId="0" xfId="0" applyNumberFormat="1" applyFont="1" applyAlignment="1">
      <alignment wrapText="1"/>
    </xf>
    <xf numFmtId="0" fontId="1" fillId="0" borderId="0" xfId="0" applyFont="1">
      <alignment vertical="center"/>
    </xf>
    <xf numFmtId="177" fontId="4" fillId="0" borderId="0" xfId="0" applyNumberFormat="1" applyFont="1" applyAlignment="1">
      <alignment wrapText="1"/>
    </xf>
    <xf numFmtId="4" fontId="4" fillId="0" borderId="0" xfId="0" applyNumberFormat="1" applyFont="1" applyAlignment="1">
      <alignment wrapText="1"/>
    </xf>
    <xf numFmtId="0" fontId="0" fillId="0" borderId="0" xfId="0" applyAlignment="1">
      <alignment vertical="center" wrapText="1"/>
    </xf>
    <xf numFmtId="178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178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/>
    <xf numFmtId="10" fontId="1" fillId="0" borderId="0" xfId="3" applyNumberFormat="1" applyAlignment="1"/>
    <xf numFmtId="17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0" borderId="0" xfId="0" applyAlignment="1"/>
    <xf numFmtId="0" fontId="3" fillId="0" borderId="0" xfId="0" applyFont="1" applyAlignment="1"/>
    <xf numFmtId="0" fontId="3" fillId="3" borderId="0" xfId="0" applyFont="1" applyFill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6" fillId="0" borderId="0" xfId="6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624069193059969"/>
          <c:y val="0.0981914610005327"/>
          <c:w val="0.859600691401466"/>
          <c:h val="0.774702152332052"/>
        </c:manualLayout>
      </c:layout>
      <c:areaChart>
        <c:grouping val="standard"/>
        <c:varyColors val="0"/>
        <c:ser>
          <c:idx val="7"/>
          <c:order val="0"/>
          <c:tx>
            <c:strRef>
              <c:f>"累计成交量（百万吨）"</c:f>
              <c:strCache>
                <c:ptCount val="1"/>
                <c:pt idx="0">
                  <c:v>累计成交量（百万吨）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[1]数据来源上海环境能源交易所!$A$3:$A$936</c:f>
              <c:numCache>
                <c:formatCode>General</c:formatCode>
                <c:ptCount val="934"/>
                <c:pt idx="0">
                  <c:v>45819</c:v>
                </c:pt>
                <c:pt idx="1">
                  <c:v>45818</c:v>
                </c:pt>
                <c:pt idx="2">
                  <c:v>45817</c:v>
                </c:pt>
                <c:pt idx="3">
                  <c:v>45814</c:v>
                </c:pt>
                <c:pt idx="4">
                  <c:v>45813</c:v>
                </c:pt>
                <c:pt idx="5">
                  <c:v>45812</c:v>
                </c:pt>
                <c:pt idx="6">
                  <c:v>45811</c:v>
                </c:pt>
                <c:pt idx="7">
                  <c:v>45807</c:v>
                </c:pt>
                <c:pt idx="8">
                  <c:v>45806</c:v>
                </c:pt>
                <c:pt idx="9">
                  <c:v>45805</c:v>
                </c:pt>
                <c:pt idx="10">
                  <c:v>45804</c:v>
                </c:pt>
                <c:pt idx="11">
                  <c:v>45803</c:v>
                </c:pt>
                <c:pt idx="12">
                  <c:v>45800</c:v>
                </c:pt>
                <c:pt idx="13">
                  <c:v>45799</c:v>
                </c:pt>
                <c:pt idx="14">
                  <c:v>45798</c:v>
                </c:pt>
                <c:pt idx="15">
                  <c:v>45797</c:v>
                </c:pt>
                <c:pt idx="16">
                  <c:v>45796</c:v>
                </c:pt>
                <c:pt idx="17">
                  <c:v>45793</c:v>
                </c:pt>
                <c:pt idx="18">
                  <c:v>45792</c:v>
                </c:pt>
                <c:pt idx="19">
                  <c:v>45791</c:v>
                </c:pt>
                <c:pt idx="20">
                  <c:v>45790</c:v>
                </c:pt>
                <c:pt idx="21">
                  <c:v>45789</c:v>
                </c:pt>
                <c:pt idx="22">
                  <c:v>45786</c:v>
                </c:pt>
                <c:pt idx="23">
                  <c:v>45785</c:v>
                </c:pt>
                <c:pt idx="24">
                  <c:v>45784</c:v>
                </c:pt>
                <c:pt idx="25">
                  <c:v>45783</c:v>
                </c:pt>
                <c:pt idx="26">
                  <c:v>45777</c:v>
                </c:pt>
                <c:pt idx="27">
                  <c:v>45776</c:v>
                </c:pt>
                <c:pt idx="28">
                  <c:v>45775</c:v>
                </c:pt>
                <c:pt idx="29">
                  <c:v>45772</c:v>
                </c:pt>
                <c:pt idx="30">
                  <c:v>45771</c:v>
                </c:pt>
                <c:pt idx="31">
                  <c:v>45770</c:v>
                </c:pt>
                <c:pt idx="32">
                  <c:v>45769</c:v>
                </c:pt>
                <c:pt idx="33">
                  <c:v>45768</c:v>
                </c:pt>
                <c:pt idx="34">
                  <c:v>45765</c:v>
                </c:pt>
                <c:pt idx="35">
                  <c:v>45764</c:v>
                </c:pt>
                <c:pt idx="36">
                  <c:v>45763</c:v>
                </c:pt>
                <c:pt idx="37">
                  <c:v>45762</c:v>
                </c:pt>
                <c:pt idx="38">
                  <c:v>45761</c:v>
                </c:pt>
                <c:pt idx="39">
                  <c:v>45758</c:v>
                </c:pt>
                <c:pt idx="40">
                  <c:v>45757</c:v>
                </c:pt>
                <c:pt idx="41">
                  <c:v>45756</c:v>
                </c:pt>
                <c:pt idx="42">
                  <c:v>45755</c:v>
                </c:pt>
                <c:pt idx="43">
                  <c:v>45754</c:v>
                </c:pt>
                <c:pt idx="44">
                  <c:v>45750</c:v>
                </c:pt>
                <c:pt idx="45">
                  <c:v>45749</c:v>
                </c:pt>
                <c:pt idx="46">
                  <c:v>45748</c:v>
                </c:pt>
                <c:pt idx="47">
                  <c:v>45747</c:v>
                </c:pt>
                <c:pt idx="48">
                  <c:v>45744</c:v>
                </c:pt>
                <c:pt idx="49">
                  <c:v>45743</c:v>
                </c:pt>
                <c:pt idx="50">
                  <c:v>45742</c:v>
                </c:pt>
                <c:pt idx="51">
                  <c:v>45741</c:v>
                </c:pt>
                <c:pt idx="52">
                  <c:v>45740</c:v>
                </c:pt>
                <c:pt idx="53">
                  <c:v>45737</c:v>
                </c:pt>
                <c:pt idx="54">
                  <c:v>45736</c:v>
                </c:pt>
                <c:pt idx="55">
                  <c:v>45733</c:v>
                </c:pt>
                <c:pt idx="56">
                  <c:v>45730</c:v>
                </c:pt>
                <c:pt idx="57">
                  <c:v>45729</c:v>
                </c:pt>
                <c:pt idx="58">
                  <c:v>45728</c:v>
                </c:pt>
                <c:pt idx="59">
                  <c:v>45727</c:v>
                </c:pt>
                <c:pt idx="60">
                  <c:v>45726</c:v>
                </c:pt>
                <c:pt idx="61">
                  <c:v>45722</c:v>
                </c:pt>
                <c:pt idx="62">
                  <c:v>45721</c:v>
                </c:pt>
                <c:pt idx="63">
                  <c:v>45720</c:v>
                </c:pt>
                <c:pt idx="64">
                  <c:v>45719</c:v>
                </c:pt>
                <c:pt idx="65">
                  <c:v>45716</c:v>
                </c:pt>
                <c:pt idx="66">
                  <c:v>45715</c:v>
                </c:pt>
                <c:pt idx="67">
                  <c:v>45714</c:v>
                </c:pt>
                <c:pt idx="68">
                  <c:v>45713</c:v>
                </c:pt>
                <c:pt idx="69">
                  <c:v>45712</c:v>
                </c:pt>
                <c:pt idx="70">
                  <c:v>45709</c:v>
                </c:pt>
                <c:pt idx="71">
                  <c:v>45708</c:v>
                </c:pt>
                <c:pt idx="72">
                  <c:v>45707</c:v>
                </c:pt>
                <c:pt idx="73">
                  <c:v>45706</c:v>
                </c:pt>
                <c:pt idx="74">
                  <c:v>45702</c:v>
                </c:pt>
                <c:pt idx="75">
                  <c:v>45701</c:v>
                </c:pt>
                <c:pt idx="76">
                  <c:v>45700</c:v>
                </c:pt>
                <c:pt idx="77">
                  <c:v>45699</c:v>
                </c:pt>
                <c:pt idx="78">
                  <c:v>45694</c:v>
                </c:pt>
                <c:pt idx="79">
                  <c:v>45681</c:v>
                </c:pt>
                <c:pt idx="80">
                  <c:v>45680</c:v>
                </c:pt>
                <c:pt idx="81">
                  <c:v>45679</c:v>
                </c:pt>
                <c:pt idx="82">
                  <c:v>45678</c:v>
                </c:pt>
                <c:pt idx="83">
                  <c:v>45677</c:v>
                </c:pt>
                <c:pt idx="84">
                  <c:v>45674</c:v>
                </c:pt>
                <c:pt idx="85">
                  <c:v>45672</c:v>
                </c:pt>
                <c:pt idx="86">
                  <c:v>45670</c:v>
                </c:pt>
                <c:pt idx="87">
                  <c:v>45667</c:v>
                </c:pt>
                <c:pt idx="88">
                  <c:v>45666</c:v>
                </c:pt>
                <c:pt idx="89">
                  <c:v>45665</c:v>
                </c:pt>
                <c:pt idx="90">
                  <c:v>45664</c:v>
                </c:pt>
                <c:pt idx="91">
                  <c:v>45663</c:v>
                </c:pt>
                <c:pt idx="92">
                  <c:v>45660</c:v>
                </c:pt>
                <c:pt idx="93">
                  <c:v>45659</c:v>
                </c:pt>
                <c:pt idx="94">
                  <c:v>45657</c:v>
                </c:pt>
                <c:pt idx="95">
                  <c:v>45656</c:v>
                </c:pt>
                <c:pt idx="96">
                  <c:v>45653</c:v>
                </c:pt>
                <c:pt idx="97">
                  <c:v>45652</c:v>
                </c:pt>
                <c:pt idx="98">
                  <c:v>45651</c:v>
                </c:pt>
                <c:pt idx="99">
                  <c:v>45650</c:v>
                </c:pt>
                <c:pt idx="100">
                  <c:v>45649</c:v>
                </c:pt>
                <c:pt idx="101">
                  <c:v>45646</c:v>
                </c:pt>
                <c:pt idx="102">
                  <c:v>45645</c:v>
                </c:pt>
                <c:pt idx="103">
                  <c:v>45644</c:v>
                </c:pt>
                <c:pt idx="104">
                  <c:v>45643</c:v>
                </c:pt>
                <c:pt idx="105">
                  <c:v>45642</c:v>
                </c:pt>
                <c:pt idx="106">
                  <c:v>45639</c:v>
                </c:pt>
                <c:pt idx="107">
                  <c:v>45638</c:v>
                </c:pt>
                <c:pt idx="108">
                  <c:v>45637</c:v>
                </c:pt>
                <c:pt idx="109">
                  <c:v>45636</c:v>
                </c:pt>
                <c:pt idx="110">
                  <c:v>45635</c:v>
                </c:pt>
                <c:pt idx="111">
                  <c:v>45632</c:v>
                </c:pt>
                <c:pt idx="112">
                  <c:v>45631</c:v>
                </c:pt>
                <c:pt idx="113">
                  <c:v>45630</c:v>
                </c:pt>
                <c:pt idx="114">
                  <c:v>45629</c:v>
                </c:pt>
                <c:pt idx="115">
                  <c:v>45628</c:v>
                </c:pt>
                <c:pt idx="116">
                  <c:v>45625</c:v>
                </c:pt>
                <c:pt idx="117">
                  <c:v>45624</c:v>
                </c:pt>
                <c:pt idx="118">
                  <c:v>45623</c:v>
                </c:pt>
                <c:pt idx="119">
                  <c:v>45622</c:v>
                </c:pt>
                <c:pt idx="120">
                  <c:v>45621</c:v>
                </c:pt>
                <c:pt idx="121">
                  <c:v>45618</c:v>
                </c:pt>
                <c:pt idx="122">
                  <c:v>45617</c:v>
                </c:pt>
                <c:pt idx="123">
                  <c:v>45616</c:v>
                </c:pt>
                <c:pt idx="124">
                  <c:v>45615</c:v>
                </c:pt>
                <c:pt idx="125">
                  <c:v>45614</c:v>
                </c:pt>
                <c:pt idx="126">
                  <c:v>45611</c:v>
                </c:pt>
                <c:pt idx="127">
                  <c:v>45610</c:v>
                </c:pt>
                <c:pt idx="128">
                  <c:v>45609</c:v>
                </c:pt>
                <c:pt idx="129">
                  <c:v>45608</c:v>
                </c:pt>
                <c:pt idx="130">
                  <c:v>45607</c:v>
                </c:pt>
                <c:pt idx="131">
                  <c:v>45604</c:v>
                </c:pt>
                <c:pt idx="132">
                  <c:v>45603</c:v>
                </c:pt>
                <c:pt idx="133">
                  <c:v>45602</c:v>
                </c:pt>
                <c:pt idx="134">
                  <c:v>45601</c:v>
                </c:pt>
                <c:pt idx="135">
                  <c:v>45600</c:v>
                </c:pt>
                <c:pt idx="136">
                  <c:v>45597</c:v>
                </c:pt>
                <c:pt idx="137">
                  <c:v>45596</c:v>
                </c:pt>
                <c:pt idx="138">
                  <c:v>45595</c:v>
                </c:pt>
                <c:pt idx="139">
                  <c:v>45594</c:v>
                </c:pt>
                <c:pt idx="140">
                  <c:v>45593</c:v>
                </c:pt>
                <c:pt idx="141">
                  <c:v>45590</c:v>
                </c:pt>
                <c:pt idx="142">
                  <c:v>45589</c:v>
                </c:pt>
                <c:pt idx="143">
                  <c:v>45588</c:v>
                </c:pt>
                <c:pt idx="144">
                  <c:v>45587</c:v>
                </c:pt>
                <c:pt idx="145">
                  <c:v>45586</c:v>
                </c:pt>
                <c:pt idx="146">
                  <c:v>45583</c:v>
                </c:pt>
                <c:pt idx="147">
                  <c:v>45582</c:v>
                </c:pt>
                <c:pt idx="148">
                  <c:v>45581</c:v>
                </c:pt>
                <c:pt idx="149">
                  <c:v>45580</c:v>
                </c:pt>
                <c:pt idx="150">
                  <c:v>45579</c:v>
                </c:pt>
                <c:pt idx="151">
                  <c:v>45576</c:v>
                </c:pt>
                <c:pt idx="152">
                  <c:v>45575</c:v>
                </c:pt>
                <c:pt idx="153">
                  <c:v>45574</c:v>
                </c:pt>
                <c:pt idx="154">
                  <c:v>45573</c:v>
                </c:pt>
                <c:pt idx="155">
                  <c:v>45565</c:v>
                </c:pt>
                <c:pt idx="156">
                  <c:v>45562</c:v>
                </c:pt>
                <c:pt idx="157">
                  <c:v>45561</c:v>
                </c:pt>
                <c:pt idx="158">
                  <c:v>45560</c:v>
                </c:pt>
                <c:pt idx="159">
                  <c:v>45559</c:v>
                </c:pt>
                <c:pt idx="160">
                  <c:v>45558</c:v>
                </c:pt>
                <c:pt idx="161">
                  <c:v>45555</c:v>
                </c:pt>
                <c:pt idx="162">
                  <c:v>45554</c:v>
                </c:pt>
                <c:pt idx="163">
                  <c:v>45553</c:v>
                </c:pt>
                <c:pt idx="164">
                  <c:v>45548</c:v>
                </c:pt>
                <c:pt idx="165">
                  <c:v>45547</c:v>
                </c:pt>
                <c:pt idx="166">
                  <c:v>45546</c:v>
                </c:pt>
                <c:pt idx="167">
                  <c:v>45545</c:v>
                </c:pt>
                <c:pt idx="168">
                  <c:v>45544</c:v>
                </c:pt>
                <c:pt idx="169">
                  <c:v>45541</c:v>
                </c:pt>
                <c:pt idx="170">
                  <c:v>45540</c:v>
                </c:pt>
                <c:pt idx="171">
                  <c:v>45539</c:v>
                </c:pt>
                <c:pt idx="172">
                  <c:v>45538</c:v>
                </c:pt>
                <c:pt idx="173">
                  <c:v>45537</c:v>
                </c:pt>
                <c:pt idx="174">
                  <c:v>45534</c:v>
                </c:pt>
                <c:pt idx="175">
                  <c:v>45533</c:v>
                </c:pt>
                <c:pt idx="176">
                  <c:v>45532</c:v>
                </c:pt>
                <c:pt idx="177">
                  <c:v>45531</c:v>
                </c:pt>
                <c:pt idx="178">
                  <c:v>45530</c:v>
                </c:pt>
                <c:pt idx="179">
                  <c:v>45527</c:v>
                </c:pt>
                <c:pt idx="180">
                  <c:v>45526</c:v>
                </c:pt>
                <c:pt idx="181">
                  <c:v>45525</c:v>
                </c:pt>
                <c:pt idx="182">
                  <c:v>45524</c:v>
                </c:pt>
                <c:pt idx="183">
                  <c:v>45523</c:v>
                </c:pt>
                <c:pt idx="184">
                  <c:v>45520</c:v>
                </c:pt>
                <c:pt idx="185">
                  <c:v>45519</c:v>
                </c:pt>
                <c:pt idx="186">
                  <c:v>45518</c:v>
                </c:pt>
                <c:pt idx="187">
                  <c:v>45517</c:v>
                </c:pt>
                <c:pt idx="188">
                  <c:v>45516</c:v>
                </c:pt>
                <c:pt idx="189">
                  <c:v>45513</c:v>
                </c:pt>
                <c:pt idx="190">
                  <c:v>45512</c:v>
                </c:pt>
                <c:pt idx="191">
                  <c:v>45511</c:v>
                </c:pt>
                <c:pt idx="192">
                  <c:v>45510</c:v>
                </c:pt>
                <c:pt idx="193">
                  <c:v>45509</c:v>
                </c:pt>
                <c:pt idx="194">
                  <c:v>45506</c:v>
                </c:pt>
                <c:pt idx="195">
                  <c:v>45505</c:v>
                </c:pt>
                <c:pt idx="196">
                  <c:v>45504</c:v>
                </c:pt>
                <c:pt idx="197">
                  <c:v>45503</c:v>
                </c:pt>
                <c:pt idx="198">
                  <c:v>45502</c:v>
                </c:pt>
                <c:pt idx="199">
                  <c:v>45499</c:v>
                </c:pt>
                <c:pt idx="200">
                  <c:v>45498</c:v>
                </c:pt>
                <c:pt idx="201">
                  <c:v>45497</c:v>
                </c:pt>
                <c:pt idx="202">
                  <c:v>45496</c:v>
                </c:pt>
                <c:pt idx="203">
                  <c:v>45495</c:v>
                </c:pt>
                <c:pt idx="204">
                  <c:v>45492</c:v>
                </c:pt>
                <c:pt idx="205">
                  <c:v>45491</c:v>
                </c:pt>
                <c:pt idx="206">
                  <c:v>45490</c:v>
                </c:pt>
                <c:pt idx="207">
                  <c:v>45489</c:v>
                </c:pt>
                <c:pt idx="208">
                  <c:v>45488</c:v>
                </c:pt>
                <c:pt idx="209">
                  <c:v>45485</c:v>
                </c:pt>
                <c:pt idx="210">
                  <c:v>45484</c:v>
                </c:pt>
                <c:pt idx="211">
                  <c:v>45483</c:v>
                </c:pt>
                <c:pt idx="212">
                  <c:v>45482</c:v>
                </c:pt>
                <c:pt idx="213">
                  <c:v>45481</c:v>
                </c:pt>
                <c:pt idx="214">
                  <c:v>45478</c:v>
                </c:pt>
                <c:pt idx="215">
                  <c:v>45477</c:v>
                </c:pt>
                <c:pt idx="216">
                  <c:v>45476</c:v>
                </c:pt>
                <c:pt idx="217">
                  <c:v>45475</c:v>
                </c:pt>
                <c:pt idx="218">
                  <c:v>45474</c:v>
                </c:pt>
                <c:pt idx="219">
                  <c:v>45471</c:v>
                </c:pt>
                <c:pt idx="220">
                  <c:v>45470</c:v>
                </c:pt>
                <c:pt idx="221">
                  <c:v>45469</c:v>
                </c:pt>
                <c:pt idx="222">
                  <c:v>45468</c:v>
                </c:pt>
                <c:pt idx="223">
                  <c:v>45467</c:v>
                </c:pt>
                <c:pt idx="224">
                  <c:v>45464</c:v>
                </c:pt>
                <c:pt idx="225">
                  <c:v>45463</c:v>
                </c:pt>
                <c:pt idx="226">
                  <c:v>45462</c:v>
                </c:pt>
                <c:pt idx="227">
                  <c:v>45461</c:v>
                </c:pt>
                <c:pt idx="228">
                  <c:v>45460</c:v>
                </c:pt>
                <c:pt idx="229">
                  <c:v>45457</c:v>
                </c:pt>
                <c:pt idx="230">
                  <c:v>45456</c:v>
                </c:pt>
                <c:pt idx="231">
                  <c:v>45455</c:v>
                </c:pt>
                <c:pt idx="232">
                  <c:v>45454</c:v>
                </c:pt>
                <c:pt idx="233">
                  <c:v>45450</c:v>
                </c:pt>
                <c:pt idx="234">
                  <c:v>45449</c:v>
                </c:pt>
                <c:pt idx="235">
                  <c:v>45448</c:v>
                </c:pt>
                <c:pt idx="236">
                  <c:v>45447</c:v>
                </c:pt>
                <c:pt idx="237">
                  <c:v>45446</c:v>
                </c:pt>
                <c:pt idx="238">
                  <c:v>45443</c:v>
                </c:pt>
                <c:pt idx="239">
                  <c:v>45442</c:v>
                </c:pt>
                <c:pt idx="240">
                  <c:v>45441</c:v>
                </c:pt>
                <c:pt idx="241">
                  <c:v>45440</c:v>
                </c:pt>
                <c:pt idx="242">
                  <c:v>45439</c:v>
                </c:pt>
                <c:pt idx="243">
                  <c:v>45436</c:v>
                </c:pt>
                <c:pt idx="244">
                  <c:v>45435</c:v>
                </c:pt>
                <c:pt idx="245">
                  <c:v>45434</c:v>
                </c:pt>
                <c:pt idx="246">
                  <c:v>45433</c:v>
                </c:pt>
                <c:pt idx="247">
                  <c:v>45432</c:v>
                </c:pt>
                <c:pt idx="248">
                  <c:v>45429</c:v>
                </c:pt>
                <c:pt idx="249">
                  <c:v>45428</c:v>
                </c:pt>
                <c:pt idx="250">
                  <c:v>45427</c:v>
                </c:pt>
                <c:pt idx="251">
                  <c:v>45426</c:v>
                </c:pt>
                <c:pt idx="252">
                  <c:v>45425</c:v>
                </c:pt>
                <c:pt idx="253">
                  <c:v>45422</c:v>
                </c:pt>
                <c:pt idx="254">
                  <c:v>45421</c:v>
                </c:pt>
                <c:pt idx="255">
                  <c:v>45420</c:v>
                </c:pt>
                <c:pt idx="256">
                  <c:v>45419</c:v>
                </c:pt>
                <c:pt idx="257">
                  <c:v>45418</c:v>
                </c:pt>
                <c:pt idx="258">
                  <c:v>45412</c:v>
                </c:pt>
                <c:pt idx="259">
                  <c:v>45411</c:v>
                </c:pt>
                <c:pt idx="260">
                  <c:v>45408</c:v>
                </c:pt>
                <c:pt idx="261">
                  <c:v>45407</c:v>
                </c:pt>
                <c:pt idx="262">
                  <c:v>45406</c:v>
                </c:pt>
                <c:pt idx="263">
                  <c:v>45405</c:v>
                </c:pt>
                <c:pt idx="264">
                  <c:v>45404</c:v>
                </c:pt>
                <c:pt idx="265">
                  <c:v>45401</c:v>
                </c:pt>
                <c:pt idx="266">
                  <c:v>45400</c:v>
                </c:pt>
                <c:pt idx="267">
                  <c:v>45399</c:v>
                </c:pt>
                <c:pt idx="268">
                  <c:v>45398</c:v>
                </c:pt>
                <c:pt idx="269">
                  <c:v>45397</c:v>
                </c:pt>
                <c:pt idx="270">
                  <c:v>45394</c:v>
                </c:pt>
                <c:pt idx="271">
                  <c:v>45393</c:v>
                </c:pt>
                <c:pt idx="272">
                  <c:v>45392</c:v>
                </c:pt>
                <c:pt idx="273">
                  <c:v>45391</c:v>
                </c:pt>
                <c:pt idx="274">
                  <c:v>45390</c:v>
                </c:pt>
                <c:pt idx="275">
                  <c:v>45385</c:v>
                </c:pt>
                <c:pt idx="276">
                  <c:v>45384</c:v>
                </c:pt>
                <c:pt idx="277">
                  <c:v>45383</c:v>
                </c:pt>
                <c:pt idx="278">
                  <c:v>45380</c:v>
                </c:pt>
                <c:pt idx="279">
                  <c:v>45379</c:v>
                </c:pt>
                <c:pt idx="280">
                  <c:v>45378</c:v>
                </c:pt>
                <c:pt idx="281">
                  <c:v>45377</c:v>
                </c:pt>
                <c:pt idx="282">
                  <c:v>45376</c:v>
                </c:pt>
                <c:pt idx="283">
                  <c:v>45373</c:v>
                </c:pt>
                <c:pt idx="284">
                  <c:v>45372</c:v>
                </c:pt>
                <c:pt idx="285">
                  <c:v>45371</c:v>
                </c:pt>
                <c:pt idx="286">
                  <c:v>45370</c:v>
                </c:pt>
                <c:pt idx="287">
                  <c:v>45369</c:v>
                </c:pt>
                <c:pt idx="288">
                  <c:v>45366</c:v>
                </c:pt>
                <c:pt idx="289">
                  <c:v>45365</c:v>
                </c:pt>
                <c:pt idx="290">
                  <c:v>45364</c:v>
                </c:pt>
                <c:pt idx="291">
                  <c:v>45363</c:v>
                </c:pt>
                <c:pt idx="292">
                  <c:v>45362</c:v>
                </c:pt>
                <c:pt idx="293">
                  <c:v>45359</c:v>
                </c:pt>
                <c:pt idx="294">
                  <c:v>45358</c:v>
                </c:pt>
                <c:pt idx="295">
                  <c:v>45357</c:v>
                </c:pt>
                <c:pt idx="296">
                  <c:v>45356</c:v>
                </c:pt>
                <c:pt idx="297">
                  <c:v>45355</c:v>
                </c:pt>
                <c:pt idx="298">
                  <c:v>45352</c:v>
                </c:pt>
                <c:pt idx="299">
                  <c:v>45351</c:v>
                </c:pt>
                <c:pt idx="300">
                  <c:v>45350</c:v>
                </c:pt>
                <c:pt idx="301">
                  <c:v>45349</c:v>
                </c:pt>
                <c:pt idx="302">
                  <c:v>45348</c:v>
                </c:pt>
                <c:pt idx="303">
                  <c:v>45345</c:v>
                </c:pt>
                <c:pt idx="304">
                  <c:v>45344</c:v>
                </c:pt>
                <c:pt idx="305">
                  <c:v>45343</c:v>
                </c:pt>
                <c:pt idx="306">
                  <c:v>45342</c:v>
                </c:pt>
                <c:pt idx="307">
                  <c:v>45341</c:v>
                </c:pt>
                <c:pt idx="308">
                  <c:v>45330</c:v>
                </c:pt>
                <c:pt idx="309">
                  <c:v>45329</c:v>
                </c:pt>
                <c:pt idx="310">
                  <c:v>45328</c:v>
                </c:pt>
                <c:pt idx="311">
                  <c:v>45327</c:v>
                </c:pt>
                <c:pt idx="312">
                  <c:v>45324</c:v>
                </c:pt>
                <c:pt idx="313">
                  <c:v>45323</c:v>
                </c:pt>
                <c:pt idx="314">
                  <c:v>45322</c:v>
                </c:pt>
                <c:pt idx="315">
                  <c:v>45321</c:v>
                </c:pt>
                <c:pt idx="316">
                  <c:v>45320</c:v>
                </c:pt>
                <c:pt idx="317">
                  <c:v>45317</c:v>
                </c:pt>
                <c:pt idx="318">
                  <c:v>45316</c:v>
                </c:pt>
                <c:pt idx="319">
                  <c:v>45315</c:v>
                </c:pt>
                <c:pt idx="320">
                  <c:v>45314</c:v>
                </c:pt>
                <c:pt idx="321">
                  <c:v>45313</c:v>
                </c:pt>
                <c:pt idx="322">
                  <c:v>45310</c:v>
                </c:pt>
                <c:pt idx="323">
                  <c:v>45309</c:v>
                </c:pt>
                <c:pt idx="324">
                  <c:v>45308</c:v>
                </c:pt>
                <c:pt idx="325">
                  <c:v>45307</c:v>
                </c:pt>
                <c:pt idx="326">
                  <c:v>45306</c:v>
                </c:pt>
                <c:pt idx="327">
                  <c:v>45303</c:v>
                </c:pt>
                <c:pt idx="328">
                  <c:v>45302</c:v>
                </c:pt>
                <c:pt idx="329">
                  <c:v>45301</c:v>
                </c:pt>
                <c:pt idx="330">
                  <c:v>45300</c:v>
                </c:pt>
                <c:pt idx="331">
                  <c:v>45299</c:v>
                </c:pt>
                <c:pt idx="332">
                  <c:v>45296</c:v>
                </c:pt>
                <c:pt idx="333">
                  <c:v>45295</c:v>
                </c:pt>
                <c:pt idx="334">
                  <c:v>45294</c:v>
                </c:pt>
                <c:pt idx="335">
                  <c:v>45293</c:v>
                </c:pt>
                <c:pt idx="336">
                  <c:v>45289</c:v>
                </c:pt>
                <c:pt idx="337">
                  <c:v>45288</c:v>
                </c:pt>
                <c:pt idx="338">
                  <c:v>45287</c:v>
                </c:pt>
                <c:pt idx="339">
                  <c:v>45286</c:v>
                </c:pt>
                <c:pt idx="340">
                  <c:v>45285</c:v>
                </c:pt>
                <c:pt idx="341">
                  <c:v>45282</c:v>
                </c:pt>
                <c:pt idx="342">
                  <c:v>45281</c:v>
                </c:pt>
                <c:pt idx="343">
                  <c:v>45280</c:v>
                </c:pt>
                <c:pt idx="344">
                  <c:v>45279</c:v>
                </c:pt>
                <c:pt idx="345">
                  <c:v>45278</c:v>
                </c:pt>
                <c:pt idx="346">
                  <c:v>45275</c:v>
                </c:pt>
                <c:pt idx="347">
                  <c:v>45274</c:v>
                </c:pt>
                <c:pt idx="348">
                  <c:v>45273</c:v>
                </c:pt>
                <c:pt idx="349">
                  <c:v>45272</c:v>
                </c:pt>
                <c:pt idx="350">
                  <c:v>45271</c:v>
                </c:pt>
                <c:pt idx="351">
                  <c:v>45268</c:v>
                </c:pt>
                <c:pt idx="352">
                  <c:v>45267</c:v>
                </c:pt>
                <c:pt idx="353">
                  <c:v>45266</c:v>
                </c:pt>
                <c:pt idx="354">
                  <c:v>45265</c:v>
                </c:pt>
                <c:pt idx="355">
                  <c:v>45264</c:v>
                </c:pt>
                <c:pt idx="356">
                  <c:v>45261</c:v>
                </c:pt>
                <c:pt idx="357">
                  <c:v>45260</c:v>
                </c:pt>
                <c:pt idx="358">
                  <c:v>45259</c:v>
                </c:pt>
                <c:pt idx="359">
                  <c:v>45258</c:v>
                </c:pt>
                <c:pt idx="360">
                  <c:v>45257</c:v>
                </c:pt>
                <c:pt idx="361">
                  <c:v>45254</c:v>
                </c:pt>
                <c:pt idx="362">
                  <c:v>45253</c:v>
                </c:pt>
                <c:pt idx="363">
                  <c:v>45252</c:v>
                </c:pt>
                <c:pt idx="364">
                  <c:v>45251</c:v>
                </c:pt>
                <c:pt idx="365">
                  <c:v>45250</c:v>
                </c:pt>
                <c:pt idx="366">
                  <c:v>45247</c:v>
                </c:pt>
                <c:pt idx="367">
                  <c:v>45246</c:v>
                </c:pt>
                <c:pt idx="368">
                  <c:v>45245</c:v>
                </c:pt>
                <c:pt idx="369">
                  <c:v>45244</c:v>
                </c:pt>
                <c:pt idx="370">
                  <c:v>45243</c:v>
                </c:pt>
                <c:pt idx="371">
                  <c:v>45240</c:v>
                </c:pt>
                <c:pt idx="372">
                  <c:v>45239</c:v>
                </c:pt>
                <c:pt idx="373">
                  <c:v>45238</c:v>
                </c:pt>
                <c:pt idx="374">
                  <c:v>45237</c:v>
                </c:pt>
                <c:pt idx="375">
                  <c:v>45236</c:v>
                </c:pt>
                <c:pt idx="376">
                  <c:v>45233</c:v>
                </c:pt>
                <c:pt idx="377">
                  <c:v>45232</c:v>
                </c:pt>
                <c:pt idx="378">
                  <c:v>45231</c:v>
                </c:pt>
                <c:pt idx="379">
                  <c:v>45230</c:v>
                </c:pt>
                <c:pt idx="380">
                  <c:v>45229</c:v>
                </c:pt>
                <c:pt idx="381">
                  <c:v>45226</c:v>
                </c:pt>
                <c:pt idx="382">
                  <c:v>45225</c:v>
                </c:pt>
                <c:pt idx="383">
                  <c:v>45224</c:v>
                </c:pt>
                <c:pt idx="384">
                  <c:v>45223</c:v>
                </c:pt>
                <c:pt idx="385">
                  <c:v>45222</c:v>
                </c:pt>
                <c:pt idx="386">
                  <c:v>45219</c:v>
                </c:pt>
                <c:pt idx="387">
                  <c:v>45218</c:v>
                </c:pt>
                <c:pt idx="388">
                  <c:v>45217</c:v>
                </c:pt>
                <c:pt idx="389">
                  <c:v>45216</c:v>
                </c:pt>
                <c:pt idx="390">
                  <c:v>45215</c:v>
                </c:pt>
                <c:pt idx="391">
                  <c:v>45212</c:v>
                </c:pt>
                <c:pt idx="392">
                  <c:v>45211</c:v>
                </c:pt>
                <c:pt idx="393">
                  <c:v>45210</c:v>
                </c:pt>
                <c:pt idx="394">
                  <c:v>45209</c:v>
                </c:pt>
                <c:pt idx="395">
                  <c:v>45208</c:v>
                </c:pt>
                <c:pt idx="396">
                  <c:v>45197</c:v>
                </c:pt>
                <c:pt idx="397">
                  <c:v>45196</c:v>
                </c:pt>
                <c:pt idx="398">
                  <c:v>45195</c:v>
                </c:pt>
                <c:pt idx="399">
                  <c:v>45194</c:v>
                </c:pt>
                <c:pt idx="400">
                  <c:v>45191</c:v>
                </c:pt>
                <c:pt idx="401">
                  <c:v>45190</c:v>
                </c:pt>
                <c:pt idx="402">
                  <c:v>45189</c:v>
                </c:pt>
                <c:pt idx="403">
                  <c:v>45188</c:v>
                </c:pt>
                <c:pt idx="404">
                  <c:v>45187</c:v>
                </c:pt>
                <c:pt idx="405">
                  <c:v>45184</c:v>
                </c:pt>
                <c:pt idx="406">
                  <c:v>45183</c:v>
                </c:pt>
                <c:pt idx="407">
                  <c:v>45182</c:v>
                </c:pt>
                <c:pt idx="408">
                  <c:v>45181</c:v>
                </c:pt>
                <c:pt idx="409">
                  <c:v>45180</c:v>
                </c:pt>
                <c:pt idx="410">
                  <c:v>45177</c:v>
                </c:pt>
                <c:pt idx="411">
                  <c:v>45176</c:v>
                </c:pt>
                <c:pt idx="412">
                  <c:v>45175</c:v>
                </c:pt>
                <c:pt idx="413">
                  <c:v>45174</c:v>
                </c:pt>
                <c:pt idx="414">
                  <c:v>45173</c:v>
                </c:pt>
                <c:pt idx="415">
                  <c:v>45170</c:v>
                </c:pt>
                <c:pt idx="416">
                  <c:v>45169</c:v>
                </c:pt>
                <c:pt idx="417">
                  <c:v>45168</c:v>
                </c:pt>
                <c:pt idx="418">
                  <c:v>45167</c:v>
                </c:pt>
                <c:pt idx="419">
                  <c:v>45166</c:v>
                </c:pt>
                <c:pt idx="420">
                  <c:v>45163</c:v>
                </c:pt>
                <c:pt idx="421">
                  <c:v>45162</c:v>
                </c:pt>
                <c:pt idx="422">
                  <c:v>45161</c:v>
                </c:pt>
                <c:pt idx="423">
                  <c:v>45160</c:v>
                </c:pt>
                <c:pt idx="424">
                  <c:v>45159</c:v>
                </c:pt>
                <c:pt idx="425">
                  <c:v>45156</c:v>
                </c:pt>
                <c:pt idx="426">
                  <c:v>45155</c:v>
                </c:pt>
                <c:pt idx="427">
                  <c:v>45154</c:v>
                </c:pt>
                <c:pt idx="428">
                  <c:v>45153</c:v>
                </c:pt>
                <c:pt idx="429">
                  <c:v>45152</c:v>
                </c:pt>
                <c:pt idx="430">
                  <c:v>45149</c:v>
                </c:pt>
                <c:pt idx="431">
                  <c:v>45148</c:v>
                </c:pt>
                <c:pt idx="432">
                  <c:v>45147</c:v>
                </c:pt>
                <c:pt idx="433">
                  <c:v>45146</c:v>
                </c:pt>
                <c:pt idx="434">
                  <c:v>45145</c:v>
                </c:pt>
                <c:pt idx="435">
                  <c:v>45142</c:v>
                </c:pt>
                <c:pt idx="436">
                  <c:v>45141</c:v>
                </c:pt>
                <c:pt idx="437">
                  <c:v>45140</c:v>
                </c:pt>
                <c:pt idx="438">
                  <c:v>45139</c:v>
                </c:pt>
                <c:pt idx="439">
                  <c:v>45138</c:v>
                </c:pt>
                <c:pt idx="440">
                  <c:v>45135</c:v>
                </c:pt>
                <c:pt idx="441">
                  <c:v>45134</c:v>
                </c:pt>
                <c:pt idx="442">
                  <c:v>45133</c:v>
                </c:pt>
                <c:pt idx="443">
                  <c:v>45132</c:v>
                </c:pt>
                <c:pt idx="444">
                  <c:v>45131</c:v>
                </c:pt>
                <c:pt idx="445">
                  <c:v>45128</c:v>
                </c:pt>
                <c:pt idx="446">
                  <c:v>45127</c:v>
                </c:pt>
                <c:pt idx="447">
                  <c:v>45126</c:v>
                </c:pt>
                <c:pt idx="448">
                  <c:v>45125</c:v>
                </c:pt>
                <c:pt idx="449">
                  <c:v>45124</c:v>
                </c:pt>
                <c:pt idx="450">
                  <c:v>45121</c:v>
                </c:pt>
                <c:pt idx="451">
                  <c:v>45120</c:v>
                </c:pt>
                <c:pt idx="452">
                  <c:v>45119</c:v>
                </c:pt>
                <c:pt idx="453">
                  <c:v>45118</c:v>
                </c:pt>
                <c:pt idx="454">
                  <c:v>45117</c:v>
                </c:pt>
                <c:pt idx="455">
                  <c:v>45114</c:v>
                </c:pt>
                <c:pt idx="456">
                  <c:v>45113</c:v>
                </c:pt>
                <c:pt idx="457">
                  <c:v>45112</c:v>
                </c:pt>
                <c:pt idx="458">
                  <c:v>45111</c:v>
                </c:pt>
                <c:pt idx="459">
                  <c:v>45110</c:v>
                </c:pt>
                <c:pt idx="460">
                  <c:v>45107</c:v>
                </c:pt>
                <c:pt idx="461">
                  <c:v>45106</c:v>
                </c:pt>
                <c:pt idx="462">
                  <c:v>45105</c:v>
                </c:pt>
                <c:pt idx="463">
                  <c:v>45104</c:v>
                </c:pt>
                <c:pt idx="464">
                  <c:v>45103</c:v>
                </c:pt>
                <c:pt idx="465">
                  <c:v>45098</c:v>
                </c:pt>
                <c:pt idx="466">
                  <c:v>45097</c:v>
                </c:pt>
                <c:pt idx="467">
                  <c:v>45096</c:v>
                </c:pt>
                <c:pt idx="468">
                  <c:v>45093</c:v>
                </c:pt>
                <c:pt idx="469">
                  <c:v>45092</c:v>
                </c:pt>
                <c:pt idx="470">
                  <c:v>45091</c:v>
                </c:pt>
                <c:pt idx="471">
                  <c:v>45090</c:v>
                </c:pt>
                <c:pt idx="472">
                  <c:v>45089</c:v>
                </c:pt>
                <c:pt idx="473">
                  <c:v>45086</c:v>
                </c:pt>
                <c:pt idx="474">
                  <c:v>45085</c:v>
                </c:pt>
                <c:pt idx="475">
                  <c:v>45084</c:v>
                </c:pt>
                <c:pt idx="476">
                  <c:v>45083</c:v>
                </c:pt>
                <c:pt idx="477">
                  <c:v>45082</c:v>
                </c:pt>
                <c:pt idx="478">
                  <c:v>45079</c:v>
                </c:pt>
                <c:pt idx="479">
                  <c:v>45078</c:v>
                </c:pt>
                <c:pt idx="480">
                  <c:v>45077</c:v>
                </c:pt>
                <c:pt idx="481">
                  <c:v>45076</c:v>
                </c:pt>
                <c:pt idx="482">
                  <c:v>45075</c:v>
                </c:pt>
                <c:pt idx="483">
                  <c:v>45072</c:v>
                </c:pt>
                <c:pt idx="484">
                  <c:v>45071</c:v>
                </c:pt>
                <c:pt idx="485">
                  <c:v>45070</c:v>
                </c:pt>
                <c:pt idx="486">
                  <c:v>45069</c:v>
                </c:pt>
                <c:pt idx="487">
                  <c:v>45068</c:v>
                </c:pt>
                <c:pt idx="488">
                  <c:v>45065</c:v>
                </c:pt>
                <c:pt idx="489">
                  <c:v>45064</c:v>
                </c:pt>
                <c:pt idx="490">
                  <c:v>45063</c:v>
                </c:pt>
                <c:pt idx="491">
                  <c:v>45062</c:v>
                </c:pt>
                <c:pt idx="492">
                  <c:v>45061</c:v>
                </c:pt>
                <c:pt idx="493">
                  <c:v>45058</c:v>
                </c:pt>
                <c:pt idx="494">
                  <c:v>45057</c:v>
                </c:pt>
                <c:pt idx="495">
                  <c:v>45056</c:v>
                </c:pt>
                <c:pt idx="496">
                  <c:v>45055</c:v>
                </c:pt>
                <c:pt idx="497">
                  <c:v>45054</c:v>
                </c:pt>
                <c:pt idx="498">
                  <c:v>45051</c:v>
                </c:pt>
                <c:pt idx="499">
                  <c:v>45050</c:v>
                </c:pt>
                <c:pt idx="500">
                  <c:v>45044</c:v>
                </c:pt>
                <c:pt idx="501">
                  <c:v>45043</c:v>
                </c:pt>
                <c:pt idx="502">
                  <c:v>45042</c:v>
                </c:pt>
                <c:pt idx="503">
                  <c:v>45041</c:v>
                </c:pt>
                <c:pt idx="504">
                  <c:v>45040</c:v>
                </c:pt>
                <c:pt idx="505">
                  <c:v>45037</c:v>
                </c:pt>
                <c:pt idx="506">
                  <c:v>45036</c:v>
                </c:pt>
                <c:pt idx="507">
                  <c:v>45035</c:v>
                </c:pt>
                <c:pt idx="508">
                  <c:v>45034</c:v>
                </c:pt>
                <c:pt idx="509">
                  <c:v>45033</c:v>
                </c:pt>
                <c:pt idx="510">
                  <c:v>45030</c:v>
                </c:pt>
                <c:pt idx="511">
                  <c:v>45029</c:v>
                </c:pt>
                <c:pt idx="512">
                  <c:v>45028</c:v>
                </c:pt>
                <c:pt idx="513">
                  <c:v>45027</c:v>
                </c:pt>
                <c:pt idx="514">
                  <c:v>45026</c:v>
                </c:pt>
                <c:pt idx="515">
                  <c:v>45023</c:v>
                </c:pt>
                <c:pt idx="516">
                  <c:v>45022</c:v>
                </c:pt>
                <c:pt idx="517">
                  <c:v>45020</c:v>
                </c:pt>
                <c:pt idx="518">
                  <c:v>45019</c:v>
                </c:pt>
                <c:pt idx="519">
                  <c:v>45016</c:v>
                </c:pt>
                <c:pt idx="520">
                  <c:v>45015</c:v>
                </c:pt>
                <c:pt idx="521">
                  <c:v>45014</c:v>
                </c:pt>
                <c:pt idx="522">
                  <c:v>45013</c:v>
                </c:pt>
                <c:pt idx="523">
                  <c:v>45012</c:v>
                </c:pt>
                <c:pt idx="524">
                  <c:v>45009</c:v>
                </c:pt>
                <c:pt idx="525">
                  <c:v>45008</c:v>
                </c:pt>
                <c:pt idx="526">
                  <c:v>45007</c:v>
                </c:pt>
                <c:pt idx="527">
                  <c:v>45006</c:v>
                </c:pt>
                <c:pt idx="528">
                  <c:v>45005</c:v>
                </c:pt>
                <c:pt idx="529">
                  <c:v>45002</c:v>
                </c:pt>
                <c:pt idx="530">
                  <c:v>45001</c:v>
                </c:pt>
                <c:pt idx="531">
                  <c:v>45000</c:v>
                </c:pt>
                <c:pt idx="532">
                  <c:v>44999</c:v>
                </c:pt>
                <c:pt idx="533">
                  <c:v>44998</c:v>
                </c:pt>
                <c:pt idx="534">
                  <c:v>44995</c:v>
                </c:pt>
                <c:pt idx="535">
                  <c:v>44994</c:v>
                </c:pt>
                <c:pt idx="536">
                  <c:v>44993</c:v>
                </c:pt>
                <c:pt idx="537">
                  <c:v>44992</c:v>
                </c:pt>
                <c:pt idx="538">
                  <c:v>44991</c:v>
                </c:pt>
                <c:pt idx="539">
                  <c:v>44988</c:v>
                </c:pt>
                <c:pt idx="540">
                  <c:v>44987</c:v>
                </c:pt>
                <c:pt idx="541">
                  <c:v>44986</c:v>
                </c:pt>
                <c:pt idx="542">
                  <c:v>44985</c:v>
                </c:pt>
                <c:pt idx="543">
                  <c:v>44984</c:v>
                </c:pt>
                <c:pt idx="544">
                  <c:v>44981</c:v>
                </c:pt>
                <c:pt idx="545">
                  <c:v>44980</c:v>
                </c:pt>
                <c:pt idx="546">
                  <c:v>44979</c:v>
                </c:pt>
                <c:pt idx="547">
                  <c:v>44978</c:v>
                </c:pt>
                <c:pt idx="548">
                  <c:v>44977</c:v>
                </c:pt>
                <c:pt idx="549">
                  <c:v>44974</c:v>
                </c:pt>
                <c:pt idx="550">
                  <c:v>44973</c:v>
                </c:pt>
                <c:pt idx="551">
                  <c:v>44972</c:v>
                </c:pt>
                <c:pt idx="552">
                  <c:v>44971</c:v>
                </c:pt>
                <c:pt idx="553">
                  <c:v>44970</c:v>
                </c:pt>
                <c:pt idx="554">
                  <c:v>44967</c:v>
                </c:pt>
                <c:pt idx="555">
                  <c:v>44966</c:v>
                </c:pt>
                <c:pt idx="556">
                  <c:v>44965</c:v>
                </c:pt>
                <c:pt idx="557">
                  <c:v>44964</c:v>
                </c:pt>
                <c:pt idx="558">
                  <c:v>44963</c:v>
                </c:pt>
                <c:pt idx="559">
                  <c:v>44960</c:v>
                </c:pt>
                <c:pt idx="560">
                  <c:v>44959</c:v>
                </c:pt>
                <c:pt idx="561">
                  <c:v>44958</c:v>
                </c:pt>
                <c:pt idx="562">
                  <c:v>44957</c:v>
                </c:pt>
                <c:pt idx="563">
                  <c:v>44956</c:v>
                </c:pt>
                <c:pt idx="564">
                  <c:v>44946</c:v>
                </c:pt>
                <c:pt idx="565">
                  <c:v>44945</c:v>
                </c:pt>
                <c:pt idx="566">
                  <c:v>44944</c:v>
                </c:pt>
                <c:pt idx="567">
                  <c:v>44943</c:v>
                </c:pt>
                <c:pt idx="568">
                  <c:v>44942</c:v>
                </c:pt>
                <c:pt idx="569">
                  <c:v>44939</c:v>
                </c:pt>
                <c:pt idx="570">
                  <c:v>44938</c:v>
                </c:pt>
                <c:pt idx="571">
                  <c:v>44937</c:v>
                </c:pt>
                <c:pt idx="572">
                  <c:v>44936</c:v>
                </c:pt>
                <c:pt idx="573">
                  <c:v>44935</c:v>
                </c:pt>
                <c:pt idx="574">
                  <c:v>44932</c:v>
                </c:pt>
                <c:pt idx="575">
                  <c:v>44931</c:v>
                </c:pt>
                <c:pt idx="576">
                  <c:v>44930</c:v>
                </c:pt>
                <c:pt idx="577">
                  <c:v>44929</c:v>
                </c:pt>
                <c:pt idx="578">
                  <c:v>44925</c:v>
                </c:pt>
                <c:pt idx="579">
                  <c:v>44924</c:v>
                </c:pt>
                <c:pt idx="580">
                  <c:v>44923</c:v>
                </c:pt>
                <c:pt idx="581">
                  <c:v>44922</c:v>
                </c:pt>
                <c:pt idx="582">
                  <c:v>44921</c:v>
                </c:pt>
                <c:pt idx="583">
                  <c:v>44918</c:v>
                </c:pt>
                <c:pt idx="584">
                  <c:v>44917</c:v>
                </c:pt>
                <c:pt idx="585">
                  <c:v>44916</c:v>
                </c:pt>
                <c:pt idx="586">
                  <c:v>44915</c:v>
                </c:pt>
                <c:pt idx="587">
                  <c:v>44914</c:v>
                </c:pt>
                <c:pt idx="588">
                  <c:v>44911</c:v>
                </c:pt>
                <c:pt idx="589">
                  <c:v>44910</c:v>
                </c:pt>
                <c:pt idx="590">
                  <c:v>44909</c:v>
                </c:pt>
                <c:pt idx="591">
                  <c:v>44908</c:v>
                </c:pt>
                <c:pt idx="592">
                  <c:v>44907</c:v>
                </c:pt>
                <c:pt idx="593">
                  <c:v>44904</c:v>
                </c:pt>
                <c:pt idx="594">
                  <c:v>44903</c:v>
                </c:pt>
                <c:pt idx="595">
                  <c:v>44902</c:v>
                </c:pt>
                <c:pt idx="596">
                  <c:v>44901</c:v>
                </c:pt>
                <c:pt idx="597">
                  <c:v>44900</c:v>
                </c:pt>
                <c:pt idx="598">
                  <c:v>44897</c:v>
                </c:pt>
                <c:pt idx="599">
                  <c:v>44896</c:v>
                </c:pt>
                <c:pt idx="600">
                  <c:v>44895</c:v>
                </c:pt>
                <c:pt idx="601">
                  <c:v>44894</c:v>
                </c:pt>
                <c:pt idx="602">
                  <c:v>44893</c:v>
                </c:pt>
                <c:pt idx="603">
                  <c:v>44890</c:v>
                </c:pt>
                <c:pt idx="604">
                  <c:v>44889</c:v>
                </c:pt>
                <c:pt idx="605">
                  <c:v>44888</c:v>
                </c:pt>
                <c:pt idx="606">
                  <c:v>44887</c:v>
                </c:pt>
                <c:pt idx="607">
                  <c:v>44886</c:v>
                </c:pt>
                <c:pt idx="608">
                  <c:v>44883</c:v>
                </c:pt>
                <c:pt idx="609">
                  <c:v>44882</c:v>
                </c:pt>
                <c:pt idx="610">
                  <c:v>44881</c:v>
                </c:pt>
                <c:pt idx="611">
                  <c:v>44880</c:v>
                </c:pt>
                <c:pt idx="612">
                  <c:v>44879</c:v>
                </c:pt>
                <c:pt idx="613">
                  <c:v>44876</c:v>
                </c:pt>
                <c:pt idx="614">
                  <c:v>44875</c:v>
                </c:pt>
                <c:pt idx="615">
                  <c:v>44874</c:v>
                </c:pt>
                <c:pt idx="616">
                  <c:v>44873</c:v>
                </c:pt>
                <c:pt idx="617">
                  <c:v>44872</c:v>
                </c:pt>
                <c:pt idx="618">
                  <c:v>44869</c:v>
                </c:pt>
                <c:pt idx="619">
                  <c:v>44868</c:v>
                </c:pt>
                <c:pt idx="620">
                  <c:v>44867</c:v>
                </c:pt>
                <c:pt idx="621">
                  <c:v>44866</c:v>
                </c:pt>
                <c:pt idx="622">
                  <c:v>44865</c:v>
                </c:pt>
                <c:pt idx="623">
                  <c:v>44862</c:v>
                </c:pt>
                <c:pt idx="624">
                  <c:v>44861</c:v>
                </c:pt>
                <c:pt idx="625">
                  <c:v>44860</c:v>
                </c:pt>
                <c:pt idx="626">
                  <c:v>44859</c:v>
                </c:pt>
                <c:pt idx="627">
                  <c:v>44858</c:v>
                </c:pt>
                <c:pt idx="628">
                  <c:v>44855</c:v>
                </c:pt>
                <c:pt idx="629">
                  <c:v>44854</c:v>
                </c:pt>
                <c:pt idx="630">
                  <c:v>44853</c:v>
                </c:pt>
                <c:pt idx="631">
                  <c:v>44852</c:v>
                </c:pt>
                <c:pt idx="632">
                  <c:v>44851</c:v>
                </c:pt>
                <c:pt idx="633">
                  <c:v>44848</c:v>
                </c:pt>
                <c:pt idx="634">
                  <c:v>44847</c:v>
                </c:pt>
                <c:pt idx="635">
                  <c:v>44846</c:v>
                </c:pt>
                <c:pt idx="636">
                  <c:v>44845</c:v>
                </c:pt>
                <c:pt idx="637">
                  <c:v>44844</c:v>
                </c:pt>
                <c:pt idx="638">
                  <c:v>44834</c:v>
                </c:pt>
                <c:pt idx="639">
                  <c:v>44833</c:v>
                </c:pt>
                <c:pt idx="640">
                  <c:v>44832</c:v>
                </c:pt>
                <c:pt idx="641">
                  <c:v>44831</c:v>
                </c:pt>
                <c:pt idx="642">
                  <c:v>44830</c:v>
                </c:pt>
                <c:pt idx="643">
                  <c:v>44827</c:v>
                </c:pt>
                <c:pt idx="644">
                  <c:v>44826</c:v>
                </c:pt>
                <c:pt idx="645">
                  <c:v>44825</c:v>
                </c:pt>
                <c:pt idx="646">
                  <c:v>44824</c:v>
                </c:pt>
                <c:pt idx="647">
                  <c:v>44823</c:v>
                </c:pt>
                <c:pt idx="648">
                  <c:v>44820</c:v>
                </c:pt>
                <c:pt idx="649">
                  <c:v>44819</c:v>
                </c:pt>
                <c:pt idx="650">
                  <c:v>44818</c:v>
                </c:pt>
                <c:pt idx="651">
                  <c:v>44817</c:v>
                </c:pt>
                <c:pt idx="652">
                  <c:v>44813</c:v>
                </c:pt>
                <c:pt idx="653">
                  <c:v>44812</c:v>
                </c:pt>
                <c:pt idx="654">
                  <c:v>44811</c:v>
                </c:pt>
                <c:pt idx="655">
                  <c:v>44810</c:v>
                </c:pt>
                <c:pt idx="656">
                  <c:v>44809</c:v>
                </c:pt>
                <c:pt idx="657">
                  <c:v>44806</c:v>
                </c:pt>
                <c:pt idx="658">
                  <c:v>44805</c:v>
                </c:pt>
                <c:pt idx="659">
                  <c:v>44804</c:v>
                </c:pt>
                <c:pt idx="660">
                  <c:v>44803</c:v>
                </c:pt>
                <c:pt idx="661">
                  <c:v>44802</c:v>
                </c:pt>
                <c:pt idx="662">
                  <c:v>44799</c:v>
                </c:pt>
                <c:pt idx="663">
                  <c:v>44798</c:v>
                </c:pt>
                <c:pt idx="664">
                  <c:v>44797</c:v>
                </c:pt>
                <c:pt idx="665">
                  <c:v>44796</c:v>
                </c:pt>
                <c:pt idx="666">
                  <c:v>44795</c:v>
                </c:pt>
                <c:pt idx="667">
                  <c:v>44792</c:v>
                </c:pt>
                <c:pt idx="668">
                  <c:v>44791</c:v>
                </c:pt>
                <c:pt idx="669">
                  <c:v>44790</c:v>
                </c:pt>
                <c:pt idx="670">
                  <c:v>44789</c:v>
                </c:pt>
                <c:pt idx="671">
                  <c:v>44788</c:v>
                </c:pt>
                <c:pt idx="672">
                  <c:v>44785</c:v>
                </c:pt>
                <c:pt idx="673">
                  <c:v>44784</c:v>
                </c:pt>
                <c:pt idx="674">
                  <c:v>44783</c:v>
                </c:pt>
                <c:pt idx="675">
                  <c:v>44782</c:v>
                </c:pt>
                <c:pt idx="676">
                  <c:v>44781</c:v>
                </c:pt>
                <c:pt idx="677">
                  <c:v>44778</c:v>
                </c:pt>
                <c:pt idx="678">
                  <c:v>44777</c:v>
                </c:pt>
                <c:pt idx="679">
                  <c:v>44776</c:v>
                </c:pt>
                <c:pt idx="680">
                  <c:v>44775</c:v>
                </c:pt>
                <c:pt idx="681">
                  <c:v>44774</c:v>
                </c:pt>
                <c:pt idx="682">
                  <c:v>44771</c:v>
                </c:pt>
                <c:pt idx="683">
                  <c:v>44770</c:v>
                </c:pt>
                <c:pt idx="684">
                  <c:v>44769</c:v>
                </c:pt>
                <c:pt idx="685">
                  <c:v>44768</c:v>
                </c:pt>
                <c:pt idx="686">
                  <c:v>44767</c:v>
                </c:pt>
                <c:pt idx="687">
                  <c:v>44764</c:v>
                </c:pt>
                <c:pt idx="688">
                  <c:v>44763</c:v>
                </c:pt>
                <c:pt idx="689">
                  <c:v>44762</c:v>
                </c:pt>
                <c:pt idx="690">
                  <c:v>44761</c:v>
                </c:pt>
                <c:pt idx="691">
                  <c:v>44760</c:v>
                </c:pt>
                <c:pt idx="692">
                  <c:v>44757</c:v>
                </c:pt>
                <c:pt idx="693">
                  <c:v>44756</c:v>
                </c:pt>
                <c:pt idx="694">
                  <c:v>44755</c:v>
                </c:pt>
                <c:pt idx="695">
                  <c:v>44754</c:v>
                </c:pt>
                <c:pt idx="696">
                  <c:v>44753</c:v>
                </c:pt>
                <c:pt idx="697">
                  <c:v>44750</c:v>
                </c:pt>
                <c:pt idx="698">
                  <c:v>44749</c:v>
                </c:pt>
                <c:pt idx="699">
                  <c:v>44748</c:v>
                </c:pt>
                <c:pt idx="700">
                  <c:v>44747</c:v>
                </c:pt>
                <c:pt idx="701">
                  <c:v>44746</c:v>
                </c:pt>
                <c:pt idx="702">
                  <c:v>44743</c:v>
                </c:pt>
                <c:pt idx="703">
                  <c:v>44742</c:v>
                </c:pt>
                <c:pt idx="704">
                  <c:v>44741</c:v>
                </c:pt>
                <c:pt idx="705">
                  <c:v>44740</c:v>
                </c:pt>
                <c:pt idx="706">
                  <c:v>44739</c:v>
                </c:pt>
                <c:pt idx="707">
                  <c:v>44736</c:v>
                </c:pt>
                <c:pt idx="708">
                  <c:v>44735</c:v>
                </c:pt>
                <c:pt idx="709">
                  <c:v>44734</c:v>
                </c:pt>
                <c:pt idx="710">
                  <c:v>44733</c:v>
                </c:pt>
                <c:pt idx="711">
                  <c:v>44732</c:v>
                </c:pt>
                <c:pt idx="712">
                  <c:v>44729</c:v>
                </c:pt>
                <c:pt idx="713">
                  <c:v>44728</c:v>
                </c:pt>
                <c:pt idx="714">
                  <c:v>44727</c:v>
                </c:pt>
                <c:pt idx="715">
                  <c:v>44726</c:v>
                </c:pt>
                <c:pt idx="716">
                  <c:v>44725</c:v>
                </c:pt>
                <c:pt idx="717">
                  <c:v>44722</c:v>
                </c:pt>
                <c:pt idx="718">
                  <c:v>44721</c:v>
                </c:pt>
                <c:pt idx="719">
                  <c:v>44720</c:v>
                </c:pt>
                <c:pt idx="720">
                  <c:v>44719</c:v>
                </c:pt>
                <c:pt idx="721">
                  <c:v>44718</c:v>
                </c:pt>
                <c:pt idx="722">
                  <c:v>44714</c:v>
                </c:pt>
                <c:pt idx="723">
                  <c:v>44713</c:v>
                </c:pt>
                <c:pt idx="724">
                  <c:v>44712</c:v>
                </c:pt>
                <c:pt idx="725">
                  <c:v>44711</c:v>
                </c:pt>
                <c:pt idx="726">
                  <c:v>44708</c:v>
                </c:pt>
                <c:pt idx="727">
                  <c:v>44707</c:v>
                </c:pt>
                <c:pt idx="728">
                  <c:v>44706</c:v>
                </c:pt>
                <c:pt idx="729">
                  <c:v>44705</c:v>
                </c:pt>
                <c:pt idx="730">
                  <c:v>44704</c:v>
                </c:pt>
                <c:pt idx="731">
                  <c:v>44701</c:v>
                </c:pt>
                <c:pt idx="732">
                  <c:v>44700</c:v>
                </c:pt>
                <c:pt idx="733">
                  <c:v>44699</c:v>
                </c:pt>
                <c:pt idx="734">
                  <c:v>44698</c:v>
                </c:pt>
                <c:pt idx="735">
                  <c:v>44697</c:v>
                </c:pt>
                <c:pt idx="736">
                  <c:v>44694</c:v>
                </c:pt>
                <c:pt idx="737">
                  <c:v>44693</c:v>
                </c:pt>
                <c:pt idx="738">
                  <c:v>44692</c:v>
                </c:pt>
                <c:pt idx="739">
                  <c:v>44691</c:v>
                </c:pt>
                <c:pt idx="740">
                  <c:v>44690</c:v>
                </c:pt>
                <c:pt idx="741">
                  <c:v>44687</c:v>
                </c:pt>
                <c:pt idx="742">
                  <c:v>44686</c:v>
                </c:pt>
                <c:pt idx="743">
                  <c:v>44680</c:v>
                </c:pt>
                <c:pt idx="744">
                  <c:v>44679</c:v>
                </c:pt>
                <c:pt idx="745">
                  <c:v>44678</c:v>
                </c:pt>
                <c:pt idx="746">
                  <c:v>44677</c:v>
                </c:pt>
                <c:pt idx="747">
                  <c:v>44676</c:v>
                </c:pt>
                <c:pt idx="748">
                  <c:v>44673</c:v>
                </c:pt>
                <c:pt idx="749">
                  <c:v>44672</c:v>
                </c:pt>
                <c:pt idx="750">
                  <c:v>44671</c:v>
                </c:pt>
                <c:pt idx="751">
                  <c:v>44670</c:v>
                </c:pt>
                <c:pt idx="752">
                  <c:v>44669</c:v>
                </c:pt>
                <c:pt idx="753">
                  <c:v>44666</c:v>
                </c:pt>
                <c:pt idx="754">
                  <c:v>44665</c:v>
                </c:pt>
                <c:pt idx="755">
                  <c:v>44664</c:v>
                </c:pt>
                <c:pt idx="756">
                  <c:v>44663</c:v>
                </c:pt>
                <c:pt idx="757">
                  <c:v>44662</c:v>
                </c:pt>
                <c:pt idx="758">
                  <c:v>44659</c:v>
                </c:pt>
                <c:pt idx="759">
                  <c:v>44658</c:v>
                </c:pt>
                <c:pt idx="760">
                  <c:v>44657</c:v>
                </c:pt>
                <c:pt idx="761">
                  <c:v>44652</c:v>
                </c:pt>
                <c:pt idx="762">
                  <c:v>44651</c:v>
                </c:pt>
                <c:pt idx="763">
                  <c:v>44650</c:v>
                </c:pt>
                <c:pt idx="764">
                  <c:v>44649</c:v>
                </c:pt>
                <c:pt idx="765">
                  <c:v>44648</c:v>
                </c:pt>
                <c:pt idx="766">
                  <c:v>44645</c:v>
                </c:pt>
                <c:pt idx="767">
                  <c:v>44644</c:v>
                </c:pt>
                <c:pt idx="768">
                  <c:v>44643</c:v>
                </c:pt>
                <c:pt idx="769">
                  <c:v>44642</c:v>
                </c:pt>
                <c:pt idx="770">
                  <c:v>44641</c:v>
                </c:pt>
                <c:pt idx="771">
                  <c:v>44638</c:v>
                </c:pt>
                <c:pt idx="772">
                  <c:v>44637</c:v>
                </c:pt>
                <c:pt idx="773">
                  <c:v>44636</c:v>
                </c:pt>
                <c:pt idx="774">
                  <c:v>44635</c:v>
                </c:pt>
                <c:pt idx="775">
                  <c:v>44634</c:v>
                </c:pt>
                <c:pt idx="776">
                  <c:v>44631</c:v>
                </c:pt>
                <c:pt idx="777">
                  <c:v>44630</c:v>
                </c:pt>
                <c:pt idx="778">
                  <c:v>44629</c:v>
                </c:pt>
                <c:pt idx="779">
                  <c:v>44628</c:v>
                </c:pt>
                <c:pt idx="780">
                  <c:v>44627</c:v>
                </c:pt>
                <c:pt idx="781">
                  <c:v>44624</c:v>
                </c:pt>
                <c:pt idx="782">
                  <c:v>44623</c:v>
                </c:pt>
                <c:pt idx="783">
                  <c:v>44622</c:v>
                </c:pt>
                <c:pt idx="784">
                  <c:v>44621</c:v>
                </c:pt>
                <c:pt idx="785">
                  <c:v>44620</c:v>
                </c:pt>
                <c:pt idx="786">
                  <c:v>44617</c:v>
                </c:pt>
                <c:pt idx="787">
                  <c:v>44616</c:v>
                </c:pt>
                <c:pt idx="788">
                  <c:v>44615</c:v>
                </c:pt>
                <c:pt idx="789">
                  <c:v>44614</c:v>
                </c:pt>
                <c:pt idx="790">
                  <c:v>44613</c:v>
                </c:pt>
                <c:pt idx="791">
                  <c:v>44610</c:v>
                </c:pt>
                <c:pt idx="792">
                  <c:v>44609</c:v>
                </c:pt>
                <c:pt idx="793">
                  <c:v>44608</c:v>
                </c:pt>
                <c:pt idx="794">
                  <c:v>44607</c:v>
                </c:pt>
                <c:pt idx="795">
                  <c:v>44606</c:v>
                </c:pt>
                <c:pt idx="796">
                  <c:v>44603</c:v>
                </c:pt>
                <c:pt idx="797">
                  <c:v>44602</c:v>
                </c:pt>
                <c:pt idx="798">
                  <c:v>44601</c:v>
                </c:pt>
                <c:pt idx="799">
                  <c:v>44600</c:v>
                </c:pt>
                <c:pt idx="800">
                  <c:v>44599</c:v>
                </c:pt>
                <c:pt idx="801">
                  <c:v>44589</c:v>
                </c:pt>
                <c:pt idx="802">
                  <c:v>44588</c:v>
                </c:pt>
                <c:pt idx="803">
                  <c:v>44587</c:v>
                </c:pt>
                <c:pt idx="804">
                  <c:v>44586</c:v>
                </c:pt>
                <c:pt idx="805">
                  <c:v>44585</c:v>
                </c:pt>
                <c:pt idx="806">
                  <c:v>44582</c:v>
                </c:pt>
                <c:pt idx="807">
                  <c:v>44581</c:v>
                </c:pt>
                <c:pt idx="808">
                  <c:v>44580</c:v>
                </c:pt>
                <c:pt idx="809">
                  <c:v>44579</c:v>
                </c:pt>
                <c:pt idx="810">
                  <c:v>44578</c:v>
                </c:pt>
                <c:pt idx="811">
                  <c:v>44575</c:v>
                </c:pt>
                <c:pt idx="812">
                  <c:v>44574</c:v>
                </c:pt>
                <c:pt idx="813">
                  <c:v>44573</c:v>
                </c:pt>
                <c:pt idx="814">
                  <c:v>44572</c:v>
                </c:pt>
                <c:pt idx="815">
                  <c:v>44571</c:v>
                </c:pt>
                <c:pt idx="816">
                  <c:v>44568</c:v>
                </c:pt>
                <c:pt idx="817">
                  <c:v>44567</c:v>
                </c:pt>
                <c:pt idx="818">
                  <c:v>44566</c:v>
                </c:pt>
                <c:pt idx="819">
                  <c:v>44565</c:v>
                </c:pt>
                <c:pt idx="820">
                  <c:v>44561</c:v>
                </c:pt>
                <c:pt idx="821">
                  <c:v>44560</c:v>
                </c:pt>
                <c:pt idx="822">
                  <c:v>44559</c:v>
                </c:pt>
                <c:pt idx="823">
                  <c:v>44558</c:v>
                </c:pt>
                <c:pt idx="824">
                  <c:v>44557</c:v>
                </c:pt>
                <c:pt idx="825">
                  <c:v>44554</c:v>
                </c:pt>
                <c:pt idx="826">
                  <c:v>44553</c:v>
                </c:pt>
                <c:pt idx="827">
                  <c:v>44552</c:v>
                </c:pt>
                <c:pt idx="828">
                  <c:v>44551</c:v>
                </c:pt>
                <c:pt idx="829">
                  <c:v>44550</c:v>
                </c:pt>
                <c:pt idx="830">
                  <c:v>44547</c:v>
                </c:pt>
                <c:pt idx="831">
                  <c:v>44546</c:v>
                </c:pt>
                <c:pt idx="832">
                  <c:v>44545</c:v>
                </c:pt>
                <c:pt idx="833">
                  <c:v>44544</c:v>
                </c:pt>
                <c:pt idx="834">
                  <c:v>44543</c:v>
                </c:pt>
                <c:pt idx="835">
                  <c:v>44540</c:v>
                </c:pt>
                <c:pt idx="836">
                  <c:v>44539</c:v>
                </c:pt>
                <c:pt idx="837">
                  <c:v>44538</c:v>
                </c:pt>
                <c:pt idx="838">
                  <c:v>44537</c:v>
                </c:pt>
                <c:pt idx="839">
                  <c:v>44536</c:v>
                </c:pt>
                <c:pt idx="840">
                  <c:v>44533</c:v>
                </c:pt>
                <c:pt idx="841">
                  <c:v>44532</c:v>
                </c:pt>
                <c:pt idx="842">
                  <c:v>44531</c:v>
                </c:pt>
                <c:pt idx="843">
                  <c:v>44530</c:v>
                </c:pt>
                <c:pt idx="844">
                  <c:v>44529</c:v>
                </c:pt>
                <c:pt idx="845">
                  <c:v>44526</c:v>
                </c:pt>
                <c:pt idx="846">
                  <c:v>44525</c:v>
                </c:pt>
                <c:pt idx="847">
                  <c:v>44524</c:v>
                </c:pt>
                <c:pt idx="848">
                  <c:v>44523</c:v>
                </c:pt>
                <c:pt idx="849">
                  <c:v>44522</c:v>
                </c:pt>
                <c:pt idx="850">
                  <c:v>44519</c:v>
                </c:pt>
                <c:pt idx="851">
                  <c:v>44518</c:v>
                </c:pt>
                <c:pt idx="852">
                  <c:v>44517</c:v>
                </c:pt>
                <c:pt idx="853">
                  <c:v>44516</c:v>
                </c:pt>
                <c:pt idx="854">
                  <c:v>44515</c:v>
                </c:pt>
                <c:pt idx="855">
                  <c:v>44512</c:v>
                </c:pt>
                <c:pt idx="856">
                  <c:v>44511</c:v>
                </c:pt>
                <c:pt idx="857">
                  <c:v>44510</c:v>
                </c:pt>
                <c:pt idx="858">
                  <c:v>44509</c:v>
                </c:pt>
                <c:pt idx="859">
                  <c:v>44508</c:v>
                </c:pt>
                <c:pt idx="860">
                  <c:v>44505</c:v>
                </c:pt>
                <c:pt idx="861">
                  <c:v>44504</c:v>
                </c:pt>
                <c:pt idx="862">
                  <c:v>44503</c:v>
                </c:pt>
                <c:pt idx="863">
                  <c:v>44502</c:v>
                </c:pt>
                <c:pt idx="864">
                  <c:v>44501</c:v>
                </c:pt>
                <c:pt idx="865">
                  <c:v>44498</c:v>
                </c:pt>
                <c:pt idx="866">
                  <c:v>44497</c:v>
                </c:pt>
                <c:pt idx="867">
                  <c:v>44496</c:v>
                </c:pt>
                <c:pt idx="868">
                  <c:v>44495</c:v>
                </c:pt>
                <c:pt idx="869">
                  <c:v>44494</c:v>
                </c:pt>
                <c:pt idx="870">
                  <c:v>44491</c:v>
                </c:pt>
                <c:pt idx="871">
                  <c:v>44490</c:v>
                </c:pt>
                <c:pt idx="872">
                  <c:v>44489</c:v>
                </c:pt>
                <c:pt idx="873">
                  <c:v>44488</c:v>
                </c:pt>
                <c:pt idx="874">
                  <c:v>44487</c:v>
                </c:pt>
                <c:pt idx="875">
                  <c:v>44484</c:v>
                </c:pt>
                <c:pt idx="876">
                  <c:v>44483</c:v>
                </c:pt>
                <c:pt idx="877">
                  <c:v>44482</c:v>
                </c:pt>
                <c:pt idx="878">
                  <c:v>44481</c:v>
                </c:pt>
                <c:pt idx="879">
                  <c:v>44480</c:v>
                </c:pt>
                <c:pt idx="880">
                  <c:v>44477</c:v>
                </c:pt>
                <c:pt idx="881">
                  <c:v>44469</c:v>
                </c:pt>
                <c:pt idx="882">
                  <c:v>44468</c:v>
                </c:pt>
                <c:pt idx="883">
                  <c:v>44467</c:v>
                </c:pt>
                <c:pt idx="884">
                  <c:v>44466</c:v>
                </c:pt>
                <c:pt idx="885">
                  <c:v>44463</c:v>
                </c:pt>
                <c:pt idx="886">
                  <c:v>44462</c:v>
                </c:pt>
                <c:pt idx="887">
                  <c:v>44461</c:v>
                </c:pt>
                <c:pt idx="888">
                  <c:v>44456</c:v>
                </c:pt>
                <c:pt idx="889">
                  <c:v>44455</c:v>
                </c:pt>
                <c:pt idx="890">
                  <c:v>44454</c:v>
                </c:pt>
                <c:pt idx="891">
                  <c:v>44453</c:v>
                </c:pt>
                <c:pt idx="892">
                  <c:v>44452</c:v>
                </c:pt>
                <c:pt idx="893">
                  <c:v>44449</c:v>
                </c:pt>
                <c:pt idx="894">
                  <c:v>44448</c:v>
                </c:pt>
                <c:pt idx="895">
                  <c:v>44447</c:v>
                </c:pt>
                <c:pt idx="896">
                  <c:v>44446</c:v>
                </c:pt>
                <c:pt idx="897">
                  <c:v>44445</c:v>
                </c:pt>
                <c:pt idx="898">
                  <c:v>44442</c:v>
                </c:pt>
                <c:pt idx="899">
                  <c:v>44441</c:v>
                </c:pt>
                <c:pt idx="900">
                  <c:v>44440</c:v>
                </c:pt>
                <c:pt idx="901">
                  <c:v>44439</c:v>
                </c:pt>
                <c:pt idx="902">
                  <c:v>44438</c:v>
                </c:pt>
                <c:pt idx="903">
                  <c:v>44435</c:v>
                </c:pt>
                <c:pt idx="904">
                  <c:v>44434</c:v>
                </c:pt>
                <c:pt idx="905">
                  <c:v>44433</c:v>
                </c:pt>
                <c:pt idx="906">
                  <c:v>44432</c:v>
                </c:pt>
                <c:pt idx="907">
                  <c:v>44431</c:v>
                </c:pt>
                <c:pt idx="908">
                  <c:v>44428</c:v>
                </c:pt>
                <c:pt idx="909">
                  <c:v>44427</c:v>
                </c:pt>
                <c:pt idx="910">
                  <c:v>44426</c:v>
                </c:pt>
                <c:pt idx="911">
                  <c:v>44425</c:v>
                </c:pt>
                <c:pt idx="912">
                  <c:v>44424</c:v>
                </c:pt>
                <c:pt idx="913">
                  <c:v>44421</c:v>
                </c:pt>
                <c:pt idx="914">
                  <c:v>44420</c:v>
                </c:pt>
                <c:pt idx="915">
                  <c:v>44419</c:v>
                </c:pt>
                <c:pt idx="916">
                  <c:v>44418</c:v>
                </c:pt>
                <c:pt idx="917">
                  <c:v>44417</c:v>
                </c:pt>
                <c:pt idx="918">
                  <c:v>44414</c:v>
                </c:pt>
                <c:pt idx="919">
                  <c:v>44413</c:v>
                </c:pt>
                <c:pt idx="920">
                  <c:v>44412</c:v>
                </c:pt>
                <c:pt idx="921">
                  <c:v>44411</c:v>
                </c:pt>
                <c:pt idx="922">
                  <c:v>44410</c:v>
                </c:pt>
                <c:pt idx="923">
                  <c:v>44407</c:v>
                </c:pt>
                <c:pt idx="924">
                  <c:v>44406</c:v>
                </c:pt>
                <c:pt idx="925">
                  <c:v>44405</c:v>
                </c:pt>
                <c:pt idx="926">
                  <c:v>44404</c:v>
                </c:pt>
                <c:pt idx="927">
                  <c:v>44403</c:v>
                </c:pt>
                <c:pt idx="928">
                  <c:v>44400</c:v>
                </c:pt>
                <c:pt idx="929">
                  <c:v>44399</c:v>
                </c:pt>
                <c:pt idx="930">
                  <c:v>44398</c:v>
                </c:pt>
                <c:pt idx="931">
                  <c:v>44397</c:v>
                </c:pt>
                <c:pt idx="932">
                  <c:v>44396</c:v>
                </c:pt>
                <c:pt idx="933">
                  <c:v>44393</c:v>
                </c:pt>
              </c:numCache>
            </c:numRef>
          </c:cat>
          <c:val>
            <c:numRef>
              <c:f>[1]数据来源上海环境能源交易所!$I$3:$I$936</c:f>
              <c:numCache>
                <c:formatCode>General</c:formatCode>
                <c:ptCount val="934"/>
                <c:pt idx="0">
                  <c:v>657767583</c:v>
                </c:pt>
                <c:pt idx="1">
                  <c:v>656915096</c:v>
                </c:pt>
                <c:pt idx="2">
                  <c:v>655898380</c:v>
                </c:pt>
                <c:pt idx="3">
                  <c:v>655229168</c:v>
                </c:pt>
                <c:pt idx="4">
                  <c:v>653960556</c:v>
                </c:pt>
                <c:pt idx="5">
                  <c:v>653592616</c:v>
                </c:pt>
                <c:pt idx="6">
                  <c:v>653320629</c:v>
                </c:pt>
                <c:pt idx="7">
                  <c:v>653008847</c:v>
                </c:pt>
                <c:pt idx="8">
                  <c:v>652350327</c:v>
                </c:pt>
                <c:pt idx="9">
                  <c:v>652041413</c:v>
                </c:pt>
                <c:pt idx="10">
                  <c:v>651739884</c:v>
                </c:pt>
                <c:pt idx="11">
                  <c:v>651334036</c:v>
                </c:pt>
                <c:pt idx="12">
                  <c:v>650886520</c:v>
                </c:pt>
                <c:pt idx="13">
                  <c:v>650310162</c:v>
                </c:pt>
                <c:pt idx="14">
                  <c:v>649998656</c:v>
                </c:pt>
                <c:pt idx="15">
                  <c:v>648859230</c:v>
                </c:pt>
                <c:pt idx="16">
                  <c:v>648012434</c:v>
                </c:pt>
                <c:pt idx="17">
                  <c:v>647486881</c:v>
                </c:pt>
                <c:pt idx="18">
                  <c:v>647237181</c:v>
                </c:pt>
                <c:pt idx="19">
                  <c:v>646651140</c:v>
                </c:pt>
                <c:pt idx="20">
                  <c:v>646256575</c:v>
                </c:pt>
                <c:pt idx="21">
                  <c:v>644140326</c:v>
                </c:pt>
                <c:pt idx="22">
                  <c:v>643814718</c:v>
                </c:pt>
                <c:pt idx="23">
                  <c:v>643558707</c:v>
                </c:pt>
                <c:pt idx="24">
                  <c:v>643402513</c:v>
                </c:pt>
                <c:pt idx="25">
                  <c:v>643092013</c:v>
                </c:pt>
                <c:pt idx="26">
                  <c:v>642638267</c:v>
                </c:pt>
                <c:pt idx="27">
                  <c:v>641819712</c:v>
                </c:pt>
                <c:pt idx="28">
                  <c:v>641354169</c:v>
                </c:pt>
                <c:pt idx="29">
                  <c:v>640927169</c:v>
                </c:pt>
                <c:pt idx="30">
                  <c:v>640376669</c:v>
                </c:pt>
                <c:pt idx="31">
                  <c:v>640143891</c:v>
                </c:pt>
                <c:pt idx="32">
                  <c:v>640027381</c:v>
                </c:pt>
                <c:pt idx="33">
                  <c:v>639479024</c:v>
                </c:pt>
                <c:pt idx="34">
                  <c:v>639313024</c:v>
                </c:pt>
                <c:pt idx="35">
                  <c:v>638760524</c:v>
                </c:pt>
                <c:pt idx="36">
                  <c:v>638533240</c:v>
                </c:pt>
                <c:pt idx="37">
                  <c:v>638435451</c:v>
                </c:pt>
                <c:pt idx="38">
                  <c:v>637976801</c:v>
                </c:pt>
                <c:pt idx="39">
                  <c:v>637814152</c:v>
                </c:pt>
                <c:pt idx="40">
                  <c:v>637787452</c:v>
                </c:pt>
                <c:pt idx="41">
                  <c:v>637483526</c:v>
                </c:pt>
                <c:pt idx="42">
                  <c:v>637482526</c:v>
                </c:pt>
                <c:pt idx="43">
                  <c:v>637461443</c:v>
                </c:pt>
                <c:pt idx="44">
                  <c:v>637456843</c:v>
                </c:pt>
                <c:pt idx="45">
                  <c:v>637183354</c:v>
                </c:pt>
                <c:pt idx="46">
                  <c:v>636933354</c:v>
                </c:pt>
                <c:pt idx="47">
                  <c:v>636732254</c:v>
                </c:pt>
                <c:pt idx="48">
                  <c:v>635722254</c:v>
                </c:pt>
                <c:pt idx="49">
                  <c:v>635581754</c:v>
                </c:pt>
                <c:pt idx="50">
                  <c:v>635281267</c:v>
                </c:pt>
                <c:pt idx="51">
                  <c:v>634873446</c:v>
                </c:pt>
                <c:pt idx="52">
                  <c:v>634666323</c:v>
                </c:pt>
                <c:pt idx="53">
                  <c:v>634468314</c:v>
                </c:pt>
                <c:pt idx="54">
                  <c:v>634334828</c:v>
                </c:pt>
                <c:pt idx="55">
                  <c:v>634292778</c:v>
                </c:pt>
                <c:pt idx="56">
                  <c:v>634190355</c:v>
                </c:pt>
                <c:pt idx="57">
                  <c:v>634080355</c:v>
                </c:pt>
                <c:pt idx="58">
                  <c:v>633995264</c:v>
                </c:pt>
                <c:pt idx="59">
                  <c:v>633976668</c:v>
                </c:pt>
                <c:pt idx="60">
                  <c:v>633766668</c:v>
                </c:pt>
                <c:pt idx="61">
                  <c:v>633766102</c:v>
                </c:pt>
                <c:pt idx="62">
                  <c:v>633664802</c:v>
                </c:pt>
                <c:pt idx="63">
                  <c:v>633659802</c:v>
                </c:pt>
                <c:pt idx="64">
                  <c:v>633655802</c:v>
                </c:pt>
                <c:pt idx="65">
                  <c:v>633555801</c:v>
                </c:pt>
                <c:pt idx="66">
                  <c:v>633281851</c:v>
                </c:pt>
                <c:pt idx="67">
                  <c:v>633181851</c:v>
                </c:pt>
                <c:pt idx="68">
                  <c:v>633121801</c:v>
                </c:pt>
                <c:pt idx="69">
                  <c:v>632934627</c:v>
                </c:pt>
                <c:pt idx="70">
                  <c:v>632929627</c:v>
                </c:pt>
                <c:pt idx="71">
                  <c:v>632890721</c:v>
                </c:pt>
                <c:pt idx="72">
                  <c:v>632771127</c:v>
                </c:pt>
                <c:pt idx="73">
                  <c:v>632697127</c:v>
                </c:pt>
                <c:pt idx="74">
                  <c:v>632680394</c:v>
                </c:pt>
                <c:pt idx="75">
                  <c:v>632418881</c:v>
                </c:pt>
                <c:pt idx="76">
                  <c:v>632410233</c:v>
                </c:pt>
                <c:pt idx="77">
                  <c:v>632370233</c:v>
                </c:pt>
                <c:pt idx="78">
                  <c:v>632270233</c:v>
                </c:pt>
                <c:pt idx="79">
                  <c:v>632260233</c:v>
                </c:pt>
                <c:pt idx="80">
                  <c:v>632259508</c:v>
                </c:pt>
                <c:pt idx="81">
                  <c:v>632059508</c:v>
                </c:pt>
                <c:pt idx="82">
                  <c:v>631809508</c:v>
                </c:pt>
                <c:pt idx="83">
                  <c:v>630804450</c:v>
                </c:pt>
                <c:pt idx="84">
                  <c:v>630554450</c:v>
                </c:pt>
                <c:pt idx="85">
                  <c:v>630536953</c:v>
                </c:pt>
                <c:pt idx="86">
                  <c:v>630430358</c:v>
                </c:pt>
                <c:pt idx="87">
                  <c:v>630420350</c:v>
                </c:pt>
                <c:pt idx="88">
                  <c:v>630420342</c:v>
                </c:pt>
                <c:pt idx="89">
                  <c:v>630405342</c:v>
                </c:pt>
                <c:pt idx="90">
                  <c:v>630322671</c:v>
                </c:pt>
                <c:pt idx="91">
                  <c:v>630292663</c:v>
                </c:pt>
                <c:pt idx="92">
                  <c:v>630292655</c:v>
                </c:pt>
                <c:pt idx="93">
                  <c:v>630272655</c:v>
                </c:pt>
                <c:pt idx="94">
                  <c:v>630268664</c:v>
                </c:pt>
                <c:pt idx="95">
                  <c:v>630152296</c:v>
                </c:pt>
                <c:pt idx="96">
                  <c:v>629557473</c:v>
                </c:pt>
                <c:pt idx="97">
                  <c:v>627800179</c:v>
                </c:pt>
                <c:pt idx="98">
                  <c:v>626365529</c:v>
                </c:pt>
                <c:pt idx="99">
                  <c:v>625839594</c:v>
                </c:pt>
                <c:pt idx="100">
                  <c:v>625135219</c:v>
                </c:pt>
                <c:pt idx="101">
                  <c:v>623666653</c:v>
                </c:pt>
                <c:pt idx="102">
                  <c:v>621123423</c:v>
                </c:pt>
                <c:pt idx="103">
                  <c:v>618396344</c:v>
                </c:pt>
                <c:pt idx="104">
                  <c:v>615621142</c:v>
                </c:pt>
                <c:pt idx="105">
                  <c:v>613898074</c:v>
                </c:pt>
                <c:pt idx="106">
                  <c:v>611359276</c:v>
                </c:pt>
                <c:pt idx="107">
                  <c:v>606278003</c:v>
                </c:pt>
                <c:pt idx="108">
                  <c:v>597109544</c:v>
                </c:pt>
                <c:pt idx="109">
                  <c:v>587214119</c:v>
                </c:pt>
                <c:pt idx="110">
                  <c:v>577480427</c:v>
                </c:pt>
                <c:pt idx="111">
                  <c:v>571155281</c:v>
                </c:pt>
                <c:pt idx="112">
                  <c:v>568547188</c:v>
                </c:pt>
                <c:pt idx="113">
                  <c:v>566533547</c:v>
                </c:pt>
                <c:pt idx="114">
                  <c:v>562864527</c:v>
                </c:pt>
                <c:pt idx="115">
                  <c:v>559847574</c:v>
                </c:pt>
                <c:pt idx="116">
                  <c:v>554903133</c:v>
                </c:pt>
                <c:pt idx="117">
                  <c:v>548433923</c:v>
                </c:pt>
                <c:pt idx="118">
                  <c:v>545165571</c:v>
                </c:pt>
                <c:pt idx="119">
                  <c:v>539176367</c:v>
                </c:pt>
                <c:pt idx="120">
                  <c:v>533609148</c:v>
                </c:pt>
                <c:pt idx="121">
                  <c:v>528517247</c:v>
                </c:pt>
                <c:pt idx="122">
                  <c:v>524832294</c:v>
                </c:pt>
                <c:pt idx="123">
                  <c:v>521549308</c:v>
                </c:pt>
                <c:pt idx="124">
                  <c:v>519474420</c:v>
                </c:pt>
                <c:pt idx="125">
                  <c:v>516349952</c:v>
                </c:pt>
                <c:pt idx="126">
                  <c:v>513191563</c:v>
                </c:pt>
                <c:pt idx="127">
                  <c:v>509714927</c:v>
                </c:pt>
                <c:pt idx="128">
                  <c:v>508499626</c:v>
                </c:pt>
                <c:pt idx="129">
                  <c:v>506330042</c:v>
                </c:pt>
                <c:pt idx="130">
                  <c:v>504872173</c:v>
                </c:pt>
                <c:pt idx="131">
                  <c:v>502859438</c:v>
                </c:pt>
                <c:pt idx="132">
                  <c:v>500061120</c:v>
                </c:pt>
                <c:pt idx="133">
                  <c:v>499248058</c:v>
                </c:pt>
                <c:pt idx="134">
                  <c:v>498646653</c:v>
                </c:pt>
                <c:pt idx="135">
                  <c:v>496372623</c:v>
                </c:pt>
                <c:pt idx="136">
                  <c:v>495751457</c:v>
                </c:pt>
                <c:pt idx="137">
                  <c:v>494065892</c:v>
                </c:pt>
                <c:pt idx="138">
                  <c:v>493626513</c:v>
                </c:pt>
                <c:pt idx="139">
                  <c:v>493272439</c:v>
                </c:pt>
                <c:pt idx="140">
                  <c:v>492155011</c:v>
                </c:pt>
                <c:pt idx="141">
                  <c:v>490902599</c:v>
                </c:pt>
                <c:pt idx="142">
                  <c:v>490511933</c:v>
                </c:pt>
                <c:pt idx="143">
                  <c:v>490125665</c:v>
                </c:pt>
                <c:pt idx="144">
                  <c:v>489578865</c:v>
                </c:pt>
                <c:pt idx="145">
                  <c:v>488202449</c:v>
                </c:pt>
                <c:pt idx="146">
                  <c:v>487884886</c:v>
                </c:pt>
                <c:pt idx="147">
                  <c:v>486825561</c:v>
                </c:pt>
                <c:pt idx="148">
                  <c:v>486322448</c:v>
                </c:pt>
                <c:pt idx="149">
                  <c:v>486074448</c:v>
                </c:pt>
                <c:pt idx="150">
                  <c:v>484858309</c:v>
                </c:pt>
                <c:pt idx="151">
                  <c:v>484429596</c:v>
                </c:pt>
                <c:pt idx="152">
                  <c:v>483458504</c:v>
                </c:pt>
                <c:pt idx="153">
                  <c:v>482557857</c:v>
                </c:pt>
                <c:pt idx="154">
                  <c:v>481650256</c:v>
                </c:pt>
                <c:pt idx="155">
                  <c:v>480820135</c:v>
                </c:pt>
                <c:pt idx="156">
                  <c:v>479822599</c:v>
                </c:pt>
                <c:pt idx="157">
                  <c:v>479097446</c:v>
                </c:pt>
                <c:pt idx="158">
                  <c:v>478488729</c:v>
                </c:pt>
                <c:pt idx="159">
                  <c:v>477984787</c:v>
                </c:pt>
                <c:pt idx="160">
                  <c:v>477400101</c:v>
                </c:pt>
                <c:pt idx="161">
                  <c:v>476685400</c:v>
                </c:pt>
                <c:pt idx="162">
                  <c:v>476103451</c:v>
                </c:pt>
                <c:pt idx="163">
                  <c:v>475767451</c:v>
                </c:pt>
                <c:pt idx="164">
                  <c:v>475765451</c:v>
                </c:pt>
                <c:pt idx="165">
                  <c:v>475085649</c:v>
                </c:pt>
                <c:pt idx="166">
                  <c:v>474985148</c:v>
                </c:pt>
                <c:pt idx="167">
                  <c:v>474831682</c:v>
                </c:pt>
                <c:pt idx="168">
                  <c:v>474691765</c:v>
                </c:pt>
                <c:pt idx="169">
                  <c:v>474524135</c:v>
                </c:pt>
                <c:pt idx="170">
                  <c:v>474486035</c:v>
                </c:pt>
                <c:pt idx="171">
                  <c:v>473559735</c:v>
                </c:pt>
                <c:pt idx="172">
                  <c:v>473344235</c:v>
                </c:pt>
                <c:pt idx="173">
                  <c:v>473331885</c:v>
                </c:pt>
                <c:pt idx="174">
                  <c:v>472984548</c:v>
                </c:pt>
                <c:pt idx="175">
                  <c:v>472860181</c:v>
                </c:pt>
                <c:pt idx="176">
                  <c:v>472817257</c:v>
                </c:pt>
                <c:pt idx="177">
                  <c:v>471710256</c:v>
                </c:pt>
                <c:pt idx="178">
                  <c:v>471555585</c:v>
                </c:pt>
                <c:pt idx="179">
                  <c:v>471503928</c:v>
                </c:pt>
                <c:pt idx="180">
                  <c:v>471313228</c:v>
                </c:pt>
                <c:pt idx="181">
                  <c:v>471279116</c:v>
                </c:pt>
                <c:pt idx="182">
                  <c:v>470084255</c:v>
                </c:pt>
                <c:pt idx="183">
                  <c:v>469434736</c:v>
                </c:pt>
                <c:pt idx="184">
                  <c:v>469293969</c:v>
                </c:pt>
                <c:pt idx="185">
                  <c:v>469153964</c:v>
                </c:pt>
                <c:pt idx="186">
                  <c:v>469040410</c:v>
                </c:pt>
                <c:pt idx="187">
                  <c:v>469025410</c:v>
                </c:pt>
                <c:pt idx="188">
                  <c:v>468957040</c:v>
                </c:pt>
                <c:pt idx="189">
                  <c:v>468550639</c:v>
                </c:pt>
                <c:pt idx="190">
                  <c:v>468337668</c:v>
                </c:pt>
                <c:pt idx="191">
                  <c:v>468224468</c:v>
                </c:pt>
                <c:pt idx="192">
                  <c:v>467993468</c:v>
                </c:pt>
                <c:pt idx="193">
                  <c:v>467937965</c:v>
                </c:pt>
                <c:pt idx="194">
                  <c:v>467287437</c:v>
                </c:pt>
                <c:pt idx="195">
                  <c:v>467134437</c:v>
                </c:pt>
                <c:pt idx="196">
                  <c:v>467122437</c:v>
                </c:pt>
                <c:pt idx="197">
                  <c:v>467092053</c:v>
                </c:pt>
                <c:pt idx="198">
                  <c:v>466955048</c:v>
                </c:pt>
                <c:pt idx="199">
                  <c:v>466781043</c:v>
                </c:pt>
                <c:pt idx="200">
                  <c:v>466771043</c:v>
                </c:pt>
                <c:pt idx="201">
                  <c:v>466494923</c:v>
                </c:pt>
                <c:pt idx="202">
                  <c:v>465897477</c:v>
                </c:pt>
                <c:pt idx="203">
                  <c:v>465732969</c:v>
                </c:pt>
                <c:pt idx="204">
                  <c:v>465678469</c:v>
                </c:pt>
                <c:pt idx="205">
                  <c:v>465645068</c:v>
                </c:pt>
                <c:pt idx="206">
                  <c:v>465356468</c:v>
                </c:pt>
                <c:pt idx="207">
                  <c:v>465054468</c:v>
                </c:pt>
                <c:pt idx="208">
                  <c:v>465043748</c:v>
                </c:pt>
                <c:pt idx="209">
                  <c:v>465033683</c:v>
                </c:pt>
                <c:pt idx="210">
                  <c:v>464780539</c:v>
                </c:pt>
                <c:pt idx="211">
                  <c:v>464593350</c:v>
                </c:pt>
                <c:pt idx="212">
                  <c:v>464246345</c:v>
                </c:pt>
                <c:pt idx="213">
                  <c:v>464237340</c:v>
                </c:pt>
                <c:pt idx="214">
                  <c:v>463902325</c:v>
                </c:pt>
                <c:pt idx="215">
                  <c:v>463863825</c:v>
                </c:pt>
                <c:pt idx="216">
                  <c:v>463843825</c:v>
                </c:pt>
                <c:pt idx="217">
                  <c:v>463675825</c:v>
                </c:pt>
                <c:pt idx="218">
                  <c:v>463642825</c:v>
                </c:pt>
                <c:pt idx="219">
                  <c:v>463631815</c:v>
                </c:pt>
                <c:pt idx="220">
                  <c:v>463279947</c:v>
                </c:pt>
                <c:pt idx="221">
                  <c:v>462452937</c:v>
                </c:pt>
                <c:pt idx="222">
                  <c:v>462090837</c:v>
                </c:pt>
                <c:pt idx="223">
                  <c:v>461321827</c:v>
                </c:pt>
                <c:pt idx="224">
                  <c:v>461297827</c:v>
                </c:pt>
                <c:pt idx="225">
                  <c:v>461246330</c:v>
                </c:pt>
                <c:pt idx="226">
                  <c:v>461240320</c:v>
                </c:pt>
                <c:pt idx="227">
                  <c:v>460955459</c:v>
                </c:pt>
                <c:pt idx="228">
                  <c:v>460930552</c:v>
                </c:pt>
                <c:pt idx="229">
                  <c:v>460926547</c:v>
                </c:pt>
                <c:pt idx="230">
                  <c:v>460909447</c:v>
                </c:pt>
                <c:pt idx="231">
                  <c:v>460646794</c:v>
                </c:pt>
                <c:pt idx="232">
                  <c:v>460556794</c:v>
                </c:pt>
                <c:pt idx="233">
                  <c:v>460555642</c:v>
                </c:pt>
                <c:pt idx="234">
                  <c:v>460436727</c:v>
                </c:pt>
                <c:pt idx="235">
                  <c:v>460426719</c:v>
                </c:pt>
                <c:pt idx="236">
                  <c:v>460324278</c:v>
                </c:pt>
                <c:pt idx="237">
                  <c:v>460248499</c:v>
                </c:pt>
                <c:pt idx="238">
                  <c:v>459644732</c:v>
                </c:pt>
                <c:pt idx="239">
                  <c:v>459242532</c:v>
                </c:pt>
                <c:pt idx="240">
                  <c:v>459242424</c:v>
                </c:pt>
                <c:pt idx="241">
                  <c:v>458372864</c:v>
                </c:pt>
                <c:pt idx="242">
                  <c:v>458270544</c:v>
                </c:pt>
                <c:pt idx="243">
                  <c:v>458263544</c:v>
                </c:pt>
                <c:pt idx="244">
                  <c:v>458118039</c:v>
                </c:pt>
                <c:pt idx="245">
                  <c:v>457944039</c:v>
                </c:pt>
                <c:pt idx="246">
                  <c:v>457681984</c:v>
                </c:pt>
                <c:pt idx="247">
                  <c:v>457425284</c:v>
                </c:pt>
                <c:pt idx="248">
                  <c:v>457151625</c:v>
                </c:pt>
                <c:pt idx="249">
                  <c:v>457009120</c:v>
                </c:pt>
                <c:pt idx="250">
                  <c:v>457009015</c:v>
                </c:pt>
                <c:pt idx="251">
                  <c:v>457005805</c:v>
                </c:pt>
                <c:pt idx="252">
                  <c:v>457005555</c:v>
                </c:pt>
                <c:pt idx="253">
                  <c:v>457005500</c:v>
                </c:pt>
                <c:pt idx="254">
                  <c:v>457004490</c:v>
                </c:pt>
                <c:pt idx="255">
                  <c:v>456895440</c:v>
                </c:pt>
                <c:pt idx="256">
                  <c:v>456778248</c:v>
                </c:pt>
                <c:pt idx="257">
                  <c:v>456763243</c:v>
                </c:pt>
                <c:pt idx="258">
                  <c:v>456763238</c:v>
                </c:pt>
                <c:pt idx="259">
                  <c:v>456658288</c:v>
                </c:pt>
                <c:pt idx="260">
                  <c:v>456076248</c:v>
                </c:pt>
                <c:pt idx="261">
                  <c:v>455359295</c:v>
                </c:pt>
                <c:pt idx="262">
                  <c:v>454831314</c:v>
                </c:pt>
                <c:pt idx="263">
                  <c:v>454383031</c:v>
                </c:pt>
                <c:pt idx="264">
                  <c:v>454275252</c:v>
                </c:pt>
                <c:pt idx="265">
                  <c:v>453558819</c:v>
                </c:pt>
                <c:pt idx="266">
                  <c:v>453385668</c:v>
                </c:pt>
                <c:pt idx="267">
                  <c:v>453112753</c:v>
                </c:pt>
                <c:pt idx="268">
                  <c:v>452894444</c:v>
                </c:pt>
                <c:pt idx="269">
                  <c:v>452761644</c:v>
                </c:pt>
                <c:pt idx="270">
                  <c:v>452759618</c:v>
                </c:pt>
                <c:pt idx="271">
                  <c:v>452375318</c:v>
                </c:pt>
                <c:pt idx="272">
                  <c:v>452301747</c:v>
                </c:pt>
                <c:pt idx="273">
                  <c:v>451386647</c:v>
                </c:pt>
                <c:pt idx="274">
                  <c:v>450598654</c:v>
                </c:pt>
                <c:pt idx="275">
                  <c:v>450402878</c:v>
                </c:pt>
                <c:pt idx="276">
                  <c:v>450362880</c:v>
                </c:pt>
                <c:pt idx="277">
                  <c:v>450237875</c:v>
                </c:pt>
                <c:pt idx="278">
                  <c:v>450237870</c:v>
                </c:pt>
                <c:pt idx="279">
                  <c:v>450227820</c:v>
                </c:pt>
                <c:pt idx="280">
                  <c:v>450224769</c:v>
                </c:pt>
                <c:pt idx="281">
                  <c:v>450099416</c:v>
                </c:pt>
                <c:pt idx="282">
                  <c:v>449520474</c:v>
                </c:pt>
                <c:pt idx="283">
                  <c:v>449474474</c:v>
                </c:pt>
                <c:pt idx="284">
                  <c:v>449474469</c:v>
                </c:pt>
                <c:pt idx="285">
                  <c:v>449444369</c:v>
                </c:pt>
                <c:pt idx="286">
                  <c:v>449385169</c:v>
                </c:pt>
                <c:pt idx="287">
                  <c:v>449331722</c:v>
                </c:pt>
                <c:pt idx="288">
                  <c:v>449281622</c:v>
                </c:pt>
                <c:pt idx="289">
                  <c:v>449281522</c:v>
                </c:pt>
                <c:pt idx="290">
                  <c:v>449180887</c:v>
                </c:pt>
                <c:pt idx="291">
                  <c:v>449073777</c:v>
                </c:pt>
                <c:pt idx="292">
                  <c:v>448765077</c:v>
                </c:pt>
                <c:pt idx="293">
                  <c:v>448252827</c:v>
                </c:pt>
                <c:pt idx="294">
                  <c:v>447822827</c:v>
                </c:pt>
                <c:pt idx="295">
                  <c:v>447662822</c:v>
                </c:pt>
                <c:pt idx="296">
                  <c:v>447333426</c:v>
                </c:pt>
                <c:pt idx="297">
                  <c:v>447235818</c:v>
                </c:pt>
                <c:pt idx="298">
                  <c:v>447229518</c:v>
                </c:pt>
                <c:pt idx="299">
                  <c:v>447044883</c:v>
                </c:pt>
                <c:pt idx="300">
                  <c:v>446713485</c:v>
                </c:pt>
                <c:pt idx="301">
                  <c:v>446276634</c:v>
                </c:pt>
                <c:pt idx="302">
                  <c:v>445935695</c:v>
                </c:pt>
                <c:pt idx="303">
                  <c:v>445919981</c:v>
                </c:pt>
                <c:pt idx="304">
                  <c:v>445694926</c:v>
                </c:pt>
                <c:pt idx="305">
                  <c:v>445664074</c:v>
                </c:pt>
                <c:pt idx="306">
                  <c:v>445631475</c:v>
                </c:pt>
                <c:pt idx="307">
                  <c:v>445444891</c:v>
                </c:pt>
                <c:pt idx="308">
                  <c:v>445444886</c:v>
                </c:pt>
                <c:pt idx="309">
                  <c:v>445444881</c:v>
                </c:pt>
                <c:pt idx="310">
                  <c:v>445424881</c:v>
                </c:pt>
                <c:pt idx="311">
                  <c:v>445424873</c:v>
                </c:pt>
                <c:pt idx="312">
                  <c:v>445424865</c:v>
                </c:pt>
                <c:pt idx="313">
                  <c:v>444721857</c:v>
                </c:pt>
                <c:pt idx="314">
                  <c:v>444638857</c:v>
                </c:pt>
                <c:pt idx="315">
                  <c:v>444153547</c:v>
                </c:pt>
                <c:pt idx="316">
                  <c:v>444133547</c:v>
                </c:pt>
                <c:pt idx="317">
                  <c:v>443603047</c:v>
                </c:pt>
                <c:pt idx="318">
                  <c:v>443472484</c:v>
                </c:pt>
                <c:pt idx="319">
                  <c:v>443352384</c:v>
                </c:pt>
                <c:pt idx="320">
                  <c:v>443202284</c:v>
                </c:pt>
                <c:pt idx="321">
                  <c:v>443201335</c:v>
                </c:pt>
                <c:pt idx="322">
                  <c:v>443201235</c:v>
                </c:pt>
                <c:pt idx="323">
                  <c:v>443191135</c:v>
                </c:pt>
                <c:pt idx="324">
                  <c:v>443191127</c:v>
                </c:pt>
                <c:pt idx="325">
                  <c:v>443162437</c:v>
                </c:pt>
                <c:pt idx="326">
                  <c:v>443088785</c:v>
                </c:pt>
                <c:pt idx="327">
                  <c:v>443088285</c:v>
                </c:pt>
                <c:pt idx="328">
                  <c:v>443088185</c:v>
                </c:pt>
                <c:pt idx="329">
                  <c:v>443088177</c:v>
                </c:pt>
                <c:pt idx="330">
                  <c:v>442905191</c:v>
                </c:pt>
                <c:pt idx="331">
                  <c:v>442805183</c:v>
                </c:pt>
                <c:pt idx="332">
                  <c:v>442804583</c:v>
                </c:pt>
                <c:pt idx="333">
                  <c:v>442654578</c:v>
                </c:pt>
                <c:pt idx="334">
                  <c:v>442355404</c:v>
                </c:pt>
                <c:pt idx="335">
                  <c:v>441748011</c:v>
                </c:pt>
                <c:pt idx="336">
                  <c:v>441622611</c:v>
                </c:pt>
                <c:pt idx="337">
                  <c:v>441459008</c:v>
                </c:pt>
                <c:pt idx="338">
                  <c:v>441096082</c:v>
                </c:pt>
                <c:pt idx="339">
                  <c:v>440600653</c:v>
                </c:pt>
                <c:pt idx="340">
                  <c:v>438945739</c:v>
                </c:pt>
                <c:pt idx="341">
                  <c:v>435155694</c:v>
                </c:pt>
                <c:pt idx="342">
                  <c:v>433489441</c:v>
                </c:pt>
                <c:pt idx="343">
                  <c:v>432587391</c:v>
                </c:pt>
                <c:pt idx="344">
                  <c:v>432031895</c:v>
                </c:pt>
                <c:pt idx="345">
                  <c:v>431665646</c:v>
                </c:pt>
                <c:pt idx="346">
                  <c:v>431080589</c:v>
                </c:pt>
                <c:pt idx="347">
                  <c:v>430234460</c:v>
                </c:pt>
                <c:pt idx="348">
                  <c:v>429451207</c:v>
                </c:pt>
                <c:pt idx="349">
                  <c:v>428363477</c:v>
                </c:pt>
                <c:pt idx="350">
                  <c:v>428066954</c:v>
                </c:pt>
                <c:pt idx="351">
                  <c:v>427400829</c:v>
                </c:pt>
                <c:pt idx="352">
                  <c:v>427233245</c:v>
                </c:pt>
                <c:pt idx="353">
                  <c:v>425982744</c:v>
                </c:pt>
                <c:pt idx="354">
                  <c:v>425673158</c:v>
                </c:pt>
                <c:pt idx="355">
                  <c:v>424913051</c:v>
                </c:pt>
                <c:pt idx="356">
                  <c:v>423604008</c:v>
                </c:pt>
                <c:pt idx="357">
                  <c:v>423150856</c:v>
                </c:pt>
                <c:pt idx="358">
                  <c:v>421741763</c:v>
                </c:pt>
                <c:pt idx="359">
                  <c:v>420886586</c:v>
                </c:pt>
                <c:pt idx="360">
                  <c:v>420195443</c:v>
                </c:pt>
                <c:pt idx="361">
                  <c:v>420006280</c:v>
                </c:pt>
                <c:pt idx="362">
                  <c:v>418551366</c:v>
                </c:pt>
                <c:pt idx="363">
                  <c:v>418089158</c:v>
                </c:pt>
                <c:pt idx="364">
                  <c:v>417363612</c:v>
                </c:pt>
                <c:pt idx="365">
                  <c:v>417049961</c:v>
                </c:pt>
                <c:pt idx="366">
                  <c:v>416530795</c:v>
                </c:pt>
                <c:pt idx="367">
                  <c:v>415949101</c:v>
                </c:pt>
                <c:pt idx="368">
                  <c:v>413550803</c:v>
                </c:pt>
                <c:pt idx="369">
                  <c:v>412078739</c:v>
                </c:pt>
                <c:pt idx="370">
                  <c:v>409339776</c:v>
                </c:pt>
                <c:pt idx="371">
                  <c:v>405818127</c:v>
                </c:pt>
                <c:pt idx="372">
                  <c:v>400345802</c:v>
                </c:pt>
                <c:pt idx="373">
                  <c:v>397627673</c:v>
                </c:pt>
                <c:pt idx="374">
                  <c:v>394798754</c:v>
                </c:pt>
                <c:pt idx="375">
                  <c:v>393039851</c:v>
                </c:pt>
                <c:pt idx="376">
                  <c:v>391144599</c:v>
                </c:pt>
                <c:pt idx="377">
                  <c:v>387309094</c:v>
                </c:pt>
                <c:pt idx="378">
                  <c:v>385118571</c:v>
                </c:pt>
                <c:pt idx="379">
                  <c:v>382718568</c:v>
                </c:pt>
                <c:pt idx="380">
                  <c:v>379209298</c:v>
                </c:pt>
                <c:pt idx="381">
                  <c:v>375612801</c:v>
                </c:pt>
                <c:pt idx="382">
                  <c:v>368842277</c:v>
                </c:pt>
                <c:pt idx="383">
                  <c:v>365207155</c:v>
                </c:pt>
                <c:pt idx="384">
                  <c:v>362175015</c:v>
                </c:pt>
                <c:pt idx="385">
                  <c:v>356997550</c:v>
                </c:pt>
                <c:pt idx="386">
                  <c:v>351816535</c:v>
                </c:pt>
                <c:pt idx="387">
                  <c:v>346010857</c:v>
                </c:pt>
                <c:pt idx="388">
                  <c:v>339176897</c:v>
                </c:pt>
                <c:pt idx="389">
                  <c:v>324822260</c:v>
                </c:pt>
                <c:pt idx="390">
                  <c:v>320537473</c:v>
                </c:pt>
                <c:pt idx="391">
                  <c:v>315497571</c:v>
                </c:pt>
                <c:pt idx="392">
                  <c:v>308051830</c:v>
                </c:pt>
                <c:pt idx="393">
                  <c:v>302816591</c:v>
                </c:pt>
                <c:pt idx="394">
                  <c:v>297111440</c:v>
                </c:pt>
                <c:pt idx="395">
                  <c:v>292238165</c:v>
                </c:pt>
                <c:pt idx="396">
                  <c:v>289667247</c:v>
                </c:pt>
                <c:pt idx="397">
                  <c:v>287509558</c:v>
                </c:pt>
                <c:pt idx="398">
                  <c:v>285025073</c:v>
                </c:pt>
                <c:pt idx="399">
                  <c:v>283877337</c:v>
                </c:pt>
                <c:pt idx="400">
                  <c:v>282152806</c:v>
                </c:pt>
                <c:pt idx="401">
                  <c:v>280733133</c:v>
                </c:pt>
                <c:pt idx="402">
                  <c:v>278408572</c:v>
                </c:pt>
                <c:pt idx="403">
                  <c:v>277051967</c:v>
                </c:pt>
                <c:pt idx="404">
                  <c:v>276149406</c:v>
                </c:pt>
                <c:pt idx="405">
                  <c:v>275056833</c:v>
                </c:pt>
                <c:pt idx="406">
                  <c:v>272916825</c:v>
                </c:pt>
                <c:pt idx="407">
                  <c:v>271942212</c:v>
                </c:pt>
                <c:pt idx="408">
                  <c:v>271063788</c:v>
                </c:pt>
                <c:pt idx="409">
                  <c:v>269717318</c:v>
                </c:pt>
                <c:pt idx="410">
                  <c:v>269129589</c:v>
                </c:pt>
                <c:pt idx="411">
                  <c:v>267746284</c:v>
                </c:pt>
                <c:pt idx="412">
                  <c:v>264293693</c:v>
                </c:pt>
                <c:pt idx="413">
                  <c:v>262290348</c:v>
                </c:pt>
                <c:pt idx="414">
                  <c:v>260767375</c:v>
                </c:pt>
                <c:pt idx="415">
                  <c:v>254484757</c:v>
                </c:pt>
                <c:pt idx="416">
                  <c:v>254092076</c:v>
                </c:pt>
                <c:pt idx="417">
                  <c:v>253374400</c:v>
                </c:pt>
                <c:pt idx="418">
                  <c:v>249865272</c:v>
                </c:pt>
                <c:pt idx="419">
                  <c:v>248572521</c:v>
                </c:pt>
                <c:pt idx="420">
                  <c:v>248023673</c:v>
                </c:pt>
                <c:pt idx="421">
                  <c:v>246799226</c:v>
                </c:pt>
                <c:pt idx="422">
                  <c:v>246385205</c:v>
                </c:pt>
                <c:pt idx="423">
                  <c:v>245515397</c:v>
                </c:pt>
                <c:pt idx="424">
                  <c:v>245100069</c:v>
                </c:pt>
                <c:pt idx="425">
                  <c:v>245089946</c:v>
                </c:pt>
                <c:pt idx="426">
                  <c:v>243605148</c:v>
                </c:pt>
                <c:pt idx="427">
                  <c:v>242551246</c:v>
                </c:pt>
                <c:pt idx="428">
                  <c:v>242545099</c:v>
                </c:pt>
                <c:pt idx="429">
                  <c:v>242526490</c:v>
                </c:pt>
                <c:pt idx="430">
                  <c:v>242044378</c:v>
                </c:pt>
                <c:pt idx="431">
                  <c:v>241925344</c:v>
                </c:pt>
                <c:pt idx="432">
                  <c:v>241753144</c:v>
                </c:pt>
                <c:pt idx="433">
                  <c:v>241444984</c:v>
                </c:pt>
                <c:pt idx="434">
                  <c:v>241427984</c:v>
                </c:pt>
                <c:pt idx="435">
                  <c:v>241207844</c:v>
                </c:pt>
                <c:pt idx="436">
                  <c:v>241197844</c:v>
                </c:pt>
                <c:pt idx="437">
                  <c:v>240871305</c:v>
                </c:pt>
                <c:pt idx="438">
                  <c:v>240838925</c:v>
                </c:pt>
                <c:pt idx="439">
                  <c:v>240694365</c:v>
                </c:pt>
                <c:pt idx="440">
                  <c:v>240653365</c:v>
                </c:pt>
                <c:pt idx="441">
                  <c:v>240649565</c:v>
                </c:pt>
                <c:pt idx="442">
                  <c:v>240644565</c:v>
                </c:pt>
                <c:pt idx="443">
                  <c:v>240442565</c:v>
                </c:pt>
                <c:pt idx="444">
                  <c:v>240442065</c:v>
                </c:pt>
                <c:pt idx="445">
                  <c:v>240341565</c:v>
                </c:pt>
                <c:pt idx="446">
                  <c:v>240020349</c:v>
                </c:pt>
                <c:pt idx="447">
                  <c:v>240019849</c:v>
                </c:pt>
                <c:pt idx="448">
                  <c:v>240019349</c:v>
                </c:pt>
                <c:pt idx="449">
                  <c:v>240018846</c:v>
                </c:pt>
                <c:pt idx="450">
                  <c:v>239907846</c:v>
                </c:pt>
                <c:pt idx="451">
                  <c:v>239537768</c:v>
                </c:pt>
                <c:pt idx="452">
                  <c:v>239477768</c:v>
                </c:pt>
                <c:pt idx="453">
                  <c:v>239365845</c:v>
                </c:pt>
                <c:pt idx="454">
                  <c:v>239364825</c:v>
                </c:pt>
                <c:pt idx="455">
                  <c:v>239213825</c:v>
                </c:pt>
                <c:pt idx="456">
                  <c:v>238938624</c:v>
                </c:pt>
                <c:pt idx="457">
                  <c:v>238537604</c:v>
                </c:pt>
                <c:pt idx="458">
                  <c:v>237886604</c:v>
                </c:pt>
                <c:pt idx="459">
                  <c:v>237685604</c:v>
                </c:pt>
                <c:pt idx="460">
                  <c:v>237685104</c:v>
                </c:pt>
                <c:pt idx="461">
                  <c:v>237408855</c:v>
                </c:pt>
                <c:pt idx="462">
                  <c:v>237188715</c:v>
                </c:pt>
                <c:pt idx="463">
                  <c:v>237187715</c:v>
                </c:pt>
                <c:pt idx="464">
                  <c:v>237186714</c:v>
                </c:pt>
                <c:pt idx="465">
                  <c:v>237185714</c:v>
                </c:pt>
                <c:pt idx="466">
                  <c:v>236784713</c:v>
                </c:pt>
                <c:pt idx="467">
                  <c:v>236383713</c:v>
                </c:pt>
                <c:pt idx="468">
                  <c:v>236060413</c:v>
                </c:pt>
                <c:pt idx="469">
                  <c:v>235882713</c:v>
                </c:pt>
                <c:pt idx="470">
                  <c:v>235881713</c:v>
                </c:pt>
                <c:pt idx="471">
                  <c:v>235880713</c:v>
                </c:pt>
                <c:pt idx="472">
                  <c:v>235879713</c:v>
                </c:pt>
                <c:pt idx="473">
                  <c:v>235588713</c:v>
                </c:pt>
                <c:pt idx="474">
                  <c:v>235487713</c:v>
                </c:pt>
                <c:pt idx="475">
                  <c:v>235487153</c:v>
                </c:pt>
                <c:pt idx="476">
                  <c:v>235486153</c:v>
                </c:pt>
                <c:pt idx="477">
                  <c:v>235485153</c:v>
                </c:pt>
                <c:pt idx="478">
                  <c:v>235484153</c:v>
                </c:pt>
                <c:pt idx="479">
                  <c:v>235383153</c:v>
                </c:pt>
                <c:pt idx="480">
                  <c:v>235382643</c:v>
                </c:pt>
                <c:pt idx="481">
                  <c:v>235365536</c:v>
                </c:pt>
                <c:pt idx="482">
                  <c:v>235360012</c:v>
                </c:pt>
                <c:pt idx="483">
                  <c:v>235359012</c:v>
                </c:pt>
                <c:pt idx="484">
                  <c:v>235359002</c:v>
                </c:pt>
                <c:pt idx="485">
                  <c:v>235358992</c:v>
                </c:pt>
                <c:pt idx="486">
                  <c:v>235355582</c:v>
                </c:pt>
                <c:pt idx="487">
                  <c:v>235305769</c:v>
                </c:pt>
                <c:pt idx="488">
                  <c:v>235233977</c:v>
                </c:pt>
                <c:pt idx="489">
                  <c:v>235233967</c:v>
                </c:pt>
                <c:pt idx="490">
                  <c:v>234871257</c:v>
                </c:pt>
                <c:pt idx="491">
                  <c:v>234508557</c:v>
                </c:pt>
                <c:pt idx="492">
                  <c:v>234508457</c:v>
                </c:pt>
                <c:pt idx="493">
                  <c:v>234408357</c:v>
                </c:pt>
                <c:pt idx="494">
                  <c:v>234408347</c:v>
                </c:pt>
                <c:pt idx="495">
                  <c:v>234408247</c:v>
                </c:pt>
                <c:pt idx="496">
                  <c:v>234408147</c:v>
                </c:pt>
                <c:pt idx="497">
                  <c:v>234265830</c:v>
                </c:pt>
                <c:pt idx="498">
                  <c:v>234150830</c:v>
                </c:pt>
                <c:pt idx="499">
                  <c:v>234150819</c:v>
                </c:pt>
                <c:pt idx="500">
                  <c:v>234150809</c:v>
                </c:pt>
                <c:pt idx="501">
                  <c:v>234150799</c:v>
                </c:pt>
                <c:pt idx="502">
                  <c:v>234150689</c:v>
                </c:pt>
                <c:pt idx="503">
                  <c:v>234140179</c:v>
                </c:pt>
                <c:pt idx="504">
                  <c:v>234139679</c:v>
                </c:pt>
                <c:pt idx="505">
                  <c:v>234139669</c:v>
                </c:pt>
                <c:pt idx="506">
                  <c:v>233839659</c:v>
                </c:pt>
                <c:pt idx="507">
                  <c:v>233538909</c:v>
                </c:pt>
                <c:pt idx="508">
                  <c:v>233538809</c:v>
                </c:pt>
                <c:pt idx="509">
                  <c:v>233538799</c:v>
                </c:pt>
                <c:pt idx="510">
                  <c:v>233538699</c:v>
                </c:pt>
                <c:pt idx="511">
                  <c:v>233538599</c:v>
                </c:pt>
                <c:pt idx="512">
                  <c:v>233538499</c:v>
                </c:pt>
                <c:pt idx="513">
                  <c:v>233538399</c:v>
                </c:pt>
                <c:pt idx="514">
                  <c:v>233538389</c:v>
                </c:pt>
                <c:pt idx="515">
                  <c:v>233508399</c:v>
                </c:pt>
                <c:pt idx="516">
                  <c:v>233508389</c:v>
                </c:pt>
                <c:pt idx="517">
                  <c:v>233498352</c:v>
                </c:pt>
                <c:pt idx="518">
                  <c:v>233498252</c:v>
                </c:pt>
                <c:pt idx="519">
                  <c:v>233098152</c:v>
                </c:pt>
                <c:pt idx="520">
                  <c:v>233095415</c:v>
                </c:pt>
                <c:pt idx="521">
                  <c:v>232786585</c:v>
                </c:pt>
                <c:pt idx="522">
                  <c:v>232786485</c:v>
                </c:pt>
                <c:pt idx="523">
                  <c:v>232310385</c:v>
                </c:pt>
                <c:pt idx="524">
                  <c:v>232301485</c:v>
                </c:pt>
                <c:pt idx="525">
                  <c:v>232301475</c:v>
                </c:pt>
                <c:pt idx="526">
                  <c:v>232301375</c:v>
                </c:pt>
                <c:pt idx="527">
                  <c:v>232301275</c:v>
                </c:pt>
                <c:pt idx="528">
                  <c:v>232300275</c:v>
                </c:pt>
                <c:pt idx="529">
                  <c:v>232300100</c:v>
                </c:pt>
                <c:pt idx="530">
                  <c:v>232299099</c:v>
                </c:pt>
                <c:pt idx="531">
                  <c:v>232298599</c:v>
                </c:pt>
                <c:pt idx="532">
                  <c:v>232297599</c:v>
                </c:pt>
                <c:pt idx="533">
                  <c:v>232296589</c:v>
                </c:pt>
                <c:pt idx="534">
                  <c:v>232296079</c:v>
                </c:pt>
                <c:pt idx="535">
                  <c:v>232296069</c:v>
                </c:pt>
                <c:pt idx="536">
                  <c:v>232295069</c:v>
                </c:pt>
                <c:pt idx="537">
                  <c:v>232294569</c:v>
                </c:pt>
                <c:pt idx="538">
                  <c:v>232094069</c:v>
                </c:pt>
                <c:pt idx="539">
                  <c:v>232093059</c:v>
                </c:pt>
                <c:pt idx="540">
                  <c:v>231793049</c:v>
                </c:pt>
                <c:pt idx="541">
                  <c:v>231792049</c:v>
                </c:pt>
                <c:pt idx="542">
                  <c:v>231790549</c:v>
                </c:pt>
                <c:pt idx="543">
                  <c:v>231790049</c:v>
                </c:pt>
                <c:pt idx="544">
                  <c:v>231780049</c:v>
                </c:pt>
                <c:pt idx="545">
                  <c:v>230780039</c:v>
                </c:pt>
                <c:pt idx="546">
                  <c:v>230779539</c:v>
                </c:pt>
                <c:pt idx="547">
                  <c:v>230779039</c:v>
                </c:pt>
                <c:pt idx="548">
                  <c:v>230778539</c:v>
                </c:pt>
                <c:pt idx="549">
                  <c:v>230778039</c:v>
                </c:pt>
                <c:pt idx="550">
                  <c:v>230578039</c:v>
                </c:pt>
                <c:pt idx="551">
                  <c:v>230567573</c:v>
                </c:pt>
                <c:pt idx="552">
                  <c:v>230247063</c:v>
                </c:pt>
                <c:pt idx="553">
                  <c:v>230046563</c:v>
                </c:pt>
                <c:pt idx="554">
                  <c:v>230046063</c:v>
                </c:pt>
                <c:pt idx="555">
                  <c:v>230046053</c:v>
                </c:pt>
                <c:pt idx="556">
                  <c:v>229945953</c:v>
                </c:pt>
                <c:pt idx="557">
                  <c:v>229945853</c:v>
                </c:pt>
                <c:pt idx="558">
                  <c:v>229937353</c:v>
                </c:pt>
                <c:pt idx="559">
                  <c:v>229936753</c:v>
                </c:pt>
                <c:pt idx="560">
                  <c:v>229936643</c:v>
                </c:pt>
                <c:pt idx="561">
                  <c:v>229936343</c:v>
                </c:pt>
                <c:pt idx="562">
                  <c:v>229936243</c:v>
                </c:pt>
                <c:pt idx="563">
                  <c:v>229935643</c:v>
                </c:pt>
                <c:pt idx="564">
                  <c:v>229935043</c:v>
                </c:pt>
                <c:pt idx="565">
                  <c:v>229935033</c:v>
                </c:pt>
                <c:pt idx="566">
                  <c:v>229934933</c:v>
                </c:pt>
                <c:pt idx="567">
                  <c:v>229934833</c:v>
                </c:pt>
                <c:pt idx="568">
                  <c:v>229834834</c:v>
                </c:pt>
                <c:pt idx="569">
                  <c:v>229684834</c:v>
                </c:pt>
                <c:pt idx="570">
                  <c:v>229684734</c:v>
                </c:pt>
                <c:pt idx="571">
                  <c:v>229684634</c:v>
                </c:pt>
                <c:pt idx="572">
                  <c:v>229684534</c:v>
                </c:pt>
                <c:pt idx="573">
                  <c:v>229684434</c:v>
                </c:pt>
                <c:pt idx="574">
                  <c:v>229684334</c:v>
                </c:pt>
                <c:pt idx="575">
                  <c:v>229683334</c:v>
                </c:pt>
                <c:pt idx="576">
                  <c:v>229679043</c:v>
                </c:pt>
                <c:pt idx="577">
                  <c:v>229678943</c:v>
                </c:pt>
                <c:pt idx="578">
                  <c:v>229678843</c:v>
                </c:pt>
                <c:pt idx="579">
                  <c:v>229648162</c:v>
                </c:pt>
                <c:pt idx="580">
                  <c:v>229127782</c:v>
                </c:pt>
                <c:pt idx="581">
                  <c:v>227845795</c:v>
                </c:pt>
                <c:pt idx="582">
                  <c:v>226819059</c:v>
                </c:pt>
                <c:pt idx="583">
                  <c:v>224831808</c:v>
                </c:pt>
                <c:pt idx="584">
                  <c:v>223221698</c:v>
                </c:pt>
                <c:pt idx="585">
                  <c:v>220543424</c:v>
                </c:pt>
                <c:pt idx="586">
                  <c:v>211405841</c:v>
                </c:pt>
                <c:pt idx="587">
                  <c:v>208897464</c:v>
                </c:pt>
                <c:pt idx="588">
                  <c:v>206700379</c:v>
                </c:pt>
                <c:pt idx="589">
                  <c:v>205384979</c:v>
                </c:pt>
                <c:pt idx="590">
                  <c:v>205000850</c:v>
                </c:pt>
                <c:pt idx="591">
                  <c:v>204159080</c:v>
                </c:pt>
                <c:pt idx="592">
                  <c:v>204151080</c:v>
                </c:pt>
                <c:pt idx="593">
                  <c:v>204150980</c:v>
                </c:pt>
                <c:pt idx="594">
                  <c:v>203857980</c:v>
                </c:pt>
                <c:pt idx="595">
                  <c:v>203848980</c:v>
                </c:pt>
                <c:pt idx="596">
                  <c:v>203835470</c:v>
                </c:pt>
                <c:pt idx="597">
                  <c:v>203829370</c:v>
                </c:pt>
                <c:pt idx="598">
                  <c:v>203826870</c:v>
                </c:pt>
                <c:pt idx="599">
                  <c:v>203826368</c:v>
                </c:pt>
                <c:pt idx="600">
                  <c:v>203425855</c:v>
                </c:pt>
                <c:pt idx="601">
                  <c:v>203075475</c:v>
                </c:pt>
                <c:pt idx="602">
                  <c:v>202874974</c:v>
                </c:pt>
                <c:pt idx="603">
                  <c:v>202510898</c:v>
                </c:pt>
                <c:pt idx="604">
                  <c:v>200178124</c:v>
                </c:pt>
                <c:pt idx="605">
                  <c:v>199972924</c:v>
                </c:pt>
                <c:pt idx="606">
                  <c:v>199970371</c:v>
                </c:pt>
                <c:pt idx="607">
                  <c:v>199050321</c:v>
                </c:pt>
                <c:pt idx="608">
                  <c:v>199050024</c:v>
                </c:pt>
                <c:pt idx="609">
                  <c:v>198630014</c:v>
                </c:pt>
                <c:pt idx="610">
                  <c:v>197689257</c:v>
                </c:pt>
                <c:pt idx="611">
                  <c:v>197655120</c:v>
                </c:pt>
                <c:pt idx="612">
                  <c:v>197654920</c:v>
                </c:pt>
                <c:pt idx="613">
                  <c:v>197332645</c:v>
                </c:pt>
                <c:pt idx="614">
                  <c:v>197327645</c:v>
                </c:pt>
                <c:pt idx="615">
                  <c:v>197325920</c:v>
                </c:pt>
                <c:pt idx="616">
                  <c:v>197322920</c:v>
                </c:pt>
                <c:pt idx="617">
                  <c:v>197277522</c:v>
                </c:pt>
                <c:pt idx="618">
                  <c:v>197190522</c:v>
                </c:pt>
                <c:pt idx="619">
                  <c:v>196710022</c:v>
                </c:pt>
                <c:pt idx="620">
                  <c:v>196692780</c:v>
                </c:pt>
                <c:pt idx="621">
                  <c:v>196132483</c:v>
                </c:pt>
                <c:pt idx="622">
                  <c:v>196127483</c:v>
                </c:pt>
                <c:pt idx="623">
                  <c:v>195881071</c:v>
                </c:pt>
                <c:pt idx="624">
                  <c:v>195876071</c:v>
                </c:pt>
                <c:pt idx="625">
                  <c:v>195746797</c:v>
                </c:pt>
                <c:pt idx="626">
                  <c:v>195611797</c:v>
                </c:pt>
                <c:pt idx="627">
                  <c:v>195596797</c:v>
                </c:pt>
                <c:pt idx="628">
                  <c:v>195595797</c:v>
                </c:pt>
                <c:pt idx="629">
                  <c:v>195540797</c:v>
                </c:pt>
                <c:pt idx="630">
                  <c:v>195529797</c:v>
                </c:pt>
                <c:pt idx="631">
                  <c:v>195360397</c:v>
                </c:pt>
                <c:pt idx="632">
                  <c:v>195360097</c:v>
                </c:pt>
                <c:pt idx="633">
                  <c:v>195349837</c:v>
                </c:pt>
                <c:pt idx="634">
                  <c:v>195349537</c:v>
                </c:pt>
                <c:pt idx="635">
                  <c:v>195349137</c:v>
                </c:pt>
                <c:pt idx="636">
                  <c:v>195348937</c:v>
                </c:pt>
                <c:pt idx="637">
                  <c:v>195157937</c:v>
                </c:pt>
                <c:pt idx="638">
                  <c:v>195157737</c:v>
                </c:pt>
                <c:pt idx="639">
                  <c:v>195157537</c:v>
                </c:pt>
                <c:pt idx="640">
                  <c:v>195157337</c:v>
                </c:pt>
                <c:pt idx="641">
                  <c:v>195157137</c:v>
                </c:pt>
                <c:pt idx="642">
                  <c:v>195156937</c:v>
                </c:pt>
                <c:pt idx="643">
                  <c:v>195156737</c:v>
                </c:pt>
                <c:pt idx="644">
                  <c:v>195156527</c:v>
                </c:pt>
                <c:pt idx="645">
                  <c:v>195156427</c:v>
                </c:pt>
                <c:pt idx="646">
                  <c:v>195156327</c:v>
                </c:pt>
                <c:pt idx="647">
                  <c:v>195156227</c:v>
                </c:pt>
                <c:pt idx="648">
                  <c:v>195156127</c:v>
                </c:pt>
                <c:pt idx="649">
                  <c:v>195156027</c:v>
                </c:pt>
                <c:pt idx="650">
                  <c:v>195155927</c:v>
                </c:pt>
                <c:pt idx="651">
                  <c:v>195155827</c:v>
                </c:pt>
                <c:pt idx="652">
                  <c:v>195155727</c:v>
                </c:pt>
                <c:pt idx="653">
                  <c:v>195155627</c:v>
                </c:pt>
                <c:pt idx="654">
                  <c:v>195155527</c:v>
                </c:pt>
                <c:pt idx="655">
                  <c:v>195149437</c:v>
                </c:pt>
                <c:pt idx="656">
                  <c:v>195147337</c:v>
                </c:pt>
                <c:pt idx="657">
                  <c:v>195147327</c:v>
                </c:pt>
                <c:pt idx="658">
                  <c:v>195147127</c:v>
                </c:pt>
                <c:pt idx="659">
                  <c:v>195146927</c:v>
                </c:pt>
                <c:pt idx="660">
                  <c:v>195146727</c:v>
                </c:pt>
                <c:pt idx="661">
                  <c:v>195146527</c:v>
                </c:pt>
                <c:pt idx="662">
                  <c:v>195015859</c:v>
                </c:pt>
                <c:pt idx="663">
                  <c:v>195015191</c:v>
                </c:pt>
                <c:pt idx="664">
                  <c:v>195015091</c:v>
                </c:pt>
                <c:pt idx="665">
                  <c:v>195014973</c:v>
                </c:pt>
                <c:pt idx="666">
                  <c:v>195002971</c:v>
                </c:pt>
                <c:pt idx="667">
                  <c:v>195002771</c:v>
                </c:pt>
                <c:pt idx="668">
                  <c:v>194922771</c:v>
                </c:pt>
                <c:pt idx="669">
                  <c:v>194922571</c:v>
                </c:pt>
                <c:pt idx="670">
                  <c:v>194922371</c:v>
                </c:pt>
                <c:pt idx="671">
                  <c:v>194922171</c:v>
                </c:pt>
                <c:pt idx="672">
                  <c:v>194921971</c:v>
                </c:pt>
                <c:pt idx="673">
                  <c:v>194800436</c:v>
                </c:pt>
                <c:pt idx="674">
                  <c:v>194795236</c:v>
                </c:pt>
                <c:pt idx="675">
                  <c:v>194777936</c:v>
                </c:pt>
                <c:pt idx="676">
                  <c:v>194676236</c:v>
                </c:pt>
                <c:pt idx="677">
                  <c:v>194673236</c:v>
                </c:pt>
                <c:pt idx="678">
                  <c:v>194604471</c:v>
                </c:pt>
                <c:pt idx="679">
                  <c:v>194603971</c:v>
                </c:pt>
                <c:pt idx="680">
                  <c:v>194603471</c:v>
                </c:pt>
                <c:pt idx="681">
                  <c:v>194601740</c:v>
                </c:pt>
                <c:pt idx="682">
                  <c:v>194598940</c:v>
                </c:pt>
                <c:pt idx="683">
                  <c:v>194448740</c:v>
                </c:pt>
                <c:pt idx="684">
                  <c:v>194237659</c:v>
                </c:pt>
                <c:pt idx="685">
                  <c:v>194237409</c:v>
                </c:pt>
                <c:pt idx="686">
                  <c:v>194237309</c:v>
                </c:pt>
                <c:pt idx="687">
                  <c:v>194237209</c:v>
                </c:pt>
                <c:pt idx="688">
                  <c:v>194227209</c:v>
                </c:pt>
                <c:pt idx="689">
                  <c:v>194052209</c:v>
                </c:pt>
                <c:pt idx="690">
                  <c:v>194022165</c:v>
                </c:pt>
                <c:pt idx="691">
                  <c:v>194012165</c:v>
                </c:pt>
                <c:pt idx="692">
                  <c:v>194002155</c:v>
                </c:pt>
                <c:pt idx="693">
                  <c:v>193999655</c:v>
                </c:pt>
                <c:pt idx="694">
                  <c:v>193972209</c:v>
                </c:pt>
                <c:pt idx="695">
                  <c:v>193972199</c:v>
                </c:pt>
                <c:pt idx="696">
                  <c:v>193972189</c:v>
                </c:pt>
                <c:pt idx="697">
                  <c:v>193972131</c:v>
                </c:pt>
                <c:pt idx="698">
                  <c:v>193922931</c:v>
                </c:pt>
                <c:pt idx="699">
                  <c:v>193921931</c:v>
                </c:pt>
                <c:pt idx="700">
                  <c:v>193841900</c:v>
                </c:pt>
                <c:pt idx="701">
                  <c:v>193831900</c:v>
                </c:pt>
                <c:pt idx="702">
                  <c:v>193831890</c:v>
                </c:pt>
                <c:pt idx="703">
                  <c:v>193506950</c:v>
                </c:pt>
                <c:pt idx="704">
                  <c:v>193506940</c:v>
                </c:pt>
                <c:pt idx="705">
                  <c:v>193506930</c:v>
                </c:pt>
                <c:pt idx="706">
                  <c:v>193506910</c:v>
                </c:pt>
                <c:pt idx="707">
                  <c:v>193506900</c:v>
                </c:pt>
                <c:pt idx="708">
                  <c:v>193386890</c:v>
                </c:pt>
                <c:pt idx="709">
                  <c:v>193136880</c:v>
                </c:pt>
                <c:pt idx="710">
                  <c:v>192986850</c:v>
                </c:pt>
                <c:pt idx="711">
                  <c:v>192986800</c:v>
                </c:pt>
                <c:pt idx="712">
                  <c:v>192986780</c:v>
                </c:pt>
                <c:pt idx="713">
                  <c:v>192986770</c:v>
                </c:pt>
                <c:pt idx="714">
                  <c:v>192986760</c:v>
                </c:pt>
                <c:pt idx="715">
                  <c:v>192986750</c:v>
                </c:pt>
                <c:pt idx="716">
                  <c:v>192986740</c:v>
                </c:pt>
                <c:pt idx="717">
                  <c:v>192986730</c:v>
                </c:pt>
                <c:pt idx="718">
                  <c:v>192986720</c:v>
                </c:pt>
                <c:pt idx="719">
                  <c:v>192836710</c:v>
                </c:pt>
                <c:pt idx="720">
                  <c:v>192836700</c:v>
                </c:pt>
                <c:pt idx="721">
                  <c:v>192836690</c:v>
                </c:pt>
                <c:pt idx="722">
                  <c:v>192836680</c:v>
                </c:pt>
                <c:pt idx="723">
                  <c:v>192836670</c:v>
                </c:pt>
                <c:pt idx="724">
                  <c:v>192736660</c:v>
                </c:pt>
                <c:pt idx="725">
                  <c:v>192136650</c:v>
                </c:pt>
                <c:pt idx="726">
                  <c:v>192136640</c:v>
                </c:pt>
                <c:pt idx="727">
                  <c:v>191715630</c:v>
                </c:pt>
                <c:pt idx="728">
                  <c:v>191585620</c:v>
                </c:pt>
                <c:pt idx="729">
                  <c:v>191585610</c:v>
                </c:pt>
                <c:pt idx="730">
                  <c:v>191585599</c:v>
                </c:pt>
                <c:pt idx="731">
                  <c:v>191585289</c:v>
                </c:pt>
                <c:pt idx="732">
                  <c:v>191585279</c:v>
                </c:pt>
                <c:pt idx="733">
                  <c:v>191385269</c:v>
                </c:pt>
                <c:pt idx="734">
                  <c:v>191385259</c:v>
                </c:pt>
                <c:pt idx="735">
                  <c:v>191385249</c:v>
                </c:pt>
                <c:pt idx="736">
                  <c:v>191385239</c:v>
                </c:pt>
                <c:pt idx="737">
                  <c:v>191385229</c:v>
                </c:pt>
                <c:pt idx="738">
                  <c:v>191385219</c:v>
                </c:pt>
                <c:pt idx="739">
                  <c:v>191385209</c:v>
                </c:pt>
                <c:pt idx="740">
                  <c:v>191385199</c:v>
                </c:pt>
                <c:pt idx="741">
                  <c:v>191271531</c:v>
                </c:pt>
                <c:pt idx="742">
                  <c:v>190691521</c:v>
                </c:pt>
                <c:pt idx="743">
                  <c:v>190481511</c:v>
                </c:pt>
                <c:pt idx="744">
                  <c:v>190181461</c:v>
                </c:pt>
                <c:pt idx="745">
                  <c:v>190181451</c:v>
                </c:pt>
                <c:pt idx="746">
                  <c:v>190141441</c:v>
                </c:pt>
                <c:pt idx="747">
                  <c:v>189822218</c:v>
                </c:pt>
                <c:pt idx="748">
                  <c:v>189542208</c:v>
                </c:pt>
                <c:pt idx="749">
                  <c:v>189542128</c:v>
                </c:pt>
                <c:pt idx="750">
                  <c:v>189542118</c:v>
                </c:pt>
                <c:pt idx="751">
                  <c:v>189542108</c:v>
                </c:pt>
                <c:pt idx="752">
                  <c:v>189542058</c:v>
                </c:pt>
                <c:pt idx="753">
                  <c:v>189542048</c:v>
                </c:pt>
                <c:pt idx="754">
                  <c:v>189266158</c:v>
                </c:pt>
                <c:pt idx="755">
                  <c:v>189266148</c:v>
                </c:pt>
                <c:pt idx="756">
                  <c:v>189266138</c:v>
                </c:pt>
                <c:pt idx="757">
                  <c:v>189166128</c:v>
                </c:pt>
                <c:pt idx="758">
                  <c:v>189166078</c:v>
                </c:pt>
                <c:pt idx="759">
                  <c:v>189035289</c:v>
                </c:pt>
                <c:pt idx="760">
                  <c:v>189035239</c:v>
                </c:pt>
                <c:pt idx="761">
                  <c:v>189031033</c:v>
                </c:pt>
                <c:pt idx="762">
                  <c:v>189030983</c:v>
                </c:pt>
                <c:pt idx="763">
                  <c:v>188962983</c:v>
                </c:pt>
                <c:pt idx="764">
                  <c:v>188961483</c:v>
                </c:pt>
                <c:pt idx="765">
                  <c:v>188961433</c:v>
                </c:pt>
                <c:pt idx="766">
                  <c:v>188961418</c:v>
                </c:pt>
                <c:pt idx="767">
                  <c:v>188961403</c:v>
                </c:pt>
                <c:pt idx="768">
                  <c:v>188879718</c:v>
                </c:pt>
                <c:pt idx="769">
                  <c:v>188879658</c:v>
                </c:pt>
                <c:pt idx="770">
                  <c:v>188879608</c:v>
                </c:pt>
                <c:pt idx="771">
                  <c:v>188879588</c:v>
                </c:pt>
                <c:pt idx="772">
                  <c:v>188729573</c:v>
                </c:pt>
                <c:pt idx="773">
                  <c:v>188716563</c:v>
                </c:pt>
                <c:pt idx="774">
                  <c:v>188716043</c:v>
                </c:pt>
                <c:pt idx="775">
                  <c:v>188524639</c:v>
                </c:pt>
                <c:pt idx="776">
                  <c:v>188524619</c:v>
                </c:pt>
                <c:pt idx="777">
                  <c:v>188524559</c:v>
                </c:pt>
                <c:pt idx="778">
                  <c:v>188523859</c:v>
                </c:pt>
                <c:pt idx="779">
                  <c:v>188523779</c:v>
                </c:pt>
                <c:pt idx="780">
                  <c:v>188523279</c:v>
                </c:pt>
                <c:pt idx="781">
                  <c:v>188522759</c:v>
                </c:pt>
                <c:pt idx="782">
                  <c:v>188522609</c:v>
                </c:pt>
                <c:pt idx="783">
                  <c:v>188522589</c:v>
                </c:pt>
                <c:pt idx="784">
                  <c:v>188322479</c:v>
                </c:pt>
                <c:pt idx="785">
                  <c:v>188322429</c:v>
                </c:pt>
                <c:pt idx="786">
                  <c:v>188203663</c:v>
                </c:pt>
                <c:pt idx="787">
                  <c:v>186810028</c:v>
                </c:pt>
                <c:pt idx="788">
                  <c:v>186809978</c:v>
                </c:pt>
                <c:pt idx="789">
                  <c:v>186804948</c:v>
                </c:pt>
                <c:pt idx="790">
                  <c:v>186726546</c:v>
                </c:pt>
                <c:pt idx="791">
                  <c:v>186726403</c:v>
                </c:pt>
                <c:pt idx="792">
                  <c:v>186726343</c:v>
                </c:pt>
                <c:pt idx="793">
                  <c:v>186726293</c:v>
                </c:pt>
                <c:pt idx="794">
                  <c:v>186724293</c:v>
                </c:pt>
                <c:pt idx="795">
                  <c:v>186724273</c:v>
                </c:pt>
                <c:pt idx="796">
                  <c:v>186724252</c:v>
                </c:pt>
                <c:pt idx="797">
                  <c:v>186724122</c:v>
                </c:pt>
                <c:pt idx="798">
                  <c:v>186724042</c:v>
                </c:pt>
                <c:pt idx="799">
                  <c:v>186723992</c:v>
                </c:pt>
                <c:pt idx="800">
                  <c:v>186651844</c:v>
                </c:pt>
                <c:pt idx="801">
                  <c:v>186651814</c:v>
                </c:pt>
                <c:pt idx="802">
                  <c:v>186650726</c:v>
                </c:pt>
                <c:pt idx="803">
                  <c:v>186650666</c:v>
                </c:pt>
                <c:pt idx="804">
                  <c:v>186650615</c:v>
                </c:pt>
                <c:pt idx="805">
                  <c:v>186650464</c:v>
                </c:pt>
                <c:pt idx="806">
                  <c:v>186650355</c:v>
                </c:pt>
                <c:pt idx="807">
                  <c:v>186650230</c:v>
                </c:pt>
                <c:pt idx="808">
                  <c:v>186650033</c:v>
                </c:pt>
                <c:pt idx="809">
                  <c:v>186597338</c:v>
                </c:pt>
                <c:pt idx="810">
                  <c:v>186597238</c:v>
                </c:pt>
                <c:pt idx="811">
                  <c:v>186596507</c:v>
                </c:pt>
                <c:pt idx="812">
                  <c:v>186423137</c:v>
                </c:pt>
                <c:pt idx="813">
                  <c:v>185832655</c:v>
                </c:pt>
                <c:pt idx="814">
                  <c:v>185332555</c:v>
                </c:pt>
                <c:pt idx="815">
                  <c:v>185167468</c:v>
                </c:pt>
                <c:pt idx="816">
                  <c:v>183373081</c:v>
                </c:pt>
                <c:pt idx="817">
                  <c:v>180202036</c:v>
                </c:pt>
                <c:pt idx="818">
                  <c:v>179860214</c:v>
                </c:pt>
                <c:pt idx="819">
                  <c:v>179120445</c:v>
                </c:pt>
                <c:pt idx="820">
                  <c:v>178789350</c:v>
                </c:pt>
                <c:pt idx="821">
                  <c:v>175829534</c:v>
                </c:pt>
                <c:pt idx="822">
                  <c:v>165086291</c:v>
                </c:pt>
                <c:pt idx="823">
                  <c:v>159202280</c:v>
                </c:pt>
                <c:pt idx="824">
                  <c:v>154309436</c:v>
                </c:pt>
                <c:pt idx="825">
                  <c:v>150718838</c:v>
                </c:pt>
                <c:pt idx="826">
                  <c:v>146977188</c:v>
                </c:pt>
                <c:pt idx="827">
                  <c:v>140353836</c:v>
                </c:pt>
                <c:pt idx="828">
                  <c:v>137083233</c:v>
                </c:pt>
                <c:pt idx="829">
                  <c:v>133941192</c:v>
                </c:pt>
                <c:pt idx="830">
                  <c:v>130596074</c:v>
                </c:pt>
                <c:pt idx="831">
                  <c:v>127936123</c:v>
                </c:pt>
                <c:pt idx="832">
                  <c:v>107455182</c:v>
                </c:pt>
                <c:pt idx="833">
                  <c:v>99828998</c:v>
                </c:pt>
                <c:pt idx="834">
                  <c:v>84948228</c:v>
                </c:pt>
                <c:pt idx="835">
                  <c:v>76924154</c:v>
                </c:pt>
                <c:pt idx="836">
                  <c:v>69402935</c:v>
                </c:pt>
                <c:pt idx="837">
                  <c:v>63446770</c:v>
                </c:pt>
                <c:pt idx="838">
                  <c:v>59099693</c:v>
                </c:pt>
                <c:pt idx="839">
                  <c:v>54690230</c:v>
                </c:pt>
                <c:pt idx="840">
                  <c:v>51397098</c:v>
                </c:pt>
                <c:pt idx="841">
                  <c:v>48470568</c:v>
                </c:pt>
                <c:pt idx="842">
                  <c:v>45799432</c:v>
                </c:pt>
                <c:pt idx="843">
                  <c:v>43231710</c:v>
                </c:pt>
                <c:pt idx="844">
                  <c:v>40201343</c:v>
                </c:pt>
                <c:pt idx="845">
                  <c:v>37228212</c:v>
                </c:pt>
                <c:pt idx="846">
                  <c:v>33122770</c:v>
                </c:pt>
                <c:pt idx="847">
                  <c:v>32374776</c:v>
                </c:pt>
                <c:pt idx="848">
                  <c:v>30473548</c:v>
                </c:pt>
                <c:pt idx="849">
                  <c:v>30294574</c:v>
                </c:pt>
                <c:pt idx="850">
                  <c:v>30096758</c:v>
                </c:pt>
                <c:pt idx="851">
                  <c:v>28776980</c:v>
                </c:pt>
                <c:pt idx="852">
                  <c:v>27416534</c:v>
                </c:pt>
                <c:pt idx="853">
                  <c:v>27030128</c:v>
                </c:pt>
                <c:pt idx="854">
                  <c:v>25240628</c:v>
                </c:pt>
                <c:pt idx="855">
                  <c:v>24914158</c:v>
                </c:pt>
                <c:pt idx="856">
                  <c:v>23464299</c:v>
                </c:pt>
                <c:pt idx="857">
                  <c:v>23440415</c:v>
                </c:pt>
                <c:pt idx="858">
                  <c:v>22231179</c:v>
                </c:pt>
                <c:pt idx="859">
                  <c:v>22202645</c:v>
                </c:pt>
                <c:pt idx="860">
                  <c:v>22174146</c:v>
                </c:pt>
                <c:pt idx="861">
                  <c:v>22141136</c:v>
                </c:pt>
                <c:pt idx="862">
                  <c:v>22127736</c:v>
                </c:pt>
                <c:pt idx="863">
                  <c:v>22120001</c:v>
                </c:pt>
                <c:pt idx="864">
                  <c:v>21721501</c:v>
                </c:pt>
                <c:pt idx="865">
                  <c:v>20201965</c:v>
                </c:pt>
                <c:pt idx="866">
                  <c:v>19525142</c:v>
                </c:pt>
                <c:pt idx="867">
                  <c:v>19521642</c:v>
                </c:pt>
                <c:pt idx="868">
                  <c:v>19211007</c:v>
                </c:pt>
                <c:pt idx="869">
                  <c:v>19123125</c:v>
                </c:pt>
                <c:pt idx="870">
                  <c:v>19110624</c:v>
                </c:pt>
                <c:pt idx="871">
                  <c:v>19079864</c:v>
                </c:pt>
                <c:pt idx="872">
                  <c:v>18879664</c:v>
                </c:pt>
                <c:pt idx="873">
                  <c:v>18776804</c:v>
                </c:pt>
                <c:pt idx="874">
                  <c:v>18674776</c:v>
                </c:pt>
                <c:pt idx="875">
                  <c:v>18150088</c:v>
                </c:pt>
                <c:pt idx="876">
                  <c:v>18141888</c:v>
                </c:pt>
                <c:pt idx="877">
                  <c:v>18138406</c:v>
                </c:pt>
                <c:pt idx="878">
                  <c:v>18061020</c:v>
                </c:pt>
                <c:pt idx="879">
                  <c:v>17657019</c:v>
                </c:pt>
                <c:pt idx="880">
                  <c:v>17651995</c:v>
                </c:pt>
                <c:pt idx="881">
                  <c:v>17648995</c:v>
                </c:pt>
                <c:pt idx="882">
                  <c:v>9174612</c:v>
                </c:pt>
                <c:pt idx="883">
                  <c:v>8562844</c:v>
                </c:pt>
                <c:pt idx="884">
                  <c:v>8506844</c:v>
                </c:pt>
                <c:pt idx="885">
                  <c:v>8491003</c:v>
                </c:pt>
                <c:pt idx="886">
                  <c:v>8486162</c:v>
                </c:pt>
                <c:pt idx="887">
                  <c:v>8483662</c:v>
                </c:pt>
                <c:pt idx="888">
                  <c:v>8479431</c:v>
                </c:pt>
                <c:pt idx="889">
                  <c:v>8457531</c:v>
                </c:pt>
                <c:pt idx="890">
                  <c:v>8451391</c:v>
                </c:pt>
                <c:pt idx="891">
                  <c:v>8451341</c:v>
                </c:pt>
                <c:pt idx="892">
                  <c:v>8447391</c:v>
                </c:pt>
                <c:pt idx="893">
                  <c:v>8447341</c:v>
                </c:pt>
                <c:pt idx="894">
                  <c:v>8444301</c:v>
                </c:pt>
                <c:pt idx="895">
                  <c:v>8443079</c:v>
                </c:pt>
                <c:pt idx="896">
                  <c:v>8443039</c:v>
                </c:pt>
                <c:pt idx="897">
                  <c:v>8441039</c:v>
                </c:pt>
                <c:pt idx="898">
                  <c:v>8441029</c:v>
                </c:pt>
                <c:pt idx="899">
                  <c:v>8440509</c:v>
                </c:pt>
                <c:pt idx="900">
                  <c:v>8440459</c:v>
                </c:pt>
                <c:pt idx="901">
                  <c:v>8440429</c:v>
                </c:pt>
                <c:pt idx="902">
                  <c:v>8440406</c:v>
                </c:pt>
                <c:pt idx="903">
                  <c:v>8440371</c:v>
                </c:pt>
                <c:pt idx="904">
                  <c:v>8235270</c:v>
                </c:pt>
                <c:pt idx="905">
                  <c:v>8231058</c:v>
                </c:pt>
                <c:pt idx="906">
                  <c:v>7945848</c:v>
                </c:pt>
                <c:pt idx="907">
                  <c:v>7943846</c:v>
                </c:pt>
                <c:pt idx="908">
                  <c:v>7940844</c:v>
                </c:pt>
                <c:pt idx="909">
                  <c:v>7032844</c:v>
                </c:pt>
                <c:pt idx="910">
                  <c:v>7028843</c:v>
                </c:pt>
                <c:pt idx="911">
                  <c:v>7025843</c:v>
                </c:pt>
                <c:pt idx="912">
                  <c:v>7018842</c:v>
                </c:pt>
                <c:pt idx="913">
                  <c:v>6518832</c:v>
                </c:pt>
                <c:pt idx="914">
                  <c:v>6467831</c:v>
                </c:pt>
                <c:pt idx="915">
                  <c:v>6461830</c:v>
                </c:pt>
                <c:pt idx="916">
                  <c:v>6441830</c:v>
                </c:pt>
                <c:pt idx="917">
                  <c:v>6421830</c:v>
                </c:pt>
                <c:pt idx="918">
                  <c:v>6138964</c:v>
                </c:pt>
                <c:pt idx="919">
                  <c:v>6118964</c:v>
                </c:pt>
                <c:pt idx="920">
                  <c:v>6058964</c:v>
                </c:pt>
                <c:pt idx="921">
                  <c:v>6038964</c:v>
                </c:pt>
                <c:pt idx="922">
                  <c:v>5993959</c:v>
                </c:pt>
                <c:pt idx="923">
                  <c:v>5951937</c:v>
                </c:pt>
                <c:pt idx="924">
                  <c:v>5911937</c:v>
                </c:pt>
                <c:pt idx="925">
                  <c:v>5827911</c:v>
                </c:pt>
                <c:pt idx="926">
                  <c:v>4955164</c:v>
                </c:pt>
                <c:pt idx="927">
                  <c:v>4880953</c:v>
                </c:pt>
                <c:pt idx="928">
                  <c:v>4832953</c:v>
                </c:pt>
                <c:pt idx="929">
                  <c:v>4720953</c:v>
                </c:pt>
                <c:pt idx="930">
                  <c:v>4608753</c:v>
                </c:pt>
                <c:pt idx="931">
                  <c:v>4396753</c:v>
                </c:pt>
                <c:pt idx="932">
                  <c:v>4234753</c:v>
                </c:pt>
                <c:pt idx="933">
                  <c:v>4103953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4160335"/>
        <c:axId val="643831311"/>
      </c:areaChart>
      <c:catAx>
        <c:axId val="474160335"/>
        <c:scaling>
          <c:orientation val="minMax"/>
          <c:max val="934"/>
          <c:min val="1"/>
        </c:scaling>
        <c:delete val="1"/>
        <c:axPos val="b"/>
        <c:numFmt formatCode="[$-409]mmm\-yy;@" sourceLinked="0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3831311"/>
        <c:crosses val="autoZero"/>
        <c:auto val="1"/>
        <c:lblAlgn val="ctr"/>
        <c:lblOffset val="100"/>
        <c:tickLblSkip val="3"/>
        <c:noMultiLvlLbl val="0"/>
      </c:catAx>
      <c:valAx>
        <c:axId val="6438313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zh-CN" sz="14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400" b="1">
                    <a:solidFill>
                      <a:schemeClr val="accent5"/>
                    </a:solidFill>
                  </a:rPr>
                  <a:t>累计成交量（百万吨）</a:t>
                </a:r>
                <a:endParaRPr lang="zh-CN" altLang="en-US" sz="1400" b="1">
                  <a:solidFill>
                    <a:schemeClr val="accent5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#,##0" sourceLinked="0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600" b="1" i="0" u="none" strike="noStrike" kern="1200" baseline="0">
                <a:solidFill>
                  <a:schemeClr val="accent5"/>
                </a:solidFill>
                <a:latin typeface="+mn-lt"/>
                <a:ea typeface="+mn-ea"/>
                <a:cs typeface="+mn-cs"/>
              </a:defRPr>
            </a:pPr>
          </a:p>
        </c:txPr>
        <c:crossAx val="474160335"/>
        <c:crosses val="autoZero"/>
        <c:crossBetween val="midCat"/>
        <c:dispUnits>
          <c:builtInUnit val="millions"/>
        </c:dispUnits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67574461799297"/>
          <c:y val="0.941529012241017"/>
          <c:w val="0.249517716611383"/>
          <c:h val="0.058470987758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3f24526-23b5-407b-b520-5621b4a889a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2000" b="1">
                <a:solidFill>
                  <a:sysClr val="windowText" lastClr="000000"/>
                </a:solidFill>
              </a:rPr>
              <a:t>全国碳市场排放配额成交情况</a:t>
            </a:r>
            <a:endParaRPr lang="zh-CN" altLang="en-US" sz="2000"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59005081430113"/>
          <c:y val="0.0958193328230007"/>
          <c:w val="0.760447048021368"/>
          <c:h val="0.775447014225773"/>
        </c:manualLayout>
      </c:layout>
      <c:barChart>
        <c:barDir val="col"/>
        <c:grouping val="clustered"/>
        <c:varyColors val="0"/>
        <c:ser>
          <c:idx val="5"/>
          <c:order val="0"/>
          <c:tx>
            <c:strRef>
              <c:f>"成交量（万吨）"</c:f>
              <c:strCache>
                <c:ptCount val="1"/>
                <c:pt idx="0">
                  <c:v>成交量（万吨）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[1]数据来源上海环境能源交易所!$A$3:$A$936</c:f>
              <c:numCache>
                <c:formatCode>General</c:formatCode>
                <c:ptCount val="934"/>
                <c:pt idx="0">
                  <c:v>45819</c:v>
                </c:pt>
                <c:pt idx="1">
                  <c:v>45818</c:v>
                </c:pt>
                <c:pt idx="2">
                  <c:v>45817</c:v>
                </c:pt>
                <c:pt idx="3">
                  <c:v>45814</c:v>
                </c:pt>
                <c:pt idx="4">
                  <c:v>45813</c:v>
                </c:pt>
                <c:pt idx="5">
                  <c:v>45812</c:v>
                </c:pt>
                <c:pt idx="6">
                  <c:v>45811</c:v>
                </c:pt>
                <c:pt idx="7">
                  <c:v>45807</c:v>
                </c:pt>
                <c:pt idx="8">
                  <c:v>45806</c:v>
                </c:pt>
                <c:pt idx="9">
                  <c:v>45805</c:v>
                </c:pt>
                <c:pt idx="10">
                  <c:v>45804</c:v>
                </c:pt>
                <c:pt idx="11">
                  <c:v>45803</c:v>
                </c:pt>
                <c:pt idx="12">
                  <c:v>45800</c:v>
                </c:pt>
                <c:pt idx="13">
                  <c:v>45799</c:v>
                </c:pt>
                <c:pt idx="14">
                  <c:v>45798</c:v>
                </c:pt>
                <c:pt idx="15">
                  <c:v>45797</c:v>
                </c:pt>
                <c:pt idx="16">
                  <c:v>45796</c:v>
                </c:pt>
                <c:pt idx="17">
                  <c:v>45793</c:v>
                </c:pt>
                <c:pt idx="18">
                  <c:v>45792</c:v>
                </c:pt>
                <c:pt idx="19">
                  <c:v>45791</c:v>
                </c:pt>
                <c:pt idx="20">
                  <c:v>45790</c:v>
                </c:pt>
                <c:pt idx="21">
                  <c:v>45789</c:v>
                </c:pt>
                <c:pt idx="22">
                  <c:v>45786</c:v>
                </c:pt>
                <c:pt idx="23">
                  <c:v>45785</c:v>
                </c:pt>
                <c:pt idx="24">
                  <c:v>45784</c:v>
                </c:pt>
                <c:pt idx="25">
                  <c:v>45783</c:v>
                </c:pt>
                <c:pt idx="26">
                  <c:v>45777</c:v>
                </c:pt>
                <c:pt idx="27">
                  <c:v>45776</c:v>
                </c:pt>
                <c:pt idx="28">
                  <c:v>45775</c:v>
                </c:pt>
                <c:pt idx="29">
                  <c:v>45772</c:v>
                </c:pt>
                <c:pt idx="30">
                  <c:v>45771</c:v>
                </c:pt>
                <c:pt idx="31">
                  <c:v>45770</c:v>
                </c:pt>
                <c:pt idx="32">
                  <c:v>45769</c:v>
                </c:pt>
                <c:pt idx="33">
                  <c:v>45768</c:v>
                </c:pt>
                <c:pt idx="34">
                  <c:v>45765</c:v>
                </c:pt>
                <c:pt idx="35">
                  <c:v>45764</c:v>
                </c:pt>
                <c:pt idx="36">
                  <c:v>45763</c:v>
                </c:pt>
                <c:pt idx="37">
                  <c:v>45762</c:v>
                </c:pt>
                <c:pt idx="38">
                  <c:v>45761</c:v>
                </c:pt>
                <c:pt idx="39">
                  <c:v>45758</c:v>
                </c:pt>
                <c:pt idx="40">
                  <c:v>45757</c:v>
                </c:pt>
                <c:pt idx="41">
                  <c:v>45756</c:v>
                </c:pt>
                <c:pt idx="42">
                  <c:v>45755</c:v>
                </c:pt>
                <c:pt idx="43">
                  <c:v>45754</c:v>
                </c:pt>
                <c:pt idx="44">
                  <c:v>45750</c:v>
                </c:pt>
                <c:pt idx="45">
                  <c:v>45749</c:v>
                </c:pt>
                <c:pt idx="46">
                  <c:v>45748</c:v>
                </c:pt>
                <c:pt idx="47">
                  <c:v>45747</c:v>
                </c:pt>
                <c:pt idx="48">
                  <c:v>45744</c:v>
                </c:pt>
                <c:pt idx="49">
                  <c:v>45743</c:v>
                </c:pt>
                <c:pt idx="50">
                  <c:v>45742</c:v>
                </c:pt>
                <c:pt idx="51">
                  <c:v>45741</c:v>
                </c:pt>
                <c:pt idx="52">
                  <c:v>45740</c:v>
                </c:pt>
                <c:pt idx="53">
                  <c:v>45737</c:v>
                </c:pt>
                <c:pt idx="54">
                  <c:v>45736</c:v>
                </c:pt>
                <c:pt idx="55">
                  <c:v>45733</c:v>
                </c:pt>
                <c:pt idx="56">
                  <c:v>45730</c:v>
                </c:pt>
                <c:pt idx="57">
                  <c:v>45729</c:v>
                </c:pt>
                <c:pt idx="58">
                  <c:v>45728</c:v>
                </c:pt>
                <c:pt idx="59">
                  <c:v>45727</c:v>
                </c:pt>
                <c:pt idx="60">
                  <c:v>45726</c:v>
                </c:pt>
                <c:pt idx="61">
                  <c:v>45722</c:v>
                </c:pt>
                <c:pt idx="62">
                  <c:v>45721</c:v>
                </c:pt>
                <c:pt idx="63">
                  <c:v>45720</c:v>
                </c:pt>
                <c:pt idx="64">
                  <c:v>45719</c:v>
                </c:pt>
                <c:pt idx="65">
                  <c:v>45716</c:v>
                </c:pt>
                <c:pt idx="66">
                  <c:v>45715</c:v>
                </c:pt>
                <c:pt idx="67">
                  <c:v>45714</c:v>
                </c:pt>
                <c:pt idx="68">
                  <c:v>45713</c:v>
                </c:pt>
                <c:pt idx="69">
                  <c:v>45712</c:v>
                </c:pt>
                <c:pt idx="70">
                  <c:v>45709</c:v>
                </c:pt>
                <c:pt idx="71">
                  <c:v>45708</c:v>
                </c:pt>
                <c:pt idx="72">
                  <c:v>45707</c:v>
                </c:pt>
                <c:pt idx="73">
                  <c:v>45706</c:v>
                </c:pt>
                <c:pt idx="74">
                  <c:v>45702</c:v>
                </c:pt>
                <c:pt idx="75">
                  <c:v>45701</c:v>
                </c:pt>
                <c:pt idx="76">
                  <c:v>45700</c:v>
                </c:pt>
                <c:pt idx="77">
                  <c:v>45699</c:v>
                </c:pt>
                <c:pt idx="78">
                  <c:v>45694</c:v>
                </c:pt>
                <c:pt idx="79">
                  <c:v>45681</c:v>
                </c:pt>
                <c:pt idx="80">
                  <c:v>45680</c:v>
                </c:pt>
                <c:pt idx="81">
                  <c:v>45679</c:v>
                </c:pt>
                <c:pt idx="82">
                  <c:v>45678</c:v>
                </c:pt>
                <c:pt idx="83">
                  <c:v>45677</c:v>
                </c:pt>
                <c:pt idx="84">
                  <c:v>45674</c:v>
                </c:pt>
                <c:pt idx="85">
                  <c:v>45672</c:v>
                </c:pt>
                <c:pt idx="86">
                  <c:v>45670</c:v>
                </c:pt>
                <c:pt idx="87">
                  <c:v>45667</c:v>
                </c:pt>
                <c:pt idx="88">
                  <c:v>45666</c:v>
                </c:pt>
                <c:pt idx="89">
                  <c:v>45665</c:v>
                </c:pt>
                <c:pt idx="90">
                  <c:v>45664</c:v>
                </c:pt>
                <c:pt idx="91">
                  <c:v>45663</c:v>
                </c:pt>
                <c:pt idx="92">
                  <c:v>45660</c:v>
                </c:pt>
                <c:pt idx="93">
                  <c:v>45659</c:v>
                </c:pt>
                <c:pt idx="94">
                  <c:v>45657</c:v>
                </c:pt>
                <c:pt idx="95">
                  <c:v>45656</c:v>
                </c:pt>
                <c:pt idx="96">
                  <c:v>45653</c:v>
                </c:pt>
                <c:pt idx="97">
                  <c:v>45652</c:v>
                </c:pt>
                <c:pt idx="98">
                  <c:v>45651</c:v>
                </c:pt>
                <c:pt idx="99">
                  <c:v>45650</c:v>
                </c:pt>
                <c:pt idx="100">
                  <c:v>45649</c:v>
                </c:pt>
                <c:pt idx="101">
                  <c:v>45646</c:v>
                </c:pt>
                <c:pt idx="102">
                  <c:v>45645</c:v>
                </c:pt>
                <c:pt idx="103">
                  <c:v>45644</c:v>
                </c:pt>
                <c:pt idx="104">
                  <c:v>45643</c:v>
                </c:pt>
                <c:pt idx="105">
                  <c:v>45642</c:v>
                </c:pt>
                <c:pt idx="106">
                  <c:v>45639</c:v>
                </c:pt>
                <c:pt idx="107">
                  <c:v>45638</c:v>
                </c:pt>
                <c:pt idx="108">
                  <c:v>45637</c:v>
                </c:pt>
                <c:pt idx="109">
                  <c:v>45636</c:v>
                </c:pt>
                <c:pt idx="110">
                  <c:v>45635</c:v>
                </c:pt>
                <c:pt idx="111">
                  <c:v>45632</c:v>
                </c:pt>
                <c:pt idx="112">
                  <c:v>45631</c:v>
                </c:pt>
                <c:pt idx="113">
                  <c:v>45630</c:v>
                </c:pt>
                <c:pt idx="114">
                  <c:v>45629</c:v>
                </c:pt>
                <c:pt idx="115">
                  <c:v>45628</c:v>
                </c:pt>
                <c:pt idx="116">
                  <c:v>45625</c:v>
                </c:pt>
                <c:pt idx="117">
                  <c:v>45624</c:v>
                </c:pt>
                <c:pt idx="118">
                  <c:v>45623</c:v>
                </c:pt>
                <c:pt idx="119">
                  <c:v>45622</c:v>
                </c:pt>
                <c:pt idx="120">
                  <c:v>45621</c:v>
                </c:pt>
                <c:pt idx="121">
                  <c:v>45618</c:v>
                </c:pt>
                <c:pt idx="122">
                  <c:v>45617</c:v>
                </c:pt>
                <c:pt idx="123">
                  <c:v>45616</c:v>
                </c:pt>
                <c:pt idx="124">
                  <c:v>45615</c:v>
                </c:pt>
                <c:pt idx="125">
                  <c:v>45614</c:v>
                </c:pt>
                <c:pt idx="126">
                  <c:v>45611</c:v>
                </c:pt>
                <c:pt idx="127">
                  <c:v>45610</c:v>
                </c:pt>
                <c:pt idx="128">
                  <c:v>45609</c:v>
                </c:pt>
                <c:pt idx="129">
                  <c:v>45608</c:v>
                </c:pt>
                <c:pt idx="130">
                  <c:v>45607</c:v>
                </c:pt>
                <c:pt idx="131">
                  <c:v>45604</c:v>
                </c:pt>
                <c:pt idx="132">
                  <c:v>45603</c:v>
                </c:pt>
                <c:pt idx="133">
                  <c:v>45602</c:v>
                </c:pt>
                <c:pt idx="134">
                  <c:v>45601</c:v>
                </c:pt>
                <c:pt idx="135">
                  <c:v>45600</c:v>
                </c:pt>
                <c:pt idx="136">
                  <c:v>45597</c:v>
                </c:pt>
                <c:pt idx="137">
                  <c:v>45596</c:v>
                </c:pt>
                <c:pt idx="138">
                  <c:v>45595</c:v>
                </c:pt>
                <c:pt idx="139">
                  <c:v>45594</c:v>
                </c:pt>
                <c:pt idx="140">
                  <c:v>45593</c:v>
                </c:pt>
                <c:pt idx="141">
                  <c:v>45590</c:v>
                </c:pt>
                <c:pt idx="142">
                  <c:v>45589</c:v>
                </c:pt>
                <c:pt idx="143">
                  <c:v>45588</c:v>
                </c:pt>
                <c:pt idx="144">
                  <c:v>45587</c:v>
                </c:pt>
                <c:pt idx="145">
                  <c:v>45586</c:v>
                </c:pt>
                <c:pt idx="146">
                  <c:v>45583</c:v>
                </c:pt>
                <c:pt idx="147">
                  <c:v>45582</c:v>
                </c:pt>
                <c:pt idx="148">
                  <c:v>45581</c:v>
                </c:pt>
                <c:pt idx="149">
                  <c:v>45580</c:v>
                </c:pt>
                <c:pt idx="150">
                  <c:v>45579</c:v>
                </c:pt>
                <c:pt idx="151">
                  <c:v>45576</c:v>
                </c:pt>
                <c:pt idx="152">
                  <c:v>45575</c:v>
                </c:pt>
                <c:pt idx="153">
                  <c:v>45574</c:v>
                </c:pt>
                <c:pt idx="154">
                  <c:v>45573</c:v>
                </c:pt>
                <c:pt idx="155">
                  <c:v>45565</c:v>
                </c:pt>
                <c:pt idx="156">
                  <c:v>45562</c:v>
                </c:pt>
                <c:pt idx="157">
                  <c:v>45561</c:v>
                </c:pt>
                <c:pt idx="158">
                  <c:v>45560</c:v>
                </c:pt>
                <c:pt idx="159">
                  <c:v>45559</c:v>
                </c:pt>
                <c:pt idx="160">
                  <c:v>45558</c:v>
                </c:pt>
                <c:pt idx="161">
                  <c:v>45555</c:v>
                </c:pt>
                <c:pt idx="162">
                  <c:v>45554</c:v>
                </c:pt>
                <c:pt idx="163">
                  <c:v>45553</c:v>
                </c:pt>
                <c:pt idx="164">
                  <c:v>45548</c:v>
                </c:pt>
                <c:pt idx="165">
                  <c:v>45547</c:v>
                </c:pt>
                <c:pt idx="166">
                  <c:v>45546</c:v>
                </c:pt>
                <c:pt idx="167">
                  <c:v>45545</c:v>
                </c:pt>
                <c:pt idx="168">
                  <c:v>45544</c:v>
                </c:pt>
                <c:pt idx="169">
                  <c:v>45541</c:v>
                </c:pt>
                <c:pt idx="170">
                  <c:v>45540</c:v>
                </c:pt>
                <c:pt idx="171">
                  <c:v>45539</c:v>
                </c:pt>
                <c:pt idx="172">
                  <c:v>45538</c:v>
                </c:pt>
                <c:pt idx="173">
                  <c:v>45537</c:v>
                </c:pt>
                <c:pt idx="174">
                  <c:v>45534</c:v>
                </c:pt>
                <c:pt idx="175">
                  <c:v>45533</c:v>
                </c:pt>
                <c:pt idx="176">
                  <c:v>45532</c:v>
                </c:pt>
                <c:pt idx="177">
                  <c:v>45531</c:v>
                </c:pt>
                <c:pt idx="178">
                  <c:v>45530</c:v>
                </c:pt>
                <c:pt idx="179">
                  <c:v>45527</c:v>
                </c:pt>
                <c:pt idx="180">
                  <c:v>45526</c:v>
                </c:pt>
                <c:pt idx="181">
                  <c:v>45525</c:v>
                </c:pt>
                <c:pt idx="182">
                  <c:v>45524</c:v>
                </c:pt>
                <c:pt idx="183">
                  <c:v>45523</c:v>
                </c:pt>
                <c:pt idx="184">
                  <c:v>45520</c:v>
                </c:pt>
                <c:pt idx="185">
                  <c:v>45519</c:v>
                </c:pt>
                <c:pt idx="186">
                  <c:v>45518</c:v>
                </c:pt>
                <c:pt idx="187">
                  <c:v>45517</c:v>
                </c:pt>
                <c:pt idx="188">
                  <c:v>45516</c:v>
                </c:pt>
                <c:pt idx="189">
                  <c:v>45513</c:v>
                </c:pt>
                <c:pt idx="190">
                  <c:v>45512</c:v>
                </c:pt>
                <c:pt idx="191">
                  <c:v>45511</c:v>
                </c:pt>
                <c:pt idx="192">
                  <c:v>45510</c:v>
                </c:pt>
                <c:pt idx="193">
                  <c:v>45509</c:v>
                </c:pt>
                <c:pt idx="194">
                  <c:v>45506</c:v>
                </c:pt>
                <c:pt idx="195">
                  <c:v>45505</c:v>
                </c:pt>
                <c:pt idx="196">
                  <c:v>45504</c:v>
                </c:pt>
                <c:pt idx="197">
                  <c:v>45503</c:v>
                </c:pt>
                <c:pt idx="198">
                  <c:v>45502</c:v>
                </c:pt>
                <c:pt idx="199">
                  <c:v>45499</c:v>
                </c:pt>
                <c:pt idx="200">
                  <c:v>45498</c:v>
                </c:pt>
                <c:pt idx="201">
                  <c:v>45497</c:v>
                </c:pt>
                <c:pt idx="202">
                  <c:v>45496</c:v>
                </c:pt>
                <c:pt idx="203">
                  <c:v>45495</c:v>
                </c:pt>
                <c:pt idx="204">
                  <c:v>45492</c:v>
                </c:pt>
                <c:pt idx="205">
                  <c:v>45491</c:v>
                </c:pt>
                <c:pt idx="206">
                  <c:v>45490</c:v>
                </c:pt>
                <c:pt idx="207">
                  <c:v>45489</c:v>
                </c:pt>
                <c:pt idx="208">
                  <c:v>45488</c:v>
                </c:pt>
                <c:pt idx="209">
                  <c:v>45485</c:v>
                </c:pt>
                <c:pt idx="210">
                  <c:v>45484</c:v>
                </c:pt>
                <c:pt idx="211">
                  <c:v>45483</c:v>
                </c:pt>
                <c:pt idx="212">
                  <c:v>45482</c:v>
                </c:pt>
                <c:pt idx="213">
                  <c:v>45481</c:v>
                </c:pt>
                <c:pt idx="214">
                  <c:v>45478</c:v>
                </c:pt>
                <c:pt idx="215">
                  <c:v>45477</c:v>
                </c:pt>
                <c:pt idx="216">
                  <c:v>45476</c:v>
                </c:pt>
                <c:pt idx="217">
                  <c:v>45475</c:v>
                </c:pt>
                <c:pt idx="218">
                  <c:v>45474</c:v>
                </c:pt>
                <c:pt idx="219">
                  <c:v>45471</c:v>
                </c:pt>
                <c:pt idx="220">
                  <c:v>45470</c:v>
                </c:pt>
                <c:pt idx="221">
                  <c:v>45469</c:v>
                </c:pt>
                <c:pt idx="222">
                  <c:v>45468</c:v>
                </c:pt>
                <c:pt idx="223">
                  <c:v>45467</c:v>
                </c:pt>
                <c:pt idx="224">
                  <c:v>45464</c:v>
                </c:pt>
                <c:pt idx="225">
                  <c:v>45463</c:v>
                </c:pt>
                <c:pt idx="226">
                  <c:v>45462</c:v>
                </c:pt>
                <c:pt idx="227">
                  <c:v>45461</c:v>
                </c:pt>
                <c:pt idx="228">
                  <c:v>45460</c:v>
                </c:pt>
                <c:pt idx="229">
                  <c:v>45457</c:v>
                </c:pt>
                <c:pt idx="230">
                  <c:v>45456</c:v>
                </c:pt>
                <c:pt idx="231">
                  <c:v>45455</c:v>
                </c:pt>
                <c:pt idx="232">
                  <c:v>45454</c:v>
                </c:pt>
                <c:pt idx="233">
                  <c:v>45450</c:v>
                </c:pt>
                <c:pt idx="234">
                  <c:v>45449</c:v>
                </c:pt>
                <c:pt idx="235">
                  <c:v>45448</c:v>
                </c:pt>
                <c:pt idx="236">
                  <c:v>45447</c:v>
                </c:pt>
                <c:pt idx="237">
                  <c:v>45446</c:v>
                </c:pt>
                <c:pt idx="238">
                  <c:v>45443</c:v>
                </c:pt>
                <c:pt idx="239">
                  <c:v>45442</c:v>
                </c:pt>
                <c:pt idx="240">
                  <c:v>45441</c:v>
                </c:pt>
                <c:pt idx="241">
                  <c:v>45440</c:v>
                </c:pt>
                <c:pt idx="242">
                  <c:v>45439</c:v>
                </c:pt>
                <c:pt idx="243">
                  <c:v>45436</c:v>
                </c:pt>
                <c:pt idx="244">
                  <c:v>45435</c:v>
                </c:pt>
                <c:pt idx="245">
                  <c:v>45434</c:v>
                </c:pt>
                <c:pt idx="246">
                  <c:v>45433</c:v>
                </c:pt>
                <c:pt idx="247">
                  <c:v>45432</c:v>
                </c:pt>
                <c:pt idx="248">
                  <c:v>45429</c:v>
                </c:pt>
                <c:pt idx="249">
                  <c:v>45428</c:v>
                </c:pt>
                <c:pt idx="250">
                  <c:v>45427</c:v>
                </c:pt>
                <c:pt idx="251">
                  <c:v>45426</c:v>
                </c:pt>
                <c:pt idx="252">
                  <c:v>45425</c:v>
                </c:pt>
                <c:pt idx="253">
                  <c:v>45422</c:v>
                </c:pt>
                <c:pt idx="254">
                  <c:v>45421</c:v>
                </c:pt>
                <c:pt idx="255">
                  <c:v>45420</c:v>
                </c:pt>
                <c:pt idx="256">
                  <c:v>45419</c:v>
                </c:pt>
                <c:pt idx="257">
                  <c:v>45418</c:v>
                </c:pt>
                <c:pt idx="258">
                  <c:v>45412</c:v>
                </c:pt>
                <c:pt idx="259">
                  <c:v>45411</c:v>
                </c:pt>
                <c:pt idx="260">
                  <c:v>45408</c:v>
                </c:pt>
                <c:pt idx="261">
                  <c:v>45407</c:v>
                </c:pt>
                <c:pt idx="262">
                  <c:v>45406</c:v>
                </c:pt>
                <c:pt idx="263">
                  <c:v>45405</c:v>
                </c:pt>
                <c:pt idx="264">
                  <c:v>45404</c:v>
                </c:pt>
                <c:pt idx="265">
                  <c:v>45401</c:v>
                </c:pt>
                <c:pt idx="266">
                  <c:v>45400</c:v>
                </c:pt>
                <c:pt idx="267">
                  <c:v>45399</c:v>
                </c:pt>
                <c:pt idx="268">
                  <c:v>45398</c:v>
                </c:pt>
                <c:pt idx="269">
                  <c:v>45397</c:v>
                </c:pt>
                <c:pt idx="270">
                  <c:v>45394</c:v>
                </c:pt>
                <c:pt idx="271">
                  <c:v>45393</c:v>
                </c:pt>
                <c:pt idx="272">
                  <c:v>45392</c:v>
                </c:pt>
                <c:pt idx="273">
                  <c:v>45391</c:v>
                </c:pt>
                <c:pt idx="274">
                  <c:v>45390</c:v>
                </c:pt>
                <c:pt idx="275">
                  <c:v>45385</c:v>
                </c:pt>
                <c:pt idx="276">
                  <c:v>45384</c:v>
                </c:pt>
                <c:pt idx="277">
                  <c:v>45383</c:v>
                </c:pt>
                <c:pt idx="278">
                  <c:v>45380</c:v>
                </c:pt>
                <c:pt idx="279">
                  <c:v>45379</c:v>
                </c:pt>
                <c:pt idx="280">
                  <c:v>45378</c:v>
                </c:pt>
                <c:pt idx="281">
                  <c:v>45377</c:v>
                </c:pt>
                <c:pt idx="282">
                  <c:v>45376</c:v>
                </c:pt>
                <c:pt idx="283">
                  <c:v>45373</c:v>
                </c:pt>
                <c:pt idx="284">
                  <c:v>45372</c:v>
                </c:pt>
                <c:pt idx="285">
                  <c:v>45371</c:v>
                </c:pt>
                <c:pt idx="286">
                  <c:v>45370</c:v>
                </c:pt>
                <c:pt idx="287">
                  <c:v>45369</c:v>
                </c:pt>
                <c:pt idx="288">
                  <c:v>45366</c:v>
                </c:pt>
                <c:pt idx="289">
                  <c:v>45365</c:v>
                </c:pt>
                <c:pt idx="290">
                  <c:v>45364</c:v>
                </c:pt>
                <c:pt idx="291">
                  <c:v>45363</c:v>
                </c:pt>
                <c:pt idx="292">
                  <c:v>45362</c:v>
                </c:pt>
                <c:pt idx="293">
                  <c:v>45359</c:v>
                </c:pt>
                <c:pt idx="294">
                  <c:v>45358</c:v>
                </c:pt>
                <c:pt idx="295">
                  <c:v>45357</c:v>
                </c:pt>
                <c:pt idx="296">
                  <c:v>45356</c:v>
                </c:pt>
                <c:pt idx="297">
                  <c:v>45355</c:v>
                </c:pt>
                <c:pt idx="298">
                  <c:v>45352</c:v>
                </c:pt>
                <c:pt idx="299">
                  <c:v>45351</c:v>
                </c:pt>
                <c:pt idx="300">
                  <c:v>45350</c:v>
                </c:pt>
                <c:pt idx="301">
                  <c:v>45349</c:v>
                </c:pt>
                <c:pt idx="302">
                  <c:v>45348</c:v>
                </c:pt>
                <c:pt idx="303">
                  <c:v>45345</c:v>
                </c:pt>
                <c:pt idx="304">
                  <c:v>45344</c:v>
                </c:pt>
                <c:pt idx="305">
                  <c:v>45343</c:v>
                </c:pt>
                <c:pt idx="306">
                  <c:v>45342</c:v>
                </c:pt>
                <c:pt idx="307">
                  <c:v>45341</c:v>
                </c:pt>
                <c:pt idx="308">
                  <c:v>45330</c:v>
                </c:pt>
                <c:pt idx="309">
                  <c:v>45329</c:v>
                </c:pt>
                <c:pt idx="310">
                  <c:v>45328</c:v>
                </c:pt>
                <c:pt idx="311">
                  <c:v>45327</c:v>
                </c:pt>
                <c:pt idx="312">
                  <c:v>45324</c:v>
                </c:pt>
                <c:pt idx="313">
                  <c:v>45323</c:v>
                </c:pt>
                <c:pt idx="314">
                  <c:v>45322</c:v>
                </c:pt>
                <c:pt idx="315">
                  <c:v>45321</c:v>
                </c:pt>
                <c:pt idx="316">
                  <c:v>45320</c:v>
                </c:pt>
                <c:pt idx="317">
                  <c:v>45317</c:v>
                </c:pt>
                <c:pt idx="318">
                  <c:v>45316</c:v>
                </c:pt>
                <c:pt idx="319">
                  <c:v>45315</c:v>
                </c:pt>
                <c:pt idx="320">
                  <c:v>45314</c:v>
                </c:pt>
                <c:pt idx="321">
                  <c:v>45313</c:v>
                </c:pt>
                <c:pt idx="322">
                  <c:v>45310</c:v>
                </c:pt>
                <c:pt idx="323">
                  <c:v>45309</c:v>
                </c:pt>
                <c:pt idx="324">
                  <c:v>45308</c:v>
                </c:pt>
                <c:pt idx="325">
                  <c:v>45307</c:v>
                </c:pt>
                <c:pt idx="326">
                  <c:v>45306</c:v>
                </c:pt>
                <c:pt idx="327">
                  <c:v>45303</c:v>
                </c:pt>
                <c:pt idx="328">
                  <c:v>45302</c:v>
                </c:pt>
                <c:pt idx="329">
                  <c:v>45301</c:v>
                </c:pt>
                <c:pt idx="330">
                  <c:v>45300</c:v>
                </c:pt>
                <c:pt idx="331">
                  <c:v>45299</c:v>
                </c:pt>
                <c:pt idx="332">
                  <c:v>45296</c:v>
                </c:pt>
                <c:pt idx="333">
                  <c:v>45295</c:v>
                </c:pt>
                <c:pt idx="334">
                  <c:v>45294</c:v>
                </c:pt>
                <c:pt idx="335">
                  <c:v>45293</c:v>
                </c:pt>
                <c:pt idx="336">
                  <c:v>45289</c:v>
                </c:pt>
                <c:pt idx="337">
                  <c:v>45288</c:v>
                </c:pt>
                <c:pt idx="338">
                  <c:v>45287</c:v>
                </c:pt>
                <c:pt idx="339">
                  <c:v>45286</c:v>
                </c:pt>
                <c:pt idx="340">
                  <c:v>45285</c:v>
                </c:pt>
                <c:pt idx="341">
                  <c:v>45282</c:v>
                </c:pt>
                <c:pt idx="342">
                  <c:v>45281</c:v>
                </c:pt>
                <c:pt idx="343">
                  <c:v>45280</c:v>
                </c:pt>
                <c:pt idx="344">
                  <c:v>45279</c:v>
                </c:pt>
                <c:pt idx="345">
                  <c:v>45278</c:v>
                </c:pt>
                <c:pt idx="346">
                  <c:v>45275</c:v>
                </c:pt>
                <c:pt idx="347">
                  <c:v>45274</c:v>
                </c:pt>
                <c:pt idx="348">
                  <c:v>45273</c:v>
                </c:pt>
                <c:pt idx="349">
                  <c:v>45272</c:v>
                </c:pt>
                <c:pt idx="350">
                  <c:v>45271</c:v>
                </c:pt>
                <c:pt idx="351">
                  <c:v>45268</c:v>
                </c:pt>
                <c:pt idx="352">
                  <c:v>45267</c:v>
                </c:pt>
                <c:pt idx="353">
                  <c:v>45266</c:v>
                </c:pt>
                <c:pt idx="354">
                  <c:v>45265</c:v>
                </c:pt>
                <c:pt idx="355">
                  <c:v>45264</c:v>
                </c:pt>
                <c:pt idx="356">
                  <c:v>45261</c:v>
                </c:pt>
                <c:pt idx="357">
                  <c:v>45260</c:v>
                </c:pt>
                <c:pt idx="358">
                  <c:v>45259</c:v>
                </c:pt>
                <c:pt idx="359">
                  <c:v>45258</c:v>
                </c:pt>
                <c:pt idx="360">
                  <c:v>45257</c:v>
                </c:pt>
                <c:pt idx="361">
                  <c:v>45254</c:v>
                </c:pt>
                <c:pt idx="362">
                  <c:v>45253</c:v>
                </c:pt>
                <c:pt idx="363">
                  <c:v>45252</c:v>
                </c:pt>
                <c:pt idx="364">
                  <c:v>45251</c:v>
                </c:pt>
                <c:pt idx="365">
                  <c:v>45250</c:v>
                </c:pt>
                <c:pt idx="366">
                  <c:v>45247</c:v>
                </c:pt>
                <c:pt idx="367">
                  <c:v>45246</c:v>
                </c:pt>
                <c:pt idx="368">
                  <c:v>45245</c:v>
                </c:pt>
                <c:pt idx="369">
                  <c:v>45244</c:v>
                </c:pt>
                <c:pt idx="370">
                  <c:v>45243</c:v>
                </c:pt>
                <c:pt idx="371">
                  <c:v>45240</c:v>
                </c:pt>
                <c:pt idx="372">
                  <c:v>45239</c:v>
                </c:pt>
                <c:pt idx="373">
                  <c:v>45238</c:v>
                </c:pt>
                <c:pt idx="374">
                  <c:v>45237</c:v>
                </c:pt>
                <c:pt idx="375">
                  <c:v>45236</c:v>
                </c:pt>
                <c:pt idx="376">
                  <c:v>45233</c:v>
                </c:pt>
                <c:pt idx="377">
                  <c:v>45232</c:v>
                </c:pt>
                <c:pt idx="378">
                  <c:v>45231</c:v>
                </c:pt>
                <c:pt idx="379">
                  <c:v>45230</c:v>
                </c:pt>
                <c:pt idx="380">
                  <c:v>45229</c:v>
                </c:pt>
                <c:pt idx="381">
                  <c:v>45226</c:v>
                </c:pt>
                <c:pt idx="382">
                  <c:v>45225</c:v>
                </c:pt>
                <c:pt idx="383">
                  <c:v>45224</c:v>
                </c:pt>
                <c:pt idx="384">
                  <c:v>45223</c:v>
                </c:pt>
                <c:pt idx="385">
                  <c:v>45222</c:v>
                </c:pt>
                <c:pt idx="386">
                  <c:v>45219</c:v>
                </c:pt>
                <c:pt idx="387">
                  <c:v>45218</c:v>
                </c:pt>
                <c:pt idx="388">
                  <c:v>45217</c:v>
                </c:pt>
                <c:pt idx="389">
                  <c:v>45216</c:v>
                </c:pt>
                <c:pt idx="390">
                  <c:v>45215</c:v>
                </c:pt>
                <c:pt idx="391">
                  <c:v>45212</c:v>
                </c:pt>
                <c:pt idx="392">
                  <c:v>45211</c:v>
                </c:pt>
                <c:pt idx="393">
                  <c:v>45210</c:v>
                </c:pt>
                <c:pt idx="394">
                  <c:v>45209</c:v>
                </c:pt>
                <c:pt idx="395">
                  <c:v>45208</c:v>
                </c:pt>
                <c:pt idx="396">
                  <c:v>45197</c:v>
                </c:pt>
                <c:pt idx="397">
                  <c:v>45196</c:v>
                </c:pt>
                <c:pt idx="398">
                  <c:v>45195</c:v>
                </c:pt>
                <c:pt idx="399">
                  <c:v>45194</c:v>
                </c:pt>
                <c:pt idx="400">
                  <c:v>45191</c:v>
                </c:pt>
                <c:pt idx="401">
                  <c:v>45190</c:v>
                </c:pt>
                <c:pt idx="402">
                  <c:v>45189</c:v>
                </c:pt>
                <c:pt idx="403">
                  <c:v>45188</c:v>
                </c:pt>
                <c:pt idx="404">
                  <c:v>45187</c:v>
                </c:pt>
                <c:pt idx="405">
                  <c:v>45184</c:v>
                </c:pt>
                <c:pt idx="406">
                  <c:v>45183</c:v>
                </c:pt>
                <c:pt idx="407">
                  <c:v>45182</c:v>
                </c:pt>
                <c:pt idx="408">
                  <c:v>45181</c:v>
                </c:pt>
                <c:pt idx="409">
                  <c:v>45180</c:v>
                </c:pt>
                <c:pt idx="410">
                  <c:v>45177</c:v>
                </c:pt>
                <c:pt idx="411">
                  <c:v>45176</c:v>
                </c:pt>
                <c:pt idx="412">
                  <c:v>45175</c:v>
                </c:pt>
                <c:pt idx="413">
                  <c:v>45174</c:v>
                </c:pt>
                <c:pt idx="414">
                  <c:v>45173</c:v>
                </c:pt>
                <c:pt idx="415">
                  <c:v>45170</c:v>
                </c:pt>
                <c:pt idx="416">
                  <c:v>45169</c:v>
                </c:pt>
                <c:pt idx="417">
                  <c:v>45168</c:v>
                </c:pt>
                <c:pt idx="418">
                  <c:v>45167</c:v>
                </c:pt>
                <c:pt idx="419">
                  <c:v>45166</c:v>
                </c:pt>
                <c:pt idx="420">
                  <c:v>45163</c:v>
                </c:pt>
                <c:pt idx="421">
                  <c:v>45162</c:v>
                </c:pt>
                <c:pt idx="422">
                  <c:v>45161</c:v>
                </c:pt>
                <c:pt idx="423">
                  <c:v>45160</c:v>
                </c:pt>
                <c:pt idx="424">
                  <c:v>45159</c:v>
                </c:pt>
                <c:pt idx="425">
                  <c:v>45156</c:v>
                </c:pt>
                <c:pt idx="426">
                  <c:v>45155</c:v>
                </c:pt>
                <c:pt idx="427">
                  <c:v>45154</c:v>
                </c:pt>
                <c:pt idx="428">
                  <c:v>45153</c:v>
                </c:pt>
                <c:pt idx="429">
                  <c:v>45152</c:v>
                </c:pt>
                <c:pt idx="430">
                  <c:v>45149</c:v>
                </c:pt>
                <c:pt idx="431">
                  <c:v>45148</c:v>
                </c:pt>
                <c:pt idx="432">
                  <c:v>45147</c:v>
                </c:pt>
                <c:pt idx="433">
                  <c:v>45146</c:v>
                </c:pt>
                <c:pt idx="434">
                  <c:v>45145</c:v>
                </c:pt>
                <c:pt idx="435">
                  <c:v>45142</c:v>
                </c:pt>
                <c:pt idx="436">
                  <c:v>45141</c:v>
                </c:pt>
                <c:pt idx="437">
                  <c:v>45140</c:v>
                </c:pt>
                <c:pt idx="438">
                  <c:v>45139</c:v>
                </c:pt>
                <c:pt idx="439">
                  <c:v>45138</c:v>
                </c:pt>
                <c:pt idx="440">
                  <c:v>45135</c:v>
                </c:pt>
                <c:pt idx="441">
                  <c:v>45134</c:v>
                </c:pt>
                <c:pt idx="442">
                  <c:v>45133</c:v>
                </c:pt>
                <c:pt idx="443">
                  <c:v>45132</c:v>
                </c:pt>
                <c:pt idx="444">
                  <c:v>45131</c:v>
                </c:pt>
                <c:pt idx="445">
                  <c:v>45128</c:v>
                </c:pt>
                <c:pt idx="446">
                  <c:v>45127</c:v>
                </c:pt>
                <c:pt idx="447">
                  <c:v>45126</c:v>
                </c:pt>
                <c:pt idx="448">
                  <c:v>45125</c:v>
                </c:pt>
                <c:pt idx="449">
                  <c:v>45124</c:v>
                </c:pt>
                <c:pt idx="450">
                  <c:v>45121</c:v>
                </c:pt>
                <c:pt idx="451">
                  <c:v>45120</c:v>
                </c:pt>
                <c:pt idx="452">
                  <c:v>45119</c:v>
                </c:pt>
                <c:pt idx="453">
                  <c:v>45118</c:v>
                </c:pt>
                <c:pt idx="454">
                  <c:v>45117</c:v>
                </c:pt>
                <c:pt idx="455">
                  <c:v>45114</c:v>
                </c:pt>
                <c:pt idx="456">
                  <c:v>45113</c:v>
                </c:pt>
                <c:pt idx="457">
                  <c:v>45112</c:v>
                </c:pt>
                <c:pt idx="458">
                  <c:v>45111</c:v>
                </c:pt>
                <c:pt idx="459">
                  <c:v>45110</c:v>
                </c:pt>
                <c:pt idx="460">
                  <c:v>45107</c:v>
                </c:pt>
                <c:pt idx="461">
                  <c:v>45106</c:v>
                </c:pt>
                <c:pt idx="462">
                  <c:v>45105</c:v>
                </c:pt>
                <c:pt idx="463">
                  <c:v>45104</c:v>
                </c:pt>
                <c:pt idx="464">
                  <c:v>45103</c:v>
                </c:pt>
                <c:pt idx="465">
                  <c:v>45098</c:v>
                </c:pt>
                <c:pt idx="466">
                  <c:v>45097</c:v>
                </c:pt>
                <c:pt idx="467">
                  <c:v>45096</c:v>
                </c:pt>
                <c:pt idx="468">
                  <c:v>45093</c:v>
                </c:pt>
                <c:pt idx="469">
                  <c:v>45092</c:v>
                </c:pt>
                <c:pt idx="470">
                  <c:v>45091</c:v>
                </c:pt>
                <c:pt idx="471">
                  <c:v>45090</c:v>
                </c:pt>
                <c:pt idx="472">
                  <c:v>45089</c:v>
                </c:pt>
                <c:pt idx="473">
                  <c:v>45086</c:v>
                </c:pt>
                <c:pt idx="474">
                  <c:v>45085</c:v>
                </c:pt>
                <c:pt idx="475">
                  <c:v>45084</c:v>
                </c:pt>
                <c:pt idx="476">
                  <c:v>45083</c:v>
                </c:pt>
                <c:pt idx="477">
                  <c:v>45082</c:v>
                </c:pt>
                <c:pt idx="478">
                  <c:v>45079</c:v>
                </c:pt>
                <c:pt idx="479">
                  <c:v>45078</c:v>
                </c:pt>
                <c:pt idx="480">
                  <c:v>45077</c:v>
                </c:pt>
                <c:pt idx="481">
                  <c:v>45076</c:v>
                </c:pt>
                <c:pt idx="482">
                  <c:v>45075</c:v>
                </c:pt>
                <c:pt idx="483">
                  <c:v>45072</c:v>
                </c:pt>
                <c:pt idx="484">
                  <c:v>45071</c:v>
                </c:pt>
                <c:pt idx="485">
                  <c:v>45070</c:v>
                </c:pt>
                <c:pt idx="486">
                  <c:v>45069</c:v>
                </c:pt>
                <c:pt idx="487">
                  <c:v>45068</c:v>
                </c:pt>
                <c:pt idx="488">
                  <c:v>45065</c:v>
                </c:pt>
                <c:pt idx="489">
                  <c:v>45064</c:v>
                </c:pt>
                <c:pt idx="490">
                  <c:v>45063</c:v>
                </c:pt>
                <c:pt idx="491">
                  <c:v>45062</c:v>
                </c:pt>
                <c:pt idx="492">
                  <c:v>45061</c:v>
                </c:pt>
                <c:pt idx="493">
                  <c:v>45058</c:v>
                </c:pt>
                <c:pt idx="494">
                  <c:v>45057</c:v>
                </c:pt>
                <c:pt idx="495">
                  <c:v>45056</c:v>
                </c:pt>
                <c:pt idx="496">
                  <c:v>45055</c:v>
                </c:pt>
                <c:pt idx="497">
                  <c:v>45054</c:v>
                </c:pt>
                <c:pt idx="498">
                  <c:v>45051</c:v>
                </c:pt>
                <c:pt idx="499">
                  <c:v>45050</c:v>
                </c:pt>
                <c:pt idx="500">
                  <c:v>45044</c:v>
                </c:pt>
                <c:pt idx="501">
                  <c:v>45043</c:v>
                </c:pt>
                <c:pt idx="502">
                  <c:v>45042</c:v>
                </c:pt>
                <c:pt idx="503">
                  <c:v>45041</c:v>
                </c:pt>
                <c:pt idx="504">
                  <c:v>45040</c:v>
                </c:pt>
                <c:pt idx="505">
                  <c:v>45037</c:v>
                </c:pt>
                <c:pt idx="506">
                  <c:v>45036</c:v>
                </c:pt>
                <c:pt idx="507">
                  <c:v>45035</c:v>
                </c:pt>
                <c:pt idx="508">
                  <c:v>45034</c:v>
                </c:pt>
                <c:pt idx="509">
                  <c:v>45033</c:v>
                </c:pt>
                <c:pt idx="510">
                  <c:v>45030</c:v>
                </c:pt>
                <c:pt idx="511">
                  <c:v>45029</c:v>
                </c:pt>
                <c:pt idx="512">
                  <c:v>45028</c:v>
                </c:pt>
                <c:pt idx="513">
                  <c:v>45027</c:v>
                </c:pt>
                <c:pt idx="514">
                  <c:v>45026</c:v>
                </c:pt>
                <c:pt idx="515">
                  <c:v>45023</c:v>
                </c:pt>
                <c:pt idx="516">
                  <c:v>45022</c:v>
                </c:pt>
                <c:pt idx="517">
                  <c:v>45020</c:v>
                </c:pt>
                <c:pt idx="518">
                  <c:v>45019</c:v>
                </c:pt>
                <c:pt idx="519">
                  <c:v>45016</c:v>
                </c:pt>
                <c:pt idx="520">
                  <c:v>45015</c:v>
                </c:pt>
                <c:pt idx="521">
                  <c:v>45014</c:v>
                </c:pt>
                <c:pt idx="522">
                  <c:v>45013</c:v>
                </c:pt>
                <c:pt idx="523">
                  <c:v>45012</c:v>
                </c:pt>
                <c:pt idx="524">
                  <c:v>45009</c:v>
                </c:pt>
                <c:pt idx="525">
                  <c:v>45008</c:v>
                </c:pt>
                <c:pt idx="526">
                  <c:v>45007</c:v>
                </c:pt>
                <c:pt idx="527">
                  <c:v>45006</c:v>
                </c:pt>
                <c:pt idx="528">
                  <c:v>45005</c:v>
                </c:pt>
                <c:pt idx="529">
                  <c:v>45002</c:v>
                </c:pt>
                <c:pt idx="530">
                  <c:v>45001</c:v>
                </c:pt>
                <c:pt idx="531">
                  <c:v>45000</c:v>
                </c:pt>
                <c:pt idx="532">
                  <c:v>44999</c:v>
                </c:pt>
                <c:pt idx="533">
                  <c:v>44998</c:v>
                </c:pt>
                <c:pt idx="534">
                  <c:v>44995</c:v>
                </c:pt>
                <c:pt idx="535">
                  <c:v>44994</c:v>
                </c:pt>
                <c:pt idx="536">
                  <c:v>44993</c:v>
                </c:pt>
                <c:pt idx="537">
                  <c:v>44992</c:v>
                </c:pt>
                <c:pt idx="538">
                  <c:v>44991</c:v>
                </c:pt>
                <c:pt idx="539">
                  <c:v>44988</c:v>
                </c:pt>
                <c:pt idx="540">
                  <c:v>44987</c:v>
                </c:pt>
                <c:pt idx="541">
                  <c:v>44986</c:v>
                </c:pt>
                <c:pt idx="542">
                  <c:v>44985</c:v>
                </c:pt>
                <c:pt idx="543">
                  <c:v>44984</c:v>
                </c:pt>
                <c:pt idx="544">
                  <c:v>44981</c:v>
                </c:pt>
                <c:pt idx="545">
                  <c:v>44980</c:v>
                </c:pt>
                <c:pt idx="546">
                  <c:v>44979</c:v>
                </c:pt>
                <c:pt idx="547">
                  <c:v>44978</c:v>
                </c:pt>
                <c:pt idx="548">
                  <c:v>44977</c:v>
                </c:pt>
                <c:pt idx="549">
                  <c:v>44974</c:v>
                </c:pt>
                <c:pt idx="550">
                  <c:v>44973</c:v>
                </c:pt>
                <c:pt idx="551">
                  <c:v>44972</c:v>
                </c:pt>
                <c:pt idx="552">
                  <c:v>44971</c:v>
                </c:pt>
                <c:pt idx="553">
                  <c:v>44970</c:v>
                </c:pt>
                <c:pt idx="554">
                  <c:v>44967</c:v>
                </c:pt>
                <c:pt idx="555">
                  <c:v>44966</c:v>
                </c:pt>
                <c:pt idx="556">
                  <c:v>44965</c:v>
                </c:pt>
                <c:pt idx="557">
                  <c:v>44964</c:v>
                </c:pt>
                <c:pt idx="558">
                  <c:v>44963</c:v>
                </c:pt>
                <c:pt idx="559">
                  <c:v>44960</c:v>
                </c:pt>
                <c:pt idx="560">
                  <c:v>44959</c:v>
                </c:pt>
                <c:pt idx="561">
                  <c:v>44958</c:v>
                </c:pt>
                <c:pt idx="562">
                  <c:v>44957</c:v>
                </c:pt>
                <c:pt idx="563">
                  <c:v>44956</c:v>
                </c:pt>
                <c:pt idx="564">
                  <c:v>44946</c:v>
                </c:pt>
                <c:pt idx="565">
                  <c:v>44945</c:v>
                </c:pt>
                <c:pt idx="566">
                  <c:v>44944</c:v>
                </c:pt>
                <c:pt idx="567">
                  <c:v>44943</c:v>
                </c:pt>
                <c:pt idx="568">
                  <c:v>44942</c:v>
                </c:pt>
                <c:pt idx="569">
                  <c:v>44939</c:v>
                </c:pt>
                <c:pt idx="570">
                  <c:v>44938</c:v>
                </c:pt>
                <c:pt idx="571">
                  <c:v>44937</c:v>
                </c:pt>
                <c:pt idx="572">
                  <c:v>44936</c:v>
                </c:pt>
                <c:pt idx="573">
                  <c:v>44935</c:v>
                </c:pt>
                <c:pt idx="574">
                  <c:v>44932</c:v>
                </c:pt>
                <c:pt idx="575">
                  <c:v>44931</c:v>
                </c:pt>
                <c:pt idx="576">
                  <c:v>44930</c:v>
                </c:pt>
                <c:pt idx="577">
                  <c:v>44929</c:v>
                </c:pt>
                <c:pt idx="578">
                  <c:v>44925</c:v>
                </c:pt>
                <c:pt idx="579">
                  <c:v>44924</c:v>
                </c:pt>
                <c:pt idx="580">
                  <c:v>44923</c:v>
                </c:pt>
                <c:pt idx="581">
                  <c:v>44922</c:v>
                </c:pt>
                <c:pt idx="582">
                  <c:v>44921</c:v>
                </c:pt>
                <c:pt idx="583">
                  <c:v>44918</c:v>
                </c:pt>
                <c:pt idx="584">
                  <c:v>44917</c:v>
                </c:pt>
                <c:pt idx="585">
                  <c:v>44916</c:v>
                </c:pt>
                <c:pt idx="586">
                  <c:v>44915</c:v>
                </c:pt>
                <c:pt idx="587">
                  <c:v>44914</c:v>
                </c:pt>
                <c:pt idx="588">
                  <c:v>44911</c:v>
                </c:pt>
                <c:pt idx="589">
                  <c:v>44910</c:v>
                </c:pt>
                <c:pt idx="590">
                  <c:v>44909</c:v>
                </c:pt>
                <c:pt idx="591">
                  <c:v>44908</c:v>
                </c:pt>
                <c:pt idx="592">
                  <c:v>44907</c:v>
                </c:pt>
                <c:pt idx="593">
                  <c:v>44904</c:v>
                </c:pt>
                <c:pt idx="594">
                  <c:v>44903</c:v>
                </c:pt>
                <c:pt idx="595">
                  <c:v>44902</c:v>
                </c:pt>
                <c:pt idx="596">
                  <c:v>44901</c:v>
                </c:pt>
                <c:pt idx="597">
                  <c:v>44900</c:v>
                </c:pt>
                <c:pt idx="598">
                  <c:v>44897</c:v>
                </c:pt>
                <c:pt idx="599">
                  <c:v>44896</c:v>
                </c:pt>
                <c:pt idx="600">
                  <c:v>44895</c:v>
                </c:pt>
                <c:pt idx="601">
                  <c:v>44894</c:v>
                </c:pt>
                <c:pt idx="602">
                  <c:v>44893</c:v>
                </c:pt>
                <c:pt idx="603">
                  <c:v>44890</c:v>
                </c:pt>
                <c:pt idx="604">
                  <c:v>44889</c:v>
                </c:pt>
                <c:pt idx="605">
                  <c:v>44888</c:v>
                </c:pt>
                <c:pt idx="606">
                  <c:v>44887</c:v>
                </c:pt>
                <c:pt idx="607">
                  <c:v>44886</c:v>
                </c:pt>
                <c:pt idx="608">
                  <c:v>44883</c:v>
                </c:pt>
                <c:pt idx="609">
                  <c:v>44882</c:v>
                </c:pt>
                <c:pt idx="610">
                  <c:v>44881</c:v>
                </c:pt>
                <c:pt idx="611">
                  <c:v>44880</c:v>
                </c:pt>
                <c:pt idx="612">
                  <c:v>44879</c:v>
                </c:pt>
                <c:pt idx="613">
                  <c:v>44876</c:v>
                </c:pt>
                <c:pt idx="614">
                  <c:v>44875</c:v>
                </c:pt>
                <c:pt idx="615">
                  <c:v>44874</c:v>
                </c:pt>
                <c:pt idx="616">
                  <c:v>44873</c:v>
                </c:pt>
                <c:pt idx="617">
                  <c:v>44872</c:v>
                </c:pt>
                <c:pt idx="618">
                  <c:v>44869</c:v>
                </c:pt>
                <c:pt idx="619">
                  <c:v>44868</c:v>
                </c:pt>
                <c:pt idx="620">
                  <c:v>44867</c:v>
                </c:pt>
                <c:pt idx="621">
                  <c:v>44866</c:v>
                </c:pt>
                <c:pt idx="622">
                  <c:v>44865</c:v>
                </c:pt>
                <c:pt idx="623">
                  <c:v>44862</c:v>
                </c:pt>
                <c:pt idx="624">
                  <c:v>44861</c:v>
                </c:pt>
                <c:pt idx="625">
                  <c:v>44860</c:v>
                </c:pt>
                <c:pt idx="626">
                  <c:v>44859</c:v>
                </c:pt>
                <c:pt idx="627">
                  <c:v>44858</c:v>
                </c:pt>
                <c:pt idx="628">
                  <c:v>44855</c:v>
                </c:pt>
                <c:pt idx="629">
                  <c:v>44854</c:v>
                </c:pt>
                <c:pt idx="630">
                  <c:v>44853</c:v>
                </c:pt>
                <c:pt idx="631">
                  <c:v>44852</c:v>
                </c:pt>
                <c:pt idx="632">
                  <c:v>44851</c:v>
                </c:pt>
                <c:pt idx="633">
                  <c:v>44848</c:v>
                </c:pt>
                <c:pt idx="634">
                  <c:v>44847</c:v>
                </c:pt>
                <c:pt idx="635">
                  <c:v>44846</c:v>
                </c:pt>
                <c:pt idx="636">
                  <c:v>44845</c:v>
                </c:pt>
                <c:pt idx="637">
                  <c:v>44844</c:v>
                </c:pt>
                <c:pt idx="638">
                  <c:v>44834</c:v>
                </c:pt>
                <c:pt idx="639">
                  <c:v>44833</c:v>
                </c:pt>
                <c:pt idx="640">
                  <c:v>44832</c:v>
                </c:pt>
                <c:pt idx="641">
                  <c:v>44831</c:v>
                </c:pt>
                <c:pt idx="642">
                  <c:v>44830</c:v>
                </c:pt>
                <c:pt idx="643">
                  <c:v>44827</c:v>
                </c:pt>
                <c:pt idx="644">
                  <c:v>44826</c:v>
                </c:pt>
                <c:pt idx="645">
                  <c:v>44825</c:v>
                </c:pt>
                <c:pt idx="646">
                  <c:v>44824</c:v>
                </c:pt>
                <c:pt idx="647">
                  <c:v>44823</c:v>
                </c:pt>
                <c:pt idx="648">
                  <c:v>44820</c:v>
                </c:pt>
                <c:pt idx="649">
                  <c:v>44819</c:v>
                </c:pt>
                <c:pt idx="650">
                  <c:v>44818</c:v>
                </c:pt>
                <c:pt idx="651">
                  <c:v>44817</c:v>
                </c:pt>
                <c:pt idx="652">
                  <c:v>44813</c:v>
                </c:pt>
                <c:pt idx="653">
                  <c:v>44812</c:v>
                </c:pt>
                <c:pt idx="654">
                  <c:v>44811</c:v>
                </c:pt>
                <c:pt idx="655">
                  <c:v>44810</c:v>
                </c:pt>
                <c:pt idx="656">
                  <c:v>44809</c:v>
                </c:pt>
                <c:pt idx="657">
                  <c:v>44806</c:v>
                </c:pt>
                <c:pt idx="658">
                  <c:v>44805</c:v>
                </c:pt>
                <c:pt idx="659">
                  <c:v>44804</c:v>
                </c:pt>
                <c:pt idx="660">
                  <c:v>44803</c:v>
                </c:pt>
                <c:pt idx="661">
                  <c:v>44802</c:v>
                </c:pt>
                <c:pt idx="662">
                  <c:v>44799</c:v>
                </c:pt>
                <c:pt idx="663">
                  <c:v>44798</c:v>
                </c:pt>
                <c:pt idx="664">
                  <c:v>44797</c:v>
                </c:pt>
                <c:pt idx="665">
                  <c:v>44796</c:v>
                </c:pt>
                <c:pt idx="666">
                  <c:v>44795</c:v>
                </c:pt>
                <c:pt idx="667">
                  <c:v>44792</c:v>
                </c:pt>
                <c:pt idx="668">
                  <c:v>44791</c:v>
                </c:pt>
                <c:pt idx="669">
                  <c:v>44790</c:v>
                </c:pt>
                <c:pt idx="670">
                  <c:v>44789</c:v>
                </c:pt>
                <c:pt idx="671">
                  <c:v>44788</c:v>
                </c:pt>
                <c:pt idx="672">
                  <c:v>44785</c:v>
                </c:pt>
                <c:pt idx="673">
                  <c:v>44784</c:v>
                </c:pt>
                <c:pt idx="674">
                  <c:v>44783</c:v>
                </c:pt>
                <c:pt idx="675">
                  <c:v>44782</c:v>
                </c:pt>
                <c:pt idx="676">
                  <c:v>44781</c:v>
                </c:pt>
                <c:pt idx="677">
                  <c:v>44778</c:v>
                </c:pt>
                <c:pt idx="678">
                  <c:v>44777</c:v>
                </c:pt>
                <c:pt idx="679">
                  <c:v>44776</c:v>
                </c:pt>
                <c:pt idx="680">
                  <c:v>44775</c:v>
                </c:pt>
                <c:pt idx="681">
                  <c:v>44774</c:v>
                </c:pt>
                <c:pt idx="682">
                  <c:v>44771</c:v>
                </c:pt>
                <c:pt idx="683">
                  <c:v>44770</c:v>
                </c:pt>
                <c:pt idx="684">
                  <c:v>44769</c:v>
                </c:pt>
                <c:pt idx="685">
                  <c:v>44768</c:v>
                </c:pt>
                <c:pt idx="686">
                  <c:v>44767</c:v>
                </c:pt>
                <c:pt idx="687">
                  <c:v>44764</c:v>
                </c:pt>
                <c:pt idx="688">
                  <c:v>44763</c:v>
                </c:pt>
                <c:pt idx="689">
                  <c:v>44762</c:v>
                </c:pt>
                <c:pt idx="690">
                  <c:v>44761</c:v>
                </c:pt>
                <c:pt idx="691">
                  <c:v>44760</c:v>
                </c:pt>
                <c:pt idx="692">
                  <c:v>44757</c:v>
                </c:pt>
                <c:pt idx="693">
                  <c:v>44756</c:v>
                </c:pt>
                <c:pt idx="694">
                  <c:v>44755</c:v>
                </c:pt>
                <c:pt idx="695">
                  <c:v>44754</c:v>
                </c:pt>
                <c:pt idx="696">
                  <c:v>44753</c:v>
                </c:pt>
                <c:pt idx="697">
                  <c:v>44750</c:v>
                </c:pt>
                <c:pt idx="698">
                  <c:v>44749</c:v>
                </c:pt>
                <c:pt idx="699">
                  <c:v>44748</c:v>
                </c:pt>
                <c:pt idx="700">
                  <c:v>44747</c:v>
                </c:pt>
                <c:pt idx="701">
                  <c:v>44746</c:v>
                </c:pt>
                <c:pt idx="702">
                  <c:v>44743</c:v>
                </c:pt>
                <c:pt idx="703">
                  <c:v>44742</c:v>
                </c:pt>
                <c:pt idx="704">
                  <c:v>44741</c:v>
                </c:pt>
                <c:pt idx="705">
                  <c:v>44740</c:v>
                </c:pt>
                <c:pt idx="706">
                  <c:v>44739</c:v>
                </c:pt>
                <c:pt idx="707">
                  <c:v>44736</c:v>
                </c:pt>
                <c:pt idx="708">
                  <c:v>44735</c:v>
                </c:pt>
                <c:pt idx="709">
                  <c:v>44734</c:v>
                </c:pt>
                <c:pt idx="710">
                  <c:v>44733</c:v>
                </c:pt>
                <c:pt idx="711">
                  <c:v>44732</c:v>
                </c:pt>
                <c:pt idx="712">
                  <c:v>44729</c:v>
                </c:pt>
                <c:pt idx="713">
                  <c:v>44728</c:v>
                </c:pt>
                <c:pt idx="714">
                  <c:v>44727</c:v>
                </c:pt>
                <c:pt idx="715">
                  <c:v>44726</c:v>
                </c:pt>
                <c:pt idx="716">
                  <c:v>44725</c:v>
                </c:pt>
                <c:pt idx="717">
                  <c:v>44722</c:v>
                </c:pt>
                <c:pt idx="718">
                  <c:v>44721</c:v>
                </c:pt>
                <c:pt idx="719">
                  <c:v>44720</c:v>
                </c:pt>
                <c:pt idx="720">
                  <c:v>44719</c:v>
                </c:pt>
                <c:pt idx="721">
                  <c:v>44718</c:v>
                </c:pt>
                <c:pt idx="722">
                  <c:v>44714</c:v>
                </c:pt>
                <c:pt idx="723">
                  <c:v>44713</c:v>
                </c:pt>
                <c:pt idx="724">
                  <c:v>44712</c:v>
                </c:pt>
                <c:pt idx="725">
                  <c:v>44711</c:v>
                </c:pt>
                <c:pt idx="726">
                  <c:v>44708</c:v>
                </c:pt>
                <c:pt idx="727">
                  <c:v>44707</c:v>
                </c:pt>
                <c:pt idx="728">
                  <c:v>44706</c:v>
                </c:pt>
                <c:pt idx="729">
                  <c:v>44705</c:v>
                </c:pt>
                <c:pt idx="730">
                  <c:v>44704</c:v>
                </c:pt>
                <c:pt idx="731">
                  <c:v>44701</c:v>
                </c:pt>
                <c:pt idx="732">
                  <c:v>44700</c:v>
                </c:pt>
                <c:pt idx="733">
                  <c:v>44699</c:v>
                </c:pt>
                <c:pt idx="734">
                  <c:v>44698</c:v>
                </c:pt>
                <c:pt idx="735">
                  <c:v>44697</c:v>
                </c:pt>
                <c:pt idx="736">
                  <c:v>44694</c:v>
                </c:pt>
                <c:pt idx="737">
                  <c:v>44693</c:v>
                </c:pt>
                <c:pt idx="738">
                  <c:v>44692</c:v>
                </c:pt>
                <c:pt idx="739">
                  <c:v>44691</c:v>
                </c:pt>
                <c:pt idx="740">
                  <c:v>44690</c:v>
                </c:pt>
                <c:pt idx="741">
                  <c:v>44687</c:v>
                </c:pt>
                <c:pt idx="742">
                  <c:v>44686</c:v>
                </c:pt>
                <c:pt idx="743">
                  <c:v>44680</c:v>
                </c:pt>
                <c:pt idx="744">
                  <c:v>44679</c:v>
                </c:pt>
                <c:pt idx="745">
                  <c:v>44678</c:v>
                </c:pt>
                <c:pt idx="746">
                  <c:v>44677</c:v>
                </c:pt>
                <c:pt idx="747">
                  <c:v>44676</c:v>
                </c:pt>
                <c:pt idx="748">
                  <c:v>44673</c:v>
                </c:pt>
                <c:pt idx="749">
                  <c:v>44672</c:v>
                </c:pt>
                <c:pt idx="750">
                  <c:v>44671</c:v>
                </c:pt>
                <c:pt idx="751">
                  <c:v>44670</c:v>
                </c:pt>
                <c:pt idx="752">
                  <c:v>44669</c:v>
                </c:pt>
                <c:pt idx="753">
                  <c:v>44666</c:v>
                </c:pt>
                <c:pt idx="754">
                  <c:v>44665</c:v>
                </c:pt>
                <c:pt idx="755">
                  <c:v>44664</c:v>
                </c:pt>
                <c:pt idx="756">
                  <c:v>44663</c:v>
                </c:pt>
                <c:pt idx="757">
                  <c:v>44662</c:v>
                </c:pt>
                <c:pt idx="758">
                  <c:v>44659</c:v>
                </c:pt>
                <c:pt idx="759">
                  <c:v>44658</c:v>
                </c:pt>
                <c:pt idx="760">
                  <c:v>44657</c:v>
                </c:pt>
                <c:pt idx="761">
                  <c:v>44652</c:v>
                </c:pt>
                <c:pt idx="762">
                  <c:v>44651</c:v>
                </c:pt>
                <c:pt idx="763">
                  <c:v>44650</c:v>
                </c:pt>
                <c:pt idx="764">
                  <c:v>44649</c:v>
                </c:pt>
                <c:pt idx="765">
                  <c:v>44648</c:v>
                </c:pt>
                <c:pt idx="766">
                  <c:v>44645</c:v>
                </c:pt>
                <c:pt idx="767">
                  <c:v>44644</c:v>
                </c:pt>
                <c:pt idx="768">
                  <c:v>44643</c:v>
                </c:pt>
                <c:pt idx="769">
                  <c:v>44642</c:v>
                </c:pt>
                <c:pt idx="770">
                  <c:v>44641</c:v>
                </c:pt>
                <c:pt idx="771">
                  <c:v>44638</c:v>
                </c:pt>
                <c:pt idx="772">
                  <c:v>44637</c:v>
                </c:pt>
                <c:pt idx="773">
                  <c:v>44636</c:v>
                </c:pt>
                <c:pt idx="774">
                  <c:v>44635</c:v>
                </c:pt>
                <c:pt idx="775">
                  <c:v>44634</c:v>
                </c:pt>
                <c:pt idx="776">
                  <c:v>44631</c:v>
                </c:pt>
                <c:pt idx="777">
                  <c:v>44630</c:v>
                </c:pt>
                <c:pt idx="778">
                  <c:v>44629</c:v>
                </c:pt>
                <c:pt idx="779">
                  <c:v>44628</c:v>
                </c:pt>
                <c:pt idx="780">
                  <c:v>44627</c:v>
                </c:pt>
                <c:pt idx="781">
                  <c:v>44624</c:v>
                </c:pt>
                <c:pt idx="782">
                  <c:v>44623</c:v>
                </c:pt>
                <c:pt idx="783">
                  <c:v>44622</c:v>
                </c:pt>
                <c:pt idx="784">
                  <c:v>44621</c:v>
                </c:pt>
                <c:pt idx="785">
                  <c:v>44620</c:v>
                </c:pt>
                <c:pt idx="786">
                  <c:v>44617</c:v>
                </c:pt>
                <c:pt idx="787">
                  <c:v>44616</c:v>
                </c:pt>
                <c:pt idx="788">
                  <c:v>44615</c:v>
                </c:pt>
                <c:pt idx="789">
                  <c:v>44614</c:v>
                </c:pt>
                <c:pt idx="790">
                  <c:v>44613</c:v>
                </c:pt>
                <c:pt idx="791">
                  <c:v>44610</c:v>
                </c:pt>
                <c:pt idx="792">
                  <c:v>44609</c:v>
                </c:pt>
                <c:pt idx="793">
                  <c:v>44608</c:v>
                </c:pt>
                <c:pt idx="794">
                  <c:v>44607</c:v>
                </c:pt>
                <c:pt idx="795">
                  <c:v>44606</c:v>
                </c:pt>
                <c:pt idx="796">
                  <c:v>44603</c:v>
                </c:pt>
                <c:pt idx="797">
                  <c:v>44602</c:v>
                </c:pt>
                <c:pt idx="798">
                  <c:v>44601</c:v>
                </c:pt>
                <c:pt idx="799">
                  <c:v>44600</c:v>
                </c:pt>
                <c:pt idx="800">
                  <c:v>44599</c:v>
                </c:pt>
                <c:pt idx="801">
                  <c:v>44589</c:v>
                </c:pt>
                <c:pt idx="802">
                  <c:v>44588</c:v>
                </c:pt>
                <c:pt idx="803">
                  <c:v>44587</c:v>
                </c:pt>
                <c:pt idx="804">
                  <c:v>44586</c:v>
                </c:pt>
                <c:pt idx="805">
                  <c:v>44585</c:v>
                </c:pt>
                <c:pt idx="806">
                  <c:v>44582</c:v>
                </c:pt>
                <c:pt idx="807">
                  <c:v>44581</c:v>
                </c:pt>
                <c:pt idx="808">
                  <c:v>44580</c:v>
                </c:pt>
                <c:pt idx="809">
                  <c:v>44579</c:v>
                </c:pt>
                <c:pt idx="810">
                  <c:v>44578</c:v>
                </c:pt>
                <c:pt idx="811">
                  <c:v>44575</c:v>
                </c:pt>
                <c:pt idx="812">
                  <c:v>44574</c:v>
                </c:pt>
                <c:pt idx="813">
                  <c:v>44573</c:v>
                </c:pt>
                <c:pt idx="814">
                  <c:v>44572</c:v>
                </c:pt>
                <c:pt idx="815">
                  <c:v>44571</c:v>
                </c:pt>
                <c:pt idx="816">
                  <c:v>44568</c:v>
                </c:pt>
                <c:pt idx="817">
                  <c:v>44567</c:v>
                </c:pt>
                <c:pt idx="818">
                  <c:v>44566</c:v>
                </c:pt>
                <c:pt idx="819">
                  <c:v>44565</c:v>
                </c:pt>
                <c:pt idx="820">
                  <c:v>44561</c:v>
                </c:pt>
                <c:pt idx="821">
                  <c:v>44560</c:v>
                </c:pt>
                <c:pt idx="822">
                  <c:v>44559</c:v>
                </c:pt>
                <c:pt idx="823">
                  <c:v>44558</c:v>
                </c:pt>
                <c:pt idx="824">
                  <c:v>44557</c:v>
                </c:pt>
                <c:pt idx="825">
                  <c:v>44554</c:v>
                </c:pt>
                <c:pt idx="826">
                  <c:v>44553</c:v>
                </c:pt>
                <c:pt idx="827">
                  <c:v>44552</c:v>
                </c:pt>
                <c:pt idx="828">
                  <c:v>44551</c:v>
                </c:pt>
                <c:pt idx="829">
                  <c:v>44550</c:v>
                </c:pt>
                <c:pt idx="830">
                  <c:v>44547</c:v>
                </c:pt>
                <c:pt idx="831">
                  <c:v>44546</c:v>
                </c:pt>
                <c:pt idx="832">
                  <c:v>44545</c:v>
                </c:pt>
                <c:pt idx="833">
                  <c:v>44544</c:v>
                </c:pt>
                <c:pt idx="834">
                  <c:v>44543</c:v>
                </c:pt>
                <c:pt idx="835">
                  <c:v>44540</c:v>
                </c:pt>
                <c:pt idx="836">
                  <c:v>44539</c:v>
                </c:pt>
                <c:pt idx="837">
                  <c:v>44538</c:v>
                </c:pt>
                <c:pt idx="838">
                  <c:v>44537</c:v>
                </c:pt>
                <c:pt idx="839">
                  <c:v>44536</c:v>
                </c:pt>
                <c:pt idx="840">
                  <c:v>44533</c:v>
                </c:pt>
                <c:pt idx="841">
                  <c:v>44532</c:v>
                </c:pt>
                <c:pt idx="842">
                  <c:v>44531</c:v>
                </c:pt>
                <c:pt idx="843">
                  <c:v>44530</c:v>
                </c:pt>
                <c:pt idx="844">
                  <c:v>44529</c:v>
                </c:pt>
                <c:pt idx="845">
                  <c:v>44526</c:v>
                </c:pt>
                <c:pt idx="846">
                  <c:v>44525</c:v>
                </c:pt>
                <c:pt idx="847">
                  <c:v>44524</c:v>
                </c:pt>
                <c:pt idx="848">
                  <c:v>44523</c:v>
                </c:pt>
                <c:pt idx="849">
                  <c:v>44522</c:v>
                </c:pt>
                <c:pt idx="850">
                  <c:v>44519</c:v>
                </c:pt>
                <c:pt idx="851">
                  <c:v>44518</c:v>
                </c:pt>
                <c:pt idx="852">
                  <c:v>44517</c:v>
                </c:pt>
                <c:pt idx="853">
                  <c:v>44516</c:v>
                </c:pt>
                <c:pt idx="854">
                  <c:v>44515</c:v>
                </c:pt>
                <c:pt idx="855">
                  <c:v>44512</c:v>
                </c:pt>
                <c:pt idx="856">
                  <c:v>44511</c:v>
                </c:pt>
                <c:pt idx="857">
                  <c:v>44510</c:v>
                </c:pt>
                <c:pt idx="858">
                  <c:v>44509</c:v>
                </c:pt>
                <c:pt idx="859">
                  <c:v>44508</c:v>
                </c:pt>
                <c:pt idx="860">
                  <c:v>44505</c:v>
                </c:pt>
                <c:pt idx="861">
                  <c:v>44504</c:v>
                </c:pt>
                <c:pt idx="862">
                  <c:v>44503</c:v>
                </c:pt>
                <c:pt idx="863">
                  <c:v>44502</c:v>
                </c:pt>
                <c:pt idx="864">
                  <c:v>44501</c:v>
                </c:pt>
                <c:pt idx="865">
                  <c:v>44498</c:v>
                </c:pt>
                <c:pt idx="866">
                  <c:v>44497</c:v>
                </c:pt>
                <c:pt idx="867">
                  <c:v>44496</c:v>
                </c:pt>
                <c:pt idx="868">
                  <c:v>44495</c:v>
                </c:pt>
                <c:pt idx="869">
                  <c:v>44494</c:v>
                </c:pt>
                <c:pt idx="870">
                  <c:v>44491</c:v>
                </c:pt>
                <c:pt idx="871">
                  <c:v>44490</c:v>
                </c:pt>
                <c:pt idx="872">
                  <c:v>44489</c:v>
                </c:pt>
                <c:pt idx="873">
                  <c:v>44488</c:v>
                </c:pt>
                <c:pt idx="874">
                  <c:v>44487</c:v>
                </c:pt>
                <c:pt idx="875">
                  <c:v>44484</c:v>
                </c:pt>
                <c:pt idx="876">
                  <c:v>44483</c:v>
                </c:pt>
                <c:pt idx="877">
                  <c:v>44482</c:v>
                </c:pt>
                <c:pt idx="878">
                  <c:v>44481</c:v>
                </c:pt>
                <c:pt idx="879">
                  <c:v>44480</c:v>
                </c:pt>
                <c:pt idx="880">
                  <c:v>44477</c:v>
                </c:pt>
                <c:pt idx="881">
                  <c:v>44469</c:v>
                </c:pt>
                <c:pt idx="882">
                  <c:v>44468</c:v>
                </c:pt>
                <c:pt idx="883">
                  <c:v>44467</c:v>
                </c:pt>
                <c:pt idx="884">
                  <c:v>44466</c:v>
                </c:pt>
                <c:pt idx="885">
                  <c:v>44463</c:v>
                </c:pt>
                <c:pt idx="886">
                  <c:v>44462</c:v>
                </c:pt>
                <c:pt idx="887">
                  <c:v>44461</c:v>
                </c:pt>
                <c:pt idx="888">
                  <c:v>44456</c:v>
                </c:pt>
                <c:pt idx="889">
                  <c:v>44455</c:v>
                </c:pt>
                <c:pt idx="890">
                  <c:v>44454</c:v>
                </c:pt>
                <c:pt idx="891">
                  <c:v>44453</c:v>
                </c:pt>
                <c:pt idx="892">
                  <c:v>44452</c:v>
                </c:pt>
                <c:pt idx="893">
                  <c:v>44449</c:v>
                </c:pt>
                <c:pt idx="894">
                  <c:v>44448</c:v>
                </c:pt>
                <c:pt idx="895">
                  <c:v>44447</c:v>
                </c:pt>
                <c:pt idx="896">
                  <c:v>44446</c:v>
                </c:pt>
                <c:pt idx="897">
                  <c:v>44445</c:v>
                </c:pt>
                <c:pt idx="898">
                  <c:v>44442</c:v>
                </c:pt>
                <c:pt idx="899">
                  <c:v>44441</c:v>
                </c:pt>
                <c:pt idx="900">
                  <c:v>44440</c:v>
                </c:pt>
                <c:pt idx="901">
                  <c:v>44439</c:v>
                </c:pt>
                <c:pt idx="902">
                  <c:v>44438</c:v>
                </c:pt>
                <c:pt idx="903">
                  <c:v>44435</c:v>
                </c:pt>
                <c:pt idx="904">
                  <c:v>44434</c:v>
                </c:pt>
                <c:pt idx="905">
                  <c:v>44433</c:v>
                </c:pt>
                <c:pt idx="906">
                  <c:v>44432</c:v>
                </c:pt>
                <c:pt idx="907">
                  <c:v>44431</c:v>
                </c:pt>
                <c:pt idx="908">
                  <c:v>44428</c:v>
                </c:pt>
                <c:pt idx="909">
                  <c:v>44427</c:v>
                </c:pt>
                <c:pt idx="910">
                  <c:v>44426</c:v>
                </c:pt>
                <c:pt idx="911">
                  <c:v>44425</c:v>
                </c:pt>
                <c:pt idx="912">
                  <c:v>44424</c:v>
                </c:pt>
                <c:pt idx="913">
                  <c:v>44421</c:v>
                </c:pt>
                <c:pt idx="914">
                  <c:v>44420</c:v>
                </c:pt>
                <c:pt idx="915">
                  <c:v>44419</c:v>
                </c:pt>
                <c:pt idx="916">
                  <c:v>44418</c:v>
                </c:pt>
                <c:pt idx="917">
                  <c:v>44417</c:v>
                </c:pt>
                <c:pt idx="918">
                  <c:v>44414</c:v>
                </c:pt>
                <c:pt idx="919">
                  <c:v>44413</c:v>
                </c:pt>
                <c:pt idx="920">
                  <c:v>44412</c:v>
                </c:pt>
                <c:pt idx="921">
                  <c:v>44411</c:v>
                </c:pt>
                <c:pt idx="922">
                  <c:v>44410</c:v>
                </c:pt>
                <c:pt idx="923">
                  <c:v>44407</c:v>
                </c:pt>
                <c:pt idx="924">
                  <c:v>44406</c:v>
                </c:pt>
                <c:pt idx="925">
                  <c:v>44405</c:v>
                </c:pt>
                <c:pt idx="926">
                  <c:v>44404</c:v>
                </c:pt>
                <c:pt idx="927">
                  <c:v>44403</c:v>
                </c:pt>
                <c:pt idx="928">
                  <c:v>44400</c:v>
                </c:pt>
                <c:pt idx="929">
                  <c:v>44399</c:v>
                </c:pt>
                <c:pt idx="930">
                  <c:v>44398</c:v>
                </c:pt>
                <c:pt idx="931">
                  <c:v>44397</c:v>
                </c:pt>
                <c:pt idx="932">
                  <c:v>44396</c:v>
                </c:pt>
                <c:pt idx="933">
                  <c:v>44393</c:v>
                </c:pt>
              </c:numCache>
            </c:numRef>
          </c:cat>
          <c:val>
            <c:numRef>
              <c:f>[1]数据来源上海环境能源交易所!$G$3:$G$936</c:f>
              <c:numCache>
                <c:formatCode>General</c:formatCode>
                <c:ptCount val="934"/>
                <c:pt idx="0">
                  <c:v>852487</c:v>
                </c:pt>
                <c:pt idx="1">
                  <c:v>1016716</c:v>
                </c:pt>
                <c:pt idx="2">
                  <c:v>669212</c:v>
                </c:pt>
                <c:pt idx="3">
                  <c:v>1268612</c:v>
                </c:pt>
                <c:pt idx="4">
                  <c:v>367940</c:v>
                </c:pt>
                <c:pt idx="5">
                  <c:v>271987</c:v>
                </c:pt>
                <c:pt idx="6">
                  <c:v>311782</c:v>
                </c:pt>
                <c:pt idx="7">
                  <c:v>658520</c:v>
                </c:pt>
                <c:pt idx="8">
                  <c:v>308914</c:v>
                </c:pt>
                <c:pt idx="9">
                  <c:v>301529</c:v>
                </c:pt>
                <c:pt idx="10">
                  <c:v>405848</c:v>
                </c:pt>
                <c:pt idx="11">
                  <c:v>447516</c:v>
                </c:pt>
                <c:pt idx="12">
                  <c:v>576358</c:v>
                </c:pt>
                <c:pt idx="13">
                  <c:v>311506</c:v>
                </c:pt>
                <c:pt idx="14">
                  <c:v>1139426</c:v>
                </c:pt>
                <c:pt idx="15">
                  <c:v>846796</c:v>
                </c:pt>
                <c:pt idx="16">
                  <c:v>525553</c:v>
                </c:pt>
                <c:pt idx="17">
                  <c:v>249700</c:v>
                </c:pt>
                <c:pt idx="18">
                  <c:v>586041</c:v>
                </c:pt>
                <c:pt idx="19">
                  <c:v>394565</c:v>
                </c:pt>
                <c:pt idx="20">
                  <c:v>2116249</c:v>
                </c:pt>
                <c:pt idx="21">
                  <c:v>325608</c:v>
                </c:pt>
                <c:pt idx="22">
                  <c:v>256011</c:v>
                </c:pt>
                <c:pt idx="23">
                  <c:v>156194</c:v>
                </c:pt>
                <c:pt idx="24">
                  <c:v>310500</c:v>
                </c:pt>
                <c:pt idx="25">
                  <c:v>453746</c:v>
                </c:pt>
                <c:pt idx="26">
                  <c:v>818555</c:v>
                </c:pt>
                <c:pt idx="27">
                  <c:v>465543</c:v>
                </c:pt>
                <c:pt idx="28">
                  <c:v>427000</c:v>
                </c:pt>
                <c:pt idx="29">
                  <c:v>550500</c:v>
                </c:pt>
                <c:pt idx="30">
                  <c:v>232778</c:v>
                </c:pt>
                <c:pt idx="31">
                  <c:v>116510</c:v>
                </c:pt>
                <c:pt idx="32">
                  <c:v>548357</c:v>
                </c:pt>
                <c:pt idx="33">
                  <c:v>166000</c:v>
                </c:pt>
                <c:pt idx="34">
                  <c:v>552500</c:v>
                </c:pt>
                <c:pt idx="35">
                  <c:v>227284</c:v>
                </c:pt>
                <c:pt idx="36">
                  <c:v>97789</c:v>
                </c:pt>
                <c:pt idx="37">
                  <c:v>458650</c:v>
                </c:pt>
                <c:pt idx="38">
                  <c:v>162649</c:v>
                </c:pt>
                <c:pt idx="39">
                  <c:v>26700</c:v>
                </c:pt>
                <c:pt idx="40">
                  <c:v>303926</c:v>
                </c:pt>
                <c:pt idx="41">
                  <c:v>1000</c:v>
                </c:pt>
                <c:pt idx="42">
                  <c:v>21083</c:v>
                </c:pt>
                <c:pt idx="43">
                  <c:v>4600</c:v>
                </c:pt>
                <c:pt idx="44">
                  <c:v>273489</c:v>
                </c:pt>
                <c:pt idx="45">
                  <c:v>250000</c:v>
                </c:pt>
                <c:pt idx="46">
                  <c:v>201100</c:v>
                </c:pt>
                <c:pt idx="47">
                  <c:v>1010000</c:v>
                </c:pt>
                <c:pt idx="48">
                  <c:v>140500</c:v>
                </c:pt>
                <c:pt idx="49">
                  <c:v>300487</c:v>
                </c:pt>
                <c:pt idx="50">
                  <c:v>407821</c:v>
                </c:pt>
                <c:pt idx="51">
                  <c:v>207123</c:v>
                </c:pt>
                <c:pt idx="52">
                  <c:v>198009</c:v>
                </c:pt>
                <c:pt idx="53">
                  <c:v>133486</c:v>
                </c:pt>
                <c:pt idx="54">
                  <c:v>42050</c:v>
                </c:pt>
                <c:pt idx="55">
                  <c:v>102423</c:v>
                </c:pt>
                <c:pt idx="56">
                  <c:v>110000</c:v>
                </c:pt>
                <c:pt idx="57">
                  <c:v>85091</c:v>
                </c:pt>
                <c:pt idx="58">
                  <c:v>18596</c:v>
                </c:pt>
                <c:pt idx="59">
                  <c:v>210000</c:v>
                </c:pt>
                <c:pt idx="60">
                  <c:v>566</c:v>
                </c:pt>
                <c:pt idx="61">
                  <c:v>101300</c:v>
                </c:pt>
                <c:pt idx="62">
                  <c:v>5000</c:v>
                </c:pt>
                <c:pt idx="63">
                  <c:v>4000</c:v>
                </c:pt>
                <c:pt idx="64">
                  <c:v>100001</c:v>
                </c:pt>
                <c:pt idx="65">
                  <c:v>273950</c:v>
                </c:pt>
                <c:pt idx="66">
                  <c:v>100000</c:v>
                </c:pt>
                <c:pt idx="67">
                  <c:v>60050</c:v>
                </c:pt>
                <c:pt idx="68">
                  <c:v>187174</c:v>
                </c:pt>
                <c:pt idx="69">
                  <c:v>5000</c:v>
                </c:pt>
                <c:pt idx="70">
                  <c:v>38906</c:v>
                </c:pt>
                <c:pt idx="71">
                  <c:v>119594</c:v>
                </c:pt>
                <c:pt idx="72">
                  <c:v>74000</c:v>
                </c:pt>
                <c:pt idx="73">
                  <c:v>16733</c:v>
                </c:pt>
                <c:pt idx="74">
                  <c:v>261513</c:v>
                </c:pt>
                <c:pt idx="75">
                  <c:v>8648</c:v>
                </c:pt>
                <c:pt idx="76">
                  <c:v>40000</c:v>
                </c:pt>
                <c:pt idx="77">
                  <c:v>100000</c:v>
                </c:pt>
                <c:pt idx="78">
                  <c:v>10000</c:v>
                </c:pt>
                <c:pt idx="79">
                  <c:v>725</c:v>
                </c:pt>
                <c:pt idx="80">
                  <c:v>200000</c:v>
                </c:pt>
                <c:pt idx="81">
                  <c:v>250000</c:v>
                </c:pt>
                <c:pt idx="82">
                  <c:v>1005058</c:v>
                </c:pt>
                <c:pt idx="83">
                  <c:v>250000</c:v>
                </c:pt>
                <c:pt idx="84">
                  <c:v>17497</c:v>
                </c:pt>
                <c:pt idx="85">
                  <c:v>106595</c:v>
                </c:pt>
                <c:pt idx="86">
                  <c:v>10008</c:v>
                </c:pt>
                <c:pt idx="87">
                  <c:v>8</c:v>
                </c:pt>
                <c:pt idx="88">
                  <c:v>15000</c:v>
                </c:pt>
                <c:pt idx="89">
                  <c:v>82671</c:v>
                </c:pt>
                <c:pt idx="90">
                  <c:v>30008</c:v>
                </c:pt>
                <c:pt idx="91">
                  <c:v>8</c:v>
                </c:pt>
                <c:pt idx="92">
                  <c:v>20000</c:v>
                </c:pt>
                <c:pt idx="93">
                  <c:v>3991</c:v>
                </c:pt>
                <c:pt idx="94">
                  <c:v>116368</c:v>
                </c:pt>
                <c:pt idx="95">
                  <c:v>594823</c:v>
                </c:pt>
                <c:pt idx="96">
                  <c:v>1757294</c:v>
                </c:pt>
                <c:pt idx="97">
                  <c:v>1434650</c:v>
                </c:pt>
                <c:pt idx="98">
                  <c:v>525935</c:v>
                </c:pt>
                <c:pt idx="99">
                  <c:v>704375</c:v>
                </c:pt>
                <c:pt idx="100">
                  <c:v>1468566</c:v>
                </c:pt>
                <c:pt idx="101">
                  <c:v>2543230</c:v>
                </c:pt>
                <c:pt idx="102">
                  <c:v>2727079</c:v>
                </c:pt>
                <c:pt idx="103">
                  <c:v>2775202</c:v>
                </c:pt>
                <c:pt idx="104">
                  <c:v>1723068</c:v>
                </c:pt>
                <c:pt idx="105">
                  <c:v>2538798</c:v>
                </c:pt>
                <c:pt idx="106">
                  <c:v>5081273</c:v>
                </c:pt>
                <c:pt idx="107">
                  <c:v>9168459</c:v>
                </c:pt>
                <c:pt idx="108">
                  <c:v>9895425</c:v>
                </c:pt>
                <c:pt idx="109">
                  <c:v>9733692</c:v>
                </c:pt>
                <c:pt idx="110">
                  <c:v>6325146</c:v>
                </c:pt>
                <c:pt idx="111">
                  <c:v>2608093</c:v>
                </c:pt>
                <c:pt idx="112">
                  <c:v>2013641</c:v>
                </c:pt>
                <c:pt idx="113">
                  <c:v>3669020</c:v>
                </c:pt>
                <c:pt idx="114">
                  <c:v>3016953</c:v>
                </c:pt>
                <c:pt idx="115">
                  <c:v>4944441</c:v>
                </c:pt>
                <c:pt idx="116">
                  <c:v>6469210</c:v>
                </c:pt>
                <c:pt idx="117">
                  <c:v>3268352</c:v>
                </c:pt>
                <c:pt idx="118">
                  <c:v>5989204</c:v>
                </c:pt>
                <c:pt idx="119">
                  <c:v>5567219</c:v>
                </c:pt>
                <c:pt idx="120">
                  <c:v>5091901</c:v>
                </c:pt>
                <c:pt idx="121">
                  <c:v>3684953</c:v>
                </c:pt>
                <c:pt idx="122">
                  <c:v>3282986</c:v>
                </c:pt>
                <c:pt idx="123">
                  <c:v>2074888</c:v>
                </c:pt>
                <c:pt idx="124">
                  <c:v>3124468</c:v>
                </c:pt>
                <c:pt idx="125">
                  <c:v>3158389</c:v>
                </c:pt>
                <c:pt idx="126">
                  <c:v>3476636</c:v>
                </c:pt>
                <c:pt idx="127">
                  <c:v>1215301</c:v>
                </c:pt>
                <c:pt idx="128">
                  <c:v>2169584</c:v>
                </c:pt>
                <c:pt idx="129">
                  <c:v>1457869</c:v>
                </c:pt>
                <c:pt idx="130">
                  <c:v>2012735</c:v>
                </c:pt>
                <c:pt idx="131">
                  <c:v>2798318</c:v>
                </c:pt>
                <c:pt idx="132">
                  <c:v>813062</c:v>
                </c:pt>
                <c:pt idx="133">
                  <c:v>601405</c:v>
                </c:pt>
                <c:pt idx="134">
                  <c:v>2274030</c:v>
                </c:pt>
                <c:pt idx="135">
                  <c:v>621166</c:v>
                </c:pt>
                <c:pt idx="136">
                  <c:v>1685565</c:v>
                </c:pt>
                <c:pt idx="137">
                  <c:v>439379</c:v>
                </c:pt>
                <c:pt idx="138">
                  <c:v>354074</c:v>
                </c:pt>
                <c:pt idx="139">
                  <c:v>1117428</c:v>
                </c:pt>
                <c:pt idx="140">
                  <c:v>1252412</c:v>
                </c:pt>
                <c:pt idx="141">
                  <c:v>390666</c:v>
                </c:pt>
                <c:pt idx="142">
                  <c:v>386268</c:v>
                </c:pt>
                <c:pt idx="143">
                  <c:v>546800</c:v>
                </c:pt>
                <c:pt idx="144">
                  <c:v>1376416</c:v>
                </c:pt>
                <c:pt idx="145">
                  <c:v>317563</c:v>
                </c:pt>
                <c:pt idx="146">
                  <c:v>1059325</c:v>
                </c:pt>
                <c:pt idx="147">
                  <c:v>503113</c:v>
                </c:pt>
                <c:pt idx="148">
                  <c:v>248000</c:v>
                </c:pt>
                <c:pt idx="149">
                  <c:v>1216139</c:v>
                </c:pt>
                <c:pt idx="150">
                  <c:v>428713</c:v>
                </c:pt>
                <c:pt idx="151">
                  <c:v>971092</c:v>
                </c:pt>
                <c:pt idx="152">
                  <c:v>900647</c:v>
                </c:pt>
                <c:pt idx="153">
                  <c:v>907601</c:v>
                </c:pt>
                <c:pt idx="154">
                  <c:v>830121</c:v>
                </c:pt>
                <c:pt idx="155">
                  <c:v>997536</c:v>
                </c:pt>
                <c:pt idx="156">
                  <c:v>725153</c:v>
                </c:pt>
                <c:pt idx="157">
                  <c:v>608717</c:v>
                </c:pt>
                <c:pt idx="158">
                  <c:v>503942</c:v>
                </c:pt>
                <c:pt idx="159">
                  <c:v>584686</c:v>
                </c:pt>
                <c:pt idx="160">
                  <c:v>714701</c:v>
                </c:pt>
                <c:pt idx="161">
                  <c:v>581949</c:v>
                </c:pt>
                <c:pt idx="162">
                  <c:v>336000</c:v>
                </c:pt>
                <c:pt idx="163">
                  <c:v>2000</c:v>
                </c:pt>
                <c:pt idx="164">
                  <c:v>679802</c:v>
                </c:pt>
                <c:pt idx="165">
                  <c:v>100501</c:v>
                </c:pt>
                <c:pt idx="166">
                  <c:v>153466</c:v>
                </c:pt>
                <c:pt idx="167">
                  <c:v>139917</c:v>
                </c:pt>
                <c:pt idx="168">
                  <c:v>167630</c:v>
                </c:pt>
                <c:pt idx="169">
                  <c:v>38100</c:v>
                </c:pt>
                <c:pt idx="170">
                  <c:v>926300</c:v>
                </c:pt>
                <c:pt idx="171">
                  <c:v>215500</c:v>
                </c:pt>
                <c:pt idx="172">
                  <c:v>12350</c:v>
                </c:pt>
                <c:pt idx="173">
                  <c:v>347337</c:v>
                </c:pt>
                <c:pt idx="174">
                  <c:v>124367</c:v>
                </c:pt>
                <c:pt idx="175">
                  <c:v>42924</c:v>
                </c:pt>
                <c:pt idx="176">
                  <c:v>1107001</c:v>
                </c:pt>
                <c:pt idx="177">
                  <c:v>154671</c:v>
                </c:pt>
                <c:pt idx="178">
                  <c:v>51657</c:v>
                </c:pt>
                <c:pt idx="179">
                  <c:v>190700</c:v>
                </c:pt>
                <c:pt idx="180">
                  <c:v>34112</c:v>
                </c:pt>
                <c:pt idx="181">
                  <c:v>1194861</c:v>
                </c:pt>
                <c:pt idx="182">
                  <c:v>649519</c:v>
                </c:pt>
                <c:pt idx="183">
                  <c:v>140767</c:v>
                </c:pt>
                <c:pt idx="184">
                  <c:v>140005</c:v>
                </c:pt>
                <c:pt idx="185">
                  <c:v>113554</c:v>
                </c:pt>
                <c:pt idx="186">
                  <c:v>15000</c:v>
                </c:pt>
                <c:pt idx="187">
                  <c:v>68370</c:v>
                </c:pt>
                <c:pt idx="188">
                  <c:v>406401</c:v>
                </c:pt>
                <c:pt idx="189">
                  <c:v>212971</c:v>
                </c:pt>
                <c:pt idx="190">
                  <c:v>113200</c:v>
                </c:pt>
                <c:pt idx="191">
                  <c:v>231000</c:v>
                </c:pt>
                <c:pt idx="192">
                  <c:v>55503</c:v>
                </c:pt>
                <c:pt idx="193">
                  <c:v>650528</c:v>
                </c:pt>
                <c:pt idx="194">
                  <c:v>153000</c:v>
                </c:pt>
                <c:pt idx="195">
                  <c:v>12000</c:v>
                </c:pt>
                <c:pt idx="196">
                  <c:v>30384</c:v>
                </c:pt>
                <c:pt idx="197">
                  <c:v>137005</c:v>
                </c:pt>
                <c:pt idx="198">
                  <c:v>174005</c:v>
                </c:pt>
                <c:pt idx="199">
                  <c:v>10000</c:v>
                </c:pt>
                <c:pt idx="200">
                  <c:v>276120</c:v>
                </c:pt>
                <c:pt idx="201">
                  <c:v>597446</c:v>
                </c:pt>
                <c:pt idx="202">
                  <c:v>164508</c:v>
                </c:pt>
                <c:pt idx="203">
                  <c:v>54500</c:v>
                </c:pt>
                <c:pt idx="204">
                  <c:v>33401</c:v>
                </c:pt>
                <c:pt idx="205">
                  <c:v>288600</c:v>
                </c:pt>
                <c:pt idx="206">
                  <c:v>302000</c:v>
                </c:pt>
                <c:pt idx="207">
                  <c:v>10720</c:v>
                </c:pt>
                <c:pt idx="208">
                  <c:v>10065</c:v>
                </c:pt>
                <c:pt idx="209">
                  <c:v>253144</c:v>
                </c:pt>
                <c:pt idx="210">
                  <c:v>187189</c:v>
                </c:pt>
                <c:pt idx="211">
                  <c:v>347005</c:v>
                </c:pt>
                <c:pt idx="212">
                  <c:v>9005</c:v>
                </c:pt>
                <c:pt idx="213">
                  <c:v>335015</c:v>
                </c:pt>
                <c:pt idx="214">
                  <c:v>38500</c:v>
                </c:pt>
                <c:pt idx="215">
                  <c:v>20000</c:v>
                </c:pt>
                <c:pt idx="216">
                  <c:v>168000</c:v>
                </c:pt>
                <c:pt idx="217">
                  <c:v>33000</c:v>
                </c:pt>
                <c:pt idx="218">
                  <c:v>11010</c:v>
                </c:pt>
                <c:pt idx="219">
                  <c:v>351868</c:v>
                </c:pt>
                <c:pt idx="220">
                  <c:v>827010</c:v>
                </c:pt>
                <c:pt idx="221">
                  <c:v>362100</c:v>
                </c:pt>
                <c:pt idx="222">
                  <c:v>769010</c:v>
                </c:pt>
                <c:pt idx="223">
                  <c:v>24000</c:v>
                </c:pt>
                <c:pt idx="224">
                  <c:v>51497</c:v>
                </c:pt>
                <c:pt idx="225">
                  <c:v>6010</c:v>
                </c:pt>
                <c:pt idx="226">
                  <c:v>284861</c:v>
                </c:pt>
                <c:pt idx="227">
                  <c:v>24907</c:v>
                </c:pt>
                <c:pt idx="228">
                  <c:v>4005</c:v>
                </c:pt>
                <c:pt idx="229">
                  <c:v>17100</c:v>
                </c:pt>
                <c:pt idx="230">
                  <c:v>262653</c:v>
                </c:pt>
                <c:pt idx="231">
                  <c:v>90000</c:v>
                </c:pt>
                <c:pt idx="232">
                  <c:v>1152</c:v>
                </c:pt>
                <c:pt idx="233">
                  <c:v>118915</c:v>
                </c:pt>
                <c:pt idx="234">
                  <c:v>10008</c:v>
                </c:pt>
                <c:pt idx="235">
                  <c:v>102441</c:v>
                </c:pt>
                <c:pt idx="236">
                  <c:v>75779</c:v>
                </c:pt>
                <c:pt idx="237">
                  <c:v>603767</c:v>
                </c:pt>
                <c:pt idx="238">
                  <c:v>402200</c:v>
                </c:pt>
                <c:pt idx="239">
                  <c:v>108</c:v>
                </c:pt>
                <c:pt idx="240">
                  <c:v>869560</c:v>
                </c:pt>
                <c:pt idx="241">
                  <c:v>102320</c:v>
                </c:pt>
                <c:pt idx="242">
                  <c:v>7000</c:v>
                </c:pt>
                <c:pt idx="243">
                  <c:v>145505</c:v>
                </c:pt>
                <c:pt idx="244">
                  <c:v>174000</c:v>
                </c:pt>
                <c:pt idx="245">
                  <c:v>262055</c:v>
                </c:pt>
                <c:pt idx="246">
                  <c:v>256700</c:v>
                </c:pt>
                <c:pt idx="247">
                  <c:v>273659</c:v>
                </c:pt>
                <c:pt idx="248">
                  <c:v>142505</c:v>
                </c:pt>
                <c:pt idx="249">
                  <c:v>105</c:v>
                </c:pt>
                <c:pt idx="250">
                  <c:v>3210</c:v>
                </c:pt>
                <c:pt idx="251">
                  <c:v>250</c:v>
                </c:pt>
                <c:pt idx="252">
                  <c:v>55</c:v>
                </c:pt>
                <c:pt idx="253">
                  <c:v>1010</c:v>
                </c:pt>
                <c:pt idx="254">
                  <c:v>109050</c:v>
                </c:pt>
                <c:pt idx="255">
                  <c:v>117192</c:v>
                </c:pt>
                <c:pt idx="256">
                  <c:v>15005</c:v>
                </c:pt>
                <c:pt idx="257">
                  <c:v>5</c:v>
                </c:pt>
                <c:pt idx="258">
                  <c:v>104950</c:v>
                </c:pt>
                <c:pt idx="259">
                  <c:v>582040</c:v>
                </c:pt>
                <c:pt idx="260">
                  <c:v>716953</c:v>
                </c:pt>
                <c:pt idx="261">
                  <c:v>527981</c:v>
                </c:pt>
                <c:pt idx="262">
                  <c:v>448283</c:v>
                </c:pt>
                <c:pt idx="263">
                  <c:v>107779</c:v>
                </c:pt>
                <c:pt idx="264">
                  <c:v>716433</c:v>
                </c:pt>
                <c:pt idx="265">
                  <c:v>173151</c:v>
                </c:pt>
                <c:pt idx="266">
                  <c:v>272915</c:v>
                </c:pt>
                <c:pt idx="267">
                  <c:v>218309</c:v>
                </c:pt>
                <c:pt idx="268">
                  <c:v>132800</c:v>
                </c:pt>
                <c:pt idx="269">
                  <c:v>2026</c:v>
                </c:pt>
                <c:pt idx="270">
                  <c:v>384300</c:v>
                </c:pt>
                <c:pt idx="271">
                  <c:v>73571</c:v>
                </c:pt>
                <c:pt idx="272">
                  <c:v>915100</c:v>
                </c:pt>
                <c:pt idx="273">
                  <c:v>787993</c:v>
                </c:pt>
                <c:pt idx="274">
                  <c:v>195776</c:v>
                </c:pt>
                <c:pt idx="275">
                  <c:v>39998</c:v>
                </c:pt>
                <c:pt idx="276">
                  <c:v>125005</c:v>
                </c:pt>
                <c:pt idx="277">
                  <c:v>5</c:v>
                </c:pt>
                <c:pt idx="278">
                  <c:v>10050</c:v>
                </c:pt>
                <c:pt idx="279">
                  <c:v>3051</c:v>
                </c:pt>
                <c:pt idx="280">
                  <c:v>125353</c:v>
                </c:pt>
                <c:pt idx="281">
                  <c:v>578942</c:v>
                </c:pt>
                <c:pt idx="282">
                  <c:v>46000</c:v>
                </c:pt>
                <c:pt idx="283">
                  <c:v>5</c:v>
                </c:pt>
                <c:pt idx="284">
                  <c:v>30100</c:v>
                </c:pt>
                <c:pt idx="285">
                  <c:v>59200</c:v>
                </c:pt>
                <c:pt idx="286">
                  <c:v>53447</c:v>
                </c:pt>
                <c:pt idx="287">
                  <c:v>50100</c:v>
                </c:pt>
                <c:pt idx="288">
                  <c:v>100</c:v>
                </c:pt>
                <c:pt idx="289">
                  <c:v>100635</c:v>
                </c:pt>
                <c:pt idx="290">
                  <c:v>107110</c:v>
                </c:pt>
                <c:pt idx="291">
                  <c:v>308700</c:v>
                </c:pt>
                <c:pt idx="292">
                  <c:v>512250</c:v>
                </c:pt>
                <c:pt idx="293">
                  <c:v>430000</c:v>
                </c:pt>
                <c:pt idx="294">
                  <c:v>160005</c:v>
                </c:pt>
                <c:pt idx="295">
                  <c:v>329396</c:v>
                </c:pt>
                <c:pt idx="296">
                  <c:v>97608</c:v>
                </c:pt>
                <c:pt idx="297">
                  <c:v>6300</c:v>
                </c:pt>
                <c:pt idx="298">
                  <c:v>184635</c:v>
                </c:pt>
                <c:pt idx="299">
                  <c:v>331398</c:v>
                </c:pt>
                <c:pt idx="300">
                  <c:v>436851</c:v>
                </c:pt>
                <c:pt idx="301">
                  <c:v>340939</c:v>
                </c:pt>
                <c:pt idx="302">
                  <c:v>15714</c:v>
                </c:pt>
                <c:pt idx="303">
                  <c:v>225055</c:v>
                </c:pt>
                <c:pt idx="304">
                  <c:v>30852</c:v>
                </c:pt>
                <c:pt idx="305">
                  <c:v>32599</c:v>
                </c:pt>
                <c:pt idx="306">
                  <c:v>186584</c:v>
                </c:pt>
                <c:pt idx="307">
                  <c:v>5</c:v>
                </c:pt>
                <c:pt idx="308">
                  <c:v>5</c:v>
                </c:pt>
                <c:pt idx="309">
                  <c:v>20000</c:v>
                </c:pt>
                <c:pt idx="310">
                  <c:v>8</c:v>
                </c:pt>
                <c:pt idx="311">
                  <c:v>8</c:v>
                </c:pt>
                <c:pt idx="312">
                  <c:v>703008</c:v>
                </c:pt>
                <c:pt idx="313">
                  <c:v>83000</c:v>
                </c:pt>
                <c:pt idx="314">
                  <c:v>485310</c:v>
                </c:pt>
                <c:pt idx="315">
                  <c:v>20000</c:v>
                </c:pt>
                <c:pt idx="316">
                  <c:v>530500</c:v>
                </c:pt>
                <c:pt idx="317">
                  <c:v>130563</c:v>
                </c:pt>
                <c:pt idx="318">
                  <c:v>120100</c:v>
                </c:pt>
                <c:pt idx="319">
                  <c:v>150100</c:v>
                </c:pt>
                <c:pt idx="320">
                  <c:v>949</c:v>
                </c:pt>
                <c:pt idx="321">
                  <c:v>100</c:v>
                </c:pt>
                <c:pt idx="322">
                  <c:v>10100</c:v>
                </c:pt>
                <c:pt idx="323">
                  <c:v>8</c:v>
                </c:pt>
                <c:pt idx="324">
                  <c:v>28690</c:v>
                </c:pt>
                <c:pt idx="325">
                  <c:v>73652</c:v>
                </c:pt>
                <c:pt idx="326">
                  <c:v>500</c:v>
                </c:pt>
                <c:pt idx="327">
                  <c:v>100</c:v>
                </c:pt>
                <c:pt idx="328">
                  <c:v>8</c:v>
                </c:pt>
                <c:pt idx="329">
                  <c:v>182986</c:v>
                </c:pt>
                <c:pt idx="330">
                  <c:v>100008</c:v>
                </c:pt>
                <c:pt idx="331">
                  <c:v>600</c:v>
                </c:pt>
                <c:pt idx="332">
                  <c:v>150005</c:v>
                </c:pt>
                <c:pt idx="333">
                  <c:v>299174</c:v>
                </c:pt>
                <c:pt idx="334">
                  <c:v>607393</c:v>
                </c:pt>
                <c:pt idx="335">
                  <c:v>125400</c:v>
                </c:pt>
                <c:pt idx="336">
                  <c:v>163603</c:v>
                </c:pt>
                <c:pt idx="337">
                  <c:v>362926</c:v>
                </c:pt>
                <c:pt idx="338">
                  <c:v>495429</c:v>
                </c:pt>
                <c:pt idx="339">
                  <c:v>1654914</c:v>
                </c:pt>
                <c:pt idx="340">
                  <c:v>3790045</c:v>
                </c:pt>
                <c:pt idx="341">
                  <c:v>1666253</c:v>
                </c:pt>
                <c:pt idx="342">
                  <c:v>902050</c:v>
                </c:pt>
                <c:pt idx="343">
                  <c:v>555496</c:v>
                </c:pt>
                <c:pt idx="344">
                  <c:v>366249</c:v>
                </c:pt>
                <c:pt idx="345">
                  <c:v>585057</c:v>
                </c:pt>
                <c:pt idx="346">
                  <c:v>846129</c:v>
                </c:pt>
                <c:pt idx="347">
                  <c:v>783253</c:v>
                </c:pt>
                <c:pt idx="348">
                  <c:v>1087730</c:v>
                </c:pt>
                <c:pt idx="349">
                  <c:v>296523</c:v>
                </c:pt>
                <c:pt idx="350">
                  <c:v>666125</c:v>
                </c:pt>
                <c:pt idx="351">
                  <c:v>167584</c:v>
                </c:pt>
                <c:pt idx="352">
                  <c:v>1250501</c:v>
                </c:pt>
                <c:pt idx="353">
                  <c:v>309586</c:v>
                </c:pt>
                <c:pt idx="354">
                  <c:v>760107</c:v>
                </c:pt>
                <c:pt idx="355">
                  <c:v>1309043</c:v>
                </c:pt>
                <c:pt idx="356">
                  <c:v>453152</c:v>
                </c:pt>
                <c:pt idx="357">
                  <c:v>1409093</c:v>
                </c:pt>
                <c:pt idx="358">
                  <c:v>855177</c:v>
                </c:pt>
                <c:pt idx="359">
                  <c:v>691143</c:v>
                </c:pt>
                <c:pt idx="360">
                  <c:v>189163</c:v>
                </c:pt>
                <c:pt idx="361">
                  <c:v>1454914</c:v>
                </c:pt>
                <c:pt idx="362">
                  <c:v>462208</c:v>
                </c:pt>
                <c:pt idx="363">
                  <c:v>725546</c:v>
                </c:pt>
                <c:pt idx="364">
                  <c:v>313651</c:v>
                </c:pt>
                <c:pt idx="365">
                  <c:v>519166</c:v>
                </c:pt>
                <c:pt idx="366">
                  <c:v>581694</c:v>
                </c:pt>
                <c:pt idx="367">
                  <c:v>2398298</c:v>
                </c:pt>
                <c:pt idx="368">
                  <c:v>1472064</c:v>
                </c:pt>
                <c:pt idx="369">
                  <c:v>2738963</c:v>
                </c:pt>
                <c:pt idx="370">
                  <c:v>3521649</c:v>
                </c:pt>
                <c:pt idx="371">
                  <c:v>5472325</c:v>
                </c:pt>
                <c:pt idx="372">
                  <c:v>2718129</c:v>
                </c:pt>
                <c:pt idx="373">
                  <c:v>2828919</c:v>
                </c:pt>
                <c:pt idx="374">
                  <c:v>1758903</c:v>
                </c:pt>
                <c:pt idx="375">
                  <c:v>1895252</c:v>
                </c:pt>
                <c:pt idx="376">
                  <c:v>3835505</c:v>
                </c:pt>
                <c:pt idx="377">
                  <c:v>2190523</c:v>
                </c:pt>
                <c:pt idx="378">
                  <c:v>2400003</c:v>
                </c:pt>
                <c:pt idx="379">
                  <c:v>3509270</c:v>
                </c:pt>
                <c:pt idx="380">
                  <c:v>3596497</c:v>
                </c:pt>
                <c:pt idx="381">
                  <c:v>6770524</c:v>
                </c:pt>
                <c:pt idx="382">
                  <c:v>3635122</c:v>
                </c:pt>
                <c:pt idx="383">
                  <c:v>3032140</c:v>
                </c:pt>
                <c:pt idx="384">
                  <c:v>5177465</c:v>
                </c:pt>
                <c:pt idx="385">
                  <c:v>5181015</c:v>
                </c:pt>
                <c:pt idx="386">
                  <c:v>5805678</c:v>
                </c:pt>
                <c:pt idx="387">
                  <c:v>6833960</c:v>
                </c:pt>
                <c:pt idx="388">
                  <c:v>14354637</c:v>
                </c:pt>
                <c:pt idx="389">
                  <c:v>4284787</c:v>
                </c:pt>
                <c:pt idx="390">
                  <c:v>5039902</c:v>
                </c:pt>
                <c:pt idx="391">
                  <c:v>7445741</c:v>
                </c:pt>
                <c:pt idx="392">
                  <c:v>5235239</c:v>
                </c:pt>
                <c:pt idx="393">
                  <c:v>5705151</c:v>
                </c:pt>
                <c:pt idx="394">
                  <c:v>4873275</c:v>
                </c:pt>
                <c:pt idx="395">
                  <c:v>2570918</c:v>
                </c:pt>
                <c:pt idx="396">
                  <c:v>2157689</c:v>
                </c:pt>
                <c:pt idx="397">
                  <c:v>2484485</c:v>
                </c:pt>
                <c:pt idx="398">
                  <c:v>1147736</c:v>
                </c:pt>
                <c:pt idx="399">
                  <c:v>1724531</c:v>
                </c:pt>
                <c:pt idx="400">
                  <c:v>1419673</c:v>
                </c:pt>
                <c:pt idx="401">
                  <c:v>2324561</c:v>
                </c:pt>
                <c:pt idx="402">
                  <c:v>1356605</c:v>
                </c:pt>
                <c:pt idx="403">
                  <c:v>902561</c:v>
                </c:pt>
                <c:pt idx="404">
                  <c:v>1092573</c:v>
                </c:pt>
                <c:pt idx="405">
                  <c:v>2140008</c:v>
                </c:pt>
                <c:pt idx="406">
                  <c:v>974613</c:v>
                </c:pt>
                <c:pt idx="407">
                  <c:v>878424</c:v>
                </c:pt>
                <c:pt idx="408">
                  <c:v>1346470</c:v>
                </c:pt>
                <c:pt idx="409">
                  <c:v>587729</c:v>
                </c:pt>
                <c:pt idx="410">
                  <c:v>1383305</c:v>
                </c:pt>
                <c:pt idx="411">
                  <c:v>3452591</c:v>
                </c:pt>
                <c:pt idx="412">
                  <c:v>2003345</c:v>
                </c:pt>
                <c:pt idx="413">
                  <c:v>1522973</c:v>
                </c:pt>
                <c:pt idx="414">
                  <c:v>6282618</c:v>
                </c:pt>
                <c:pt idx="415">
                  <c:v>392681</c:v>
                </c:pt>
                <c:pt idx="416">
                  <c:v>717676</c:v>
                </c:pt>
                <c:pt idx="417">
                  <c:v>3509128</c:v>
                </c:pt>
                <c:pt idx="418">
                  <c:v>1292751</c:v>
                </c:pt>
                <c:pt idx="419">
                  <c:v>548848</c:v>
                </c:pt>
                <c:pt idx="420">
                  <c:v>1224447</c:v>
                </c:pt>
                <c:pt idx="421">
                  <c:v>414021</c:v>
                </c:pt>
                <c:pt idx="422">
                  <c:v>869808</c:v>
                </c:pt>
                <c:pt idx="423">
                  <c:v>415328</c:v>
                </c:pt>
                <c:pt idx="424">
                  <c:v>10123</c:v>
                </c:pt>
                <c:pt idx="425">
                  <c:v>1484798</c:v>
                </c:pt>
                <c:pt idx="426">
                  <c:v>1053902</c:v>
                </c:pt>
                <c:pt idx="427">
                  <c:v>6147</c:v>
                </c:pt>
                <c:pt idx="428">
                  <c:v>18609</c:v>
                </c:pt>
                <c:pt idx="429">
                  <c:v>482112</c:v>
                </c:pt>
                <c:pt idx="430">
                  <c:v>119034</c:v>
                </c:pt>
                <c:pt idx="431">
                  <c:v>172200</c:v>
                </c:pt>
                <c:pt idx="432">
                  <c:v>308160</c:v>
                </c:pt>
                <c:pt idx="433">
                  <c:v>17000</c:v>
                </c:pt>
                <c:pt idx="434">
                  <c:v>220140</c:v>
                </c:pt>
                <c:pt idx="435">
                  <c:v>10000</c:v>
                </c:pt>
                <c:pt idx="436">
                  <c:v>326539</c:v>
                </c:pt>
                <c:pt idx="437">
                  <c:v>32380</c:v>
                </c:pt>
                <c:pt idx="438">
                  <c:v>144560</c:v>
                </c:pt>
                <c:pt idx="439">
                  <c:v>41000</c:v>
                </c:pt>
                <c:pt idx="440">
                  <c:v>3800</c:v>
                </c:pt>
                <c:pt idx="441">
                  <c:v>5000</c:v>
                </c:pt>
                <c:pt idx="442">
                  <c:v>202000</c:v>
                </c:pt>
                <c:pt idx="443">
                  <c:v>500</c:v>
                </c:pt>
                <c:pt idx="444">
                  <c:v>100500</c:v>
                </c:pt>
                <c:pt idx="445">
                  <c:v>321216</c:v>
                </c:pt>
                <c:pt idx="446">
                  <c:v>500</c:v>
                </c:pt>
                <c:pt idx="447">
                  <c:v>500</c:v>
                </c:pt>
                <c:pt idx="448">
                  <c:v>503</c:v>
                </c:pt>
                <c:pt idx="449">
                  <c:v>111000</c:v>
                </c:pt>
                <c:pt idx="450">
                  <c:v>370078</c:v>
                </c:pt>
                <c:pt idx="451">
                  <c:v>60000</c:v>
                </c:pt>
                <c:pt idx="452">
                  <c:v>111923</c:v>
                </c:pt>
                <c:pt idx="453">
                  <c:v>1020</c:v>
                </c:pt>
                <c:pt idx="454">
                  <c:v>151000</c:v>
                </c:pt>
                <c:pt idx="455">
                  <c:v>275201</c:v>
                </c:pt>
                <c:pt idx="456">
                  <c:v>401020</c:v>
                </c:pt>
                <c:pt idx="457">
                  <c:v>651000</c:v>
                </c:pt>
                <c:pt idx="458">
                  <c:v>201000</c:v>
                </c:pt>
                <c:pt idx="459">
                  <c:v>500</c:v>
                </c:pt>
                <c:pt idx="460">
                  <c:v>276249</c:v>
                </c:pt>
                <c:pt idx="461">
                  <c:v>220140</c:v>
                </c:pt>
                <c:pt idx="462">
                  <c:v>1000</c:v>
                </c:pt>
                <c:pt idx="463">
                  <c:v>1001</c:v>
                </c:pt>
                <c:pt idx="464">
                  <c:v>1000</c:v>
                </c:pt>
                <c:pt idx="465">
                  <c:v>401001</c:v>
                </c:pt>
                <c:pt idx="466">
                  <c:v>401000</c:v>
                </c:pt>
                <c:pt idx="467">
                  <c:v>323300</c:v>
                </c:pt>
                <c:pt idx="468">
                  <c:v>177700</c:v>
                </c:pt>
                <c:pt idx="469">
                  <c:v>1000</c:v>
                </c:pt>
                <c:pt idx="470">
                  <c:v>1000</c:v>
                </c:pt>
                <c:pt idx="471">
                  <c:v>1000</c:v>
                </c:pt>
                <c:pt idx="472">
                  <c:v>291000</c:v>
                </c:pt>
                <c:pt idx="473">
                  <c:v>101000</c:v>
                </c:pt>
                <c:pt idx="474">
                  <c:v>560</c:v>
                </c:pt>
                <c:pt idx="475">
                  <c:v>1000</c:v>
                </c:pt>
                <c:pt idx="476">
                  <c:v>1000</c:v>
                </c:pt>
                <c:pt idx="477">
                  <c:v>1000</c:v>
                </c:pt>
                <c:pt idx="478">
                  <c:v>101000</c:v>
                </c:pt>
                <c:pt idx="479">
                  <c:v>510</c:v>
                </c:pt>
                <c:pt idx="480">
                  <c:v>17107</c:v>
                </c:pt>
                <c:pt idx="481">
                  <c:v>5524</c:v>
                </c:pt>
                <c:pt idx="482">
                  <c:v>1000</c:v>
                </c:pt>
                <c:pt idx="483">
                  <c:v>10</c:v>
                </c:pt>
                <c:pt idx="484">
                  <c:v>10</c:v>
                </c:pt>
                <c:pt idx="485">
                  <c:v>3410</c:v>
                </c:pt>
                <c:pt idx="486">
                  <c:v>49813</c:v>
                </c:pt>
                <c:pt idx="487">
                  <c:v>71792</c:v>
                </c:pt>
                <c:pt idx="488">
                  <c:v>10</c:v>
                </c:pt>
                <c:pt idx="489">
                  <c:v>362710</c:v>
                </c:pt>
                <c:pt idx="490">
                  <c:v>362700</c:v>
                </c:pt>
                <c:pt idx="491">
                  <c:v>100</c:v>
                </c:pt>
                <c:pt idx="492">
                  <c:v>100100</c:v>
                </c:pt>
                <c:pt idx="493">
                  <c:v>10</c:v>
                </c:pt>
                <c:pt idx="494">
                  <c:v>100</c:v>
                </c:pt>
                <c:pt idx="495">
                  <c:v>100</c:v>
                </c:pt>
                <c:pt idx="496">
                  <c:v>142317</c:v>
                </c:pt>
                <c:pt idx="497">
                  <c:v>115000</c:v>
                </c:pt>
                <c:pt idx="498">
                  <c:v>11</c:v>
                </c:pt>
                <c:pt idx="499">
                  <c:v>10</c:v>
                </c:pt>
                <c:pt idx="500">
                  <c:v>10</c:v>
                </c:pt>
                <c:pt idx="501">
                  <c:v>110</c:v>
                </c:pt>
                <c:pt idx="502">
                  <c:v>10510</c:v>
                </c:pt>
                <c:pt idx="503">
                  <c:v>500</c:v>
                </c:pt>
                <c:pt idx="504">
                  <c:v>10</c:v>
                </c:pt>
                <c:pt idx="505">
                  <c:v>300010</c:v>
                </c:pt>
                <c:pt idx="506">
                  <c:v>300750</c:v>
                </c:pt>
                <c:pt idx="507">
                  <c:v>100</c:v>
                </c:pt>
                <c:pt idx="508">
                  <c:v>10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</c:v>
                </c:pt>
                <c:pt idx="514">
                  <c:v>29990</c:v>
                </c:pt>
                <c:pt idx="515">
                  <c:v>10</c:v>
                </c:pt>
                <c:pt idx="516">
                  <c:v>10037</c:v>
                </c:pt>
                <c:pt idx="517">
                  <c:v>100</c:v>
                </c:pt>
                <c:pt idx="518">
                  <c:v>400100</c:v>
                </c:pt>
                <c:pt idx="519">
                  <c:v>2737</c:v>
                </c:pt>
                <c:pt idx="520">
                  <c:v>308830</c:v>
                </c:pt>
                <c:pt idx="521">
                  <c:v>100</c:v>
                </c:pt>
                <c:pt idx="522">
                  <c:v>476100</c:v>
                </c:pt>
                <c:pt idx="523">
                  <c:v>8900</c:v>
                </c:pt>
                <c:pt idx="524">
                  <c:v>10</c:v>
                </c:pt>
                <c:pt idx="525">
                  <c:v>100</c:v>
                </c:pt>
                <c:pt idx="526">
                  <c:v>100</c:v>
                </c:pt>
                <c:pt idx="527">
                  <c:v>1000</c:v>
                </c:pt>
                <c:pt idx="528">
                  <c:v>175</c:v>
                </c:pt>
                <c:pt idx="529">
                  <c:v>1001</c:v>
                </c:pt>
                <c:pt idx="530">
                  <c:v>500</c:v>
                </c:pt>
                <c:pt idx="531">
                  <c:v>1000</c:v>
                </c:pt>
                <c:pt idx="532">
                  <c:v>1010</c:v>
                </c:pt>
                <c:pt idx="533">
                  <c:v>510</c:v>
                </c:pt>
                <c:pt idx="534">
                  <c:v>10</c:v>
                </c:pt>
                <c:pt idx="535">
                  <c:v>1000</c:v>
                </c:pt>
                <c:pt idx="536">
                  <c:v>500</c:v>
                </c:pt>
                <c:pt idx="537">
                  <c:v>200500</c:v>
                </c:pt>
                <c:pt idx="538">
                  <c:v>1010</c:v>
                </c:pt>
                <c:pt idx="539">
                  <c:v>300010</c:v>
                </c:pt>
                <c:pt idx="540">
                  <c:v>1000</c:v>
                </c:pt>
                <c:pt idx="541">
                  <c:v>1500</c:v>
                </c:pt>
                <c:pt idx="542">
                  <c:v>500</c:v>
                </c:pt>
                <c:pt idx="543">
                  <c:v>10000</c:v>
                </c:pt>
                <c:pt idx="544">
                  <c:v>1000010</c:v>
                </c:pt>
                <c:pt idx="545">
                  <c:v>500</c:v>
                </c:pt>
                <c:pt idx="546">
                  <c:v>500</c:v>
                </c:pt>
                <c:pt idx="547">
                  <c:v>500</c:v>
                </c:pt>
                <c:pt idx="548">
                  <c:v>500</c:v>
                </c:pt>
                <c:pt idx="549">
                  <c:v>200000</c:v>
                </c:pt>
                <c:pt idx="550">
                  <c:v>10466</c:v>
                </c:pt>
                <c:pt idx="551">
                  <c:v>320510</c:v>
                </c:pt>
                <c:pt idx="552">
                  <c:v>200500</c:v>
                </c:pt>
                <c:pt idx="553">
                  <c:v>500</c:v>
                </c:pt>
                <c:pt idx="554">
                  <c:v>10</c:v>
                </c:pt>
                <c:pt idx="555">
                  <c:v>100100</c:v>
                </c:pt>
                <c:pt idx="556">
                  <c:v>100</c:v>
                </c:pt>
                <c:pt idx="557">
                  <c:v>8500</c:v>
                </c:pt>
                <c:pt idx="558">
                  <c:v>600</c:v>
                </c:pt>
                <c:pt idx="559">
                  <c:v>110</c:v>
                </c:pt>
                <c:pt idx="560">
                  <c:v>300</c:v>
                </c:pt>
                <c:pt idx="561">
                  <c:v>100</c:v>
                </c:pt>
                <c:pt idx="562">
                  <c:v>600</c:v>
                </c:pt>
                <c:pt idx="563">
                  <c:v>600</c:v>
                </c:pt>
                <c:pt idx="564">
                  <c:v>10</c:v>
                </c:pt>
                <c:pt idx="565">
                  <c:v>100</c:v>
                </c:pt>
                <c:pt idx="566">
                  <c:v>100</c:v>
                </c:pt>
                <c:pt idx="567">
                  <c:v>99999</c:v>
                </c:pt>
                <c:pt idx="568">
                  <c:v>150000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1000</c:v>
                </c:pt>
                <c:pt idx="575">
                  <c:v>4291</c:v>
                </c:pt>
                <c:pt idx="576">
                  <c:v>100</c:v>
                </c:pt>
                <c:pt idx="577">
                  <c:v>100</c:v>
                </c:pt>
                <c:pt idx="578">
                  <c:v>30681</c:v>
                </c:pt>
                <c:pt idx="579">
                  <c:v>520380</c:v>
                </c:pt>
                <c:pt idx="580">
                  <c:v>1281987</c:v>
                </c:pt>
                <c:pt idx="581">
                  <c:v>1026736</c:v>
                </c:pt>
                <c:pt idx="582">
                  <c:v>1987251</c:v>
                </c:pt>
                <c:pt idx="583">
                  <c:v>1610110</c:v>
                </c:pt>
                <c:pt idx="584">
                  <c:v>2678274</c:v>
                </c:pt>
                <c:pt idx="585">
                  <c:v>9137583</c:v>
                </c:pt>
                <c:pt idx="586">
                  <c:v>2508377</c:v>
                </c:pt>
                <c:pt idx="587">
                  <c:v>2197085</c:v>
                </c:pt>
                <c:pt idx="588">
                  <c:v>1315400</c:v>
                </c:pt>
                <c:pt idx="589">
                  <c:v>384129</c:v>
                </c:pt>
                <c:pt idx="590">
                  <c:v>841770</c:v>
                </c:pt>
                <c:pt idx="591">
                  <c:v>8000</c:v>
                </c:pt>
                <c:pt idx="592">
                  <c:v>100</c:v>
                </c:pt>
                <c:pt idx="593">
                  <c:v>293000</c:v>
                </c:pt>
                <c:pt idx="594">
                  <c:v>9000</c:v>
                </c:pt>
                <c:pt idx="595">
                  <c:v>13510</c:v>
                </c:pt>
                <c:pt idx="596">
                  <c:v>6100</c:v>
                </c:pt>
                <c:pt idx="597">
                  <c:v>2500</c:v>
                </c:pt>
                <c:pt idx="598">
                  <c:v>502</c:v>
                </c:pt>
                <c:pt idx="599">
                  <c:v>400513</c:v>
                </c:pt>
                <c:pt idx="600">
                  <c:v>350380</c:v>
                </c:pt>
                <c:pt idx="601">
                  <c:v>200501</c:v>
                </c:pt>
                <c:pt idx="602">
                  <c:v>364076</c:v>
                </c:pt>
                <c:pt idx="603">
                  <c:v>2332774</c:v>
                </c:pt>
                <c:pt idx="604">
                  <c:v>205200</c:v>
                </c:pt>
                <c:pt idx="605">
                  <c:v>2553</c:v>
                </c:pt>
                <c:pt idx="606">
                  <c:v>920050</c:v>
                </c:pt>
                <c:pt idx="607">
                  <c:v>297</c:v>
                </c:pt>
                <c:pt idx="608">
                  <c:v>420010</c:v>
                </c:pt>
                <c:pt idx="609">
                  <c:v>940757</c:v>
                </c:pt>
                <c:pt idx="610">
                  <c:v>34137</c:v>
                </c:pt>
                <c:pt idx="611">
                  <c:v>200</c:v>
                </c:pt>
                <c:pt idx="612">
                  <c:v>322275</c:v>
                </c:pt>
                <c:pt idx="613">
                  <c:v>5000</c:v>
                </c:pt>
                <c:pt idx="614">
                  <c:v>1725</c:v>
                </c:pt>
                <c:pt idx="615">
                  <c:v>3000</c:v>
                </c:pt>
                <c:pt idx="616">
                  <c:v>45398</c:v>
                </c:pt>
                <c:pt idx="617">
                  <c:v>87000</c:v>
                </c:pt>
                <c:pt idx="618">
                  <c:v>480500</c:v>
                </c:pt>
                <c:pt idx="619">
                  <c:v>17242</c:v>
                </c:pt>
                <c:pt idx="620">
                  <c:v>560297</c:v>
                </c:pt>
                <c:pt idx="621">
                  <c:v>5000</c:v>
                </c:pt>
                <c:pt idx="622">
                  <c:v>246412</c:v>
                </c:pt>
                <c:pt idx="623">
                  <c:v>5000</c:v>
                </c:pt>
                <c:pt idx="624">
                  <c:v>129274</c:v>
                </c:pt>
                <c:pt idx="625">
                  <c:v>135000</c:v>
                </c:pt>
                <c:pt idx="626">
                  <c:v>15000</c:v>
                </c:pt>
                <c:pt idx="627">
                  <c:v>1000</c:v>
                </c:pt>
                <c:pt idx="628">
                  <c:v>55000</c:v>
                </c:pt>
                <c:pt idx="629">
                  <c:v>11000</c:v>
                </c:pt>
                <c:pt idx="630">
                  <c:v>169400</c:v>
                </c:pt>
                <c:pt idx="631">
                  <c:v>300</c:v>
                </c:pt>
                <c:pt idx="632">
                  <c:v>10260</c:v>
                </c:pt>
                <c:pt idx="633">
                  <c:v>300</c:v>
                </c:pt>
                <c:pt idx="634">
                  <c:v>400</c:v>
                </c:pt>
                <c:pt idx="635">
                  <c:v>200</c:v>
                </c:pt>
                <c:pt idx="636">
                  <c:v>191000</c:v>
                </c:pt>
                <c:pt idx="637">
                  <c:v>200</c:v>
                </c:pt>
                <c:pt idx="638">
                  <c:v>200</c:v>
                </c:pt>
                <c:pt idx="639">
                  <c:v>200</c:v>
                </c:pt>
                <c:pt idx="640">
                  <c:v>200</c:v>
                </c:pt>
                <c:pt idx="641">
                  <c:v>200</c:v>
                </c:pt>
                <c:pt idx="642">
                  <c:v>200</c:v>
                </c:pt>
                <c:pt idx="643">
                  <c:v>210</c:v>
                </c:pt>
                <c:pt idx="644">
                  <c:v>100</c:v>
                </c:pt>
                <c:pt idx="645">
                  <c:v>100</c:v>
                </c:pt>
                <c:pt idx="646">
                  <c:v>100</c:v>
                </c:pt>
                <c:pt idx="647">
                  <c:v>100</c:v>
                </c:pt>
                <c:pt idx="648">
                  <c:v>100</c:v>
                </c:pt>
                <c:pt idx="649">
                  <c:v>100</c:v>
                </c:pt>
                <c:pt idx="650">
                  <c:v>100</c:v>
                </c:pt>
                <c:pt idx="651">
                  <c:v>100</c:v>
                </c:pt>
                <c:pt idx="652">
                  <c:v>100</c:v>
                </c:pt>
                <c:pt idx="653">
                  <c:v>100</c:v>
                </c:pt>
                <c:pt idx="654">
                  <c:v>6090</c:v>
                </c:pt>
                <c:pt idx="655">
                  <c:v>2100</c:v>
                </c:pt>
                <c:pt idx="656">
                  <c:v>10</c:v>
                </c:pt>
                <c:pt idx="657">
                  <c:v>200</c:v>
                </c:pt>
                <c:pt idx="658">
                  <c:v>200</c:v>
                </c:pt>
                <c:pt idx="659">
                  <c:v>200</c:v>
                </c:pt>
                <c:pt idx="660">
                  <c:v>200</c:v>
                </c:pt>
                <c:pt idx="661">
                  <c:v>130668</c:v>
                </c:pt>
                <c:pt idx="662">
                  <c:v>668</c:v>
                </c:pt>
                <c:pt idx="663">
                  <c:v>100</c:v>
                </c:pt>
                <c:pt idx="664">
                  <c:v>118</c:v>
                </c:pt>
                <c:pt idx="665">
                  <c:v>12002</c:v>
                </c:pt>
                <c:pt idx="666">
                  <c:v>200</c:v>
                </c:pt>
                <c:pt idx="667">
                  <c:v>80000</c:v>
                </c:pt>
                <c:pt idx="668">
                  <c:v>200</c:v>
                </c:pt>
                <c:pt idx="669">
                  <c:v>200</c:v>
                </c:pt>
                <c:pt idx="670">
                  <c:v>200</c:v>
                </c:pt>
                <c:pt idx="671">
                  <c:v>200</c:v>
                </c:pt>
                <c:pt idx="672">
                  <c:v>121535</c:v>
                </c:pt>
                <c:pt idx="673">
                  <c:v>5200</c:v>
                </c:pt>
                <c:pt idx="674">
                  <c:v>17300</c:v>
                </c:pt>
                <c:pt idx="675">
                  <c:v>101700</c:v>
                </c:pt>
                <c:pt idx="676">
                  <c:v>3000</c:v>
                </c:pt>
                <c:pt idx="677">
                  <c:v>68765</c:v>
                </c:pt>
                <c:pt idx="678">
                  <c:v>500</c:v>
                </c:pt>
                <c:pt idx="679">
                  <c:v>500</c:v>
                </c:pt>
                <c:pt idx="680">
                  <c:v>1731</c:v>
                </c:pt>
                <c:pt idx="681">
                  <c:v>2800</c:v>
                </c:pt>
                <c:pt idx="682">
                  <c:v>150200</c:v>
                </c:pt>
                <c:pt idx="683">
                  <c:v>211081</c:v>
                </c:pt>
                <c:pt idx="684">
                  <c:v>250</c:v>
                </c:pt>
                <c:pt idx="685">
                  <c:v>100</c:v>
                </c:pt>
                <c:pt idx="686">
                  <c:v>100</c:v>
                </c:pt>
                <c:pt idx="687">
                  <c:v>10000</c:v>
                </c:pt>
                <c:pt idx="688">
                  <c:v>175000</c:v>
                </c:pt>
                <c:pt idx="689">
                  <c:v>30044</c:v>
                </c:pt>
                <c:pt idx="690">
                  <c:v>10000</c:v>
                </c:pt>
                <c:pt idx="691">
                  <c:v>10010</c:v>
                </c:pt>
                <c:pt idx="692">
                  <c:v>2500</c:v>
                </c:pt>
                <c:pt idx="693">
                  <c:v>27446</c:v>
                </c:pt>
                <c:pt idx="694">
                  <c:v>10</c:v>
                </c:pt>
                <c:pt idx="695">
                  <c:v>10</c:v>
                </c:pt>
                <c:pt idx="696">
                  <c:v>58</c:v>
                </c:pt>
                <c:pt idx="697">
                  <c:v>49200</c:v>
                </c:pt>
                <c:pt idx="698">
                  <c:v>1000</c:v>
                </c:pt>
                <c:pt idx="699">
                  <c:v>80031</c:v>
                </c:pt>
                <c:pt idx="700">
                  <c:v>10000</c:v>
                </c:pt>
                <c:pt idx="701">
                  <c:v>10</c:v>
                </c:pt>
                <c:pt idx="702">
                  <c:v>324940</c:v>
                </c:pt>
                <c:pt idx="703">
                  <c:v>10</c:v>
                </c:pt>
                <c:pt idx="704">
                  <c:v>10</c:v>
                </c:pt>
                <c:pt idx="705">
                  <c:v>20</c:v>
                </c:pt>
                <c:pt idx="706">
                  <c:v>10</c:v>
                </c:pt>
                <c:pt idx="707">
                  <c:v>120010</c:v>
                </c:pt>
                <c:pt idx="708">
                  <c:v>250010</c:v>
                </c:pt>
                <c:pt idx="709">
                  <c:v>150030</c:v>
                </c:pt>
                <c:pt idx="710">
                  <c:v>50</c:v>
                </c:pt>
                <c:pt idx="711">
                  <c:v>20</c:v>
                </c:pt>
                <c:pt idx="712">
                  <c:v>10</c:v>
                </c:pt>
                <c:pt idx="713">
                  <c:v>10</c:v>
                </c:pt>
                <c:pt idx="714">
                  <c:v>10</c:v>
                </c:pt>
                <c:pt idx="715">
                  <c:v>10</c:v>
                </c:pt>
                <c:pt idx="716">
                  <c:v>10</c:v>
                </c:pt>
                <c:pt idx="717">
                  <c:v>10</c:v>
                </c:pt>
                <c:pt idx="718">
                  <c:v>150010</c:v>
                </c:pt>
                <c:pt idx="719">
                  <c:v>10</c:v>
                </c:pt>
                <c:pt idx="720">
                  <c:v>10</c:v>
                </c:pt>
                <c:pt idx="721">
                  <c:v>10</c:v>
                </c:pt>
                <c:pt idx="722">
                  <c:v>10</c:v>
                </c:pt>
                <c:pt idx="723">
                  <c:v>100010</c:v>
                </c:pt>
                <c:pt idx="724">
                  <c:v>600010</c:v>
                </c:pt>
                <c:pt idx="725">
                  <c:v>10</c:v>
                </c:pt>
                <c:pt idx="726">
                  <c:v>421010</c:v>
                </c:pt>
                <c:pt idx="727">
                  <c:v>130010</c:v>
                </c:pt>
                <c:pt idx="728">
                  <c:v>10</c:v>
                </c:pt>
                <c:pt idx="729">
                  <c:v>11</c:v>
                </c:pt>
                <c:pt idx="730">
                  <c:v>310</c:v>
                </c:pt>
                <c:pt idx="731">
                  <c:v>10</c:v>
                </c:pt>
                <c:pt idx="732">
                  <c:v>200010</c:v>
                </c:pt>
                <c:pt idx="733">
                  <c:v>10</c:v>
                </c:pt>
                <c:pt idx="734">
                  <c:v>10</c:v>
                </c:pt>
                <c:pt idx="735">
                  <c:v>10</c:v>
                </c:pt>
                <c:pt idx="736">
                  <c:v>10</c:v>
                </c:pt>
                <c:pt idx="737">
                  <c:v>10</c:v>
                </c:pt>
                <c:pt idx="738">
                  <c:v>10</c:v>
                </c:pt>
                <c:pt idx="739">
                  <c:v>10</c:v>
                </c:pt>
                <c:pt idx="740">
                  <c:v>113668</c:v>
                </c:pt>
                <c:pt idx="741">
                  <c:v>580010</c:v>
                </c:pt>
                <c:pt idx="742">
                  <c:v>210010</c:v>
                </c:pt>
                <c:pt idx="743">
                  <c:v>300050</c:v>
                </c:pt>
                <c:pt idx="744">
                  <c:v>10</c:v>
                </c:pt>
                <c:pt idx="745">
                  <c:v>40010</c:v>
                </c:pt>
                <c:pt idx="746">
                  <c:v>319223</c:v>
                </c:pt>
                <c:pt idx="747">
                  <c:v>280010</c:v>
                </c:pt>
                <c:pt idx="748">
                  <c:v>80</c:v>
                </c:pt>
                <c:pt idx="749">
                  <c:v>10</c:v>
                </c:pt>
                <c:pt idx="750">
                  <c:v>10</c:v>
                </c:pt>
                <c:pt idx="751">
                  <c:v>50</c:v>
                </c:pt>
                <c:pt idx="752">
                  <c:v>10</c:v>
                </c:pt>
                <c:pt idx="753">
                  <c:v>275890</c:v>
                </c:pt>
                <c:pt idx="754">
                  <c:v>10</c:v>
                </c:pt>
                <c:pt idx="755">
                  <c:v>10</c:v>
                </c:pt>
                <c:pt idx="756">
                  <c:v>100010</c:v>
                </c:pt>
                <c:pt idx="757">
                  <c:v>50</c:v>
                </c:pt>
                <c:pt idx="758">
                  <c:v>130789</c:v>
                </c:pt>
                <c:pt idx="759">
                  <c:v>50</c:v>
                </c:pt>
                <c:pt idx="760">
                  <c:v>4206</c:v>
                </c:pt>
                <c:pt idx="761">
                  <c:v>50</c:v>
                </c:pt>
                <c:pt idx="762">
                  <c:v>68000</c:v>
                </c:pt>
                <c:pt idx="763">
                  <c:v>1500</c:v>
                </c:pt>
                <c:pt idx="764">
                  <c:v>50</c:v>
                </c:pt>
                <c:pt idx="765">
                  <c:v>15</c:v>
                </c:pt>
                <c:pt idx="766">
                  <c:v>15</c:v>
                </c:pt>
                <c:pt idx="767">
                  <c:v>81685</c:v>
                </c:pt>
                <c:pt idx="768">
                  <c:v>60</c:v>
                </c:pt>
                <c:pt idx="769">
                  <c:v>50</c:v>
                </c:pt>
                <c:pt idx="770">
                  <c:v>20</c:v>
                </c:pt>
                <c:pt idx="771">
                  <c:v>150015</c:v>
                </c:pt>
                <c:pt idx="772">
                  <c:v>13010</c:v>
                </c:pt>
                <c:pt idx="773">
                  <c:v>520</c:v>
                </c:pt>
                <c:pt idx="774">
                  <c:v>191404</c:v>
                </c:pt>
                <c:pt idx="775">
                  <c:v>20</c:v>
                </c:pt>
                <c:pt idx="776">
                  <c:v>60</c:v>
                </c:pt>
                <c:pt idx="777">
                  <c:v>700</c:v>
                </c:pt>
                <c:pt idx="778">
                  <c:v>80</c:v>
                </c:pt>
                <c:pt idx="779">
                  <c:v>500</c:v>
                </c:pt>
                <c:pt idx="780">
                  <c:v>520</c:v>
                </c:pt>
                <c:pt idx="781">
                  <c:v>150</c:v>
                </c:pt>
                <c:pt idx="782">
                  <c:v>20</c:v>
                </c:pt>
                <c:pt idx="783">
                  <c:v>200110</c:v>
                </c:pt>
                <c:pt idx="784">
                  <c:v>50</c:v>
                </c:pt>
                <c:pt idx="785">
                  <c:v>118766</c:v>
                </c:pt>
                <c:pt idx="786">
                  <c:v>1393635</c:v>
                </c:pt>
                <c:pt idx="787">
                  <c:v>50</c:v>
                </c:pt>
                <c:pt idx="788">
                  <c:v>5030</c:v>
                </c:pt>
                <c:pt idx="789">
                  <c:v>78402</c:v>
                </c:pt>
                <c:pt idx="790">
                  <c:v>143</c:v>
                </c:pt>
                <c:pt idx="791">
                  <c:v>60</c:v>
                </c:pt>
                <c:pt idx="792">
                  <c:v>50</c:v>
                </c:pt>
                <c:pt idx="793">
                  <c:v>2000</c:v>
                </c:pt>
                <c:pt idx="794">
                  <c:v>20</c:v>
                </c:pt>
                <c:pt idx="795">
                  <c:v>21</c:v>
                </c:pt>
                <c:pt idx="796">
                  <c:v>130</c:v>
                </c:pt>
                <c:pt idx="797">
                  <c:v>80</c:v>
                </c:pt>
                <c:pt idx="798">
                  <c:v>50</c:v>
                </c:pt>
                <c:pt idx="799">
                  <c:v>72148</c:v>
                </c:pt>
                <c:pt idx="800">
                  <c:v>30</c:v>
                </c:pt>
                <c:pt idx="801">
                  <c:v>1088</c:v>
                </c:pt>
                <c:pt idx="802">
                  <c:v>60</c:v>
                </c:pt>
                <c:pt idx="803">
                  <c:v>51</c:v>
                </c:pt>
                <c:pt idx="804">
                  <c:v>151</c:v>
                </c:pt>
                <c:pt idx="805">
                  <c:v>109</c:v>
                </c:pt>
                <c:pt idx="806">
                  <c:v>125</c:v>
                </c:pt>
                <c:pt idx="807">
                  <c:v>197</c:v>
                </c:pt>
                <c:pt idx="808">
                  <c:v>52695</c:v>
                </c:pt>
                <c:pt idx="809">
                  <c:v>100</c:v>
                </c:pt>
                <c:pt idx="810">
                  <c:v>731</c:v>
                </c:pt>
                <c:pt idx="811">
                  <c:v>173370</c:v>
                </c:pt>
                <c:pt idx="812">
                  <c:v>590482</c:v>
                </c:pt>
                <c:pt idx="813">
                  <c:v>500100</c:v>
                </c:pt>
                <c:pt idx="814">
                  <c:v>165087</c:v>
                </c:pt>
                <c:pt idx="815">
                  <c:v>1794387</c:v>
                </c:pt>
                <c:pt idx="816">
                  <c:v>3171045</c:v>
                </c:pt>
                <c:pt idx="817">
                  <c:v>341822</c:v>
                </c:pt>
                <c:pt idx="818">
                  <c:v>739769</c:v>
                </c:pt>
                <c:pt idx="819">
                  <c:v>331095</c:v>
                </c:pt>
                <c:pt idx="820">
                  <c:v>2959816</c:v>
                </c:pt>
                <c:pt idx="821">
                  <c:v>10743243</c:v>
                </c:pt>
                <c:pt idx="822">
                  <c:v>5884011</c:v>
                </c:pt>
                <c:pt idx="823">
                  <c:v>4892844</c:v>
                </c:pt>
                <c:pt idx="824">
                  <c:v>3590598</c:v>
                </c:pt>
                <c:pt idx="825">
                  <c:v>3741650</c:v>
                </c:pt>
                <c:pt idx="826">
                  <c:v>6623352</c:v>
                </c:pt>
                <c:pt idx="827">
                  <c:v>3270603</c:v>
                </c:pt>
                <c:pt idx="828">
                  <c:v>3142041</c:v>
                </c:pt>
                <c:pt idx="829">
                  <c:v>3345118</c:v>
                </c:pt>
                <c:pt idx="830">
                  <c:v>2659951</c:v>
                </c:pt>
                <c:pt idx="831">
                  <c:v>20480941</c:v>
                </c:pt>
                <c:pt idx="832">
                  <c:v>7626184</c:v>
                </c:pt>
                <c:pt idx="833">
                  <c:v>14880770</c:v>
                </c:pt>
                <c:pt idx="834">
                  <c:v>8024074</c:v>
                </c:pt>
                <c:pt idx="835">
                  <c:v>7521219</c:v>
                </c:pt>
                <c:pt idx="836">
                  <c:v>5956165</c:v>
                </c:pt>
                <c:pt idx="837">
                  <c:v>4347077</c:v>
                </c:pt>
                <c:pt idx="838">
                  <c:v>4409463</c:v>
                </c:pt>
                <c:pt idx="839">
                  <c:v>3293132</c:v>
                </c:pt>
                <c:pt idx="840">
                  <c:v>2926530</c:v>
                </c:pt>
                <c:pt idx="841">
                  <c:v>2671136</c:v>
                </c:pt>
                <c:pt idx="842">
                  <c:v>2567722</c:v>
                </c:pt>
                <c:pt idx="843">
                  <c:v>3030367</c:v>
                </c:pt>
                <c:pt idx="844">
                  <c:v>2973131</c:v>
                </c:pt>
                <c:pt idx="845">
                  <c:v>4105442</c:v>
                </c:pt>
                <c:pt idx="846">
                  <c:v>747994</c:v>
                </c:pt>
                <c:pt idx="847">
                  <c:v>1901228</c:v>
                </c:pt>
                <c:pt idx="848">
                  <c:v>178974</c:v>
                </c:pt>
                <c:pt idx="849">
                  <c:v>197816</c:v>
                </c:pt>
                <c:pt idx="850">
                  <c:v>1319778</c:v>
                </c:pt>
                <c:pt idx="851">
                  <c:v>1360446</c:v>
                </c:pt>
                <c:pt idx="852">
                  <c:v>386406</c:v>
                </c:pt>
                <c:pt idx="853">
                  <c:v>1789500</c:v>
                </c:pt>
                <c:pt idx="854">
                  <c:v>326470</c:v>
                </c:pt>
                <c:pt idx="855">
                  <c:v>1449859</c:v>
                </c:pt>
                <c:pt idx="856">
                  <c:v>23884</c:v>
                </c:pt>
                <c:pt idx="857">
                  <c:v>1209236</c:v>
                </c:pt>
                <c:pt idx="858">
                  <c:v>28534</c:v>
                </c:pt>
                <c:pt idx="859">
                  <c:v>28499</c:v>
                </c:pt>
                <c:pt idx="860">
                  <c:v>33010</c:v>
                </c:pt>
                <c:pt idx="861">
                  <c:v>13400</c:v>
                </c:pt>
                <c:pt idx="862">
                  <c:v>7735</c:v>
                </c:pt>
                <c:pt idx="863">
                  <c:v>398500</c:v>
                </c:pt>
                <c:pt idx="864">
                  <c:v>1519536</c:v>
                </c:pt>
                <c:pt idx="865">
                  <c:v>676823</c:v>
                </c:pt>
                <c:pt idx="866">
                  <c:v>3500</c:v>
                </c:pt>
                <c:pt idx="867">
                  <c:v>310635</c:v>
                </c:pt>
                <c:pt idx="868">
                  <c:v>87882</c:v>
                </c:pt>
                <c:pt idx="869">
                  <c:v>12501</c:v>
                </c:pt>
                <c:pt idx="870">
                  <c:v>30760</c:v>
                </c:pt>
                <c:pt idx="871">
                  <c:v>200200</c:v>
                </c:pt>
                <c:pt idx="872">
                  <c:v>102860</c:v>
                </c:pt>
                <c:pt idx="873">
                  <c:v>102028</c:v>
                </c:pt>
                <c:pt idx="874">
                  <c:v>524688</c:v>
                </c:pt>
                <c:pt idx="875">
                  <c:v>8200</c:v>
                </c:pt>
                <c:pt idx="876">
                  <c:v>3482</c:v>
                </c:pt>
                <c:pt idx="877">
                  <c:v>77386</c:v>
                </c:pt>
                <c:pt idx="878">
                  <c:v>404001</c:v>
                </c:pt>
                <c:pt idx="879">
                  <c:v>5024</c:v>
                </c:pt>
                <c:pt idx="880">
                  <c:v>3000</c:v>
                </c:pt>
                <c:pt idx="881">
                  <c:v>8474383</c:v>
                </c:pt>
                <c:pt idx="882">
                  <c:v>611768</c:v>
                </c:pt>
                <c:pt idx="883">
                  <c:v>56000</c:v>
                </c:pt>
                <c:pt idx="884">
                  <c:v>15841</c:v>
                </c:pt>
                <c:pt idx="885">
                  <c:v>4841</c:v>
                </c:pt>
                <c:pt idx="886">
                  <c:v>2500</c:v>
                </c:pt>
                <c:pt idx="887">
                  <c:v>4231</c:v>
                </c:pt>
                <c:pt idx="888">
                  <c:v>21900</c:v>
                </c:pt>
                <c:pt idx="889">
                  <c:v>6140</c:v>
                </c:pt>
                <c:pt idx="890">
                  <c:v>50</c:v>
                </c:pt>
                <c:pt idx="891">
                  <c:v>3950</c:v>
                </c:pt>
                <c:pt idx="892">
                  <c:v>50</c:v>
                </c:pt>
                <c:pt idx="893">
                  <c:v>3040</c:v>
                </c:pt>
                <c:pt idx="894">
                  <c:v>1222</c:v>
                </c:pt>
                <c:pt idx="895">
                  <c:v>40</c:v>
                </c:pt>
                <c:pt idx="896">
                  <c:v>2000</c:v>
                </c:pt>
                <c:pt idx="897">
                  <c:v>10</c:v>
                </c:pt>
                <c:pt idx="898">
                  <c:v>520</c:v>
                </c:pt>
                <c:pt idx="899">
                  <c:v>50</c:v>
                </c:pt>
                <c:pt idx="900">
                  <c:v>30</c:v>
                </c:pt>
                <c:pt idx="901">
                  <c:v>23</c:v>
                </c:pt>
                <c:pt idx="902">
                  <c:v>35</c:v>
                </c:pt>
                <c:pt idx="903">
                  <c:v>205101</c:v>
                </c:pt>
                <c:pt idx="904">
                  <c:v>4212</c:v>
                </c:pt>
                <c:pt idx="905">
                  <c:v>285210</c:v>
                </c:pt>
                <c:pt idx="906">
                  <c:v>2002</c:v>
                </c:pt>
                <c:pt idx="907">
                  <c:v>3002</c:v>
                </c:pt>
                <c:pt idx="908">
                  <c:v>908000</c:v>
                </c:pt>
                <c:pt idx="909">
                  <c:v>4001</c:v>
                </c:pt>
                <c:pt idx="910">
                  <c:v>3000</c:v>
                </c:pt>
                <c:pt idx="911">
                  <c:v>7001</c:v>
                </c:pt>
                <c:pt idx="912">
                  <c:v>500010</c:v>
                </c:pt>
                <c:pt idx="913">
                  <c:v>51001</c:v>
                </c:pt>
                <c:pt idx="914">
                  <c:v>6001</c:v>
                </c:pt>
                <c:pt idx="915">
                  <c:v>20000</c:v>
                </c:pt>
                <c:pt idx="916">
                  <c:v>20000</c:v>
                </c:pt>
                <c:pt idx="917">
                  <c:v>282866</c:v>
                </c:pt>
                <c:pt idx="918">
                  <c:v>20000</c:v>
                </c:pt>
                <c:pt idx="919">
                  <c:v>60000</c:v>
                </c:pt>
                <c:pt idx="920">
                  <c:v>20000</c:v>
                </c:pt>
                <c:pt idx="921">
                  <c:v>45005</c:v>
                </c:pt>
                <c:pt idx="922">
                  <c:v>42022</c:v>
                </c:pt>
                <c:pt idx="923">
                  <c:v>40000</c:v>
                </c:pt>
                <c:pt idx="924">
                  <c:v>84026</c:v>
                </c:pt>
                <c:pt idx="925">
                  <c:v>872747</c:v>
                </c:pt>
                <c:pt idx="926">
                  <c:v>74211</c:v>
                </c:pt>
                <c:pt idx="927">
                  <c:v>48000</c:v>
                </c:pt>
                <c:pt idx="928">
                  <c:v>112000</c:v>
                </c:pt>
                <c:pt idx="929">
                  <c:v>112200</c:v>
                </c:pt>
                <c:pt idx="930">
                  <c:v>212000</c:v>
                </c:pt>
                <c:pt idx="931">
                  <c:v>162000</c:v>
                </c:pt>
                <c:pt idx="932">
                  <c:v>130800</c:v>
                </c:pt>
                <c:pt idx="933">
                  <c:v>4103953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1238607"/>
        <c:axId val="471482015"/>
      </c:barChart>
      <c:lineChart>
        <c:grouping val="standard"/>
        <c:varyColors val="0"/>
        <c:ser>
          <c:idx val="9"/>
          <c:order val="1"/>
          <c:tx>
            <c:strRef>
              <c:f>"成交价格（元）"</c:f>
              <c:strCache>
                <c:ptCount val="1"/>
                <c:pt idx="0">
                  <c:v>成交价格（元）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[1]数据来源上海环境能源交易所!$A$3:$A$936</c:f>
              <c:numCache>
                <c:formatCode>General</c:formatCode>
                <c:ptCount val="934"/>
                <c:pt idx="0">
                  <c:v>45819</c:v>
                </c:pt>
                <c:pt idx="1">
                  <c:v>45818</c:v>
                </c:pt>
                <c:pt idx="2">
                  <c:v>45817</c:v>
                </c:pt>
                <c:pt idx="3">
                  <c:v>45814</c:v>
                </c:pt>
                <c:pt idx="4">
                  <c:v>45813</c:v>
                </c:pt>
                <c:pt idx="5">
                  <c:v>45812</c:v>
                </c:pt>
                <c:pt idx="6">
                  <c:v>45811</c:v>
                </c:pt>
                <c:pt idx="7">
                  <c:v>45807</c:v>
                </c:pt>
                <c:pt idx="8">
                  <c:v>45806</c:v>
                </c:pt>
                <c:pt idx="9">
                  <c:v>45805</c:v>
                </c:pt>
                <c:pt idx="10">
                  <c:v>45804</c:v>
                </c:pt>
                <c:pt idx="11">
                  <c:v>45803</c:v>
                </c:pt>
                <c:pt idx="12">
                  <c:v>45800</c:v>
                </c:pt>
                <c:pt idx="13">
                  <c:v>45799</c:v>
                </c:pt>
                <c:pt idx="14">
                  <c:v>45798</c:v>
                </c:pt>
                <c:pt idx="15">
                  <c:v>45797</c:v>
                </c:pt>
                <c:pt idx="16">
                  <c:v>45796</c:v>
                </c:pt>
                <c:pt idx="17">
                  <c:v>45793</c:v>
                </c:pt>
                <c:pt idx="18">
                  <c:v>45792</c:v>
                </c:pt>
                <c:pt idx="19">
                  <c:v>45791</c:v>
                </c:pt>
                <c:pt idx="20">
                  <c:v>45790</c:v>
                </c:pt>
                <c:pt idx="21">
                  <c:v>45789</c:v>
                </c:pt>
                <c:pt idx="22">
                  <c:v>45786</c:v>
                </c:pt>
                <c:pt idx="23">
                  <c:v>45785</c:v>
                </c:pt>
                <c:pt idx="24">
                  <c:v>45784</c:v>
                </c:pt>
                <c:pt idx="25">
                  <c:v>45783</c:v>
                </c:pt>
                <c:pt idx="26">
                  <c:v>45777</c:v>
                </c:pt>
                <c:pt idx="27">
                  <c:v>45776</c:v>
                </c:pt>
                <c:pt idx="28">
                  <c:v>45775</c:v>
                </c:pt>
                <c:pt idx="29">
                  <c:v>45772</c:v>
                </c:pt>
                <c:pt idx="30">
                  <c:v>45771</c:v>
                </c:pt>
                <c:pt idx="31">
                  <c:v>45770</c:v>
                </c:pt>
                <c:pt idx="32">
                  <c:v>45769</c:v>
                </c:pt>
                <c:pt idx="33">
                  <c:v>45768</c:v>
                </c:pt>
                <c:pt idx="34">
                  <c:v>45765</c:v>
                </c:pt>
                <c:pt idx="35">
                  <c:v>45764</c:v>
                </c:pt>
                <c:pt idx="36">
                  <c:v>45763</c:v>
                </c:pt>
                <c:pt idx="37">
                  <c:v>45762</c:v>
                </c:pt>
                <c:pt idx="38">
                  <c:v>45761</c:v>
                </c:pt>
                <c:pt idx="39">
                  <c:v>45758</c:v>
                </c:pt>
                <c:pt idx="40">
                  <c:v>45757</c:v>
                </c:pt>
                <c:pt idx="41">
                  <c:v>45756</c:v>
                </c:pt>
                <c:pt idx="42">
                  <c:v>45755</c:v>
                </c:pt>
                <c:pt idx="43">
                  <c:v>45754</c:v>
                </c:pt>
                <c:pt idx="44">
                  <c:v>45750</c:v>
                </c:pt>
                <c:pt idx="45">
                  <c:v>45749</c:v>
                </c:pt>
                <c:pt idx="46">
                  <c:v>45748</c:v>
                </c:pt>
                <c:pt idx="47">
                  <c:v>45747</c:v>
                </c:pt>
                <c:pt idx="48">
                  <c:v>45744</c:v>
                </c:pt>
                <c:pt idx="49">
                  <c:v>45743</c:v>
                </c:pt>
                <c:pt idx="50">
                  <c:v>45742</c:v>
                </c:pt>
                <c:pt idx="51">
                  <c:v>45741</c:v>
                </c:pt>
                <c:pt idx="52">
                  <c:v>45740</c:v>
                </c:pt>
                <c:pt idx="53">
                  <c:v>45737</c:v>
                </c:pt>
                <c:pt idx="54">
                  <c:v>45736</c:v>
                </c:pt>
                <c:pt idx="55">
                  <c:v>45733</c:v>
                </c:pt>
                <c:pt idx="56">
                  <c:v>45730</c:v>
                </c:pt>
                <c:pt idx="57">
                  <c:v>45729</c:v>
                </c:pt>
                <c:pt idx="58">
                  <c:v>45728</c:v>
                </c:pt>
                <c:pt idx="59">
                  <c:v>45727</c:v>
                </c:pt>
                <c:pt idx="60">
                  <c:v>45726</c:v>
                </c:pt>
                <c:pt idx="61">
                  <c:v>45722</c:v>
                </c:pt>
                <c:pt idx="62">
                  <c:v>45721</c:v>
                </c:pt>
                <c:pt idx="63">
                  <c:v>45720</c:v>
                </c:pt>
                <c:pt idx="64">
                  <c:v>45719</c:v>
                </c:pt>
                <c:pt idx="65">
                  <c:v>45716</c:v>
                </c:pt>
                <c:pt idx="66">
                  <c:v>45715</c:v>
                </c:pt>
                <c:pt idx="67">
                  <c:v>45714</c:v>
                </c:pt>
                <c:pt idx="68">
                  <c:v>45713</c:v>
                </c:pt>
                <c:pt idx="69">
                  <c:v>45712</c:v>
                </c:pt>
                <c:pt idx="70">
                  <c:v>45709</c:v>
                </c:pt>
                <c:pt idx="71">
                  <c:v>45708</c:v>
                </c:pt>
                <c:pt idx="72">
                  <c:v>45707</c:v>
                </c:pt>
                <c:pt idx="73">
                  <c:v>45706</c:v>
                </c:pt>
                <c:pt idx="74">
                  <c:v>45702</c:v>
                </c:pt>
                <c:pt idx="75">
                  <c:v>45701</c:v>
                </c:pt>
                <c:pt idx="76">
                  <c:v>45700</c:v>
                </c:pt>
                <c:pt idx="77">
                  <c:v>45699</c:v>
                </c:pt>
                <c:pt idx="78">
                  <c:v>45694</c:v>
                </c:pt>
                <c:pt idx="79">
                  <c:v>45681</c:v>
                </c:pt>
                <c:pt idx="80">
                  <c:v>45680</c:v>
                </c:pt>
                <c:pt idx="81">
                  <c:v>45679</c:v>
                </c:pt>
                <c:pt idx="82">
                  <c:v>45678</c:v>
                </c:pt>
                <c:pt idx="83">
                  <c:v>45677</c:v>
                </c:pt>
                <c:pt idx="84">
                  <c:v>45674</c:v>
                </c:pt>
                <c:pt idx="85">
                  <c:v>45672</c:v>
                </c:pt>
                <c:pt idx="86">
                  <c:v>45670</c:v>
                </c:pt>
                <c:pt idx="87">
                  <c:v>45667</c:v>
                </c:pt>
                <c:pt idx="88">
                  <c:v>45666</c:v>
                </c:pt>
                <c:pt idx="89">
                  <c:v>45665</c:v>
                </c:pt>
                <c:pt idx="90">
                  <c:v>45664</c:v>
                </c:pt>
                <c:pt idx="91">
                  <c:v>45663</c:v>
                </c:pt>
                <c:pt idx="92">
                  <c:v>45660</c:v>
                </c:pt>
                <c:pt idx="93">
                  <c:v>45659</c:v>
                </c:pt>
                <c:pt idx="94">
                  <c:v>45657</c:v>
                </c:pt>
                <c:pt idx="95">
                  <c:v>45656</c:v>
                </c:pt>
                <c:pt idx="96">
                  <c:v>45653</c:v>
                </c:pt>
                <c:pt idx="97">
                  <c:v>45652</c:v>
                </c:pt>
                <c:pt idx="98">
                  <c:v>45651</c:v>
                </c:pt>
                <c:pt idx="99">
                  <c:v>45650</c:v>
                </c:pt>
                <c:pt idx="100">
                  <c:v>45649</c:v>
                </c:pt>
                <c:pt idx="101">
                  <c:v>45646</c:v>
                </c:pt>
                <c:pt idx="102">
                  <c:v>45645</c:v>
                </c:pt>
                <c:pt idx="103">
                  <c:v>45644</c:v>
                </c:pt>
                <c:pt idx="104">
                  <c:v>45643</c:v>
                </c:pt>
                <c:pt idx="105">
                  <c:v>45642</c:v>
                </c:pt>
                <c:pt idx="106">
                  <c:v>45639</c:v>
                </c:pt>
                <c:pt idx="107">
                  <c:v>45638</c:v>
                </c:pt>
                <c:pt idx="108">
                  <c:v>45637</c:v>
                </c:pt>
                <c:pt idx="109">
                  <c:v>45636</c:v>
                </c:pt>
                <c:pt idx="110">
                  <c:v>45635</c:v>
                </c:pt>
                <c:pt idx="111">
                  <c:v>45632</c:v>
                </c:pt>
                <c:pt idx="112">
                  <c:v>45631</c:v>
                </c:pt>
                <c:pt idx="113">
                  <c:v>45630</c:v>
                </c:pt>
                <c:pt idx="114">
                  <c:v>45629</c:v>
                </c:pt>
                <c:pt idx="115">
                  <c:v>45628</c:v>
                </c:pt>
                <c:pt idx="116">
                  <c:v>45625</c:v>
                </c:pt>
                <c:pt idx="117">
                  <c:v>45624</c:v>
                </c:pt>
                <c:pt idx="118">
                  <c:v>45623</c:v>
                </c:pt>
                <c:pt idx="119">
                  <c:v>45622</c:v>
                </c:pt>
                <c:pt idx="120">
                  <c:v>45621</c:v>
                </c:pt>
                <c:pt idx="121">
                  <c:v>45618</c:v>
                </c:pt>
                <c:pt idx="122">
                  <c:v>45617</c:v>
                </c:pt>
                <c:pt idx="123">
                  <c:v>45616</c:v>
                </c:pt>
                <c:pt idx="124">
                  <c:v>45615</c:v>
                </c:pt>
                <c:pt idx="125">
                  <c:v>45614</c:v>
                </c:pt>
                <c:pt idx="126">
                  <c:v>45611</c:v>
                </c:pt>
                <c:pt idx="127">
                  <c:v>45610</c:v>
                </c:pt>
                <c:pt idx="128">
                  <c:v>45609</c:v>
                </c:pt>
                <c:pt idx="129">
                  <c:v>45608</c:v>
                </c:pt>
                <c:pt idx="130">
                  <c:v>45607</c:v>
                </c:pt>
                <c:pt idx="131">
                  <c:v>45604</c:v>
                </c:pt>
                <c:pt idx="132">
                  <c:v>45603</c:v>
                </c:pt>
                <c:pt idx="133">
                  <c:v>45602</c:v>
                </c:pt>
                <c:pt idx="134">
                  <c:v>45601</c:v>
                </c:pt>
                <c:pt idx="135">
                  <c:v>45600</c:v>
                </c:pt>
                <c:pt idx="136">
                  <c:v>45597</c:v>
                </c:pt>
                <c:pt idx="137">
                  <c:v>45596</c:v>
                </c:pt>
                <c:pt idx="138">
                  <c:v>45595</c:v>
                </c:pt>
                <c:pt idx="139">
                  <c:v>45594</c:v>
                </c:pt>
                <c:pt idx="140">
                  <c:v>45593</c:v>
                </c:pt>
                <c:pt idx="141">
                  <c:v>45590</c:v>
                </c:pt>
                <c:pt idx="142">
                  <c:v>45589</c:v>
                </c:pt>
                <c:pt idx="143">
                  <c:v>45588</c:v>
                </c:pt>
                <c:pt idx="144">
                  <c:v>45587</c:v>
                </c:pt>
                <c:pt idx="145">
                  <c:v>45586</c:v>
                </c:pt>
                <c:pt idx="146">
                  <c:v>45583</c:v>
                </c:pt>
                <c:pt idx="147">
                  <c:v>45582</c:v>
                </c:pt>
                <c:pt idx="148">
                  <c:v>45581</c:v>
                </c:pt>
                <c:pt idx="149">
                  <c:v>45580</c:v>
                </c:pt>
                <c:pt idx="150">
                  <c:v>45579</c:v>
                </c:pt>
                <c:pt idx="151">
                  <c:v>45576</c:v>
                </c:pt>
                <c:pt idx="152">
                  <c:v>45575</c:v>
                </c:pt>
                <c:pt idx="153">
                  <c:v>45574</c:v>
                </c:pt>
                <c:pt idx="154">
                  <c:v>45573</c:v>
                </c:pt>
                <c:pt idx="155">
                  <c:v>45565</c:v>
                </c:pt>
                <c:pt idx="156">
                  <c:v>45562</c:v>
                </c:pt>
                <c:pt idx="157">
                  <c:v>45561</c:v>
                </c:pt>
                <c:pt idx="158">
                  <c:v>45560</c:v>
                </c:pt>
                <c:pt idx="159">
                  <c:v>45559</c:v>
                </c:pt>
                <c:pt idx="160">
                  <c:v>45558</c:v>
                </c:pt>
                <c:pt idx="161">
                  <c:v>45555</c:v>
                </c:pt>
                <c:pt idx="162">
                  <c:v>45554</c:v>
                </c:pt>
                <c:pt idx="163">
                  <c:v>45553</c:v>
                </c:pt>
                <c:pt idx="164">
                  <c:v>45548</c:v>
                </c:pt>
                <c:pt idx="165">
                  <c:v>45547</c:v>
                </c:pt>
                <c:pt idx="166">
                  <c:v>45546</c:v>
                </c:pt>
                <c:pt idx="167">
                  <c:v>45545</c:v>
                </c:pt>
                <c:pt idx="168">
                  <c:v>45544</c:v>
                </c:pt>
                <c:pt idx="169">
                  <c:v>45541</c:v>
                </c:pt>
                <c:pt idx="170">
                  <c:v>45540</c:v>
                </c:pt>
                <c:pt idx="171">
                  <c:v>45539</c:v>
                </c:pt>
                <c:pt idx="172">
                  <c:v>45538</c:v>
                </c:pt>
                <c:pt idx="173">
                  <c:v>45537</c:v>
                </c:pt>
                <c:pt idx="174">
                  <c:v>45534</c:v>
                </c:pt>
                <c:pt idx="175">
                  <c:v>45533</c:v>
                </c:pt>
                <c:pt idx="176">
                  <c:v>45532</c:v>
                </c:pt>
                <c:pt idx="177">
                  <c:v>45531</c:v>
                </c:pt>
                <c:pt idx="178">
                  <c:v>45530</c:v>
                </c:pt>
                <c:pt idx="179">
                  <c:v>45527</c:v>
                </c:pt>
                <c:pt idx="180">
                  <c:v>45526</c:v>
                </c:pt>
                <c:pt idx="181">
                  <c:v>45525</c:v>
                </c:pt>
                <c:pt idx="182">
                  <c:v>45524</c:v>
                </c:pt>
                <c:pt idx="183">
                  <c:v>45523</c:v>
                </c:pt>
                <c:pt idx="184">
                  <c:v>45520</c:v>
                </c:pt>
                <c:pt idx="185">
                  <c:v>45519</c:v>
                </c:pt>
                <c:pt idx="186">
                  <c:v>45518</c:v>
                </c:pt>
                <c:pt idx="187">
                  <c:v>45517</c:v>
                </c:pt>
                <c:pt idx="188">
                  <c:v>45516</c:v>
                </c:pt>
                <c:pt idx="189">
                  <c:v>45513</c:v>
                </c:pt>
                <c:pt idx="190">
                  <c:v>45512</c:v>
                </c:pt>
                <c:pt idx="191">
                  <c:v>45511</c:v>
                </c:pt>
                <c:pt idx="192">
                  <c:v>45510</c:v>
                </c:pt>
                <c:pt idx="193">
                  <c:v>45509</c:v>
                </c:pt>
                <c:pt idx="194">
                  <c:v>45506</c:v>
                </c:pt>
                <c:pt idx="195">
                  <c:v>45505</c:v>
                </c:pt>
                <c:pt idx="196">
                  <c:v>45504</c:v>
                </c:pt>
                <c:pt idx="197">
                  <c:v>45503</c:v>
                </c:pt>
                <c:pt idx="198">
                  <c:v>45502</c:v>
                </c:pt>
                <c:pt idx="199">
                  <c:v>45499</c:v>
                </c:pt>
                <c:pt idx="200">
                  <c:v>45498</c:v>
                </c:pt>
                <c:pt idx="201">
                  <c:v>45497</c:v>
                </c:pt>
                <c:pt idx="202">
                  <c:v>45496</c:v>
                </c:pt>
                <c:pt idx="203">
                  <c:v>45495</c:v>
                </c:pt>
                <c:pt idx="204">
                  <c:v>45492</c:v>
                </c:pt>
                <c:pt idx="205">
                  <c:v>45491</c:v>
                </c:pt>
                <c:pt idx="206">
                  <c:v>45490</c:v>
                </c:pt>
                <c:pt idx="207">
                  <c:v>45489</c:v>
                </c:pt>
                <c:pt idx="208">
                  <c:v>45488</c:v>
                </c:pt>
                <c:pt idx="209">
                  <c:v>45485</c:v>
                </c:pt>
                <c:pt idx="210">
                  <c:v>45484</c:v>
                </c:pt>
                <c:pt idx="211">
                  <c:v>45483</c:v>
                </c:pt>
                <c:pt idx="212">
                  <c:v>45482</c:v>
                </c:pt>
                <c:pt idx="213">
                  <c:v>45481</c:v>
                </c:pt>
                <c:pt idx="214">
                  <c:v>45478</c:v>
                </c:pt>
                <c:pt idx="215">
                  <c:v>45477</c:v>
                </c:pt>
                <c:pt idx="216">
                  <c:v>45476</c:v>
                </c:pt>
                <c:pt idx="217">
                  <c:v>45475</c:v>
                </c:pt>
                <c:pt idx="218">
                  <c:v>45474</c:v>
                </c:pt>
                <c:pt idx="219">
                  <c:v>45471</c:v>
                </c:pt>
                <c:pt idx="220">
                  <c:v>45470</c:v>
                </c:pt>
                <c:pt idx="221">
                  <c:v>45469</c:v>
                </c:pt>
                <c:pt idx="222">
                  <c:v>45468</c:v>
                </c:pt>
                <c:pt idx="223">
                  <c:v>45467</c:v>
                </c:pt>
                <c:pt idx="224">
                  <c:v>45464</c:v>
                </c:pt>
                <c:pt idx="225">
                  <c:v>45463</c:v>
                </c:pt>
                <c:pt idx="226">
                  <c:v>45462</c:v>
                </c:pt>
                <c:pt idx="227">
                  <c:v>45461</c:v>
                </c:pt>
                <c:pt idx="228">
                  <c:v>45460</c:v>
                </c:pt>
                <c:pt idx="229">
                  <c:v>45457</c:v>
                </c:pt>
                <c:pt idx="230">
                  <c:v>45456</c:v>
                </c:pt>
                <c:pt idx="231">
                  <c:v>45455</c:v>
                </c:pt>
                <c:pt idx="232">
                  <c:v>45454</c:v>
                </c:pt>
                <c:pt idx="233">
                  <c:v>45450</c:v>
                </c:pt>
                <c:pt idx="234">
                  <c:v>45449</c:v>
                </c:pt>
                <c:pt idx="235">
                  <c:v>45448</c:v>
                </c:pt>
                <c:pt idx="236">
                  <c:v>45447</c:v>
                </c:pt>
                <c:pt idx="237">
                  <c:v>45446</c:v>
                </c:pt>
                <c:pt idx="238">
                  <c:v>45443</c:v>
                </c:pt>
                <c:pt idx="239">
                  <c:v>45442</c:v>
                </c:pt>
                <c:pt idx="240">
                  <c:v>45441</c:v>
                </c:pt>
                <c:pt idx="241">
                  <c:v>45440</c:v>
                </c:pt>
                <c:pt idx="242">
                  <c:v>45439</c:v>
                </c:pt>
                <c:pt idx="243">
                  <c:v>45436</c:v>
                </c:pt>
                <c:pt idx="244">
                  <c:v>45435</c:v>
                </c:pt>
                <c:pt idx="245">
                  <c:v>45434</c:v>
                </c:pt>
                <c:pt idx="246">
                  <c:v>45433</c:v>
                </c:pt>
                <c:pt idx="247">
                  <c:v>45432</c:v>
                </c:pt>
                <c:pt idx="248">
                  <c:v>45429</c:v>
                </c:pt>
                <c:pt idx="249">
                  <c:v>45428</c:v>
                </c:pt>
                <c:pt idx="250">
                  <c:v>45427</c:v>
                </c:pt>
                <c:pt idx="251">
                  <c:v>45426</c:v>
                </c:pt>
                <c:pt idx="252">
                  <c:v>45425</c:v>
                </c:pt>
                <c:pt idx="253">
                  <c:v>45422</c:v>
                </c:pt>
                <c:pt idx="254">
                  <c:v>45421</c:v>
                </c:pt>
                <c:pt idx="255">
                  <c:v>45420</c:v>
                </c:pt>
                <c:pt idx="256">
                  <c:v>45419</c:v>
                </c:pt>
                <c:pt idx="257">
                  <c:v>45418</c:v>
                </c:pt>
                <c:pt idx="258">
                  <c:v>45412</c:v>
                </c:pt>
                <c:pt idx="259">
                  <c:v>45411</c:v>
                </c:pt>
                <c:pt idx="260">
                  <c:v>45408</c:v>
                </c:pt>
                <c:pt idx="261">
                  <c:v>45407</c:v>
                </c:pt>
                <c:pt idx="262">
                  <c:v>45406</c:v>
                </c:pt>
                <c:pt idx="263">
                  <c:v>45405</c:v>
                </c:pt>
                <c:pt idx="264">
                  <c:v>45404</c:v>
                </c:pt>
                <c:pt idx="265">
                  <c:v>45401</c:v>
                </c:pt>
                <c:pt idx="266">
                  <c:v>45400</c:v>
                </c:pt>
                <c:pt idx="267">
                  <c:v>45399</c:v>
                </c:pt>
                <c:pt idx="268">
                  <c:v>45398</c:v>
                </c:pt>
                <c:pt idx="269">
                  <c:v>45397</c:v>
                </c:pt>
                <c:pt idx="270">
                  <c:v>45394</c:v>
                </c:pt>
                <c:pt idx="271">
                  <c:v>45393</c:v>
                </c:pt>
                <c:pt idx="272">
                  <c:v>45392</c:v>
                </c:pt>
                <c:pt idx="273">
                  <c:v>45391</c:v>
                </c:pt>
                <c:pt idx="274">
                  <c:v>45390</c:v>
                </c:pt>
                <c:pt idx="275">
                  <c:v>45385</c:v>
                </c:pt>
                <c:pt idx="276">
                  <c:v>45384</c:v>
                </c:pt>
                <c:pt idx="277">
                  <c:v>45383</c:v>
                </c:pt>
                <c:pt idx="278">
                  <c:v>45380</c:v>
                </c:pt>
                <c:pt idx="279">
                  <c:v>45379</c:v>
                </c:pt>
                <c:pt idx="280">
                  <c:v>45378</c:v>
                </c:pt>
                <c:pt idx="281">
                  <c:v>45377</c:v>
                </c:pt>
                <c:pt idx="282">
                  <c:v>45376</c:v>
                </c:pt>
                <c:pt idx="283">
                  <c:v>45373</c:v>
                </c:pt>
                <c:pt idx="284">
                  <c:v>45372</c:v>
                </c:pt>
                <c:pt idx="285">
                  <c:v>45371</c:v>
                </c:pt>
                <c:pt idx="286">
                  <c:v>45370</c:v>
                </c:pt>
                <c:pt idx="287">
                  <c:v>45369</c:v>
                </c:pt>
                <c:pt idx="288">
                  <c:v>45366</c:v>
                </c:pt>
                <c:pt idx="289">
                  <c:v>45365</c:v>
                </c:pt>
                <c:pt idx="290">
                  <c:v>45364</c:v>
                </c:pt>
                <c:pt idx="291">
                  <c:v>45363</c:v>
                </c:pt>
                <c:pt idx="292">
                  <c:v>45362</c:v>
                </c:pt>
                <c:pt idx="293">
                  <c:v>45359</c:v>
                </c:pt>
                <c:pt idx="294">
                  <c:v>45358</c:v>
                </c:pt>
                <c:pt idx="295">
                  <c:v>45357</c:v>
                </c:pt>
                <c:pt idx="296">
                  <c:v>45356</c:v>
                </c:pt>
                <c:pt idx="297">
                  <c:v>45355</c:v>
                </c:pt>
                <c:pt idx="298">
                  <c:v>45352</c:v>
                </c:pt>
                <c:pt idx="299">
                  <c:v>45351</c:v>
                </c:pt>
                <c:pt idx="300">
                  <c:v>45350</c:v>
                </c:pt>
                <c:pt idx="301">
                  <c:v>45349</c:v>
                </c:pt>
                <c:pt idx="302">
                  <c:v>45348</c:v>
                </c:pt>
                <c:pt idx="303">
                  <c:v>45345</c:v>
                </c:pt>
                <c:pt idx="304">
                  <c:v>45344</c:v>
                </c:pt>
                <c:pt idx="305">
                  <c:v>45343</c:v>
                </c:pt>
                <c:pt idx="306">
                  <c:v>45342</c:v>
                </c:pt>
                <c:pt idx="307">
                  <c:v>45341</c:v>
                </c:pt>
                <c:pt idx="308">
                  <c:v>45330</c:v>
                </c:pt>
                <c:pt idx="309">
                  <c:v>45329</c:v>
                </c:pt>
                <c:pt idx="310">
                  <c:v>45328</c:v>
                </c:pt>
                <c:pt idx="311">
                  <c:v>45327</c:v>
                </c:pt>
                <c:pt idx="312">
                  <c:v>45324</c:v>
                </c:pt>
                <c:pt idx="313">
                  <c:v>45323</c:v>
                </c:pt>
                <c:pt idx="314">
                  <c:v>45322</c:v>
                </c:pt>
                <c:pt idx="315">
                  <c:v>45321</c:v>
                </c:pt>
                <c:pt idx="316">
                  <c:v>45320</c:v>
                </c:pt>
                <c:pt idx="317">
                  <c:v>45317</c:v>
                </c:pt>
                <c:pt idx="318">
                  <c:v>45316</c:v>
                </c:pt>
                <c:pt idx="319">
                  <c:v>45315</c:v>
                </c:pt>
                <c:pt idx="320">
                  <c:v>45314</c:v>
                </c:pt>
                <c:pt idx="321">
                  <c:v>45313</c:v>
                </c:pt>
                <c:pt idx="322">
                  <c:v>45310</c:v>
                </c:pt>
                <c:pt idx="323">
                  <c:v>45309</c:v>
                </c:pt>
                <c:pt idx="324">
                  <c:v>45308</c:v>
                </c:pt>
                <c:pt idx="325">
                  <c:v>45307</c:v>
                </c:pt>
                <c:pt idx="326">
                  <c:v>45306</c:v>
                </c:pt>
                <c:pt idx="327">
                  <c:v>45303</c:v>
                </c:pt>
                <c:pt idx="328">
                  <c:v>45302</c:v>
                </c:pt>
                <c:pt idx="329">
                  <c:v>45301</c:v>
                </c:pt>
                <c:pt idx="330">
                  <c:v>45300</c:v>
                </c:pt>
                <c:pt idx="331">
                  <c:v>45299</c:v>
                </c:pt>
                <c:pt idx="332">
                  <c:v>45296</c:v>
                </c:pt>
                <c:pt idx="333">
                  <c:v>45295</c:v>
                </c:pt>
                <c:pt idx="334">
                  <c:v>45294</c:v>
                </c:pt>
                <c:pt idx="335">
                  <c:v>45293</c:v>
                </c:pt>
                <c:pt idx="336">
                  <c:v>45289</c:v>
                </c:pt>
                <c:pt idx="337">
                  <c:v>45288</c:v>
                </c:pt>
                <c:pt idx="338">
                  <c:v>45287</c:v>
                </c:pt>
                <c:pt idx="339">
                  <c:v>45286</c:v>
                </c:pt>
                <c:pt idx="340">
                  <c:v>45285</c:v>
                </c:pt>
                <c:pt idx="341">
                  <c:v>45282</c:v>
                </c:pt>
                <c:pt idx="342">
                  <c:v>45281</c:v>
                </c:pt>
                <c:pt idx="343">
                  <c:v>45280</c:v>
                </c:pt>
                <c:pt idx="344">
                  <c:v>45279</c:v>
                </c:pt>
                <c:pt idx="345">
                  <c:v>45278</c:v>
                </c:pt>
                <c:pt idx="346">
                  <c:v>45275</c:v>
                </c:pt>
                <c:pt idx="347">
                  <c:v>45274</c:v>
                </c:pt>
                <c:pt idx="348">
                  <c:v>45273</c:v>
                </c:pt>
                <c:pt idx="349">
                  <c:v>45272</c:v>
                </c:pt>
                <c:pt idx="350">
                  <c:v>45271</c:v>
                </c:pt>
                <c:pt idx="351">
                  <c:v>45268</c:v>
                </c:pt>
                <c:pt idx="352">
                  <c:v>45267</c:v>
                </c:pt>
                <c:pt idx="353">
                  <c:v>45266</c:v>
                </c:pt>
                <c:pt idx="354">
                  <c:v>45265</c:v>
                </c:pt>
                <c:pt idx="355">
                  <c:v>45264</c:v>
                </c:pt>
                <c:pt idx="356">
                  <c:v>45261</c:v>
                </c:pt>
                <c:pt idx="357">
                  <c:v>45260</c:v>
                </c:pt>
                <c:pt idx="358">
                  <c:v>45259</c:v>
                </c:pt>
                <c:pt idx="359">
                  <c:v>45258</c:v>
                </c:pt>
                <c:pt idx="360">
                  <c:v>45257</c:v>
                </c:pt>
                <c:pt idx="361">
                  <c:v>45254</c:v>
                </c:pt>
                <c:pt idx="362">
                  <c:v>45253</c:v>
                </c:pt>
                <c:pt idx="363">
                  <c:v>45252</c:v>
                </c:pt>
                <c:pt idx="364">
                  <c:v>45251</c:v>
                </c:pt>
                <c:pt idx="365">
                  <c:v>45250</c:v>
                </c:pt>
                <c:pt idx="366">
                  <c:v>45247</c:v>
                </c:pt>
                <c:pt idx="367">
                  <c:v>45246</c:v>
                </c:pt>
                <c:pt idx="368">
                  <c:v>45245</c:v>
                </c:pt>
                <c:pt idx="369">
                  <c:v>45244</c:v>
                </c:pt>
                <c:pt idx="370">
                  <c:v>45243</c:v>
                </c:pt>
                <c:pt idx="371">
                  <c:v>45240</c:v>
                </c:pt>
                <c:pt idx="372">
                  <c:v>45239</c:v>
                </c:pt>
                <c:pt idx="373">
                  <c:v>45238</c:v>
                </c:pt>
                <c:pt idx="374">
                  <c:v>45237</c:v>
                </c:pt>
                <c:pt idx="375">
                  <c:v>45236</c:v>
                </c:pt>
                <c:pt idx="376">
                  <c:v>45233</c:v>
                </c:pt>
                <c:pt idx="377">
                  <c:v>45232</c:v>
                </c:pt>
                <c:pt idx="378">
                  <c:v>45231</c:v>
                </c:pt>
                <c:pt idx="379">
                  <c:v>45230</c:v>
                </c:pt>
                <c:pt idx="380">
                  <c:v>45229</c:v>
                </c:pt>
                <c:pt idx="381">
                  <c:v>45226</c:v>
                </c:pt>
                <c:pt idx="382">
                  <c:v>45225</c:v>
                </c:pt>
                <c:pt idx="383">
                  <c:v>45224</c:v>
                </c:pt>
                <c:pt idx="384">
                  <c:v>45223</c:v>
                </c:pt>
                <c:pt idx="385">
                  <c:v>45222</c:v>
                </c:pt>
                <c:pt idx="386">
                  <c:v>45219</c:v>
                </c:pt>
                <c:pt idx="387">
                  <c:v>45218</c:v>
                </c:pt>
                <c:pt idx="388">
                  <c:v>45217</c:v>
                </c:pt>
                <c:pt idx="389">
                  <c:v>45216</c:v>
                </c:pt>
                <c:pt idx="390">
                  <c:v>45215</c:v>
                </c:pt>
                <c:pt idx="391">
                  <c:v>45212</c:v>
                </c:pt>
                <c:pt idx="392">
                  <c:v>45211</c:v>
                </c:pt>
                <c:pt idx="393">
                  <c:v>45210</c:v>
                </c:pt>
                <c:pt idx="394">
                  <c:v>45209</c:v>
                </c:pt>
                <c:pt idx="395">
                  <c:v>45208</c:v>
                </c:pt>
                <c:pt idx="396">
                  <c:v>45197</c:v>
                </c:pt>
                <c:pt idx="397">
                  <c:v>45196</c:v>
                </c:pt>
                <c:pt idx="398">
                  <c:v>45195</c:v>
                </c:pt>
                <c:pt idx="399">
                  <c:v>45194</c:v>
                </c:pt>
                <c:pt idx="400">
                  <c:v>45191</c:v>
                </c:pt>
                <c:pt idx="401">
                  <c:v>45190</c:v>
                </c:pt>
                <c:pt idx="402">
                  <c:v>45189</c:v>
                </c:pt>
                <c:pt idx="403">
                  <c:v>45188</c:v>
                </c:pt>
                <c:pt idx="404">
                  <c:v>45187</c:v>
                </c:pt>
                <c:pt idx="405">
                  <c:v>45184</c:v>
                </c:pt>
                <c:pt idx="406">
                  <c:v>45183</c:v>
                </c:pt>
                <c:pt idx="407">
                  <c:v>45182</c:v>
                </c:pt>
                <c:pt idx="408">
                  <c:v>45181</c:v>
                </c:pt>
                <c:pt idx="409">
                  <c:v>45180</c:v>
                </c:pt>
                <c:pt idx="410">
                  <c:v>45177</c:v>
                </c:pt>
                <c:pt idx="411">
                  <c:v>45176</c:v>
                </c:pt>
                <c:pt idx="412">
                  <c:v>45175</c:v>
                </c:pt>
                <c:pt idx="413">
                  <c:v>45174</c:v>
                </c:pt>
                <c:pt idx="414">
                  <c:v>45173</c:v>
                </c:pt>
                <c:pt idx="415">
                  <c:v>45170</c:v>
                </c:pt>
                <c:pt idx="416">
                  <c:v>45169</c:v>
                </c:pt>
                <c:pt idx="417">
                  <c:v>45168</c:v>
                </c:pt>
                <c:pt idx="418">
                  <c:v>45167</c:v>
                </c:pt>
                <c:pt idx="419">
                  <c:v>45166</c:v>
                </c:pt>
                <c:pt idx="420">
                  <c:v>45163</c:v>
                </c:pt>
                <c:pt idx="421">
                  <c:v>45162</c:v>
                </c:pt>
                <c:pt idx="422">
                  <c:v>45161</c:v>
                </c:pt>
                <c:pt idx="423">
                  <c:v>45160</c:v>
                </c:pt>
                <c:pt idx="424">
                  <c:v>45159</c:v>
                </c:pt>
                <c:pt idx="425">
                  <c:v>45156</c:v>
                </c:pt>
                <c:pt idx="426">
                  <c:v>45155</c:v>
                </c:pt>
                <c:pt idx="427">
                  <c:v>45154</c:v>
                </c:pt>
                <c:pt idx="428">
                  <c:v>45153</c:v>
                </c:pt>
                <c:pt idx="429">
                  <c:v>45152</c:v>
                </c:pt>
                <c:pt idx="430">
                  <c:v>45149</c:v>
                </c:pt>
                <c:pt idx="431">
                  <c:v>45148</c:v>
                </c:pt>
                <c:pt idx="432">
                  <c:v>45147</c:v>
                </c:pt>
                <c:pt idx="433">
                  <c:v>45146</c:v>
                </c:pt>
                <c:pt idx="434">
                  <c:v>45145</c:v>
                </c:pt>
                <c:pt idx="435">
                  <c:v>45142</c:v>
                </c:pt>
                <c:pt idx="436">
                  <c:v>45141</c:v>
                </c:pt>
                <c:pt idx="437">
                  <c:v>45140</c:v>
                </c:pt>
                <c:pt idx="438">
                  <c:v>45139</c:v>
                </c:pt>
                <c:pt idx="439">
                  <c:v>45138</c:v>
                </c:pt>
                <c:pt idx="440">
                  <c:v>45135</c:v>
                </c:pt>
                <c:pt idx="441">
                  <c:v>45134</c:v>
                </c:pt>
                <c:pt idx="442">
                  <c:v>45133</c:v>
                </c:pt>
                <c:pt idx="443">
                  <c:v>45132</c:v>
                </c:pt>
                <c:pt idx="444">
                  <c:v>45131</c:v>
                </c:pt>
                <c:pt idx="445">
                  <c:v>45128</c:v>
                </c:pt>
                <c:pt idx="446">
                  <c:v>45127</c:v>
                </c:pt>
                <c:pt idx="447">
                  <c:v>45126</c:v>
                </c:pt>
                <c:pt idx="448">
                  <c:v>45125</c:v>
                </c:pt>
                <c:pt idx="449">
                  <c:v>45124</c:v>
                </c:pt>
                <c:pt idx="450">
                  <c:v>45121</c:v>
                </c:pt>
                <c:pt idx="451">
                  <c:v>45120</c:v>
                </c:pt>
                <c:pt idx="452">
                  <c:v>45119</c:v>
                </c:pt>
                <c:pt idx="453">
                  <c:v>45118</c:v>
                </c:pt>
                <c:pt idx="454">
                  <c:v>45117</c:v>
                </c:pt>
                <c:pt idx="455">
                  <c:v>45114</c:v>
                </c:pt>
                <c:pt idx="456">
                  <c:v>45113</c:v>
                </c:pt>
                <c:pt idx="457">
                  <c:v>45112</c:v>
                </c:pt>
                <c:pt idx="458">
                  <c:v>45111</c:v>
                </c:pt>
                <c:pt idx="459">
                  <c:v>45110</c:v>
                </c:pt>
                <c:pt idx="460">
                  <c:v>45107</c:v>
                </c:pt>
                <c:pt idx="461">
                  <c:v>45106</c:v>
                </c:pt>
                <c:pt idx="462">
                  <c:v>45105</c:v>
                </c:pt>
                <c:pt idx="463">
                  <c:v>45104</c:v>
                </c:pt>
                <c:pt idx="464">
                  <c:v>45103</c:v>
                </c:pt>
                <c:pt idx="465">
                  <c:v>45098</c:v>
                </c:pt>
                <c:pt idx="466">
                  <c:v>45097</c:v>
                </c:pt>
                <c:pt idx="467">
                  <c:v>45096</c:v>
                </c:pt>
                <c:pt idx="468">
                  <c:v>45093</c:v>
                </c:pt>
                <c:pt idx="469">
                  <c:v>45092</c:v>
                </c:pt>
                <c:pt idx="470">
                  <c:v>45091</c:v>
                </c:pt>
                <c:pt idx="471">
                  <c:v>45090</c:v>
                </c:pt>
                <c:pt idx="472">
                  <c:v>45089</c:v>
                </c:pt>
                <c:pt idx="473">
                  <c:v>45086</c:v>
                </c:pt>
                <c:pt idx="474">
                  <c:v>45085</c:v>
                </c:pt>
                <c:pt idx="475">
                  <c:v>45084</c:v>
                </c:pt>
                <c:pt idx="476">
                  <c:v>45083</c:v>
                </c:pt>
                <c:pt idx="477">
                  <c:v>45082</c:v>
                </c:pt>
                <c:pt idx="478">
                  <c:v>45079</c:v>
                </c:pt>
                <c:pt idx="479">
                  <c:v>45078</c:v>
                </c:pt>
                <c:pt idx="480">
                  <c:v>45077</c:v>
                </c:pt>
                <c:pt idx="481">
                  <c:v>45076</c:v>
                </c:pt>
                <c:pt idx="482">
                  <c:v>45075</c:v>
                </c:pt>
                <c:pt idx="483">
                  <c:v>45072</c:v>
                </c:pt>
                <c:pt idx="484">
                  <c:v>45071</c:v>
                </c:pt>
                <c:pt idx="485">
                  <c:v>45070</c:v>
                </c:pt>
                <c:pt idx="486">
                  <c:v>45069</c:v>
                </c:pt>
                <c:pt idx="487">
                  <c:v>45068</c:v>
                </c:pt>
                <c:pt idx="488">
                  <c:v>45065</c:v>
                </c:pt>
                <c:pt idx="489">
                  <c:v>45064</c:v>
                </c:pt>
                <c:pt idx="490">
                  <c:v>45063</c:v>
                </c:pt>
                <c:pt idx="491">
                  <c:v>45062</c:v>
                </c:pt>
                <c:pt idx="492">
                  <c:v>45061</c:v>
                </c:pt>
                <c:pt idx="493">
                  <c:v>45058</c:v>
                </c:pt>
                <c:pt idx="494">
                  <c:v>45057</c:v>
                </c:pt>
                <c:pt idx="495">
                  <c:v>45056</c:v>
                </c:pt>
                <c:pt idx="496">
                  <c:v>45055</c:v>
                </c:pt>
                <c:pt idx="497">
                  <c:v>45054</c:v>
                </c:pt>
                <c:pt idx="498">
                  <c:v>45051</c:v>
                </c:pt>
                <c:pt idx="499">
                  <c:v>45050</c:v>
                </c:pt>
                <c:pt idx="500">
                  <c:v>45044</c:v>
                </c:pt>
                <c:pt idx="501">
                  <c:v>45043</c:v>
                </c:pt>
                <c:pt idx="502">
                  <c:v>45042</c:v>
                </c:pt>
                <c:pt idx="503">
                  <c:v>45041</c:v>
                </c:pt>
                <c:pt idx="504">
                  <c:v>45040</c:v>
                </c:pt>
                <c:pt idx="505">
                  <c:v>45037</c:v>
                </c:pt>
                <c:pt idx="506">
                  <c:v>45036</c:v>
                </c:pt>
                <c:pt idx="507">
                  <c:v>45035</c:v>
                </c:pt>
                <c:pt idx="508">
                  <c:v>45034</c:v>
                </c:pt>
                <c:pt idx="509">
                  <c:v>45033</c:v>
                </c:pt>
                <c:pt idx="510">
                  <c:v>45030</c:v>
                </c:pt>
                <c:pt idx="511">
                  <c:v>45029</c:v>
                </c:pt>
                <c:pt idx="512">
                  <c:v>45028</c:v>
                </c:pt>
                <c:pt idx="513">
                  <c:v>45027</c:v>
                </c:pt>
                <c:pt idx="514">
                  <c:v>45026</c:v>
                </c:pt>
                <c:pt idx="515">
                  <c:v>45023</c:v>
                </c:pt>
                <c:pt idx="516">
                  <c:v>45022</c:v>
                </c:pt>
                <c:pt idx="517">
                  <c:v>45020</c:v>
                </c:pt>
                <c:pt idx="518">
                  <c:v>45019</c:v>
                </c:pt>
                <c:pt idx="519">
                  <c:v>45016</c:v>
                </c:pt>
                <c:pt idx="520">
                  <c:v>45015</c:v>
                </c:pt>
                <c:pt idx="521">
                  <c:v>45014</c:v>
                </c:pt>
                <c:pt idx="522">
                  <c:v>45013</c:v>
                </c:pt>
                <c:pt idx="523">
                  <c:v>45012</c:v>
                </c:pt>
                <c:pt idx="524">
                  <c:v>45009</c:v>
                </c:pt>
                <c:pt idx="525">
                  <c:v>45008</c:v>
                </c:pt>
                <c:pt idx="526">
                  <c:v>45007</c:v>
                </c:pt>
                <c:pt idx="527">
                  <c:v>45006</c:v>
                </c:pt>
                <c:pt idx="528">
                  <c:v>45005</c:v>
                </c:pt>
                <c:pt idx="529">
                  <c:v>45002</c:v>
                </c:pt>
                <c:pt idx="530">
                  <c:v>45001</c:v>
                </c:pt>
                <c:pt idx="531">
                  <c:v>45000</c:v>
                </c:pt>
                <c:pt idx="532">
                  <c:v>44999</c:v>
                </c:pt>
                <c:pt idx="533">
                  <c:v>44998</c:v>
                </c:pt>
                <c:pt idx="534">
                  <c:v>44995</c:v>
                </c:pt>
                <c:pt idx="535">
                  <c:v>44994</c:v>
                </c:pt>
                <c:pt idx="536">
                  <c:v>44993</c:v>
                </c:pt>
                <c:pt idx="537">
                  <c:v>44992</c:v>
                </c:pt>
                <c:pt idx="538">
                  <c:v>44991</c:v>
                </c:pt>
                <c:pt idx="539">
                  <c:v>44988</c:v>
                </c:pt>
                <c:pt idx="540">
                  <c:v>44987</c:v>
                </c:pt>
                <c:pt idx="541">
                  <c:v>44986</c:v>
                </c:pt>
                <c:pt idx="542">
                  <c:v>44985</c:v>
                </c:pt>
                <c:pt idx="543">
                  <c:v>44984</c:v>
                </c:pt>
                <c:pt idx="544">
                  <c:v>44981</c:v>
                </c:pt>
                <c:pt idx="545">
                  <c:v>44980</c:v>
                </c:pt>
                <c:pt idx="546">
                  <c:v>44979</c:v>
                </c:pt>
                <c:pt idx="547">
                  <c:v>44978</c:v>
                </c:pt>
                <c:pt idx="548">
                  <c:v>44977</c:v>
                </c:pt>
                <c:pt idx="549">
                  <c:v>44974</c:v>
                </c:pt>
                <c:pt idx="550">
                  <c:v>44973</c:v>
                </c:pt>
                <c:pt idx="551">
                  <c:v>44972</c:v>
                </c:pt>
                <c:pt idx="552">
                  <c:v>44971</c:v>
                </c:pt>
                <c:pt idx="553">
                  <c:v>44970</c:v>
                </c:pt>
                <c:pt idx="554">
                  <c:v>44967</c:v>
                </c:pt>
                <c:pt idx="555">
                  <c:v>44966</c:v>
                </c:pt>
                <c:pt idx="556">
                  <c:v>44965</c:v>
                </c:pt>
                <c:pt idx="557">
                  <c:v>44964</c:v>
                </c:pt>
                <c:pt idx="558">
                  <c:v>44963</c:v>
                </c:pt>
                <c:pt idx="559">
                  <c:v>44960</c:v>
                </c:pt>
                <c:pt idx="560">
                  <c:v>44959</c:v>
                </c:pt>
                <c:pt idx="561">
                  <c:v>44958</c:v>
                </c:pt>
                <c:pt idx="562">
                  <c:v>44957</c:v>
                </c:pt>
                <c:pt idx="563">
                  <c:v>44956</c:v>
                </c:pt>
                <c:pt idx="564">
                  <c:v>44946</c:v>
                </c:pt>
                <c:pt idx="565">
                  <c:v>44945</c:v>
                </c:pt>
                <c:pt idx="566">
                  <c:v>44944</c:v>
                </c:pt>
                <c:pt idx="567">
                  <c:v>44943</c:v>
                </c:pt>
                <c:pt idx="568">
                  <c:v>44942</c:v>
                </c:pt>
                <c:pt idx="569">
                  <c:v>44939</c:v>
                </c:pt>
                <c:pt idx="570">
                  <c:v>44938</c:v>
                </c:pt>
                <c:pt idx="571">
                  <c:v>44937</c:v>
                </c:pt>
                <c:pt idx="572">
                  <c:v>44936</c:v>
                </c:pt>
                <c:pt idx="573">
                  <c:v>44935</c:v>
                </c:pt>
                <c:pt idx="574">
                  <c:v>44932</c:v>
                </c:pt>
                <c:pt idx="575">
                  <c:v>44931</c:v>
                </c:pt>
                <c:pt idx="576">
                  <c:v>44930</c:v>
                </c:pt>
                <c:pt idx="577">
                  <c:v>44929</c:v>
                </c:pt>
                <c:pt idx="578">
                  <c:v>44925</c:v>
                </c:pt>
                <c:pt idx="579">
                  <c:v>44924</c:v>
                </c:pt>
                <c:pt idx="580">
                  <c:v>44923</c:v>
                </c:pt>
                <c:pt idx="581">
                  <c:v>44922</c:v>
                </c:pt>
                <c:pt idx="582">
                  <c:v>44921</c:v>
                </c:pt>
                <c:pt idx="583">
                  <c:v>44918</c:v>
                </c:pt>
                <c:pt idx="584">
                  <c:v>44917</c:v>
                </c:pt>
                <c:pt idx="585">
                  <c:v>44916</c:v>
                </c:pt>
                <c:pt idx="586">
                  <c:v>44915</c:v>
                </c:pt>
                <c:pt idx="587">
                  <c:v>44914</c:v>
                </c:pt>
                <c:pt idx="588">
                  <c:v>44911</c:v>
                </c:pt>
                <c:pt idx="589">
                  <c:v>44910</c:v>
                </c:pt>
                <c:pt idx="590">
                  <c:v>44909</c:v>
                </c:pt>
                <c:pt idx="591">
                  <c:v>44908</c:v>
                </c:pt>
                <c:pt idx="592">
                  <c:v>44907</c:v>
                </c:pt>
                <c:pt idx="593">
                  <c:v>44904</c:v>
                </c:pt>
                <c:pt idx="594">
                  <c:v>44903</c:v>
                </c:pt>
                <c:pt idx="595">
                  <c:v>44902</c:v>
                </c:pt>
                <c:pt idx="596">
                  <c:v>44901</c:v>
                </c:pt>
                <c:pt idx="597">
                  <c:v>44900</c:v>
                </c:pt>
                <c:pt idx="598">
                  <c:v>44897</c:v>
                </c:pt>
                <c:pt idx="599">
                  <c:v>44896</c:v>
                </c:pt>
                <c:pt idx="600">
                  <c:v>44895</c:v>
                </c:pt>
                <c:pt idx="601">
                  <c:v>44894</c:v>
                </c:pt>
                <c:pt idx="602">
                  <c:v>44893</c:v>
                </c:pt>
                <c:pt idx="603">
                  <c:v>44890</c:v>
                </c:pt>
                <c:pt idx="604">
                  <c:v>44889</c:v>
                </c:pt>
                <c:pt idx="605">
                  <c:v>44888</c:v>
                </c:pt>
                <c:pt idx="606">
                  <c:v>44887</c:v>
                </c:pt>
                <c:pt idx="607">
                  <c:v>44886</c:v>
                </c:pt>
                <c:pt idx="608">
                  <c:v>44883</c:v>
                </c:pt>
                <c:pt idx="609">
                  <c:v>44882</c:v>
                </c:pt>
                <c:pt idx="610">
                  <c:v>44881</c:v>
                </c:pt>
                <c:pt idx="611">
                  <c:v>44880</c:v>
                </c:pt>
                <c:pt idx="612">
                  <c:v>44879</c:v>
                </c:pt>
                <c:pt idx="613">
                  <c:v>44876</c:v>
                </c:pt>
                <c:pt idx="614">
                  <c:v>44875</c:v>
                </c:pt>
                <c:pt idx="615">
                  <c:v>44874</c:v>
                </c:pt>
                <c:pt idx="616">
                  <c:v>44873</c:v>
                </c:pt>
                <c:pt idx="617">
                  <c:v>44872</c:v>
                </c:pt>
                <c:pt idx="618">
                  <c:v>44869</c:v>
                </c:pt>
                <c:pt idx="619">
                  <c:v>44868</c:v>
                </c:pt>
                <c:pt idx="620">
                  <c:v>44867</c:v>
                </c:pt>
                <c:pt idx="621">
                  <c:v>44866</c:v>
                </c:pt>
                <c:pt idx="622">
                  <c:v>44865</c:v>
                </c:pt>
                <c:pt idx="623">
                  <c:v>44862</c:v>
                </c:pt>
                <c:pt idx="624">
                  <c:v>44861</c:v>
                </c:pt>
                <c:pt idx="625">
                  <c:v>44860</c:v>
                </c:pt>
                <c:pt idx="626">
                  <c:v>44859</c:v>
                </c:pt>
                <c:pt idx="627">
                  <c:v>44858</c:v>
                </c:pt>
                <c:pt idx="628">
                  <c:v>44855</c:v>
                </c:pt>
                <c:pt idx="629">
                  <c:v>44854</c:v>
                </c:pt>
                <c:pt idx="630">
                  <c:v>44853</c:v>
                </c:pt>
                <c:pt idx="631">
                  <c:v>44852</c:v>
                </c:pt>
                <c:pt idx="632">
                  <c:v>44851</c:v>
                </c:pt>
                <c:pt idx="633">
                  <c:v>44848</c:v>
                </c:pt>
                <c:pt idx="634">
                  <c:v>44847</c:v>
                </c:pt>
                <c:pt idx="635">
                  <c:v>44846</c:v>
                </c:pt>
                <c:pt idx="636">
                  <c:v>44845</c:v>
                </c:pt>
                <c:pt idx="637">
                  <c:v>44844</c:v>
                </c:pt>
                <c:pt idx="638">
                  <c:v>44834</c:v>
                </c:pt>
                <c:pt idx="639">
                  <c:v>44833</c:v>
                </c:pt>
                <c:pt idx="640">
                  <c:v>44832</c:v>
                </c:pt>
                <c:pt idx="641">
                  <c:v>44831</c:v>
                </c:pt>
                <c:pt idx="642">
                  <c:v>44830</c:v>
                </c:pt>
                <c:pt idx="643">
                  <c:v>44827</c:v>
                </c:pt>
                <c:pt idx="644">
                  <c:v>44826</c:v>
                </c:pt>
                <c:pt idx="645">
                  <c:v>44825</c:v>
                </c:pt>
                <c:pt idx="646">
                  <c:v>44824</c:v>
                </c:pt>
                <c:pt idx="647">
                  <c:v>44823</c:v>
                </c:pt>
                <c:pt idx="648">
                  <c:v>44820</c:v>
                </c:pt>
                <c:pt idx="649">
                  <c:v>44819</c:v>
                </c:pt>
                <c:pt idx="650">
                  <c:v>44818</c:v>
                </c:pt>
                <c:pt idx="651">
                  <c:v>44817</c:v>
                </c:pt>
                <c:pt idx="652">
                  <c:v>44813</c:v>
                </c:pt>
                <c:pt idx="653">
                  <c:v>44812</c:v>
                </c:pt>
                <c:pt idx="654">
                  <c:v>44811</c:v>
                </c:pt>
                <c:pt idx="655">
                  <c:v>44810</c:v>
                </c:pt>
                <c:pt idx="656">
                  <c:v>44809</c:v>
                </c:pt>
                <c:pt idx="657">
                  <c:v>44806</c:v>
                </c:pt>
                <c:pt idx="658">
                  <c:v>44805</c:v>
                </c:pt>
                <c:pt idx="659">
                  <c:v>44804</c:v>
                </c:pt>
                <c:pt idx="660">
                  <c:v>44803</c:v>
                </c:pt>
                <c:pt idx="661">
                  <c:v>44802</c:v>
                </c:pt>
                <c:pt idx="662">
                  <c:v>44799</c:v>
                </c:pt>
                <c:pt idx="663">
                  <c:v>44798</c:v>
                </c:pt>
                <c:pt idx="664">
                  <c:v>44797</c:v>
                </c:pt>
                <c:pt idx="665">
                  <c:v>44796</c:v>
                </c:pt>
                <c:pt idx="666">
                  <c:v>44795</c:v>
                </c:pt>
                <c:pt idx="667">
                  <c:v>44792</c:v>
                </c:pt>
                <c:pt idx="668">
                  <c:v>44791</c:v>
                </c:pt>
                <c:pt idx="669">
                  <c:v>44790</c:v>
                </c:pt>
                <c:pt idx="670">
                  <c:v>44789</c:v>
                </c:pt>
                <c:pt idx="671">
                  <c:v>44788</c:v>
                </c:pt>
                <c:pt idx="672">
                  <c:v>44785</c:v>
                </c:pt>
                <c:pt idx="673">
                  <c:v>44784</c:v>
                </c:pt>
                <c:pt idx="674">
                  <c:v>44783</c:v>
                </c:pt>
                <c:pt idx="675">
                  <c:v>44782</c:v>
                </c:pt>
                <c:pt idx="676">
                  <c:v>44781</c:v>
                </c:pt>
                <c:pt idx="677">
                  <c:v>44778</c:v>
                </c:pt>
                <c:pt idx="678">
                  <c:v>44777</c:v>
                </c:pt>
                <c:pt idx="679">
                  <c:v>44776</c:v>
                </c:pt>
                <c:pt idx="680">
                  <c:v>44775</c:v>
                </c:pt>
                <c:pt idx="681">
                  <c:v>44774</c:v>
                </c:pt>
                <c:pt idx="682">
                  <c:v>44771</c:v>
                </c:pt>
                <c:pt idx="683">
                  <c:v>44770</c:v>
                </c:pt>
                <c:pt idx="684">
                  <c:v>44769</c:v>
                </c:pt>
                <c:pt idx="685">
                  <c:v>44768</c:v>
                </c:pt>
                <c:pt idx="686">
                  <c:v>44767</c:v>
                </c:pt>
                <c:pt idx="687">
                  <c:v>44764</c:v>
                </c:pt>
                <c:pt idx="688">
                  <c:v>44763</c:v>
                </c:pt>
                <c:pt idx="689">
                  <c:v>44762</c:v>
                </c:pt>
                <c:pt idx="690">
                  <c:v>44761</c:v>
                </c:pt>
                <c:pt idx="691">
                  <c:v>44760</c:v>
                </c:pt>
                <c:pt idx="692">
                  <c:v>44757</c:v>
                </c:pt>
                <c:pt idx="693">
                  <c:v>44756</c:v>
                </c:pt>
                <c:pt idx="694">
                  <c:v>44755</c:v>
                </c:pt>
                <c:pt idx="695">
                  <c:v>44754</c:v>
                </c:pt>
                <c:pt idx="696">
                  <c:v>44753</c:v>
                </c:pt>
                <c:pt idx="697">
                  <c:v>44750</c:v>
                </c:pt>
                <c:pt idx="698">
                  <c:v>44749</c:v>
                </c:pt>
                <c:pt idx="699">
                  <c:v>44748</c:v>
                </c:pt>
                <c:pt idx="700">
                  <c:v>44747</c:v>
                </c:pt>
                <c:pt idx="701">
                  <c:v>44746</c:v>
                </c:pt>
                <c:pt idx="702">
                  <c:v>44743</c:v>
                </c:pt>
                <c:pt idx="703">
                  <c:v>44742</c:v>
                </c:pt>
                <c:pt idx="704">
                  <c:v>44741</c:v>
                </c:pt>
                <c:pt idx="705">
                  <c:v>44740</c:v>
                </c:pt>
                <c:pt idx="706">
                  <c:v>44739</c:v>
                </c:pt>
                <c:pt idx="707">
                  <c:v>44736</c:v>
                </c:pt>
                <c:pt idx="708">
                  <c:v>44735</c:v>
                </c:pt>
                <c:pt idx="709">
                  <c:v>44734</c:v>
                </c:pt>
                <c:pt idx="710">
                  <c:v>44733</c:v>
                </c:pt>
                <c:pt idx="711">
                  <c:v>44732</c:v>
                </c:pt>
                <c:pt idx="712">
                  <c:v>44729</c:v>
                </c:pt>
                <c:pt idx="713">
                  <c:v>44728</c:v>
                </c:pt>
                <c:pt idx="714">
                  <c:v>44727</c:v>
                </c:pt>
                <c:pt idx="715">
                  <c:v>44726</c:v>
                </c:pt>
                <c:pt idx="716">
                  <c:v>44725</c:v>
                </c:pt>
                <c:pt idx="717">
                  <c:v>44722</c:v>
                </c:pt>
                <c:pt idx="718">
                  <c:v>44721</c:v>
                </c:pt>
                <c:pt idx="719">
                  <c:v>44720</c:v>
                </c:pt>
                <c:pt idx="720">
                  <c:v>44719</c:v>
                </c:pt>
                <c:pt idx="721">
                  <c:v>44718</c:v>
                </c:pt>
                <c:pt idx="722">
                  <c:v>44714</c:v>
                </c:pt>
                <c:pt idx="723">
                  <c:v>44713</c:v>
                </c:pt>
                <c:pt idx="724">
                  <c:v>44712</c:v>
                </c:pt>
                <c:pt idx="725">
                  <c:v>44711</c:v>
                </c:pt>
                <c:pt idx="726">
                  <c:v>44708</c:v>
                </c:pt>
                <c:pt idx="727">
                  <c:v>44707</c:v>
                </c:pt>
                <c:pt idx="728">
                  <c:v>44706</c:v>
                </c:pt>
                <c:pt idx="729">
                  <c:v>44705</c:v>
                </c:pt>
                <c:pt idx="730">
                  <c:v>44704</c:v>
                </c:pt>
                <c:pt idx="731">
                  <c:v>44701</c:v>
                </c:pt>
                <c:pt idx="732">
                  <c:v>44700</c:v>
                </c:pt>
                <c:pt idx="733">
                  <c:v>44699</c:v>
                </c:pt>
                <c:pt idx="734">
                  <c:v>44698</c:v>
                </c:pt>
                <c:pt idx="735">
                  <c:v>44697</c:v>
                </c:pt>
                <c:pt idx="736">
                  <c:v>44694</c:v>
                </c:pt>
                <c:pt idx="737">
                  <c:v>44693</c:v>
                </c:pt>
                <c:pt idx="738">
                  <c:v>44692</c:v>
                </c:pt>
                <c:pt idx="739">
                  <c:v>44691</c:v>
                </c:pt>
                <c:pt idx="740">
                  <c:v>44690</c:v>
                </c:pt>
                <c:pt idx="741">
                  <c:v>44687</c:v>
                </c:pt>
                <c:pt idx="742">
                  <c:v>44686</c:v>
                </c:pt>
                <c:pt idx="743">
                  <c:v>44680</c:v>
                </c:pt>
                <c:pt idx="744">
                  <c:v>44679</c:v>
                </c:pt>
                <c:pt idx="745">
                  <c:v>44678</c:v>
                </c:pt>
                <c:pt idx="746">
                  <c:v>44677</c:v>
                </c:pt>
                <c:pt idx="747">
                  <c:v>44676</c:v>
                </c:pt>
                <c:pt idx="748">
                  <c:v>44673</c:v>
                </c:pt>
                <c:pt idx="749">
                  <c:v>44672</c:v>
                </c:pt>
                <c:pt idx="750">
                  <c:v>44671</c:v>
                </c:pt>
                <c:pt idx="751">
                  <c:v>44670</c:v>
                </c:pt>
                <c:pt idx="752">
                  <c:v>44669</c:v>
                </c:pt>
                <c:pt idx="753">
                  <c:v>44666</c:v>
                </c:pt>
                <c:pt idx="754">
                  <c:v>44665</c:v>
                </c:pt>
                <c:pt idx="755">
                  <c:v>44664</c:v>
                </c:pt>
                <c:pt idx="756">
                  <c:v>44663</c:v>
                </c:pt>
                <c:pt idx="757">
                  <c:v>44662</c:v>
                </c:pt>
                <c:pt idx="758">
                  <c:v>44659</c:v>
                </c:pt>
                <c:pt idx="759">
                  <c:v>44658</c:v>
                </c:pt>
                <c:pt idx="760">
                  <c:v>44657</c:v>
                </c:pt>
                <c:pt idx="761">
                  <c:v>44652</c:v>
                </c:pt>
                <c:pt idx="762">
                  <c:v>44651</c:v>
                </c:pt>
                <c:pt idx="763">
                  <c:v>44650</c:v>
                </c:pt>
                <c:pt idx="764">
                  <c:v>44649</c:v>
                </c:pt>
                <c:pt idx="765">
                  <c:v>44648</c:v>
                </c:pt>
                <c:pt idx="766">
                  <c:v>44645</c:v>
                </c:pt>
                <c:pt idx="767">
                  <c:v>44644</c:v>
                </c:pt>
                <c:pt idx="768">
                  <c:v>44643</c:v>
                </c:pt>
                <c:pt idx="769">
                  <c:v>44642</c:v>
                </c:pt>
                <c:pt idx="770">
                  <c:v>44641</c:v>
                </c:pt>
                <c:pt idx="771">
                  <c:v>44638</c:v>
                </c:pt>
                <c:pt idx="772">
                  <c:v>44637</c:v>
                </c:pt>
                <c:pt idx="773">
                  <c:v>44636</c:v>
                </c:pt>
                <c:pt idx="774">
                  <c:v>44635</c:v>
                </c:pt>
                <c:pt idx="775">
                  <c:v>44634</c:v>
                </c:pt>
                <c:pt idx="776">
                  <c:v>44631</c:v>
                </c:pt>
                <c:pt idx="777">
                  <c:v>44630</c:v>
                </c:pt>
                <c:pt idx="778">
                  <c:v>44629</c:v>
                </c:pt>
                <c:pt idx="779">
                  <c:v>44628</c:v>
                </c:pt>
                <c:pt idx="780">
                  <c:v>44627</c:v>
                </c:pt>
                <c:pt idx="781">
                  <c:v>44624</c:v>
                </c:pt>
                <c:pt idx="782">
                  <c:v>44623</c:v>
                </c:pt>
                <c:pt idx="783">
                  <c:v>44622</c:v>
                </c:pt>
                <c:pt idx="784">
                  <c:v>44621</c:v>
                </c:pt>
                <c:pt idx="785">
                  <c:v>44620</c:v>
                </c:pt>
                <c:pt idx="786">
                  <c:v>44617</c:v>
                </c:pt>
                <c:pt idx="787">
                  <c:v>44616</c:v>
                </c:pt>
                <c:pt idx="788">
                  <c:v>44615</c:v>
                </c:pt>
                <c:pt idx="789">
                  <c:v>44614</c:v>
                </c:pt>
                <c:pt idx="790">
                  <c:v>44613</c:v>
                </c:pt>
                <c:pt idx="791">
                  <c:v>44610</c:v>
                </c:pt>
                <c:pt idx="792">
                  <c:v>44609</c:v>
                </c:pt>
                <c:pt idx="793">
                  <c:v>44608</c:v>
                </c:pt>
                <c:pt idx="794">
                  <c:v>44607</c:v>
                </c:pt>
                <c:pt idx="795">
                  <c:v>44606</c:v>
                </c:pt>
                <c:pt idx="796">
                  <c:v>44603</c:v>
                </c:pt>
                <c:pt idx="797">
                  <c:v>44602</c:v>
                </c:pt>
                <c:pt idx="798">
                  <c:v>44601</c:v>
                </c:pt>
                <c:pt idx="799">
                  <c:v>44600</c:v>
                </c:pt>
                <c:pt idx="800">
                  <c:v>44599</c:v>
                </c:pt>
                <c:pt idx="801">
                  <c:v>44589</c:v>
                </c:pt>
                <c:pt idx="802">
                  <c:v>44588</c:v>
                </c:pt>
                <c:pt idx="803">
                  <c:v>44587</c:v>
                </c:pt>
                <c:pt idx="804">
                  <c:v>44586</c:v>
                </c:pt>
                <c:pt idx="805">
                  <c:v>44585</c:v>
                </c:pt>
                <c:pt idx="806">
                  <c:v>44582</c:v>
                </c:pt>
                <c:pt idx="807">
                  <c:v>44581</c:v>
                </c:pt>
                <c:pt idx="808">
                  <c:v>44580</c:v>
                </c:pt>
                <c:pt idx="809">
                  <c:v>44579</c:v>
                </c:pt>
                <c:pt idx="810">
                  <c:v>44578</c:v>
                </c:pt>
                <c:pt idx="811">
                  <c:v>44575</c:v>
                </c:pt>
                <c:pt idx="812">
                  <c:v>44574</c:v>
                </c:pt>
                <c:pt idx="813">
                  <c:v>44573</c:v>
                </c:pt>
                <c:pt idx="814">
                  <c:v>44572</c:v>
                </c:pt>
                <c:pt idx="815">
                  <c:v>44571</c:v>
                </c:pt>
                <c:pt idx="816">
                  <c:v>44568</c:v>
                </c:pt>
                <c:pt idx="817">
                  <c:v>44567</c:v>
                </c:pt>
                <c:pt idx="818">
                  <c:v>44566</c:v>
                </c:pt>
                <c:pt idx="819">
                  <c:v>44565</c:v>
                </c:pt>
                <c:pt idx="820">
                  <c:v>44561</c:v>
                </c:pt>
                <c:pt idx="821">
                  <c:v>44560</c:v>
                </c:pt>
                <c:pt idx="822">
                  <c:v>44559</c:v>
                </c:pt>
                <c:pt idx="823">
                  <c:v>44558</c:v>
                </c:pt>
                <c:pt idx="824">
                  <c:v>44557</c:v>
                </c:pt>
                <c:pt idx="825">
                  <c:v>44554</c:v>
                </c:pt>
                <c:pt idx="826">
                  <c:v>44553</c:v>
                </c:pt>
                <c:pt idx="827">
                  <c:v>44552</c:v>
                </c:pt>
                <c:pt idx="828">
                  <c:v>44551</c:v>
                </c:pt>
                <c:pt idx="829">
                  <c:v>44550</c:v>
                </c:pt>
                <c:pt idx="830">
                  <c:v>44547</c:v>
                </c:pt>
                <c:pt idx="831">
                  <c:v>44546</c:v>
                </c:pt>
                <c:pt idx="832">
                  <c:v>44545</c:v>
                </c:pt>
                <c:pt idx="833">
                  <c:v>44544</c:v>
                </c:pt>
                <c:pt idx="834">
                  <c:v>44543</c:v>
                </c:pt>
                <c:pt idx="835">
                  <c:v>44540</c:v>
                </c:pt>
                <c:pt idx="836">
                  <c:v>44539</c:v>
                </c:pt>
                <c:pt idx="837">
                  <c:v>44538</c:v>
                </c:pt>
                <c:pt idx="838">
                  <c:v>44537</c:v>
                </c:pt>
                <c:pt idx="839">
                  <c:v>44536</c:v>
                </c:pt>
                <c:pt idx="840">
                  <c:v>44533</c:v>
                </c:pt>
                <c:pt idx="841">
                  <c:v>44532</c:v>
                </c:pt>
                <c:pt idx="842">
                  <c:v>44531</c:v>
                </c:pt>
                <c:pt idx="843">
                  <c:v>44530</c:v>
                </c:pt>
                <c:pt idx="844">
                  <c:v>44529</c:v>
                </c:pt>
                <c:pt idx="845">
                  <c:v>44526</c:v>
                </c:pt>
                <c:pt idx="846">
                  <c:v>44525</c:v>
                </c:pt>
                <c:pt idx="847">
                  <c:v>44524</c:v>
                </c:pt>
                <c:pt idx="848">
                  <c:v>44523</c:v>
                </c:pt>
                <c:pt idx="849">
                  <c:v>44522</c:v>
                </c:pt>
                <c:pt idx="850">
                  <c:v>44519</c:v>
                </c:pt>
                <c:pt idx="851">
                  <c:v>44518</c:v>
                </c:pt>
                <c:pt idx="852">
                  <c:v>44517</c:v>
                </c:pt>
                <c:pt idx="853">
                  <c:v>44516</c:v>
                </c:pt>
                <c:pt idx="854">
                  <c:v>44515</c:v>
                </c:pt>
                <c:pt idx="855">
                  <c:v>44512</c:v>
                </c:pt>
                <c:pt idx="856">
                  <c:v>44511</c:v>
                </c:pt>
                <c:pt idx="857">
                  <c:v>44510</c:v>
                </c:pt>
                <c:pt idx="858">
                  <c:v>44509</c:v>
                </c:pt>
                <c:pt idx="859">
                  <c:v>44508</c:v>
                </c:pt>
                <c:pt idx="860">
                  <c:v>44505</c:v>
                </c:pt>
                <c:pt idx="861">
                  <c:v>44504</c:v>
                </c:pt>
                <c:pt idx="862">
                  <c:v>44503</c:v>
                </c:pt>
                <c:pt idx="863">
                  <c:v>44502</c:v>
                </c:pt>
                <c:pt idx="864">
                  <c:v>44501</c:v>
                </c:pt>
                <c:pt idx="865">
                  <c:v>44498</c:v>
                </c:pt>
                <c:pt idx="866">
                  <c:v>44497</c:v>
                </c:pt>
                <c:pt idx="867">
                  <c:v>44496</c:v>
                </c:pt>
                <c:pt idx="868">
                  <c:v>44495</c:v>
                </c:pt>
                <c:pt idx="869">
                  <c:v>44494</c:v>
                </c:pt>
                <c:pt idx="870">
                  <c:v>44491</c:v>
                </c:pt>
                <c:pt idx="871">
                  <c:v>44490</c:v>
                </c:pt>
                <c:pt idx="872">
                  <c:v>44489</c:v>
                </c:pt>
                <c:pt idx="873">
                  <c:v>44488</c:v>
                </c:pt>
                <c:pt idx="874">
                  <c:v>44487</c:v>
                </c:pt>
                <c:pt idx="875">
                  <c:v>44484</c:v>
                </c:pt>
                <c:pt idx="876">
                  <c:v>44483</c:v>
                </c:pt>
                <c:pt idx="877">
                  <c:v>44482</c:v>
                </c:pt>
                <c:pt idx="878">
                  <c:v>44481</c:v>
                </c:pt>
                <c:pt idx="879">
                  <c:v>44480</c:v>
                </c:pt>
                <c:pt idx="880">
                  <c:v>44477</c:v>
                </c:pt>
                <c:pt idx="881">
                  <c:v>44469</c:v>
                </c:pt>
                <c:pt idx="882">
                  <c:v>44468</c:v>
                </c:pt>
                <c:pt idx="883">
                  <c:v>44467</c:v>
                </c:pt>
                <c:pt idx="884">
                  <c:v>44466</c:v>
                </c:pt>
                <c:pt idx="885">
                  <c:v>44463</c:v>
                </c:pt>
                <c:pt idx="886">
                  <c:v>44462</c:v>
                </c:pt>
                <c:pt idx="887">
                  <c:v>44461</c:v>
                </c:pt>
                <c:pt idx="888">
                  <c:v>44456</c:v>
                </c:pt>
                <c:pt idx="889">
                  <c:v>44455</c:v>
                </c:pt>
                <c:pt idx="890">
                  <c:v>44454</c:v>
                </c:pt>
                <c:pt idx="891">
                  <c:v>44453</c:v>
                </c:pt>
                <c:pt idx="892">
                  <c:v>44452</c:v>
                </c:pt>
                <c:pt idx="893">
                  <c:v>44449</c:v>
                </c:pt>
                <c:pt idx="894">
                  <c:v>44448</c:v>
                </c:pt>
                <c:pt idx="895">
                  <c:v>44447</c:v>
                </c:pt>
                <c:pt idx="896">
                  <c:v>44446</c:v>
                </c:pt>
                <c:pt idx="897">
                  <c:v>44445</c:v>
                </c:pt>
                <c:pt idx="898">
                  <c:v>44442</c:v>
                </c:pt>
                <c:pt idx="899">
                  <c:v>44441</c:v>
                </c:pt>
                <c:pt idx="900">
                  <c:v>44440</c:v>
                </c:pt>
                <c:pt idx="901">
                  <c:v>44439</c:v>
                </c:pt>
                <c:pt idx="902">
                  <c:v>44438</c:v>
                </c:pt>
                <c:pt idx="903">
                  <c:v>44435</c:v>
                </c:pt>
                <c:pt idx="904">
                  <c:v>44434</c:v>
                </c:pt>
                <c:pt idx="905">
                  <c:v>44433</c:v>
                </c:pt>
                <c:pt idx="906">
                  <c:v>44432</c:v>
                </c:pt>
                <c:pt idx="907">
                  <c:v>44431</c:v>
                </c:pt>
                <c:pt idx="908">
                  <c:v>44428</c:v>
                </c:pt>
                <c:pt idx="909">
                  <c:v>44427</c:v>
                </c:pt>
                <c:pt idx="910">
                  <c:v>44426</c:v>
                </c:pt>
                <c:pt idx="911">
                  <c:v>44425</c:v>
                </c:pt>
                <c:pt idx="912">
                  <c:v>44424</c:v>
                </c:pt>
                <c:pt idx="913">
                  <c:v>44421</c:v>
                </c:pt>
                <c:pt idx="914">
                  <c:v>44420</c:v>
                </c:pt>
                <c:pt idx="915">
                  <c:v>44419</c:v>
                </c:pt>
                <c:pt idx="916">
                  <c:v>44418</c:v>
                </c:pt>
                <c:pt idx="917">
                  <c:v>44417</c:v>
                </c:pt>
                <c:pt idx="918">
                  <c:v>44414</c:v>
                </c:pt>
                <c:pt idx="919">
                  <c:v>44413</c:v>
                </c:pt>
                <c:pt idx="920">
                  <c:v>44412</c:v>
                </c:pt>
                <c:pt idx="921">
                  <c:v>44411</c:v>
                </c:pt>
                <c:pt idx="922">
                  <c:v>44410</c:v>
                </c:pt>
                <c:pt idx="923">
                  <c:v>44407</c:v>
                </c:pt>
                <c:pt idx="924">
                  <c:v>44406</c:v>
                </c:pt>
                <c:pt idx="925">
                  <c:v>44405</c:v>
                </c:pt>
                <c:pt idx="926">
                  <c:v>44404</c:v>
                </c:pt>
                <c:pt idx="927">
                  <c:v>44403</c:v>
                </c:pt>
                <c:pt idx="928">
                  <c:v>44400</c:v>
                </c:pt>
                <c:pt idx="929">
                  <c:v>44399</c:v>
                </c:pt>
                <c:pt idx="930">
                  <c:v>44398</c:v>
                </c:pt>
                <c:pt idx="931">
                  <c:v>44397</c:v>
                </c:pt>
                <c:pt idx="932">
                  <c:v>44396</c:v>
                </c:pt>
                <c:pt idx="933">
                  <c:v>44393</c:v>
                </c:pt>
              </c:numCache>
            </c:numRef>
          </c:cat>
          <c:val>
            <c:numRef>
              <c:f>[1]数据来源上海环境能源交易所!$K$3:$K$936</c:f>
              <c:numCache>
                <c:formatCode>General</c:formatCode>
                <c:ptCount val="934"/>
                <c:pt idx="0">
                  <c:v>69.5648801682606</c:v>
                </c:pt>
                <c:pt idx="1">
                  <c:v>68.98721570232</c:v>
                </c:pt>
                <c:pt idx="2">
                  <c:v>68.7833272565345</c:v>
                </c:pt>
                <c:pt idx="3">
                  <c:v>68.500064732164</c:v>
                </c:pt>
                <c:pt idx="4">
                  <c:v>61.471924770343</c:v>
                </c:pt>
                <c:pt idx="5">
                  <c:v>67.7911903877759</c:v>
                </c:pt>
                <c:pt idx="6">
                  <c:v>68.2380156647914</c:v>
                </c:pt>
                <c:pt idx="7">
                  <c:v>68.687756180526</c:v>
                </c:pt>
                <c:pt idx="8">
                  <c:v>65.2608204872554</c:v>
                </c:pt>
                <c:pt idx="9">
                  <c:v>68.5463603832467</c:v>
                </c:pt>
                <c:pt idx="10">
                  <c:v>69.2378228548619</c:v>
                </c:pt>
                <c:pt idx="11">
                  <c:v>70.3801056498539</c:v>
                </c:pt>
                <c:pt idx="12">
                  <c:v>72.6963437655069</c:v>
                </c:pt>
                <c:pt idx="13">
                  <c:v>71.41777365444</c:v>
                </c:pt>
                <c:pt idx="14">
                  <c:v>71.1627404500161</c:v>
                </c:pt>
                <c:pt idx="15">
                  <c:v>68.4770018634949</c:v>
                </c:pt>
                <c:pt idx="16">
                  <c:v>70.9887817213488</c:v>
                </c:pt>
                <c:pt idx="17">
                  <c:v>70.9965959150981</c:v>
                </c:pt>
                <c:pt idx="18">
                  <c:v>69.4311165942315</c:v>
                </c:pt>
                <c:pt idx="19">
                  <c:v>70.7068860644</c:v>
                </c:pt>
                <c:pt idx="20">
                  <c:v>73.8810563407236</c:v>
                </c:pt>
                <c:pt idx="21">
                  <c:v>70.8088069089212</c:v>
                </c:pt>
                <c:pt idx="22">
                  <c:v>69.831677427923</c:v>
                </c:pt>
                <c:pt idx="23">
                  <c:v>70.0602007759581</c:v>
                </c:pt>
                <c:pt idx="24">
                  <c:v>69.9677938808374</c:v>
                </c:pt>
                <c:pt idx="25">
                  <c:v>70.0044077523548</c:v>
                </c:pt>
                <c:pt idx="26">
                  <c:v>69.1928795255053</c:v>
                </c:pt>
                <c:pt idx="27">
                  <c:v>73.6143256369444</c:v>
                </c:pt>
                <c:pt idx="28">
                  <c:v>72.0290632318501</c:v>
                </c:pt>
                <c:pt idx="29">
                  <c:v>75.195068119891</c:v>
                </c:pt>
                <c:pt idx="30">
                  <c:v>76.0184725360644</c:v>
                </c:pt>
                <c:pt idx="31">
                  <c:v>77.5839327096387</c:v>
                </c:pt>
                <c:pt idx="32">
                  <c:v>80.6348455476998</c:v>
                </c:pt>
                <c:pt idx="33">
                  <c:v>78.8909638554217</c:v>
                </c:pt>
                <c:pt idx="34">
                  <c:v>84.8469954751131</c:v>
                </c:pt>
                <c:pt idx="35">
                  <c:v>80.6905589482762</c:v>
                </c:pt>
                <c:pt idx="36">
                  <c:v>82.060118213705</c:v>
                </c:pt>
                <c:pt idx="37">
                  <c:v>82.50070860133</c:v>
                </c:pt>
                <c:pt idx="38">
                  <c:v>80.3005699389483</c:v>
                </c:pt>
                <c:pt idx="39">
                  <c:v>82.7752808988764</c:v>
                </c:pt>
                <c:pt idx="40">
                  <c:v>82.0098379210729</c:v>
                </c:pt>
                <c:pt idx="41">
                  <c:v>83.5</c:v>
                </c:pt>
                <c:pt idx="42">
                  <c:v>83.4845894796756</c:v>
                </c:pt>
                <c:pt idx="43">
                  <c:v>83.1913043478261</c:v>
                </c:pt>
                <c:pt idx="44">
                  <c:v>70.5597592590561</c:v>
                </c:pt>
                <c:pt idx="45">
                  <c:v>80.244</c:v>
                </c:pt>
                <c:pt idx="46">
                  <c:v>84.0051665837892</c:v>
                </c:pt>
                <c:pt idx="47">
                  <c:v>76.0792079207921</c:v>
                </c:pt>
                <c:pt idx="48">
                  <c:v>84</c:v>
                </c:pt>
                <c:pt idx="49">
                  <c:v>79.7968830598329</c:v>
                </c:pt>
                <c:pt idx="50">
                  <c:v>85.4712790660608</c:v>
                </c:pt>
                <c:pt idx="51">
                  <c:v>84.167794016116</c:v>
                </c:pt>
                <c:pt idx="52">
                  <c:v>85.4555439399219</c:v>
                </c:pt>
                <c:pt idx="53">
                  <c:v>85.0710748692747</c:v>
                </c:pt>
                <c:pt idx="54">
                  <c:v>85.6902497027348</c:v>
                </c:pt>
                <c:pt idx="55">
                  <c:v>86.0473135916737</c:v>
                </c:pt>
                <c:pt idx="56">
                  <c:v>85.6363636363636</c:v>
                </c:pt>
                <c:pt idx="57">
                  <c:v>87.8119239402522</c:v>
                </c:pt>
                <c:pt idx="58">
                  <c:v>85.3495375349538</c:v>
                </c:pt>
                <c:pt idx="59">
                  <c:v>87.3809523809524</c:v>
                </c:pt>
                <c:pt idx="60">
                  <c:v>87</c:v>
                </c:pt>
                <c:pt idx="61">
                  <c:v>86.5447877591313</c:v>
                </c:pt>
                <c:pt idx="62">
                  <c:v>88</c:v>
                </c:pt>
                <c:pt idx="63">
                  <c:v>88.25</c:v>
                </c:pt>
                <c:pt idx="64">
                  <c:v>88.740012599874</c:v>
                </c:pt>
                <c:pt idx="65">
                  <c:v>86.8280708158423</c:v>
                </c:pt>
                <c:pt idx="66">
                  <c:v>89</c:v>
                </c:pt>
                <c:pt idx="67">
                  <c:v>89.4171523730225</c:v>
                </c:pt>
                <c:pt idx="68">
                  <c:v>91.0245553335399</c:v>
                </c:pt>
                <c:pt idx="69">
                  <c:v>90</c:v>
                </c:pt>
                <c:pt idx="70">
                  <c:v>89.5000771089292</c:v>
                </c:pt>
                <c:pt idx="71">
                  <c:v>90.3259778918675</c:v>
                </c:pt>
                <c:pt idx="72">
                  <c:v>90.5</c:v>
                </c:pt>
                <c:pt idx="73">
                  <c:v>90.8714868822088</c:v>
                </c:pt>
                <c:pt idx="74">
                  <c:v>91.9559257092382</c:v>
                </c:pt>
                <c:pt idx="75">
                  <c:v>92.5</c:v>
                </c:pt>
                <c:pt idx="76">
                  <c:v>92.375</c:v>
                </c:pt>
                <c:pt idx="77">
                  <c:v>92.8</c:v>
                </c:pt>
                <c:pt idx="78">
                  <c:v>93</c:v>
                </c:pt>
                <c:pt idx="79">
                  <c:v>93.5</c:v>
                </c:pt>
                <c:pt idx="80">
                  <c:v>92</c:v>
                </c:pt>
                <c:pt idx="81">
                  <c:v>93.2</c:v>
                </c:pt>
                <c:pt idx="82">
                  <c:v>90.0100650907709</c:v>
                </c:pt>
                <c:pt idx="83">
                  <c:v>93.2</c:v>
                </c:pt>
                <c:pt idx="84">
                  <c:v>94</c:v>
                </c:pt>
                <c:pt idx="85">
                  <c:v>93.3113654486608</c:v>
                </c:pt>
                <c:pt idx="86">
                  <c:v>94.0000079936051</c:v>
                </c:pt>
                <c:pt idx="87">
                  <c:v>94.01</c:v>
                </c:pt>
                <c:pt idx="88">
                  <c:v>94</c:v>
                </c:pt>
                <c:pt idx="89">
                  <c:v>93.3538783854072</c:v>
                </c:pt>
                <c:pt idx="90">
                  <c:v>95.000533191149</c:v>
                </c:pt>
                <c:pt idx="91">
                  <c:v>97</c:v>
                </c:pt>
                <c:pt idx="92">
                  <c:v>95</c:v>
                </c:pt>
                <c:pt idx="93">
                  <c:v>96</c:v>
                </c:pt>
                <c:pt idx="94">
                  <c:v>97.9259590265365</c:v>
                </c:pt>
                <c:pt idx="95">
                  <c:v>97.4429994805177</c:v>
                </c:pt>
                <c:pt idx="96">
                  <c:v>97.0803117520461</c:v>
                </c:pt>
                <c:pt idx="97">
                  <c:v>97.0931838009271</c:v>
                </c:pt>
                <c:pt idx="98">
                  <c:v>98.1295887704755</c:v>
                </c:pt>
                <c:pt idx="99">
                  <c:v>97.6955142786158</c:v>
                </c:pt>
                <c:pt idx="100">
                  <c:v>92.2756710627919</c:v>
                </c:pt>
                <c:pt idx="101">
                  <c:v>97.5721408759727</c:v>
                </c:pt>
                <c:pt idx="102">
                  <c:v>97.8810694923029</c:v>
                </c:pt>
                <c:pt idx="103">
                  <c:v>94.9923950184527</c:v>
                </c:pt>
                <c:pt idx="104">
                  <c:v>95.5057358734536</c:v>
                </c:pt>
                <c:pt idx="105">
                  <c:v>97.9392302183947</c:v>
                </c:pt>
                <c:pt idx="106">
                  <c:v>97.6971144927659</c:v>
                </c:pt>
                <c:pt idx="107">
                  <c:v>98.963193735174</c:v>
                </c:pt>
                <c:pt idx="108">
                  <c:v>97.7447408807605</c:v>
                </c:pt>
                <c:pt idx="109">
                  <c:v>99.5320574166514</c:v>
                </c:pt>
                <c:pt idx="110">
                  <c:v>101.006699937045</c:v>
                </c:pt>
                <c:pt idx="111">
                  <c:v>98.9885431002652</c:v>
                </c:pt>
                <c:pt idx="112">
                  <c:v>94.1166562510398</c:v>
                </c:pt>
                <c:pt idx="113">
                  <c:v>96.8350059661708</c:v>
                </c:pt>
                <c:pt idx="114">
                  <c:v>97.3866795074368</c:v>
                </c:pt>
                <c:pt idx="115">
                  <c:v>97.6825172835514</c:v>
                </c:pt>
                <c:pt idx="116">
                  <c:v>98.7188504454176</c:v>
                </c:pt>
                <c:pt idx="117">
                  <c:v>94.0331768334622</c:v>
                </c:pt>
                <c:pt idx="118">
                  <c:v>96.5329106388762</c:v>
                </c:pt>
                <c:pt idx="119">
                  <c:v>97.9897133901145</c:v>
                </c:pt>
                <c:pt idx="120">
                  <c:v>93.788818409863</c:v>
                </c:pt>
                <c:pt idx="121">
                  <c:v>95.7372738946738</c:v>
                </c:pt>
                <c:pt idx="122">
                  <c:v>92.6284307517607</c:v>
                </c:pt>
                <c:pt idx="123">
                  <c:v>94.5645228127976</c:v>
                </c:pt>
                <c:pt idx="124">
                  <c:v>90.5757268981471</c:v>
                </c:pt>
                <c:pt idx="125">
                  <c:v>99.6336268205088</c:v>
                </c:pt>
                <c:pt idx="126">
                  <c:v>101.496560577524</c:v>
                </c:pt>
                <c:pt idx="127">
                  <c:v>101.509789772246</c:v>
                </c:pt>
                <c:pt idx="128">
                  <c:v>101.451718661273</c:v>
                </c:pt>
                <c:pt idx="129">
                  <c:v>99.8783236834036</c:v>
                </c:pt>
                <c:pt idx="130">
                  <c:v>103.688139263241</c:v>
                </c:pt>
                <c:pt idx="131">
                  <c:v>100.957933540791</c:v>
                </c:pt>
                <c:pt idx="132">
                  <c:v>98.3462109900598</c:v>
                </c:pt>
                <c:pt idx="133">
                  <c:v>103.635524397037</c:v>
                </c:pt>
                <c:pt idx="134">
                  <c:v>103.23393811867</c:v>
                </c:pt>
                <c:pt idx="135">
                  <c:v>102.546924332626</c:v>
                </c:pt>
                <c:pt idx="136">
                  <c:v>93.9624609492959</c:v>
                </c:pt>
                <c:pt idx="137">
                  <c:v>102.510119577859</c:v>
                </c:pt>
                <c:pt idx="138">
                  <c:v>89.5730313154877</c:v>
                </c:pt>
                <c:pt idx="139">
                  <c:v>92.4759428974395</c:v>
                </c:pt>
                <c:pt idx="140">
                  <c:v>98.4350436916925</c:v>
                </c:pt>
                <c:pt idx="141">
                  <c:v>104.074926919671</c:v>
                </c:pt>
                <c:pt idx="142">
                  <c:v>103.658245285657</c:v>
                </c:pt>
                <c:pt idx="143">
                  <c:v>102.280669348939</c:v>
                </c:pt>
                <c:pt idx="144">
                  <c:v>100.133668520273</c:v>
                </c:pt>
                <c:pt idx="145">
                  <c:v>102.22812638752</c:v>
                </c:pt>
                <c:pt idx="146">
                  <c:v>100.969157586199</c:v>
                </c:pt>
                <c:pt idx="147">
                  <c:v>93.1299350642897</c:v>
                </c:pt>
                <c:pt idx="148">
                  <c:v>102.976008064516</c:v>
                </c:pt>
                <c:pt idx="149">
                  <c:v>101.563215479481</c:v>
                </c:pt>
                <c:pt idx="150">
                  <c:v>101.361542570438</c:v>
                </c:pt>
                <c:pt idx="151">
                  <c:v>97.9638391316168</c:v>
                </c:pt>
                <c:pt idx="152">
                  <c:v>101.982662130668</c:v>
                </c:pt>
                <c:pt idx="153">
                  <c:v>87.3877144251714</c:v>
                </c:pt>
                <c:pt idx="154">
                  <c:v>87.4784613327455</c:v>
                </c:pt>
                <c:pt idx="155">
                  <c:v>97.2539248708819</c:v>
                </c:pt>
                <c:pt idx="156">
                  <c:v>100.121734171961</c:v>
                </c:pt>
                <c:pt idx="157">
                  <c:v>100.62385344914</c:v>
                </c:pt>
                <c:pt idx="158">
                  <c:v>98.88506851979</c:v>
                </c:pt>
                <c:pt idx="159">
                  <c:v>95.3214846943488</c:v>
                </c:pt>
                <c:pt idx="160">
                  <c:v>100.564852994469</c:v>
                </c:pt>
                <c:pt idx="161">
                  <c:v>99.776099726952</c:v>
                </c:pt>
                <c:pt idx="162">
                  <c:v>100.570089285714</c:v>
                </c:pt>
                <c:pt idx="163">
                  <c:v>99.8</c:v>
                </c:pt>
                <c:pt idx="164">
                  <c:v>99.7382751448216</c:v>
                </c:pt>
                <c:pt idx="165">
                  <c:v>99.0024924130108</c:v>
                </c:pt>
                <c:pt idx="166">
                  <c:v>96.229599781059</c:v>
                </c:pt>
                <c:pt idx="167">
                  <c:v>97.1660726001844</c:v>
                </c:pt>
                <c:pt idx="168">
                  <c:v>96.7815725108871</c:v>
                </c:pt>
                <c:pt idx="169">
                  <c:v>97.6456692913386</c:v>
                </c:pt>
                <c:pt idx="170">
                  <c:v>83.1763281874123</c:v>
                </c:pt>
                <c:pt idx="171">
                  <c:v>96.5614849187935</c:v>
                </c:pt>
                <c:pt idx="172">
                  <c:v>96.019028340081</c:v>
                </c:pt>
                <c:pt idx="173">
                  <c:v>92.6414008873227</c:v>
                </c:pt>
                <c:pt idx="174">
                  <c:v>93.4394307975588</c:v>
                </c:pt>
                <c:pt idx="175">
                  <c:v>95.1292456434629</c:v>
                </c:pt>
                <c:pt idx="176">
                  <c:v>79.6844580086197</c:v>
                </c:pt>
                <c:pt idx="177">
                  <c:v>94.3541676203037</c:v>
                </c:pt>
                <c:pt idx="178">
                  <c:v>93.698337688987</c:v>
                </c:pt>
                <c:pt idx="179">
                  <c:v>93.611305715784</c:v>
                </c:pt>
                <c:pt idx="180">
                  <c:v>91.0304854596623</c:v>
                </c:pt>
                <c:pt idx="181">
                  <c:v>74.586518666188</c:v>
                </c:pt>
                <c:pt idx="182">
                  <c:v>93.2058349332352</c:v>
                </c:pt>
                <c:pt idx="183">
                  <c:v>93.1029602108449</c:v>
                </c:pt>
                <c:pt idx="184">
                  <c:v>91.9642869897504</c:v>
                </c:pt>
                <c:pt idx="185">
                  <c:v>91.9955968085668</c:v>
                </c:pt>
                <c:pt idx="186">
                  <c:v>91.7833333333333</c:v>
                </c:pt>
                <c:pt idx="187">
                  <c:v>91.3068158549071</c:v>
                </c:pt>
                <c:pt idx="188">
                  <c:v>92.3831533386975</c:v>
                </c:pt>
                <c:pt idx="189">
                  <c:v>91.6878617276531</c:v>
                </c:pt>
                <c:pt idx="190">
                  <c:v>91.1731448763251</c:v>
                </c:pt>
                <c:pt idx="191">
                  <c:v>90.7844155844156</c:v>
                </c:pt>
                <c:pt idx="192">
                  <c:v>92.0990937426806</c:v>
                </c:pt>
                <c:pt idx="193">
                  <c:v>90.6762137832653</c:v>
                </c:pt>
                <c:pt idx="194">
                  <c:v>90.3705882352941</c:v>
                </c:pt>
                <c:pt idx="195">
                  <c:v>89.5833333333333</c:v>
                </c:pt>
                <c:pt idx="196">
                  <c:v>90.5951816745656</c:v>
                </c:pt>
                <c:pt idx="197">
                  <c:v>91.518247509215</c:v>
                </c:pt>
                <c:pt idx="198">
                  <c:v>91.8499899428177</c:v>
                </c:pt>
                <c:pt idx="199">
                  <c:v>91.8</c:v>
                </c:pt>
                <c:pt idx="200">
                  <c:v>90.7781399391569</c:v>
                </c:pt>
                <c:pt idx="201">
                  <c:v>91.9444368193946</c:v>
                </c:pt>
                <c:pt idx="202">
                  <c:v>90.6687091205291</c:v>
                </c:pt>
                <c:pt idx="203">
                  <c:v>90.8165137614679</c:v>
                </c:pt>
                <c:pt idx="204">
                  <c:v>89.3382832849316</c:v>
                </c:pt>
                <c:pt idx="205">
                  <c:v>90.7598752598753</c:v>
                </c:pt>
                <c:pt idx="206">
                  <c:v>89.9735099337748</c:v>
                </c:pt>
                <c:pt idx="207">
                  <c:v>88.1139552238806</c:v>
                </c:pt>
                <c:pt idx="208">
                  <c:v>86.0051664182812</c:v>
                </c:pt>
                <c:pt idx="209">
                  <c:v>91.0641374079575</c:v>
                </c:pt>
                <c:pt idx="210">
                  <c:v>89.976875777957</c:v>
                </c:pt>
                <c:pt idx="211">
                  <c:v>92.9092160055331</c:v>
                </c:pt>
                <c:pt idx="212">
                  <c:v>88.535535813437</c:v>
                </c:pt>
                <c:pt idx="213">
                  <c:v>89.5001328298733</c:v>
                </c:pt>
                <c:pt idx="214">
                  <c:v>91.1558441558442</c:v>
                </c:pt>
                <c:pt idx="215">
                  <c:v>91</c:v>
                </c:pt>
                <c:pt idx="216">
                  <c:v>90.0714285714286</c:v>
                </c:pt>
                <c:pt idx="217">
                  <c:v>91.5757575757576</c:v>
                </c:pt>
                <c:pt idx="218">
                  <c:v>90.8119891008174</c:v>
                </c:pt>
                <c:pt idx="219">
                  <c:v>91.5141746336695</c:v>
                </c:pt>
                <c:pt idx="220">
                  <c:v>90.1004836700886</c:v>
                </c:pt>
                <c:pt idx="221">
                  <c:v>89.6655619994477</c:v>
                </c:pt>
                <c:pt idx="222">
                  <c:v>93.7076761030416</c:v>
                </c:pt>
                <c:pt idx="223">
                  <c:v>93.1125</c:v>
                </c:pt>
                <c:pt idx="224">
                  <c:v>94.1479115288269</c:v>
                </c:pt>
                <c:pt idx="225">
                  <c:v>93.8569051580699</c:v>
                </c:pt>
                <c:pt idx="226">
                  <c:v>73.2503488016963</c:v>
                </c:pt>
                <c:pt idx="227">
                  <c:v>96.0382824105673</c:v>
                </c:pt>
                <c:pt idx="228">
                  <c:v>96.5</c:v>
                </c:pt>
                <c:pt idx="229">
                  <c:v>96.4678362573099</c:v>
                </c:pt>
                <c:pt idx="230">
                  <c:v>96.3077311129132</c:v>
                </c:pt>
                <c:pt idx="231">
                  <c:v>96</c:v>
                </c:pt>
                <c:pt idx="232">
                  <c:v>95.4305555555556</c:v>
                </c:pt>
                <c:pt idx="233">
                  <c:v>95.5120884665517</c:v>
                </c:pt>
                <c:pt idx="234">
                  <c:v>96.7973621103118</c:v>
                </c:pt>
                <c:pt idx="235">
                  <c:v>96.0450210364991</c:v>
                </c:pt>
                <c:pt idx="236">
                  <c:v>96.6020161258396</c:v>
                </c:pt>
                <c:pt idx="237">
                  <c:v>96.8988680401546</c:v>
                </c:pt>
                <c:pt idx="238">
                  <c:v>97.1883515663849</c:v>
                </c:pt>
                <c:pt idx="239">
                  <c:v>92.7903703703704</c:v>
                </c:pt>
                <c:pt idx="240">
                  <c:v>97.4994505267032</c:v>
                </c:pt>
                <c:pt idx="241">
                  <c:v>97.9996090695856</c:v>
                </c:pt>
                <c:pt idx="242">
                  <c:v>97.6457142857143</c:v>
                </c:pt>
                <c:pt idx="243">
                  <c:v>98.0397580839146</c:v>
                </c:pt>
                <c:pt idx="244">
                  <c:v>81.8448275862069</c:v>
                </c:pt>
                <c:pt idx="245">
                  <c:v>97.7603365705672</c:v>
                </c:pt>
                <c:pt idx="246">
                  <c:v>84.0716790027269</c:v>
                </c:pt>
                <c:pt idx="247">
                  <c:v>97.9613405734874</c:v>
                </c:pt>
                <c:pt idx="248">
                  <c:v>76.027040103856</c:v>
                </c:pt>
                <c:pt idx="249">
                  <c:v>103.650952380952</c:v>
                </c:pt>
                <c:pt idx="250">
                  <c:v>96.7607476635514</c:v>
                </c:pt>
                <c:pt idx="251">
                  <c:v>99.02</c:v>
                </c:pt>
                <c:pt idx="252">
                  <c:v>95.0909090909091</c:v>
                </c:pt>
                <c:pt idx="253">
                  <c:v>99.9851485148515</c:v>
                </c:pt>
                <c:pt idx="254">
                  <c:v>91.8771205868867</c:v>
                </c:pt>
                <c:pt idx="255">
                  <c:v>98.2679705099324</c:v>
                </c:pt>
                <c:pt idx="256">
                  <c:v>100.001666111296</c:v>
                </c:pt>
                <c:pt idx="257">
                  <c:v>105</c:v>
                </c:pt>
                <c:pt idx="258">
                  <c:v>90.9952358265841</c:v>
                </c:pt>
                <c:pt idx="259">
                  <c:v>98.7649044739193</c:v>
                </c:pt>
                <c:pt idx="260">
                  <c:v>98.7765990239249</c:v>
                </c:pt>
                <c:pt idx="261">
                  <c:v>102.995438472218</c:v>
                </c:pt>
                <c:pt idx="262">
                  <c:v>101.051517099689</c:v>
                </c:pt>
                <c:pt idx="263">
                  <c:v>99.7486059436439</c:v>
                </c:pt>
                <c:pt idx="264">
                  <c:v>89.8393055596267</c:v>
                </c:pt>
                <c:pt idx="265">
                  <c:v>94.8662958920249</c:v>
                </c:pt>
                <c:pt idx="266">
                  <c:v>92.743482402946</c:v>
                </c:pt>
                <c:pt idx="267">
                  <c:v>91.5779102098402</c:v>
                </c:pt>
                <c:pt idx="268">
                  <c:v>93.416265060241</c:v>
                </c:pt>
                <c:pt idx="269">
                  <c:v>90.0641658440276</c:v>
                </c:pt>
                <c:pt idx="270">
                  <c:v>90.5585219880302</c:v>
                </c:pt>
                <c:pt idx="271">
                  <c:v>87.5667504859252</c:v>
                </c:pt>
                <c:pt idx="272">
                  <c:v>88.7004698940007</c:v>
                </c:pt>
                <c:pt idx="273">
                  <c:v>89.0243646326807</c:v>
                </c:pt>
                <c:pt idx="274">
                  <c:v>85.5727631578947</c:v>
                </c:pt>
                <c:pt idx="275">
                  <c:v>87</c:v>
                </c:pt>
                <c:pt idx="276">
                  <c:v>87.2001507939682</c:v>
                </c:pt>
                <c:pt idx="277">
                  <c:v>90.97</c:v>
                </c:pt>
                <c:pt idx="278">
                  <c:v>90.9701492537313</c:v>
                </c:pt>
                <c:pt idx="279">
                  <c:v>91.1366764995084</c:v>
                </c:pt>
                <c:pt idx="280">
                  <c:v>89.6021954001899</c:v>
                </c:pt>
                <c:pt idx="281">
                  <c:v>88.8569183096061</c:v>
                </c:pt>
                <c:pt idx="282">
                  <c:v>85.804347826087</c:v>
                </c:pt>
                <c:pt idx="283">
                  <c:v>80</c:v>
                </c:pt>
                <c:pt idx="284">
                  <c:v>85.9983388704319</c:v>
                </c:pt>
                <c:pt idx="285">
                  <c:v>87.3067567567568</c:v>
                </c:pt>
                <c:pt idx="286">
                  <c:v>81.495322468988</c:v>
                </c:pt>
                <c:pt idx="287">
                  <c:v>81.4940119760479</c:v>
                </c:pt>
                <c:pt idx="288">
                  <c:v>80</c:v>
                </c:pt>
                <c:pt idx="289">
                  <c:v>85.0680677696626</c:v>
                </c:pt>
                <c:pt idx="290">
                  <c:v>86.9814303052936</c:v>
                </c:pt>
                <c:pt idx="291">
                  <c:v>86.1661807580175</c:v>
                </c:pt>
                <c:pt idx="292">
                  <c:v>82.8624402147389</c:v>
                </c:pt>
                <c:pt idx="293">
                  <c:v>84.4172093023256</c:v>
                </c:pt>
                <c:pt idx="294">
                  <c:v>86.7999437517578</c:v>
                </c:pt>
                <c:pt idx="295">
                  <c:v>82.2329788461305</c:v>
                </c:pt>
                <c:pt idx="296">
                  <c:v>85.4215586837145</c:v>
                </c:pt>
                <c:pt idx="297">
                  <c:v>85.4174603174603</c:v>
                </c:pt>
                <c:pt idx="298">
                  <c:v>84.9918758631895</c:v>
                </c:pt>
                <c:pt idx="299">
                  <c:v>85.9456786100097</c:v>
                </c:pt>
                <c:pt idx="300">
                  <c:v>83.2839069614125</c:v>
                </c:pt>
                <c:pt idx="301">
                  <c:v>79.110640026515</c:v>
                </c:pt>
                <c:pt idx="302">
                  <c:v>82.7272495863561</c:v>
                </c:pt>
                <c:pt idx="303">
                  <c:v>80.242351869543</c:v>
                </c:pt>
                <c:pt idx="304">
                  <c:v>82.9983793595229</c:v>
                </c:pt>
                <c:pt idx="305">
                  <c:v>82.5398631859873</c:v>
                </c:pt>
                <c:pt idx="306">
                  <c:v>80</c:v>
                </c:pt>
                <c:pt idx="307">
                  <c:v>76</c:v>
                </c:pt>
                <c:pt idx="308">
                  <c:v>76</c:v>
                </c:pt>
                <c:pt idx="309">
                  <c:v>76</c:v>
                </c:pt>
                <c:pt idx="310">
                  <c:v>76</c:v>
                </c:pt>
                <c:pt idx="311">
                  <c:v>76</c:v>
                </c:pt>
                <c:pt idx="312">
                  <c:v>60.368206336201</c:v>
                </c:pt>
                <c:pt idx="313">
                  <c:v>73.8072289156626</c:v>
                </c:pt>
                <c:pt idx="314">
                  <c:v>79.9923657043951</c:v>
                </c:pt>
                <c:pt idx="315">
                  <c:v>66</c:v>
                </c:pt>
                <c:pt idx="316">
                  <c:v>81.4967163053723</c:v>
                </c:pt>
                <c:pt idx="317">
                  <c:v>63.0508087283534</c:v>
                </c:pt>
                <c:pt idx="318">
                  <c:v>62.007493755204</c:v>
                </c:pt>
                <c:pt idx="319">
                  <c:v>73.8647568287808</c:v>
                </c:pt>
                <c:pt idx="320">
                  <c:v>74.536354056902</c:v>
                </c:pt>
                <c:pt idx="321">
                  <c:v>71</c:v>
                </c:pt>
                <c:pt idx="322">
                  <c:v>74.960396039604</c:v>
                </c:pt>
                <c:pt idx="323">
                  <c:v>70</c:v>
                </c:pt>
                <c:pt idx="324">
                  <c:v>75</c:v>
                </c:pt>
                <c:pt idx="325">
                  <c:v>70.0013577363819</c:v>
                </c:pt>
                <c:pt idx="326">
                  <c:v>71</c:v>
                </c:pt>
                <c:pt idx="327">
                  <c:v>71</c:v>
                </c:pt>
                <c:pt idx="328">
                  <c:v>71.02</c:v>
                </c:pt>
                <c:pt idx="329">
                  <c:v>76.6372837266239</c:v>
                </c:pt>
                <c:pt idx="330">
                  <c:v>77.9994416446684</c:v>
                </c:pt>
                <c:pt idx="331">
                  <c:v>71</c:v>
                </c:pt>
                <c:pt idx="332">
                  <c:v>73.0399153361555</c:v>
                </c:pt>
                <c:pt idx="333">
                  <c:v>66.0402608515446</c:v>
                </c:pt>
                <c:pt idx="334">
                  <c:v>67.2835709334813</c:v>
                </c:pt>
                <c:pt idx="335">
                  <c:v>57.7985486443381</c:v>
                </c:pt>
                <c:pt idx="336">
                  <c:v>76.5864379015055</c:v>
                </c:pt>
                <c:pt idx="337">
                  <c:v>76.399584157652</c:v>
                </c:pt>
                <c:pt idx="338">
                  <c:v>79.2312490588964</c:v>
                </c:pt>
                <c:pt idx="339">
                  <c:v>79.9366683102566</c:v>
                </c:pt>
                <c:pt idx="340">
                  <c:v>77.1920637142831</c:v>
                </c:pt>
                <c:pt idx="341">
                  <c:v>80.386883384456</c:v>
                </c:pt>
                <c:pt idx="342">
                  <c:v>77.6779988027271</c:v>
                </c:pt>
                <c:pt idx="343">
                  <c:v>71.6680670967928</c:v>
                </c:pt>
                <c:pt idx="344">
                  <c:v>69.8496483539887</c:v>
                </c:pt>
                <c:pt idx="345">
                  <c:v>72.2682234380582</c:v>
                </c:pt>
                <c:pt idx="346">
                  <c:v>71.3837562593883</c:v>
                </c:pt>
                <c:pt idx="347">
                  <c:v>61.7204200430768</c:v>
                </c:pt>
                <c:pt idx="348">
                  <c:v>68.2408422126815</c:v>
                </c:pt>
                <c:pt idx="349">
                  <c:v>71.6237327289957</c:v>
                </c:pt>
                <c:pt idx="350">
                  <c:v>58.3237114955902</c:v>
                </c:pt>
                <c:pt idx="351">
                  <c:v>71.7782061533321</c:v>
                </c:pt>
                <c:pt idx="352">
                  <c:v>63.1589443111201</c:v>
                </c:pt>
                <c:pt idx="353">
                  <c:v>71.3153953990168</c:v>
                </c:pt>
                <c:pt idx="354">
                  <c:v>74.5346560944709</c:v>
                </c:pt>
                <c:pt idx="355">
                  <c:v>70.5902073346712</c:v>
                </c:pt>
                <c:pt idx="356">
                  <c:v>70.3501015111927</c:v>
                </c:pt>
                <c:pt idx="357">
                  <c:v>71.8620338898852</c:v>
                </c:pt>
                <c:pt idx="358">
                  <c:v>70.8692006450127</c:v>
                </c:pt>
                <c:pt idx="359">
                  <c:v>71.5131034098587</c:v>
                </c:pt>
                <c:pt idx="360">
                  <c:v>71.8811109995084</c:v>
                </c:pt>
                <c:pt idx="361">
                  <c:v>69.158879301457</c:v>
                </c:pt>
                <c:pt idx="362">
                  <c:v>71.371222133758</c:v>
                </c:pt>
                <c:pt idx="363">
                  <c:v>72.1026595970483</c:v>
                </c:pt>
                <c:pt idx="364">
                  <c:v>72.1792683587809</c:v>
                </c:pt>
                <c:pt idx="365">
                  <c:v>68.1425336404926</c:v>
                </c:pt>
                <c:pt idx="366">
                  <c:v>70.5389789992677</c:v>
                </c:pt>
                <c:pt idx="367">
                  <c:v>69.9903586209887</c:v>
                </c:pt>
                <c:pt idx="368">
                  <c:v>63.0713619516543</c:v>
                </c:pt>
                <c:pt idx="369">
                  <c:v>67.2980556473381</c:v>
                </c:pt>
                <c:pt idx="370">
                  <c:v>70.7534673415778</c:v>
                </c:pt>
                <c:pt idx="371">
                  <c:v>72.6782458991379</c:v>
                </c:pt>
                <c:pt idx="372">
                  <c:v>72.2277313512346</c:v>
                </c:pt>
                <c:pt idx="373">
                  <c:v>73.0079728935328</c:v>
                </c:pt>
                <c:pt idx="374">
                  <c:v>73.5676139730275</c:v>
                </c:pt>
                <c:pt idx="375">
                  <c:v>76.1053588018902</c:v>
                </c:pt>
                <c:pt idx="376">
                  <c:v>76.7315266724981</c:v>
                </c:pt>
                <c:pt idx="377">
                  <c:v>72.2926643500205</c:v>
                </c:pt>
                <c:pt idx="378">
                  <c:v>71.4870109162364</c:v>
                </c:pt>
                <c:pt idx="379">
                  <c:v>68.0086745078036</c:v>
                </c:pt>
                <c:pt idx="380">
                  <c:v>70.4902895845596</c:v>
                </c:pt>
                <c:pt idx="381">
                  <c:v>68.3283852003183</c:v>
                </c:pt>
                <c:pt idx="382">
                  <c:v>74.531299098077</c:v>
                </c:pt>
                <c:pt idx="383">
                  <c:v>75.8875545588264</c:v>
                </c:pt>
                <c:pt idx="384">
                  <c:v>78.0613456797873</c:v>
                </c:pt>
                <c:pt idx="385">
                  <c:v>80.5840577917647</c:v>
                </c:pt>
                <c:pt idx="386">
                  <c:v>68.1635520158025</c:v>
                </c:pt>
                <c:pt idx="387">
                  <c:v>68.6269813534173</c:v>
                </c:pt>
                <c:pt idx="388">
                  <c:v>61.5706705916701</c:v>
                </c:pt>
                <c:pt idx="389">
                  <c:v>68.4832316495546</c:v>
                </c:pt>
                <c:pt idx="390">
                  <c:v>66.2259233314457</c:v>
                </c:pt>
                <c:pt idx="391">
                  <c:v>68.2717136884025</c:v>
                </c:pt>
                <c:pt idx="392">
                  <c:v>66.122403080356</c:v>
                </c:pt>
                <c:pt idx="393">
                  <c:v>69.7867814857135</c:v>
                </c:pt>
                <c:pt idx="394">
                  <c:v>68.4624158497109</c:v>
                </c:pt>
                <c:pt idx="395">
                  <c:v>70.8721469218388</c:v>
                </c:pt>
                <c:pt idx="396">
                  <c:v>70.6323782991895</c:v>
                </c:pt>
                <c:pt idx="397">
                  <c:v>68.290028400252</c:v>
                </c:pt>
                <c:pt idx="398">
                  <c:v>70.3419561641353</c:v>
                </c:pt>
                <c:pt idx="399">
                  <c:v>67.6782035811476</c:v>
                </c:pt>
                <c:pt idx="400">
                  <c:v>71.1191491280034</c:v>
                </c:pt>
                <c:pt idx="401">
                  <c:v>72.1162474548958</c:v>
                </c:pt>
                <c:pt idx="402">
                  <c:v>69.3702289465246</c:v>
                </c:pt>
                <c:pt idx="403">
                  <c:v>74.3966942400569</c:v>
                </c:pt>
                <c:pt idx="404">
                  <c:v>72.544716920517</c:v>
                </c:pt>
                <c:pt idx="405">
                  <c:v>73.9082611840703</c:v>
                </c:pt>
                <c:pt idx="406">
                  <c:v>73.7272560493242</c:v>
                </c:pt>
                <c:pt idx="407">
                  <c:v>68.4168989007586</c:v>
                </c:pt>
                <c:pt idx="408">
                  <c:v>67.4493230447021</c:v>
                </c:pt>
                <c:pt idx="409">
                  <c:v>64.363989185492</c:v>
                </c:pt>
                <c:pt idx="410">
                  <c:v>65.3671915448871</c:v>
                </c:pt>
                <c:pt idx="411">
                  <c:v>61.9322600331172</c:v>
                </c:pt>
                <c:pt idx="412">
                  <c:v>56.5027104168279</c:v>
                </c:pt>
                <c:pt idx="413">
                  <c:v>68.6534945136913</c:v>
                </c:pt>
                <c:pt idx="414">
                  <c:v>54.7953041232174</c:v>
                </c:pt>
                <c:pt idx="415">
                  <c:v>63.982356060008</c:v>
                </c:pt>
                <c:pt idx="416">
                  <c:v>66.3901015918047</c:v>
                </c:pt>
                <c:pt idx="417">
                  <c:v>64.2861355014693</c:v>
                </c:pt>
                <c:pt idx="418">
                  <c:v>60.3202704619838</c:v>
                </c:pt>
                <c:pt idx="419">
                  <c:v>55.5187084584439</c:v>
                </c:pt>
                <c:pt idx="420">
                  <c:v>61.8579006196267</c:v>
                </c:pt>
                <c:pt idx="421">
                  <c:v>67.9464228867618</c:v>
                </c:pt>
                <c:pt idx="422">
                  <c:v>63.7005585945404</c:v>
                </c:pt>
                <c:pt idx="423">
                  <c:v>52.4807901225056</c:v>
                </c:pt>
                <c:pt idx="424">
                  <c:v>67.5</c:v>
                </c:pt>
                <c:pt idx="425">
                  <c:v>58.7807594029626</c:v>
                </c:pt>
                <c:pt idx="426">
                  <c:v>55.7006175147215</c:v>
                </c:pt>
                <c:pt idx="427">
                  <c:v>70</c:v>
                </c:pt>
                <c:pt idx="428">
                  <c:v>70.066365737009</c:v>
                </c:pt>
                <c:pt idx="429">
                  <c:v>54.781320523032</c:v>
                </c:pt>
                <c:pt idx="430">
                  <c:v>67.2197229363039</c:v>
                </c:pt>
                <c:pt idx="431">
                  <c:v>67.324506387921</c:v>
                </c:pt>
                <c:pt idx="432">
                  <c:v>67.2054776739356</c:v>
                </c:pt>
                <c:pt idx="433">
                  <c:v>67</c:v>
                </c:pt>
                <c:pt idx="434">
                  <c:v>63.9649314072863</c:v>
                </c:pt>
                <c:pt idx="435">
                  <c:v>66</c:v>
                </c:pt>
                <c:pt idx="436">
                  <c:v>63.7503452880054</c:v>
                </c:pt>
                <c:pt idx="437">
                  <c:v>64.9722050648548</c:v>
                </c:pt>
                <c:pt idx="438">
                  <c:v>62.8028569452131</c:v>
                </c:pt>
                <c:pt idx="439">
                  <c:v>64.7439024390244</c:v>
                </c:pt>
                <c:pt idx="440">
                  <c:v>61.0526315789474</c:v>
                </c:pt>
                <c:pt idx="441">
                  <c:v>64</c:v>
                </c:pt>
                <c:pt idx="442">
                  <c:v>63.4763861386139</c:v>
                </c:pt>
                <c:pt idx="443">
                  <c:v>64</c:v>
                </c:pt>
                <c:pt idx="444">
                  <c:v>56.0398009950249</c:v>
                </c:pt>
                <c:pt idx="445">
                  <c:v>57.9672805837816</c:v>
                </c:pt>
                <c:pt idx="446">
                  <c:v>61</c:v>
                </c:pt>
                <c:pt idx="447">
                  <c:v>61</c:v>
                </c:pt>
                <c:pt idx="448">
                  <c:v>61.0238568588469</c:v>
                </c:pt>
                <c:pt idx="449">
                  <c:v>60</c:v>
                </c:pt>
                <c:pt idx="450">
                  <c:v>60</c:v>
                </c:pt>
                <c:pt idx="451">
                  <c:v>60</c:v>
                </c:pt>
                <c:pt idx="452">
                  <c:v>51.0384818133896</c:v>
                </c:pt>
                <c:pt idx="453">
                  <c:v>60</c:v>
                </c:pt>
                <c:pt idx="454">
                  <c:v>59.4966887417219</c:v>
                </c:pt>
                <c:pt idx="455">
                  <c:v>55.7060717802624</c:v>
                </c:pt>
                <c:pt idx="456">
                  <c:v>58.9975562316094</c:v>
                </c:pt>
                <c:pt idx="457">
                  <c:v>42.9861751152074</c:v>
                </c:pt>
                <c:pt idx="458">
                  <c:v>54.6865671641791</c:v>
                </c:pt>
                <c:pt idx="459">
                  <c:v>60</c:v>
                </c:pt>
                <c:pt idx="460">
                  <c:v>60</c:v>
                </c:pt>
                <c:pt idx="461">
                  <c:v>58.1340056327791</c:v>
                </c:pt>
                <c:pt idx="462">
                  <c:v>57.5</c:v>
                </c:pt>
                <c:pt idx="463">
                  <c:v>57.4000999000999</c:v>
                </c:pt>
                <c:pt idx="464">
                  <c:v>57.4</c:v>
                </c:pt>
                <c:pt idx="465">
                  <c:v>42.9950523814155</c:v>
                </c:pt>
                <c:pt idx="466">
                  <c:v>57.531421446384</c:v>
                </c:pt>
                <c:pt idx="467">
                  <c:v>57.8</c:v>
                </c:pt>
                <c:pt idx="468">
                  <c:v>57.8</c:v>
                </c:pt>
                <c:pt idx="469">
                  <c:v>57</c:v>
                </c:pt>
                <c:pt idx="470">
                  <c:v>57</c:v>
                </c:pt>
                <c:pt idx="471">
                  <c:v>57</c:v>
                </c:pt>
                <c:pt idx="472">
                  <c:v>57</c:v>
                </c:pt>
                <c:pt idx="473">
                  <c:v>43.1138613861386</c:v>
                </c:pt>
                <c:pt idx="474">
                  <c:v>58.6</c:v>
                </c:pt>
                <c:pt idx="475">
                  <c:v>58.5</c:v>
                </c:pt>
                <c:pt idx="476">
                  <c:v>58.5</c:v>
                </c:pt>
                <c:pt idx="477">
                  <c:v>58.5</c:v>
                </c:pt>
                <c:pt idx="478">
                  <c:v>43.1138613861386</c:v>
                </c:pt>
                <c:pt idx="479">
                  <c:v>57.5098039215686</c:v>
                </c:pt>
                <c:pt idx="480">
                  <c:v>58.4988607002981</c:v>
                </c:pt>
                <c:pt idx="481">
                  <c:v>57</c:v>
                </c:pt>
                <c:pt idx="482">
                  <c:v>57</c:v>
                </c:pt>
                <c:pt idx="483">
                  <c:v>57</c:v>
                </c:pt>
                <c:pt idx="484">
                  <c:v>57</c:v>
                </c:pt>
                <c:pt idx="485">
                  <c:v>57</c:v>
                </c:pt>
                <c:pt idx="486">
                  <c:v>56.0021078834842</c:v>
                </c:pt>
                <c:pt idx="487">
                  <c:v>57.2050924894139</c:v>
                </c:pt>
                <c:pt idx="488">
                  <c:v>57</c:v>
                </c:pt>
                <c:pt idx="489">
                  <c:v>56.3250668578203</c:v>
                </c:pt>
                <c:pt idx="490">
                  <c:v>56.3240970499035</c:v>
                </c:pt>
                <c:pt idx="491">
                  <c:v>56.5</c:v>
                </c:pt>
                <c:pt idx="492">
                  <c:v>57.0989010989011</c:v>
                </c:pt>
                <c:pt idx="493">
                  <c:v>56</c:v>
                </c:pt>
                <c:pt idx="494">
                  <c:v>56</c:v>
                </c:pt>
                <c:pt idx="495">
                  <c:v>56</c:v>
                </c:pt>
                <c:pt idx="496">
                  <c:v>55.1568154190996</c:v>
                </c:pt>
                <c:pt idx="497">
                  <c:v>57.304347826087</c:v>
                </c:pt>
                <c:pt idx="498">
                  <c:v>55.5</c:v>
                </c:pt>
                <c:pt idx="499">
                  <c:v>55.5</c:v>
                </c:pt>
                <c:pt idx="500">
                  <c:v>55</c:v>
                </c:pt>
                <c:pt idx="501">
                  <c:v>55</c:v>
                </c:pt>
                <c:pt idx="502">
                  <c:v>54.9248334919125</c:v>
                </c:pt>
                <c:pt idx="503">
                  <c:v>53.4</c:v>
                </c:pt>
                <c:pt idx="504">
                  <c:v>53.4</c:v>
                </c:pt>
                <c:pt idx="505">
                  <c:v>57.4998633378887</c:v>
                </c:pt>
                <c:pt idx="506">
                  <c:v>42.9860349127182</c:v>
                </c:pt>
                <c:pt idx="507">
                  <c:v>56</c:v>
                </c:pt>
                <c:pt idx="508">
                  <c:v>56</c:v>
                </c:pt>
                <c:pt idx="509">
                  <c:v>56</c:v>
                </c:pt>
                <c:pt idx="510">
                  <c:v>56</c:v>
                </c:pt>
                <c:pt idx="511">
                  <c:v>56</c:v>
                </c:pt>
                <c:pt idx="512">
                  <c:v>56</c:v>
                </c:pt>
                <c:pt idx="513">
                  <c:v>56</c:v>
                </c:pt>
                <c:pt idx="514">
                  <c:v>56</c:v>
                </c:pt>
                <c:pt idx="515">
                  <c:v>55.4</c:v>
                </c:pt>
                <c:pt idx="516">
                  <c:v>50.5202749825645</c:v>
                </c:pt>
                <c:pt idx="517">
                  <c:v>56</c:v>
                </c:pt>
                <c:pt idx="518">
                  <c:v>56.0999750062484</c:v>
                </c:pt>
                <c:pt idx="519">
                  <c:v>56</c:v>
                </c:pt>
                <c:pt idx="520">
                  <c:v>47.8342583298255</c:v>
                </c:pt>
                <c:pt idx="521">
                  <c:v>56</c:v>
                </c:pt>
                <c:pt idx="522">
                  <c:v>51.5938668346986</c:v>
                </c:pt>
                <c:pt idx="523">
                  <c:v>56</c:v>
                </c:pt>
                <c:pt idx="524">
                  <c:v>56</c:v>
                </c:pt>
                <c:pt idx="525">
                  <c:v>56</c:v>
                </c:pt>
                <c:pt idx="526">
                  <c:v>56</c:v>
                </c:pt>
                <c:pt idx="527">
                  <c:v>56</c:v>
                </c:pt>
                <c:pt idx="528">
                  <c:v>57</c:v>
                </c:pt>
                <c:pt idx="529">
                  <c:v>56.7482517482517</c:v>
                </c:pt>
                <c:pt idx="530">
                  <c:v>56</c:v>
                </c:pt>
                <c:pt idx="531">
                  <c:v>56</c:v>
                </c:pt>
                <c:pt idx="532">
                  <c:v>56.0049504950495</c:v>
                </c:pt>
                <c:pt idx="533">
                  <c:v>56</c:v>
                </c:pt>
                <c:pt idx="534">
                  <c:v>56</c:v>
                </c:pt>
                <c:pt idx="535">
                  <c:v>56</c:v>
                </c:pt>
                <c:pt idx="536">
                  <c:v>56</c:v>
                </c:pt>
                <c:pt idx="537">
                  <c:v>56.6982543640898</c:v>
                </c:pt>
                <c:pt idx="538">
                  <c:v>55.5049504950495</c:v>
                </c:pt>
                <c:pt idx="539">
                  <c:v>56.6999766674444</c:v>
                </c:pt>
                <c:pt idx="540">
                  <c:v>55</c:v>
                </c:pt>
                <c:pt idx="541">
                  <c:v>55.5</c:v>
                </c:pt>
                <c:pt idx="542">
                  <c:v>55</c:v>
                </c:pt>
                <c:pt idx="543">
                  <c:v>55</c:v>
                </c:pt>
                <c:pt idx="544">
                  <c:v>55.00001499985</c:v>
                </c:pt>
                <c:pt idx="545">
                  <c:v>56.5</c:v>
                </c:pt>
                <c:pt idx="546">
                  <c:v>57</c:v>
                </c:pt>
                <c:pt idx="547">
                  <c:v>57</c:v>
                </c:pt>
                <c:pt idx="548">
                  <c:v>56.2</c:v>
                </c:pt>
                <c:pt idx="549">
                  <c:v>56.3</c:v>
                </c:pt>
                <c:pt idx="550">
                  <c:v>56.295222625645</c:v>
                </c:pt>
                <c:pt idx="551">
                  <c:v>57.4063523759009</c:v>
                </c:pt>
                <c:pt idx="552">
                  <c:v>57.4962593516209</c:v>
                </c:pt>
                <c:pt idx="553">
                  <c:v>56</c:v>
                </c:pt>
                <c:pt idx="554">
                  <c:v>56</c:v>
                </c:pt>
                <c:pt idx="555">
                  <c:v>55.5004995004995</c:v>
                </c:pt>
                <c:pt idx="556">
                  <c:v>56</c:v>
                </c:pt>
                <c:pt idx="557">
                  <c:v>56</c:v>
                </c:pt>
                <c:pt idx="558">
                  <c:v>56</c:v>
                </c:pt>
                <c:pt idx="559">
                  <c:v>56</c:v>
                </c:pt>
                <c:pt idx="560">
                  <c:v>56</c:v>
                </c:pt>
                <c:pt idx="561">
                  <c:v>56</c:v>
                </c:pt>
                <c:pt idx="562">
                  <c:v>56</c:v>
                </c:pt>
                <c:pt idx="563">
                  <c:v>56</c:v>
                </c:pt>
                <c:pt idx="564">
                  <c:v>56</c:v>
                </c:pt>
                <c:pt idx="565">
                  <c:v>56</c:v>
                </c:pt>
                <c:pt idx="566">
                  <c:v>56</c:v>
                </c:pt>
                <c:pt idx="567">
                  <c:v>55.73</c:v>
                </c:pt>
                <c:pt idx="568">
                  <c:v>55.73</c:v>
                </c:pt>
                <c:pt idx="569">
                  <c:v>55.5</c:v>
                </c:pt>
                <c:pt idx="570">
                  <c:v>55.5</c:v>
                </c:pt>
                <c:pt idx="571">
                  <c:v>55.73</c:v>
                </c:pt>
                <c:pt idx="572">
                  <c:v>56</c:v>
                </c:pt>
                <c:pt idx="573">
                  <c:v>56</c:v>
                </c:pt>
                <c:pt idx="574">
                  <c:v>56</c:v>
                </c:pt>
                <c:pt idx="575">
                  <c:v>55</c:v>
                </c:pt>
                <c:pt idx="576">
                  <c:v>55</c:v>
                </c:pt>
                <c:pt idx="577">
                  <c:v>55</c:v>
                </c:pt>
                <c:pt idx="578">
                  <c:v>55</c:v>
                </c:pt>
                <c:pt idx="579">
                  <c:v>49.3131247934202</c:v>
                </c:pt>
                <c:pt idx="580">
                  <c:v>54.2978477940884</c:v>
                </c:pt>
                <c:pt idx="581">
                  <c:v>57.6072466534727</c:v>
                </c:pt>
                <c:pt idx="582">
                  <c:v>55.3703633813746</c:v>
                </c:pt>
                <c:pt idx="583">
                  <c:v>54.9581798759091</c:v>
                </c:pt>
                <c:pt idx="584">
                  <c:v>56.6286138012765</c:v>
                </c:pt>
                <c:pt idx="585">
                  <c:v>55.3033181247164</c:v>
                </c:pt>
                <c:pt idx="586">
                  <c:v>56.3753130928883</c:v>
                </c:pt>
                <c:pt idx="587">
                  <c:v>54.5364460956222</c:v>
                </c:pt>
                <c:pt idx="588">
                  <c:v>56.008058385282</c:v>
                </c:pt>
                <c:pt idx="589">
                  <c:v>57.4325915252428</c:v>
                </c:pt>
                <c:pt idx="590">
                  <c:v>57.2692034166102</c:v>
                </c:pt>
                <c:pt idx="591">
                  <c:v>56.546285</c:v>
                </c:pt>
                <c:pt idx="592">
                  <c:v>56.8</c:v>
                </c:pt>
                <c:pt idx="593">
                  <c:v>58.0324232081911</c:v>
                </c:pt>
                <c:pt idx="594">
                  <c:v>57.5</c:v>
                </c:pt>
                <c:pt idx="595">
                  <c:v>57.4448556624722</c:v>
                </c:pt>
                <c:pt idx="596">
                  <c:v>57.3852459016393</c:v>
                </c:pt>
                <c:pt idx="597">
                  <c:v>57</c:v>
                </c:pt>
                <c:pt idx="598">
                  <c:v>57.6892430278884</c:v>
                </c:pt>
                <c:pt idx="599">
                  <c:v>58.0793999196031</c:v>
                </c:pt>
                <c:pt idx="600">
                  <c:v>57.5236200696387</c:v>
                </c:pt>
                <c:pt idx="601">
                  <c:v>58.9970025087157</c:v>
                </c:pt>
                <c:pt idx="602">
                  <c:v>52.0619870576473</c:v>
                </c:pt>
                <c:pt idx="603">
                  <c:v>55.3609007130566</c:v>
                </c:pt>
                <c:pt idx="604">
                  <c:v>48.5092592592593</c:v>
                </c:pt>
                <c:pt idx="605">
                  <c:v>58</c:v>
                </c:pt>
                <c:pt idx="606">
                  <c:v>57.8554317700125</c:v>
                </c:pt>
                <c:pt idx="607">
                  <c:v>57.8</c:v>
                </c:pt>
                <c:pt idx="608">
                  <c:v>57.5000047617914</c:v>
                </c:pt>
                <c:pt idx="609">
                  <c:v>57.0170075800658</c:v>
                </c:pt>
                <c:pt idx="610">
                  <c:v>57.8</c:v>
                </c:pt>
                <c:pt idx="611">
                  <c:v>57.5</c:v>
                </c:pt>
                <c:pt idx="612">
                  <c:v>58.900783492359</c:v>
                </c:pt>
                <c:pt idx="613">
                  <c:v>58</c:v>
                </c:pt>
                <c:pt idx="614">
                  <c:v>58</c:v>
                </c:pt>
                <c:pt idx="615">
                  <c:v>58</c:v>
                </c:pt>
                <c:pt idx="616">
                  <c:v>57.8678399929512</c:v>
                </c:pt>
                <c:pt idx="617">
                  <c:v>58.0804597701149</c:v>
                </c:pt>
                <c:pt idx="618">
                  <c:v>58.4994797086368</c:v>
                </c:pt>
                <c:pt idx="619">
                  <c:v>58</c:v>
                </c:pt>
                <c:pt idx="620">
                  <c:v>42.5537962544865</c:v>
                </c:pt>
                <c:pt idx="621">
                  <c:v>58</c:v>
                </c:pt>
                <c:pt idx="622">
                  <c:v>43.3043682937519</c:v>
                </c:pt>
                <c:pt idx="623">
                  <c:v>58</c:v>
                </c:pt>
                <c:pt idx="624">
                  <c:v>57.2436684870894</c:v>
                </c:pt>
                <c:pt idx="625">
                  <c:v>59.4444444444444</c:v>
                </c:pt>
                <c:pt idx="626">
                  <c:v>58.7</c:v>
                </c:pt>
                <c:pt idx="627">
                  <c:v>58</c:v>
                </c:pt>
                <c:pt idx="628">
                  <c:v>58.4909090909091</c:v>
                </c:pt>
                <c:pt idx="629">
                  <c:v>57.5454545454545</c:v>
                </c:pt>
                <c:pt idx="630">
                  <c:v>58.5</c:v>
                </c:pt>
                <c:pt idx="631">
                  <c:v>58</c:v>
                </c:pt>
                <c:pt idx="632">
                  <c:v>58.475730994152</c:v>
                </c:pt>
                <c:pt idx="633">
                  <c:v>58</c:v>
                </c:pt>
                <c:pt idx="634">
                  <c:v>57.75</c:v>
                </c:pt>
                <c:pt idx="635">
                  <c:v>58</c:v>
                </c:pt>
                <c:pt idx="636">
                  <c:v>58.0197382198953</c:v>
                </c:pt>
                <c:pt idx="637">
                  <c:v>57.5</c:v>
                </c:pt>
                <c:pt idx="638">
                  <c:v>57.5</c:v>
                </c:pt>
                <c:pt idx="639">
                  <c:v>57.5</c:v>
                </c:pt>
                <c:pt idx="640">
                  <c:v>57.5</c:v>
                </c:pt>
                <c:pt idx="641">
                  <c:v>57.5</c:v>
                </c:pt>
                <c:pt idx="642">
                  <c:v>57.5</c:v>
                </c:pt>
                <c:pt idx="643">
                  <c:v>57.4761904761905</c:v>
                </c:pt>
                <c:pt idx="644">
                  <c:v>58</c:v>
                </c:pt>
                <c:pt idx="645">
                  <c:v>58</c:v>
                </c:pt>
                <c:pt idx="646">
                  <c:v>58</c:v>
                </c:pt>
                <c:pt idx="647">
                  <c:v>58</c:v>
                </c:pt>
                <c:pt idx="648">
                  <c:v>58</c:v>
                </c:pt>
                <c:pt idx="649">
                  <c:v>58</c:v>
                </c:pt>
                <c:pt idx="650">
                  <c:v>58.5</c:v>
                </c:pt>
                <c:pt idx="651">
                  <c:v>58</c:v>
                </c:pt>
                <c:pt idx="652">
                  <c:v>58</c:v>
                </c:pt>
                <c:pt idx="653">
                  <c:v>58.5</c:v>
                </c:pt>
                <c:pt idx="654">
                  <c:v>58.991789819376</c:v>
                </c:pt>
                <c:pt idx="655">
                  <c:v>58.9761904761905</c:v>
                </c:pt>
                <c:pt idx="656">
                  <c:v>58.5</c:v>
                </c:pt>
                <c:pt idx="657">
                  <c:v>58</c:v>
                </c:pt>
                <c:pt idx="658">
                  <c:v>58</c:v>
                </c:pt>
                <c:pt idx="659">
                  <c:v>58</c:v>
                </c:pt>
                <c:pt idx="660">
                  <c:v>58</c:v>
                </c:pt>
                <c:pt idx="661">
                  <c:v>58.5</c:v>
                </c:pt>
                <c:pt idx="662">
                  <c:v>58.5</c:v>
                </c:pt>
                <c:pt idx="663">
                  <c:v>58.5</c:v>
                </c:pt>
                <c:pt idx="664">
                  <c:v>58.4237288135593</c:v>
                </c:pt>
                <c:pt idx="665">
                  <c:v>58.8001166472255</c:v>
                </c:pt>
                <c:pt idx="666">
                  <c:v>58</c:v>
                </c:pt>
                <c:pt idx="667">
                  <c:v>58</c:v>
                </c:pt>
                <c:pt idx="668">
                  <c:v>58</c:v>
                </c:pt>
                <c:pt idx="669">
                  <c:v>58</c:v>
                </c:pt>
                <c:pt idx="670">
                  <c:v>58</c:v>
                </c:pt>
                <c:pt idx="671">
                  <c:v>58</c:v>
                </c:pt>
                <c:pt idx="672">
                  <c:v>58.4991771917555</c:v>
                </c:pt>
                <c:pt idx="673">
                  <c:v>58</c:v>
                </c:pt>
                <c:pt idx="674">
                  <c:v>58</c:v>
                </c:pt>
                <c:pt idx="675">
                  <c:v>46.0383480825959</c:v>
                </c:pt>
                <c:pt idx="676">
                  <c:v>59</c:v>
                </c:pt>
                <c:pt idx="677">
                  <c:v>58.5</c:v>
                </c:pt>
                <c:pt idx="678">
                  <c:v>57.5</c:v>
                </c:pt>
                <c:pt idx="679">
                  <c:v>57.5</c:v>
                </c:pt>
                <c:pt idx="680">
                  <c:v>57.3466204506066</c:v>
                </c:pt>
                <c:pt idx="681">
                  <c:v>58.6785714285714</c:v>
                </c:pt>
                <c:pt idx="682">
                  <c:v>62.5339547270306</c:v>
                </c:pt>
                <c:pt idx="683">
                  <c:v>59.2029457885835</c:v>
                </c:pt>
                <c:pt idx="684">
                  <c:v>57</c:v>
                </c:pt>
                <c:pt idx="685">
                  <c:v>57.3</c:v>
                </c:pt>
                <c:pt idx="686">
                  <c:v>57.3</c:v>
                </c:pt>
                <c:pt idx="687">
                  <c:v>57</c:v>
                </c:pt>
                <c:pt idx="688">
                  <c:v>59.3171428571429</c:v>
                </c:pt>
                <c:pt idx="689">
                  <c:v>57.3380375449341</c:v>
                </c:pt>
                <c:pt idx="690">
                  <c:v>57.4</c:v>
                </c:pt>
                <c:pt idx="691">
                  <c:v>57.600999000999</c:v>
                </c:pt>
                <c:pt idx="692">
                  <c:v>58.24</c:v>
                </c:pt>
                <c:pt idx="693">
                  <c:v>57.2588522917729</c:v>
                </c:pt>
                <c:pt idx="694">
                  <c:v>59.1</c:v>
                </c:pt>
                <c:pt idx="695">
                  <c:v>58</c:v>
                </c:pt>
                <c:pt idx="696">
                  <c:v>58</c:v>
                </c:pt>
                <c:pt idx="697">
                  <c:v>57.0158638211382</c:v>
                </c:pt>
                <c:pt idx="698">
                  <c:v>59</c:v>
                </c:pt>
                <c:pt idx="699">
                  <c:v>57.2726768377254</c:v>
                </c:pt>
                <c:pt idx="700">
                  <c:v>57.5</c:v>
                </c:pt>
                <c:pt idx="701">
                  <c:v>59</c:v>
                </c:pt>
                <c:pt idx="702">
                  <c:v>57.6922662645411</c:v>
                </c:pt>
                <c:pt idx="703">
                  <c:v>57.5</c:v>
                </c:pt>
                <c:pt idx="704">
                  <c:v>58</c:v>
                </c:pt>
                <c:pt idx="705">
                  <c:v>59</c:v>
                </c:pt>
                <c:pt idx="706">
                  <c:v>60</c:v>
                </c:pt>
                <c:pt idx="707">
                  <c:v>61.1999000083326</c:v>
                </c:pt>
                <c:pt idx="708">
                  <c:v>55.0001999920003</c:v>
                </c:pt>
                <c:pt idx="709">
                  <c:v>60</c:v>
                </c:pt>
                <c:pt idx="710">
                  <c:v>59.6</c:v>
                </c:pt>
                <c:pt idx="711">
                  <c:v>59.25</c:v>
                </c:pt>
                <c:pt idx="712">
                  <c:v>59</c:v>
                </c:pt>
                <c:pt idx="713">
                  <c:v>59</c:v>
                </c:pt>
                <c:pt idx="714">
                  <c:v>59</c:v>
                </c:pt>
                <c:pt idx="715">
                  <c:v>59</c:v>
                </c:pt>
                <c:pt idx="716">
                  <c:v>59</c:v>
                </c:pt>
                <c:pt idx="717">
                  <c:v>59</c:v>
                </c:pt>
                <c:pt idx="718">
                  <c:v>59.6999533364442</c:v>
                </c:pt>
                <c:pt idx="719">
                  <c:v>59</c:v>
                </c:pt>
                <c:pt idx="720">
                  <c:v>59</c:v>
                </c:pt>
                <c:pt idx="721">
                  <c:v>59</c:v>
                </c:pt>
                <c:pt idx="722">
                  <c:v>59</c:v>
                </c:pt>
                <c:pt idx="723">
                  <c:v>55.000399960004</c:v>
                </c:pt>
                <c:pt idx="724">
                  <c:v>54.50007499875</c:v>
                </c:pt>
                <c:pt idx="725">
                  <c:v>59</c:v>
                </c:pt>
                <c:pt idx="726">
                  <c:v>54.7245671124201</c:v>
                </c:pt>
                <c:pt idx="727">
                  <c:v>59</c:v>
                </c:pt>
                <c:pt idx="728">
                  <c:v>59</c:v>
                </c:pt>
                <c:pt idx="729">
                  <c:v>59.1818181818182</c:v>
                </c:pt>
                <c:pt idx="730">
                  <c:v>58.9677419354839</c:v>
                </c:pt>
                <c:pt idx="731">
                  <c:v>58</c:v>
                </c:pt>
                <c:pt idx="732">
                  <c:v>60.9998500074996</c:v>
                </c:pt>
                <c:pt idx="733">
                  <c:v>58</c:v>
                </c:pt>
                <c:pt idx="734">
                  <c:v>58</c:v>
                </c:pt>
                <c:pt idx="735">
                  <c:v>58</c:v>
                </c:pt>
                <c:pt idx="736">
                  <c:v>58</c:v>
                </c:pt>
                <c:pt idx="737">
                  <c:v>58</c:v>
                </c:pt>
                <c:pt idx="738">
                  <c:v>58</c:v>
                </c:pt>
                <c:pt idx="739">
                  <c:v>58</c:v>
                </c:pt>
                <c:pt idx="740">
                  <c:v>59.9354611676109</c:v>
                </c:pt>
                <c:pt idx="741">
                  <c:v>58.499991379459</c:v>
                </c:pt>
                <c:pt idx="742">
                  <c:v>55.904956906814</c:v>
                </c:pt>
                <c:pt idx="743">
                  <c:v>58.5000499916681</c:v>
                </c:pt>
                <c:pt idx="744">
                  <c:v>59</c:v>
                </c:pt>
                <c:pt idx="745">
                  <c:v>59.0002499375156</c:v>
                </c:pt>
                <c:pt idx="746">
                  <c:v>57.500078315159</c:v>
                </c:pt>
                <c:pt idx="747">
                  <c:v>54.0002142780615</c:v>
                </c:pt>
                <c:pt idx="748">
                  <c:v>60</c:v>
                </c:pt>
                <c:pt idx="749">
                  <c:v>60</c:v>
                </c:pt>
                <c:pt idx="750">
                  <c:v>60</c:v>
                </c:pt>
                <c:pt idx="751">
                  <c:v>60</c:v>
                </c:pt>
                <c:pt idx="752">
                  <c:v>60</c:v>
                </c:pt>
                <c:pt idx="753">
                  <c:v>57.0001087389902</c:v>
                </c:pt>
                <c:pt idx="754">
                  <c:v>60</c:v>
                </c:pt>
                <c:pt idx="755">
                  <c:v>60</c:v>
                </c:pt>
                <c:pt idx="756">
                  <c:v>57.5002499750025</c:v>
                </c:pt>
                <c:pt idx="757">
                  <c:v>60</c:v>
                </c:pt>
                <c:pt idx="758">
                  <c:v>57.0180213932364</c:v>
                </c:pt>
                <c:pt idx="759">
                  <c:v>59</c:v>
                </c:pt>
                <c:pt idx="760">
                  <c:v>60</c:v>
                </c:pt>
                <c:pt idx="761">
                  <c:v>58.5</c:v>
                </c:pt>
                <c:pt idx="762">
                  <c:v>58.5529411764706</c:v>
                </c:pt>
                <c:pt idx="763">
                  <c:v>58.5</c:v>
                </c:pt>
                <c:pt idx="764">
                  <c:v>58.5</c:v>
                </c:pt>
                <c:pt idx="765">
                  <c:v>58</c:v>
                </c:pt>
                <c:pt idx="766">
                  <c:v>58</c:v>
                </c:pt>
                <c:pt idx="767">
                  <c:v>58.0146905796658</c:v>
                </c:pt>
                <c:pt idx="768">
                  <c:v>58.4</c:v>
                </c:pt>
                <c:pt idx="769">
                  <c:v>58</c:v>
                </c:pt>
                <c:pt idx="770">
                  <c:v>58.5</c:v>
                </c:pt>
                <c:pt idx="771">
                  <c:v>55.5002499750025</c:v>
                </c:pt>
                <c:pt idx="772">
                  <c:v>57</c:v>
                </c:pt>
                <c:pt idx="773">
                  <c:v>57</c:v>
                </c:pt>
                <c:pt idx="774">
                  <c:v>55.5088864391549</c:v>
                </c:pt>
                <c:pt idx="775">
                  <c:v>58</c:v>
                </c:pt>
                <c:pt idx="776">
                  <c:v>57.6</c:v>
                </c:pt>
                <c:pt idx="777">
                  <c:v>57.2571428571429</c:v>
                </c:pt>
                <c:pt idx="778">
                  <c:v>58</c:v>
                </c:pt>
                <c:pt idx="779">
                  <c:v>57</c:v>
                </c:pt>
                <c:pt idx="780">
                  <c:v>57.0384615384615</c:v>
                </c:pt>
                <c:pt idx="781">
                  <c:v>57.9</c:v>
                </c:pt>
                <c:pt idx="782">
                  <c:v>57.9</c:v>
                </c:pt>
                <c:pt idx="783">
                  <c:v>56.5007695767328</c:v>
                </c:pt>
                <c:pt idx="784">
                  <c:v>57.8</c:v>
                </c:pt>
                <c:pt idx="785">
                  <c:v>43.0310189784955</c:v>
                </c:pt>
                <c:pt idx="786">
                  <c:v>58.9885963684896</c:v>
                </c:pt>
                <c:pt idx="787">
                  <c:v>58</c:v>
                </c:pt>
                <c:pt idx="788">
                  <c:v>56.486083499006</c:v>
                </c:pt>
                <c:pt idx="789">
                  <c:v>56.7785770771154</c:v>
                </c:pt>
                <c:pt idx="790">
                  <c:v>56.99</c:v>
                </c:pt>
                <c:pt idx="791">
                  <c:v>56.88</c:v>
                </c:pt>
                <c:pt idx="792">
                  <c:v>56.5</c:v>
                </c:pt>
                <c:pt idx="793">
                  <c:v>56.6</c:v>
                </c:pt>
                <c:pt idx="794">
                  <c:v>58.4</c:v>
                </c:pt>
                <c:pt idx="795">
                  <c:v>58.4066666666667</c:v>
                </c:pt>
                <c:pt idx="796">
                  <c:v>56.1538461538462</c:v>
                </c:pt>
                <c:pt idx="797">
                  <c:v>60</c:v>
                </c:pt>
                <c:pt idx="798">
                  <c:v>58.5</c:v>
                </c:pt>
                <c:pt idx="799">
                  <c:v>58.5</c:v>
                </c:pt>
                <c:pt idx="800">
                  <c:v>58.08</c:v>
                </c:pt>
                <c:pt idx="801">
                  <c:v>61.38</c:v>
                </c:pt>
                <c:pt idx="802">
                  <c:v>56</c:v>
                </c:pt>
                <c:pt idx="803">
                  <c:v>57.8835294117647</c:v>
                </c:pt>
                <c:pt idx="804">
                  <c:v>57.8317218543046</c:v>
                </c:pt>
                <c:pt idx="805">
                  <c:v>57.8748623853211</c:v>
                </c:pt>
                <c:pt idx="806">
                  <c:v>57.4576</c:v>
                </c:pt>
                <c:pt idx="807">
                  <c:v>58</c:v>
                </c:pt>
                <c:pt idx="808">
                  <c:v>56</c:v>
                </c:pt>
                <c:pt idx="809">
                  <c:v>58.5</c:v>
                </c:pt>
                <c:pt idx="810">
                  <c:v>58.4815321477428</c:v>
                </c:pt>
                <c:pt idx="811">
                  <c:v>57.765042394878</c:v>
                </c:pt>
                <c:pt idx="812">
                  <c:v>56.0161374097771</c:v>
                </c:pt>
                <c:pt idx="813">
                  <c:v>56.0003979204159</c:v>
                </c:pt>
                <c:pt idx="814">
                  <c:v>58.341916080612</c:v>
                </c:pt>
                <c:pt idx="815">
                  <c:v>44.857550416939</c:v>
                </c:pt>
                <c:pt idx="816">
                  <c:v>53.4222740768422</c:v>
                </c:pt>
                <c:pt idx="817">
                  <c:v>55.5240876830631</c:v>
                </c:pt>
                <c:pt idx="818">
                  <c:v>53.086302967548</c:v>
                </c:pt>
                <c:pt idx="819">
                  <c:v>57.0017295338196</c:v>
                </c:pt>
                <c:pt idx="820">
                  <c:v>52.6563272784524</c:v>
                </c:pt>
                <c:pt idx="821">
                  <c:v>53.4406038632841</c:v>
                </c:pt>
                <c:pt idx="822">
                  <c:v>46.9140105023597</c:v>
                </c:pt>
                <c:pt idx="823">
                  <c:v>43.5019245841478</c:v>
                </c:pt>
                <c:pt idx="824">
                  <c:v>44.7319194629975</c:v>
                </c:pt>
                <c:pt idx="825">
                  <c:v>46.3922197506448</c:v>
                </c:pt>
                <c:pt idx="826">
                  <c:v>46.2072282871271</c:v>
                </c:pt>
                <c:pt idx="827">
                  <c:v>44.7723445737682</c:v>
                </c:pt>
                <c:pt idx="828">
                  <c:v>47.1458095549994</c:v>
                </c:pt>
                <c:pt idx="829">
                  <c:v>45.087495601052</c:v>
                </c:pt>
                <c:pt idx="830">
                  <c:v>42.7208263535682</c:v>
                </c:pt>
                <c:pt idx="831">
                  <c:v>39.9013950555299</c:v>
                </c:pt>
                <c:pt idx="832">
                  <c:v>37.3627654250147</c:v>
                </c:pt>
                <c:pt idx="833">
                  <c:v>42.1145061055308</c:v>
                </c:pt>
                <c:pt idx="834">
                  <c:v>38.8174563258016</c:v>
                </c:pt>
                <c:pt idx="835">
                  <c:v>41.029353913242</c:v>
                </c:pt>
                <c:pt idx="836">
                  <c:v>39.1243606783895</c:v>
                </c:pt>
                <c:pt idx="837">
                  <c:v>38.7248103472747</c:v>
                </c:pt>
                <c:pt idx="838">
                  <c:v>38.8252340273634</c:v>
                </c:pt>
                <c:pt idx="839">
                  <c:v>41.7644630036087</c:v>
                </c:pt>
                <c:pt idx="840">
                  <c:v>40.8948612999012</c:v>
                </c:pt>
                <c:pt idx="841">
                  <c:v>40.7435323435422</c:v>
                </c:pt>
                <c:pt idx="842">
                  <c:v>42.2297946779285</c:v>
                </c:pt>
                <c:pt idx="843">
                  <c:v>41.9473445889557</c:v>
                </c:pt>
                <c:pt idx="844">
                  <c:v>41.5360537157629</c:v>
                </c:pt>
                <c:pt idx="845">
                  <c:v>42.367144127234</c:v>
                </c:pt>
                <c:pt idx="846">
                  <c:v>42.2324662363602</c:v>
                </c:pt>
                <c:pt idx="847">
                  <c:v>41.895482951019</c:v>
                </c:pt>
                <c:pt idx="848">
                  <c:v>43.0584822376435</c:v>
                </c:pt>
                <c:pt idx="849">
                  <c:v>43.0469544930643</c:v>
                </c:pt>
                <c:pt idx="850">
                  <c:v>30.9194432624275</c:v>
                </c:pt>
                <c:pt idx="851">
                  <c:v>32.8382248468517</c:v>
                </c:pt>
                <c:pt idx="852">
                  <c:v>42.018407892217</c:v>
                </c:pt>
                <c:pt idx="853">
                  <c:v>41.4168734283319</c:v>
                </c:pt>
                <c:pt idx="854">
                  <c:v>41.1561246056299</c:v>
                </c:pt>
                <c:pt idx="855">
                  <c:v>41.8470080883727</c:v>
                </c:pt>
                <c:pt idx="856">
                  <c:v>42.4947362250879</c:v>
                </c:pt>
                <c:pt idx="857">
                  <c:v>42.5953670168602</c:v>
                </c:pt>
                <c:pt idx="858">
                  <c:v>42.7262914417887</c:v>
                </c:pt>
                <c:pt idx="859">
                  <c:v>42.5828450121057</c:v>
                </c:pt>
                <c:pt idx="860">
                  <c:v>42.6866722205392</c:v>
                </c:pt>
                <c:pt idx="861">
                  <c:v>42.3344776119403</c:v>
                </c:pt>
                <c:pt idx="862">
                  <c:v>42.3997478991597</c:v>
                </c:pt>
                <c:pt idx="863">
                  <c:v>41.2822459222083</c:v>
                </c:pt>
                <c:pt idx="864">
                  <c:v>41.6641650477514</c:v>
                </c:pt>
                <c:pt idx="865">
                  <c:v>41.3772939158391</c:v>
                </c:pt>
                <c:pt idx="866">
                  <c:v>42.7728571428571</c:v>
                </c:pt>
                <c:pt idx="867">
                  <c:v>41.8599682907592</c:v>
                </c:pt>
                <c:pt idx="868">
                  <c:v>42.6536150747593</c:v>
                </c:pt>
                <c:pt idx="869">
                  <c:v>43.2395136389089</c:v>
                </c:pt>
                <c:pt idx="870">
                  <c:v>42.9945968790637</c:v>
                </c:pt>
                <c:pt idx="871">
                  <c:v>42.1135364635365</c:v>
                </c:pt>
                <c:pt idx="872">
                  <c:v>41.5483375461793</c:v>
                </c:pt>
                <c:pt idx="873">
                  <c:v>40.0681804994707</c:v>
                </c:pt>
                <c:pt idx="874">
                  <c:v>41.5173012914342</c:v>
                </c:pt>
                <c:pt idx="875">
                  <c:v>43.8985365853659</c:v>
                </c:pt>
                <c:pt idx="876">
                  <c:v>43.956059735784</c:v>
                </c:pt>
                <c:pt idx="877">
                  <c:v>44.6834561807045</c:v>
                </c:pt>
                <c:pt idx="878">
                  <c:v>43.9255489714134</c:v>
                </c:pt>
                <c:pt idx="879">
                  <c:v>46.0271616242038</c:v>
                </c:pt>
                <c:pt idx="880">
                  <c:v>44.0766666666667</c:v>
                </c:pt>
                <c:pt idx="881">
                  <c:v>41.7915258632988</c:v>
                </c:pt>
                <c:pt idx="882">
                  <c:v>41.1255050934341</c:v>
                </c:pt>
                <c:pt idx="883">
                  <c:v>42.2226785714286</c:v>
                </c:pt>
                <c:pt idx="884">
                  <c:v>43.592355280601</c:v>
                </c:pt>
                <c:pt idx="885">
                  <c:v>44.3590580458583</c:v>
                </c:pt>
                <c:pt idx="886">
                  <c:v>43.848</c:v>
                </c:pt>
                <c:pt idx="887">
                  <c:v>43.2370834318128</c:v>
                </c:pt>
                <c:pt idx="888">
                  <c:v>43.4343378995434</c:v>
                </c:pt>
                <c:pt idx="889">
                  <c:v>44.9397394136808</c:v>
                </c:pt>
                <c:pt idx="890">
                  <c:v>45</c:v>
                </c:pt>
                <c:pt idx="891">
                  <c:v>45.5386075949367</c:v>
                </c:pt>
                <c:pt idx="892">
                  <c:v>45.62</c:v>
                </c:pt>
                <c:pt idx="893">
                  <c:v>44</c:v>
                </c:pt>
                <c:pt idx="894">
                  <c:v>41.9853518821604</c:v>
                </c:pt>
                <c:pt idx="895">
                  <c:v>42.9</c:v>
                </c:pt>
                <c:pt idx="896">
                  <c:v>43.9</c:v>
                </c:pt>
                <c:pt idx="897">
                  <c:v>44</c:v>
                </c:pt>
                <c:pt idx="898">
                  <c:v>44.6730769230769</c:v>
                </c:pt>
                <c:pt idx="899">
                  <c:v>44.66</c:v>
                </c:pt>
                <c:pt idx="900">
                  <c:v>45.1866666666667</c:v>
                </c:pt>
                <c:pt idx="901">
                  <c:v>45.3521739130435</c:v>
                </c:pt>
                <c:pt idx="902">
                  <c:v>45.1642857142857</c:v>
                </c:pt>
                <c:pt idx="903">
                  <c:v>44.0005363211296</c:v>
                </c:pt>
                <c:pt idx="904">
                  <c:v>47.6431623931624</c:v>
                </c:pt>
                <c:pt idx="905">
                  <c:v>46.1774832579503</c:v>
                </c:pt>
                <c:pt idx="906">
                  <c:v>50.1998001998002</c:v>
                </c:pt>
                <c:pt idx="907">
                  <c:v>50.199200532978</c:v>
                </c:pt>
                <c:pt idx="908">
                  <c:v>41.5660792951542</c:v>
                </c:pt>
                <c:pt idx="909">
                  <c:v>50.4878780304924</c:v>
                </c:pt>
                <c:pt idx="910">
                  <c:v>51.8666666666667</c:v>
                </c:pt>
                <c:pt idx="911">
                  <c:v>51.7571775460648</c:v>
                </c:pt>
                <c:pt idx="912">
                  <c:v>51.4999900002</c:v>
                </c:pt>
                <c:pt idx="913">
                  <c:v>54.0000280386659</c:v>
                </c:pt>
                <c:pt idx="914">
                  <c:v>55.4327612064656</c:v>
                </c:pt>
                <c:pt idx="915">
                  <c:v>55.9</c:v>
                </c:pt>
                <c:pt idx="916">
                  <c:v>55.32</c:v>
                </c:pt>
                <c:pt idx="917">
                  <c:v>50.4167214157941</c:v>
                </c:pt>
                <c:pt idx="918">
                  <c:v>52.96</c:v>
                </c:pt>
                <c:pt idx="919">
                  <c:v>54.9</c:v>
                </c:pt>
                <c:pt idx="920">
                  <c:v>58.7</c:v>
                </c:pt>
                <c:pt idx="921">
                  <c:v>53.4393956227086</c:v>
                </c:pt>
                <c:pt idx="922">
                  <c:v>51.9872780924278</c:v>
                </c:pt>
                <c:pt idx="923">
                  <c:v>54.17015</c:v>
                </c:pt>
                <c:pt idx="924">
                  <c:v>52.9628141289601</c:v>
                </c:pt>
                <c:pt idx="925">
                  <c:v>41.9400622288017</c:v>
                </c:pt>
                <c:pt idx="926">
                  <c:v>54.6313638139898</c:v>
                </c:pt>
                <c:pt idx="927">
                  <c:v>54.4629166666667</c:v>
                </c:pt>
                <c:pt idx="928">
                  <c:v>56.9666071428571</c:v>
                </c:pt>
                <c:pt idx="929">
                  <c:v>55.5177183600713</c:v>
                </c:pt>
                <c:pt idx="930">
                  <c:v>53.7020283018868</c:v>
                </c:pt>
                <c:pt idx="931">
                  <c:v>53.279487654321</c:v>
                </c:pt>
                <c:pt idx="932">
                  <c:v>52.3034327217125</c:v>
                </c:pt>
                <c:pt idx="933">
                  <c:v>51.2262331586156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469986543"/>
        <c:axId val="469987503"/>
      </c:lineChart>
      <c:catAx>
        <c:axId val="471238607"/>
        <c:scaling>
          <c:orientation val="minMax"/>
          <c:max val="934.5"/>
          <c:min val="0.5"/>
        </c:scaling>
        <c:delete val="0"/>
        <c:axPos val="b"/>
        <c:numFmt formatCode="[$-409]mmm\-yy;@" sourceLinked="0"/>
        <c:majorTickMark val="in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</a:p>
        </c:txPr>
        <c:crossAx val="471482015"/>
        <c:crosses val="autoZero"/>
        <c:auto val="1"/>
        <c:lblAlgn val="ctr"/>
        <c:lblOffset val="100"/>
        <c:tickLblSkip val="3"/>
        <c:noMultiLvlLbl val="0"/>
      </c:catAx>
      <c:valAx>
        <c:axId val="47148201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zh-CN" sz="14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400" b="1">
                    <a:solidFill>
                      <a:schemeClr val="accent6"/>
                    </a:solidFill>
                  </a:rPr>
                  <a:t>成交量（万吨）</a:t>
                </a:r>
                <a:endParaRPr lang="zh-CN" altLang="en-US" sz="1400" b="1">
                  <a:solidFill>
                    <a:schemeClr val="accent6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#,##0_);[Red]\(#,##0\)" sourceLinked="0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600" b="1" i="0" u="none" strike="noStrike" kern="1200" baseline="0">
                <a:solidFill>
                  <a:schemeClr val="accent6"/>
                </a:solidFill>
                <a:latin typeface="+mn-lt"/>
                <a:ea typeface="+mn-ea"/>
                <a:cs typeface="+mn-cs"/>
              </a:defRPr>
            </a:pPr>
          </a:p>
        </c:txPr>
        <c:crossAx val="471238607"/>
        <c:crosses val="autoZero"/>
        <c:crossBetween val="between"/>
        <c:dispUnits>
          <c:builtInUnit val="tenThousands"/>
        </c:dispUnits>
      </c:valAx>
      <c:catAx>
        <c:axId val="46998654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69987503"/>
        <c:crosses val="autoZero"/>
        <c:auto val="1"/>
        <c:lblAlgn val="ctr"/>
        <c:lblOffset val="100"/>
        <c:noMultiLvlLbl val="0"/>
      </c:catAx>
      <c:valAx>
        <c:axId val="46998750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zh-CN"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400" b="1">
                    <a:solidFill>
                      <a:schemeClr val="accent3"/>
                    </a:solidFill>
                  </a:rPr>
                  <a:t>成交均价（元）</a:t>
                </a:r>
                <a:endParaRPr lang="zh-CN" altLang="en-US" sz="1400" b="1">
                  <a:solidFill>
                    <a:schemeClr val="accent3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_ " sourceLinked="0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6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</a:p>
        </c:txPr>
        <c:crossAx val="469986543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84796313333575"/>
          <c:y val="0.936931317416722"/>
          <c:w val="0.382074030047636"/>
          <c:h val="0.058470987758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cdb9f9a-76ad-4902-99b9-67f7154a3ed7}"/>
      </c:ext>
    </c:extLst>
  </c:chart>
  <c:spPr>
    <a:noFill/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</xdr:colOff>
      <xdr:row>0</xdr:row>
      <xdr:rowOff>0</xdr:rowOff>
    </xdr:from>
    <xdr:to>
      <xdr:col>3</xdr:col>
      <xdr:colOff>403226</xdr:colOff>
      <xdr:row>24</xdr:row>
      <xdr:rowOff>41981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5116830" cy="426339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13</xdr:col>
      <xdr:colOff>619977</xdr:colOff>
      <xdr:row>24</xdr:row>
      <xdr:rowOff>19659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005195" y="0"/>
          <a:ext cx="5786120" cy="424053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32</xdr:row>
      <xdr:rowOff>0</xdr:rowOff>
    </xdr:from>
    <xdr:to>
      <xdr:col>20</xdr:col>
      <xdr:colOff>9525</xdr:colOff>
      <xdr:row>38</xdr:row>
      <xdr:rowOff>30480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005195" y="5628640"/>
          <a:ext cx="9696450" cy="10858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12</xdr:col>
      <xdr:colOff>680356</xdr:colOff>
      <xdr:row>2</xdr:row>
      <xdr:rowOff>0</xdr:rowOff>
    </xdr:from>
    <xdr:to>
      <xdr:col>29</xdr:col>
      <xdr:colOff>0</xdr:colOff>
      <xdr:row>33</xdr:row>
      <xdr:rowOff>19050</xdr:rowOff>
    </xdr:to>
    <xdr:graphicFrame>
      <xdr:nvGraphicFramePr>
        <xdr:cNvPr id="2" name="图表 1"/>
        <xdr:cNvGraphicFramePr/>
      </xdr:nvGraphicFramePr>
      <xdr:xfrm>
        <a:off x="13067030" y="499745"/>
        <a:ext cx="10332720" cy="547179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8163</xdr:colOff>
      <xdr:row>2</xdr:row>
      <xdr:rowOff>1</xdr:rowOff>
    </xdr:from>
    <xdr:to>
      <xdr:col>26</xdr:col>
      <xdr:colOff>547688</xdr:colOff>
      <xdr:row>32</xdr:row>
      <xdr:rowOff>107156</xdr:rowOff>
    </xdr:to>
    <xdr:graphicFrame>
      <xdr:nvGraphicFramePr>
        <xdr:cNvPr id="3" name="图表 2"/>
        <xdr:cNvGraphicFramePr/>
      </xdr:nvGraphicFramePr>
      <xdr:xfrm>
        <a:off x="13074650" y="499745"/>
        <a:ext cx="8935085" cy="538353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cjwdllj\xwechat_files\wxid_h9hpe9qw60y122_d432\msg\file\2025-10\&#20840;&#22269;&#30899;&#24066;&#22330;&#30899;&#25490;&#25918;&#20132;&#26131;&#26435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数据来源上海环境能源交易所"/>
      <sheetName val="Sheet3"/>
    </sheetNames>
    <sheetDataSet>
      <sheetData sheetId="0">
        <row r="3">
          <cell r="A3">
            <v>45819</v>
          </cell>
        </row>
        <row r="3">
          <cell r="G3">
            <v>852487</v>
          </cell>
        </row>
        <row r="3">
          <cell r="I3">
            <v>657767583</v>
          </cell>
        </row>
        <row r="3">
          <cell r="K3">
            <v>69.5648801682606</v>
          </cell>
        </row>
        <row r="4">
          <cell r="A4">
            <v>45818</v>
          </cell>
        </row>
        <row r="4">
          <cell r="G4">
            <v>1016716</v>
          </cell>
        </row>
        <row r="4">
          <cell r="I4">
            <v>656915096</v>
          </cell>
        </row>
        <row r="4">
          <cell r="K4">
            <v>68.98721570232</v>
          </cell>
        </row>
        <row r="5">
          <cell r="A5">
            <v>45817</v>
          </cell>
        </row>
        <row r="5">
          <cell r="G5">
            <v>669212</v>
          </cell>
        </row>
        <row r="5">
          <cell r="I5">
            <v>655898380</v>
          </cell>
        </row>
        <row r="5">
          <cell r="K5">
            <v>68.7833272565345</v>
          </cell>
        </row>
        <row r="6">
          <cell r="A6">
            <v>45814</v>
          </cell>
        </row>
        <row r="6">
          <cell r="G6">
            <v>1268612</v>
          </cell>
        </row>
        <row r="6">
          <cell r="I6">
            <v>655229168</v>
          </cell>
        </row>
        <row r="6">
          <cell r="K6">
            <v>68.500064732164</v>
          </cell>
        </row>
        <row r="7">
          <cell r="A7">
            <v>45813</v>
          </cell>
        </row>
        <row r="7">
          <cell r="G7">
            <v>367940</v>
          </cell>
        </row>
        <row r="7">
          <cell r="I7">
            <v>653960556</v>
          </cell>
        </row>
        <row r="7">
          <cell r="K7">
            <v>61.471924770343</v>
          </cell>
        </row>
        <row r="8">
          <cell r="A8">
            <v>45812</v>
          </cell>
        </row>
        <row r="8">
          <cell r="G8">
            <v>271987</v>
          </cell>
        </row>
        <row r="8">
          <cell r="I8">
            <v>653592616</v>
          </cell>
        </row>
        <row r="8">
          <cell r="K8">
            <v>67.7911903877759</v>
          </cell>
        </row>
        <row r="9">
          <cell r="A9">
            <v>45811</v>
          </cell>
        </row>
        <row r="9">
          <cell r="G9">
            <v>311782</v>
          </cell>
        </row>
        <row r="9">
          <cell r="I9">
            <v>653320629</v>
          </cell>
        </row>
        <row r="9">
          <cell r="K9">
            <v>68.2380156647914</v>
          </cell>
        </row>
        <row r="10">
          <cell r="A10">
            <v>45807</v>
          </cell>
        </row>
        <row r="10">
          <cell r="G10">
            <v>658520</v>
          </cell>
        </row>
        <row r="10">
          <cell r="I10">
            <v>653008847</v>
          </cell>
        </row>
        <row r="10">
          <cell r="K10">
            <v>68.687756180526</v>
          </cell>
        </row>
        <row r="11">
          <cell r="A11">
            <v>45806</v>
          </cell>
        </row>
        <row r="11">
          <cell r="G11">
            <v>308914</v>
          </cell>
        </row>
        <row r="11">
          <cell r="I11">
            <v>652350327</v>
          </cell>
        </row>
        <row r="11">
          <cell r="K11">
            <v>65.2608204872554</v>
          </cell>
        </row>
        <row r="12">
          <cell r="A12">
            <v>45805</v>
          </cell>
        </row>
        <row r="12">
          <cell r="G12">
            <v>301529</v>
          </cell>
        </row>
        <row r="12">
          <cell r="I12">
            <v>652041413</v>
          </cell>
        </row>
        <row r="12">
          <cell r="K12">
            <v>68.5463603832467</v>
          </cell>
        </row>
        <row r="13">
          <cell r="A13">
            <v>45804</v>
          </cell>
        </row>
        <row r="13">
          <cell r="G13">
            <v>405848</v>
          </cell>
        </row>
        <row r="13">
          <cell r="I13">
            <v>651739884</v>
          </cell>
        </row>
        <row r="13">
          <cell r="K13">
            <v>69.2378228548619</v>
          </cell>
        </row>
        <row r="14">
          <cell r="A14">
            <v>45803</v>
          </cell>
        </row>
        <row r="14">
          <cell r="G14">
            <v>447516</v>
          </cell>
        </row>
        <row r="14">
          <cell r="I14">
            <v>651334036</v>
          </cell>
        </row>
        <row r="14">
          <cell r="K14">
            <v>70.3801056498539</v>
          </cell>
        </row>
        <row r="15">
          <cell r="A15">
            <v>45800</v>
          </cell>
        </row>
        <row r="15">
          <cell r="G15">
            <v>576358</v>
          </cell>
        </row>
        <row r="15">
          <cell r="I15">
            <v>650886520</v>
          </cell>
        </row>
        <row r="15">
          <cell r="K15">
            <v>72.6963437655069</v>
          </cell>
        </row>
        <row r="16">
          <cell r="A16">
            <v>45799</v>
          </cell>
        </row>
        <row r="16">
          <cell r="G16">
            <v>311506</v>
          </cell>
        </row>
        <row r="16">
          <cell r="I16">
            <v>650310162</v>
          </cell>
        </row>
        <row r="16">
          <cell r="K16">
            <v>71.41777365444</v>
          </cell>
        </row>
        <row r="17">
          <cell r="A17">
            <v>45798</v>
          </cell>
        </row>
        <row r="17">
          <cell r="G17">
            <v>1139426</v>
          </cell>
        </row>
        <row r="17">
          <cell r="I17">
            <v>649998656</v>
          </cell>
        </row>
        <row r="17">
          <cell r="K17">
            <v>71.1627404500161</v>
          </cell>
        </row>
        <row r="18">
          <cell r="A18">
            <v>45797</v>
          </cell>
        </row>
        <row r="18">
          <cell r="G18">
            <v>846796</v>
          </cell>
        </row>
        <row r="18">
          <cell r="I18">
            <v>648859230</v>
          </cell>
        </row>
        <row r="18">
          <cell r="K18">
            <v>68.4770018634949</v>
          </cell>
        </row>
        <row r="19">
          <cell r="A19">
            <v>45796</v>
          </cell>
        </row>
        <row r="19">
          <cell r="G19">
            <v>525553</v>
          </cell>
        </row>
        <row r="19">
          <cell r="I19">
            <v>648012434</v>
          </cell>
        </row>
        <row r="19">
          <cell r="K19">
            <v>70.9887817213488</v>
          </cell>
        </row>
        <row r="20">
          <cell r="A20">
            <v>45793</v>
          </cell>
        </row>
        <row r="20">
          <cell r="G20">
            <v>249700</v>
          </cell>
        </row>
        <row r="20">
          <cell r="I20">
            <v>647486881</v>
          </cell>
        </row>
        <row r="20">
          <cell r="K20">
            <v>70.9965959150981</v>
          </cell>
        </row>
        <row r="21">
          <cell r="A21">
            <v>45792</v>
          </cell>
        </row>
        <row r="21">
          <cell r="G21">
            <v>586041</v>
          </cell>
        </row>
        <row r="21">
          <cell r="I21">
            <v>647237181</v>
          </cell>
        </row>
        <row r="21">
          <cell r="K21">
            <v>69.4311165942315</v>
          </cell>
        </row>
        <row r="22">
          <cell r="A22">
            <v>45791</v>
          </cell>
        </row>
        <row r="22">
          <cell r="G22">
            <v>394565</v>
          </cell>
        </row>
        <row r="22">
          <cell r="I22">
            <v>646651140</v>
          </cell>
        </row>
        <row r="22">
          <cell r="K22">
            <v>70.7068860644</v>
          </cell>
        </row>
        <row r="23">
          <cell r="A23">
            <v>45790</v>
          </cell>
        </row>
        <row r="23">
          <cell r="G23">
            <v>2116249</v>
          </cell>
        </row>
        <row r="23">
          <cell r="I23">
            <v>646256575</v>
          </cell>
        </row>
        <row r="23">
          <cell r="K23">
            <v>73.8810563407236</v>
          </cell>
        </row>
        <row r="24">
          <cell r="A24">
            <v>45789</v>
          </cell>
        </row>
        <row r="24">
          <cell r="G24">
            <v>325608</v>
          </cell>
        </row>
        <row r="24">
          <cell r="I24">
            <v>644140326</v>
          </cell>
        </row>
        <row r="24">
          <cell r="K24">
            <v>70.8088069089212</v>
          </cell>
        </row>
        <row r="25">
          <cell r="A25">
            <v>45786</v>
          </cell>
        </row>
        <row r="25">
          <cell r="G25">
            <v>256011</v>
          </cell>
        </row>
        <row r="25">
          <cell r="I25">
            <v>643814718</v>
          </cell>
        </row>
        <row r="25">
          <cell r="K25">
            <v>69.831677427923</v>
          </cell>
        </row>
        <row r="26">
          <cell r="A26">
            <v>45785</v>
          </cell>
        </row>
        <row r="26">
          <cell r="G26">
            <v>156194</v>
          </cell>
        </row>
        <row r="26">
          <cell r="I26">
            <v>643558707</v>
          </cell>
        </row>
        <row r="26">
          <cell r="K26">
            <v>70.0602007759581</v>
          </cell>
        </row>
        <row r="27">
          <cell r="A27">
            <v>45784</v>
          </cell>
        </row>
        <row r="27">
          <cell r="G27">
            <v>310500</v>
          </cell>
        </row>
        <row r="27">
          <cell r="I27">
            <v>643402513</v>
          </cell>
        </row>
        <row r="27">
          <cell r="K27">
            <v>69.9677938808374</v>
          </cell>
        </row>
        <row r="28">
          <cell r="A28">
            <v>45783</v>
          </cell>
        </row>
        <row r="28">
          <cell r="G28">
            <v>453746</v>
          </cell>
        </row>
        <row r="28">
          <cell r="I28">
            <v>643092013</v>
          </cell>
        </row>
        <row r="28">
          <cell r="K28">
            <v>70.0044077523548</v>
          </cell>
        </row>
        <row r="29">
          <cell r="A29">
            <v>45777</v>
          </cell>
        </row>
        <row r="29">
          <cell r="G29">
            <v>818555</v>
          </cell>
        </row>
        <row r="29">
          <cell r="I29">
            <v>642638267</v>
          </cell>
        </row>
        <row r="29">
          <cell r="K29">
            <v>69.1928795255053</v>
          </cell>
        </row>
        <row r="30">
          <cell r="A30">
            <v>45776</v>
          </cell>
        </row>
        <row r="30">
          <cell r="G30">
            <v>465543</v>
          </cell>
        </row>
        <row r="30">
          <cell r="I30">
            <v>641819712</v>
          </cell>
        </row>
        <row r="30">
          <cell r="K30">
            <v>73.6143256369444</v>
          </cell>
        </row>
        <row r="31">
          <cell r="A31">
            <v>45775</v>
          </cell>
        </row>
        <row r="31">
          <cell r="G31">
            <v>427000</v>
          </cell>
        </row>
        <row r="31">
          <cell r="I31">
            <v>641354169</v>
          </cell>
        </row>
        <row r="31">
          <cell r="K31">
            <v>72.0290632318501</v>
          </cell>
        </row>
        <row r="32">
          <cell r="A32">
            <v>45772</v>
          </cell>
        </row>
        <row r="32">
          <cell r="G32">
            <v>550500</v>
          </cell>
        </row>
        <row r="32">
          <cell r="I32">
            <v>640927169</v>
          </cell>
        </row>
        <row r="32">
          <cell r="K32">
            <v>75.195068119891</v>
          </cell>
        </row>
        <row r="33">
          <cell r="A33">
            <v>45771</v>
          </cell>
        </row>
        <row r="33">
          <cell r="G33">
            <v>232778</v>
          </cell>
        </row>
        <row r="33">
          <cell r="I33">
            <v>640376669</v>
          </cell>
        </row>
        <row r="33">
          <cell r="K33">
            <v>76.0184725360644</v>
          </cell>
        </row>
        <row r="34">
          <cell r="A34">
            <v>45770</v>
          </cell>
        </row>
        <row r="34">
          <cell r="G34">
            <v>116510</v>
          </cell>
        </row>
        <row r="34">
          <cell r="I34">
            <v>640143891</v>
          </cell>
        </row>
        <row r="34">
          <cell r="K34">
            <v>77.5839327096387</v>
          </cell>
        </row>
        <row r="35">
          <cell r="A35">
            <v>45769</v>
          </cell>
        </row>
        <row r="35">
          <cell r="G35">
            <v>548357</v>
          </cell>
        </row>
        <row r="35">
          <cell r="I35">
            <v>640027381</v>
          </cell>
        </row>
        <row r="35">
          <cell r="K35">
            <v>80.6348455476998</v>
          </cell>
        </row>
        <row r="36">
          <cell r="A36">
            <v>45768</v>
          </cell>
        </row>
        <row r="36">
          <cell r="G36">
            <v>166000</v>
          </cell>
        </row>
        <row r="36">
          <cell r="I36">
            <v>639479024</v>
          </cell>
        </row>
        <row r="36">
          <cell r="K36">
            <v>78.8909638554217</v>
          </cell>
        </row>
        <row r="37">
          <cell r="A37">
            <v>45765</v>
          </cell>
        </row>
        <row r="37">
          <cell r="G37">
            <v>552500</v>
          </cell>
        </row>
        <row r="37">
          <cell r="I37">
            <v>639313024</v>
          </cell>
        </row>
        <row r="37">
          <cell r="K37">
            <v>84.8469954751131</v>
          </cell>
        </row>
        <row r="38">
          <cell r="A38">
            <v>45764</v>
          </cell>
        </row>
        <row r="38">
          <cell r="G38">
            <v>227284</v>
          </cell>
        </row>
        <row r="38">
          <cell r="I38">
            <v>638760524</v>
          </cell>
        </row>
        <row r="38">
          <cell r="K38">
            <v>80.6905589482762</v>
          </cell>
        </row>
        <row r="39">
          <cell r="A39">
            <v>45763</v>
          </cell>
        </row>
        <row r="39">
          <cell r="G39">
            <v>97789</v>
          </cell>
        </row>
        <row r="39">
          <cell r="I39">
            <v>638533240</v>
          </cell>
        </row>
        <row r="39">
          <cell r="K39">
            <v>82.060118213705</v>
          </cell>
        </row>
        <row r="40">
          <cell r="A40">
            <v>45762</v>
          </cell>
        </row>
        <row r="40">
          <cell r="G40">
            <v>458650</v>
          </cell>
        </row>
        <row r="40">
          <cell r="I40">
            <v>638435451</v>
          </cell>
        </row>
        <row r="40">
          <cell r="K40">
            <v>82.50070860133</v>
          </cell>
        </row>
        <row r="41">
          <cell r="A41">
            <v>45761</v>
          </cell>
        </row>
        <row r="41">
          <cell r="G41">
            <v>162649</v>
          </cell>
        </row>
        <row r="41">
          <cell r="I41">
            <v>637976801</v>
          </cell>
        </row>
        <row r="41">
          <cell r="K41">
            <v>80.3005699389483</v>
          </cell>
        </row>
        <row r="42">
          <cell r="A42">
            <v>45758</v>
          </cell>
        </row>
        <row r="42">
          <cell r="G42">
            <v>26700</v>
          </cell>
        </row>
        <row r="42">
          <cell r="I42">
            <v>637814152</v>
          </cell>
        </row>
        <row r="42">
          <cell r="K42">
            <v>82.7752808988764</v>
          </cell>
        </row>
        <row r="43">
          <cell r="A43">
            <v>45757</v>
          </cell>
        </row>
        <row r="43">
          <cell r="G43">
            <v>303926</v>
          </cell>
        </row>
        <row r="43">
          <cell r="I43">
            <v>637787452</v>
          </cell>
        </row>
        <row r="43">
          <cell r="K43">
            <v>82.0098379210729</v>
          </cell>
        </row>
        <row r="44">
          <cell r="A44">
            <v>45756</v>
          </cell>
        </row>
        <row r="44">
          <cell r="G44">
            <v>1000</v>
          </cell>
        </row>
        <row r="44">
          <cell r="I44">
            <v>637483526</v>
          </cell>
        </row>
        <row r="44">
          <cell r="K44">
            <v>83.5</v>
          </cell>
        </row>
        <row r="45">
          <cell r="A45">
            <v>45755</v>
          </cell>
        </row>
        <row r="45">
          <cell r="G45">
            <v>21083</v>
          </cell>
        </row>
        <row r="45">
          <cell r="I45">
            <v>637482526</v>
          </cell>
        </row>
        <row r="45">
          <cell r="K45">
            <v>83.4845894796756</v>
          </cell>
        </row>
        <row r="46">
          <cell r="A46">
            <v>45754</v>
          </cell>
        </row>
        <row r="46">
          <cell r="G46">
            <v>4600</v>
          </cell>
        </row>
        <row r="46">
          <cell r="I46">
            <v>637461443</v>
          </cell>
        </row>
        <row r="46">
          <cell r="K46">
            <v>83.1913043478261</v>
          </cell>
        </row>
        <row r="47">
          <cell r="A47">
            <v>45750</v>
          </cell>
        </row>
        <row r="47">
          <cell r="G47">
            <v>273489</v>
          </cell>
        </row>
        <row r="47">
          <cell r="I47">
            <v>637456843</v>
          </cell>
        </row>
        <row r="47">
          <cell r="K47">
            <v>70.5597592590561</v>
          </cell>
        </row>
        <row r="48">
          <cell r="A48">
            <v>45749</v>
          </cell>
        </row>
        <row r="48">
          <cell r="G48">
            <v>250000</v>
          </cell>
        </row>
        <row r="48">
          <cell r="I48">
            <v>637183354</v>
          </cell>
        </row>
        <row r="48">
          <cell r="K48">
            <v>80.244</v>
          </cell>
        </row>
        <row r="49">
          <cell r="A49">
            <v>45748</v>
          </cell>
        </row>
        <row r="49">
          <cell r="G49">
            <v>201100</v>
          </cell>
        </row>
        <row r="49">
          <cell r="I49">
            <v>636933354</v>
          </cell>
        </row>
        <row r="49">
          <cell r="K49">
            <v>84.0051665837892</v>
          </cell>
        </row>
        <row r="50">
          <cell r="A50">
            <v>45747</v>
          </cell>
        </row>
        <row r="50">
          <cell r="G50">
            <v>1010000</v>
          </cell>
        </row>
        <row r="50">
          <cell r="I50">
            <v>636732254</v>
          </cell>
        </row>
        <row r="50">
          <cell r="K50">
            <v>76.0792079207921</v>
          </cell>
        </row>
        <row r="51">
          <cell r="A51">
            <v>45744</v>
          </cell>
        </row>
        <row r="51">
          <cell r="G51">
            <v>140500</v>
          </cell>
        </row>
        <row r="51">
          <cell r="I51">
            <v>635722254</v>
          </cell>
        </row>
        <row r="51">
          <cell r="K51">
            <v>84</v>
          </cell>
        </row>
        <row r="52">
          <cell r="A52">
            <v>45743</v>
          </cell>
        </row>
        <row r="52">
          <cell r="G52">
            <v>300487</v>
          </cell>
        </row>
        <row r="52">
          <cell r="I52">
            <v>635581754</v>
          </cell>
        </row>
        <row r="52">
          <cell r="K52">
            <v>79.7968830598329</v>
          </cell>
        </row>
        <row r="53">
          <cell r="A53">
            <v>45742</v>
          </cell>
        </row>
        <row r="53">
          <cell r="G53">
            <v>407821</v>
          </cell>
        </row>
        <row r="53">
          <cell r="I53">
            <v>635281267</v>
          </cell>
        </row>
        <row r="53">
          <cell r="K53">
            <v>85.4712790660608</v>
          </cell>
        </row>
        <row r="54">
          <cell r="A54">
            <v>45741</v>
          </cell>
        </row>
        <row r="54">
          <cell r="G54">
            <v>207123</v>
          </cell>
        </row>
        <row r="54">
          <cell r="I54">
            <v>634873446</v>
          </cell>
        </row>
        <row r="54">
          <cell r="K54">
            <v>84.167794016116</v>
          </cell>
        </row>
        <row r="55">
          <cell r="A55">
            <v>45740</v>
          </cell>
        </row>
        <row r="55">
          <cell r="G55">
            <v>198009</v>
          </cell>
        </row>
        <row r="55">
          <cell r="I55">
            <v>634666323</v>
          </cell>
        </row>
        <row r="55">
          <cell r="K55">
            <v>85.4555439399219</v>
          </cell>
        </row>
        <row r="56">
          <cell r="A56">
            <v>45737</v>
          </cell>
        </row>
        <row r="56">
          <cell r="G56">
            <v>133486</v>
          </cell>
        </row>
        <row r="56">
          <cell r="I56">
            <v>634468314</v>
          </cell>
        </row>
        <row r="56">
          <cell r="K56">
            <v>85.0710748692747</v>
          </cell>
        </row>
        <row r="57">
          <cell r="A57">
            <v>45736</v>
          </cell>
        </row>
        <row r="57">
          <cell r="G57">
            <v>42050</v>
          </cell>
        </row>
        <row r="57">
          <cell r="I57">
            <v>634334828</v>
          </cell>
        </row>
        <row r="57">
          <cell r="K57">
            <v>85.6902497027348</v>
          </cell>
        </row>
        <row r="58">
          <cell r="A58">
            <v>45733</v>
          </cell>
        </row>
        <row r="58">
          <cell r="G58">
            <v>102423</v>
          </cell>
        </row>
        <row r="58">
          <cell r="I58">
            <v>634292778</v>
          </cell>
        </row>
        <row r="58">
          <cell r="K58">
            <v>86.0473135916737</v>
          </cell>
        </row>
        <row r="59">
          <cell r="A59">
            <v>45730</v>
          </cell>
        </row>
        <row r="59">
          <cell r="G59">
            <v>110000</v>
          </cell>
        </row>
        <row r="59">
          <cell r="I59">
            <v>634190355</v>
          </cell>
        </row>
        <row r="59">
          <cell r="K59">
            <v>85.6363636363636</v>
          </cell>
        </row>
        <row r="60">
          <cell r="A60">
            <v>45729</v>
          </cell>
        </row>
        <row r="60">
          <cell r="G60">
            <v>85091</v>
          </cell>
        </row>
        <row r="60">
          <cell r="I60">
            <v>634080355</v>
          </cell>
        </row>
        <row r="60">
          <cell r="K60">
            <v>87.8119239402522</v>
          </cell>
        </row>
        <row r="61">
          <cell r="A61">
            <v>45728</v>
          </cell>
        </row>
        <row r="61">
          <cell r="G61">
            <v>18596</v>
          </cell>
        </row>
        <row r="61">
          <cell r="I61">
            <v>633995264</v>
          </cell>
        </row>
        <row r="61">
          <cell r="K61">
            <v>85.3495375349538</v>
          </cell>
        </row>
        <row r="62">
          <cell r="A62">
            <v>45727</v>
          </cell>
        </row>
        <row r="62">
          <cell r="G62">
            <v>210000</v>
          </cell>
        </row>
        <row r="62">
          <cell r="I62">
            <v>633976668</v>
          </cell>
        </row>
        <row r="62">
          <cell r="K62">
            <v>87.3809523809524</v>
          </cell>
        </row>
        <row r="63">
          <cell r="A63">
            <v>45726</v>
          </cell>
        </row>
        <row r="63">
          <cell r="G63">
            <v>566</v>
          </cell>
        </row>
        <row r="63">
          <cell r="I63">
            <v>633766668</v>
          </cell>
        </row>
        <row r="63">
          <cell r="K63">
            <v>87</v>
          </cell>
        </row>
        <row r="64">
          <cell r="A64">
            <v>45722</v>
          </cell>
        </row>
        <row r="64">
          <cell r="G64">
            <v>101300</v>
          </cell>
        </row>
        <row r="64">
          <cell r="I64">
            <v>633766102</v>
          </cell>
        </row>
        <row r="64">
          <cell r="K64">
            <v>86.5447877591313</v>
          </cell>
        </row>
        <row r="65">
          <cell r="A65">
            <v>45721</v>
          </cell>
        </row>
        <row r="65">
          <cell r="G65">
            <v>5000</v>
          </cell>
        </row>
        <row r="65">
          <cell r="I65">
            <v>633664802</v>
          </cell>
        </row>
        <row r="65">
          <cell r="K65">
            <v>88</v>
          </cell>
        </row>
        <row r="66">
          <cell r="A66">
            <v>45720</v>
          </cell>
        </row>
        <row r="66">
          <cell r="G66">
            <v>4000</v>
          </cell>
        </row>
        <row r="66">
          <cell r="I66">
            <v>633659802</v>
          </cell>
        </row>
        <row r="66">
          <cell r="K66">
            <v>88.25</v>
          </cell>
        </row>
        <row r="67">
          <cell r="A67">
            <v>45719</v>
          </cell>
        </row>
        <row r="67">
          <cell r="G67">
            <v>100001</v>
          </cell>
        </row>
        <row r="67">
          <cell r="I67">
            <v>633655802</v>
          </cell>
        </row>
        <row r="67">
          <cell r="K67">
            <v>88.740012599874</v>
          </cell>
        </row>
        <row r="68">
          <cell r="A68">
            <v>45716</v>
          </cell>
        </row>
        <row r="68">
          <cell r="G68">
            <v>273950</v>
          </cell>
        </row>
        <row r="68">
          <cell r="I68">
            <v>633555801</v>
          </cell>
        </row>
        <row r="68">
          <cell r="K68">
            <v>86.8280708158423</v>
          </cell>
        </row>
        <row r="69">
          <cell r="A69">
            <v>45715</v>
          </cell>
        </row>
        <row r="69">
          <cell r="G69">
            <v>100000</v>
          </cell>
        </row>
        <row r="69">
          <cell r="I69">
            <v>633281851</v>
          </cell>
        </row>
        <row r="69">
          <cell r="K69">
            <v>89</v>
          </cell>
        </row>
        <row r="70">
          <cell r="A70">
            <v>45714</v>
          </cell>
        </row>
        <row r="70">
          <cell r="G70">
            <v>60050</v>
          </cell>
        </row>
        <row r="70">
          <cell r="I70">
            <v>633181851</v>
          </cell>
        </row>
        <row r="70">
          <cell r="K70">
            <v>89.4171523730225</v>
          </cell>
        </row>
        <row r="71">
          <cell r="A71">
            <v>45713</v>
          </cell>
        </row>
        <row r="71">
          <cell r="G71">
            <v>187174</v>
          </cell>
        </row>
        <row r="71">
          <cell r="I71">
            <v>633121801</v>
          </cell>
        </row>
        <row r="71">
          <cell r="K71">
            <v>91.0245553335399</v>
          </cell>
        </row>
        <row r="72">
          <cell r="A72">
            <v>45712</v>
          </cell>
        </row>
        <row r="72">
          <cell r="G72">
            <v>5000</v>
          </cell>
        </row>
        <row r="72">
          <cell r="I72">
            <v>632934627</v>
          </cell>
        </row>
        <row r="72">
          <cell r="K72">
            <v>90</v>
          </cell>
        </row>
        <row r="73">
          <cell r="A73">
            <v>45709</v>
          </cell>
        </row>
        <row r="73">
          <cell r="G73">
            <v>38906</v>
          </cell>
        </row>
        <row r="73">
          <cell r="I73">
            <v>632929627</v>
          </cell>
        </row>
        <row r="73">
          <cell r="K73">
            <v>89.5000771089292</v>
          </cell>
        </row>
        <row r="74">
          <cell r="A74">
            <v>45708</v>
          </cell>
        </row>
        <row r="74">
          <cell r="G74">
            <v>119594</v>
          </cell>
        </row>
        <row r="74">
          <cell r="I74">
            <v>632890721</v>
          </cell>
        </row>
        <row r="74">
          <cell r="K74">
            <v>90.3259778918675</v>
          </cell>
        </row>
        <row r="75">
          <cell r="A75">
            <v>45707</v>
          </cell>
        </row>
        <row r="75">
          <cell r="G75">
            <v>74000</v>
          </cell>
        </row>
        <row r="75">
          <cell r="I75">
            <v>632771127</v>
          </cell>
        </row>
        <row r="75">
          <cell r="K75">
            <v>90.5</v>
          </cell>
        </row>
        <row r="76">
          <cell r="A76">
            <v>45706</v>
          </cell>
        </row>
        <row r="76">
          <cell r="G76">
            <v>16733</v>
          </cell>
        </row>
        <row r="76">
          <cell r="I76">
            <v>632697127</v>
          </cell>
        </row>
        <row r="76">
          <cell r="K76">
            <v>90.8714868822088</v>
          </cell>
        </row>
        <row r="77">
          <cell r="A77">
            <v>45702</v>
          </cell>
        </row>
        <row r="77">
          <cell r="G77">
            <v>261513</v>
          </cell>
        </row>
        <row r="77">
          <cell r="I77">
            <v>632680394</v>
          </cell>
        </row>
        <row r="77">
          <cell r="K77">
            <v>91.9559257092382</v>
          </cell>
        </row>
        <row r="78">
          <cell r="A78">
            <v>45701</v>
          </cell>
        </row>
        <row r="78">
          <cell r="G78">
            <v>8648</v>
          </cell>
        </row>
        <row r="78">
          <cell r="I78">
            <v>632418881</v>
          </cell>
        </row>
        <row r="78">
          <cell r="K78">
            <v>92.5</v>
          </cell>
        </row>
        <row r="79">
          <cell r="A79">
            <v>45700</v>
          </cell>
        </row>
        <row r="79">
          <cell r="G79">
            <v>40000</v>
          </cell>
        </row>
        <row r="79">
          <cell r="I79">
            <v>632410233</v>
          </cell>
        </row>
        <row r="79">
          <cell r="K79">
            <v>92.375</v>
          </cell>
        </row>
        <row r="80">
          <cell r="A80">
            <v>45699</v>
          </cell>
        </row>
        <row r="80">
          <cell r="G80">
            <v>100000</v>
          </cell>
        </row>
        <row r="80">
          <cell r="I80">
            <v>632370233</v>
          </cell>
        </row>
        <row r="80">
          <cell r="K80">
            <v>92.8</v>
          </cell>
        </row>
        <row r="81">
          <cell r="A81">
            <v>45694</v>
          </cell>
        </row>
        <row r="81">
          <cell r="G81">
            <v>10000</v>
          </cell>
        </row>
        <row r="81">
          <cell r="I81">
            <v>632270233</v>
          </cell>
        </row>
        <row r="81">
          <cell r="K81">
            <v>93</v>
          </cell>
        </row>
        <row r="82">
          <cell r="A82">
            <v>45681</v>
          </cell>
        </row>
        <row r="82">
          <cell r="G82">
            <v>725</v>
          </cell>
        </row>
        <row r="82">
          <cell r="I82">
            <v>632260233</v>
          </cell>
        </row>
        <row r="82">
          <cell r="K82">
            <v>93.5</v>
          </cell>
        </row>
        <row r="83">
          <cell r="A83">
            <v>45680</v>
          </cell>
        </row>
        <row r="83">
          <cell r="G83">
            <v>200000</v>
          </cell>
        </row>
        <row r="83">
          <cell r="I83">
            <v>632259508</v>
          </cell>
        </row>
        <row r="83">
          <cell r="K83">
            <v>92</v>
          </cell>
        </row>
        <row r="84">
          <cell r="A84">
            <v>45679</v>
          </cell>
        </row>
        <row r="84">
          <cell r="G84">
            <v>250000</v>
          </cell>
        </row>
        <row r="84">
          <cell r="I84">
            <v>632059508</v>
          </cell>
        </row>
        <row r="84">
          <cell r="K84">
            <v>93.2</v>
          </cell>
        </row>
        <row r="85">
          <cell r="A85">
            <v>45678</v>
          </cell>
        </row>
        <row r="85">
          <cell r="G85">
            <v>1005058</v>
          </cell>
        </row>
        <row r="85">
          <cell r="I85">
            <v>631809508</v>
          </cell>
        </row>
        <row r="85">
          <cell r="K85">
            <v>90.0100650907709</v>
          </cell>
        </row>
        <row r="86">
          <cell r="A86">
            <v>45677</v>
          </cell>
        </row>
        <row r="86">
          <cell r="G86">
            <v>250000</v>
          </cell>
        </row>
        <row r="86">
          <cell r="I86">
            <v>630804450</v>
          </cell>
        </row>
        <row r="86">
          <cell r="K86">
            <v>93.2</v>
          </cell>
        </row>
        <row r="87">
          <cell r="A87">
            <v>45674</v>
          </cell>
        </row>
        <row r="87">
          <cell r="G87">
            <v>17497</v>
          </cell>
        </row>
        <row r="87">
          <cell r="I87">
            <v>630554450</v>
          </cell>
        </row>
        <row r="87">
          <cell r="K87">
            <v>94</v>
          </cell>
        </row>
        <row r="88">
          <cell r="A88">
            <v>45672</v>
          </cell>
        </row>
        <row r="88">
          <cell r="G88">
            <v>106595</v>
          </cell>
        </row>
        <row r="88">
          <cell r="I88">
            <v>630536953</v>
          </cell>
        </row>
        <row r="88">
          <cell r="K88">
            <v>93.3113654486608</v>
          </cell>
        </row>
        <row r="89">
          <cell r="A89">
            <v>45670</v>
          </cell>
        </row>
        <row r="89">
          <cell r="G89">
            <v>10008</v>
          </cell>
        </row>
        <row r="89">
          <cell r="I89">
            <v>630430358</v>
          </cell>
        </row>
        <row r="89">
          <cell r="K89">
            <v>94.0000079936051</v>
          </cell>
        </row>
        <row r="90">
          <cell r="A90">
            <v>45667</v>
          </cell>
        </row>
        <row r="90">
          <cell r="G90">
            <v>8</v>
          </cell>
        </row>
        <row r="90">
          <cell r="I90">
            <v>630420350</v>
          </cell>
        </row>
        <row r="90">
          <cell r="K90">
            <v>94.01</v>
          </cell>
        </row>
        <row r="91">
          <cell r="A91">
            <v>45666</v>
          </cell>
        </row>
        <row r="91">
          <cell r="G91">
            <v>15000</v>
          </cell>
        </row>
        <row r="91">
          <cell r="I91">
            <v>630420342</v>
          </cell>
        </row>
        <row r="91">
          <cell r="K91">
            <v>94</v>
          </cell>
        </row>
        <row r="92">
          <cell r="A92">
            <v>45665</v>
          </cell>
        </row>
        <row r="92">
          <cell r="G92">
            <v>82671</v>
          </cell>
        </row>
        <row r="92">
          <cell r="I92">
            <v>630405342</v>
          </cell>
        </row>
        <row r="92">
          <cell r="K92">
            <v>93.3538783854072</v>
          </cell>
        </row>
        <row r="93">
          <cell r="A93">
            <v>45664</v>
          </cell>
        </row>
        <row r="93">
          <cell r="G93">
            <v>30008</v>
          </cell>
        </row>
        <row r="93">
          <cell r="I93">
            <v>630322671</v>
          </cell>
        </row>
        <row r="93">
          <cell r="K93">
            <v>95.000533191149</v>
          </cell>
        </row>
        <row r="94">
          <cell r="A94">
            <v>45663</v>
          </cell>
        </row>
        <row r="94">
          <cell r="G94">
            <v>8</v>
          </cell>
        </row>
        <row r="94">
          <cell r="I94">
            <v>630292663</v>
          </cell>
        </row>
        <row r="94">
          <cell r="K94">
            <v>97</v>
          </cell>
        </row>
        <row r="95">
          <cell r="A95">
            <v>45660</v>
          </cell>
        </row>
        <row r="95">
          <cell r="G95">
            <v>20000</v>
          </cell>
        </row>
        <row r="95">
          <cell r="I95">
            <v>630292655</v>
          </cell>
        </row>
        <row r="95">
          <cell r="K95">
            <v>95</v>
          </cell>
        </row>
        <row r="96">
          <cell r="A96">
            <v>45659</v>
          </cell>
        </row>
        <row r="96">
          <cell r="G96">
            <v>3991</v>
          </cell>
        </row>
        <row r="96">
          <cell r="I96">
            <v>630272655</v>
          </cell>
        </row>
        <row r="96">
          <cell r="K96">
            <v>96</v>
          </cell>
        </row>
        <row r="97">
          <cell r="A97">
            <v>45657</v>
          </cell>
        </row>
        <row r="97">
          <cell r="G97">
            <v>116368</v>
          </cell>
        </row>
        <row r="97">
          <cell r="I97">
            <v>630268664</v>
          </cell>
        </row>
        <row r="97">
          <cell r="K97">
            <v>97.9259590265365</v>
          </cell>
        </row>
        <row r="98">
          <cell r="A98">
            <v>45656</v>
          </cell>
        </row>
        <row r="98">
          <cell r="G98">
            <v>594823</v>
          </cell>
        </row>
        <row r="98">
          <cell r="I98">
            <v>630152296</v>
          </cell>
        </row>
        <row r="98">
          <cell r="K98">
            <v>97.4429994805177</v>
          </cell>
        </row>
        <row r="99">
          <cell r="A99">
            <v>45653</v>
          </cell>
        </row>
        <row r="99">
          <cell r="G99">
            <v>1757294</v>
          </cell>
        </row>
        <row r="99">
          <cell r="I99">
            <v>629557473</v>
          </cell>
        </row>
        <row r="99">
          <cell r="K99">
            <v>97.0803117520461</v>
          </cell>
        </row>
        <row r="100">
          <cell r="A100">
            <v>45652</v>
          </cell>
        </row>
        <row r="100">
          <cell r="G100">
            <v>1434650</v>
          </cell>
        </row>
        <row r="100">
          <cell r="I100">
            <v>627800179</v>
          </cell>
        </row>
        <row r="100">
          <cell r="K100">
            <v>97.0931838009271</v>
          </cell>
        </row>
        <row r="101">
          <cell r="A101">
            <v>45651</v>
          </cell>
        </row>
        <row r="101">
          <cell r="G101">
            <v>525935</v>
          </cell>
        </row>
        <row r="101">
          <cell r="I101">
            <v>626365529</v>
          </cell>
        </row>
        <row r="101">
          <cell r="K101">
            <v>98.1295887704755</v>
          </cell>
        </row>
        <row r="102">
          <cell r="A102">
            <v>45650</v>
          </cell>
        </row>
        <row r="102">
          <cell r="G102">
            <v>704375</v>
          </cell>
        </row>
        <row r="102">
          <cell r="I102">
            <v>625839594</v>
          </cell>
        </row>
        <row r="102">
          <cell r="K102">
            <v>97.6955142786158</v>
          </cell>
        </row>
        <row r="103">
          <cell r="A103">
            <v>45649</v>
          </cell>
        </row>
        <row r="103">
          <cell r="G103">
            <v>1468566</v>
          </cell>
        </row>
        <row r="103">
          <cell r="I103">
            <v>625135219</v>
          </cell>
        </row>
        <row r="103">
          <cell r="K103">
            <v>92.2756710627919</v>
          </cell>
        </row>
        <row r="104">
          <cell r="A104">
            <v>45646</v>
          </cell>
        </row>
        <row r="104">
          <cell r="G104">
            <v>2543230</v>
          </cell>
        </row>
        <row r="104">
          <cell r="I104">
            <v>623666653</v>
          </cell>
        </row>
        <row r="104">
          <cell r="K104">
            <v>97.5721408759727</v>
          </cell>
        </row>
        <row r="105">
          <cell r="A105">
            <v>45645</v>
          </cell>
        </row>
        <row r="105">
          <cell r="G105">
            <v>2727079</v>
          </cell>
        </row>
        <row r="105">
          <cell r="I105">
            <v>621123423</v>
          </cell>
        </row>
        <row r="105">
          <cell r="K105">
            <v>97.8810694923029</v>
          </cell>
        </row>
        <row r="106">
          <cell r="A106">
            <v>45644</v>
          </cell>
        </row>
        <row r="106">
          <cell r="G106">
            <v>2775202</v>
          </cell>
        </row>
        <row r="106">
          <cell r="I106">
            <v>618396344</v>
          </cell>
        </row>
        <row r="106">
          <cell r="K106">
            <v>94.9923950184527</v>
          </cell>
        </row>
        <row r="107">
          <cell r="A107">
            <v>45643</v>
          </cell>
        </row>
        <row r="107">
          <cell r="G107">
            <v>1723068</v>
          </cell>
        </row>
        <row r="107">
          <cell r="I107">
            <v>615621142</v>
          </cell>
        </row>
        <row r="107">
          <cell r="K107">
            <v>95.5057358734536</v>
          </cell>
        </row>
        <row r="108">
          <cell r="A108">
            <v>45642</v>
          </cell>
        </row>
        <row r="108">
          <cell r="G108">
            <v>2538798</v>
          </cell>
        </row>
        <row r="108">
          <cell r="I108">
            <v>613898074</v>
          </cell>
        </row>
        <row r="108">
          <cell r="K108">
            <v>97.9392302183947</v>
          </cell>
        </row>
        <row r="109">
          <cell r="A109">
            <v>45639</v>
          </cell>
        </row>
        <row r="109">
          <cell r="G109">
            <v>5081273</v>
          </cell>
        </row>
        <row r="109">
          <cell r="I109">
            <v>611359276</v>
          </cell>
        </row>
        <row r="109">
          <cell r="K109">
            <v>97.6971144927659</v>
          </cell>
        </row>
        <row r="110">
          <cell r="A110">
            <v>45638</v>
          </cell>
        </row>
        <row r="110">
          <cell r="G110">
            <v>9168459</v>
          </cell>
        </row>
        <row r="110">
          <cell r="I110">
            <v>606278003</v>
          </cell>
        </row>
        <row r="110">
          <cell r="K110">
            <v>98.963193735174</v>
          </cell>
        </row>
        <row r="111">
          <cell r="A111">
            <v>45637</v>
          </cell>
        </row>
        <row r="111">
          <cell r="G111">
            <v>9895425</v>
          </cell>
        </row>
        <row r="111">
          <cell r="I111">
            <v>597109544</v>
          </cell>
        </row>
        <row r="111">
          <cell r="K111">
            <v>97.7447408807605</v>
          </cell>
        </row>
        <row r="112">
          <cell r="A112">
            <v>45636</v>
          </cell>
        </row>
        <row r="112">
          <cell r="G112">
            <v>9733692</v>
          </cell>
        </row>
        <row r="112">
          <cell r="I112">
            <v>587214119</v>
          </cell>
        </row>
        <row r="112">
          <cell r="K112">
            <v>99.5320574166514</v>
          </cell>
        </row>
        <row r="113">
          <cell r="A113">
            <v>45635</v>
          </cell>
        </row>
        <row r="113">
          <cell r="G113">
            <v>6325146</v>
          </cell>
        </row>
        <row r="113">
          <cell r="I113">
            <v>577480427</v>
          </cell>
        </row>
        <row r="113">
          <cell r="K113">
            <v>101.006699937045</v>
          </cell>
        </row>
        <row r="114">
          <cell r="A114">
            <v>45632</v>
          </cell>
        </row>
        <row r="114">
          <cell r="G114">
            <v>2608093</v>
          </cell>
        </row>
        <row r="114">
          <cell r="I114">
            <v>571155281</v>
          </cell>
        </row>
        <row r="114">
          <cell r="K114">
            <v>98.9885431002652</v>
          </cell>
        </row>
        <row r="115">
          <cell r="A115">
            <v>45631</v>
          </cell>
        </row>
        <row r="115">
          <cell r="G115">
            <v>2013641</v>
          </cell>
        </row>
        <row r="115">
          <cell r="I115">
            <v>568547188</v>
          </cell>
        </row>
        <row r="115">
          <cell r="K115">
            <v>94.1166562510398</v>
          </cell>
        </row>
        <row r="116">
          <cell r="A116">
            <v>45630</v>
          </cell>
        </row>
        <row r="116">
          <cell r="G116">
            <v>3669020</v>
          </cell>
        </row>
        <row r="116">
          <cell r="I116">
            <v>566533547</v>
          </cell>
        </row>
        <row r="116">
          <cell r="K116">
            <v>96.8350059661708</v>
          </cell>
        </row>
        <row r="117">
          <cell r="A117">
            <v>45629</v>
          </cell>
        </row>
        <row r="117">
          <cell r="G117">
            <v>3016953</v>
          </cell>
        </row>
        <row r="117">
          <cell r="I117">
            <v>562864527</v>
          </cell>
        </row>
        <row r="117">
          <cell r="K117">
            <v>97.3866795074368</v>
          </cell>
        </row>
        <row r="118">
          <cell r="A118">
            <v>45628</v>
          </cell>
        </row>
        <row r="118">
          <cell r="G118">
            <v>4944441</v>
          </cell>
        </row>
        <row r="118">
          <cell r="I118">
            <v>559847574</v>
          </cell>
        </row>
        <row r="118">
          <cell r="K118">
            <v>97.6825172835514</v>
          </cell>
        </row>
        <row r="119">
          <cell r="A119">
            <v>45625</v>
          </cell>
        </row>
        <row r="119">
          <cell r="G119">
            <v>6469210</v>
          </cell>
        </row>
        <row r="119">
          <cell r="I119">
            <v>554903133</v>
          </cell>
        </row>
        <row r="119">
          <cell r="K119">
            <v>98.7188504454176</v>
          </cell>
        </row>
        <row r="120">
          <cell r="A120">
            <v>45624</v>
          </cell>
        </row>
        <row r="120">
          <cell r="G120">
            <v>3268352</v>
          </cell>
        </row>
        <row r="120">
          <cell r="I120">
            <v>548433923</v>
          </cell>
        </row>
        <row r="120">
          <cell r="K120">
            <v>94.0331768334622</v>
          </cell>
        </row>
        <row r="121">
          <cell r="A121">
            <v>45623</v>
          </cell>
        </row>
        <row r="121">
          <cell r="G121">
            <v>5989204</v>
          </cell>
        </row>
        <row r="121">
          <cell r="I121">
            <v>545165571</v>
          </cell>
        </row>
        <row r="121">
          <cell r="K121">
            <v>96.5329106388762</v>
          </cell>
        </row>
        <row r="122">
          <cell r="A122">
            <v>45622</v>
          </cell>
        </row>
        <row r="122">
          <cell r="G122">
            <v>5567219</v>
          </cell>
        </row>
        <row r="122">
          <cell r="I122">
            <v>539176367</v>
          </cell>
        </row>
        <row r="122">
          <cell r="K122">
            <v>97.9897133901145</v>
          </cell>
        </row>
        <row r="123">
          <cell r="A123">
            <v>45621</v>
          </cell>
        </row>
        <row r="123">
          <cell r="G123">
            <v>5091901</v>
          </cell>
        </row>
        <row r="123">
          <cell r="I123">
            <v>533609148</v>
          </cell>
        </row>
        <row r="123">
          <cell r="K123">
            <v>93.788818409863</v>
          </cell>
        </row>
        <row r="124">
          <cell r="A124">
            <v>45618</v>
          </cell>
        </row>
        <row r="124">
          <cell r="G124">
            <v>3684953</v>
          </cell>
        </row>
        <row r="124">
          <cell r="I124">
            <v>528517247</v>
          </cell>
        </row>
        <row r="124">
          <cell r="K124">
            <v>95.7372738946738</v>
          </cell>
        </row>
        <row r="125">
          <cell r="A125">
            <v>45617</v>
          </cell>
        </row>
        <row r="125">
          <cell r="G125">
            <v>3282986</v>
          </cell>
        </row>
        <row r="125">
          <cell r="I125">
            <v>524832294</v>
          </cell>
        </row>
        <row r="125">
          <cell r="K125">
            <v>92.6284307517607</v>
          </cell>
        </row>
        <row r="126">
          <cell r="A126">
            <v>45616</v>
          </cell>
        </row>
        <row r="126">
          <cell r="G126">
            <v>2074888</v>
          </cell>
        </row>
        <row r="126">
          <cell r="I126">
            <v>521549308</v>
          </cell>
        </row>
        <row r="126">
          <cell r="K126">
            <v>94.5645228127976</v>
          </cell>
        </row>
        <row r="127">
          <cell r="A127">
            <v>45615</v>
          </cell>
        </row>
        <row r="127">
          <cell r="G127">
            <v>3124468</v>
          </cell>
        </row>
        <row r="127">
          <cell r="I127">
            <v>519474420</v>
          </cell>
        </row>
        <row r="127">
          <cell r="K127">
            <v>90.5757268981471</v>
          </cell>
        </row>
        <row r="128">
          <cell r="A128">
            <v>45614</v>
          </cell>
        </row>
        <row r="128">
          <cell r="G128">
            <v>3158389</v>
          </cell>
        </row>
        <row r="128">
          <cell r="I128">
            <v>516349952</v>
          </cell>
        </row>
        <row r="128">
          <cell r="K128">
            <v>99.6336268205088</v>
          </cell>
        </row>
        <row r="129">
          <cell r="A129">
            <v>45611</v>
          </cell>
        </row>
        <row r="129">
          <cell r="G129">
            <v>3476636</v>
          </cell>
        </row>
        <row r="129">
          <cell r="I129">
            <v>513191563</v>
          </cell>
        </row>
        <row r="129">
          <cell r="K129">
            <v>101.496560577524</v>
          </cell>
        </row>
        <row r="130">
          <cell r="A130">
            <v>45610</v>
          </cell>
        </row>
        <row r="130">
          <cell r="G130">
            <v>1215301</v>
          </cell>
        </row>
        <row r="130">
          <cell r="I130">
            <v>509714927</v>
          </cell>
        </row>
        <row r="130">
          <cell r="K130">
            <v>101.509789772246</v>
          </cell>
        </row>
        <row r="131">
          <cell r="A131">
            <v>45609</v>
          </cell>
        </row>
        <row r="131">
          <cell r="G131">
            <v>2169584</v>
          </cell>
        </row>
        <row r="131">
          <cell r="I131">
            <v>508499626</v>
          </cell>
        </row>
        <row r="131">
          <cell r="K131">
            <v>101.451718661273</v>
          </cell>
        </row>
        <row r="132">
          <cell r="A132">
            <v>45608</v>
          </cell>
        </row>
        <row r="132">
          <cell r="G132">
            <v>1457869</v>
          </cell>
        </row>
        <row r="132">
          <cell r="I132">
            <v>506330042</v>
          </cell>
        </row>
        <row r="132">
          <cell r="K132">
            <v>99.8783236834036</v>
          </cell>
        </row>
        <row r="133">
          <cell r="A133">
            <v>45607</v>
          </cell>
        </row>
        <row r="133">
          <cell r="G133">
            <v>2012735</v>
          </cell>
        </row>
        <row r="133">
          <cell r="I133">
            <v>504872173</v>
          </cell>
        </row>
        <row r="133">
          <cell r="K133">
            <v>103.688139263241</v>
          </cell>
        </row>
        <row r="134">
          <cell r="A134">
            <v>45604</v>
          </cell>
        </row>
        <row r="134">
          <cell r="G134">
            <v>2798318</v>
          </cell>
        </row>
        <row r="134">
          <cell r="I134">
            <v>502859438</v>
          </cell>
        </row>
        <row r="134">
          <cell r="K134">
            <v>100.957933540791</v>
          </cell>
        </row>
        <row r="135">
          <cell r="A135">
            <v>45603</v>
          </cell>
        </row>
        <row r="135">
          <cell r="G135">
            <v>813062</v>
          </cell>
        </row>
        <row r="135">
          <cell r="I135">
            <v>500061120</v>
          </cell>
        </row>
        <row r="135">
          <cell r="K135">
            <v>98.3462109900598</v>
          </cell>
        </row>
        <row r="136">
          <cell r="A136">
            <v>45602</v>
          </cell>
        </row>
        <row r="136">
          <cell r="G136">
            <v>601405</v>
          </cell>
        </row>
        <row r="136">
          <cell r="I136">
            <v>499248058</v>
          </cell>
        </row>
        <row r="136">
          <cell r="K136">
            <v>103.635524397037</v>
          </cell>
        </row>
        <row r="137">
          <cell r="A137">
            <v>45601</v>
          </cell>
        </row>
        <row r="137">
          <cell r="G137">
            <v>2274030</v>
          </cell>
        </row>
        <row r="137">
          <cell r="I137">
            <v>498646653</v>
          </cell>
        </row>
        <row r="137">
          <cell r="K137">
            <v>103.23393811867</v>
          </cell>
        </row>
        <row r="138">
          <cell r="A138">
            <v>45600</v>
          </cell>
        </row>
        <row r="138">
          <cell r="G138">
            <v>621166</v>
          </cell>
        </row>
        <row r="138">
          <cell r="I138">
            <v>496372623</v>
          </cell>
        </row>
        <row r="138">
          <cell r="K138">
            <v>102.546924332626</v>
          </cell>
        </row>
        <row r="139">
          <cell r="A139">
            <v>45597</v>
          </cell>
        </row>
        <row r="139">
          <cell r="G139">
            <v>1685565</v>
          </cell>
        </row>
        <row r="139">
          <cell r="I139">
            <v>495751457</v>
          </cell>
        </row>
        <row r="139">
          <cell r="K139">
            <v>93.9624609492959</v>
          </cell>
        </row>
        <row r="140">
          <cell r="A140">
            <v>45596</v>
          </cell>
        </row>
        <row r="140">
          <cell r="G140">
            <v>439379</v>
          </cell>
        </row>
        <row r="140">
          <cell r="I140">
            <v>494065892</v>
          </cell>
        </row>
        <row r="140">
          <cell r="K140">
            <v>102.510119577859</v>
          </cell>
        </row>
        <row r="141">
          <cell r="A141">
            <v>45595</v>
          </cell>
        </row>
        <row r="141">
          <cell r="G141">
            <v>354074</v>
          </cell>
        </row>
        <row r="141">
          <cell r="I141">
            <v>493626513</v>
          </cell>
        </row>
        <row r="141">
          <cell r="K141">
            <v>89.5730313154877</v>
          </cell>
        </row>
        <row r="142">
          <cell r="A142">
            <v>45594</v>
          </cell>
        </row>
        <row r="142">
          <cell r="G142">
            <v>1117428</v>
          </cell>
        </row>
        <row r="142">
          <cell r="I142">
            <v>493272439</v>
          </cell>
        </row>
        <row r="142">
          <cell r="K142">
            <v>92.4759428974395</v>
          </cell>
        </row>
        <row r="143">
          <cell r="A143">
            <v>45593</v>
          </cell>
        </row>
        <row r="143">
          <cell r="G143">
            <v>1252412</v>
          </cell>
        </row>
        <row r="143">
          <cell r="I143">
            <v>492155011</v>
          </cell>
        </row>
        <row r="143">
          <cell r="K143">
            <v>98.4350436916925</v>
          </cell>
        </row>
        <row r="144">
          <cell r="A144">
            <v>45590</v>
          </cell>
        </row>
        <row r="144">
          <cell r="G144">
            <v>390666</v>
          </cell>
        </row>
        <row r="144">
          <cell r="I144">
            <v>490902599</v>
          </cell>
        </row>
        <row r="144">
          <cell r="K144">
            <v>104.074926919671</v>
          </cell>
        </row>
        <row r="145">
          <cell r="A145">
            <v>45589</v>
          </cell>
        </row>
        <row r="145">
          <cell r="G145">
            <v>386268</v>
          </cell>
        </row>
        <row r="145">
          <cell r="I145">
            <v>490511933</v>
          </cell>
        </row>
        <row r="145">
          <cell r="K145">
            <v>103.658245285657</v>
          </cell>
        </row>
        <row r="146">
          <cell r="A146">
            <v>45588</v>
          </cell>
        </row>
        <row r="146">
          <cell r="G146">
            <v>546800</v>
          </cell>
        </row>
        <row r="146">
          <cell r="I146">
            <v>490125665</v>
          </cell>
        </row>
        <row r="146">
          <cell r="K146">
            <v>102.280669348939</v>
          </cell>
        </row>
        <row r="147">
          <cell r="A147">
            <v>45587</v>
          </cell>
        </row>
        <row r="147">
          <cell r="G147">
            <v>1376416</v>
          </cell>
        </row>
        <row r="147">
          <cell r="I147">
            <v>489578865</v>
          </cell>
        </row>
        <row r="147">
          <cell r="K147">
            <v>100.133668520273</v>
          </cell>
        </row>
        <row r="148">
          <cell r="A148">
            <v>45586</v>
          </cell>
        </row>
        <row r="148">
          <cell r="G148">
            <v>317563</v>
          </cell>
        </row>
        <row r="148">
          <cell r="I148">
            <v>488202449</v>
          </cell>
        </row>
        <row r="148">
          <cell r="K148">
            <v>102.22812638752</v>
          </cell>
        </row>
        <row r="149">
          <cell r="A149">
            <v>45583</v>
          </cell>
        </row>
        <row r="149">
          <cell r="G149">
            <v>1059325</v>
          </cell>
        </row>
        <row r="149">
          <cell r="I149">
            <v>487884886</v>
          </cell>
        </row>
        <row r="149">
          <cell r="K149">
            <v>100.969157586199</v>
          </cell>
        </row>
        <row r="150">
          <cell r="A150">
            <v>45582</v>
          </cell>
        </row>
        <row r="150">
          <cell r="G150">
            <v>503113</v>
          </cell>
        </row>
        <row r="150">
          <cell r="I150">
            <v>486825561</v>
          </cell>
        </row>
        <row r="150">
          <cell r="K150">
            <v>93.1299350642897</v>
          </cell>
        </row>
        <row r="151">
          <cell r="A151">
            <v>45581</v>
          </cell>
        </row>
        <row r="151">
          <cell r="G151">
            <v>248000</v>
          </cell>
        </row>
        <row r="151">
          <cell r="I151">
            <v>486322448</v>
          </cell>
        </row>
        <row r="151">
          <cell r="K151">
            <v>102.976008064516</v>
          </cell>
        </row>
        <row r="152">
          <cell r="A152">
            <v>45580</v>
          </cell>
        </row>
        <row r="152">
          <cell r="G152">
            <v>1216139</v>
          </cell>
        </row>
        <row r="152">
          <cell r="I152">
            <v>486074448</v>
          </cell>
        </row>
        <row r="152">
          <cell r="K152">
            <v>101.563215479481</v>
          </cell>
        </row>
        <row r="153">
          <cell r="A153">
            <v>45579</v>
          </cell>
        </row>
        <row r="153">
          <cell r="G153">
            <v>428713</v>
          </cell>
        </row>
        <row r="153">
          <cell r="I153">
            <v>484858309</v>
          </cell>
        </row>
        <row r="153">
          <cell r="K153">
            <v>101.361542570438</v>
          </cell>
        </row>
        <row r="154">
          <cell r="A154">
            <v>45576</v>
          </cell>
        </row>
        <row r="154">
          <cell r="G154">
            <v>971092</v>
          </cell>
        </row>
        <row r="154">
          <cell r="I154">
            <v>484429596</v>
          </cell>
        </row>
        <row r="154">
          <cell r="K154">
            <v>97.9638391316168</v>
          </cell>
        </row>
        <row r="155">
          <cell r="A155">
            <v>45575</v>
          </cell>
        </row>
        <row r="155">
          <cell r="G155">
            <v>900647</v>
          </cell>
        </row>
        <row r="155">
          <cell r="I155">
            <v>483458504</v>
          </cell>
        </row>
        <row r="155">
          <cell r="K155">
            <v>101.982662130668</v>
          </cell>
        </row>
        <row r="156">
          <cell r="A156">
            <v>45574</v>
          </cell>
        </row>
        <row r="156">
          <cell r="G156">
            <v>907601</v>
          </cell>
        </row>
        <row r="156">
          <cell r="I156">
            <v>482557857</v>
          </cell>
        </row>
        <row r="156">
          <cell r="K156">
            <v>87.3877144251714</v>
          </cell>
        </row>
        <row r="157">
          <cell r="A157">
            <v>45573</v>
          </cell>
        </row>
        <row r="157">
          <cell r="G157">
            <v>830121</v>
          </cell>
        </row>
        <row r="157">
          <cell r="I157">
            <v>481650256</v>
          </cell>
        </row>
        <row r="157">
          <cell r="K157">
            <v>87.4784613327455</v>
          </cell>
        </row>
        <row r="158">
          <cell r="A158">
            <v>45565</v>
          </cell>
        </row>
        <row r="158">
          <cell r="G158">
            <v>997536</v>
          </cell>
        </row>
        <row r="158">
          <cell r="I158">
            <v>480820135</v>
          </cell>
        </row>
        <row r="158">
          <cell r="K158">
            <v>97.2539248708819</v>
          </cell>
        </row>
        <row r="159">
          <cell r="A159">
            <v>45562</v>
          </cell>
        </row>
        <row r="159">
          <cell r="G159">
            <v>725153</v>
          </cell>
        </row>
        <row r="159">
          <cell r="I159">
            <v>479822599</v>
          </cell>
        </row>
        <row r="159">
          <cell r="K159">
            <v>100.121734171961</v>
          </cell>
        </row>
        <row r="160">
          <cell r="A160">
            <v>45561</v>
          </cell>
        </row>
        <row r="160">
          <cell r="G160">
            <v>608717</v>
          </cell>
        </row>
        <row r="160">
          <cell r="I160">
            <v>479097446</v>
          </cell>
        </row>
        <row r="160">
          <cell r="K160">
            <v>100.62385344914</v>
          </cell>
        </row>
        <row r="161">
          <cell r="A161">
            <v>45560</v>
          </cell>
        </row>
        <row r="161">
          <cell r="G161">
            <v>503942</v>
          </cell>
        </row>
        <row r="161">
          <cell r="I161">
            <v>478488729</v>
          </cell>
        </row>
        <row r="161">
          <cell r="K161">
            <v>98.88506851979</v>
          </cell>
        </row>
        <row r="162">
          <cell r="A162">
            <v>45559</v>
          </cell>
        </row>
        <row r="162">
          <cell r="G162">
            <v>584686</v>
          </cell>
        </row>
        <row r="162">
          <cell r="I162">
            <v>477984787</v>
          </cell>
        </row>
        <row r="162">
          <cell r="K162">
            <v>95.3214846943488</v>
          </cell>
        </row>
        <row r="163">
          <cell r="A163">
            <v>45558</v>
          </cell>
        </row>
        <row r="163">
          <cell r="G163">
            <v>714701</v>
          </cell>
        </row>
        <row r="163">
          <cell r="I163">
            <v>477400101</v>
          </cell>
        </row>
        <row r="163">
          <cell r="K163">
            <v>100.564852994469</v>
          </cell>
        </row>
        <row r="164">
          <cell r="A164">
            <v>45555</v>
          </cell>
        </row>
        <row r="164">
          <cell r="G164">
            <v>581949</v>
          </cell>
        </row>
        <row r="164">
          <cell r="I164">
            <v>476685400</v>
          </cell>
        </row>
        <row r="164">
          <cell r="K164">
            <v>99.776099726952</v>
          </cell>
        </row>
        <row r="165">
          <cell r="A165">
            <v>45554</v>
          </cell>
        </row>
        <row r="165">
          <cell r="G165">
            <v>336000</v>
          </cell>
        </row>
        <row r="165">
          <cell r="I165">
            <v>476103451</v>
          </cell>
        </row>
        <row r="165">
          <cell r="K165">
            <v>100.570089285714</v>
          </cell>
        </row>
        <row r="166">
          <cell r="A166">
            <v>45553</v>
          </cell>
        </row>
        <row r="166">
          <cell r="G166">
            <v>2000</v>
          </cell>
        </row>
        <row r="166">
          <cell r="I166">
            <v>475767451</v>
          </cell>
        </row>
        <row r="166">
          <cell r="K166">
            <v>99.8</v>
          </cell>
        </row>
        <row r="167">
          <cell r="A167">
            <v>45548</v>
          </cell>
        </row>
        <row r="167">
          <cell r="G167">
            <v>679802</v>
          </cell>
        </row>
        <row r="167">
          <cell r="I167">
            <v>475765451</v>
          </cell>
        </row>
        <row r="167">
          <cell r="K167">
            <v>99.7382751448216</v>
          </cell>
        </row>
        <row r="168">
          <cell r="A168">
            <v>45547</v>
          </cell>
        </row>
        <row r="168">
          <cell r="G168">
            <v>100501</v>
          </cell>
        </row>
        <row r="168">
          <cell r="I168">
            <v>475085649</v>
          </cell>
        </row>
        <row r="168">
          <cell r="K168">
            <v>99.0024924130108</v>
          </cell>
        </row>
        <row r="169">
          <cell r="A169">
            <v>45546</v>
          </cell>
        </row>
        <row r="169">
          <cell r="G169">
            <v>153466</v>
          </cell>
        </row>
        <row r="169">
          <cell r="I169">
            <v>474985148</v>
          </cell>
        </row>
        <row r="169">
          <cell r="K169">
            <v>96.229599781059</v>
          </cell>
        </row>
        <row r="170">
          <cell r="A170">
            <v>45545</v>
          </cell>
        </row>
        <row r="170">
          <cell r="G170">
            <v>139917</v>
          </cell>
        </row>
        <row r="170">
          <cell r="I170">
            <v>474831682</v>
          </cell>
        </row>
        <row r="170">
          <cell r="K170">
            <v>97.1660726001844</v>
          </cell>
        </row>
        <row r="171">
          <cell r="A171">
            <v>45544</v>
          </cell>
        </row>
        <row r="171">
          <cell r="G171">
            <v>167630</v>
          </cell>
        </row>
        <row r="171">
          <cell r="I171">
            <v>474691765</v>
          </cell>
        </row>
        <row r="171">
          <cell r="K171">
            <v>96.7815725108871</v>
          </cell>
        </row>
        <row r="172">
          <cell r="A172">
            <v>45541</v>
          </cell>
        </row>
        <row r="172">
          <cell r="G172">
            <v>38100</v>
          </cell>
        </row>
        <row r="172">
          <cell r="I172">
            <v>474524135</v>
          </cell>
        </row>
        <row r="172">
          <cell r="K172">
            <v>97.6456692913386</v>
          </cell>
        </row>
        <row r="173">
          <cell r="A173">
            <v>45540</v>
          </cell>
        </row>
        <row r="173">
          <cell r="G173">
            <v>926300</v>
          </cell>
        </row>
        <row r="173">
          <cell r="I173">
            <v>474486035</v>
          </cell>
        </row>
        <row r="173">
          <cell r="K173">
            <v>83.1763281874123</v>
          </cell>
        </row>
        <row r="174">
          <cell r="A174">
            <v>45539</v>
          </cell>
        </row>
        <row r="174">
          <cell r="G174">
            <v>215500</v>
          </cell>
        </row>
        <row r="174">
          <cell r="I174">
            <v>473559735</v>
          </cell>
        </row>
        <row r="174">
          <cell r="K174">
            <v>96.5614849187935</v>
          </cell>
        </row>
        <row r="175">
          <cell r="A175">
            <v>45538</v>
          </cell>
        </row>
        <row r="175">
          <cell r="G175">
            <v>12350</v>
          </cell>
        </row>
        <row r="175">
          <cell r="I175">
            <v>473344235</v>
          </cell>
        </row>
        <row r="175">
          <cell r="K175">
            <v>96.019028340081</v>
          </cell>
        </row>
        <row r="176">
          <cell r="A176">
            <v>45537</v>
          </cell>
        </row>
        <row r="176">
          <cell r="G176">
            <v>347337</v>
          </cell>
        </row>
        <row r="176">
          <cell r="I176">
            <v>473331885</v>
          </cell>
        </row>
        <row r="176">
          <cell r="K176">
            <v>92.6414008873227</v>
          </cell>
        </row>
        <row r="177">
          <cell r="A177">
            <v>45534</v>
          </cell>
        </row>
        <row r="177">
          <cell r="G177">
            <v>124367</v>
          </cell>
        </row>
        <row r="177">
          <cell r="I177">
            <v>472984548</v>
          </cell>
        </row>
        <row r="177">
          <cell r="K177">
            <v>93.4394307975588</v>
          </cell>
        </row>
        <row r="178">
          <cell r="A178">
            <v>45533</v>
          </cell>
        </row>
        <row r="178">
          <cell r="G178">
            <v>42924</v>
          </cell>
        </row>
        <row r="178">
          <cell r="I178">
            <v>472860181</v>
          </cell>
        </row>
        <row r="178">
          <cell r="K178">
            <v>95.1292456434629</v>
          </cell>
        </row>
        <row r="179">
          <cell r="A179">
            <v>45532</v>
          </cell>
        </row>
        <row r="179">
          <cell r="G179">
            <v>1107001</v>
          </cell>
        </row>
        <row r="179">
          <cell r="I179">
            <v>472817257</v>
          </cell>
        </row>
        <row r="179">
          <cell r="K179">
            <v>79.6844580086197</v>
          </cell>
        </row>
        <row r="180">
          <cell r="A180">
            <v>45531</v>
          </cell>
        </row>
        <row r="180">
          <cell r="G180">
            <v>154671</v>
          </cell>
        </row>
        <row r="180">
          <cell r="I180">
            <v>471710256</v>
          </cell>
        </row>
        <row r="180">
          <cell r="K180">
            <v>94.3541676203037</v>
          </cell>
        </row>
        <row r="181">
          <cell r="A181">
            <v>45530</v>
          </cell>
        </row>
        <row r="181">
          <cell r="G181">
            <v>51657</v>
          </cell>
        </row>
        <row r="181">
          <cell r="I181">
            <v>471555585</v>
          </cell>
        </row>
        <row r="181">
          <cell r="K181">
            <v>93.698337688987</v>
          </cell>
        </row>
        <row r="182">
          <cell r="A182">
            <v>45527</v>
          </cell>
        </row>
        <row r="182">
          <cell r="G182">
            <v>190700</v>
          </cell>
        </row>
        <row r="182">
          <cell r="I182">
            <v>471503928</v>
          </cell>
        </row>
        <row r="182">
          <cell r="K182">
            <v>93.611305715784</v>
          </cell>
        </row>
        <row r="183">
          <cell r="A183">
            <v>45526</v>
          </cell>
        </row>
        <row r="183">
          <cell r="G183">
            <v>34112</v>
          </cell>
        </row>
        <row r="183">
          <cell r="I183">
            <v>471313228</v>
          </cell>
        </row>
        <row r="183">
          <cell r="K183">
            <v>91.0304854596623</v>
          </cell>
        </row>
        <row r="184">
          <cell r="A184">
            <v>45525</v>
          </cell>
        </row>
        <row r="184">
          <cell r="G184">
            <v>1194861</v>
          </cell>
        </row>
        <row r="184">
          <cell r="I184">
            <v>471279116</v>
          </cell>
        </row>
        <row r="184">
          <cell r="K184">
            <v>74.586518666188</v>
          </cell>
        </row>
        <row r="185">
          <cell r="A185">
            <v>45524</v>
          </cell>
        </row>
        <row r="185">
          <cell r="G185">
            <v>649519</v>
          </cell>
        </row>
        <row r="185">
          <cell r="I185">
            <v>470084255</v>
          </cell>
        </row>
        <row r="185">
          <cell r="K185">
            <v>93.2058349332352</v>
          </cell>
        </row>
        <row r="186">
          <cell r="A186">
            <v>45523</v>
          </cell>
        </row>
        <row r="186">
          <cell r="G186">
            <v>140767</v>
          </cell>
        </row>
        <row r="186">
          <cell r="I186">
            <v>469434736</v>
          </cell>
        </row>
        <row r="186">
          <cell r="K186">
            <v>93.1029602108449</v>
          </cell>
        </row>
        <row r="187">
          <cell r="A187">
            <v>45520</v>
          </cell>
        </row>
        <row r="187">
          <cell r="G187">
            <v>140005</v>
          </cell>
        </row>
        <row r="187">
          <cell r="I187">
            <v>469293969</v>
          </cell>
        </row>
        <row r="187">
          <cell r="K187">
            <v>91.9642869897504</v>
          </cell>
        </row>
        <row r="188">
          <cell r="A188">
            <v>45519</v>
          </cell>
        </row>
        <row r="188">
          <cell r="G188">
            <v>113554</v>
          </cell>
        </row>
        <row r="188">
          <cell r="I188">
            <v>469153964</v>
          </cell>
        </row>
        <row r="188">
          <cell r="K188">
            <v>91.9955968085668</v>
          </cell>
        </row>
        <row r="189">
          <cell r="A189">
            <v>45518</v>
          </cell>
        </row>
        <row r="189">
          <cell r="G189">
            <v>15000</v>
          </cell>
        </row>
        <row r="189">
          <cell r="I189">
            <v>469040410</v>
          </cell>
        </row>
        <row r="189">
          <cell r="K189">
            <v>91.7833333333333</v>
          </cell>
        </row>
        <row r="190">
          <cell r="A190">
            <v>45517</v>
          </cell>
        </row>
        <row r="190">
          <cell r="G190">
            <v>68370</v>
          </cell>
        </row>
        <row r="190">
          <cell r="I190">
            <v>469025410</v>
          </cell>
        </row>
        <row r="190">
          <cell r="K190">
            <v>91.3068158549071</v>
          </cell>
        </row>
        <row r="191">
          <cell r="A191">
            <v>45516</v>
          </cell>
        </row>
        <row r="191">
          <cell r="G191">
            <v>406401</v>
          </cell>
        </row>
        <row r="191">
          <cell r="I191">
            <v>468957040</v>
          </cell>
        </row>
        <row r="191">
          <cell r="K191">
            <v>92.3831533386975</v>
          </cell>
        </row>
        <row r="192">
          <cell r="A192">
            <v>45513</v>
          </cell>
        </row>
        <row r="192">
          <cell r="G192">
            <v>212971</v>
          </cell>
        </row>
        <row r="192">
          <cell r="I192">
            <v>468550639</v>
          </cell>
        </row>
        <row r="192">
          <cell r="K192">
            <v>91.6878617276531</v>
          </cell>
        </row>
        <row r="193">
          <cell r="A193">
            <v>45512</v>
          </cell>
        </row>
        <row r="193">
          <cell r="G193">
            <v>113200</v>
          </cell>
        </row>
        <row r="193">
          <cell r="I193">
            <v>468337668</v>
          </cell>
        </row>
        <row r="193">
          <cell r="K193">
            <v>91.1731448763251</v>
          </cell>
        </row>
        <row r="194">
          <cell r="A194">
            <v>45511</v>
          </cell>
        </row>
        <row r="194">
          <cell r="G194">
            <v>231000</v>
          </cell>
        </row>
        <row r="194">
          <cell r="I194">
            <v>468224468</v>
          </cell>
        </row>
        <row r="194">
          <cell r="K194">
            <v>90.7844155844156</v>
          </cell>
        </row>
        <row r="195">
          <cell r="A195">
            <v>45510</v>
          </cell>
        </row>
        <row r="195">
          <cell r="G195">
            <v>55503</v>
          </cell>
        </row>
        <row r="195">
          <cell r="I195">
            <v>467993468</v>
          </cell>
        </row>
        <row r="195">
          <cell r="K195">
            <v>92.0990937426806</v>
          </cell>
        </row>
        <row r="196">
          <cell r="A196">
            <v>45509</v>
          </cell>
        </row>
        <row r="196">
          <cell r="G196">
            <v>650528</v>
          </cell>
        </row>
        <row r="196">
          <cell r="I196">
            <v>467937965</v>
          </cell>
        </row>
        <row r="196">
          <cell r="K196">
            <v>90.6762137832653</v>
          </cell>
        </row>
        <row r="197">
          <cell r="A197">
            <v>45506</v>
          </cell>
        </row>
        <row r="197">
          <cell r="G197">
            <v>153000</v>
          </cell>
        </row>
        <row r="197">
          <cell r="I197">
            <v>467287437</v>
          </cell>
        </row>
        <row r="197">
          <cell r="K197">
            <v>90.3705882352941</v>
          </cell>
        </row>
        <row r="198">
          <cell r="A198">
            <v>45505</v>
          </cell>
        </row>
        <row r="198">
          <cell r="G198">
            <v>12000</v>
          </cell>
        </row>
        <row r="198">
          <cell r="I198">
            <v>467134437</v>
          </cell>
        </row>
        <row r="198">
          <cell r="K198">
            <v>89.5833333333333</v>
          </cell>
        </row>
        <row r="199">
          <cell r="A199">
            <v>45504</v>
          </cell>
        </row>
        <row r="199">
          <cell r="G199">
            <v>30384</v>
          </cell>
        </row>
        <row r="199">
          <cell r="I199">
            <v>467122437</v>
          </cell>
        </row>
        <row r="199">
          <cell r="K199">
            <v>90.5951816745656</v>
          </cell>
        </row>
        <row r="200">
          <cell r="A200">
            <v>45503</v>
          </cell>
        </row>
        <row r="200">
          <cell r="G200">
            <v>137005</v>
          </cell>
        </row>
        <row r="200">
          <cell r="I200">
            <v>467092053</v>
          </cell>
        </row>
        <row r="200">
          <cell r="K200">
            <v>91.518247509215</v>
          </cell>
        </row>
        <row r="201">
          <cell r="A201">
            <v>45502</v>
          </cell>
        </row>
        <row r="201">
          <cell r="G201">
            <v>174005</v>
          </cell>
        </row>
        <row r="201">
          <cell r="I201">
            <v>466955048</v>
          </cell>
        </row>
        <row r="201">
          <cell r="K201">
            <v>91.8499899428177</v>
          </cell>
        </row>
        <row r="202">
          <cell r="A202">
            <v>45499</v>
          </cell>
        </row>
        <row r="202">
          <cell r="G202">
            <v>10000</v>
          </cell>
        </row>
        <row r="202">
          <cell r="I202">
            <v>466781043</v>
          </cell>
        </row>
        <row r="202">
          <cell r="K202">
            <v>91.8</v>
          </cell>
        </row>
        <row r="203">
          <cell r="A203">
            <v>45498</v>
          </cell>
        </row>
        <row r="203">
          <cell r="G203">
            <v>276120</v>
          </cell>
        </row>
        <row r="203">
          <cell r="I203">
            <v>466771043</v>
          </cell>
        </row>
        <row r="203">
          <cell r="K203">
            <v>90.7781399391569</v>
          </cell>
        </row>
        <row r="204">
          <cell r="A204">
            <v>45497</v>
          </cell>
        </row>
        <row r="204">
          <cell r="G204">
            <v>597446</v>
          </cell>
        </row>
        <row r="204">
          <cell r="I204">
            <v>466494923</v>
          </cell>
        </row>
        <row r="204">
          <cell r="K204">
            <v>91.9444368193946</v>
          </cell>
        </row>
        <row r="205">
          <cell r="A205">
            <v>45496</v>
          </cell>
        </row>
        <row r="205">
          <cell r="G205">
            <v>164508</v>
          </cell>
        </row>
        <row r="205">
          <cell r="I205">
            <v>465897477</v>
          </cell>
        </row>
        <row r="205">
          <cell r="K205">
            <v>90.6687091205291</v>
          </cell>
        </row>
        <row r="206">
          <cell r="A206">
            <v>45495</v>
          </cell>
        </row>
        <row r="206">
          <cell r="G206">
            <v>54500</v>
          </cell>
        </row>
        <row r="206">
          <cell r="I206">
            <v>465732969</v>
          </cell>
        </row>
        <row r="206">
          <cell r="K206">
            <v>90.8165137614679</v>
          </cell>
        </row>
        <row r="207">
          <cell r="A207">
            <v>45492</v>
          </cell>
        </row>
        <row r="207">
          <cell r="G207">
            <v>33401</v>
          </cell>
        </row>
        <row r="207">
          <cell r="I207">
            <v>465678469</v>
          </cell>
        </row>
        <row r="207">
          <cell r="K207">
            <v>89.3382832849316</v>
          </cell>
        </row>
        <row r="208">
          <cell r="A208">
            <v>45491</v>
          </cell>
        </row>
        <row r="208">
          <cell r="G208">
            <v>288600</v>
          </cell>
        </row>
        <row r="208">
          <cell r="I208">
            <v>465645068</v>
          </cell>
        </row>
        <row r="208">
          <cell r="K208">
            <v>90.7598752598753</v>
          </cell>
        </row>
        <row r="209">
          <cell r="A209">
            <v>45490</v>
          </cell>
        </row>
        <row r="209">
          <cell r="G209">
            <v>302000</v>
          </cell>
        </row>
        <row r="209">
          <cell r="I209">
            <v>465356468</v>
          </cell>
        </row>
        <row r="209">
          <cell r="K209">
            <v>89.9735099337748</v>
          </cell>
        </row>
        <row r="210">
          <cell r="A210">
            <v>45489</v>
          </cell>
        </row>
        <row r="210">
          <cell r="G210">
            <v>10720</v>
          </cell>
        </row>
        <row r="210">
          <cell r="I210">
            <v>465054468</v>
          </cell>
        </row>
        <row r="210">
          <cell r="K210">
            <v>88.1139552238806</v>
          </cell>
        </row>
        <row r="211">
          <cell r="A211">
            <v>45488</v>
          </cell>
        </row>
        <row r="211">
          <cell r="G211">
            <v>10065</v>
          </cell>
        </row>
        <row r="211">
          <cell r="I211">
            <v>465043748</v>
          </cell>
        </row>
        <row r="211">
          <cell r="K211">
            <v>86.0051664182812</v>
          </cell>
        </row>
        <row r="212">
          <cell r="A212">
            <v>45485</v>
          </cell>
        </row>
        <row r="212">
          <cell r="G212">
            <v>253144</v>
          </cell>
        </row>
        <row r="212">
          <cell r="I212">
            <v>465033683</v>
          </cell>
        </row>
        <row r="212">
          <cell r="K212">
            <v>91.0641374079575</v>
          </cell>
        </row>
        <row r="213">
          <cell r="A213">
            <v>45484</v>
          </cell>
        </row>
        <row r="213">
          <cell r="G213">
            <v>187189</v>
          </cell>
        </row>
        <row r="213">
          <cell r="I213">
            <v>464780539</v>
          </cell>
        </row>
        <row r="213">
          <cell r="K213">
            <v>89.976875777957</v>
          </cell>
        </row>
        <row r="214">
          <cell r="A214">
            <v>45483</v>
          </cell>
        </row>
        <row r="214">
          <cell r="G214">
            <v>347005</v>
          </cell>
        </row>
        <row r="214">
          <cell r="I214">
            <v>464593350</v>
          </cell>
        </row>
        <row r="214">
          <cell r="K214">
            <v>92.9092160055331</v>
          </cell>
        </row>
        <row r="215">
          <cell r="A215">
            <v>45482</v>
          </cell>
        </row>
        <row r="215">
          <cell r="G215">
            <v>9005</v>
          </cell>
        </row>
        <row r="215">
          <cell r="I215">
            <v>464246345</v>
          </cell>
        </row>
        <row r="215">
          <cell r="K215">
            <v>88.535535813437</v>
          </cell>
        </row>
        <row r="216">
          <cell r="A216">
            <v>45481</v>
          </cell>
        </row>
        <row r="216">
          <cell r="G216">
            <v>335015</v>
          </cell>
        </row>
        <row r="216">
          <cell r="I216">
            <v>464237340</v>
          </cell>
        </row>
        <row r="216">
          <cell r="K216">
            <v>89.5001328298733</v>
          </cell>
        </row>
        <row r="217">
          <cell r="A217">
            <v>45478</v>
          </cell>
        </row>
        <row r="217">
          <cell r="G217">
            <v>38500</v>
          </cell>
        </row>
        <row r="217">
          <cell r="I217">
            <v>463902325</v>
          </cell>
        </row>
        <row r="217">
          <cell r="K217">
            <v>91.1558441558442</v>
          </cell>
        </row>
        <row r="218">
          <cell r="A218">
            <v>45477</v>
          </cell>
        </row>
        <row r="218">
          <cell r="G218">
            <v>20000</v>
          </cell>
        </row>
        <row r="218">
          <cell r="I218">
            <v>463863825</v>
          </cell>
        </row>
        <row r="218">
          <cell r="K218">
            <v>91</v>
          </cell>
        </row>
        <row r="219">
          <cell r="A219">
            <v>45476</v>
          </cell>
        </row>
        <row r="219">
          <cell r="G219">
            <v>168000</v>
          </cell>
        </row>
        <row r="219">
          <cell r="I219">
            <v>463843825</v>
          </cell>
        </row>
        <row r="219">
          <cell r="K219">
            <v>90.0714285714286</v>
          </cell>
        </row>
        <row r="220">
          <cell r="A220">
            <v>45475</v>
          </cell>
        </row>
        <row r="220">
          <cell r="G220">
            <v>33000</v>
          </cell>
        </row>
        <row r="220">
          <cell r="I220">
            <v>463675825</v>
          </cell>
        </row>
        <row r="220">
          <cell r="K220">
            <v>91.5757575757576</v>
          </cell>
        </row>
        <row r="221">
          <cell r="A221">
            <v>45474</v>
          </cell>
        </row>
        <row r="221">
          <cell r="G221">
            <v>11010</v>
          </cell>
        </row>
        <row r="221">
          <cell r="I221">
            <v>463642825</v>
          </cell>
        </row>
        <row r="221">
          <cell r="K221">
            <v>90.8119891008174</v>
          </cell>
        </row>
        <row r="222">
          <cell r="A222">
            <v>45471</v>
          </cell>
        </row>
        <row r="222">
          <cell r="G222">
            <v>351868</v>
          </cell>
        </row>
        <row r="222">
          <cell r="I222">
            <v>463631815</v>
          </cell>
        </row>
        <row r="222">
          <cell r="K222">
            <v>91.5141746336695</v>
          </cell>
        </row>
        <row r="223">
          <cell r="A223">
            <v>45470</v>
          </cell>
        </row>
        <row r="223">
          <cell r="G223">
            <v>827010</v>
          </cell>
        </row>
        <row r="223">
          <cell r="I223">
            <v>463279947</v>
          </cell>
        </row>
        <row r="223">
          <cell r="K223">
            <v>90.1004836700886</v>
          </cell>
        </row>
        <row r="224">
          <cell r="A224">
            <v>45469</v>
          </cell>
        </row>
        <row r="224">
          <cell r="G224">
            <v>362100</v>
          </cell>
        </row>
        <row r="224">
          <cell r="I224">
            <v>462452937</v>
          </cell>
        </row>
        <row r="224">
          <cell r="K224">
            <v>89.6655619994477</v>
          </cell>
        </row>
        <row r="225">
          <cell r="A225">
            <v>45468</v>
          </cell>
        </row>
        <row r="225">
          <cell r="G225">
            <v>769010</v>
          </cell>
        </row>
        <row r="225">
          <cell r="I225">
            <v>462090837</v>
          </cell>
        </row>
        <row r="225">
          <cell r="K225">
            <v>93.7076761030416</v>
          </cell>
        </row>
        <row r="226">
          <cell r="A226">
            <v>45467</v>
          </cell>
        </row>
        <row r="226">
          <cell r="G226">
            <v>24000</v>
          </cell>
        </row>
        <row r="226">
          <cell r="I226">
            <v>461321827</v>
          </cell>
        </row>
        <row r="226">
          <cell r="K226">
            <v>93.1125</v>
          </cell>
        </row>
        <row r="227">
          <cell r="A227">
            <v>45464</v>
          </cell>
        </row>
        <row r="227">
          <cell r="G227">
            <v>51497</v>
          </cell>
        </row>
        <row r="227">
          <cell r="I227">
            <v>461297827</v>
          </cell>
        </row>
        <row r="227">
          <cell r="K227">
            <v>94.1479115288269</v>
          </cell>
        </row>
        <row r="228">
          <cell r="A228">
            <v>45463</v>
          </cell>
        </row>
        <row r="228">
          <cell r="G228">
            <v>6010</v>
          </cell>
        </row>
        <row r="228">
          <cell r="I228">
            <v>461246330</v>
          </cell>
        </row>
        <row r="228">
          <cell r="K228">
            <v>93.8569051580699</v>
          </cell>
        </row>
        <row r="229">
          <cell r="A229">
            <v>45462</v>
          </cell>
        </row>
        <row r="229">
          <cell r="G229">
            <v>284861</v>
          </cell>
        </row>
        <row r="229">
          <cell r="I229">
            <v>461240320</v>
          </cell>
        </row>
        <row r="229">
          <cell r="K229">
            <v>73.2503488016963</v>
          </cell>
        </row>
        <row r="230">
          <cell r="A230">
            <v>45461</v>
          </cell>
        </row>
        <row r="230">
          <cell r="G230">
            <v>24907</v>
          </cell>
        </row>
        <row r="230">
          <cell r="I230">
            <v>460955459</v>
          </cell>
        </row>
        <row r="230">
          <cell r="K230">
            <v>96.0382824105673</v>
          </cell>
        </row>
        <row r="231">
          <cell r="A231">
            <v>45460</v>
          </cell>
        </row>
        <row r="231">
          <cell r="G231">
            <v>4005</v>
          </cell>
        </row>
        <row r="231">
          <cell r="I231">
            <v>460930552</v>
          </cell>
        </row>
        <row r="231">
          <cell r="K231">
            <v>96.5</v>
          </cell>
        </row>
        <row r="232">
          <cell r="A232">
            <v>45457</v>
          </cell>
        </row>
        <row r="232">
          <cell r="G232">
            <v>17100</v>
          </cell>
        </row>
        <row r="232">
          <cell r="I232">
            <v>460926547</v>
          </cell>
        </row>
        <row r="232">
          <cell r="K232">
            <v>96.4678362573099</v>
          </cell>
        </row>
        <row r="233">
          <cell r="A233">
            <v>45456</v>
          </cell>
        </row>
        <row r="233">
          <cell r="G233">
            <v>262653</v>
          </cell>
        </row>
        <row r="233">
          <cell r="I233">
            <v>460909447</v>
          </cell>
        </row>
        <row r="233">
          <cell r="K233">
            <v>96.3077311129132</v>
          </cell>
        </row>
        <row r="234">
          <cell r="A234">
            <v>45455</v>
          </cell>
        </row>
        <row r="234">
          <cell r="G234">
            <v>90000</v>
          </cell>
        </row>
        <row r="234">
          <cell r="I234">
            <v>460646794</v>
          </cell>
        </row>
        <row r="234">
          <cell r="K234">
            <v>96</v>
          </cell>
        </row>
        <row r="235">
          <cell r="A235">
            <v>45454</v>
          </cell>
        </row>
        <row r="235">
          <cell r="G235">
            <v>1152</v>
          </cell>
        </row>
        <row r="235">
          <cell r="I235">
            <v>460556794</v>
          </cell>
        </row>
        <row r="235">
          <cell r="K235">
            <v>95.4305555555556</v>
          </cell>
        </row>
        <row r="236">
          <cell r="A236">
            <v>45450</v>
          </cell>
        </row>
        <row r="236">
          <cell r="G236">
            <v>118915</v>
          </cell>
        </row>
        <row r="236">
          <cell r="I236">
            <v>460555642</v>
          </cell>
        </row>
        <row r="236">
          <cell r="K236">
            <v>95.5120884665517</v>
          </cell>
        </row>
        <row r="237">
          <cell r="A237">
            <v>45449</v>
          </cell>
        </row>
        <row r="237">
          <cell r="G237">
            <v>10008</v>
          </cell>
        </row>
        <row r="237">
          <cell r="I237">
            <v>460436727</v>
          </cell>
        </row>
        <row r="237">
          <cell r="K237">
            <v>96.7973621103118</v>
          </cell>
        </row>
        <row r="238">
          <cell r="A238">
            <v>45448</v>
          </cell>
        </row>
        <row r="238">
          <cell r="G238">
            <v>102441</v>
          </cell>
        </row>
        <row r="238">
          <cell r="I238">
            <v>460426719</v>
          </cell>
        </row>
        <row r="238">
          <cell r="K238">
            <v>96.0450210364991</v>
          </cell>
        </row>
        <row r="239">
          <cell r="A239">
            <v>45447</v>
          </cell>
        </row>
        <row r="239">
          <cell r="G239">
            <v>75779</v>
          </cell>
        </row>
        <row r="239">
          <cell r="I239">
            <v>460324278</v>
          </cell>
        </row>
        <row r="239">
          <cell r="K239">
            <v>96.6020161258396</v>
          </cell>
        </row>
        <row r="240">
          <cell r="A240">
            <v>45446</v>
          </cell>
        </row>
        <row r="240">
          <cell r="G240">
            <v>603767</v>
          </cell>
        </row>
        <row r="240">
          <cell r="I240">
            <v>460248499</v>
          </cell>
        </row>
        <row r="240">
          <cell r="K240">
            <v>96.8988680401546</v>
          </cell>
        </row>
        <row r="241">
          <cell r="A241">
            <v>45443</v>
          </cell>
        </row>
        <row r="241">
          <cell r="G241">
            <v>402200</v>
          </cell>
        </row>
        <row r="241">
          <cell r="I241">
            <v>459644732</v>
          </cell>
        </row>
        <row r="241">
          <cell r="K241">
            <v>97.1883515663849</v>
          </cell>
        </row>
        <row r="242">
          <cell r="A242">
            <v>45442</v>
          </cell>
        </row>
        <row r="242">
          <cell r="G242">
            <v>108</v>
          </cell>
        </row>
        <row r="242">
          <cell r="I242">
            <v>459242532</v>
          </cell>
        </row>
        <row r="242">
          <cell r="K242">
            <v>92.7903703703704</v>
          </cell>
        </row>
        <row r="243">
          <cell r="A243">
            <v>45441</v>
          </cell>
        </row>
        <row r="243">
          <cell r="G243">
            <v>869560</v>
          </cell>
        </row>
        <row r="243">
          <cell r="I243">
            <v>459242424</v>
          </cell>
        </row>
        <row r="243">
          <cell r="K243">
            <v>97.4994505267032</v>
          </cell>
        </row>
        <row r="244">
          <cell r="A244">
            <v>45440</v>
          </cell>
        </row>
        <row r="244">
          <cell r="G244">
            <v>102320</v>
          </cell>
        </row>
        <row r="244">
          <cell r="I244">
            <v>458372864</v>
          </cell>
        </row>
        <row r="244">
          <cell r="K244">
            <v>97.9996090695856</v>
          </cell>
        </row>
        <row r="245">
          <cell r="A245">
            <v>45439</v>
          </cell>
        </row>
        <row r="245">
          <cell r="G245">
            <v>7000</v>
          </cell>
        </row>
        <row r="245">
          <cell r="I245">
            <v>458270544</v>
          </cell>
        </row>
        <row r="245">
          <cell r="K245">
            <v>97.6457142857143</v>
          </cell>
        </row>
        <row r="246">
          <cell r="A246">
            <v>45436</v>
          </cell>
        </row>
        <row r="246">
          <cell r="G246">
            <v>145505</v>
          </cell>
        </row>
        <row r="246">
          <cell r="I246">
            <v>458263544</v>
          </cell>
        </row>
        <row r="246">
          <cell r="K246">
            <v>98.0397580839146</v>
          </cell>
        </row>
        <row r="247">
          <cell r="A247">
            <v>45435</v>
          </cell>
        </row>
        <row r="247">
          <cell r="G247">
            <v>174000</v>
          </cell>
        </row>
        <row r="247">
          <cell r="I247">
            <v>458118039</v>
          </cell>
        </row>
        <row r="247">
          <cell r="K247">
            <v>81.8448275862069</v>
          </cell>
        </row>
        <row r="248">
          <cell r="A248">
            <v>45434</v>
          </cell>
        </row>
        <row r="248">
          <cell r="G248">
            <v>262055</v>
          </cell>
        </row>
        <row r="248">
          <cell r="I248">
            <v>457944039</v>
          </cell>
        </row>
        <row r="248">
          <cell r="K248">
            <v>97.7603365705672</v>
          </cell>
        </row>
        <row r="249">
          <cell r="A249">
            <v>45433</v>
          </cell>
        </row>
        <row r="249">
          <cell r="G249">
            <v>256700</v>
          </cell>
        </row>
        <row r="249">
          <cell r="I249">
            <v>457681984</v>
          </cell>
        </row>
        <row r="249">
          <cell r="K249">
            <v>84.0716790027269</v>
          </cell>
        </row>
        <row r="250">
          <cell r="A250">
            <v>45432</v>
          </cell>
        </row>
        <row r="250">
          <cell r="G250">
            <v>273659</v>
          </cell>
        </row>
        <row r="250">
          <cell r="I250">
            <v>457425284</v>
          </cell>
        </row>
        <row r="250">
          <cell r="K250">
            <v>97.9613405734874</v>
          </cell>
        </row>
        <row r="251">
          <cell r="A251">
            <v>45429</v>
          </cell>
        </row>
        <row r="251">
          <cell r="G251">
            <v>142505</v>
          </cell>
        </row>
        <row r="251">
          <cell r="I251">
            <v>457151625</v>
          </cell>
        </row>
        <row r="251">
          <cell r="K251">
            <v>76.027040103856</v>
          </cell>
        </row>
        <row r="252">
          <cell r="A252">
            <v>45428</v>
          </cell>
        </row>
        <row r="252">
          <cell r="G252">
            <v>105</v>
          </cell>
        </row>
        <row r="252">
          <cell r="I252">
            <v>457009120</v>
          </cell>
        </row>
        <row r="252">
          <cell r="K252">
            <v>103.650952380952</v>
          </cell>
        </row>
        <row r="253">
          <cell r="A253">
            <v>45427</v>
          </cell>
        </row>
        <row r="253">
          <cell r="G253">
            <v>3210</v>
          </cell>
        </row>
        <row r="253">
          <cell r="I253">
            <v>457009015</v>
          </cell>
        </row>
        <row r="253">
          <cell r="K253">
            <v>96.7607476635514</v>
          </cell>
        </row>
        <row r="254">
          <cell r="A254">
            <v>45426</v>
          </cell>
        </row>
        <row r="254">
          <cell r="G254">
            <v>250</v>
          </cell>
        </row>
        <row r="254">
          <cell r="I254">
            <v>457005805</v>
          </cell>
        </row>
        <row r="254">
          <cell r="K254">
            <v>99.02</v>
          </cell>
        </row>
        <row r="255">
          <cell r="A255">
            <v>45425</v>
          </cell>
        </row>
        <row r="255">
          <cell r="G255">
            <v>55</v>
          </cell>
        </row>
        <row r="255">
          <cell r="I255">
            <v>457005555</v>
          </cell>
        </row>
        <row r="255">
          <cell r="K255">
            <v>95.0909090909091</v>
          </cell>
        </row>
        <row r="256">
          <cell r="A256">
            <v>45422</v>
          </cell>
        </row>
        <row r="256">
          <cell r="G256">
            <v>1010</v>
          </cell>
        </row>
        <row r="256">
          <cell r="I256">
            <v>457005500</v>
          </cell>
        </row>
        <row r="256">
          <cell r="K256">
            <v>99.9851485148515</v>
          </cell>
        </row>
        <row r="257">
          <cell r="A257">
            <v>45421</v>
          </cell>
        </row>
        <row r="257">
          <cell r="G257">
            <v>109050</v>
          </cell>
        </row>
        <row r="257">
          <cell r="I257">
            <v>457004490</v>
          </cell>
        </row>
        <row r="257">
          <cell r="K257">
            <v>91.8771205868867</v>
          </cell>
        </row>
        <row r="258">
          <cell r="A258">
            <v>45420</v>
          </cell>
        </row>
        <row r="258">
          <cell r="G258">
            <v>117192</v>
          </cell>
        </row>
        <row r="258">
          <cell r="I258">
            <v>456895440</v>
          </cell>
        </row>
        <row r="258">
          <cell r="K258">
            <v>98.2679705099324</v>
          </cell>
        </row>
        <row r="259">
          <cell r="A259">
            <v>45419</v>
          </cell>
        </row>
        <row r="259">
          <cell r="G259">
            <v>15005</v>
          </cell>
        </row>
        <row r="259">
          <cell r="I259">
            <v>456778248</v>
          </cell>
        </row>
        <row r="259">
          <cell r="K259">
            <v>100.001666111296</v>
          </cell>
        </row>
        <row r="260">
          <cell r="A260">
            <v>45418</v>
          </cell>
        </row>
        <row r="260">
          <cell r="G260">
            <v>5</v>
          </cell>
        </row>
        <row r="260">
          <cell r="I260">
            <v>456763243</v>
          </cell>
        </row>
        <row r="260">
          <cell r="K260">
            <v>105</v>
          </cell>
        </row>
        <row r="261">
          <cell r="A261">
            <v>45412</v>
          </cell>
        </row>
        <row r="261">
          <cell r="G261">
            <v>104950</v>
          </cell>
        </row>
        <row r="261">
          <cell r="I261">
            <v>456763238</v>
          </cell>
        </row>
        <row r="261">
          <cell r="K261">
            <v>90.9952358265841</v>
          </cell>
        </row>
        <row r="262">
          <cell r="A262">
            <v>45411</v>
          </cell>
        </row>
        <row r="262">
          <cell r="G262">
            <v>582040</v>
          </cell>
        </row>
        <row r="262">
          <cell r="I262">
            <v>456658288</v>
          </cell>
        </row>
        <row r="262">
          <cell r="K262">
            <v>98.7649044739193</v>
          </cell>
        </row>
        <row r="263">
          <cell r="A263">
            <v>45408</v>
          </cell>
        </row>
        <row r="263">
          <cell r="G263">
            <v>716953</v>
          </cell>
        </row>
        <row r="263">
          <cell r="I263">
            <v>456076248</v>
          </cell>
        </row>
        <row r="263">
          <cell r="K263">
            <v>98.7765990239249</v>
          </cell>
        </row>
        <row r="264">
          <cell r="A264">
            <v>45407</v>
          </cell>
        </row>
        <row r="264">
          <cell r="G264">
            <v>527981</v>
          </cell>
        </row>
        <row r="264">
          <cell r="I264">
            <v>455359295</v>
          </cell>
        </row>
        <row r="264">
          <cell r="K264">
            <v>102.995438472218</v>
          </cell>
        </row>
        <row r="265">
          <cell r="A265">
            <v>45406</v>
          </cell>
        </row>
        <row r="265">
          <cell r="G265">
            <v>448283</v>
          </cell>
        </row>
        <row r="265">
          <cell r="I265">
            <v>454831314</v>
          </cell>
        </row>
        <row r="265">
          <cell r="K265">
            <v>101.051517099689</v>
          </cell>
        </row>
        <row r="266">
          <cell r="A266">
            <v>45405</v>
          </cell>
        </row>
        <row r="266">
          <cell r="G266">
            <v>107779</v>
          </cell>
        </row>
        <row r="266">
          <cell r="I266">
            <v>454383031</v>
          </cell>
        </row>
        <row r="266">
          <cell r="K266">
            <v>99.7486059436439</v>
          </cell>
        </row>
        <row r="267">
          <cell r="A267">
            <v>45404</v>
          </cell>
        </row>
        <row r="267">
          <cell r="G267">
            <v>716433</v>
          </cell>
        </row>
        <row r="267">
          <cell r="I267">
            <v>454275252</v>
          </cell>
        </row>
        <row r="267">
          <cell r="K267">
            <v>89.8393055596267</v>
          </cell>
        </row>
        <row r="268">
          <cell r="A268">
            <v>45401</v>
          </cell>
        </row>
        <row r="268">
          <cell r="G268">
            <v>173151</v>
          </cell>
        </row>
        <row r="268">
          <cell r="I268">
            <v>453558819</v>
          </cell>
        </row>
        <row r="268">
          <cell r="K268">
            <v>94.8662958920249</v>
          </cell>
        </row>
        <row r="269">
          <cell r="A269">
            <v>45400</v>
          </cell>
        </row>
        <row r="269">
          <cell r="G269">
            <v>272915</v>
          </cell>
        </row>
        <row r="269">
          <cell r="I269">
            <v>453385668</v>
          </cell>
        </row>
        <row r="269">
          <cell r="K269">
            <v>92.743482402946</v>
          </cell>
        </row>
        <row r="270">
          <cell r="A270">
            <v>45399</v>
          </cell>
        </row>
        <row r="270">
          <cell r="G270">
            <v>218309</v>
          </cell>
        </row>
        <row r="270">
          <cell r="I270">
            <v>453112753</v>
          </cell>
        </row>
        <row r="270">
          <cell r="K270">
            <v>91.5779102098402</v>
          </cell>
        </row>
        <row r="271">
          <cell r="A271">
            <v>45398</v>
          </cell>
        </row>
        <row r="271">
          <cell r="G271">
            <v>132800</v>
          </cell>
        </row>
        <row r="271">
          <cell r="I271">
            <v>452894444</v>
          </cell>
        </row>
        <row r="271">
          <cell r="K271">
            <v>93.416265060241</v>
          </cell>
        </row>
        <row r="272">
          <cell r="A272">
            <v>45397</v>
          </cell>
        </row>
        <row r="272">
          <cell r="G272">
            <v>2026</v>
          </cell>
        </row>
        <row r="272">
          <cell r="I272">
            <v>452761644</v>
          </cell>
        </row>
        <row r="272">
          <cell r="K272">
            <v>90.0641658440276</v>
          </cell>
        </row>
        <row r="273">
          <cell r="A273">
            <v>45394</v>
          </cell>
        </row>
        <row r="273">
          <cell r="G273">
            <v>384300</v>
          </cell>
        </row>
        <row r="273">
          <cell r="I273">
            <v>452759618</v>
          </cell>
        </row>
        <row r="273">
          <cell r="K273">
            <v>90.5585219880302</v>
          </cell>
        </row>
        <row r="274">
          <cell r="A274">
            <v>45393</v>
          </cell>
        </row>
        <row r="274">
          <cell r="G274">
            <v>73571</v>
          </cell>
        </row>
        <row r="274">
          <cell r="I274">
            <v>452375318</v>
          </cell>
        </row>
        <row r="274">
          <cell r="K274">
            <v>87.5667504859252</v>
          </cell>
        </row>
        <row r="275">
          <cell r="A275">
            <v>45392</v>
          </cell>
        </row>
        <row r="275">
          <cell r="G275">
            <v>915100</v>
          </cell>
        </row>
        <row r="275">
          <cell r="I275">
            <v>452301747</v>
          </cell>
        </row>
        <row r="275">
          <cell r="K275">
            <v>88.7004698940007</v>
          </cell>
        </row>
        <row r="276">
          <cell r="A276">
            <v>45391</v>
          </cell>
        </row>
        <row r="276">
          <cell r="G276">
            <v>787993</v>
          </cell>
        </row>
        <row r="276">
          <cell r="I276">
            <v>451386647</v>
          </cell>
        </row>
        <row r="276">
          <cell r="K276">
            <v>89.0243646326807</v>
          </cell>
        </row>
        <row r="277">
          <cell r="A277">
            <v>45390</v>
          </cell>
        </row>
        <row r="277">
          <cell r="G277">
            <v>195776</v>
          </cell>
        </row>
        <row r="277">
          <cell r="I277">
            <v>450598654</v>
          </cell>
        </row>
        <row r="277">
          <cell r="K277">
            <v>85.5727631578947</v>
          </cell>
        </row>
        <row r="278">
          <cell r="A278">
            <v>45385</v>
          </cell>
        </row>
        <row r="278">
          <cell r="G278">
            <v>39998</v>
          </cell>
        </row>
        <row r="278">
          <cell r="I278">
            <v>450402878</v>
          </cell>
        </row>
        <row r="278">
          <cell r="K278">
            <v>87</v>
          </cell>
        </row>
        <row r="279">
          <cell r="A279">
            <v>45384</v>
          </cell>
        </row>
        <row r="279">
          <cell r="G279">
            <v>125005</v>
          </cell>
        </row>
        <row r="279">
          <cell r="I279">
            <v>450362880</v>
          </cell>
        </row>
        <row r="279">
          <cell r="K279">
            <v>87.2001507939682</v>
          </cell>
        </row>
        <row r="280">
          <cell r="A280">
            <v>45383</v>
          </cell>
        </row>
        <row r="280">
          <cell r="G280">
            <v>5</v>
          </cell>
        </row>
        <row r="280">
          <cell r="I280">
            <v>450237875</v>
          </cell>
        </row>
        <row r="280">
          <cell r="K280">
            <v>90.97</v>
          </cell>
        </row>
        <row r="281">
          <cell r="A281">
            <v>45380</v>
          </cell>
        </row>
        <row r="281">
          <cell r="G281">
            <v>10050</v>
          </cell>
        </row>
        <row r="281">
          <cell r="I281">
            <v>450237870</v>
          </cell>
        </row>
        <row r="281">
          <cell r="K281">
            <v>90.9701492537313</v>
          </cell>
        </row>
        <row r="282">
          <cell r="A282">
            <v>45379</v>
          </cell>
        </row>
        <row r="282">
          <cell r="G282">
            <v>3051</v>
          </cell>
        </row>
        <row r="282">
          <cell r="I282">
            <v>450227820</v>
          </cell>
        </row>
        <row r="282">
          <cell r="K282">
            <v>91.1366764995084</v>
          </cell>
        </row>
        <row r="283">
          <cell r="A283">
            <v>45378</v>
          </cell>
        </row>
        <row r="283">
          <cell r="G283">
            <v>125353</v>
          </cell>
        </row>
        <row r="283">
          <cell r="I283">
            <v>450224769</v>
          </cell>
        </row>
        <row r="283">
          <cell r="K283">
            <v>89.6021954001899</v>
          </cell>
        </row>
        <row r="284">
          <cell r="A284">
            <v>45377</v>
          </cell>
        </row>
        <row r="284">
          <cell r="G284">
            <v>578942</v>
          </cell>
        </row>
        <row r="284">
          <cell r="I284">
            <v>450099416</v>
          </cell>
        </row>
        <row r="284">
          <cell r="K284">
            <v>88.8569183096061</v>
          </cell>
        </row>
        <row r="285">
          <cell r="A285">
            <v>45376</v>
          </cell>
        </row>
        <row r="285">
          <cell r="G285">
            <v>46000</v>
          </cell>
        </row>
        <row r="285">
          <cell r="I285">
            <v>449520474</v>
          </cell>
        </row>
        <row r="285">
          <cell r="K285">
            <v>85.804347826087</v>
          </cell>
        </row>
        <row r="286">
          <cell r="A286">
            <v>45373</v>
          </cell>
        </row>
        <row r="286">
          <cell r="G286">
            <v>5</v>
          </cell>
        </row>
        <row r="286">
          <cell r="I286">
            <v>449474474</v>
          </cell>
        </row>
        <row r="286">
          <cell r="K286">
            <v>80</v>
          </cell>
        </row>
        <row r="287">
          <cell r="A287">
            <v>45372</v>
          </cell>
        </row>
        <row r="287">
          <cell r="G287">
            <v>30100</v>
          </cell>
        </row>
        <row r="287">
          <cell r="I287">
            <v>449474469</v>
          </cell>
        </row>
        <row r="287">
          <cell r="K287">
            <v>85.9983388704319</v>
          </cell>
        </row>
        <row r="288">
          <cell r="A288">
            <v>45371</v>
          </cell>
        </row>
        <row r="288">
          <cell r="G288">
            <v>59200</v>
          </cell>
        </row>
        <row r="288">
          <cell r="I288">
            <v>449444369</v>
          </cell>
        </row>
        <row r="288">
          <cell r="K288">
            <v>87.3067567567568</v>
          </cell>
        </row>
        <row r="289">
          <cell r="A289">
            <v>45370</v>
          </cell>
        </row>
        <row r="289">
          <cell r="G289">
            <v>53447</v>
          </cell>
        </row>
        <row r="289">
          <cell r="I289">
            <v>449385169</v>
          </cell>
        </row>
        <row r="289">
          <cell r="K289">
            <v>81.495322468988</v>
          </cell>
        </row>
        <row r="290">
          <cell r="A290">
            <v>45369</v>
          </cell>
        </row>
        <row r="290">
          <cell r="G290">
            <v>50100</v>
          </cell>
        </row>
        <row r="290">
          <cell r="I290">
            <v>449331722</v>
          </cell>
        </row>
        <row r="290">
          <cell r="K290">
            <v>81.4940119760479</v>
          </cell>
        </row>
        <row r="291">
          <cell r="A291">
            <v>45366</v>
          </cell>
        </row>
        <row r="291">
          <cell r="G291">
            <v>100</v>
          </cell>
        </row>
        <row r="291">
          <cell r="I291">
            <v>449281622</v>
          </cell>
        </row>
        <row r="291">
          <cell r="K291">
            <v>80</v>
          </cell>
        </row>
        <row r="292">
          <cell r="A292">
            <v>45365</v>
          </cell>
        </row>
        <row r="292">
          <cell r="G292">
            <v>100635</v>
          </cell>
        </row>
        <row r="292">
          <cell r="I292">
            <v>449281522</v>
          </cell>
        </row>
        <row r="292">
          <cell r="K292">
            <v>85.0680677696626</v>
          </cell>
        </row>
        <row r="293">
          <cell r="A293">
            <v>45364</v>
          </cell>
        </row>
        <row r="293">
          <cell r="G293">
            <v>107110</v>
          </cell>
        </row>
        <row r="293">
          <cell r="I293">
            <v>449180887</v>
          </cell>
        </row>
        <row r="293">
          <cell r="K293">
            <v>86.9814303052936</v>
          </cell>
        </row>
        <row r="294">
          <cell r="A294">
            <v>45363</v>
          </cell>
        </row>
        <row r="294">
          <cell r="G294">
            <v>308700</v>
          </cell>
        </row>
        <row r="294">
          <cell r="I294">
            <v>449073777</v>
          </cell>
        </row>
        <row r="294">
          <cell r="K294">
            <v>86.1661807580175</v>
          </cell>
        </row>
        <row r="295">
          <cell r="A295">
            <v>45362</v>
          </cell>
        </row>
        <row r="295">
          <cell r="G295">
            <v>512250</v>
          </cell>
        </row>
        <row r="295">
          <cell r="I295">
            <v>448765077</v>
          </cell>
        </row>
        <row r="295">
          <cell r="K295">
            <v>82.8624402147389</v>
          </cell>
        </row>
        <row r="296">
          <cell r="A296">
            <v>45359</v>
          </cell>
        </row>
        <row r="296">
          <cell r="G296">
            <v>430000</v>
          </cell>
        </row>
        <row r="296">
          <cell r="I296">
            <v>448252827</v>
          </cell>
        </row>
        <row r="296">
          <cell r="K296">
            <v>84.4172093023256</v>
          </cell>
        </row>
        <row r="297">
          <cell r="A297">
            <v>45358</v>
          </cell>
        </row>
        <row r="297">
          <cell r="G297">
            <v>160005</v>
          </cell>
        </row>
        <row r="297">
          <cell r="I297">
            <v>447822827</v>
          </cell>
        </row>
        <row r="297">
          <cell r="K297">
            <v>86.7999437517578</v>
          </cell>
        </row>
        <row r="298">
          <cell r="A298">
            <v>45357</v>
          </cell>
        </row>
        <row r="298">
          <cell r="G298">
            <v>329396</v>
          </cell>
        </row>
        <row r="298">
          <cell r="I298">
            <v>447662822</v>
          </cell>
        </row>
        <row r="298">
          <cell r="K298">
            <v>82.2329788461305</v>
          </cell>
        </row>
        <row r="299">
          <cell r="A299">
            <v>45356</v>
          </cell>
        </row>
        <row r="299">
          <cell r="G299">
            <v>97608</v>
          </cell>
        </row>
        <row r="299">
          <cell r="I299">
            <v>447333426</v>
          </cell>
        </row>
        <row r="299">
          <cell r="K299">
            <v>85.4215586837145</v>
          </cell>
        </row>
        <row r="300">
          <cell r="A300">
            <v>45355</v>
          </cell>
        </row>
        <row r="300">
          <cell r="G300">
            <v>6300</v>
          </cell>
        </row>
        <row r="300">
          <cell r="I300">
            <v>447235818</v>
          </cell>
        </row>
        <row r="300">
          <cell r="K300">
            <v>85.4174603174603</v>
          </cell>
        </row>
        <row r="301">
          <cell r="A301">
            <v>45352</v>
          </cell>
        </row>
        <row r="301">
          <cell r="G301">
            <v>184635</v>
          </cell>
        </row>
        <row r="301">
          <cell r="I301">
            <v>447229518</v>
          </cell>
        </row>
        <row r="301">
          <cell r="K301">
            <v>84.9918758631895</v>
          </cell>
        </row>
        <row r="302">
          <cell r="A302">
            <v>45351</v>
          </cell>
        </row>
        <row r="302">
          <cell r="G302">
            <v>331398</v>
          </cell>
        </row>
        <row r="302">
          <cell r="I302">
            <v>447044883</v>
          </cell>
        </row>
        <row r="302">
          <cell r="K302">
            <v>85.9456786100097</v>
          </cell>
        </row>
        <row r="303">
          <cell r="A303">
            <v>45350</v>
          </cell>
        </row>
        <row r="303">
          <cell r="G303">
            <v>436851</v>
          </cell>
        </row>
        <row r="303">
          <cell r="I303">
            <v>446713485</v>
          </cell>
        </row>
        <row r="303">
          <cell r="K303">
            <v>83.2839069614125</v>
          </cell>
        </row>
        <row r="304">
          <cell r="A304">
            <v>45349</v>
          </cell>
        </row>
        <row r="304">
          <cell r="G304">
            <v>340939</v>
          </cell>
        </row>
        <row r="304">
          <cell r="I304">
            <v>446276634</v>
          </cell>
        </row>
        <row r="304">
          <cell r="K304">
            <v>79.110640026515</v>
          </cell>
        </row>
        <row r="305">
          <cell r="A305">
            <v>45348</v>
          </cell>
        </row>
        <row r="305">
          <cell r="G305">
            <v>15714</v>
          </cell>
        </row>
        <row r="305">
          <cell r="I305">
            <v>445935695</v>
          </cell>
        </row>
        <row r="305">
          <cell r="K305">
            <v>82.7272495863561</v>
          </cell>
        </row>
        <row r="306">
          <cell r="A306">
            <v>45345</v>
          </cell>
        </row>
        <row r="306">
          <cell r="G306">
            <v>225055</v>
          </cell>
        </row>
        <row r="306">
          <cell r="I306">
            <v>445919981</v>
          </cell>
        </row>
        <row r="306">
          <cell r="K306">
            <v>80.242351869543</v>
          </cell>
        </row>
        <row r="307">
          <cell r="A307">
            <v>45344</v>
          </cell>
        </row>
        <row r="307">
          <cell r="G307">
            <v>30852</v>
          </cell>
        </row>
        <row r="307">
          <cell r="I307">
            <v>445694926</v>
          </cell>
        </row>
        <row r="307">
          <cell r="K307">
            <v>82.9983793595229</v>
          </cell>
        </row>
        <row r="308">
          <cell r="A308">
            <v>45343</v>
          </cell>
        </row>
        <row r="308">
          <cell r="G308">
            <v>32599</v>
          </cell>
        </row>
        <row r="308">
          <cell r="I308">
            <v>445664074</v>
          </cell>
        </row>
        <row r="308">
          <cell r="K308">
            <v>82.5398631859873</v>
          </cell>
        </row>
        <row r="309">
          <cell r="A309">
            <v>45342</v>
          </cell>
        </row>
        <row r="309">
          <cell r="G309">
            <v>186584</v>
          </cell>
        </row>
        <row r="309">
          <cell r="I309">
            <v>445631475</v>
          </cell>
        </row>
        <row r="309">
          <cell r="K309">
            <v>80</v>
          </cell>
        </row>
        <row r="310">
          <cell r="A310">
            <v>45341</v>
          </cell>
        </row>
        <row r="310">
          <cell r="G310">
            <v>5</v>
          </cell>
        </row>
        <row r="310">
          <cell r="I310">
            <v>445444891</v>
          </cell>
        </row>
        <row r="310">
          <cell r="K310">
            <v>76</v>
          </cell>
        </row>
        <row r="311">
          <cell r="A311">
            <v>45330</v>
          </cell>
        </row>
        <row r="311">
          <cell r="G311">
            <v>5</v>
          </cell>
        </row>
        <row r="311">
          <cell r="I311">
            <v>445444886</v>
          </cell>
        </row>
        <row r="311">
          <cell r="K311">
            <v>76</v>
          </cell>
        </row>
        <row r="312">
          <cell r="A312">
            <v>45329</v>
          </cell>
        </row>
        <row r="312">
          <cell r="G312">
            <v>20000</v>
          </cell>
        </row>
        <row r="312">
          <cell r="I312">
            <v>445444881</v>
          </cell>
        </row>
        <row r="312">
          <cell r="K312">
            <v>76</v>
          </cell>
        </row>
        <row r="313">
          <cell r="A313">
            <v>45328</v>
          </cell>
        </row>
        <row r="313">
          <cell r="G313">
            <v>8</v>
          </cell>
        </row>
        <row r="313">
          <cell r="I313">
            <v>445424881</v>
          </cell>
        </row>
        <row r="313">
          <cell r="K313">
            <v>76</v>
          </cell>
        </row>
        <row r="314">
          <cell r="A314">
            <v>45327</v>
          </cell>
        </row>
        <row r="314">
          <cell r="G314">
            <v>8</v>
          </cell>
        </row>
        <row r="314">
          <cell r="I314">
            <v>445424873</v>
          </cell>
        </row>
        <row r="314">
          <cell r="K314">
            <v>76</v>
          </cell>
        </row>
        <row r="315">
          <cell r="A315">
            <v>45324</v>
          </cell>
        </row>
        <row r="315">
          <cell r="G315">
            <v>703008</v>
          </cell>
        </row>
        <row r="315">
          <cell r="I315">
            <v>445424865</v>
          </cell>
        </row>
        <row r="315">
          <cell r="K315">
            <v>60.368206336201</v>
          </cell>
        </row>
        <row r="316">
          <cell r="A316">
            <v>45323</v>
          </cell>
        </row>
        <row r="316">
          <cell r="G316">
            <v>83000</v>
          </cell>
        </row>
        <row r="316">
          <cell r="I316">
            <v>444721857</v>
          </cell>
        </row>
        <row r="316">
          <cell r="K316">
            <v>73.8072289156626</v>
          </cell>
        </row>
        <row r="317">
          <cell r="A317">
            <v>45322</v>
          </cell>
        </row>
        <row r="317">
          <cell r="G317">
            <v>485310</v>
          </cell>
        </row>
        <row r="317">
          <cell r="I317">
            <v>444638857</v>
          </cell>
        </row>
        <row r="317">
          <cell r="K317">
            <v>79.9923657043951</v>
          </cell>
        </row>
        <row r="318">
          <cell r="A318">
            <v>45321</v>
          </cell>
        </row>
        <row r="318">
          <cell r="G318">
            <v>20000</v>
          </cell>
        </row>
        <row r="318">
          <cell r="I318">
            <v>444153547</v>
          </cell>
        </row>
        <row r="318">
          <cell r="K318">
            <v>66</v>
          </cell>
        </row>
        <row r="319">
          <cell r="A319">
            <v>45320</v>
          </cell>
        </row>
        <row r="319">
          <cell r="G319">
            <v>530500</v>
          </cell>
        </row>
        <row r="319">
          <cell r="I319">
            <v>444133547</v>
          </cell>
        </row>
        <row r="319">
          <cell r="K319">
            <v>81.4967163053723</v>
          </cell>
        </row>
        <row r="320">
          <cell r="A320">
            <v>45317</v>
          </cell>
        </row>
        <row r="320">
          <cell r="G320">
            <v>130563</v>
          </cell>
        </row>
        <row r="320">
          <cell r="I320">
            <v>443603047</v>
          </cell>
        </row>
        <row r="320">
          <cell r="K320">
            <v>63.0508087283534</v>
          </cell>
        </row>
        <row r="321">
          <cell r="A321">
            <v>45316</v>
          </cell>
        </row>
        <row r="321">
          <cell r="G321">
            <v>120100</v>
          </cell>
        </row>
        <row r="321">
          <cell r="I321">
            <v>443472484</v>
          </cell>
        </row>
        <row r="321">
          <cell r="K321">
            <v>62.007493755204</v>
          </cell>
        </row>
        <row r="322">
          <cell r="A322">
            <v>45315</v>
          </cell>
        </row>
        <row r="322">
          <cell r="G322">
            <v>150100</v>
          </cell>
        </row>
        <row r="322">
          <cell r="I322">
            <v>443352384</v>
          </cell>
        </row>
        <row r="322">
          <cell r="K322">
            <v>73.8647568287808</v>
          </cell>
        </row>
        <row r="323">
          <cell r="A323">
            <v>45314</v>
          </cell>
        </row>
        <row r="323">
          <cell r="G323">
            <v>949</v>
          </cell>
        </row>
        <row r="323">
          <cell r="I323">
            <v>443202284</v>
          </cell>
        </row>
        <row r="323">
          <cell r="K323">
            <v>74.536354056902</v>
          </cell>
        </row>
        <row r="324">
          <cell r="A324">
            <v>45313</v>
          </cell>
        </row>
        <row r="324">
          <cell r="G324">
            <v>100</v>
          </cell>
        </row>
        <row r="324">
          <cell r="I324">
            <v>443201335</v>
          </cell>
        </row>
        <row r="324">
          <cell r="K324">
            <v>71</v>
          </cell>
        </row>
        <row r="325">
          <cell r="A325">
            <v>45310</v>
          </cell>
        </row>
        <row r="325">
          <cell r="G325">
            <v>10100</v>
          </cell>
        </row>
        <row r="325">
          <cell r="I325">
            <v>443201235</v>
          </cell>
        </row>
        <row r="325">
          <cell r="K325">
            <v>74.960396039604</v>
          </cell>
        </row>
        <row r="326">
          <cell r="A326">
            <v>45309</v>
          </cell>
        </row>
        <row r="326">
          <cell r="G326">
            <v>8</v>
          </cell>
        </row>
        <row r="326">
          <cell r="I326">
            <v>443191135</v>
          </cell>
        </row>
        <row r="326">
          <cell r="K326">
            <v>70</v>
          </cell>
        </row>
        <row r="327">
          <cell r="A327">
            <v>45308</v>
          </cell>
        </row>
        <row r="327">
          <cell r="G327">
            <v>28690</v>
          </cell>
        </row>
        <row r="327">
          <cell r="I327">
            <v>443191127</v>
          </cell>
        </row>
        <row r="327">
          <cell r="K327">
            <v>75</v>
          </cell>
        </row>
        <row r="328">
          <cell r="A328">
            <v>45307</v>
          </cell>
        </row>
        <row r="328">
          <cell r="G328">
            <v>73652</v>
          </cell>
        </row>
        <row r="328">
          <cell r="I328">
            <v>443162437</v>
          </cell>
        </row>
        <row r="328">
          <cell r="K328">
            <v>70.0013577363819</v>
          </cell>
        </row>
        <row r="329">
          <cell r="A329">
            <v>45306</v>
          </cell>
        </row>
        <row r="329">
          <cell r="G329">
            <v>500</v>
          </cell>
        </row>
        <row r="329">
          <cell r="I329">
            <v>443088785</v>
          </cell>
        </row>
        <row r="329">
          <cell r="K329">
            <v>71</v>
          </cell>
        </row>
        <row r="330">
          <cell r="A330">
            <v>45303</v>
          </cell>
        </row>
        <row r="330">
          <cell r="G330">
            <v>100</v>
          </cell>
        </row>
        <row r="330">
          <cell r="I330">
            <v>443088285</v>
          </cell>
        </row>
        <row r="330">
          <cell r="K330">
            <v>71</v>
          </cell>
        </row>
        <row r="331">
          <cell r="A331">
            <v>45302</v>
          </cell>
        </row>
        <row r="331">
          <cell r="G331">
            <v>8</v>
          </cell>
        </row>
        <row r="331">
          <cell r="I331">
            <v>443088185</v>
          </cell>
        </row>
        <row r="331">
          <cell r="K331">
            <v>71.02</v>
          </cell>
        </row>
        <row r="332">
          <cell r="A332">
            <v>45301</v>
          </cell>
        </row>
        <row r="332">
          <cell r="G332">
            <v>182986</v>
          </cell>
        </row>
        <row r="332">
          <cell r="I332">
            <v>443088177</v>
          </cell>
        </row>
        <row r="332">
          <cell r="K332">
            <v>76.6372837266239</v>
          </cell>
        </row>
        <row r="333">
          <cell r="A333">
            <v>45300</v>
          </cell>
        </row>
        <row r="333">
          <cell r="G333">
            <v>100008</v>
          </cell>
        </row>
        <row r="333">
          <cell r="I333">
            <v>442905191</v>
          </cell>
        </row>
        <row r="333">
          <cell r="K333">
            <v>77.9994416446684</v>
          </cell>
        </row>
        <row r="334">
          <cell r="A334">
            <v>45299</v>
          </cell>
        </row>
        <row r="334">
          <cell r="G334">
            <v>600</v>
          </cell>
        </row>
        <row r="334">
          <cell r="I334">
            <v>442805183</v>
          </cell>
        </row>
        <row r="334">
          <cell r="K334">
            <v>71</v>
          </cell>
        </row>
        <row r="335">
          <cell r="A335">
            <v>45296</v>
          </cell>
        </row>
        <row r="335">
          <cell r="G335">
            <v>150005</v>
          </cell>
        </row>
        <row r="335">
          <cell r="I335">
            <v>442804583</v>
          </cell>
        </row>
        <row r="335">
          <cell r="K335">
            <v>73.0399153361555</v>
          </cell>
        </row>
        <row r="336">
          <cell r="A336">
            <v>45295</v>
          </cell>
        </row>
        <row r="336">
          <cell r="G336">
            <v>299174</v>
          </cell>
        </row>
        <row r="336">
          <cell r="I336">
            <v>442654578</v>
          </cell>
        </row>
        <row r="336">
          <cell r="K336">
            <v>66.0402608515446</v>
          </cell>
        </row>
        <row r="337">
          <cell r="A337">
            <v>45294</v>
          </cell>
        </row>
        <row r="337">
          <cell r="G337">
            <v>607393</v>
          </cell>
        </row>
        <row r="337">
          <cell r="I337">
            <v>442355404</v>
          </cell>
        </row>
        <row r="337">
          <cell r="K337">
            <v>67.2835709334813</v>
          </cell>
        </row>
        <row r="338">
          <cell r="A338">
            <v>45293</v>
          </cell>
        </row>
        <row r="338">
          <cell r="G338">
            <v>125400</v>
          </cell>
        </row>
        <row r="338">
          <cell r="I338">
            <v>441748011</v>
          </cell>
        </row>
        <row r="338">
          <cell r="K338">
            <v>57.7985486443381</v>
          </cell>
        </row>
        <row r="339">
          <cell r="A339">
            <v>45289</v>
          </cell>
        </row>
        <row r="339">
          <cell r="G339">
            <v>163603</v>
          </cell>
        </row>
        <row r="339">
          <cell r="I339">
            <v>441622611</v>
          </cell>
        </row>
        <row r="339">
          <cell r="K339">
            <v>76.5864379015055</v>
          </cell>
        </row>
        <row r="340">
          <cell r="A340">
            <v>45288</v>
          </cell>
        </row>
        <row r="340">
          <cell r="G340">
            <v>362926</v>
          </cell>
        </row>
        <row r="340">
          <cell r="I340">
            <v>441459008</v>
          </cell>
        </row>
        <row r="340">
          <cell r="K340">
            <v>76.399584157652</v>
          </cell>
        </row>
        <row r="341">
          <cell r="A341">
            <v>45287</v>
          </cell>
        </row>
        <row r="341">
          <cell r="G341">
            <v>495429</v>
          </cell>
        </row>
        <row r="341">
          <cell r="I341">
            <v>441096082</v>
          </cell>
        </row>
        <row r="341">
          <cell r="K341">
            <v>79.2312490588964</v>
          </cell>
        </row>
        <row r="342">
          <cell r="A342">
            <v>45286</v>
          </cell>
        </row>
        <row r="342">
          <cell r="G342">
            <v>1654914</v>
          </cell>
        </row>
        <row r="342">
          <cell r="I342">
            <v>440600653</v>
          </cell>
        </row>
        <row r="342">
          <cell r="K342">
            <v>79.9366683102566</v>
          </cell>
        </row>
        <row r="343">
          <cell r="A343">
            <v>45285</v>
          </cell>
        </row>
        <row r="343">
          <cell r="G343">
            <v>3790045</v>
          </cell>
        </row>
        <row r="343">
          <cell r="I343">
            <v>438945739</v>
          </cell>
        </row>
        <row r="343">
          <cell r="K343">
            <v>77.1920637142831</v>
          </cell>
        </row>
        <row r="344">
          <cell r="A344">
            <v>45282</v>
          </cell>
        </row>
        <row r="344">
          <cell r="G344">
            <v>1666253</v>
          </cell>
        </row>
        <row r="344">
          <cell r="I344">
            <v>435155694</v>
          </cell>
        </row>
        <row r="344">
          <cell r="K344">
            <v>80.386883384456</v>
          </cell>
        </row>
        <row r="345">
          <cell r="A345">
            <v>45281</v>
          </cell>
        </row>
        <row r="345">
          <cell r="G345">
            <v>902050</v>
          </cell>
        </row>
        <row r="345">
          <cell r="I345">
            <v>433489441</v>
          </cell>
        </row>
        <row r="345">
          <cell r="K345">
            <v>77.6779988027271</v>
          </cell>
        </row>
        <row r="346">
          <cell r="A346">
            <v>45280</v>
          </cell>
        </row>
        <row r="346">
          <cell r="G346">
            <v>555496</v>
          </cell>
        </row>
        <row r="346">
          <cell r="I346">
            <v>432587391</v>
          </cell>
        </row>
        <row r="346">
          <cell r="K346">
            <v>71.6680670967928</v>
          </cell>
        </row>
        <row r="347">
          <cell r="A347">
            <v>45279</v>
          </cell>
        </row>
        <row r="347">
          <cell r="G347">
            <v>366249</v>
          </cell>
        </row>
        <row r="347">
          <cell r="I347">
            <v>432031895</v>
          </cell>
        </row>
        <row r="347">
          <cell r="K347">
            <v>69.8496483539887</v>
          </cell>
        </row>
        <row r="348">
          <cell r="A348">
            <v>45278</v>
          </cell>
        </row>
        <row r="348">
          <cell r="G348">
            <v>585057</v>
          </cell>
        </row>
        <row r="348">
          <cell r="I348">
            <v>431665646</v>
          </cell>
        </row>
        <row r="348">
          <cell r="K348">
            <v>72.2682234380582</v>
          </cell>
        </row>
        <row r="349">
          <cell r="A349">
            <v>45275</v>
          </cell>
        </row>
        <row r="349">
          <cell r="G349">
            <v>846129</v>
          </cell>
        </row>
        <row r="349">
          <cell r="I349">
            <v>431080589</v>
          </cell>
        </row>
        <row r="349">
          <cell r="K349">
            <v>71.3837562593883</v>
          </cell>
        </row>
        <row r="350">
          <cell r="A350">
            <v>45274</v>
          </cell>
        </row>
        <row r="350">
          <cell r="G350">
            <v>783253</v>
          </cell>
        </row>
        <row r="350">
          <cell r="I350">
            <v>430234460</v>
          </cell>
        </row>
        <row r="350">
          <cell r="K350">
            <v>61.7204200430768</v>
          </cell>
        </row>
        <row r="351">
          <cell r="A351">
            <v>45273</v>
          </cell>
        </row>
        <row r="351">
          <cell r="G351">
            <v>1087730</v>
          </cell>
        </row>
        <row r="351">
          <cell r="I351">
            <v>429451207</v>
          </cell>
        </row>
        <row r="351">
          <cell r="K351">
            <v>68.2408422126815</v>
          </cell>
        </row>
        <row r="352">
          <cell r="A352">
            <v>45272</v>
          </cell>
        </row>
        <row r="352">
          <cell r="G352">
            <v>296523</v>
          </cell>
        </row>
        <row r="352">
          <cell r="I352">
            <v>428363477</v>
          </cell>
        </row>
        <row r="352">
          <cell r="K352">
            <v>71.6237327289957</v>
          </cell>
        </row>
        <row r="353">
          <cell r="A353">
            <v>45271</v>
          </cell>
        </row>
        <row r="353">
          <cell r="G353">
            <v>666125</v>
          </cell>
        </row>
        <row r="353">
          <cell r="I353">
            <v>428066954</v>
          </cell>
        </row>
        <row r="353">
          <cell r="K353">
            <v>58.3237114955902</v>
          </cell>
        </row>
        <row r="354">
          <cell r="A354">
            <v>45268</v>
          </cell>
        </row>
        <row r="354">
          <cell r="G354">
            <v>167584</v>
          </cell>
        </row>
        <row r="354">
          <cell r="I354">
            <v>427400829</v>
          </cell>
        </row>
        <row r="354">
          <cell r="K354">
            <v>71.7782061533321</v>
          </cell>
        </row>
        <row r="355">
          <cell r="A355">
            <v>45267</v>
          </cell>
        </row>
        <row r="355">
          <cell r="G355">
            <v>1250501</v>
          </cell>
        </row>
        <row r="355">
          <cell r="I355">
            <v>427233245</v>
          </cell>
        </row>
        <row r="355">
          <cell r="K355">
            <v>63.1589443111201</v>
          </cell>
        </row>
        <row r="356">
          <cell r="A356">
            <v>45266</v>
          </cell>
        </row>
        <row r="356">
          <cell r="G356">
            <v>309586</v>
          </cell>
        </row>
        <row r="356">
          <cell r="I356">
            <v>425982744</v>
          </cell>
        </row>
        <row r="356">
          <cell r="K356">
            <v>71.3153953990168</v>
          </cell>
        </row>
        <row r="357">
          <cell r="A357">
            <v>45265</v>
          </cell>
        </row>
        <row r="357">
          <cell r="G357">
            <v>760107</v>
          </cell>
        </row>
        <row r="357">
          <cell r="I357">
            <v>425673158</v>
          </cell>
        </row>
        <row r="357">
          <cell r="K357">
            <v>74.5346560944709</v>
          </cell>
        </row>
        <row r="358">
          <cell r="A358">
            <v>45264</v>
          </cell>
        </row>
        <row r="358">
          <cell r="G358">
            <v>1309043</v>
          </cell>
        </row>
        <row r="358">
          <cell r="I358">
            <v>424913051</v>
          </cell>
        </row>
        <row r="358">
          <cell r="K358">
            <v>70.5902073346712</v>
          </cell>
        </row>
        <row r="359">
          <cell r="A359">
            <v>45261</v>
          </cell>
        </row>
        <row r="359">
          <cell r="G359">
            <v>453152</v>
          </cell>
        </row>
        <row r="359">
          <cell r="I359">
            <v>423604008</v>
          </cell>
        </row>
        <row r="359">
          <cell r="K359">
            <v>70.3501015111927</v>
          </cell>
        </row>
        <row r="360">
          <cell r="A360">
            <v>45260</v>
          </cell>
        </row>
        <row r="360">
          <cell r="G360">
            <v>1409093</v>
          </cell>
        </row>
        <row r="360">
          <cell r="I360">
            <v>423150856</v>
          </cell>
        </row>
        <row r="360">
          <cell r="K360">
            <v>71.8620338898852</v>
          </cell>
        </row>
        <row r="361">
          <cell r="A361">
            <v>45259</v>
          </cell>
        </row>
        <row r="361">
          <cell r="G361">
            <v>855177</v>
          </cell>
        </row>
        <row r="361">
          <cell r="I361">
            <v>421741763</v>
          </cell>
        </row>
        <row r="361">
          <cell r="K361">
            <v>70.8692006450127</v>
          </cell>
        </row>
        <row r="362">
          <cell r="A362">
            <v>45258</v>
          </cell>
        </row>
        <row r="362">
          <cell r="G362">
            <v>691143</v>
          </cell>
        </row>
        <row r="362">
          <cell r="I362">
            <v>420886586</v>
          </cell>
        </row>
        <row r="362">
          <cell r="K362">
            <v>71.5131034098587</v>
          </cell>
        </row>
        <row r="363">
          <cell r="A363">
            <v>45257</v>
          </cell>
        </row>
        <row r="363">
          <cell r="G363">
            <v>189163</v>
          </cell>
        </row>
        <row r="363">
          <cell r="I363">
            <v>420195443</v>
          </cell>
        </row>
        <row r="363">
          <cell r="K363">
            <v>71.8811109995084</v>
          </cell>
        </row>
        <row r="364">
          <cell r="A364">
            <v>45254</v>
          </cell>
        </row>
        <row r="364">
          <cell r="G364">
            <v>1454914</v>
          </cell>
        </row>
        <row r="364">
          <cell r="I364">
            <v>420006280</v>
          </cell>
        </row>
        <row r="364">
          <cell r="K364">
            <v>69.158879301457</v>
          </cell>
        </row>
        <row r="365">
          <cell r="A365">
            <v>45253</v>
          </cell>
        </row>
        <row r="365">
          <cell r="G365">
            <v>462208</v>
          </cell>
        </row>
        <row r="365">
          <cell r="I365">
            <v>418551366</v>
          </cell>
        </row>
        <row r="365">
          <cell r="K365">
            <v>71.371222133758</v>
          </cell>
        </row>
        <row r="366">
          <cell r="A366">
            <v>45252</v>
          </cell>
        </row>
        <row r="366">
          <cell r="G366">
            <v>725546</v>
          </cell>
        </row>
        <row r="366">
          <cell r="I366">
            <v>418089158</v>
          </cell>
        </row>
        <row r="366">
          <cell r="K366">
            <v>72.1026595970483</v>
          </cell>
        </row>
        <row r="367">
          <cell r="A367">
            <v>45251</v>
          </cell>
        </row>
        <row r="367">
          <cell r="G367">
            <v>313651</v>
          </cell>
        </row>
        <row r="367">
          <cell r="I367">
            <v>417363612</v>
          </cell>
        </row>
        <row r="367">
          <cell r="K367">
            <v>72.1792683587809</v>
          </cell>
        </row>
        <row r="368">
          <cell r="A368">
            <v>45250</v>
          </cell>
        </row>
        <row r="368">
          <cell r="G368">
            <v>519166</v>
          </cell>
        </row>
        <row r="368">
          <cell r="I368">
            <v>417049961</v>
          </cell>
        </row>
        <row r="368">
          <cell r="K368">
            <v>68.1425336404926</v>
          </cell>
        </row>
        <row r="369">
          <cell r="A369">
            <v>45247</v>
          </cell>
        </row>
        <row r="369">
          <cell r="G369">
            <v>581694</v>
          </cell>
        </row>
        <row r="369">
          <cell r="I369">
            <v>416530795</v>
          </cell>
        </row>
        <row r="369">
          <cell r="K369">
            <v>70.5389789992677</v>
          </cell>
        </row>
        <row r="370">
          <cell r="A370">
            <v>45246</v>
          </cell>
        </row>
        <row r="370">
          <cell r="G370">
            <v>2398298</v>
          </cell>
        </row>
        <row r="370">
          <cell r="I370">
            <v>415949101</v>
          </cell>
        </row>
        <row r="370">
          <cell r="K370">
            <v>69.9903586209887</v>
          </cell>
        </row>
        <row r="371">
          <cell r="A371">
            <v>45245</v>
          </cell>
        </row>
        <row r="371">
          <cell r="G371">
            <v>1472064</v>
          </cell>
        </row>
        <row r="371">
          <cell r="I371">
            <v>413550803</v>
          </cell>
        </row>
        <row r="371">
          <cell r="K371">
            <v>63.0713619516543</v>
          </cell>
        </row>
        <row r="372">
          <cell r="A372">
            <v>45244</v>
          </cell>
        </row>
        <row r="372">
          <cell r="G372">
            <v>2738963</v>
          </cell>
        </row>
        <row r="372">
          <cell r="I372">
            <v>412078739</v>
          </cell>
        </row>
        <row r="372">
          <cell r="K372">
            <v>67.2980556473381</v>
          </cell>
        </row>
        <row r="373">
          <cell r="A373">
            <v>45243</v>
          </cell>
        </row>
        <row r="373">
          <cell r="G373">
            <v>3521649</v>
          </cell>
        </row>
        <row r="373">
          <cell r="I373">
            <v>409339776</v>
          </cell>
        </row>
        <row r="373">
          <cell r="K373">
            <v>70.7534673415778</v>
          </cell>
        </row>
        <row r="374">
          <cell r="A374">
            <v>45240</v>
          </cell>
        </row>
        <row r="374">
          <cell r="G374">
            <v>5472325</v>
          </cell>
        </row>
        <row r="374">
          <cell r="I374">
            <v>405818127</v>
          </cell>
        </row>
        <row r="374">
          <cell r="K374">
            <v>72.6782458991379</v>
          </cell>
        </row>
        <row r="375">
          <cell r="A375">
            <v>45239</v>
          </cell>
        </row>
        <row r="375">
          <cell r="G375">
            <v>2718129</v>
          </cell>
        </row>
        <row r="375">
          <cell r="I375">
            <v>400345802</v>
          </cell>
        </row>
        <row r="375">
          <cell r="K375">
            <v>72.2277313512346</v>
          </cell>
        </row>
        <row r="376">
          <cell r="A376">
            <v>45238</v>
          </cell>
        </row>
        <row r="376">
          <cell r="G376">
            <v>2828919</v>
          </cell>
        </row>
        <row r="376">
          <cell r="I376">
            <v>397627673</v>
          </cell>
        </row>
        <row r="376">
          <cell r="K376">
            <v>73.0079728935328</v>
          </cell>
        </row>
        <row r="377">
          <cell r="A377">
            <v>45237</v>
          </cell>
        </row>
        <row r="377">
          <cell r="G377">
            <v>1758903</v>
          </cell>
        </row>
        <row r="377">
          <cell r="I377">
            <v>394798754</v>
          </cell>
        </row>
        <row r="377">
          <cell r="K377">
            <v>73.5676139730275</v>
          </cell>
        </row>
        <row r="378">
          <cell r="A378">
            <v>45236</v>
          </cell>
        </row>
        <row r="378">
          <cell r="G378">
            <v>1895252</v>
          </cell>
        </row>
        <row r="378">
          <cell r="I378">
            <v>393039851</v>
          </cell>
        </row>
        <row r="378">
          <cell r="K378">
            <v>76.1053588018902</v>
          </cell>
        </row>
        <row r="379">
          <cell r="A379">
            <v>45233</v>
          </cell>
        </row>
        <row r="379">
          <cell r="G379">
            <v>3835505</v>
          </cell>
        </row>
        <row r="379">
          <cell r="I379">
            <v>391144599</v>
          </cell>
        </row>
        <row r="379">
          <cell r="K379">
            <v>76.7315266724981</v>
          </cell>
        </row>
        <row r="380">
          <cell r="A380">
            <v>45232</v>
          </cell>
        </row>
        <row r="380">
          <cell r="G380">
            <v>2190523</v>
          </cell>
        </row>
        <row r="380">
          <cell r="I380">
            <v>387309094</v>
          </cell>
        </row>
        <row r="380">
          <cell r="K380">
            <v>72.2926643500205</v>
          </cell>
        </row>
        <row r="381">
          <cell r="A381">
            <v>45231</v>
          </cell>
        </row>
        <row r="381">
          <cell r="G381">
            <v>2400003</v>
          </cell>
        </row>
        <row r="381">
          <cell r="I381">
            <v>385118571</v>
          </cell>
        </row>
        <row r="381">
          <cell r="K381">
            <v>71.4870109162364</v>
          </cell>
        </row>
        <row r="382">
          <cell r="A382">
            <v>45230</v>
          </cell>
        </row>
        <row r="382">
          <cell r="G382">
            <v>3509270</v>
          </cell>
        </row>
        <row r="382">
          <cell r="I382">
            <v>382718568</v>
          </cell>
        </row>
        <row r="382">
          <cell r="K382">
            <v>68.0086745078036</v>
          </cell>
        </row>
        <row r="383">
          <cell r="A383">
            <v>45229</v>
          </cell>
        </row>
        <row r="383">
          <cell r="G383">
            <v>3596497</v>
          </cell>
        </row>
        <row r="383">
          <cell r="I383">
            <v>379209298</v>
          </cell>
        </row>
        <row r="383">
          <cell r="K383">
            <v>70.4902895845596</v>
          </cell>
        </row>
        <row r="384">
          <cell r="A384">
            <v>45226</v>
          </cell>
        </row>
        <row r="384">
          <cell r="G384">
            <v>6770524</v>
          </cell>
        </row>
        <row r="384">
          <cell r="I384">
            <v>375612801</v>
          </cell>
        </row>
        <row r="384">
          <cell r="K384">
            <v>68.3283852003183</v>
          </cell>
        </row>
        <row r="385">
          <cell r="A385">
            <v>45225</v>
          </cell>
        </row>
        <row r="385">
          <cell r="G385">
            <v>3635122</v>
          </cell>
        </row>
        <row r="385">
          <cell r="I385">
            <v>368842277</v>
          </cell>
        </row>
        <row r="385">
          <cell r="K385">
            <v>74.531299098077</v>
          </cell>
        </row>
        <row r="386">
          <cell r="A386">
            <v>45224</v>
          </cell>
        </row>
        <row r="386">
          <cell r="G386">
            <v>3032140</v>
          </cell>
        </row>
        <row r="386">
          <cell r="I386">
            <v>365207155</v>
          </cell>
        </row>
        <row r="386">
          <cell r="K386">
            <v>75.8875545588264</v>
          </cell>
        </row>
        <row r="387">
          <cell r="A387">
            <v>45223</v>
          </cell>
        </row>
        <row r="387">
          <cell r="G387">
            <v>5177465</v>
          </cell>
        </row>
        <row r="387">
          <cell r="I387">
            <v>362175015</v>
          </cell>
        </row>
        <row r="387">
          <cell r="K387">
            <v>78.0613456797873</v>
          </cell>
        </row>
        <row r="388">
          <cell r="A388">
            <v>45222</v>
          </cell>
        </row>
        <row r="388">
          <cell r="G388">
            <v>5181015</v>
          </cell>
        </row>
        <row r="388">
          <cell r="I388">
            <v>356997550</v>
          </cell>
        </row>
        <row r="388">
          <cell r="K388">
            <v>80.5840577917647</v>
          </cell>
        </row>
        <row r="389">
          <cell r="A389">
            <v>45219</v>
          </cell>
        </row>
        <row r="389">
          <cell r="G389">
            <v>5805678</v>
          </cell>
        </row>
        <row r="389">
          <cell r="I389">
            <v>351816535</v>
          </cell>
        </row>
        <row r="389">
          <cell r="K389">
            <v>68.1635520158025</v>
          </cell>
        </row>
        <row r="390">
          <cell r="A390">
            <v>45218</v>
          </cell>
        </row>
        <row r="390">
          <cell r="G390">
            <v>6833960</v>
          </cell>
        </row>
        <row r="390">
          <cell r="I390">
            <v>346010857</v>
          </cell>
        </row>
        <row r="390">
          <cell r="K390">
            <v>68.6269813534173</v>
          </cell>
        </row>
        <row r="391">
          <cell r="A391">
            <v>45217</v>
          </cell>
        </row>
        <row r="391">
          <cell r="G391">
            <v>14354637</v>
          </cell>
        </row>
        <row r="391">
          <cell r="I391">
            <v>339176897</v>
          </cell>
        </row>
        <row r="391">
          <cell r="K391">
            <v>61.5706705916701</v>
          </cell>
        </row>
        <row r="392">
          <cell r="A392">
            <v>45216</v>
          </cell>
        </row>
        <row r="392">
          <cell r="G392">
            <v>4284787</v>
          </cell>
        </row>
        <row r="392">
          <cell r="I392">
            <v>324822260</v>
          </cell>
        </row>
        <row r="392">
          <cell r="K392">
            <v>68.4832316495546</v>
          </cell>
        </row>
        <row r="393">
          <cell r="A393">
            <v>45215</v>
          </cell>
        </row>
        <row r="393">
          <cell r="G393">
            <v>5039902</v>
          </cell>
        </row>
        <row r="393">
          <cell r="I393">
            <v>320537473</v>
          </cell>
        </row>
        <row r="393">
          <cell r="K393">
            <v>66.2259233314457</v>
          </cell>
        </row>
        <row r="394">
          <cell r="A394">
            <v>45212</v>
          </cell>
        </row>
        <row r="394">
          <cell r="G394">
            <v>7445741</v>
          </cell>
        </row>
        <row r="394">
          <cell r="I394">
            <v>315497571</v>
          </cell>
        </row>
        <row r="394">
          <cell r="K394">
            <v>68.2717136884025</v>
          </cell>
        </row>
        <row r="395">
          <cell r="A395">
            <v>45211</v>
          </cell>
        </row>
        <row r="395">
          <cell r="G395">
            <v>5235239</v>
          </cell>
        </row>
        <row r="395">
          <cell r="I395">
            <v>308051830</v>
          </cell>
        </row>
        <row r="395">
          <cell r="K395">
            <v>66.122403080356</v>
          </cell>
        </row>
        <row r="396">
          <cell r="A396">
            <v>45210</v>
          </cell>
        </row>
        <row r="396">
          <cell r="G396">
            <v>5705151</v>
          </cell>
        </row>
        <row r="396">
          <cell r="I396">
            <v>302816591</v>
          </cell>
        </row>
        <row r="396">
          <cell r="K396">
            <v>69.7867814857135</v>
          </cell>
        </row>
        <row r="397">
          <cell r="A397">
            <v>45209</v>
          </cell>
        </row>
        <row r="397">
          <cell r="G397">
            <v>4873275</v>
          </cell>
        </row>
        <row r="397">
          <cell r="I397">
            <v>297111440</v>
          </cell>
        </row>
        <row r="397">
          <cell r="K397">
            <v>68.4624158497109</v>
          </cell>
        </row>
        <row r="398">
          <cell r="A398">
            <v>45208</v>
          </cell>
        </row>
        <row r="398">
          <cell r="G398">
            <v>2570918</v>
          </cell>
        </row>
        <row r="398">
          <cell r="I398">
            <v>292238165</v>
          </cell>
        </row>
        <row r="398">
          <cell r="K398">
            <v>70.8721469218388</v>
          </cell>
        </row>
        <row r="399">
          <cell r="A399">
            <v>45197</v>
          </cell>
        </row>
        <row r="399">
          <cell r="G399">
            <v>2157689</v>
          </cell>
        </row>
        <row r="399">
          <cell r="I399">
            <v>289667247</v>
          </cell>
        </row>
        <row r="399">
          <cell r="K399">
            <v>70.6323782991895</v>
          </cell>
        </row>
        <row r="400">
          <cell r="A400">
            <v>45196</v>
          </cell>
        </row>
        <row r="400">
          <cell r="G400">
            <v>2484485</v>
          </cell>
        </row>
        <row r="400">
          <cell r="I400">
            <v>287509558</v>
          </cell>
        </row>
        <row r="400">
          <cell r="K400">
            <v>68.290028400252</v>
          </cell>
        </row>
        <row r="401">
          <cell r="A401">
            <v>45195</v>
          </cell>
        </row>
        <row r="401">
          <cell r="G401">
            <v>1147736</v>
          </cell>
        </row>
        <row r="401">
          <cell r="I401">
            <v>285025073</v>
          </cell>
        </row>
        <row r="401">
          <cell r="K401">
            <v>70.3419561641353</v>
          </cell>
        </row>
        <row r="402">
          <cell r="A402">
            <v>45194</v>
          </cell>
        </row>
        <row r="402">
          <cell r="G402">
            <v>1724531</v>
          </cell>
        </row>
        <row r="402">
          <cell r="I402">
            <v>283877337</v>
          </cell>
        </row>
        <row r="402">
          <cell r="K402">
            <v>67.6782035811476</v>
          </cell>
        </row>
        <row r="403">
          <cell r="A403">
            <v>45191</v>
          </cell>
        </row>
        <row r="403">
          <cell r="G403">
            <v>1419673</v>
          </cell>
        </row>
        <row r="403">
          <cell r="I403">
            <v>282152806</v>
          </cell>
        </row>
        <row r="403">
          <cell r="K403">
            <v>71.1191491280034</v>
          </cell>
        </row>
        <row r="404">
          <cell r="A404">
            <v>45190</v>
          </cell>
        </row>
        <row r="404">
          <cell r="G404">
            <v>2324561</v>
          </cell>
        </row>
        <row r="404">
          <cell r="I404">
            <v>280733133</v>
          </cell>
        </row>
        <row r="404">
          <cell r="K404">
            <v>72.1162474548958</v>
          </cell>
        </row>
        <row r="405">
          <cell r="A405">
            <v>45189</v>
          </cell>
        </row>
        <row r="405">
          <cell r="G405">
            <v>1356605</v>
          </cell>
        </row>
        <row r="405">
          <cell r="I405">
            <v>278408572</v>
          </cell>
        </row>
        <row r="405">
          <cell r="K405">
            <v>69.3702289465246</v>
          </cell>
        </row>
        <row r="406">
          <cell r="A406">
            <v>45188</v>
          </cell>
        </row>
        <row r="406">
          <cell r="G406">
            <v>902561</v>
          </cell>
        </row>
        <row r="406">
          <cell r="I406">
            <v>277051967</v>
          </cell>
        </row>
        <row r="406">
          <cell r="K406">
            <v>74.3966942400569</v>
          </cell>
        </row>
        <row r="407">
          <cell r="A407">
            <v>45187</v>
          </cell>
        </row>
        <row r="407">
          <cell r="G407">
            <v>1092573</v>
          </cell>
        </row>
        <row r="407">
          <cell r="I407">
            <v>276149406</v>
          </cell>
        </row>
        <row r="407">
          <cell r="K407">
            <v>72.544716920517</v>
          </cell>
        </row>
        <row r="408">
          <cell r="A408">
            <v>45184</v>
          </cell>
        </row>
        <row r="408">
          <cell r="G408">
            <v>2140008</v>
          </cell>
        </row>
        <row r="408">
          <cell r="I408">
            <v>275056833</v>
          </cell>
        </row>
        <row r="408">
          <cell r="K408">
            <v>73.9082611840703</v>
          </cell>
        </row>
        <row r="409">
          <cell r="A409">
            <v>45183</v>
          </cell>
        </row>
        <row r="409">
          <cell r="G409">
            <v>974613</v>
          </cell>
        </row>
        <row r="409">
          <cell r="I409">
            <v>272916825</v>
          </cell>
        </row>
        <row r="409">
          <cell r="K409">
            <v>73.7272560493242</v>
          </cell>
        </row>
        <row r="410">
          <cell r="A410">
            <v>45182</v>
          </cell>
        </row>
        <row r="410">
          <cell r="G410">
            <v>878424</v>
          </cell>
        </row>
        <row r="410">
          <cell r="I410">
            <v>271942212</v>
          </cell>
        </row>
        <row r="410">
          <cell r="K410">
            <v>68.4168989007586</v>
          </cell>
        </row>
        <row r="411">
          <cell r="A411">
            <v>45181</v>
          </cell>
        </row>
        <row r="411">
          <cell r="G411">
            <v>1346470</v>
          </cell>
        </row>
        <row r="411">
          <cell r="I411">
            <v>271063788</v>
          </cell>
        </row>
        <row r="411">
          <cell r="K411">
            <v>67.4493230447021</v>
          </cell>
        </row>
        <row r="412">
          <cell r="A412">
            <v>45180</v>
          </cell>
        </row>
        <row r="412">
          <cell r="G412">
            <v>587729</v>
          </cell>
        </row>
        <row r="412">
          <cell r="I412">
            <v>269717318</v>
          </cell>
        </row>
        <row r="412">
          <cell r="K412">
            <v>64.363989185492</v>
          </cell>
        </row>
        <row r="413">
          <cell r="A413">
            <v>45177</v>
          </cell>
        </row>
        <row r="413">
          <cell r="G413">
            <v>1383305</v>
          </cell>
        </row>
        <row r="413">
          <cell r="I413">
            <v>269129589</v>
          </cell>
        </row>
        <row r="413">
          <cell r="K413">
            <v>65.3671915448871</v>
          </cell>
        </row>
        <row r="414">
          <cell r="A414">
            <v>45176</v>
          </cell>
        </row>
        <row r="414">
          <cell r="G414">
            <v>3452591</v>
          </cell>
        </row>
        <row r="414">
          <cell r="I414">
            <v>267746284</v>
          </cell>
        </row>
        <row r="414">
          <cell r="K414">
            <v>61.9322600331172</v>
          </cell>
        </row>
        <row r="415">
          <cell r="A415">
            <v>45175</v>
          </cell>
        </row>
        <row r="415">
          <cell r="G415">
            <v>2003345</v>
          </cell>
        </row>
        <row r="415">
          <cell r="I415">
            <v>264293693</v>
          </cell>
        </row>
        <row r="415">
          <cell r="K415">
            <v>56.5027104168279</v>
          </cell>
        </row>
        <row r="416">
          <cell r="A416">
            <v>45174</v>
          </cell>
        </row>
        <row r="416">
          <cell r="G416">
            <v>1522973</v>
          </cell>
        </row>
        <row r="416">
          <cell r="I416">
            <v>262290348</v>
          </cell>
        </row>
        <row r="416">
          <cell r="K416">
            <v>68.6534945136913</v>
          </cell>
        </row>
        <row r="417">
          <cell r="A417">
            <v>45173</v>
          </cell>
        </row>
        <row r="417">
          <cell r="G417">
            <v>6282618</v>
          </cell>
        </row>
        <row r="417">
          <cell r="I417">
            <v>260767375</v>
          </cell>
        </row>
        <row r="417">
          <cell r="K417">
            <v>54.7953041232174</v>
          </cell>
        </row>
        <row r="418">
          <cell r="A418">
            <v>45170</v>
          </cell>
        </row>
        <row r="418">
          <cell r="G418">
            <v>392681</v>
          </cell>
        </row>
        <row r="418">
          <cell r="I418">
            <v>254484757</v>
          </cell>
        </row>
        <row r="418">
          <cell r="K418">
            <v>63.982356060008</v>
          </cell>
        </row>
        <row r="419">
          <cell r="A419">
            <v>45169</v>
          </cell>
        </row>
        <row r="419">
          <cell r="G419">
            <v>717676</v>
          </cell>
        </row>
        <row r="419">
          <cell r="I419">
            <v>254092076</v>
          </cell>
        </row>
        <row r="419">
          <cell r="K419">
            <v>66.3901015918047</v>
          </cell>
        </row>
        <row r="420">
          <cell r="A420">
            <v>45168</v>
          </cell>
        </row>
        <row r="420">
          <cell r="G420">
            <v>3509128</v>
          </cell>
        </row>
        <row r="420">
          <cell r="I420">
            <v>253374400</v>
          </cell>
        </row>
        <row r="420">
          <cell r="K420">
            <v>64.2861355014693</v>
          </cell>
        </row>
        <row r="421">
          <cell r="A421">
            <v>45167</v>
          </cell>
        </row>
        <row r="421">
          <cell r="G421">
            <v>1292751</v>
          </cell>
        </row>
        <row r="421">
          <cell r="I421">
            <v>249865272</v>
          </cell>
        </row>
        <row r="421">
          <cell r="K421">
            <v>60.3202704619838</v>
          </cell>
        </row>
        <row r="422">
          <cell r="A422">
            <v>45166</v>
          </cell>
        </row>
        <row r="422">
          <cell r="G422">
            <v>548848</v>
          </cell>
        </row>
        <row r="422">
          <cell r="I422">
            <v>248572521</v>
          </cell>
        </row>
        <row r="422">
          <cell r="K422">
            <v>55.5187084584439</v>
          </cell>
        </row>
        <row r="423">
          <cell r="A423">
            <v>45163</v>
          </cell>
        </row>
        <row r="423">
          <cell r="G423">
            <v>1224447</v>
          </cell>
        </row>
        <row r="423">
          <cell r="I423">
            <v>248023673</v>
          </cell>
        </row>
        <row r="423">
          <cell r="K423">
            <v>61.8579006196267</v>
          </cell>
        </row>
        <row r="424">
          <cell r="A424">
            <v>45162</v>
          </cell>
        </row>
        <row r="424">
          <cell r="G424">
            <v>414021</v>
          </cell>
        </row>
        <row r="424">
          <cell r="I424">
            <v>246799226</v>
          </cell>
        </row>
        <row r="424">
          <cell r="K424">
            <v>67.9464228867618</v>
          </cell>
        </row>
        <row r="425">
          <cell r="A425">
            <v>45161</v>
          </cell>
        </row>
        <row r="425">
          <cell r="G425">
            <v>869808</v>
          </cell>
        </row>
        <row r="425">
          <cell r="I425">
            <v>246385205</v>
          </cell>
        </row>
        <row r="425">
          <cell r="K425">
            <v>63.7005585945404</v>
          </cell>
        </row>
        <row r="426">
          <cell r="A426">
            <v>45160</v>
          </cell>
        </row>
        <row r="426">
          <cell r="G426">
            <v>415328</v>
          </cell>
        </row>
        <row r="426">
          <cell r="I426">
            <v>245515397</v>
          </cell>
        </row>
        <row r="426">
          <cell r="K426">
            <v>52.4807901225056</v>
          </cell>
        </row>
        <row r="427">
          <cell r="A427">
            <v>45159</v>
          </cell>
        </row>
        <row r="427">
          <cell r="G427">
            <v>10123</v>
          </cell>
        </row>
        <row r="427">
          <cell r="I427">
            <v>245100069</v>
          </cell>
        </row>
        <row r="427">
          <cell r="K427">
            <v>67.5</v>
          </cell>
        </row>
        <row r="428">
          <cell r="A428">
            <v>45156</v>
          </cell>
        </row>
        <row r="428">
          <cell r="G428">
            <v>1484798</v>
          </cell>
        </row>
        <row r="428">
          <cell r="I428">
            <v>245089946</v>
          </cell>
        </row>
        <row r="428">
          <cell r="K428">
            <v>58.7807594029626</v>
          </cell>
        </row>
        <row r="429">
          <cell r="A429">
            <v>45155</v>
          </cell>
        </row>
        <row r="429">
          <cell r="G429">
            <v>1053902</v>
          </cell>
        </row>
        <row r="429">
          <cell r="I429">
            <v>243605148</v>
          </cell>
        </row>
        <row r="429">
          <cell r="K429">
            <v>55.7006175147215</v>
          </cell>
        </row>
        <row r="430">
          <cell r="A430">
            <v>45154</v>
          </cell>
        </row>
        <row r="430">
          <cell r="G430">
            <v>6147</v>
          </cell>
        </row>
        <row r="430">
          <cell r="I430">
            <v>242551246</v>
          </cell>
        </row>
        <row r="430">
          <cell r="K430">
            <v>70</v>
          </cell>
        </row>
        <row r="431">
          <cell r="A431">
            <v>45153</v>
          </cell>
        </row>
        <row r="431">
          <cell r="G431">
            <v>18609</v>
          </cell>
        </row>
        <row r="431">
          <cell r="I431">
            <v>242545099</v>
          </cell>
        </row>
        <row r="431">
          <cell r="K431">
            <v>70.066365737009</v>
          </cell>
        </row>
        <row r="432">
          <cell r="A432">
            <v>45152</v>
          </cell>
        </row>
        <row r="432">
          <cell r="G432">
            <v>482112</v>
          </cell>
        </row>
        <row r="432">
          <cell r="I432">
            <v>242526490</v>
          </cell>
        </row>
        <row r="432">
          <cell r="K432">
            <v>54.781320523032</v>
          </cell>
        </row>
        <row r="433">
          <cell r="A433">
            <v>45149</v>
          </cell>
        </row>
        <row r="433">
          <cell r="G433">
            <v>119034</v>
          </cell>
        </row>
        <row r="433">
          <cell r="I433">
            <v>242044378</v>
          </cell>
        </row>
        <row r="433">
          <cell r="K433">
            <v>67.2197229363039</v>
          </cell>
        </row>
        <row r="434">
          <cell r="A434">
            <v>45148</v>
          </cell>
        </row>
        <row r="434">
          <cell r="G434">
            <v>172200</v>
          </cell>
        </row>
        <row r="434">
          <cell r="I434">
            <v>241925344</v>
          </cell>
        </row>
        <row r="434">
          <cell r="K434">
            <v>67.324506387921</v>
          </cell>
        </row>
        <row r="435">
          <cell r="A435">
            <v>45147</v>
          </cell>
        </row>
        <row r="435">
          <cell r="G435">
            <v>308160</v>
          </cell>
        </row>
        <row r="435">
          <cell r="I435">
            <v>241753144</v>
          </cell>
        </row>
        <row r="435">
          <cell r="K435">
            <v>67.2054776739356</v>
          </cell>
        </row>
        <row r="436">
          <cell r="A436">
            <v>45146</v>
          </cell>
        </row>
        <row r="436">
          <cell r="G436">
            <v>17000</v>
          </cell>
        </row>
        <row r="436">
          <cell r="I436">
            <v>241444984</v>
          </cell>
        </row>
        <row r="436">
          <cell r="K436">
            <v>67</v>
          </cell>
        </row>
        <row r="437">
          <cell r="A437">
            <v>45145</v>
          </cell>
        </row>
        <row r="437">
          <cell r="G437">
            <v>220140</v>
          </cell>
        </row>
        <row r="437">
          <cell r="I437">
            <v>241427984</v>
          </cell>
        </row>
        <row r="437">
          <cell r="K437">
            <v>63.9649314072863</v>
          </cell>
        </row>
        <row r="438">
          <cell r="A438">
            <v>45142</v>
          </cell>
        </row>
        <row r="438">
          <cell r="G438">
            <v>10000</v>
          </cell>
        </row>
        <row r="438">
          <cell r="I438">
            <v>241207844</v>
          </cell>
        </row>
        <row r="438">
          <cell r="K438">
            <v>66</v>
          </cell>
        </row>
        <row r="439">
          <cell r="A439">
            <v>45141</v>
          </cell>
        </row>
        <row r="439">
          <cell r="G439">
            <v>326539</v>
          </cell>
        </row>
        <row r="439">
          <cell r="I439">
            <v>241197844</v>
          </cell>
        </row>
        <row r="439">
          <cell r="K439">
            <v>63.7503452880054</v>
          </cell>
        </row>
        <row r="440">
          <cell r="A440">
            <v>45140</v>
          </cell>
        </row>
        <row r="440">
          <cell r="G440">
            <v>32380</v>
          </cell>
        </row>
        <row r="440">
          <cell r="I440">
            <v>240871305</v>
          </cell>
        </row>
        <row r="440">
          <cell r="K440">
            <v>64.9722050648548</v>
          </cell>
        </row>
        <row r="441">
          <cell r="A441">
            <v>45139</v>
          </cell>
        </row>
        <row r="441">
          <cell r="G441">
            <v>144560</v>
          </cell>
        </row>
        <row r="441">
          <cell r="I441">
            <v>240838925</v>
          </cell>
        </row>
        <row r="441">
          <cell r="K441">
            <v>62.8028569452131</v>
          </cell>
        </row>
        <row r="442">
          <cell r="A442">
            <v>45138</v>
          </cell>
        </row>
        <row r="442">
          <cell r="G442">
            <v>41000</v>
          </cell>
        </row>
        <row r="442">
          <cell r="I442">
            <v>240694365</v>
          </cell>
        </row>
        <row r="442">
          <cell r="K442">
            <v>64.7439024390244</v>
          </cell>
        </row>
        <row r="443">
          <cell r="A443">
            <v>45135</v>
          </cell>
        </row>
        <row r="443">
          <cell r="G443">
            <v>3800</v>
          </cell>
        </row>
        <row r="443">
          <cell r="I443">
            <v>240653365</v>
          </cell>
        </row>
        <row r="443">
          <cell r="K443">
            <v>61.0526315789474</v>
          </cell>
        </row>
        <row r="444">
          <cell r="A444">
            <v>45134</v>
          </cell>
        </row>
        <row r="444">
          <cell r="G444">
            <v>5000</v>
          </cell>
        </row>
        <row r="444">
          <cell r="I444">
            <v>240649565</v>
          </cell>
        </row>
        <row r="444">
          <cell r="K444">
            <v>64</v>
          </cell>
        </row>
        <row r="445">
          <cell r="A445">
            <v>45133</v>
          </cell>
        </row>
        <row r="445">
          <cell r="G445">
            <v>202000</v>
          </cell>
        </row>
        <row r="445">
          <cell r="I445">
            <v>240644565</v>
          </cell>
        </row>
        <row r="445">
          <cell r="K445">
            <v>63.4763861386139</v>
          </cell>
        </row>
        <row r="446">
          <cell r="A446">
            <v>45132</v>
          </cell>
        </row>
        <row r="446">
          <cell r="G446">
            <v>500</v>
          </cell>
        </row>
        <row r="446">
          <cell r="I446">
            <v>240442565</v>
          </cell>
        </row>
        <row r="446">
          <cell r="K446">
            <v>64</v>
          </cell>
        </row>
        <row r="447">
          <cell r="A447">
            <v>45131</v>
          </cell>
        </row>
        <row r="447">
          <cell r="G447">
            <v>100500</v>
          </cell>
        </row>
        <row r="447">
          <cell r="I447">
            <v>240442065</v>
          </cell>
        </row>
        <row r="447">
          <cell r="K447">
            <v>56.0398009950249</v>
          </cell>
        </row>
        <row r="448">
          <cell r="A448">
            <v>45128</v>
          </cell>
        </row>
        <row r="448">
          <cell r="G448">
            <v>321216</v>
          </cell>
        </row>
        <row r="448">
          <cell r="I448">
            <v>240341565</v>
          </cell>
        </row>
        <row r="448">
          <cell r="K448">
            <v>57.9672805837816</v>
          </cell>
        </row>
        <row r="449">
          <cell r="A449">
            <v>45127</v>
          </cell>
        </row>
        <row r="449">
          <cell r="G449">
            <v>500</v>
          </cell>
        </row>
        <row r="449">
          <cell r="I449">
            <v>240020349</v>
          </cell>
        </row>
        <row r="449">
          <cell r="K449">
            <v>61</v>
          </cell>
        </row>
        <row r="450">
          <cell r="A450">
            <v>45126</v>
          </cell>
        </row>
        <row r="450">
          <cell r="G450">
            <v>500</v>
          </cell>
        </row>
        <row r="450">
          <cell r="I450">
            <v>240019849</v>
          </cell>
        </row>
        <row r="450">
          <cell r="K450">
            <v>61</v>
          </cell>
        </row>
        <row r="451">
          <cell r="A451">
            <v>45125</v>
          </cell>
        </row>
        <row r="451">
          <cell r="G451">
            <v>503</v>
          </cell>
        </row>
        <row r="451">
          <cell r="I451">
            <v>240019349</v>
          </cell>
        </row>
        <row r="451">
          <cell r="K451">
            <v>61.0238568588469</v>
          </cell>
        </row>
        <row r="452">
          <cell r="A452">
            <v>45124</v>
          </cell>
        </row>
        <row r="452">
          <cell r="G452">
            <v>111000</v>
          </cell>
        </row>
        <row r="452">
          <cell r="I452">
            <v>240018846</v>
          </cell>
        </row>
        <row r="452">
          <cell r="K452">
            <v>60</v>
          </cell>
        </row>
        <row r="453">
          <cell r="A453">
            <v>45121</v>
          </cell>
        </row>
        <row r="453">
          <cell r="G453">
            <v>370078</v>
          </cell>
        </row>
        <row r="453">
          <cell r="I453">
            <v>239907846</v>
          </cell>
        </row>
        <row r="453">
          <cell r="K453">
            <v>60</v>
          </cell>
        </row>
        <row r="454">
          <cell r="A454">
            <v>45120</v>
          </cell>
        </row>
        <row r="454">
          <cell r="G454">
            <v>60000</v>
          </cell>
        </row>
        <row r="454">
          <cell r="I454">
            <v>239537768</v>
          </cell>
        </row>
        <row r="454">
          <cell r="K454">
            <v>60</v>
          </cell>
        </row>
        <row r="455">
          <cell r="A455">
            <v>45119</v>
          </cell>
        </row>
        <row r="455">
          <cell r="G455">
            <v>111923</v>
          </cell>
        </row>
        <row r="455">
          <cell r="I455">
            <v>239477768</v>
          </cell>
        </row>
        <row r="455">
          <cell r="K455">
            <v>51.0384818133896</v>
          </cell>
        </row>
        <row r="456">
          <cell r="A456">
            <v>45118</v>
          </cell>
        </row>
        <row r="456">
          <cell r="G456">
            <v>1020</v>
          </cell>
        </row>
        <row r="456">
          <cell r="I456">
            <v>239365845</v>
          </cell>
        </row>
        <row r="456">
          <cell r="K456">
            <v>60</v>
          </cell>
        </row>
        <row r="457">
          <cell r="A457">
            <v>45117</v>
          </cell>
        </row>
        <row r="457">
          <cell r="G457">
            <v>151000</v>
          </cell>
        </row>
        <row r="457">
          <cell r="I457">
            <v>239364825</v>
          </cell>
        </row>
        <row r="457">
          <cell r="K457">
            <v>59.4966887417219</v>
          </cell>
        </row>
        <row r="458">
          <cell r="A458">
            <v>45114</v>
          </cell>
        </row>
        <row r="458">
          <cell r="G458">
            <v>275201</v>
          </cell>
        </row>
        <row r="458">
          <cell r="I458">
            <v>239213825</v>
          </cell>
        </row>
        <row r="458">
          <cell r="K458">
            <v>55.7060717802624</v>
          </cell>
        </row>
        <row r="459">
          <cell r="A459">
            <v>45113</v>
          </cell>
        </row>
        <row r="459">
          <cell r="G459">
            <v>401020</v>
          </cell>
        </row>
        <row r="459">
          <cell r="I459">
            <v>238938624</v>
          </cell>
        </row>
        <row r="459">
          <cell r="K459">
            <v>58.9975562316094</v>
          </cell>
        </row>
        <row r="460">
          <cell r="A460">
            <v>45112</v>
          </cell>
        </row>
        <row r="460">
          <cell r="G460">
            <v>651000</v>
          </cell>
        </row>
        <row r="460">
          <cell r="I460">
            <v>238537604</v>
          </cell>
        </row>
        <row r="460">
          <cell r="K460">
            <v>42.9861751152074</v>
          </cell>
        </row>
        <row r="461">
          <cell r="A461">
            <v>45111</v>
          </cell>
        </row>
        <row r="461">
          <cell r="G461">
            <v>201000</v>
          </cell>
        </row>
        <row r="461">
          <cell r="I461">
            <v>237886604</v>
          </cell>
        </row>
        <row r="461">
          <cell r="K461">
            <v>54.6865671641791</v>
          </cell>
        </row>
        <row r="462">
          <cell r="A462">
            <v>45110</v>
          </cell>
        </row>
        <row r="462">
          <cell r="G462">
            <v>500</v>
          </cell>
        </row>
        <row r="462">
          <cell r="I462">
            <v>237685604</v>
          </cell>
        </row>
        <row r="462">
          <cell r="K462">
            <v>60</v>
          </cell>
        </row>
        <row r="463">
          <cell r="A463">
            <v>45107</v>
          </cell>
        </row>
        <row r="463">
          <cell r="G463">
            <v>276249</v>
          </cell>
        </row>
        <row r="463">
          <cell r="I463">
            <v>237685104</v>
          </cell>
        </row>
        <row r="463">
          <cell r="K463">
            <v>60</v>
          </cell>
        </row>
        <row r="464">
          <cell r="A464">
            <v>45106</v>
          </cell>
        </row>
        <row r="464">
          <cell r="G464">
            <v>220140</v>
          </cell>
        </row>
        <row r="464">
          <cell r="I464">
            <v>237408855</v>
          </cell>
        </row>
        <row r="464">
          <cell r="K464">
            <v>58.1340056327791</v>
          </cell>
        </row>
        <row r="465">
          <cell r="A465">
            <v>45105</v>
          </cell>
        </row>
        <row r="465">
          <cell r="G465">
            <v>1000</v>
          </cell>
        </row>
        <row r="465">
          <cell r="I465">
            <v>237188715</v>
          </cell>
        </row>
        <row r="465">
          <cell r="K465">
            <v>57.5</v>
          </cell>
        </row>
        <row r="466">
          <cell r="A466">
            <v>45104</v>
          </cell>
        </row>
        <row r="466">
          <cell r="G466">
            <v>1001</v>
          </cell>
        </row>
        <row r="466">
          <cell r="I466">
            <v>237187715</v>
          </cell>
        </row>
        <row r="466">
          <cell r="K466">
            <v>57.4000999000999</v>
          </cell>
        </row>
        <row r="467">
          <cell r="A467">
            <v>45103</v>
          </cell>
        </row>
        <row r="467">
          <cell r="G467">
            <v>1000</v>
          </cell>
        </row>
        <row r="467">
          <cell r="I467">
            <v>237186714</v>
          </cell>
        </row>
        <row r="467">
          <cell r="K467">
            <v>57.4</v>
          </cell>
        </row>
        <row r="468">
          <cell r="A468">
            <v>45098</v>
          </cell>
        </row>
        <row r="468">
          <cell r="G468">
            <v>401001</v>
          </cell>
        </row>
        <row r="468">
          <cell r="I468">
            <v>237185714</v>
          </cell>
        </row>
        <row r="468">
          <cell r="K468">
            <v>42.9950523814155</v>
          </cell>
        </row>
        <row r="469">
          <cell r="A469">
            <v>45097</v>
          </cell>
        </row>
        <row r="469">
          <cell r="G469">
            <v>401000</v>
          </cell>
        </row>
        <row r="469">
          <cell r="I469">
            <v>236784713</v>
          </cell>
        </row>
        <row r="469">
          <cell r="K469">
            <v>57.531421446384</v>
          </cell>
        </row>
        <row r="470">
          <cell r="A470">
            <v>45096</v>
          </cell>
        </row>
        <row r="470">
          <cell r="G470">
            <v>323300</v>
          </cell>
        </row>
        <row r="470">
          <cell r="I470">
            <v>236383713</v>
          </cell>
        </row>
        <row r="470">
          <cell r="K470">
            <v>57.8</v>
          </cell>
        </row>
        <row r="471">
          <cell r="A471">
            <v>45093</v>
          </cell>
        </row>
        <row r="471">
          <cell r="G471">
            <v>177700</v>
          </cell>
        </row>
        <row r="471">
          <cell r="I471">
            <v>236060413</v>
          </cell>
        </row>
        <row r="471">
          <cell r="K471">
            <v>57.8</v>
          </cell>
        </row>
        <row r="472">
          <cell r="A472">
            <v>45092</v>
          </cell>
        </row>
        <row r="472">
          <cell r="G472">
            <v>1000</v>
          </cell>
        </row>
        <row r="472">
          <cell r="I472">
            <v>235882713</v>
          </cell>
        </row>
        <row r="472">
          <cell r="K472">
            <v>57</v>
          </cell>
        </row>
        <row r="473">
          <cell r="A473">
            <v>45091</v>
          </cell>
        </row>
        <row r="473">
          <cell r="G473">
            <v>1000</v>
          </cell>
        </row>
        <row r="473">
          <cell r="I473">
            <v>235881713</v>
          </cell>
        </row>
        <row r="473">
          <cell r="K473">
            <v>57</v>
          </cell>
        </row>
        <row r="474">
          <cell r="A474">
            <v>45090</v>
          </cell>
        </row>
        <row r="474">
          <cell r="G474">
            <v>1000</v>
          </cell>
        </row>
        <row r="474">
          <cell r="I474">
            <v>235880713</v>
          </cell>
        </row>
        <row r="474">
          <cell r="K474">
            <v>57</v>
          </cell>
        </row>
        <row r="475">
          <cell r="A475">
            <v>45089</v>
          </cell>
        </row>
        <row r="475">
          <cell r="G475">
            <v>291000</v>
          </cell>
        </row>
        <row r="475">
          <cell r="I475">
            <v>235879713</v>
          </cell>
        </row>
        <row r="475">
          <cell r="K475">
            <v>57</v>
          </cell>
        </row>
        <row r="476">
          <cell r="A476">
            <v>45086</v>
          </cell>
        </row>
        <row r="476">
          <cell r="G476">
            <v>101000</v>
          </cell>
        </row>
        <row r="476">
          <cell r="I476">
            <v>235588713</v>
          </cell>
        </row>
        <row r="476">
          <cell r="K476">
            <v>43.1138613861386</v>
          </cell>
        </row>
        <row r="477">
          <cell r="A477">
            <v>45085</v>
          </cell>
        </row>
        <row r="477">
          <cell r="G477">
            <v>560</v>
          </cell>
        </row>
        <row r="477">
          <cell r="I477">
            <v>235487713</v>
          </cell>
        </row>
        <row r="477">
          <cell r="K477">
            <v>58.6</v>
          </cell>
        </row>
        <row r="478">
          <cell r="A478">
            <v>45084</v>
          </cell>
        </row>
        <row r="478">
          <cell r="G478">
            <v>1000</v>
          </cell>
        </row>
        <row r="478">
          <cell r="I478">
            <v>235487153</v>
          </cell>
        </row>
        <row r="478">
          <cell r="K478">
            <v>58.5</v>
          </cell>
        </row>
        <row r="479">
          <cell r="A479">
            <v>45083</v>
          </cell>
        </row>
        <row r="479">
          <cell r="G479">
            <v>1000</v>
          </cell>
        </row>
        <row r="479">
          <cell r="I479">
            <v>235486153</v>
          </cell>
        </row>
        <row r="479">
          <cell r="K479">
            <v>58.5</v>
          </cell>
        </row>
        <row r="480">
          <cell r="A480">
            <v>45082</v>
          </cell>
        </row>
        <row r="480">
          <cell r="G480">
            <v>1000</v>
          </cell>
        </row>
        <row r="480">
          <cell r="I480">
            <v>235485153</v>
          </cell>
        </row>
        <row r="480">
          <cell r="K480">
            <v>58.5</v>
          </cell>
        </row>
        <row r="481">
          <cell r="A481">
            <v>45079</v>
          </cell>
        </row>
        <row r="481">
          <cell r="G481">
            <v>101000</v>
          </cell>
        </row>
        <row r="481">
          <cell r="I481">
            <v>235484153</v>
          </cell>
        </row>
        <row r="481">
          <cell r="K481">
            <v>43.1138613861386</v>
          </cell>
        </row>
        <row r="482">
          <cell r="A482">
            <v>45078</v>
          </cell>
        </row>
        <row r="482">
          <cell r="G482">
            <v>510</v>
          </cell>
        </row>
        <row r="482">
          <cell r="I482">
            <v>235383153</v>
          </cell>
        </row>
        <row r="482">
          <cell r="K482">
            <v>57.5098039215686</v>
          </cell>
        </row>
        <row r="483">
          <cell r="A483">
            <v>45077</v>
          </cell>
        </row>
        <row r="483">
          <cell r="G483">
            <v>17107</v>
          </cell>
        </row>
        <row r="483">
          <cell r="I483">
            <v>235382643</v>
          </cell>
        </row>
        <row r="483">
          <cell r="K483">
            <v>58.4988607002981</v>
          </cell>
        </row>
        <row r="484">
          <cell r="A484">
            <v>45076</v>
          </cell>
        </row>
        <row r="484">
          <cell r="G484">
            <v>5524</v>
          </cell>
        </row>
        <row r="484">
          <cell r="I484">
            <v>235365536</v>
          </cell>
        </row>
        <row r="484">
          <cell r="K484">
            <v>57</v>
          </cell>
        </row>
        <row r="485">
          <cell r="A485">
            <v>45075</v>
          </cell>
        </row>
        <row r="485">
          <cell r="G485">
            <v>1000</v>
          </cell>
        </row>
        <row r="485">
          <cell r="I485">
            <v>235360012</v>
          </cell>
        </row>
        <row r="485">
          <cell r="K485">
            <v>57</v>
          </cell>
        </row>
        <row r="486">
          <cell r="A486">
            <v>45072</v>
          </cell>
        </row>
        <row r="486">
          <cell r="G486">
            <v>10</v>
          </cell>
        </row>
        <row r="486">
          <cell r="I486">
            <v>235359012</v>
          </cell>
        </row>
        <row r="486">
          <cell r="K486">
            <v>57</v>
          </cell>
        </row>
        <row r="487">
          <cell r="A487">
            <v>45071</v>
          </cell>
        </row>
        <row r="487">
          <cell r="G487">
            <v>10</v>
          </cell>
        </row>
        <row r="487">
          <cell r="I487">
            <v>235359002</v>
          </cell>
        </row>
        <row r="487">
          <cell r="K487">
            <v>57</v>
          </cell>
        </row>
        <row r="488">
          <cell r="A488">
            <v>45070</v>
          </cell>
        </row>
        <row r="488">
          <cell r="G488">
            <v>3410</v>
          </cell>
        </row>
        <row r="488">
          <cell r="I488">
            <v>235358992</v>
          </cell>
        </row>
        <row r="488">
          <cell r="K488">
            <v>57</v>
          </cell>
        </row>
        <row r="489">
          <cell r="A489">
            <v>45069</v>
          </cell>
        </row>
        <row r="489">
          <cell r="G489">
            <v>49813</v>
          </cell>
        </row>
        <row r="489">
          <cell r="I489">
            <v>235355582</v>
          </cell>
        </row>
        <row r="489">
          <cell r="K489">
            <v>56.0021078834842</v>
          </cell>
        </row>
        <row r="490">
          <cell r="A490">
            <v>45068</v>
          </cell>
        </row>
        <row r="490">
          <cell r="G490">
            <v>71792</v>
          </cell>
        </row>
        <row r="490">
          <cell r="I490">
            <v>235305769</v>
          </cell>
        </row>
        <row r="490">
          <cell r="K490">
            <v>57.2050924894139</v>
          </cell>
        </row>
        <row r="491">
          <cell r="A491">
            <v>45065</v>
          </cell>
        </row>
        <row r="491">
          <cell r="G491">
            <v>10</v>
          </cell>
        </row>
        <row r="491">
          <cell r="I491">
            <v>235233977</v>
          </cell>
        </row>
        <row r="491">
          <cell r="K491">
            <v>57</v>
          </cell>
        </row>
        <row r="492">
          <cell r="A492">
            <v>45064</v>
          </cell>
        </row>
        <row r="492">
          <cell r="G492">
            <v>362710</v>
          </cell>
        </row>
        <row r="492">
          <cell r="I492">
            <v>235233967</v>
          </cell>
        </row>
        <row r="492">
          <cell r="K492">
            <v>56.3250668578203</v>
          </cell>
        </row>
        <row r="493">
          <cell r="A493">
            <v>45063</v>
          </cell>
        </row>
        <row r="493">
          <cell r="G493">
            <v>362700</v>
          </cell>
        </row>
        <row r="493">
          <cell r="I493">
            <v>234871257</v>
          </cell>
        </row>
        <row r="493">
          <cell r="K493">
            <v>56.3240970499035</v>
          </cell>
        </row>
        <row r="494">
          <cell r="A494">
            <v>45062</v>
          </cell>
        </row>
        <row r="494">
          <cell r="G494">
            <v>100</v>
          </cell>
        </row>
        <row r="494">
          <cell r="I494">
            <v>234508557</v>
          </cell>
        </row>
        <row r="494">
          <cell r="K494">
            <v>56.5</v>
          </cell>
        </row>
        <row r="495">
          <cell r="A495">
            <v>45061</v>
          </cell>
        </row>
        <row r="495">
          <cell r="G495">
            <v>100100</v>
          </cell>
        </row>
        <row r="495">
          <cell r="I495">
            <v>234508457</v>
          </cell>
        </row>
        <row r="495">
          <cell r="K495">
            <v>57.0989010989011</v>
          </cell>
        </row>
        <row r="496">
          <cell r="A496">
            <v>45058</v>
          </cell>
        </row>
        <row r="496">
          <cell r="G496">
            <v>10</v>
          </cell>
        </row>
        <row r="496">
          <cell r="I496">
            <v>234408357</v>
          </cell>
        </row>
        <row r="496">
          <cell r="K496">
            <v>56</v>
          </cell>
        </row>
        <row r="497">
          <cell r="A497">
            <v>45057</v>
          </cell>
        </row>
        <row r="497">
          <cell r="G497">
            <v>100</v>
          </cell>
        </row>
        <row r="497">
          <cell r="I497">
            <v>234408347</v>
          </cell>
        </row>
        <row r="497">
          <cell r="K497">
            <v>56</v>
          </cell>
        </row>
        <row r="498">
          <cell r="A498">
            <v>45056</v>
          </cell>
        </row>
        <row r="498">
          <cell r="G498">
            <v>100</v>
          </cell>
        </row>
        <row r="498">
          <cell r="I498">
            <v>234408247</v>
          </cell>
        </row>
        <row r="498">
          <cell r="K498">
            <v>56</v>
          </cell>
        </row>
        <row r="499">
          <cell r="A499">
            <v>45055</v>
          </cell>
        </row>
        <row r="499">
          <cell r="G499">
            <v>142317</v>
          </cell>
        </row>
        <row r="499">
          <cell r="I499">
            <v>234408147</v>
          </cell>
        </row>
        <row r="499">
          <cell r="K499">
            <v>55.1568154190996</v>
          </cell>
        </row>
        <row r="500">
          <cell r="A500">
            <v>45054</v>
          </cell>
        </row>
        <row r="500">
          <cell r="G500">
            <v>115000</v>
          </cell>
        </row>
        <row r="500">
          <cell r="I500">
            <v>234265830</v>
          </cell>
        </row>
        <row r="500">
          <cell r="K500">
            <v>57.304347826087</v>
          </cell>
        </row>
        <row r="501">
          <cell r="A501">
            <v>45051</v>
          </cell>
        </row>
        <row r="501">
          <cell r="G501">
            <v>11</v>
          </cell>
        </row>
        <row r="501">
          <cell r="I501">
            <v>234150830</v>
          </cell>
        </row>
        <row r="501">
          <cell r="K501">
            <v>55.5</v>
          </cell>
        </row>
        <row r="502">
          <cell r="A502">
            <v>45050</v>
          </cell>
        </row>
        <row r="502">
          <cell r="G502">
            <v>10</v>
          </cell>
        </row>
        <row r="502">
          <cell r="I502">
            <v>234150819</v>
          </cell>
        </row>
        <row r="502">
          <cell r="K502">
            <v>55.5</v>
          </cell>
        </row>
        <row r="503">
          <cell r="A503">
            <v>45044</v>
          </cell>
        </row>
        <row r="503">
          <cell r="G503">
            <v>10</v>
          </cell>
        </row>
        <row r="503">
          <cell r="I503">
            <v>234150809</v>
          </cell>
        </row>
        <row r="503">
          <cell r="K503">
            <v>55</v>
          </cell>
        </row>
        <row r="504">
          <cell r="A504">
            <v>45043</v>
          </cell>
        </row>
        <row r="504">
          <cell r="G504">
            <v>110</v>
          </cell>
        </row>
        <row r="504">
          <cell r="I504">
            <v>234150799</v>
          </cell>
        </row>
        <row r="504">
          <cell r="K504">
            <v>55</v>
          </cell>
        </row>
        <row r="505">
          <cell r="A505">
            <v>45042</v>
          </cell>
        </row>
        <row r="505">
          <cell r="G505">
            <v>10510</v>
          </cell>
        </row>
        <row r="505">
          <cell r="I505">
            <v>234150689</v>
          </cell>
        </row>
        <row r="505">
          <cell r="K505">
            <v>54.9248334919125</v>
          </cell>
        </row>
        <row r="506">
          <cell r="A506">
            <v>45041</v>
          </cell>
        </row>
        <row r="506">
          <cell r="G506">
            <v>500</v>
          </cell>
        </row>
        <row r="506">
          <cell r="I506">
            <v>234140179</v>
          </cell>
        </row>
        <row r="506">
          <cell r="K506">
            <v>53.4</v>
          </cell>
        </row>
        <row r="507">
          <cell r="A507">
            <v>45040</v>
          </cell>
        </row>
        <row r="507">
          <cell r="G507">
            <v>10</v>
          </cell>
        </row>
        <row r="507">
          <cell r="I507">
            <v>234139679</v>
          </cell>
        </row>
        <row r="507">
          <cell r="K507">
            <v>53.4</v>
          </cell>
        </row>
        <row r="508">
          <cell r="A508">
            <v>45037</v>
          </cell>
        </row>
        <row r="508">
          <cell r="G508">
            <v>300010</v>
          </cell>
        </row>
        <row r="508">
          <cell r="I508">
            <v>234139669</v>
          </cell>
        </row>
        <row r="508">
          <cell r="K508">
            <v>57.4998633378887</v>
          </cell>
        </row>
        <row r="509">
          <cell r="A509">
            <v>45036</v>
          </cell>
        </row>
        <row r="509">
          <cell r="G509">
            <v>300750</v>
          </cell>
        </row>
        <row r="509">
          <cell r="I509">
            <v>233839659</v>
          </cell>
        </row>
        <row r="509">
          <cell r="K509">
            <v>42.9860349127182</v>
          </cell>
        </row>
        <row r="510">
          <cell r="A510">
            <v>45035</v>
          </cell>
        </row>
        <row r="510">
          <cell r="G510">
            <v>100</v>
          </cell>
        </row>
        <row r="510">
          <cell r="I510">
            <v>233538909</v>
          </cell>
        </row>
        <row r="510">
          <cell r="K510">
            <v>56</v>
          </cell>
        </row>
        <row r="511">
          <cell r="A511">
            <v>45034</v>
          </cell>
        </row>
        <row r="511">
          <cell r="G511">
            <v>10</v>
          </cell>
        </row>
        <row r="511">
          <cell r="I511">
            <v>233538809</v>
          </cell>
        </row>
        <row r="511">
          <cell r="K511">
            <v>56</v>
          </cell>
        </row>
        <row r="512">
          <cell r="A512">
            <v>45033</v>
          </cell>
        </row>
        <row r="512">
          <cell r="G512">
            <v>100</v>
          </cell>
        </row>
        <row r="512">
          <cell r="I512">
            <v>233538799</v>
          </cell>
        </row>
        <row r="512">
          <cell r="K512">
            <v>56</v>
          </cell>
        </row>
        <row r="513">
          <cell r="A513">
            <v>45030</v>
          </cell>
        </row>
        <row r="513">
          <cell r="G513">
            <v>100</v>
          </cell>
        </row>
        <row r="513">
          <cell r="I513">
            <v>233538699</v>
          </cell>
        </row>
        <row r="513">
          <cell r="K513">
            <v>56</v>
          </cell>
        </row>
        <row r="514">
          <cell r="A514">
            <v>45029</v>
          </cell>
        </row>
        <row r="514">
          <cell r="G514">
            <v>100</v>
          </cell>
        </row>
        <row r="514">
          <cell r="I514">
            <v>233538599</v>
          </cell>
        </row>
        <row r="514">
          <cell r="K514">
            <v>56</v>
          </cell>
        </row>
        <row r="515">
          <cell r="A515">
            <v>45028</v>
          </cell>
        </row>
        <row r="515">
          <cell r="G515">
            <v>100</v>
          </cell>
        </row>
        <row r="515">
          <cell r="I515">
            <v>233538499</v>
          </cell>
        </row>
        <row r="515">
          <cell r="K515">
            <v>56</v>
          </cell>
        </row>
        <row r="516">
          <cell r="A516">
            <v>45027</v>
          </cell>
        </row>
        <row r="516">
          <cell r="G516">
            <v>10</v>
          </cell>
        </row>
        <row r="516">
          <cell r="I516">
            <v>233538399</v>
          </cell>
        </row>
        <row r="516">
          <cell r="K516">
            <v>56</v>
          </cell>
        </row>
        <row r="517">
          <cell r="A517">
            <v>45026</v>
          </cell>
        </row>
        <row r="517">
          <cell r="G517">
            <v>29990</v>
          </cell>
        </row>
        <row r="517">
          <cell r="I517">
            <v>233538389</v>
          </cell>
        </row>
        <row r="517">
          <cell r="K517">
            <v>56</v>
          </cell>
        </row>
        <row r="518">
          <cell r="A518">
            <v>45023</v>
          </cell>
        </row>
        <row r="518">
          <cell r="G518">
            <v>10</v>
          </cell>
        </row>
        <row r="518">
          <cell r="I518">
            <v>233508399</v>
          </cell>
        </row>
        <row r="518">
          <cell r="K518">
            <v>55.4</v>
          </cell>
        </row>
        <row r="519">
          <cell r="A519">
            <v>45022</v>
          </cell>
        </row>
        <row r="519">
          <cell r="G519">
            <v>10037</v>
          </cell>
        </row>
        <row r="519">
          <cell r="I519">
            <v>233508389</v>
          </cell>
        </row>
        <row r="519">
          <cell r="K519">
            <v>50.5202749825645</v>
          </cell>
        </row>
        <row r="520">
          <cell r="A520">
            <v>45020</v>
          </cell>
        </row>
        <row r="520">
          <cell r="G520">
            <v>100</v>
          </cell>
        </row>
        <row r="520">
          <cell r="I520">
            <v>233498352</v>
          </cell>
        </row>
        <row r="520">
          <cell r="K520">
            <v>56</v>
          </cell>
        </row>
        <row r="521">
          <cell r="A521">
            <v>45019</v>
          </cell>
        </row>
        <row r="521">
          <cell r="G521">
            <v>400100</v>
          </cell>
        </row>
        <row r="521">
          <cell r="I521">
            <v>233498252</v>
          </cell>
        </row>
        <row r="521">
          <cell r="K521">
            <v>56.0999750062484</v>
          </cell>
        </row>
        <row r="522">
          <cell r="A522">
            <v>45016</v>
          </cell>
        </row>
        <row r="522">
          <cell r="G522">
            <v>2737</v>
          </cell>
        </row>
        <row r="522">
          <cell r="I522">
            <v>233098152</v>
          </cell>
        </row>
        <row r="522">
          <cell r="K522">
            <v>56</v>
          </cell>
        </row>
        <row r="523">
          <cell r="A523">
            <v>45015</v>
          </cell>
        </row>
        <row r="523">
          <cell r="G523">
            <v>308830</v>
          </cell>
        </row>
        <row r="523">
          <cell r="I523">
            <v>233095415</v>
          </cell>
        </row>
        <row r="523">
          <cell r="K523">
            <v>47.8342583298255</v>
          </cell>
        </row>
        <row r="524">
          <cell r="A524">
            <v>45014</v>
          </cell>
        </row>
        <row r="524">
          <cell r="G524">
            <v>100</v>
          </cell>
        </row>
        <row r="524">
          <cell r="I524">
            <v>232786585</v>
          </cell>
        </row>
        <row r="524">
          <cell r="K524">
            <v>56</v>
          </cell>
        </row>
        <row r="525">
          <cell r="A525">
            <v>45013</v>
          </cell>
        </row>
        <row r="525">
          <cell r="G525">
            <v>476100</v>
          </cell>
        </row>
        <row r="525">
          <cell r="I525">
            <v>232786485</v>
          </cell>
        </row>
        <row r="525">
          <cell r="K525">
            <v>51.5938668346986</v>
          </cell>
        </row>
        <row r="526">
          <cell r="A526">
            <v>45012</v>
          </cell>
        </row>
        <row r="526">
          <cell r="G526">
            <v>8900</v>
          </cell>
        </row>
        <row r="526">
          <cell r="I526">
            <v>232310385</v>
          </cell>
        </row>
        <row r="526">
          <cell r="K526">
            <v>56</v>
          </cell>
        </row>
        <row r="527">
          <cell r="A527">
            <v>45009</v>
          </cell>
        </row>
        <row r="527">
          <cell r="G527">
            <v>10</v>
          </cell>
        </row>
        <row r="527">
          <cell r="I527">
            <v>232301485</v>
          </cell>
        </row>
        <row r="527">
          <cell r="K527">
            <v>56</v>
          </cell>
        </row>
        <row r="528">
          <cell r="A528">
            <v>45008</v>
          </cell>
        </row>
        <row r="528">
          <cell r="G528">
            <v>100</v>
          </cell>
        </row>
        <row r="528">
          <cell r="I528">
            <v>232301475</v>
          </cell>
        </row>
        <row r="528">
          <cell r="K528">
            <v>56</v>
          </cell>
        </row>
        <row r="529">
          <cell r="A529">
            <v>45007</v>
          </cell>
        </row>
        <row r="529">
          <cell r="G529">
            <v>100</v>
          </cell>
        </row>
        <row r="529">
          <cell r="I529">
            <v>232301375</v>
          </cell>
        </row>
        <row r="529">
          <cell r="K529">
            <v>56</v>
          </cell>
        </row>
        <row r="530">
          <cell r="A530">
            <v>45006</v>
          </cell>
        </row>
        <row r="530">
          <cell r="G530">
            <v>1000</v>
          </cell>
        </row>
        <row r="530">
          <cell r="I530">
            <v>232301275</v>
          </cell>
        </row>
        <row r="530">
          <cell r="K530">
            <v>56</v>
          </cell>
        </row>
        <row r="531">
          <cell r="A531">
            <v>45005</v>
          </cell>
        </row>
        <row r="531">
          <cell r="G531">
            <v>175</v>
          </cell>
        </row>
        <row r="531">
          <cell r="I531">
            <v>232300275</v>
          </cell>
        </row>
        <row r="531">
          <cell r="K531">
            <v>57</v>
          </cell>
        </row>
        <row r="532">
          <cell r="A532">
            <v>45002</v>
          </cell>
        </row>
        <row r="532">
          <cell r="G532">
            <v>1001</v>
          </cell>
        </row>
        <row r="532">
          <cell r="I532">
            <v>232300100</v>
          </cell>
        </row>
        <row r="532">
          <cell r="K532">
            <v>56.7482517482517</v>
          </cell>
        </row>
        <row r="533">
          <cell r="A533">
            <v>45001</v>
          </cell>
        </row>
        <row r="533">
          <cell r="G533">
            <v>500</v>
          </cell>
        </row>
        <row r="533">
          <cell r="I533">
            <v>232299099</v>
          </cell>
        </row>
        <row r="533">
          <cell r="K533">
            <v>56</v>
          </cell>
        </row>
        <row r="534">
          <cell r="A534">
            <v>45000</v>
          </cell>
        </row>
        <row r="534">
          <cell r="G534">
            <v>1000</v>
          </cell>
        </row>
        <row r="534">
          <cell r="I534">
            <v>232298599</v>
          </cell>
        </row>
        <row r="534">
          <cell r="K534">
            <v>56</v>
          </cell>
        </row>
        <row r="535">
          <cell r="A535">
            <v>44999</v>
          </cell>
        </row>
        <row r="535">
          <cell r="G535">
            <v>1010</v>
          </cell>
        </row>
        <row r="535">
          <cell r="I535">
            <v>232297599</v>
          </cell>
        </row>
        <row r="535">
          <cell r="K535">
            <v>56.0049504950495</v>
          </cell>
        </row>
        <row r="536">
          <cell r="A536">
            <v>44998</v>
          </cell>
        </row>
        <row r="536">
          <cell r="G536">
            <v>510</v>
          </cell>
        </row>
        <row r="536">
          <cell r="I536">
            <v>232296589</v>
          </cell>
        </row>
        <row r="536">
          <cell r="K536">
            <v>56</v>
          </cell>
        </row>
        <row r="537">
          <cell r="A537">
            <v>44995</v>
          </cell>
        </row>
        <row r="537">
          <cell r="G537">
            <v>10</v>
          </cell>
        </row>
        <row r="537">
          <cell r="I537">
            <v>232296079</v>
          </cell>
        </row>
        <row r="537">
          <cell r="K537">
            <v>56</v>
          </cell>
        </row>
        <row r="538">
          <cell r="A538">
            <v>44994</v>
          </cell>
        </row>
        <row r="538">
          <cell r="G538">
            <v>1000</v>
          </cell>
        </row>
        <row r="538">
          <cell r="I538">
            <v>232296069</v>
          </cell>
        </row>
        <row r="538">
          <cell r="K538">
            <v>56</v>
          </cell>
        </row>
        <row r="539">
          <cell r="A539">
            <v>44993</v>
          </cell>
        </row>
        <row r="539">
          <cell r="G539">
            <v>500</v>
          </cell>
        </row>
        <row r="539">
          <cell r="I539">
            <v>232295069</v>
          </cell>
        </row>
        <row r="539">
          <cell r="K539">
            <v>56</v>
          </cell>
        </row>
        <row r="540">
          <cell r="A540">
            <v>44992</v>
          </cell>
        </row>
        <row r="540">
          <cell r="G540">
            <v>200500</v>
          </cell>
        </row>
        <row r="540">
          <cell r="I540">
            <v>232294569</v>
          </cell>
        </row>
        <row r="540">
          <cell r="K540">
            <v>56.6982543640898</v>
          </cell>
        </row>
        <row r="541">
          <cell r="A541">
            <v>44991</v>
          </cell>
        </row>
        <row r="541">
          <cell r="G541">
            <v>1010</v>
          </cell>
        </row>
        <row r="541">
          <cell r="I541">
            <v>232094069</v>
          </cell>
        </row>
        <row r="541">
          <cell r="K541">
            <v>55.5049504950495</v>
          </cell>
        </row>
        <row r="542">
          <cell r="A542">
            <v>44988</v>
          </cell>
        </row>
        <row r="542">
          <cell r="G542">
            <v>300010</v>
          </cell>
        </row>
        <row r="542">
          <cell r="I542">
            <v>232093059</v>
          </cell>
        </row>
        <row r="542">
          <cell r="K542">
            <v>56.6999766674444</v>
          </cell>
        </row>
        <row r="543">
          <cell r="A543">
            <v>44987</v>
          </cell>
        </row>
        <row r="543">
          <cell r="G543">
            <v>1000</v>
          </cell>
        </row>
        <row r="543">
          <cell r="I543">
            <v>231793049</v>
          </cell>
        </row>
        <row r="543">
          <cell r="K543">
            <v>55</v>
          </cell>
        </row>
        <row r="544">
          <cell r="A544">
            <v>44986</v>
          </cell>
        </row>
        <row r="544">
          <cell r="G544">
            <v>1500</v>
          </cell>
        </row>
        <row r="544">
          <cell r="I544">
            <v>231792049</v>
          </cell>
        </row>
        <row r="544">
          <cell r="K544">
            <v>55.5</v>
          </cell>
        </row>
        <row r="545">
          <cell r="A545">
            <v>44985</v>
          </cell>
        </row>
        <row r="545">
          <cell r="G545">
            <v>500</v>
          </cell>
        </row>
        <row r="545">
          <cell r="I545">
            <v>231790549</v>
          </cell>
        </row>
        <row r="545">
          <cell r="K545">
            <v>55</v>
          </cell>
        </row>
        <row r="546">
          <cell r="A546">
            <v>44984</v>
          </cell>
        </row>
        <row r="546">
          <cell r="G546">
            <v>10000</v>
          </cell>
        </row>
        <row r="546">
          <cell r="I546">
            <v>231790049</v>
          </cell>
        </row>
        <row r="546">
          <cell r="K546">
            <v>55</v>
          </cell>
        </row>
        <row r="547">
          <cell r="A547">
            <v>44981</v>
          </cell>
        </row>
        <row r="547">
          <cell r="G547">
            <v>1000010</v>
          </cell>
        </row>
        <row r="547">
          <cell r="I547">
            <v>231780049</v>
          </cell>
        </row>
        <row r="547">
          <cell r="K547">
            <v>55.00001499985</v>
          </cell>
        </row>
        <row r="548">
          <cell r="A548">
            <v>44980</v>
          </cell>
        </row>
        <row r="548">
          <cell r="G548">
            <v>500</v>
          </cell>
        </row>
        <row r="548">
          <cell r="I548">
            <v>230780039</v>
          </cell>
        </row>
        <row r="548">
          <cell r="K548">
            <v>56.5</v>
          </cell>
        </row>
        <row r="549">
          <cell r="A549">
            <v>44979</v>
          </cell>
        </row>
        <row r="549">
          <cell r="G549">
            <v>500</v>
          </cell>
        </row>
        <row r="549">
          <cell r="I549">
            <v>230779539</v>
          </cell>
        </row>
        <row r="549">
          <cell r="K549">
            <v>57</v>
          </cell>
        </row>
        <row r="550">
          <cell r="A550">
            <v>44978</v>
          </cell>
        </row>
        <row r="550">
          <cell r="G550">
            <v>500</v>
          </cell>
        </row>
        <row r="550">
          <cell r="I550">
            <v>230779039</v>
          </cell>
        </row>
        <row r="550">
          <cell r="K550">
            <v>57</v>
          </cell>
        </row>
        <row r="551">
          <cell r="A551">
            <v>44977</v>
          </cell>
        </row>
        <row r="551">
          <cell r="G551">
            <v>500</v>
          </cell>
        </row>
        <row r="551">
          <cell r="I551">
            <v>230778539</v>
          </cell>
        </row>
        <row r="551">
          <cell r="K551">
            <v>56.2</v>
          </cell>
        </row>
        <row r="552">
          <cell r="A552">
            <v>44974</v>
          </cell>
        </row>
        <row r="552">
          <cell r="G552">
            <v>200000</v>
          </cell>
        </row>
        <row r="552">
          <cell r="I552">
            <v>230778039</v>
          </cell>
        </row>
        <row r="552">
          <cell r="K552">
            <v>56.3</v>
          </cell>
        </row>
        <row r="553">
          <cell r="A553">
            <v>44973</v>
          </cell>
        </row>
        <row r="553">
          <cell r="G553">
            <v>10466</v>
          </cell>
        </row>
        <row r="553">
          <cell r="I553">
            <v>230578039</v>
          </cell>
        </row>
        <row r="553">
          <cell r="K553">
            <v>56.295222625645</v>
          </cell>
        </row>
        <row r="554">
          <cell r="A554">
            <v>44972</v>
          </cell>
        </row>
        <row r="554">
          <cell r="G554">
            <v>320510</v>
          </cell>
        </row>
        <row r="554">
          <cell r="I554">
            <v>230567573</v>
          </cell>
        </row>
        <row r="554">
          <cell r="K554">
            <v>57.4063523759009</v>
          </cell>
        </row>
        <row r="555">
          <cell r="A555">
            <v>44971</v>
          </cell>
        </row>
        <row r="555">
          <cell r="G555">
            <v>200500</v>
          </cell>
        </row>
        <row r="555">
          <cell r="I555">
            <v>230247063</v>
          </cell>
        </row>
        <row r="555">
          <cell r="K555">
            <v>57.4962593516209</v>
          </cell>
        </row>
        <row r="556">
          <cell r="A556">
            <v>44970</v>
          </cell>
        </row>
        <row r="556">
          <cell r="G556">
            <v>500</v>
          </cell>
        </row>
        <row r="556">
          <cell r="I556">
            <v>230046563</v>
          </cell>
        </row>
        <row r="556">
          <cell r="K556">
            <v>56</v>
          </cell>
        </row>
        <row r="557">
          <cell r="A557">
            <v>44967</v>
          </cell>
        </row>
        <row r="557">
          <cell r="G557">
            <v>10</v>
          </cell>
        </row>
        <row r="557">
          <cell r="I557">
            <v>230046063</v>
          </cell>
        </row>
        <row r="557">
          <cell r="K557">
            <v>56</v>
          </cell>
        </row>
        <row r="558">
          <cell r="A558">
            <v>44966</v>
          </cell>
        </row>
        <row r="558">
          <cell r="G558">
            <v>100100</v>
          </cell>
        </row>
        <row r="558">
          <cell r="I558">
            <v>230046053</v>
          </cell>
        </row>
        <row r="558">
          <cell r="K558">
            <v>55.5004995004995</v>
          </cell>
        </row>
        <row r="559">
          <cell r="A559">
            <v>44965</v>
          </cell>
        </row>
        <row r="559">
          <cell r="G559">
            <v>100</v>
          </cell>
        </row>
        <row r="559">
          <cell r="I559">
            <v>229945953</v>
          </cell>
        </row>
        <row r="559">
          <cell r="K559">
            <v>56</v>
          </cell>
        </row>
        <row r="560">
          <cell r="A560">
            <v>44964</v>
          </cell>
        </row>
        <row r="560">
          <cell r="G560">
            <v>8500</v>
          </cell>
        </row>
        <row r="560">
          <cell r="I560">
            <v>229945853</v>
          </cell>
        </row>
        <row r="560">
          <cell r="K560">
            <v>56</v>
          </cell>
        </row>
        <row r="561">
          <cell r="A561">
            <v>44963</v>
          </cell>
        </row>
        <row r="561">
          <cell r="G561">
            <v>600</v>
          </cell>
        </row>
        <row r="561">
          <cell r="I561">
            <v>229937353</v>
          </cell>
        </row>
        <row r="561">
          <cell r="K561">
            <v>56</v>
          </cell>
        </row>
        <row r="562">
          <cell r="A562">
            <v>44960</v>
          </cell>
        </row>
        <row r="562">
          <cell r="G562">
            <v>110</v>
          </cell>
        </row>
        <row r="562">
          <cell r="I562">
            <v>229936753</v>
          </cell>
        </row>
        <row r="562">
          <cell r="K562">
            <v>56</v>
          </cell>
        </row>
        <row r="563">
          <cell r="A563">
            <v>44959</v>
          </cell>
        </row>
        <row r="563">
          <cell r="G563">
            <v>300</v>
          </cell>
        </row>
        <row r="563">
          <cell r="I563">
            <v>229936643</v>
          </cell>
        </row>
        <row r="563">
          <cell r="K563">
            <v>56</v>
          </cell>
        </row>
        <row r="564">
          <cell r="A564">
            <v>44958</v>
          </cell>
        </row>
        <row r="564">
          <cell r="G564">
            <v>100</v>
          </cell>
        </row>
        <row r="564">
          <cell r="I564">
            <v>229936343</v>
          </cell>
        </row>
        <row r="564">
          <cell r="K564">
            <v>56</v>
          </cell>
        </row>
        <row r="565">
          <cell r="A565">
            <v>44957</v>
          </cell>
        </row>
        <row r="565">
          <cell r="G565">
            <v>600</v>
          </cell>
        </row>
        <row r="565">
          <cell r="I565">
            <v>229936243</v>
          </cell>
        </row>
        <row r="565">
          <cell r="K565">
            <v>56</v>
          </cell>
        </row>
        <row r="566">
          <cell r="A566">
            <v>44956</v>
          </cell>
        </row>
        <row r="566">
          <cell r="G566">
            <v>600</v>
          </cell>
        </row>
        <row r="566">
          <cell r="I566">
            <v>229935643</v>
          </cell>
        </row>
        <row r="566">
          <cell r="K566">
            <v>56</v>
          </cell>
        </row>
        <row r="567">
          <cell r="A567">
            <v>44946</v>
          </cell>
        </row>
        <row r="567">
          <cell r="G567">
            <v>10</v>
          </cell>
        </row>
        <row r="567">
          <cell r="I567">
            <v>229935043</v>
          </cell>
        </row>
        <row r="567">
          <cell r="K567">
            <v>56</v>
          </cell>
        </row>
        <row r="568">
          <cell r="A568">
            <v>44945</v>
          </cell>
        </row>
        <row r="568">
          <cell r="G568">
            <v>100</v>
          </cell>
        </row>
        <row r="568">
          <cell r="I568">
            <v>229935033</v>
          </cell>
        </row>
        <row r="568">
          <cell r="K568">
            <v>56</v>
          </cell>
        </row>
        <row r="569">
          <cell r="A569">
            <v>44944</v>
          </cell>
        </row>
        <row r="569">
          <cell r="G569">
            <v>100</v>
          </cell>
        </row>
        <row r="569">
          <cell r="I569">
            <v>229934933</v>
          </cell>
        </row>
        <row r="569">
          <cell r="K569">
            <v>56</v>
          </cell>
        </row>
        <row r="570">
          <cell r="A570">
            <v>44943</v>
          </cell>
        </row>
        <row r="570">
          <cell r="G570">
            <v>99999</v>
          </cell>
        </row>
        <row r="570">
          <cell r="I570">
            <v>229934833</v>
          </cell>
        </row>
        <row r="570">
          <cell r="K570">
            <v>55.73</v>
          </cell>
        </row>
        <row r="571">
          <cell r="A571">
            <v>44942</v>
          </cell>
        </row>
        <row r="571">
          <cell r="G571">
            <v>150000</v>
          </cell>
        </row>
        <row r="571">
          <cell r="I571">
            <v>229834834</v>
          </cell>
        </row>
        <row r="571">
          <cell r="K571">
            <v>55.73</v>
          </cell>
        </row>
        <row r="572">
          <cell r="A572">
            <v>44939</v>
          </cell>
        </row>
        <row r="572">
          <cell r="G572">
            <v>100</v>
          </cell>
        </row>
        <row r="572">
          <cell r="I572">
            <v>229684834</v>
          </cell>
        </row>
        <row r="572">
          <cell r="K572">
            <v>55.5</v>
          </cell>
        </row>
        <row r="573">
          <cell r="A573">
            <v>44938</v>
          </cell>
        </row>
        <row r="573">
          <cell r="G573">
            <v>100</v>
          </cell>
        </row>
        <row r="573">
          <cell r="I573">
            <v>229684734</v>
          </cell>
        </row>
        <row r="573">
          <cell r="K573">
            <v>55.5</v>
          </cell>
        </row>
        <row r="574">
          <cell r="A574">
            <v>44937</v>
          </cell>
        </row>
        <row r="574">
          <cell r="G574">
            <v>100</v>
          </cell>
        </row>
        <row r="574">
          <cell r="I574">
            <v>229684634</v>
          </cell>
        </row>
        <row r="574">
          <cell r="K574">
            <v>55.73</v>
          </cell>
        </row>
        <row r="575">
          <cell r="A575">
            <v>44936</v>
          </cell>
        </row>
        <row r="575">
          <cell r="G575">
            <v>100</v>
          </cell>
        </row>
        <row r="575">
          <cell r="I575">
            <v>229684534</v>
          </cell>
        </row>
        <row r="575">
          <cell r="K575">
            <v>56</v>
          </cell>
        </row>
        <row r="576">
          <cell r="A576">
            <v>44935</v>
          </cell>
        </row>
        <row r="576">
          <cell r="G576">
            <v>100</v>
          </cell>
        </row>
        <row r="576">
          <cell r="I576">
            <v>229684434</v>
          </cell>
        </row>
        <row r="576">
          <cell r="K576">
            <v>56</v>
          </cell>
        </row>
        <row r="577">
          <cell r="A577">
            <v>44932</v>
          </cell>
        </row>
        <row r="577">
          <cell r="G577">
            <v>1000</v>
          </cell>
        </row>
        <row r="577">
          <cell r="I577">
            <v>229684334</v>
          </cell>
        </row>
        <row r="577">
          <cell r="K577">
            <v>56</v>
          </cell>
        </row>
        <row r="578">
          <cell r="A578">
            <v>44931</v>
          </cell>
        </row>
        <row r="578">
          <cell r="G578">
            <v>4291</v>
          </cell>
        </row>
        <row r="578">
          <cell r="I578">
            <v>229683334</v>
          </cell>
        </row>
        <row r="578">
          <cell r="K578">
            <v>55</v>
          </cell>
        </row>
        <row r="579">
          <cell r="A579">
            <v>44930</v>
          </cell>
        </row>
        <row r="579">
          <cell r="G579">
            <v>100</v>
          </cell>
        </row>
        <row r="579">
          <cell r="I579">
            <v>229679043</v>
          </cell>
        </row>
        <row r="579">
          <cell r="K579">
            <v>55</v>
          </cell>
        </row>
        <row r="580">
          <cell r="A580">
            <v>44929</v>
          </cell>
        </row>
        <row r="580">
          <cell r="G580">
            <v>100</v>
          </cell>
        </row>
        <row r="580">
          <cell r="I580">
            <v>229678943</v>
          </cell>
        </row>
        <row r="580">
          <cell r="K580">
            <v>55</v>
          </cell>
        </row>
        <row r="581">
          <cell r="A581">
            <v>44925</v>
          </cell>
        </row>
        <row r="581">
          <cell r="G581">
            <v>30681</v>
          </cell>
        </row>
        <row r="581">
          <cell r="I581">
            <v>229678843</v>
          </cell>
        </row>
        <row r="581">
          <cell r="K581">
            <v>55</v>
          </cell>
        </row>
        <row r="582">
          <cell r="A582">
            <v>44924</v>
          </cell>
        </row>
        <row r="582">
          <cell r="G582">
            <v>520380</v>
          </cell>
        </row>
        <row r="582">
          <cell r="I582">
            <v>229648162</v>
          </cell>
        </row>
        <row r="582">
          <cell r="K582">
            <v>49.3131247934202</v>
          </cell>
        </row>
        <row r="583">
          <cell r="A583">
            <v>44923</v>
          </cell>
        </row>
        <row r="583">
          <cell r="G583">
            <v>1281987</v>
          </cell>
        </row>
        <row r="583">
          <cell r="I583">
            <v>229127782</v>
          </cell>
        </row>
        <row r="583">
          <cell r="K583">
            <v>54.2978477940884</v>
          </cell>
        </row>
        <row r="584">
          <cell r="A584">
            <v>44922</v>
          </cell>
        </row>
        <row r="584">
          <cell r="G584">
            <v>1026736</v>
          </cell>
        </row>
        <row r="584">
          <cell r="I584">
            <v>227845795</v>
          </cell>
        </row>
        <row r="584">
          <cell r="K584">
            <v>57.6072466534727</v>
          </cell>
        </row>
        <row r="585">
          <cell r="A585">
            <v>44921</v>
          </cell>
        </row>
        <row r="585">
          <cell r="G585">
            <v>1987251</v>
          </cell>
        </row>
        <row r="585">
          <cell r="I585">
            <v>226819059</v>
          </cell>
        </row>
        <row r="585">
          <cell r="K585">
            <v>55.3703633813746</v>
          </cell>
        </row>
        <row r="586">
          <cell r="A586">
            <v>44918</v>
          </cell>
        </row>
        <row r="586">
          <cell r="G586">
            <v>1610110</v>
          </cell>
        </row>
        <row r="586">
          <cell r="I586">
            <v>224831808</v>
          </cell>
        </row>
        <row r="586">
          <cell r="K586">
            <v>54.9581798759091</v>
          </cell>
        </row>
        <row r="587">
          <cell r="A587">
            <v>44917</v>
          </cell>
        </row>
        <row r="587">
          <cell r="G587">
            <v>2678274</v>
          </cell>
        </row>
        <row r="587">
          <cell r="I587">
            <v>223221698</v>
          </cell>
        </row>
        <row r="587">
          <cell r="K587">
            <v>56.6286138012765</v>
          </cell>
        </row>
        <row r="588">
          <cell r="A588">
            <v>44916</v>
          </cell>
        </row>
        <row r="588">
          <cell r="G588">
            <v>9137583</v>
          </cell>
        </row>
        <row r="588">
          <cell r="I588">
            <v>220543424</v>
          </cell>
        </row>
        <row r="588">
          <cell r="K588">
            <v>55.3033181247164</v>
          </cell>
        </row>
        <row r="589">
          <cell r="A589">
            <v>44915</v>
          </cell>
        </row>
        <row r="589">
          <cell r="G589">
            <v>2508377</v>
          </cell>
        </row>
        <row r="589">
          <cell r="I589">
            <v>211405841</v>
          </cell>
        </row>
        <row r="589">
          <cell r="K589">
            <v>56.3753130928883</v>
          </cell>
        </row>
        <row r="590">
          <cell r="A590">
            <v>44914</v>
          </cell>
        </row>
        <row r="590">
          <cell r="G590">
            <v>2197085</v>
          </cell>
        </row>
        <row r="590">
          <cell r="I590">
            <v>208897464</v>
          </cell>
        </row>
        <row r="590">
          <cell r="K590">
            <v>54.5364460956222</v>
          </cell>
        </row>
        <row r="591">
          <cell r="A591">
            <v>44911</v>
          </cell>
        </row>
        <row r="591">
          <cell r="G591">
            <v>1315400</v>
          </cell>
        </row>
        <row r="591">
          <cell r="I591">
            <v>206700379</v>
          </cell>
        </row>
        <row r="591">
          <cell r="K591">
            <v>56.008058385282</v>
          </cell>
        </row>
        <row r="592">
          <cell r="A592">
            <v>44910</v>
          </cell>
        </row>
        <row r="592">
          <cell r="G592">
            <v>384129</v>
          </cell>
        </row>
        <row r="592">
          <cell r="I592">
            <v>205384979</v>
          </cell>
        </row>
        <row r="592">
          <cell r="K592">
            <v>57.4325915252428</v>
          </cell>
        </row>
        <row r="593">
          <cell r="A593">
            <v>44909</v>
          </cell>
        </row>
        <row r="593">
          <cell r="G593">
            <v>841770</v>
          </cell>
        </row>
        <row r="593">
          <cell r="I593">
            <v>205000850</v>
          </cell>
        </row>
        <row r="593">
          <cell r="K593">
            <v>57.2692034166102</v>
          </cell>
        </row>
        <row r="594">
          <cell r="A594">
            <v>44908</v>
          </cell>
        </row>
        <row r="594">
          <cell r="G594">
            <v>8000</v>
          </cell>
        </row>
        <row r="594">
          <cell r="I594">
            <v>204159080</v>
          </cell>
        </row>
        <row r="594">
          <cell r="K594">
            <v>56.546285</v>
          </cell>
        </row>
        <row r="595">
          <cell r="A595">
            <v>44907</v>
          </cell>
        </row>
        <row r="595">
          <cell r="G595">
            <v>100</v>
          </cell>
        </row>
        <row r="595">
          <cell r="I595">
            <v>204151080</v>
          </cell>
        </row>
        <row r="595">
          <cell r="K595">
            <v>56.8</v>
          </cell>
        </row>
        <row r="596">
          <cell r="A596">
            <v>44904</v>
          </cell>
        </row>
        <row r="596">
          <cell r="G596">
            <v>293000</v>
          </cell>
        </row>
        <row r="596">
          <cell r="I596">
            <v>204150980</v>
          </cell>
        </row>
        <row r="596">
          <cell r="K596">
            <v>58.0324232081911</v>
          </cell>
        </row>
        <row r="597">
          <cell r="A597">
            <v>44903</v>
          </cell>
        </row>
        <row r="597">
          <cell r="G597">
            <v>9000</v>
          </cell>
        </row>
        <row r="597">
          <cell r="I597">
            <v>203857980</v>
          </cell>
        </row>
        <row r="597">
          <cell r="K597">
            <v>57.5</v>
          </cell>
        </row>
        <row r="598">
          <cell r="A598">
            <v>44902</v>
          </cell>
        </row>
        <row r="598">
          <cell r="G598">
            <v>13510</v>
          </cell>
        </row>
        <row r="598">
          <cell r="I598">
            <v>203848980</v>
          </cell>
        </row>
        <row r="598">
          <cell r="K598">
            <v>57.4448556624722</v>
          </cell>
        </row>
        <row r="599">
          <cell r="A599">
            <v>44901</v>
          </cell>
        </row>
        <row r="599">
          <cell r="G599">
            <v>6100</v>
          </cell>
        </row>
        <row r="599">
          <cell r="I599">
            <v>203835470</v>
          </cell>
        </row>
        <row r="599">
          <cell r="K599">
            <v>57.3852459016393</v>
          </cell>
        </row>
        <row r="600">
          <cell r="A600">
            <v>44900</v>
          </cell>
        </row>
        <row r="600">
          <cell r="G600">
            <v>2500</v>
          </cell>
        </row>
        <row r="600">
          <cell r="I600">
            <v>203829370</v>
          </cell>
        </row>
        <row r="600">
          <cell r="K600">
            <v>57</v>
          </cell>
        </row>
        <row r="601">
          <cell r="A601">
            <v>44897</v>
          </cell>
        </row>
        <row r="601">
          <cell r="G601">
            <v>502</v>
          </cell>
        </row>
        <row r="601">
          <cell r="I601">
            <v>203826870</v>
          </cell>
        </row>
        <row r="601">
          <cell r="K601">
            <v>57.6892430278884</v>
          </cell>
        </row>
        <row r="602">
          <cell r="A602">
            <v>44896</v>
          </cell>
        </row>
        <row r="602">
          <cell r="G602">
            <v>400513</v>
          </cell>
        </row>
        <row r="602">
          <cell r="I602">
            <v>203826368</v>
          </cell>
        </row>
        <row r="602">
          <cell r="K602">
            <v>58.0793999196031</v>
          </cell>
        </row>
        <row r="603">
          <cell r="A603">
            <v>44895</v>
          </cell>
        </row>
        <row r="603">
          <cell r="G603">
            <v>350380</v>
          </cell>
        </row>
        <row r="603">
          <cell r="I603">
            <v>203425855</v>
          </cell>
        </row>
        <row r="603">
          <cell r="K603">
            <v>57.5236200696387</v>
          </cell>
        </row>
        <row r="604">
          <cell r="A604">
            <v>44894</v>
          </cell>
        </row>
        <row r="604">
          <cell r="G604">
            <v>200501</v>
          </cell>
        </row>
        <row r="604">
          <cell r="I604">
            <v>203075475</v>
          </cell>
        </row>
        <row r="604">
          <cell r="K604">
            <v>58.9970025087157</v>
          </cell>
        </row>
        <row r="605">
          <cell r="A605">
            <v>44893</v>
          </cell>
        </row>
        <row r="605">
          <cell r="G605">
            <v>364076</v>
          </cell>
        </row>
        <row r="605">
          <cell r="I605">
            <v>202874974</v>
          </cell>
        </row>
        <row r="605">
          <cell r="K605">
            <v>52.0619870576473</v>
          </cell>
        </row>
        <row r="606">
          <cell r="A606">
            <v>44890</v>
          </cell>
        </row>
        <row r="606">
          <cell r="G606">
            <v>2332774</v>
          </cell>
        </row>
        <row r="606">
          <cell r="I606">
            <v>202510898</v>
          </cell>
        </row>
        <row r="606">
          <cell r="K606">
            <v>55.3609007130566</v>
          </cell>
        </row>
        <row r="607">
          <cell r="A607">
            <v>44889</v>
          </cell>
        </row>
        <row r="607">
          <cell r="G607">
            <v>205200</v>
          </cell>
        </row>
        <row r="607">
          <cell r="I607">
            <v>200178124</v>
          </cell>
        </row>
        <row r="607">
          <cell r="K607">
            <v>48.5092592592593</v>
          </cell>
        </row>
        <row r="608">
          <cell r="A608">
            <v>44888</v>
          </cell>
        </row>
        <row r="608">
          <cell r="G608">
            <v>2553</v>
          </cell>
        </row>
        <row r="608">
          <cell r="I608">
            <v>199972924</v>
          </cell>
        </row>
        <row r="608">
          <cell r="K608">
            <v>58</v>
          </cell>
        </row>
        <row r="609">
          <cell r="A609">
            <v>44887</v>
          </cell>
        </row>
        <row r="609">
          <cell r="G609">
            <v>920050</v>
          </cell>
        </row>
        <row r="609">
          <cell r="I609">
            <v>199970371</v>
          </cell>
        </row>
        <row r="609">
          <cell r="K609">
            <v>57.8554317700125</v>
          </cell>
        </row>
        <row r="610">
          <cell r="A610">
            <v>44886</v>
          </cell>
        </row>
        <row r="610">
          <cell r="G610">
            <v>297</v>
          </cell>
        </row>
        <row r="610">
          <cell r="I610">
            <v>199050321</v>
          </cell>
        </row>
        <row r="610">
          <cell r="K610">
            <v>57.8</v>
          </cell>
        </row>
        <row r="611">
          <cell r="A611">
            <v>44883</v>
          </cell>
        </row>
        <row r="611">
          <cell r="G611">
            <v>420010</v>
          </cell>
        </row>
        <row r="611">
          <cell r="I611">
            <v>199050024</v>
          </cell>
        </row>
        <row r="611">
          <cell r="K611">
            <v>57.5000047617914</v>
          </cell>
        </row>
        <row r="612">
          <cell r="A612">
            <v>44882</v>
          </cell>
        </row>
        <row r="612">
          <cell r="G612">
            <v>940757</v>
          </cell>
        </row>
        <row r="612">
          <cell r="I612">
            <v>198630014</v>
          </cell>
        </row>
        <row r="612">
          <cell r="K612">
            <v>57.0170075800658</v>
          </cell>
        </row>
        <row r="613">
          <cell r="A613">
            <v>44881</v>
          </cell>
        </row>
        <row r="613">
          <cell r="G613">
            <v>34137</v>
          </cell>
        </row>
        <row r="613">
          <cell r="I613">
            <v>197689257</v>
          </cell>
        </row>
        <row r="613">
          <cell r="K613">
            <v>57.8</v>
          </cell>
        </row>
        <row r="614">
          <cell r="A614">
            <v>44880</v>
          </cell>
        </row>
        <row r="614">
          <cell r="G614">
            <v>200</v>
          </cell>
        </row>
        <row r="614">
          <cell r="I614">
            <v>197655120</v>
          </cell>
        </row>
        <row r="614">
          <cell r="K614">
            <v>57.5</v>
          </cell>
        </row>
        <row r="615">
          <cell r="A615">
            <v>44879</v>
          </cell>
        </row>
        <row r="615">
          <cell r="G615">
            <v>322275</v>
          </cell>
        </row>
        <row r="615">
          <cell r="I615">
            <v>197654920</v>
          </cell>
        </row>
        <row r="615">
          <cell r="K615">
            <v>58.900783492359</v>
          </cell>
        </row>
        <row r="616">
          <cell r="A616">
            <v>44876</v>
          </cell>
        </row>
        <row r="616">
          <cell r="G616">
            <v>5000</v>
          </cell>
        </row>
        <row r="616">
          <cell r="I616">
            <v>197332645</v>
          </cell>
        </row>
        <row r="616">
          <cell r="K616">
            <v>58</v>
          </cell>
        </row>
        <row r="617">
          <cell r="A617">
            <v>44875</v>
          </cell>
        </row>
        <row r="617">
          <cell r="G617">
            <v>1725</v>
          </cell>
        </row>
        <row r="617">
          <cell r="I617">
            <v>197327645</v>
          </cell>
        </row>
        <row r="617">
          <cell r="K617">
            <v>58</v>
          </cell>
        </row>
        <row r="618">
          <cell r="A618">
            <v>44874</v>
          </cell>
        </row>
        <row r="618">
          <cell r="G618">
            <v>3000</v>
          </cell>
        </row>
        <row r="618">
          <cell r="I618">
            <v>197325920</v>
          </cell>
        </row>
        <row r="618">
          <cell r="K618">
            <v>58</v>
          </cell>
        </row>
        <row r="619">
          <cell r="A619">
            <v>44873</v>
          </cell>
        </row>
        <row r="619">
          <cell r="G619">
            <v>45398</v>
          </cell>
        </row>
        <row r="619">
          <cell r="I619">
            <v>197322920</v>
          </cell>
        </row>
        <row r="619">
          <cell r="K619">
            <v>57.8678399929512</v>
          </cell>
        </row>
        <row r="620">
          <cell r="A620">
            <v>44872</v>
          </cell>
        </row>
        <row r="620">
          <cell r="G620">
            <v>87000</v>
          </cell>
        </row>
        <row r="620">
          <cell r="I620">
            <v>197277522</v>
          </cell>
        </row>
        <row r="620">
          <cell r="K620">
            <v>58.0804597701149</v>
          </cell>
        </row>
        <row r="621">
          <cell r="A621">
            <v>44869</v>
          </cell>
        </row>
        <row r="621">
          <cell r="G621">
            <v>480500</v>
          </cell>
        </row>
        <row r="621">
          <cell r="I621">
            <v>197190522</v>
          </cell>
        </row>
        <row r="621">
          <cell r="K621">
            <v>58.4994797086368</v>
          </cell>
        </row>
        <row r="622">
          <cell r="A622">
            <v>44868</v>
          </cell>
        </row>
        <row r="622">
          <cell r="G622">
            <v>17242</v>
          </cell>
        </row>
        <row r="622">
          <cell r="I622">
            <v>196710022</v>
          </cell>
        </row>
        <row r="622">
          <cell r="K622">
            <v>58</v>
          </cell>
        </row>
        <row r="623">
          <cell r="A623">
            <v>44867</v>
          </cell>
        </row>
        <row r="623">
          <cell r="G623">
            <v>560297</v>
          </cell>
        </row>
        <row r="623">
          <cell r="I623">
            <v>196692780</v>
          </cell>
        </row>
        <row r="623">
          <cell r="K623">
            <v>42.5537962544865</v>
          </cell>
        </row>
        <row r="624">
          <cell r="A624">
            <v>44866</v>
          </cell>
        </row>
        <row r="624">
          <cell r="G624">
            <v>5000</v>
          </cell>
        </row>
        <row r="624">
          <cell r="I624">
            <v>196132483</v>
          </cell>
        </row>
        <row r="624">
          <cell r="K624">
            <v>58</v>
          </cell>
        </row>
        <row r="625">
          <cell r="A625">
            <v>44865</v>
          </cell>
        </row>
        <row r="625">
          <cell r="G625">
            <v>246412</v>
          </cell>
        </row>
        <row r="625">
          <cell r="I625">
            <v>196127483</v>
          </cell>
        </row>
        <row r="625">
          <cell r="K625">
            <v>43.3043682937519</v>
          </cell>
        </row>
        <row r="626">
          <cell r="A626">
            <v>44862</v>
          </cell>
        </row>
        <row r="626">
          <cell r="G626">
            <v>5000</v>
          </cell>
        </row>
        <row r="626">
          <cell r="I626">
            <v>195881071</v>
          </cell>
        </row>
        <row r="626">
          <cell r="K626">
            <v>58</v>
          </cell>
        </row>
        <row r="627">
          <cell r="A627">
            <v>44861</v>
          </cell>
        </row>
        <row r="627">
          <cell r="G627">
            <v>129274</v>
          </cell>
        </row>
        <row r="627">
          <cell r="I627">
            <v>195876071</v>
          </cell>
        </row>
        <row r="627">
          <cell r="K627">
            <v>57.2436684870894</v>
          </cell>
        </row>
        <row r="628">
          <cell r="A628">
            <v>44860</v>
          </cell>
        </row>
        <row r="628">
          <cell r="G628">
            <v>135000</v>
          </cell>
        </row>
        <row r="628">
          <cell r="I628">
            <v>195746797</v>
          </cell>
        </row>
        <row r="628">
          <cell r="K628">
            <v>59.4444444444444</v>
          </cell>
        </row>
        <row r="629">
          <cell r="A629">
            <v>44859</v>
          </cell>
        </row>
        <row r="629">
          <cell r="G629">
            <v>15000</v>
          </cell>
        </row>
        <row r="629">
          <cell r="I629">
            <v>195611797</v>
          </cell>
        </row>
        <row r="629">
          <cell r="K629">
            <v>58.7</v>
          </cell>
        </row>
        <row r="630">
          <cell r="A630">
            <v>44858</v>
          </cell>
        </row>
        <row r="630">
          <cell r="G630">
            <v>1000</v>
          </cell>
        </row>
        <row r="630">
          <cell r="I630">
            <v>195596797</v>
          </cell>
        </row>
        <row r="630">
          <cell r="K630">
            <v>58</v>
          </cell>
        </row>
        <row r="631">
          <cell r="A631">
            <v>44855</v>
          </cell>
        </row>
        <row r="631">
          <cell r="G631">
            <v>55000</v>
          </cell>
        </row>
        <row r="631">
          <cell r="I631">
            <v>195595797</v>
          </cell>
        </row>
        <row r="631">
          <cell r="K631">
            <v>58.4909090909091</v>
          </cell>
        </row>
        <row r="632">
          <cell r="A632">
            <v>44854</v>
          </cell>
        </row>
        <row r="632">
          <cell r="G632">
            <v>11000</v>
          </cell>
        </row>
        <row r="632">
          <cell r="I632">
            <v>195540797</v>
          </cell>
        </row>
        <row r="632">
          <cell r="K632">
            <v>57.5454545454545</v>
          </cell>
        </row>
        <row r="633">
          <cell r="A633">
            <v>44853</v>
          </cell>
        </row>
        <row r="633">
          <cell r="G633">
            <v>169400</v>
          </cell>
        </row>
        <row r="633">
          <cell r="I633">
            <v>195529797</v>
          </cell>
        </row>
        <row r="633">
          <cell r="K633">
            <v>58.5</v>
          </cell>
        </row>
        <row r="634">
          <cell r="A634">
            <v>44852</v>
          </cell>
        </row>
        <row r="634">
          <cell r="G634">
            <v>300</v>
          </cell>
        </row>
        <row r="634">
          <cell r="I634">
            <v>195360397</v>
          </cell>
        </row>
        <row r="634">
          <cell r="K634">
            <v>58</v>
          </cell>
        </row>
        <row r="635">
          <cell r="A635">
            <v>44851</v>
          </cell>
        </row>
        <row r="635">
          <cell r="G635">
            <v>10260</v>
          </cell>
        </row>
        <row r="635">
          <cell r="I635">
            <v>195360097</v>
          </cell>
        </row>
        <row r="635">
          <cell r="K635">
            <v>58.475730994152</v>
          </cell>
        </row>
        <row r="636">
          <cell r="A636">
            <v>44848</v>
          </cell>
        </row>
        <row r="636">
          <cell r="G636">
            <v>300</v>
          </cell>
        </row>
        <row r="636">
          <cell r="I636">
            <v>195349837</v>
          </cell>
        </row>
        <row r="636">
          <cell r="K636">
            <v>58</v>
          </cell>
        </row>
        <row r="637">
          <cell r="A637">
            <v>44847</v>
          </cell>
        </row>
        <row r="637">
          <cell r="G637">
            <v>400</v>
          </cell>
        </row>
        <row r="637">
          <cell r="I637">
            <v>195349537</v>
          </cell>
        </row>
        <row r="637">
          <cell r="K637">
            <v>57.75</v>
          </cell>
        </row>
        <row r="638">
          <cell r="A638">
            <v>44846</v>
          </cell>
        </row>
        <row r="638">
          <cell r="G638">
            <v>200</v>
          </cell>
        </row>
        <row r="638">
          <cell r="I638">
            <v>195349137</v>
          </cell>
        </row>
        <row r="638">
          <cell r="K638">
            <v>58</v>
          </cell>
        </row>
        <row r="639">
          <cell r="A639">
            <v>44845</v>
          </cell>
        </row>
        <row r="639">
          <cell r="G639">
            <v>191000</v>
          </cell>
        </row>
        <row r="639">
          <cell r="I639">
            <v>195348937</v>
          </cell>
        </row>
        <row r="639">
          <cell r="K639">
            <v>58.0197382198953</v>
          </cell>
        </row>
        <row r="640">
          <cell r="A640">
            <v>44844</v>
          </cell>
        </row>
        <row r="640">
          <cell r="G640">
            <v>200</v>
          </cell>
        </row>
        <row r="640">
          <cell r="I640">
            <v>195157937</v>
          </cell>
        </row>
        <row r="640">
          <cell r="K640">
            <v>57.5</v>
          </cell>
        </row>
        <row r="641">
          <cell r="A641">
            <v>44834</v>
          </cell>
        </row>
        <row r="641">
          <cell r="G641">
            <v>200</v>
          </cell>
        </row>
        <row r="641">
          <cell r="I641">
            <v>195157737</v>
          </cell>
        </row>
        <row r="641">
          <cell r="K641">
            <v>57.5</v>
          </cell>
        </row>
        <row r="642">
          <cell r="A642">
            <v>44833</v>
          </cell>
        </row>
        <row r="642">
          <cell r="G642">
            <v>200</v>
          </cell>
        </row>
        <row r="642">
          <cell r="I642">
            <v>195157537</v>
          </cell>
        </row>
        <row r="642">
          <cell r="K642">
            <v>57.5</v>
          </cell>
        </row>
        <row r="643">
          <cell r="A643">
            <v>44832</v>
          </cell>
        </row>
        <row r="643">
          <cell r="G643">
            <v>200</v>
          </cell>
        </row>
        <row r="643">
          <cell r="I643">
            <v>195157337</v>
          </cell>
        </row>
        <row r="643">
          <cell r="K643">
            <v>57.5</v>
          </cell>
        </row>
        <row r="644">
          <cell r="A644">
            <v>44831</v>
          </cell>
        </row>
        <row r="644">
          <cell r="G644">
            <v>200</v>
          </cell>
        </row>
        <row r="644">
          <cell r="I644">
            <v>195157137</v>
          </cell>
        </row>
        <row r="644">
          <cell r="K644">
            <v>57.5</v>
          </cell>
        </row>
        <row r="645">
          <cell r="A645">
            <v>44830</v>
          </cell>
        </row>
        <row r="645">
          <cell r="G645">
            <v>200</v>
          </cell>
        </row>
        <row r="645">
          <cell r="I645">
            <v>195156937</v>
          </cell>
        </row>
        <row r="645">
          <cell r="K645">
            <v>57.5</v>
          </cell>
        </row>
        <row r="646">
          <cell r="A646">
            <v>44827</v>
          </cell>
        </row>
        <row r="646">
          <cell r="G646">
            <v>210</v>
          </cell>
        </row>
        <row r="646">
          <cell r="I646">
            <v>195156737</v>
          </cell>
        </row>
        <row r="646">
          <cell r="K646">
            <v>57.4761904761905</v>
          </cell>
        </row>
        <row r="647">
          <cell r="A647">
            <v>44826</v>
          </cell>
        </row>
        <row r="647">
          <cell r="G647">
            <v>100</v>
          </cell>
        </row>
        <row r="647">
          <cell r="I647">
            <v>195156527</v>
          </cell>
        </row>
        <row r="647">
          <cell r="K647">
            <v>58</v>
          </cell>
        </row>
        <row r="648">
          <cell r="A648">
            <v>44825</v>
          </cell>
        </row>
        <row r="648">
          <cell r="G648">
            <v>100</v>
          </cell>
        </row>
        <row r="648">
          <cell r="I648">
            <v>195156427</v>
          </cell>
        </row>
        <row r="648">
          <cell r="K648">
            <v>58</v>
          </cell>
        </row>
        <row r="649">
          <cell r="A649">
            <v>44824</v>
          </cell>
        </row>
        <row r="649">
          <cell r="G649">
            <v>100</v>
          </cell>
        </row>
        <row r="649">
          <cell r="I649">
            <v>195156327</v>
          </cell>
        </row>
        <row r="649">
          <cell r="K649">
            <v>58</v>
          </cell>
        </row>
        <row r="650">
          <cell r="A650">
            <v>44823</v>
          </cell>
        </row>
        <row r="650">
          <cell r="G650">
            <v>100</v>
          </cell>
        </row>
        <row r="650">
          <cell r="I650">
            <v>195156227</v>
          </cell>
        </row>
        <row r="650">
          <cell r="K650">
            <v>58</v>
          </cell>
        </row>
        <row r="651">
          <cell r="A651">
            <v>44820</v>
          </cell>
        </row>
        <row r="651">
          <cell r="G651">
            <v>100</v>
          </cell>
        </row>
        <row r="651">
          <cell r="I651">
            <v>195156127</v>
          </cell>
        </row>
        <row r="651">
          <cell r="K651">
            <v>58</v>
          </cell>
        </row>
        <row r="652">
          <cell r="A652">
            <v>44819</v>
          </cell>
        </row>
        <row r="652">
          <cell r="G652">
            <v>100</v>
          </cell>
        </row>
        <row r="652">
          <cell r="I652">
            <v>195156027</v>
          </cell>
        </row>
        <row r="652">
          <cell r="K652">
            <v>58</v>
          </cell>
        </row>
        <row r="653">
          <cell r="A653">
            <v>44818</v>
          </cell>
        </row>
        <row r="653">
          <cell r="G653">
            <v>100</v>
          </cell>
        </row>
        <row r="653">
          <cell r="I653">
            <v>195155927</v>
          </cell>
        </row>
        <row r="653">
          <cell r="K653">
            <v>58.5</v>
          </cell>
        </row>
        <row r="654">
          <cell r="A654">
            <v>44817</v>
          </cell>
        </row>
        <row r="654">
          <cell r="G654">
            <v>100</v>
          </cell>
        </row>
        <row r="654">
          <cell r="I654">
            <v>195155827</v>
          </cell>
        </row>
        <row r="654">
          <cell r="K654">
            <v>58</v>
          </cell>
        </row>
        <row r="655">
          <cell r="A655">
            <v>44813</v>
          </cell>
        </row>
        <row r="655">
          <cell r="G655">
            <v>100</v>
          </cell>
        </row>
        <row r="655">
          <cell r="I655">
            <v>195155727</v>
          </cell>
        </row>
        <row r="655">
          <cell r="K655">
            <v>58</v>
          </cell>
        </row>
        <row r="656">
          <cell r="A656">
            <v>44812</v>
          </cell>
        </row>
        <row r="656">
          <cell r="G656">
            <v>100</v>
          </cell>
        </row>
        <row r="656">
          <cell r="I656">
            <v>195155627</v>
          </cell>
        </row>
        <row r="656">
          <cell r="K656">
            <v>58.5</v>
          </cell>
        </row>
        <row r="657">
          <cell r="A657">
            <v>44811</v>
          </cell>
        </row>
        <row r="657">
          <cell r="G657">
            <v>6090</v>
          </cell>
        </row>
        <row r="657">
          <cell r="I657">
            <v>195155527</v>
          </cell>
        </row>
        <row r="657">
          <cell r="K657">
            <v>58.991789819376</v>
          </cell>
        </row>
        <row r="658">
          <cell r="A658">
            <v>44810</v>
          </cell>
        </row>
        <row r="658">
          <cell r="G658">
            <v>2100</v>
          </cell>
        </row>
        <row r="658">
          <cell r="I658">
            <v>195149437</v>
          </cell>
        </row>
        <row r="658">
          <cell r="K658">
            <v>58.9761904761905</v>
          </cell>
        </row>
        <row r="659">
          <cell r="A659">
            <v>44809</v>
          </cell>
        </row>
        <row r="659">
          <cell r="G659">
            <v>10</v>
          </cell>
        </row>
        <row r="659">
          <cell r="I659">
            <v>195147337</v>
          </cell>
        </row>
        <row r="659">
          <cell r="K659">
            <v>58.5</v>
          </cell>
        </row>
        <row r="660">
          <cell r="A660">
            <v>44806</v>
          </cell>
        </row>
        <row r="660">
          <cell r="G660">
            <v>200</v>
          </cell>
        </row>
        <row r="660">
          <cell r="I660">
            <v>195147327</v>
          </cell>
        </row>
        <row r="660">
          <cell r="K660">
            <v>58</v>
          </cell>
        </row>
        <row r="661">
          <cell r="A661">
            <v>44805</v>
          </cell>
        </row>
        <row r="661">
          <cell r="G661">
            <v>200</v>
          </cell>
        </row>
        <row r="661">
          <cell r="I661">
            <v>195147127</v>
          </cell>
        </row>
        <row r="661">
          <cell r="K661">
            <v>58</v>
          </cell>
        </row>
        <row r="662">
          <cell r="A662">
            <v>44804</v>
          </cell>
        </row>
        <row r="662">
          <cell r="G662">
            <v>200</v>
          </cell>
        </row>
        <row r="662">
          <cell r="I662">
            <v>195146927</v>
          </cell>
        </row>
        <row r="662">
          <cell r="K662">
            <v>58</v>
          </cell>
        </row>
        <row r="663">
          <cell r="A663">
            <v>44803</v>
          </cell>
        </row>
        <row r="663">
          <cell r="G663">
            <v>200</v>
          </cell>
        </row>
        <row r="663">
          <cell r="I663">
            <v>195146727</v>
          </cell>
        </row>
        <row r="663">
          <cell r="K663">
            <v>58</v>
          </cell>
        </row>
        <row r="664">
          <cell r="A664">
            <v>44802</v>
          </cell>
        </row>
        <row r="664">
          <cell r="G664">
            <v>130668</v>
          </cell>
        </row>
        <row r="664">
          <cell r="I664">
            <v>195146527</v>
          </cell>
        </row>
        <row r="664">
          <cell r="K664">
            <v>58.5</v>
          </cell>
        </row>
        <row r="665">
          <cell r="A665">
            <v>44799</v>
          </cell>
        </row>
        <row r="665">
          <cell r="G665">
            <v>668</v>
          </cell>
        </row>
        <row r="665">
          <cell r="I665">
            <v>195015859</v>
          </cell>
        </row>
        <row r="665">
          <cell r="K665">
            <v>58.5</v>
          </cell>
        </row>
        <row r="666">
          <cell r="A666">
            <v>44798</v>
          </cell>
        </row>
        <row r="666">
          <cell r="G666">
            <v>100</v>
          </cell>
        </row>
        <row r="666">
          <cell r="I666">
            <v>195015191</v>
          </cell>
        </row>
        <row r="666">
          <cell r="K666">
            <v>58.5</v>
          </cell>
        </row>
        <row r="667">
          <cell r="A667">
            <v>44797</v>
          </cell>
        </row>
        <row r="667">
          <cell r="G667">
            <v>118</v>
          </cell>
        </row>
        <row r="667">
          <cell r="I667">
            <v>195015091</v>
          </cell>
        </row>
        <row r="667">
          <cell r="K667">
            <v>58.4237288135593</v>
          </cell>
        </row>
        <row r="668">
          <cell r="A668">
            <v>44796</v>
          </cell>
        </row>
        <row r="668">
          <cell r="G668">
            <v>12002</v>
          </cell>
        </row>
        <row r="668">
          <cell r="I668">
            <v>195014973</v>
          </cell>
        </row>
        <row r="668">
          <cell r="K668">
            <v>58.8001166472255</v>
          </cell>
        </row>
        <row r="669">
          <cell r="A669">
            <v>44795</v>
          </cell>
        </row>
        <row r="669">
          <cell r="G669">
            <v>200</v>
          </cell>
        </row>
        <row r="669">
          <cell r="I669">
            <v>195002971</v>
          </cell>
        </row>
        <row r="669">
          <cell r="K669">
            <v>58</v>
          </cell>
        </row>
        <row r="670">
          <cell r="A670">
            <v>44792</v>
          </cell>
        </row>
        <row r="670">
          <cell r="G670">
            <v>80000</v>
          </cell>
        </row>
        <row r="670">
          <cell r="I670">
            <v>195002771</v>
          </cell>
        </row>
        <row r="670">
          <cell r="K670">
            <v>58</v>
          </cell>
        </row>
        <row r="671">
          <cell r="A671">
            <v>44791</v>
          </cell>
        </row>
        <row r="671">
          <cell r="G671">
            <v>200</v>
          </cell>
        </row>
        <row r="671">
          <cell r="I671">
            <v>194922771</v>
          </cell>
        </row>
        <row r="671">
          <cell r="K671">
            <v>58</v>
          </cell>
        </row>
        <row r="672">
          <cell r="A672">
            <v>44790</v>
          </cell>
        </row>
        <row r="672">
          <cell r="G672">
            <v>200</v>
          </cell>
        </row>
        <row r="672">
          <cell r="I672">
            <v>194922571</v>
          </cell>
        </row>
        <row r="672">
          <cell r="K672">
            <v>58</v>
          </cell>
        </row>
        <row r="673">
          <cell r="A673">
            <v>44789</v>
          </cell>
        </row>
        <row r="673">
          <cell r="G673">
            <v>200</v>
          </cell>
        </row>
        <row r="673">
          <cell r="I673">
            <v>194922371</v>
          </cell>
        </row>
        <row r="673">
          <cell r="K673">
            <v>58</v>
          </cell>
        </row>
        <row r="674">
          <cell r="A674">
            <v>44788</v>
          </cell>
        </row>
        <row r="674">
          <cell r="G674">
            <v>200</v>
          </cell>
        </row>
        <row r="674">
          <cell r="I674">
            <v>194922171</v>
          </cell>
        </row>
        <row r="674">
          <cell r="K674">
            <v>58</v>
          </cell>
        </row>
        <row r="675">
          <cell r="A675">
            <v>44785</v>
          </cell>
        </row>
        <row r="675">
          <cell r="G675">
            <v>121535</v>
          </cell>
        </row>
        <row r="675">
          <cell r="I675">
            <v>194921971</v>
          </cell>
        </row>
        <row r="675">
          <cell r="K675">
            <v>58.4991771917555</v>
          </cell>
        </row>
        <row r="676">
          <cell r="A676">
            <v>44784</v>
          </cell>
        </row>
        <row r="676">
          <cell r="G676">
            <v>5200</v>
          </cell>
        </row>
        <row r="676">
          <cell r="I676">
            <v>194800436</v>
          </cell>
        </row>
        <row r="676">
          <cell r="K676">
            <v>58</v>
          </cell>
        </row>
        <row r="677">
          <cell r="A677">
            <v>44783</v>
          </cell>
        </row>
        <row r="677">
          <cell r="G677">
            <v>17300</v>
          </cell>
        </row>
        <row r="677">
          <cell r="I677">
            <v>194795236</v>
          </cell>
        </row>
        <row r="677">
          <cell r="K677">
            <v>58</v>
          </cell>
        </row>
        <row r="678">
          <cell r="A678">
            <v>44782</v>
          </cell>
        </row>
        <row r="678">
          <cell r="G678">
            <v>101700</v>
          </cell>
        </row>
        <row r="678">
          <cell r="I678">
            <v>194777936</v>
          </cell>
        </row>
        <row r="678">
          <cell r="K678">
            <v>46.0383480825959</v>
          </cell>
        </row>
        <row r="679">
          <cell r="A679">
            <v>44781</v>
          </cell>
        </row>
        <row r="679">
          <cell r="G679">
            <v>3000</v>
          </cell>
        </row>
        <row r="679">
          <cell r="I679">
            <v>194676236</v>
          </cell>
        </row>
        <row r="679">
          <cell r="K679">
            <v>59</v>
          </cell>
        </row>
        <row r="680">
          <cell r="A680">
            <v>44778</v>
          </cell>
        </row>
        <row r="680">
          <cell r="G680">
            <v>68765</v>
          </cell>
        </row>
        <row r="680">
          <cell r="I680">
            <v>194673236</v>
          </cell>
        </row>
        <row r="680">
          <cell r="K680">
            <v>58.5</v>
          </cell>
        </row>
        <row r="681">
          <cell r="A681">
            <v>44777</v>
          </cell>
        </row>
        <row r="681">
          <cell r="G681">
            <v>500</v>
          </cell>
        </row>
        <row r="681">
          <cell r="I681">
            <v>194604471</v>
          </cell>
        </row>
        <row r="681">
          <cell r="K681">
            <v>57.5</v>
          </cell>
        </row>
        <row r="682">
          <cell r="A682">
            <v>44776</v>
          </cell>
        </row>
        <row r="682">
          <cell r="G682">
            <v>500</v>
          </cell>
        </row>
        <row r="682">
          <cell r="I682">
            <v>194603971</v>
          </cell>
        </row>
        <row r="682">
          <cell r="K682">
            <v>57.5</v>
          </cell>
        </row>
        <row r="683">
          <cell r="A683">
            <v>44775</v>
          </cell>
        </row>
        <row r="683">
          <cell r="G683">
            <v>1731</v>
          </cell>
        </row>
        <row r="683">
          <cell r="I683">
            <v>194603471</v>
          </cell>
        </row>
        <row r="683">
          <cell r="K683">
            <v>57.3466204506066</v>
          </cell>
        </row>
        <row r="684">
          <cell r="A684">
            <v>44774</v>
          </cell>
        </row>
        <row r="684">
          <cell r="G684">
            <v>2800</v>
          </cell>
        </row>
        <row r="684">
          <cell r="I684">
            <v>194601740</v>
          </cell>
        </row>
        <row r="684">
          <cell r="K684">
            <v>58.6785714285714</v>
          </cell>
        </row>
        <row r="685">
          <cell r="A685">
            <v>44771</v>
          </cell>
        </row>
        <row r="685">
          <cell r="G685">
            <v>150200</v>
          </cell>
        </row>
        <row r="685">
          <cell r="I685">
            <v>194598940</v>
          </cell>
        </row>
        <row r="685">
          <cell r="K685">
            <v>62.5339547270306</v>
          </cell>
        </row>
        <row r="686">
          <cell r="A686">
            <v>44770</v>
          </cell>
        </row>
        <row r="686">
          <cell r="G686">
            <v>211081</v>
          </cell>
        </row>
        <row r="686">
          <cell r="I686">
            <v>194448740</v>
          </cell>
        </row>
        <row r="686">
          <cell r="K686">
            <v>59.2029457885835</v>
          </cell>
        </row>
        <row r="687">
          <cell r="A687">
            <v>44769</v>
          </cell>
        </row>
        <row r="687">
          <cell r="G687">
            <v>250</v>
          </cell>
        </row>
        <row r="687">
          <cell r="I687">
            <v>194237659</v>
          </cell>
        </row>
        <row r="687">
          <cell r="K687">
            <v>57</v>
          </cell>
        </row>
        <row r="688">
          <cell r="A688">
            <v>44768</v>
          </cell>
        </row>
        <row r="688">
          <cell r="G688">
            <v>100</v>
          </cell>
        </row>
        <row r="688">
          <cell r="I688">
            <v>194237409</v>
          </cell>
        </row>
        <row r="688">
          <cell r="K688">
            <v>57.3</v>
          </cell>
        </row>
        <row r="689">
          <cell r="A689">
            <v>44767</v>
          </cell>
        </row>
        <row r="689">
          <cell r="G689">
            <v>100</v>
          </cell>
        </row>
        <row r="689">
          <cell r="I689">
            <v>194237309</v>
          </cell>
        </row>
        <row r="689">
          <cell r="K689">
            <v>57.3</v>
          </cell>
        </row>
        <row r="690">
          <cell r="A690">
            <v>44764</v>
          </cell>
        </row>
        <row r="690">
          <cell r="G690">
            <v>10000</v>
          </cell>
        </row>
        <row r="690">
          <cell r="I690">
            <v>194237209</v>
          </cell>
        </row>
        <row r="690">
          <cell r="K690">
            <v>57</v>
          </cell>
        </row>
        <row r="691">
          <cell r="A691">
            <v>44763</v>
          </cell>
        </row>
        <row r="691">
          <cell r="G691">
            <v>175000</v>
          </cell>
        </row>
        <row r="691">
          <cell r="I691">
            <v>194227209</v>
          </cell>
        </row>
        <row r="691">
          <cell r="K691">
            <v>59.3171428571429</v>
          </cell>
        </row>
        <row r="692">
          <cell r="A692">
            <v>44762</v>
          </cell>
        </row>
        <row r="692">
          <cell r="G692">
            <v>30044</v>
          </cell>
        </row>
        <row r="692">
          <cell r="I692">
            <v>194052209</v>
          </cell>
        </row>
        <row r="692">
          <cell r="K692">
            <v>57.3380375449341</v>
          </cell>
        </row>
        <row r="693">
          <cell r="A693">
            <v>44761</v>
          </cell>
        </row>
        <row r="693">
          <cell r="G693">
            <v>10000</v>
          </cell>
        </row>
        <row r="693">
          <cell r="I693">
            <v>194022165</v>
          </cell>
        </row>
        <row r="693">
          <cell r="K693">
            <v>57.4</v>
          </cell>
        </row>
        <row r="694">
          <cell r="A694">
            <v>44760</v>
          </cell>
        </row>
        <row r="694">
          <cell r="G694">
            <v>10010</v>
          </cell>
        </row>
        <row r="694">
          <cell r="I694">
            <v>194012165</v>
          </cell>
        </row>
        <row r="694">
          <cell r="K694">
            <v>57.600999000999</v>
          </cell>
        </row>
        <row r="695">
          <cell r="A695">
            <v>44757</v>
          </cell>
        </row>
        <row r="695">
          <cell r="G695">
            <v>2500</v>
          </cell>
        </row>
        <row r="695">
          <cell r="I695">
            <v>194002155</v>
          </cell>
        </row>
        <row r="695">
          <cell r="K695">
            <v>58.24</v>
          </cell>
        </row>
        <row r="696">
          <cell r="A696">
            <v>44756</v>
          </cell>
        </row>
        <row r="696">
          <cell r="G696">
            <v>27446</v>
          </cell>
        </row>
        <row r="696">
          <cell r="I696">
            <v>193999655</v>
          </cell>
        </row>
        <row r="696">
          <cell r="K696">
            <v>57.2588522917729</v>
          </cell>
        </row>
        <row r="697">
          <cell r="A697">
            <v>44755</v>
          </cell>
        </row>
        <row r="697">
          <cell r="G697">
            <v>10</v>
          </cell>
        </row>
        <row r="697">
          <cell r="I697">
            <v>193972209</v>
          </cell>
        </row>
        <row r="697">
          <cell r="K697">
            <v>59.1</v>
          </cell>
        </row>
        <row r="698">
          <cell r="A698">
            <v>44754</v>
          </cell>
        </row>
        <row r="698">
          <cell r="G698">
            <v>10</v>
          </cell>
        </row>
        <row r="698">
          <cell r="I698">
            <v>193972199</v>
          </cell>
        </row>
        <row r="698">
          <cell r="K698">
            <v>58</v>
          </cell>
        </row>
        <row r="699">
          <cell r="A699">
            <v>44753</v>
          </cell>
        </row>
        <row r="699">
          <cell r="G699">
            <v>58</v>
          </cell>
        </row>
        <row r="699">
          <cell r="I699">
            <v>193972189</v>
          </cell>
        </row>
        <row r="699">
          <cell r="K699">
            <v>58</v>
          </cell>
        </row>
        <row r="700">
          <cell r="A700">
            <v>44750</v>
          </cell>
        </row>
        <row r="700">
          <cell r="G700">
            <v>49200</v>
          </cell>
        </row>
        <row r="700">
          <cell r="I700">
            <v>193972131</v>
          </cell>
        </row>
        <row r="700">
          <cell r="K700">
            <v>57.0158638211382</v>
          </cell>
        </row>
        <row r="701">
          <cell r="A701">
            <v>44749</v>
          </cell>
        </row>
        <row r="701">
          <cell r="G701">
            <v>1000</v>
          </cell>
        </row>
        <row r="701">
          <cell r="I701">
            <v>193922931</v>
          </cell>
        </row>
        <row r="701">
          <cell r="K701">
            <v>59</v>
          </cell>
        </row>
        <row r="702">
          <cell r="A702">
            <v>44748</v>
          </cell>
        </row>
        <row r="702">
          <cell r="G702">
            <v>80031</v>
          </cell>
        </row>
        <row r="702">
          <cell r="I702">
            <v>193921931</v>
          </cell>
        </row>
        <row r="702">
          <cell r="K702">
            <v>57.2726768377254</v>
          </cell>
        </row>
        <row r="703">
          <cell r="A703">
            <v>44747</v>
          </cell>
        </row>
        <row r="703">
          <cell r="G703">
            <v>10000</v>
          </cell>
        </row>
        <row r="703">
          <cell r="I703">
            <v>193841900</v>
          </cell>
        </row>
        <row r="703">
          <cell r="K703">
            <v>57.5</v>
          </cell>
        </row>
        <row r="704">
          <cell r="A704">
            <v>44746</v>
          </cell>
        </row>
        <row r="704">
          <cell r="G704">
            <v>10</v>
          </cell>
        </row>
        <row r="704">
          <cell r="I704">
            <v>193831900</v>
          </cell>
        </row>
        <row r="704">
          <cell r="K704">
            <v>59</v>
          </cell>
        </row>
        <row r="705">
          <cell r="A705">
            <v>44743</v>
          </cell>
        </row>
        <row r="705">
          <cell r="G705">
            <v>324940</v>
          </cell>
        </row>
        <row r="705">
          <cell r="I705">
            <v>193831890</v>
          </cell>
        </row>
        <row r="705">
          <cell r="K705">
            <v>57.6922662645411</v>
          </cell>
        </row>
        <row r="706">
          <cell r="A706">
            <v>44742</v>
          </cell>
        </row>
        <row r="706">
          <cell r="G706">
            <v>10</v>
          </cell>
        </row>
        <row r="706">
          <cell r="I706">
            <v>193506950</v>
          </cell>
        </row>
        <row r="706">
          <cell r="K706">
            <v>57.5</v>
          </cell>
        </row>
        <row r="707">
          <cell r="A707">
            <v>44741</v>
          </cell>
        </row>
        <row r="707">
          <cell r="G707">
            <v>10</v>
          </cell>
        </row>
        <row r="707">
          <cell r="I707">
            <v>193506940</v>
          </cell>
        </row>
        <row r="707">
          <cell r="K707">
            <v>58</v>
          </cell>
        </row>
        <row r="708">
          <cell r="A708">
            <v>44740</v>
          </cell>
        </row>
        <row r="708">
          <cell r="G708">
            <v>20</v>
          </cell>
        </row>
        <row r="708">
          <cell r="I708">
            <v>193506930</v>
          </cell>
        </row>
        <row r="708">
          <cell r="K708">
            <v>59</v>
          </cell>
        </row>
        <row r="709">
          <cell r="A709">
            <v>44739</v>
          </cell>
        </row>
        <row r="709">
          <cell r="G709">
            <v>10</v>
          </cell>
        </row>
        <row r="709">
          <cell r="I709">
            <v>193506910</v>
          </cell>
        </row>
        <row r="709">
          <cell r="K709">
            <v>60</v>
          </cell>
        </row>
        <row r="710">
          <cell r="A710">
            <v>44736</v>
          </cell>
        </row>
        <row r="710">
          <cell r="G710">
            <v>120010</v>
          </cell>
        </row>
        <row r="710">
          <cell r="I710">
            <v>193506900</v>
          </cell>
        </row>
        <row r="710">
          <cell r="K710">
            <v>61.1999000083326</v>
          </cell>
        </row>
        <row r="711">
          <cell r="A711">
            <v>44735</v>
          </cell>
        </row>
        <row r="711">
          <cell r="G711">
            <v>250010</v>
          </cell>
        </row>
        <row r="711">
          <cell r="I711">
            <v>193386890</v>
          </cell>
        </row>
        <row r="711">
          <cell r="K711">
            <v>55.0001999920003</v>
          </cell>
        </row>
        <row r="712">
          <cell r="A712">
            <v>44734</v>
          </cell>
        </row>
        <row r="712">
          <cell r="G712">
            <v>150030</v>
          </cell>
        </row>
        <row r="712">
          <cell r="I712">
            <v>193136880</v>
          </cell>
        </row>
        <row r="712">
          <cell r="K712">
            <v>60</v>
          </cell>
        </row>
        <row r="713">
          <cell r="A713">
            <v>44733</v>
          </cell>
        </row>
        <row r="713">
          <cell r="G713">
            <v>50</v>
          </cell>
        </row>
        <row r="713">
          <cell r="I713">
            <v>192986850</v>
          </cell>
        </row>
        <row r="713">
          <cell r="K713">
            <v>59.6</v>
          </cell>
        </row>
        <row r="714">
          <cell r="A714">
            <v>44732</v>
          </cell>
        </row>
        <row r="714">
          <cell r="G714">
            <v>20</v>
          </cell>
        </row>
        <row r="714">
          <cell r="I714">
            <v>192986800</v>
          </cell>
        </row>
        <row r="714">
          <cell r="K714">
            <v>59.25</v>
          </cell>
        </row>
        <row r="715">
          <cell r="A715">
            <v>44729</v>
          </cell>
        </row>
        <row r="715">
          <cell r="G715">
            <v>10</v>
          </cell>
        </row>
        <row r="715">
          <cell r="I715">
            <v>192986780</v>
          </cell>
        </row>
        <row r="715">
          <cell r="K715">
            <v>59</v>
          </cell>
        </row>
        <row r="716">
          <cell r="A716">
            <v>44728</v>
          </cell>
        </row>
        <row r="716">
          <cell r="G716">
            <v>10</v>
          </cell>
        </row>
        <row r="716">
          <cell r="I716">
            <v>192986770</v>
          </cell>
        </row>
        <row r="716">
          <cell r="K716">
            <v>59</v>
          </cell>
        </row>
        <row r="717">
          <cell r="A717">
            <v>44727</v>
          </cell>
        </row>
        <row r="717">
          <cell r="G717">
            <v>10</v>
          </cell>
        </row>
        <row r="717">
          <cell r="I717">
            <v>192986760</v>
          </cell>
        </row>
        <row r="717">
          <cell r="K717">
            <v>59</v>
          </cell>
        </row>
        <row r="718">
          <cell r="A718">
            <v>44726</v>
          </cell>
        </row>
        <row r="718">
          <cell r="G718">
            <v>10</v>
          </cell>
        </row>
        <row r="718">
          <cell r="I718">
            <v>192986750</v>
          </cell>
        </row>
        <row r="718">
          <cell r="K718">
            <v>59</v>
          </cell>
        </row>
        <row r="719">
          <cell r="A719">
            <v>44725</v>
          </cell>
        </row>
        <row r="719">
          <cell r="G719">
            <v>10</v>
          </cell>
        </row>
        <row r="719">
          <cell r="I719">
            <v>192986740</v>
          </cell>
        </row>
        <row r="719">
          <cell r="K719">
            <v>59</v>
          </cell>
        </row>
        <row r="720">
          <cell r="A720">
            <v>44722</v>
          </cell>
        </row>
        <row r="720">
          <cell r="G720">
            <v>10</v>
          </cell>
        </row>
        <row r="720">
          <cell r="I720">
            <v>192986730</v>
          </cell>
        </row>
        <row r="720">
          <cell r="K720">
            <v>59</v>
          </cell>
        </row>
        <row r="721">
          <cell r="A721">
            <v>44721</v>
          </cell>
        </row>
        <row r="721">
          <cell r="G721">
            <v>150010</v>
          </cell>
        </row>
        <row r="721">
          <cell r="I721">
            <v>192986720</v>
          </cell>
        </row>
        <row r="721">
          <cell r="K721">
            <v>59.6999533364442</v>
          </cell>
        </row>
        <row r="722">
          <cell r="A722">
            <v>44720</v>
          </cell>
        </row>
        <row r="722">
          <cell r="G722">
            <v>10</v>
          </cell>
        </row>
        <row r="722">
          <cell r="I722">
            <v>192836710</v>
          </cell>
        </row>
        <row r="722">
          <cell r="K722">
            <v>59</v>
          </cell>
        </row>
        <row r="723">
          <cell r="A723">
            <v>44719</v>
          </cell>
        </row>
        <row r="723">
          <cell r="G723">
            <v>10</v>
          </cell>
        </row>
        <row r="723">
          <cell r="I723">
            <v>192836700</v>
          </cell>
        </row>
        <row r="723">
          <cell r="K723">
            <v>59</v>
          </cell>
        </row>
        <row r="724">
          <cell r="A724">
            <v>44718</v>
          </cell>
        </row>
        <row r="724">
          <cell r="G724">
            <v>10</v>
          </cell>
        </row>
        <row r="724">
          <cell r="I724">
            <v>192836690</v>
          </cell>
        </row>
        <row r="724">
          <cell r="K724">
            <v>59</v>
          </cell>
        </row>
        <row r="725">
          <cell r="A725">
            <v>44714</v>
          </cell>
        </row>
        <row r="725">
          <cell r="G725">
            <v>10</v>
          </cell>
        </row>
        <row r="725">
          <cell r="I725">
            <v>192836680</v>
          </cell>
        </row>
        <row r="725">
          <cell r="K725">
            <v>59</v>
          </cell>
        </row>
        <row r="726">
          <cell r="A726">
            <v>44713</v>
          </cell>
        </row>
        <row r="726">
          <cell r="G726">
            <v>100010</v>
          </cell>
        </row>
        <row r="726">
          <cell r="I726">
            <v>192836670</v>
          </cell>
        </row>
        <row r="726">
          <cell r="K726">
            <v>55.000399960004</v>
          </cell>
        </row>
        <row r="727">
          <cell r="A727">
            <v>44712</v>
          </cell>
        </row>
        <row r="727">
          <cell r="G727">
            <v>600010</v>
          </cell>
        </row>
        <row r="727">
          <cell r="I727">
            <v>192736660</v>
          </cell>
        </row>
        <row r="727">
          <cell r="K727">
            <v>54.50007499875</v>
          </cell>
        </row>
        <row r="728">
          <cell r="A728">
            <v>44711</v>
          </cell>
        </row>
        <row r="728">
          <cell r="G728">
            <v>10</v>
          </cell>
        </row>
        <row r="728">
          <cell r="I728">
            <v>192136650</v>
          </cell>
        </row>
        <row r="728">
          <cell r="K728">
            <v>59</v>
          </cell>
        </row>
        <row r="729">
          <cell r="A729">
            <v>44708</v>
          </cell>
        </row>
        <row r="729">
          <cell r="G729">
            <v>421010</v>
          </cell>
        </row>
        <row r="729">
          <cell r="I729">
            <v>192136640</v>
          </cell>
        </row>
        <row r="729">
          <cell r="K729">
            <v>54.7245671124201</v>
          </cell>
        </row>
        <row r="730">
          <cell r="A730">
            <v>44707</v>
          </cell>
        </row>
        <row r="730">
          <cell r="G730">
            <v>130010</v>
          </cell>
        </row>
        <row r="730">
          <cell r="I730">
            <v>191715630</v>
          </cell>
        </row>
        <row r="730">
          <cell r="K730">
            <v>59</v>
          </cell>
        </row>
        <row r="731">
          <cell r="A731">
            <v>44706</v>
          </cell>
        </row>
        <row r="731">
          <cell r="G731">
            <v>10</v>
          </cell>
        </row>
        <row r="731">
          <cell r="I731">
            <v>191585620</v>
          </cell>
        </row>
        <row r="731">
          <cell r="K731">
            <v>59</v>
          </cell>
        </row>
        <row r="732">
          <cell r="A732">
            <v>44705</v>
          </cell>
        </row>
        <row r="732">
          <cell r="G732">
            <v>11</v>
          </cell>
        </row>
        <row r="732">
          <cell r="I732">
            <v>191585610</v>
          </cell>
        </row>
        <row r="732">
          <cell r="K732">
            <v>59.1818181818182</v>
          </cell>
        </row>
        <row r="733">
          <cell r="A733">
            <v>44704</v>
          </cell>
        </row>
        <row r="733">
          <cell r="G733">
            <v>310</v>
          </cell>
        </row>
        <row r="733">
          <cell r="I733">
            <v>191585599</v>
          </cell>
        </row>
        <row r="733">
          <cell r="K733">
            <v>58.9677419354839</v>
          </cell>
        </row>
        <row r="734">
          <cell r="A734">
            <v>44701</v>
          </cell>
        </row>
        <row r="734">
          <cell r="G734">
            <v>10</v>
          </cell>
        </row>
        <row r="734">
          <cell r="I734">
            <v>191585289</v>
          </cell>
        </row>
        <row r="734">
          <cell r="K734">
            <v>58</v>
          </cell>
        </row>
        <row r="735">
          <cell r="A735">
            <v>44700</v>
          </cell>
        </row>
        <row r="735">
          <cell r="G735">
            <v>200010</v>
          </cell>
        </row>
        <row r="735">
          <cell r="I735">
            <v>191585279</v>
          </cell>
        </row>
        <row r="735">
          <cell r="K735">
            <v>60.9998500074996</v>
          </cell>
        </row>
        <row r="736">
          <cell r="A736">
            <v>44699</v>
          </cell>
        </row>
        <row r="736">
          <cell r="G736">
            <v>10</v>
          </cell>
        </row>
        <row r="736">
          <cell r="I736">
            <v>191385269</v>
          </cell>
        </row>
        <row r="736">
          <cell r="K736">
            <v>58</v>
          </cell>
        </row>
        <row r="737">
          <cell r="A737">
            <v>44698</v>
          </cell>
        </row>
        <row r="737">
          <cell r="G737">
            <v>10</v>
          </cell>
        </row>
        <row r="737">
          <cell r="I737">
            <v>191385259</v>
          </cell>
        </row>
        <row r="737">
          <cell r="K737">
            <v>58</v>
          </cell>
        </row>
        <row r="738">
          <cell r="A738">
            <v>44697</v>
          </cell>
        </row>
        <row r="738">
          <cell r="G738">
            <v>10</v>
          </cell>
        </row>
        <row r="738">
          <cell r="I738">
            <v>191385249</v>
          </cell>
        </row>
        <row r="738">
          <cell r="K738">
            <v>58</v>
          </cell>
        </row>
        <row r="739">
          <cell r="A739">
            <v>44694</v>
          </cell>
        </row>
        <row r="739">
          <cell r="G739">
            <v>10</v>
          </cell>
        </row>
        <row r="739">
          <cell r="I739">
            <v>191385239</v>
          </cell>
        </row>
        <row r="739">
          <cell r="K739">
            <v>58</v>
          </cell>
        </row>
        <row r="740">
          <cell r="A740">
            <v>44693</v>
          </cell>
        </row>
        <row r="740">
          <cell r="G740">
            <v>10</v>
          </cell>
        </row>
        <row r="740">
          <cell r="I740">
            <v>191385229</v>
          </cell>
        </row>
        <row r="740">
          <cell r="K740">
            <v>58</v>
          </cell>
        </row>
        <row r="741">
          <cell r="A741">
            <v>44692</v>
          </cell>
        </row>
        <row r="741">
          <cell r="G741">
            <v>10</v>
          </cell>
        </row>
        <row r="741">
          <cell r="I741">
            <v>191385219</v>
          </cell>
        </row>
        <row r="741">
          <cell r="K741">
            <v>58</v>
          </cell>
        </row>
        <row r="742">
          <cell r="A742">
            <v>44691</v>
          </cell>
        </row>
        <row r="742">
          <cell r="G742">
            <v>10</v>
          </cell>
        </row>
        <row r="742">
          <cell r="I742">
            <v>191385209</v>
          </cell>
        </row>
        <row r="742">
          <cell r="K742">
            <v>58</v>
          </cell>
        </row>
        <row r="743">
          <cell r="A743">
            <v>44690</v>
          </cell>
        </row>
        <row r="743">
          <cell r="G743">
            <v>113668</v>
          </cell>
        </row>
        <row r="743">
          <cell r="I743">
            <v>191385199</v>
          </cell>
        </row>
        <row r="743">
          <cell r="K743">
            <v>59.9354611676109</v>
          </cell>
        </row>
        <row r="744">
          <cell r="A744">
            <v>44687</v>
          </cell>
        </row>
        <row r="744">
          <cell r="G744">
            <v>580010</v>
          </cell>
        </row>
        <row r="744">
          <cell r="I744">
            <v>191271531</v>
          </cell>
        </row>
        <row r="744">
          <cell r="K744">
            <v>58.499991379459</v>
          </cell>
        </row>
        <row r="745">
          <cell r="A745">
            <v>44686</v>
          </cell>
        </row>
        <row r="745">
          <cell r="G745">
            <v>210010</v>
          </cell>
        </row>
        <row r="745">
          <cell r="I745">
            <v>190691521</v>
          </cell>
        </row>
        <row r="745">
          <cell r="K745">
            <v>55.904956906814</v>
          </cell>
        </row>
        <row r="746">
          <cell r="A746">
            <v>44680</v>
          </cell>
        </row>
        <row r="746">
          <cell r="G746">
            <v>300050</v>
          </cell>
        </row>
        <row r="746">
          <cell r="I746">
            <v>190481511</v>
          </cell>
        </row>
        <row r="746">
          <cell r="K746">
            <v>58.5000499916681</v>
          </cell>
        </row>
        <row r="747">
          <cell r="A747">
            <v>44679</v>
          </cell>
        </row>
        <row r="747">
          <cell r="G747">
            <v>10</v>
          </cell>
        </row>
        <row r="747">
          <cell r="I747">
            <v>190181461</v>
          </cell>
        </row>
        <row r="747">
          <cell r="K747">
            <v>59</v>
          </cell>
        </row>
        <row r="748">
          <cell r="A748">
            <v>44678</v>
          </cell>
        </row>
        <row r="748">
          <cell r="G748">
            <v>40010</v>
          </cell>
        </row>
        <row r="748">
          <cell r="I748">
            <v>190181451</v>
          </cell>
        </row>
        <row r="748">
          <cell r="K748">
            <v>59.0002499375156</v>
          </cell>
        </row>
        <row r="749">
          <cell r="A749">
            <v>44677</v>
          </cell>
        </row>
        <row r="749">
          <cell r="G749">
            <v>319223</v>
          </cell>
        </row>
        <row r="749">
          <cell r="I749">
            <v>190141441</v>
          </cell>
        </row>
        <row r="749">
          <cell r="K749">
            <v>57.500078315159</v>
          </cell>
        </row>
        <row r="750">
          <cell r="A750">
            <v>44676</v>
          </cell>
        </row>
        <row r="750">
          <cell r="G750">
            <v>280010</v>
          </cell>
        </row>
        <row r="750">
          <cell r="I750">
            <v>189822218</v>
          </cell>
        </row>
        <row r="750">
          <cell r="K750">
            <v>54.0002142780615</v>
          </cell>
        </row>
        <row r="751">
          <cell r="A751">
            <v>44673</v>
          </cell>
        </row>
        <row r="751">
          <cell r="G751">
            <v>80</v>
          </cell>
        </row>
        <row r="751">
          <cell r="I751">
            <v>189542208</v>
          </cell>
        </row>
        <row r="751">
          <cell r="K751">
            <v>60</v>
          </cell>
        </row>
        <row r="752">
          <cell r="A752">
            <v>44672</v>
          </cell>
        </row>
        <row r="752">
          <cell r="G752">
            <v>10</v>
          </cell>
        </row>
        <row r="752">
          <cell r="I752">
            <v>189542128</v>
          </cell>
        </row>
        <row r="752">
          <cell r="K752">
            <v>60</v>
          </cell>
        </row>
        <row r="753">
          <cell r="A753">
            <v>44671</v>
          </cell>
        </row>
        <row r="753">
          <cell r="G753">
            <v>10</v>
          </cell>
        </row>
        <row r="753">
          <cell r="I753">
            <v>189542118</v>
          </cell>
        </row>
        <row r="753">
          <cell r="K753">
            <v>60</v>
          </cell>
        </row>
        <row r="754">
          <cell r="A754">
            <v>44670</v>
          </cell>
        </row>
        <row r="754">
          <cell r="G754">
            <v>50</v>
          </cell>
        </row>
        <row r="754">
          <cell r="I754">
            <v>189542108</v>
          </cell>
        </row>
        <row r="754">
          <cell r="K754">
            <v>60</v>
          </cell>
        </row>
        <row r="755">
          <cell r="A755">
            <v>44669</v>
          </cell>
        </row>
        <row r="755">
          <cell r="G755">
            <v>10</v>
          </cell>
        </row>
        <row r="755">
          <cell r="I755">
            <v>189542058</v>
          </cell>
        </row>
        <row r="755">
          <cell r="K755">
            <v>60</v>
          </cell>
        </row>
        <row r="756">
          <cell r="A756">
            <v>44666</v>
          </cell>
        </row>
        <row r="756">
          <cell r="G756">
            <v>275890</v>
          </cell>
        </row>
        <row r="756">
          <cell r="I756">
            <v>189542048</v>
          </cell>
        </row>
        <row r="756">
          <cell r="K756">
            <v>57.0001087389902</v>
          </cell>
        </row>
        <row r="757">
          <cell r="A757">
            <v>44665</v>
          </cell>
        </row>
        <row r="757">
          <cell r="G757">
            <v>10</v>
          </cell>
        </row>
        <row r="757">
          <cell r="I757">
            <v>189266158</v>
          </cell>
        </row>
        <row r="757">
          <cell r="K757">
            <v>60</v>
          </cell>
        </row>
        <row r="758">
          <cell r="A758">
            <v>44664</v>
          </cell>
        </row>
        <row r="758">
          <cell r="G758">
            <v>10</v>
          </cell>
        </row>
        <row r="758">
          <cell r="I758">
            <v>189266148</v>
          </cell>
        </row>
        <row r="758">
          <cell r="K758">
            <v>60</v>
          </cell>
        </row>
        <row r="759">
          <cell r="A759">
            <v>44663</v>
          </cell>
        </row>
        <row r="759">
          <cell r="G759">
            <v>100010</v>
          </cell>
        </row>
        <row r="759">
          <cell r="I759">
            <v>189266138</v>
          </cell>
        </row>
        <row r="759">
          <cell r="K759">
            <v>57.5002499750025</v>
          </cell>
        </row>
        <row r="760">
          <cell r="A760">
            <v>44662</v>
          </cell>
        </row>
        <row r="760">
          <cell r="G760">
            <v>50</v>
          </cell>
        </row>
        <row r="760">
          <cell r="I760">
            <v>189166128</v>
          </cell>
        </row>
        <row r="760">
          <cell r="K760">
            <v>60</v>
          </cell>
        </row>
        <row r="761">
          <cell r="A761">
            <v>44659</v>
          </cell>
        </row>
        <row r="761">
          <cell r="G761">
            <v>130789</v>
          </cell>
        </row>
        <row r="761">
          <cell r="I761">
            <v>189166078</v>
          </cell>
        </row>
        <row r="761">
          <cell r="K761">
            <v>57.0180213932364</v>
          </cell>
        </row>
        <row r="762">
          <cell r="A762">
            <v>44658</v>
          </cell>
        </row>
        <row r="762">
          <cell r="G762">
            <v>50</v>
          </cell>
        </row>
        <row r="762">
          <cell r="I762">
            <v>189035289</v>
          </cell>
        </row>
        <row r="762">
          <cell r="K762">
            <v>59</v>
          </cell>
        </row>
        <row r="763">
          <cell r="A763">
            <v>44657</v>
          </cell>
        </row>
        <row r="763">
          <cell r="G763">
            <v>4206</v>
          </cell>
        </row>
        <row r="763">
          <cell r="I763">
            <v>189035239</v>
          </cell>
        </row>
        <row r="763">
          <cell r="K763">
            <v>60</v>
          </cell>
        </row>
        <row r="764">
          <cell r="A764">
            <v>44652</v>
          </cell>
        </row>
        <row r="764">
          <cell r="G764">
            <v>50</v>
          </cell>
        </row>
        <row r="764">
          <cell r="I764">
            <v>189031033</v>
          </cell>
        </row>
        <row r="764">
          <cell r="K764">
            <v>58.5</v>
          </cell>
        </row>
        <row r="765">
          <cell r="A765">
            <v>44651</v>
          </cell>
        </row>
        <row r="765">
          <cell r="G765">
            <v>68000</v>
          </cell>
        </row>
        <row r="765">
          <cell r="I765">
            <v>189030983</v>
          </cell>
        </row>
        <row r="765">
          <cell r="K765">
            <v>58.5529411764706</v>
          </cell>
        </row>
        <row r="766">
          <cell r="A766">
            <v>44650</v>
          </cell>
        </row>
        <row r="766">
          <cell r="G766">
            <v>1500</v>
          </cell>
        </row>
        <row r="766">
          <cell r="I766">
            <v>188962983</v>
          </cell>
        </row>
        <row r="766">
          <cell r="K766">
            <v>58.5</v>
          </cell>
        </row>
        <row r="767">
          <cell r="A767">
            <v>44649</v>
          </cell>
        </row>
        <row r="767">
          <cell r="G767">
            <v>50</v>
          </cell>
        </row>
        <row r="767">
          <cell r="I767">
            <v>188961483</v>
          </cell>
        </row>
        <row r="767">
          <cell r="K767">
            <v>58.5</v>
          </cell>
        </row>
        <row r="768">
          <cell r="A768">
            <v>44648</v>
          </cell>
        </row>
        <row r="768">
          <cell r="G768">
            <v>15</v>
          </cell>
        </row>
        <row r="768">
          <cell r="I768">
            <v>188961433</v>
          </cell>
        </row>
        <row r="768">
          <cell r="K768">
            <v>58</v>
          </cell>
        </row>
        <row r="769">
          <cell r="A769">
            <v>44645</v>
          </cell>
        </row>
        <row r="769">
          <cell r="G769">
            <v>15</v>
          </cell>
        </row>
        <row r="769">
          <cell r="I769">
            <v>188961418</v>
          </cell>
        </row>
        <row r="769">
          <cell r="K769">
            <v>58</v>
          </cell>
        </row>
        <row r="770">
          <cell r="A770">
            <v>44644</v>
          </cell>
        </row>
        <row r="770">
          <cell r="G770">
            <v>81685</v>
          </cell>
        </row>
        <row r="770">
          <cell r="I770">
            <v>188961403</v>
          </cell>
        </row>
        <row r="770">
          <cell r="K770">
            <v>58.0146905796658</v>
          </cell>
        </row>
        <row r="771">
          <cell r="A771">
            <v>44643</v>
          </cell>
        </row>
        <row r="771">
          <cell r="G771">
            <v>60</v>
          </cell>
        </row>
        <row r="771">
          <cell r="I771">
            <v>188879718</v>
          </cell>
        </row>
        <row r="771">
          <cell r="K771">
            <v>58.4</v>
          </cell>
        </row>
        <row r="772">
          <cell r="A772">
            <v>44642</v>
          </cell>
        </row>
        <row r="772">
          <cell r="G772">
            <v>50</v>
          </cell>
        </row>
        <row r="772">
          <cell r="I772">
            <v>188879658</v>
          </cell>
        </row>
        <row r="772">
          <cell r="K772">
            <v>58</v>
          </cell>
        </row>
        <row r="773">
          <cell r="A773">
            <v>44641</v>
          </cell>
        </row>
        <row r="773">
          <cell r="G773">
            <v>20</v>
          </cell>
        </row>
        <row r="773">
          <cell r="I773">
            <v>188879608</v>
          </cell>
        </row>
        <row r="773">
          <cell r="K773">
            <v>58.5</v>
          </cell>
        </row>
        <row r="774">
          <cell r="A774">
            <v>44638</v>
          </cell>
        </row>
        <row r="774">
          <cell r="G774">
            <v>150015</v>
          </cell>
        </row>
        <row r="774">
          <cell r="I774">
            <v>188879588</v>
          </cell>
        </row>
        <row r="774">
          <cell r="K774">
            <v>55.5002499750025</v>
          </cell>
        </row>
        <row r="775">
          <cell r="A775">
            <v>44637</v>
          </cell>
        </row>
        <row r="775">
          <cell r="G775">
            <v>13010</v>
          </cell>
        </row>
        <row r="775">
          <cell r="I775">
            <v>188729573</v>
          </cell>
        </row>
        <row r="775">
          <cell r="K775">
            <v>57</v>
          </cell>
        </row>
        <row r="776">
          <cell r="A776">
            <v>44636</v>
          </cell>
        </row>
        <row r="776">
          <cell r="G776">
            <v>520</v>
          </cell>
        </row>
        <row r="776">
          <cell r="I776">
            <v>188716563</v>
          </cell>
        </row>
        <row r="776">
          <cell r="K776">
            <v>57</v>
          </cell>
        </row>
        <row r="777">
          <cell r="A777">
            <v>44635</v>
          </cell>
        </row>
        <row r="777">
          <cell r="G777">
            <v>191404</v>
          </cell>
        </row>
        <row r="777">
          <cell r="I777">
            <v>188716043</v>
          </cell>
        </row>
        <row r="777">
          <cell r="K777">
            <v>55.5088864391549</v>
          </cell>
        </row>
        <row r="778">
          <cell r="A778">
            <v>44634</v>
          </cell>
        </row>
        <row r="778">
          <cell r="G778">
            <v>20</v>
          </cell>
        </row>
        <row r="778">
          <cell r="I778">
            <v>188524639</v>
          </cell>
        </row>
        <row r="778">
          <cell r="K778">
            <v>58</v>
          </cell>
        </row>
        <row r="779">
          <cell r="A779">
            <v>44631</v>
          </cell>
        </row>
        <row r="779">
          <cell r="G779">
            <v>60</v>
          </cell>
        </row>
        <row r="779">
          <cell r="I779">
            <v>188524619</v>
          </cell>
        </row>
        <row r="779">
          <cell r="K779">
            <v>57.6</v>
          </cell>
        </row>
        <row r="780">
          <cell r="A780">
            <v>44630</v>
          </cell>
        </row>
        <row r="780">
          <cell r="G780">
            <v>700</v>
          </cell>
        </row>
        <row r="780">
          <cell r="I780">
            <v>188524559</v>
          </cell>
        </row>
        <row r="780">
          <cell r="K780">
            <v>57.2571428571429</v>
          </cell>
        </row>
        <row r="781">
          <cell r="A781">
            <v>44629</v>
          </cell>
        </row>
        <row r="781">
          <cell r="G781">
            <v>80</v>
          </cell>
        </row>
        <row r="781">
          <cell r="I781">
            <v>188523859</v>
          </cell>
        </row>
        <row r="781">
          <cell r="K781">
            <v>58</v>
          </cell>
        </row>
        <row r="782">
          <cell r="A782">
            <v>44628</v>
          </cell>
        </row>
        <row r="782">
          <cell r="G782">
            <v>500</v>
          </cell>
        </row>
        <row r="782">
          <cell r="I782">
            <v>188523779</v>
          </cell>
        </row>
        <row r="782">
          <cell r="K782">
            <v>57</v>
          </cell>
        </row>
        <row r="783">
          <cell r="A783">
            <v>44627</v>
          </cell>
        </row>
        <row r="783">
          <cell r="G783">
            <v>520</v>
          </cell>
        </row>
        <row r="783">
          <cell r="I783">
            <v>188523279</v>
          </cell>
        </row>
        <row r="783">
          <cell r="K783">
            <v>57.0384615384615</v>
          </cell>
        </row>
        <row r="784">
          <cell r="A784">
            <v>44624</v>
          </cell>
        </row>
        <row r="784">
          <cell r="G784">
            <v>150</v>
          </cell>
        </row>
        <row r="784">
          <cell r="I784">
            <v>188522759</v>
          </cell>
        </row>
        <row r="784">
          <cell r="K784">
            <v>57.9</v>
          </cell>
        </row>
        <row r="785">
          <cell r="A785">
            <v>44623</v>
          </cell>
        </row>
        <row r="785">
          <cell r="G785">
            <v>20</v>
          </cell>
        </row>
        <row r="785">
          <cell r="I785">
            <v>188522609</v>
          </cell>
        </row>
        <row r="785">
          <cell r="K785">
            <v>57.9</v>
          </cell>
        </row>
        <row r="786">
          <cell r="A786">
            <v>44622</v>
          </cell>
        </row>
        <row r="786">
          <cell r="G786">
            <v>200110</v>
          </cell>
        </row>
        <row r="786">
          <cell r="I786">
            <v>188522589</v>
          </cell>
        </row>
        <row r="786">
          <cell r="K786">
            <v>56.5007695767328</v>
          </cell>
        </row>
        <row r="787">
          <cell r="A787">
            <v>44621</v>
          </cell>
        </row>
        <row r="787">
          <cell r="G787">
            <v>50</v>
          </cell>
        </row>
        <row r="787">
          <cell r="I787">
            <v>188322479</v>
          </cell>
        </row>
        <row r="787">
          <cell r="K787">
            <v>57.8</v>
          </cell>
        </row>
        <row r="788">
          <cell r="A788">
            <v>44620</v>
          </cell>
        </row>
        <row r="788">
          <cell r="G788">
            <v>118766</v>
          </cell>
        </row>
        <row r="788">
          <cell r="I788">
            <v>188322429</v>
          </cell>
        </row>
        <row r="788">
          <cell r="K788">
            <v>43.0310189784955</v>
          </cell>
        </row>
        <row r="789">
          <cell r="A789">
            <v>44617</v>
          </cell>
        </row>
        <row r="789">
          <cell r="G789">
            <v>1393635</v>
          </cell>
        </row>
        <row r="789">
          <cell r="I789">
            <v>188203663</v>
          </cell>
        </row>
        <row r="789">
          <cell r="K789">
            <v>58.9885963684896</v>
          </cell>
        </row>
        <row r="790">
          <cell r="A790">
            <v>44616</v>
          </cell>
        </row>
        <row r="790">
          <cell r="G790">
            <v>50</v>
          </cell>
        </row>
        <row r="790">
          <cell r="I790">
            <v>186810028</v>
          </cell>
        </row>
        <row r="790">
          <cell r="K790">
            <v>58</v>
          </cell>
        </row>
        <row r="791">
          <cell r="A791">
            <v>44615</v>
          </cell>
        </row>
        <row r="791">
          <cell r="G791">
            <v>5030</v>
          </cell>
        </row>
        <row r="791">
          <cell r="I791">
            <v>186809978</v>
          </cell>
        </row>
        <row r="791">
          <cell r="K791">
            <v>56.486083499006</v>
          </cell>
        </row>
        <row r="792">
          <cell r="A792">
            <v>44614</v>
          </cell>
        </row>
        <row r="792">
          <cell r="G792">
            <v>78402</v>
          </cell>
        </row>
        <row r="792">
          <cell r="I792">
            <v>186804948</v>
          </cell>
        </row>
        <row r="792">
          <cell r="K792">
            <v>56.7785770771154</v>
          </cell>
        </row>
        <row r="793">
          <cell r="A793">
            <v>44613</v>
          </cell>
        </row>
        <row r="793">
          <cell r="G793">
            <v>143</v>
          </cell>
        </row>
        <row r="793">
          <cell r="I793">
            <v>186726546</v>
          </cell>
        </row>
        <row r="793">
          <cell r="K793">
            <v>56.99</v>
          </cell>
        </row>
        <row r="794">
          <cell r="A794">
            <v>44610</v>
          </cell>
        </row>
        <row r="794">
          <cell r="G794">
            <v>60</v>
          </cell>
        </row>
        <row r="794">
          <cell r="I794">
            <v>186726403</v>
          </cell>
        </row>
        <row r="794">
          <cell r="K794">
            <v>56.88</v>
          </cell>
        </row>
        <row r="795">
          <cell r="A795">
            <v>44609</v>
          </cell>
        </row>
        <row r="795">
          <cell r="G795">
            <v>50</v>
          </cell>
        </row>
        <row r="795">
          <cell r="I795">
            <v>186726343</v>
          </cell>
        </row>
        <row r="795">
          <cell r="K795">
            <v>56.5</v>
          </cell>
        </row>
        <row r="796">
          <cell r="A796">
            <v>44608</v>
          </cell>
        </row>
        <row r="796">
          <cell r="G796">
            <v>2000</v>
          </cell>
        </row>
        <row r="796">
          <cell r="I796">
            <v>186726293</v>
          </cell>
        </row>
        <row r="796">
          <cell r="K796">
            <v>56.6</v>
          </cell>
        </row>
        <row r="797">
          <cell r="A797">
            <v>44607</v>
          </cell>
        </row>
        <row r="797">
          <cell r="G797">
            <v>20</v>
          </cell>
        </row>
        <row r="797">
          <cell r="I797">
            <v>186724293</v>
          </cell>
        </row>
        <row r="797">
          <cell r="K797">
            <v>58.4</v>
          </cell>
        </row>
        <row r="798">
          <cell r="A798">
            <v>44606</v>
          </cell>
        </row>
        <row r="798">
          <cell r="G798">
            <v>21</v>
          </cell>
        </row>
        <row r="798">
          <cell r="I798">
            <v>186724273</v>
          </cell>
        </row>
        <row r="798">
          <cell r="K798">
            <v>58.4066666666667</v>
          </cell>
        </row>
        <row r="799">
          <cell r="A799">
            <v>44603</v>
          </cell>
        </row>
        <row r="799">
          <cell r="G799">
            <v>130</v>
          </cell>
        </row>
        <row r="799">
          <cell r="I799">
            <v>186724252</v>
          </cell>
        </row>
        <row r="799">
          <cell r="K799">
            <v>56.1538461538462</v>
          </cell>
        </row>
        <row r="800">
          <cell r="A800">
            <v>44602</v>
          </cell>
        </row>
        <row r="800">
          <cell r="G800">
            <v>80</v>
          </cell>
        </row>
        <row r="800">
          <cell r="I800">
            <v>186724122</v>
          </cell>
        </row>
        <row r="800">
          <cell r="K800">
            <v>60</v>
          </cell>
        </row>
        <row r="801">
          <cell r="A801">
            <v>44601</v>
          </cell>
        </row>
        <row r="801">
          <cell r="G801">
            <v>50</v>
          </cell>
        </row>
        <row r="801">
          <cell r="I801">
            <v>186724042</v>
          </cell>
        </row>
        <row r="801">
          <cell r="K801">
            <v>58.5</v>
          </cell>
        </row>
        <row r="802">
          <cell r="A802">
            <v>44600</v>
          </cell>
        </row>
        <row r="802">
          <cell r="G802">
            <v>72148</v>
          </cell>
        </row>
        <row r="802">
          <cell r="I802">
            <v>186723992</v>
          </cell>
        </row>
        <row r="802">
          <cell r="K802">
            <v>58.5</v>
          </cell>
        </row>
        <row r="803">
          <cell r="A803">
            <v>44599</v>
          </cell>
        </row>
        <row r="803">
          <cell r="G803">
            <v>30</v>
          </cell>
        </row>
        <row r="803">
          <cell r="I803">
            <v>186651844</v>
          </cell>
        </row>
        <row r="803">
          <cell r="K803">
            <v>58.08</v>
          </cell>
        </row>
        <row r="804">
          <cell r="A804">
            <v>44589</v>
          </cell>
        </row>
        <row r="804">
          <cell r="G804">
            <v>1088</v>
          </cell>
        </row>
        <row r="804">
          <cell r="I804">
            <v>186651814</v>
          </cell>
        </row>
        <row r="804">
          <cell r="K804">
            <v>61.38</v>
          </cell>
        </row>
        <row r="805">
          <cell r="A805">
            <v>44588</v>
          </cell>
        </row>
        <row r="805">
          <cell r="G805">
            <v>60</v>
          </cell>
        </row>
        <row r="805">
          <cell r="I805">
            <v>186650726</v>
          </cell>
        </row>
        <row r="805">
          <cell r="K805">
            <v>56</v>
          </cell>
        </row>
        <row r="806">
          <cell r="A806">
            <v>44587</v>
          </cell>
        </row>
        <row r="806">
          <cell r="G806">
            <v>51</v>
          </cell>
        </row>
        <row r="806">
          <cell r="I806">
            <v>186650666</v>
          </cell>
        </row>
        <row r="806">
          <cell r="K806">
            <v>57.8835294117647</v>
          </cell>
        </row>
        <row r="807">
          <cell r="A807">
            <v>44586</v>
          </cell>
        </row>
        <row r="807">
          <cell r="G807">
            <v>151</v>
          </cell>
        </row>
        <row r="807">
          <cell r="I807">
            <v>186650615</v>
          </cell>
        </row>
        <row r="807">
          <cell r="K807">
            <v>57.8317218543046</v>
          </cell>
        </row>
        <row r="808">
          <cell r="A808">
            <v>44585</v>
          </cell>
        </row>
        <row r="808">
          <cell r="G808">
            <v>109</v>
          </cell>
        </row>
        <row r="808">
          <cell r="I808">
            <v>186650464</v>
          </cell>
        </row>
        <row r="808">
          <cell r="K808">
            <v>57.8748623853211</v>
          </cell>
        </row>
        <row r="809">
          <cell r="A809">
            <v>44582</v>
          </cell>
        </row>
        <row r="809">
          <cell r="G809">
            <v>125</v>
          </cell>
        </row>
        <row r="809">
          <cell r="I809">
            <v>186650355</v>
          </cell>
        </row>
        <row r="809">
          <cell r="K809">
            <v>57.4576</v>
          </cell>
        </row>
        <row r="810">
          <cell r="A810">
            <v>44581</v>
          </cell>
        </row>
        <row r="810">
          <cell r="G810">
            <v>197</v>
          </cell>
        </row>
        <row r="810">
          <cell r="I810">
            <v>186650230</v>
          </cell>
        </row>
        <row r="810">
          <cell r="K810">
            <v>58</v>
          </cell>
        </row>
        <row r="811">
          <cell r="A811">
            <v>44580</v>
          </cell>
        </row>
        <row r="811">
          <cell r="G811">
            <v>52695</v>
          </cell>
        </row>
        <row r="811">
          <cell r="I811">
            <v>186650033</v>
          </cell>
        </row>
        <row r="811">
          <cell r="K811">
            <v>56</v>
          </cell>
        </row>
        <row r="812">
          <cell r="A812">
            <v>44579</v>
          </cell>
        </row>
        <row r="812">
          <cell r="G812">
            <v>100</v>
          </cell>
        </row>
        <row r="812">
          <cell r="I812">
            <v>186597338</v>
          </cell>
        </row>
        <row r="812">
          <cell r="K812">
            <v>58.5</v>
          </cell>
        </row>
        <row r="813">
          <cell r="A813">
            <v>44578</v>
          </cell>
        </row>
        <row r="813">
          <cell r="G813">
            <v>731</v>
          </cell>
        </row>
        <row r="813">
          <cell r="I813">
            <v>186597238</v>
          </cell>
        </row>
        <row r="813">
          <cell r="K813">
            <v>58.4815321477428</v>
          </cell>
        </row>
        <row r="814">
          <cell r="A814">
            <v>44575</v>
          </cell>
        </row>
        <row r="814">
          <cell r="G814">
            <v>173370</v>
          </cell>
        </row>
        <row r="814">
          <cell r="I814">
            <v>186596507</v>
          </cell>
        </row>
        <row r="814">
          <cell r="K814">
            <v>57.765042394878</v>
          </cell>
        </row>
        <row r="815">
          <cell r="A815">
            <v>44574</v>
          </cell>
        </row>
        <row r="815">
          <cell r="G815">
            <v>590482</v>
          </cell>
        </row>
        <row r="815">
          <cell r="I815">
            <v>186423137</v>
          </cell>
        </row>
        <row r="815">
          <cell r="K815">
            <v>56.0161374097771</v>
          </cell>
        </row>
        <row r="816">
          <cell r="A816">
            <v>44573</v>
          </cell>
        </row>
        <row r="816">
          <cell r="G816">
            <v>500100</v>
          </cell>
        </row>
        <row r="816">
          <cell r="I816">
            <v>185832655</v>
          </cell>
        </row>
        <row r="816">
          <cell r="K816">
            <v>56.0003979204159</v>
          </cell>
        </row>
        <row r="817">
          <cell r="A817">
            <v>44572</v>
          </cell>
        </row>
        <row r="817">
          <cell r="G817">
            <v>165087</v>
          </cell>
        </row>
        <row r="817">
          <cell r="I817">
            <v>185332555</v>
          </cell>
        </row>
        <row r="817">
          <cell r="K817">
            <v>58.341916080612</v>
          </cell>
        </row>
        <row r="818">
          <cell r="A818">
            <v>44571</v>
          </cell>
        </row>
        <row r="818">
          <cell r="G818">
            <v>1794387</v>
          </cell>
        </row>
        <row r="818">
          <cell r="I818">
            <v>185167468</v>
          </cell>
        </row>
        <row r="818">
          <cell r="K818">
            <v>44.857550416939</v>
          </cell>
        </row>
        <row r="819">
          <cell r="A819">
            <v>44568</v>
          </cell>
        </row>
        <row r="819">
          <cell r="G819">
            <v>3171045</v>
          </cell>
        </row>
        <row r="819">
          <cell r="I819">
            <v>183373081</v>
          </cell>
        </row>
        <row r="819">
          <cell r="K819">
            <v>53.4222740768422</v>
          </cell>
        </row>
        <row r="820">
          <cell r="A820">
            <v>44567</v>
          </cell>
        </row>
        <row r="820">
          <cell r="G820">
            <v>341822</v>
          </cell>
        </row>
        <row r="820">
          <cell r="I820">
            <v>180202036</v>
          </cell>
        </row>
        <row r="820">
          <cell r="K820">
            <v>55.5240876830631</v>
          </cell>
        </row>
        <row r="821">
          <cell r="A821">
            <v>44566</v>
          </cell>
        </row>
        <row r="821">
          <cell r="G821">
            <v>739769</v>
          </cell>
        </row>
        <row r="821">
          <cell r="I821">
            <v>179860214</v>
          </cell>
        </row>
        <row r="821">
          <cell r="K821">
            <v>53.086302967548</v>
          </cell>
        </row>
        <row r="822">
          <cell r="A822">
            <v>44565</v>
          </cell>
        </row>
        <row r="822">
          <cell r="G822">
            <v>331095</v>
          </cell>
        </row>
        <row r="822">
          <cell r="I822">
            <v>179120445</v>
          </cell>
        </row>
        <row r="822">
          <cell r="K822">
            <v>57.0017295338196</v>
          </cell>
        </row>
        <row r="823">
          <cell r="A823">
            <v>44561</v>
          </cell>
        </row>
        <row r="823">
          <cell r="G823">
            <v>2959816</v>
          </cell>
        </row>
        <row r="823">
          <cell r="I823">
            <v>178789350</v>
          </cell>
        </row>
        <row r="823">
          <cell r="K823">
            <v>52.6563272784524</v>
          </cell>
        </row>
        <row r="824">
          <cell r="A824">
            <v>44560</v>
          </cell>
        </row>
        <row r="824">
          <cell r="G824">
            <v>10743243</v>
          </cell>
        </row>
        <row r="824">
          <cell r="I824">
            <v>175829534</v>
          </cell>
        </row>
        <row r="824">
          <cell r="K824">
            <v>53.4406038632841</v>
          </cell>
        </row>
        <row r="825">
          <cell r="A825">
            <v>44559</v>
          </cell>
        </row>
        <row r="825">
          <cell r="G825">
            <v>5884011</v>
          </cell>
        </row>
        <row r="825">
          <cell r="I825">
            <v>165086291</v>
          </cell>
        </row>
        <row r="825">
          <cell r="K825">
            <v>46.9140105023597</v>
          </cell>
        </row>
        <row r="826">
          <cell r="A826">
            <v>44558</v>
          </cell>
        </row>
        <row r="826">
          <cell r="G826">
            <v>4892844</v>
          </cell>
        </row>
        <row r="826">
          <cell r="I826">
            <v>159202280</v>
          </cell>
        </row>
        <row r="826">
          <cell r="K826">
            <v>43.5019245841478</v>
          </cell>
        </row>
        <row r="827">
          <cell r="A827">
            <v>44557</v>
          </cell>
        </row>
        <row r="827">
          <cell r="G827">
            <v>3590598</v>
          </cell>
        </row>
        <row r="827">
          <cell r="I827">
            <v>154309436</v>
          </cell>
        </row>
        <row r="827">
          <cell r="K827">
            <v>44.7319194629975</v>
          </cell>
        </row>
        <row r="828">
          <cell r="A828">
            <v>44554</v>
          </cell>
        </row>
        <row r="828">
          <cell r="G828">
            <v>3741650</v>
          </cell>
        </row>
        <row r="828">
          <cell r="I828">
            <v>150718838</v>
          </cell>
        </row>
        <row r="828">
          <cell r="K828">
            <v>46.3922197506448</v>
          </cell>
        </row>
        <row r="829">
          <cell r="A829">
            <v>44553</v>
          </cell>
        </row>
        <row r="829">
          <cell r="G829">
            <v>6623352</v>
          </cell>
        </row>
        <row r="829">
          <cell r="I829">
            <v>146977188</v>
          </cell>
        </row>
        <row r="829">
          <cell r="K829">
            <v>46.2072282871271</v>
          </cell>
        </row>
        <row r="830">
          <cell r="A830">
            <v>44552</v>
          </cell>
        </row>
        <row r="830">
          <cell r="G830">
            <v>3270603</v>
          </cell>
        </row>
        <row r="830">
          <cell r="I830">
            <v>140353836</v>
          </cell>
        </row>
        <row r="830">
          <cell r="K830">
            <v>44.7723445737682</v>
          </cell>
        </row>
        <row r="831">
          <cell r="A831">
            <v>44551</v>
          </cell>
        </row>
        <row r="831">
          <cell r="G831">
            <v>3142041</v>
          </cell>
        </row>
        <row r="831">
          <cell r="I831">
            <v>137083233</v>
          </cell>
        </row>
        <row r="831">
          <cell r="K831">
            <v>47.1458095549994</v>
          </cell>
        </row>
        <row r="832">
          <cell r="A832">
            <v>44550</v>
          </cell>
        </row>
        <row r="832">
          <cell r="G832">
            <v>3345118</v>
          </cell>
        </row>
        <row r="832">
          <cell r="I832">
            <v>133941192</v>
          </cell>
        </row>
        <row r="832">
          <cell r="K832">
            <v>45.087495601052</v>
          </cell>
        </row>
        <row r="833">
          <cell r="A833">
            <v>44547</v>
          </cell>
        </row>
        <row r="833">
          <cell r="G833">
            <v>2659951</v>
          </cell>
        </row>
        <row r="833">
          <cell r="I833">
            <v>130596074</v>
          </cell>
        </row>
        <row r="833">
          <cell r="K833">
            <v>42.7208263535682</v>
          </cell>
        </row>
        <row r="834">
          <cell r="A834">
            <v>44546</v>
          </cell>
        </row>
        <row r="834">
          <cell r="G834">
            <v>20480941</v>
          </cell>
        </row>
        <row r="834">
          <cell r="I834">
            <v>127936123</v>
          </cell>
        </row>
        <row r="834">
          <cell r="K834">
            <v>39.9013950555299</v>
          </cell>
        </row>
        <row r="835">
          <cell r="A835">
            <v>44545</v>
          </cell>
        </row>
        <row r="835">
          <cell r="G835">
            <v>7626184</v>
          </cell>
        </row>
        <row r="835">
          <cell r="I835">
            <v>107455182</v>
          </cell>
        </row>
        <row r="835">
          <cell r="K835">
            <v>37.3627654250147</v>
          </cell>
        </row>
        <row r="836">
          <cell r="A836">
            <v>44544</v>
          </cell>
        </row>
        <row r="836">
          <cell r="G836">
            <v>14880770</v>
          </cell>
        </row>
        <row r="836">
          <cell r="I836">
            <v>99828998</v>
          </cell>
        </row>
        <row r="836">
          <cell r="K836">
            <v>42.1145061055308</v>
          </cell>
        </row>
        <row r="837">
          <cell r="A837">
            <v>44543</v>
          </cell>
        </row>
        <row r="837">
          <cell r="G837">
            <v>8024074</v>
          </cell>
        </row>
        <row r="837">
          <cell r="I837">
            <v>84948228</v>
          </cell>
        </row>
        <row r="837">
          <cell r="K837">
            <v>38.8174563258016</v>
          </cell>
        </row>
        <row r="838">
          <cell r="A838">
            <v>44540</v>
          </cell>
        </row>
        <row r="838">
          <cell r="G838">
            <v>7521219</v>
          </cell>
        </row>
        <row r="838">
          <cell r="I838">
            <v>76924154</v>
          </cell>
        </row>
        <row r="838">
          <cell r="K838">
            <v>41.029353913242</v>
          </cell>
        </row>
        <row r="839">
          <cell r="A839">
            <v>44539</v>
          </cell>
        </row>
        <row r="839">
          <cell r="G839">
            <v>5956165</v>
          </cell>
        </row>
        <row r="839">
          <cell r="I839">
            <v>69402935</v>
          </cell>
        </row>
        <row r="839">
          <cell r="K839">
            <v>39.1243606783895</v>
          </cell>
        </row>
        <row r="840">
          <cell r="A840">
            <v>44538</v>
          </cell>
        </row>
        <row r="840">
          <cell r="G840">
            <v>4347077</v>
          </cell>
        </row>
        <row r="840">
          <cell r="I840">
            <v>63446770</v>
          </cell>
        </row>
        <row r="840">
          <cell r="K840">
            <v>38.7248103472747</v>
          </cell>
        </row>
        <row r="841">
          <cell r="A841">
            <v>44537</v>
          </cell>
        </row>
        <row r="841">
          <cell r="G841">
            <v>4409463</v>
          </cell>
        </row>
        <row r="841">
          <cell r="I841">
            <v>59099693</v>
          </cell>
        </row>
        <row r="841">
          <cell r="K841">
            <v>38.8252340273634</v>
          </cell>
        </row>
        <row r="842">
          <cell r="A842">
            <v>44536</v>
          </cell>
        </row>
        <row r="842">
          <cell r="G842">
            <v>3293132</v>
          </cell>
        </row>
        <row r="842">
          <cell r="I842">
            <v>54690230</v>
          </cell>
        </row>
        <row r="842">
          <cell r="K842">
            <v>41.7644630036087</v>
          </cell>
        </row>
        <row r="843">
          <cell r="A843">
            <v>44533</v>
          </cell>
        </row>
        <row r="843">
          <cell r="G843">
            <v>2926530</v>
          </cell>
        </row>
        <row r="843">
          <cell r="I843">
            <v>51397098</v>
          </cell>
        </row>
        <row r="843">
          <cell r="K843">
            <v>40.8948612999012</v>
          </cell>
        </row>
        <row r="844">
          <cell r="A844">
            <v>44532</v>
          </cell>
        </row>
        <row r="844">
          <cell r="G844">
            <v>2671136</v>
          </cell>
        </row>
        <row r="844">
          <cell r="I844">
            <v>48470568</v>
          </cell>
        </row>
        <row r="844">
          <cell r="K844">
            <v>40.7435323435422</v>
          </cell>
        </row>
        <row r="845">
          <cell r="A845">
            <v>44531</v>
          </cell>
        </row>
        <row r="845">
          <cell r="G845">
            <v>2567722</v>
          </cell>
        </row>
        <row r="845">
          <cell r="I845">
            <v>45799432</v>
          </cell>
        </row>
        <row r="845">
          <cell r="K845">
            <v>42.2297946779285</v>
          </cell>
        </row>
        <row r="846">
          <cell r="A846">
            <v>44530</v>
          </cell>
        </row>
        <row r="846">
          <cell r="G846">
            <v>3030367</v>
          </cell>
        </row>
        <row r="846">
          <cell r="I846">
            <v>43231710</v>
          </cell>
        </row>
        <row r="846">
          <cell r="K846">
            <v>41.9473445889557</v>
          </cell>
        </row>
        <row r="847">
          <cell r="A847">
            <v>44529</v>
          </cell>
        </row>
        <row r="847">
          <cell r="G847">
            <v>2973131</v>
          </cell>
        </row>
        <row r="847">
          <cell r="I847">
            <v>40201343</v>
          </cell>
        </row>
        <row r="847">
          <cell r="K847">
            <v>41.5360537157629</v>
          </cell>
        </row>
        <row r="848">
          <cell r="A848">
            <v>44526</v>
          </cell>
        </row>
        <row r="848">
          <cell r="G848">
            <v>4105442</v>
          </cell>
        </row>
        <row r="848">
          <cell r="I848">
            <v>37228212</v>
          </cell>
        </row>
        <row r="848">
          <cell r="K848">
            <v>42.367144127234</v>
          </cell>
        </row>
        <row r="849">
          <cell r="A849">
            <v>44525</v>
          </cell>
        </row>
        <row r="849">
          <cell r="G849">
            <v>747994</v>
          </cell>
        </row>
        <row r="849">
          <cell r="I849">
            <v>33122770</v>
          </cell>
        </row>
        <row r="849">
          <cell r="K849">
            <v>42.2324662363602</v>
          </cell>
        </row>
        <row r="850">
          <cell r="A850">
            <v>44524</v>
          </cell>
        </row>
        <row r="850">
          <cell r="G850">
            <v>1901228</v>
          </cell>
        </row>
        <row r="850">
          <cell r="I850">
            <v>32374776</v>
          </cell>
        </row>
        <row r="850">
          <cell r="K850">
            <v>41.895482951019</v>
          </cell>
        </row>
        <row r="851">
          <cell r="A851">
            <v>44523</v>
          </cell>
        </row>
        <row r="851">
          <cell r="G851">
            <v>178974</v>
          </cell>
        </row>
        <row r="851">
          <cell r="I851">
            <v>30473548</v>
          </cell>
        </row>
        <row r="851">
          <cell r="K851">
            <v>43.0584822376435</v>
          </cell>
        </row>
        <row r="852">
          <cell r="A852">
            <v>44522</v>
          </cell>
        </row>
        <row r="852">
          <cell r="G852">
            <v>197816</v>
          </cell>
        </row>
        <row r="852">
          <cell r="I852">
            <v>30294574</v>
          </cell>
        </row>
        <row r="852">
          <cell r="K852">
            <v>43.0469544930643</v>
          </cell>
        </row>
        <row r="853">
          <cell r="A853">
            <v>44519</v>
          </cell>
        </row>
        <row r="853">
          <cell r="G853">
            <v>1319778</v>
          </cell>
        </row>
        <row r="853">
          <cell r="I853">
            <v>30096758</v>
          </cell>
        </row>
        <row r="853">
          <cell r="K853">
            <v>30.9194432624275</v>
          </cell>
        </row>
        <row r="854">
          <cell r="A854">
            <v>44518</v>
          </cell>
        </row>
        <row r="854">
          <cell r="G854">
            <v>1360446</v>
          </cell>
        </row>
        <row r="854">
          <cell r="I854">
            <v>28776980</v>
          </cell>
        </row>
        <row r="854">
          <cell r="K854">
            <v>32.8382248468517</v>
          </cell>
        </row>
        <row r="855">
          <cell r="A855">
            <v>44517</v>
          </cell>
        </row>
        <row r="855">
          <cell r="G855">
            <v>386406</v>
          </cell>
        </row>
        <row r="855">
          <cell r="I855">
            <v>27416534</v>
          </cell>
        </row>
        <row r="855">
          <cell r="K855">
            <v>42.018407892217</v>
          </cell>
        </row>
        <row r="856">
          <cell r="A856">
            <v>44516</v>
          </cell>
        </row>
        <row r="856">
          <cell r="G856">
            <v>1789500</v>
          </cell>
        </row>
        <row r="856">
          <cell r="I856">
            <v>27030128</v>
          </cell>
        </row>
        <row r="856">
          <cell r="K856">
            <v>41.4168734283319</v>
          </cell>
        </row>
        <row r="857">
          <cell r="A857">
            <v>44515</v>
          </cell>
        </row>
        <row r="857">
          <cell r="G857">
            <v>326470</v>
          </cell>
        </row>
        <row r="857">
          <cell r="I857">
            <v>25240628</v>
          </cell>
        </row>
        <row r="857">
          <cell r="K857">
            <v>41.1561246056299</v>
          </cell>
        </row>
        <row r="858">
          <cell r="A858">
            <v>44512</v>
          </cell>
        </row>
        <row r="858">
          <cell r="G858">
            <v>1449859</v>
          </cell>
        </row>
        <row r="858">
          <cell r="I858">
            <v>24914158</v>
          </cell>
        </row>
        <row r="858">
          <cell r="K858">
            <v>41.8470080883727</v>
          </cell>
        </row>
        <row r="859">
          <cell r="A859">
            <v>44511</v>
          </cell>
        </row>
        <row r="859">
          <cell r="G859">
            <v>23884</v>
          </cell>
        </row>
        <row r="859">
          <cell r="I859">
            <v>23464299</v>
          </cell>
        </row>
        <row r="859">
          <cell r="K859">
            <v>42.4947362250879</v>
          </cell>
        </row>
        <row r="860">
          <cell r="A860">
            <v>44510</v>
          </cell>
        </row>
        <row r="860">
          <cell r="G860">
            <v>1209236</v>
          </cell>
        </row>
        <row r="860">
          <cell r="I860">
            <v>23440415</v>
          </cell>
        </row>
        <row r="860">
          <cell r="K860">
            <v>42.5953670168602</v>
          </cell>
        </row>
        <row r="861">
          <cell r="A861">
            <v>44509</v>
          </cell>
        </row>
        <row r="861">
          <cell r="G861">
            <v>28534</v>
          </cell>
        </row>
        <row r="861">
          <cell r="I861">
            <v>22231179</v>
          </cell>
        </row>
        <row r="861">
          <cell r="K861">
            <v>42.7262914417887</v>
          </cell>
        </row>
        <row r="862">
          <cell r="A862">
            <v>44508</v>
          </cell>
        </row>
        <row r="862">
          <cell r="G862">
            <v>28499</v>
          </cell>
        </row>
        <row r="862">
          <cell r="I862">
            <v>22202645</v>
          </cell>
        </row>
        <row r="862">
          <cell r="K862">
            <v>42.5828450121057</v>
          </cell>
        </row>
        <row r="863">
          <cell r="A863">
            <v>44505</v>
          </cell>
        </row>
        <row r="863">
          <cell r="G863">
            <v>33010</v>
          </cell>
        </row>
        <row r="863">
          <cell r="I863">
            <v>22174146</v>
          </cell>
        </row>
        <row r="863">
          <cell r="K863">
            <v>42.6866722205392</v>
          </cell>
        </row>
        <row r="864">
          <cell r="A864">
            <v>44504</v>
          </cell>
        </row>
        <row r="864">
          <cell r="G864">
            <v>13400</v>
          </cell>
        </row>
        <row r="864">
          <cell r="I864">
            <v>22141136</v>
          </cell>
        </row>
        <row r="864">
          <cell r="K864">
            <v>42.3344776119403</v>
          </cell>
        </row>
        <row r="865">
          <cell r="A865">
            <v>44503</v>
          </cell>
        </row>
        <row r="865">
          <cell r="G865">
            <v>7735</v>
          </cell>
        </row>
        <row r="865">
          <cell r="I865">
            <v>22127736</v>
          </cell>
        </row>
        <row r="865">
          <cell r="K865">
            <v>42.3997478991597</v>
          </cell>
        </row>
        <row r="866">
          <cell r="A866">
            <v>44502</v>
          </cell>
        </row>
        <row r="866">
          <cell r="G866">
            <v>398500</v>
          </cell>
        </row>
        <row r="866">
          <cell r="I866">
            <v>22120001</v>
          </cell>
        </row>
        <row r="866">
          <cell r="K866">
            <v>41.2822459222083</v>
          </cell>
        </row>
        <row r="867">
          <cell r="A867">
            <v>44501</v>
          </cell>
        </row>
        <row r="867">
          <cell r="G867">
            <v>1519536</v>
          </cell>
        </row>
        <row r="867">
          <cell r="I867">
            <v>21721501</v>
          </cell>
        </row>
        <row r="867">
          <cell r="K867">
            <v>41.6641650477514</v>
          </cell>
        </row>
        <row r="868">
          <cell r="A868">
            <v>44498</v>
          </cell>
        </row>
        <row r="868">
          <cell r="G868">
            <v>676823</v>
          </cell>
        </row>
        <row r="868">
          <cell r="I868">
            <v>20201965</v>
          </cell>
        </row>
        <row r="868">
          <cell r="K868">
            <v>41.3772939158391</v>
          </cell>
        </row>
        <row r="869">
          <cell r="A869">
            <v>44497</v>
          </cell>
        </row>
        <row r="869">
          <cell r="G869">
            <v>3500</v>
          </cell>
        </row>
        <row r="869">
          <cell r="I869">
            <v>19525142</v>
          </cell>
        </row>
        <row r="869">
          <cell r="K869">
            <v>42.7728571428571</v>
          </cell>
        </row>
        <row r="870">
          <cell r="A870">
            <v>44496</v>
          </cell>
        </row>
        <row r="870">
          <cell r="G870">
            <v>310635</v>
          </cell>
        </row>
        <row r="870">
          <cell r="I870">
            <v>19521642</v>
          </cell>
        </row>
        <row r="870">
          <cell r="K870">
            <v>41.8599682907592</v>
          </cell>
        </row>
        <row r="871">
          <cell r="A871">
            <v>44495</v>
          </cell>
        </row>
        <row r="871">
          <cell r="G871">
            <v>87882</v>
          </cell>
        </row>
        <row r="871">
          <cell r="I871">
            <v>19211007</v>
          </cell>
        </row>
        <row r="871">
          <cell r="K871">
            <v>42.6536150747593</v>
          </cell>
        </row>
        <row r="872">
          <cell r="A872">
            <v>44494</v>
          </cell>
        </row>
        <row r="872">
          <cell r="G872">
            <v>12501</v>
          </cell>
        </row>
        <row r="872">
          <cell r="I872">
            <v>19123125</v>
          </cell>
        </row>
        <row r="872">
          <cell r="K872">
            <v>43.2395136389089</v>
          </cell>
        </row>
        <row r="873">
          <cell r="A873">
            <v>44491</v>
          </cell>
        </row>
        <row r="873">
          <cell r="G873">
            <v>30760</v>
          </cell>
        </row>
        <row r="873">
          <cell r="I873">
            <v>19110624</v>
          </cell>
        </row>
        <row r="873">
          <cell r="K873">
            <v>42.9945968790637</v>
          </cell>
        </row>
        <row r="874">
          <cell r="A874">
            <v>44490</v>
          </cell>
        </row>
        <row r="874">
          <cell r="G874">
            <v>200200</v>
          </cell>
        </row>
        <row r="874">
          <cell r="I874">
            <v>19079864</v>
          </cell>
        </row>
        <row r="874">
          <cell r="K874">
            <v>42.1135364635365</v>
          </cell>
        </row>
        <row r="875">
          <cell r="A875">
            <v>44489</v>
          </cell>
        </row>
        <row r="875">
          <cell r="G875">
            <v>102860</v>
          </cell>
        </row>
        <row r="875">
          <cell r="I875">
            <v>18879664</v>
          </cell>
        </row>
        <row r="875">
          <cell r="K875">
            <v>41.5483375461793</v>
          </cell>
        </row>
        <row r="876">
          <cell r="A876">
            <v>44488</v>
          </cell>
        </row>
        <row r="876">
          <cell r="G876">
            <v>102028</v>
          </cell>
        </row>
        <row r="876">
          <cell r="I876">
            <v>18776804</v>
          </cell>
        </row>
        <row r="876">
          <cell r="K876">
            <v>40.0681804994707</v>
          </cell>
        </row>
        <row r="877">
          <cell r="A877">
            <v>44487</v>
          </cell>
        </row>
        <row r="877">
          <cell r="G877">
            <v>524688</v>
          </cell>
        </row>
        <row r="877">
          <cell r="I877">
            <v>18674776</v>
          </cell>
        </row>
        <row r="877">
          <cell r="K877">
            <v>41.5173012914342</v>
          </cell>
        </row>
        <row r="878">
          <cell r="A878">
            <v>44484</v>
          </cell>
        </row>
        <row r="878">
          <cell r="G878">
            <v>8200</v>
          </cell>
        </row>
        <row r="878">
          <cell r="I878">
            <v>18150088</v>
          </cell>
        </row>
        <row r="878">
          <cell r="K878">
            <v>43.8985365853659</v>
          </cell>
        </row>
        <row r="879">
          <cell r="A879">
            <v>44483</v>
          </cell>
        </row>
        <row r="879">
          <cell r="G879">
            <v>3482</v>
          </cell>
        </row>
        <row r="879">
          <cell r="I879">
            <v>18141888</v>
          </cell>
        </row>
        <row r="879">
          <cell r="K879">
            <v>43.956059735784</v>
          </cell>
        </row>
        <row r="880">
          <cell r="A880">
            <v>44482</v>
          </cell>
        </row>
        <row r="880">
          <cell r="G880">
            <v>77386</v>
          </cell>
        </row>
        <row r="880">
          <cell r="I880">
            <v>18138406</v>
          </cell>
        </row>
        <row r="880">
          <cell r="K880">
            <v>44.6834561807045</v>
          </cell>
        </row>
        <row r="881">
          <cell r="A881">
            <v>44481</v>
          </cell>
        </row>
        <row r="881">
          <cell r="G881">
            <v>404001</v>
          </cell>
        </row>
        <row r="881">
          <cell r="I881">
            <v>18061020</v>
          </cell>
        </row>
        <row r="881">
          <cell r="K881">
            <v>43.9255489714134</v>
          </cell>
        </row>
        <row r="882">
          <cell r="A882">
            <v>44480</v>
          </cell>
        </row>
        <row r="882">
          <cell r="G882">
            <v>5024</v>
          </cell>
        </row>
        <row r="882">
          <cell r="I882">
            <v>17657019</v>
          </cell>
        </row>
        <row r="882">
          <cell r="K882">
            <v>46.0271616242038</v>
          </cell>
        </row>
        <row r="883">
          <cell r="A883">
            <v>44477</v>
          </cell>
        </row>
        <row r="883">
          <cell r="G883">
            <v>3000</v>
          </cell>
        </row>
        <row r="883">
          <cell r="I883">
            <v>17651995</v>
          </cell>
        </row>
        <row r="883">
          <cell r="K883">
            <v>44.0766666666667</v>
          </cell>
        </row>
        <row r="884">
          <cell r="A884">
            <v>44469</v>
          </cell>
        </row>
        <row r="884">
          <cell r="G884">
            <v>8474383</v>
          </cell>
        </row>
        <row r="884">
          <cell r="I884">
            <v>17648995</v>
          </cell>
        </row>
        <row r="884">
          <cell r="K884">
            <v>41.7915258632988</v>
          </cell>
        </row>
        <row r="885">
          <cell r="A885">
            <v>44468</v>
          </cell>
        </row>
        <row r="885">
          <cell r="G885">
            <v>611768</v>
          </cell>
        </row>
        <row r="885">
          <cell r="I885">
            <v>9174612</v>
          </cell>
        </row>
        <row r="885">
          <cell r="K885">
            <v>41.1255050934341</v>
          </cell>
        </row>
        <row r="886">
          <cell r="A886">
            <v>44467</v>
          </cell>
        </row>
        <row r="886">
          <cell r="G886">
            <v>56000</v>
          </cell>
        </row>
        <row r="886">
          <cell r="I886">
            <v>8562844</v>
          </cell>
        </row>
        <row r="886">
          <cell r="K886">
            <v>42.2226785714286</v>
          </cell>
        </row>
        <row r="887">
          <cell r="A887">
            <v>44466</v>
          </cell>
        </row>
        <row r="887">
          <cell r="G887">
            <v>15841</v>
          </cell>
        </row>
        <row r="887">
          <cell r="I887">
            <v>8506844</v>
          </cell>
        </row>
        <row r="887">
          <cell r="K887">
            <v>43.592355280601</v>
          </cell>
        </row>
        <row r="888">
          <cell r="A888">
            <v>44463</v>
          </cell>
        </row>
        <row r="888">
          <cell r="G888">
            <v>4841</v>
          </cell>
        </row>
        <row r="888">
          <cell r="I888">
            <v>8491003</v>
          </cell>
        </row>
        <row r="888">
          <cell r="K888">
            <v>44.3590580458583</v>
          </cell>
        </row>
        <row r="889">
          <cell r="A889">
            <v>44462</v>
          </cell>
        </row>
        <row r="889">
          <cell r="G889">
            <v>2500</v>
          </cell>
        </row>
        <row r="889">
          <cell r="I889">
            <v>8486162</v>
          </cell>
        </row>
        <row r="889">
          <cell r="K889">
            <v>43.848</v>
          </cell>
        </row>
        <row r="890">
          <cell r="A890">
            <v>44461</v>
          </cell>
        </row>
        <row r="890">
          <cell r="G890">
            <v>4231</v>
          </cell>
        </row>
        <row r="890">
          <cell r="I890">
            <v>8483662</v>
          </cell>
        </row>
        <row r="890">
          <cell r="K890">
            <v>43.2370834318128</v>
          </cell>
        </row>
        <row r="891">
          <cell r="A891">
            <v>44456</v>
          </cell>
        </row>
        <row r="891">
          <cell r="G891">
            <v>21900</v>
          </cell>
        </row>
        <row r="891">
          <cell r="I891">
            <v>8479431</v>
          </cell>
        </row>
        <row r="891">
          <cell r="K891">
            <v>43.4343378995434</v>
          </cell>
        </row>
        <row r="892">
          <cell r="A892">
            <v>44455</v>
          </cell>
        </row>
        <row r="892">
          <cell r="G892">
            <v>6140</v>
          </cell>
        </row>
        <row r="892">
          <cell r="I892">
            <v>8457531</v>
          </cell>
        </row>
        <row r="892">
          <cell r="K892">
            <v>44.9397394136808</v>
          </cell>
        </row>
        <row r="893">
          <cell r="A893">
            <v>44454</v>
          </cell>
        </row>
        <row r="893">
          <cell r="G893">
            <v>50</v>
          </cell>
        </row>
        <row r="893">
          <cell r="I893">
            <v>8451391</v>
          </cell>
        </row>
        <row r="893">
          <cell r="K893">
            <v>45</v>
          </cell>
        </row>
        <row r="894">
          <cell r="A894">
            <v>44453</v>
          </cell>
        </row>
        <row r="894">
          <cell r="G894">
            <v>3950</v>
          </cell>
        </row>
        <row r="894">
          <cell r="I894">
            <v>8451341</v>
          </cell>
        </row>
        <row r="894">
          <cell r="K894">
            <v>45.5386075949367</v>
          </cell>
        </row>
        <row r="895">
          <cell r="A895">
            <v>44452</v>
          </cell>
        </row>
        <row r="895">
          <cell r="G895">
            <v>50</v>
          </cell>
        </row>
        <row r="895">
          <cell r="I895">
            <v>8447391</v>
          </cell>
        </row>
        <row r="895">
          <cell r="K895">
            <v>45.62</v>
          </cell>
        </row>
        <row r="896">
          <cell r="A896">
            <v>44449</v>
          </cell>
        </row>
        <row r="896">
          <cell r="G896">
            <v>3040</v>
          </cell>
        </row>
        <row r="896">
          <cell r="I896">
            <v>8447341</v>
          </cell>
        </row>
        <row r="896">
          <cell r="K896">
            <v>44</v>
          </cell>
        </row>
        <row r="897">
          <cell r="A897">
            <v>44448</v>
          </cell>
        </row>
        <row r="897">
          <cell r="G897">
            <v>1222</v>
          </cell>
        </row>
        <row r="897">
          <cell r="I897">
            <v>8444301</v>
          </cell>
        </row>
        <row r="897">
          <cell r="K897">
            <v>41.9853518821604</v>
          </cell>
        </row>
        <row r="898">
          <cell r="A898">
            <v>44447</v>
          </cell>
        </row>
        <row r="898">
          <cell r="G898">
            <v>40</v>
          </cell>
        </row>
        <row r="898">
          <cell r="I898">
            <v>8443079</v>
          </cell>
        </row>
        <row r="898">
          <cell r="K898">
            <v>42.9</v>
          </cell>
        </row>
        <row r="899">
          <cell r="A899">
            <v>44446</v>
          </cell>
        </row>
        <row r="899">
          <cell r="G899">
            <v>2000</v>
          </cell>
        </row>
        <row r="899">
          <cell r="I899">
            <v>8443039</v>
          </cell>
        </row>
        <row r="899">
          <cell r="K899">
            <v>43.9</v>
          </cell>
        </row>
        <row r="900">
          <cell r="A900">
            <v>44445</v>
          </cell>
        </row>
        <row r="900">
          <cell r="G900">
            <v>10</v>
          </cell>
        </row>
        <row r="900">
          <cell r="I900">
            <v>8441039</v>
          </cell>
        </row>
        <row r="900">
          <cell r="K900">
            <v>44</v>
          </cell>
        </row>
        <row r="901">
          <cell r="A901">
            <v>44442</v>
          </cell>
        </row>
        <row r="901">
          <cell r="G901">
            <v>520</v>
          </cell>
        </row>
        <row r="901">
          <cell r="I901">
            <v>8441029</v>
          </cell>
        </row>
        <row r="901">
          <cell r="K901">
            <v>44.6730769230769</v>
          </cell>
        </row>
        <row r="902">
          <cell r="A902">
            <v>44441</v>
          </cell>
        </row>
        <row r="902">
          <cell r="G902">
            <v>50</v>
          </cell>
        </row>
        <row r="902">
          <cell r="I902">
            <v>8440509</v>
          </cell>
        </row>
        <row r="902">
          <cell r="K902">
            <v>44.66</v>
          </cell>
        </row>
        <row r="903">
          <cell r="A903">
            <v>44440</v>
          </cell>
        </row>
        <row r="903">
          <cell r="G903">
            <v>30</v>
          </cell>
        </row>
        <row r="903">
          <cell r="I903">
            <v>8440459</v>
          </cell>
        </row>
        <row r="903">
          <cell r="K903">
            <v>45.1866666666667</v>
          </cell>
        </row>
        <row r="904">
          <cell r="A904">
            <v>44439</v>
          </cell>
        </row>
        <row r="904">
          <cell r="G904">
            <v>23</v>
          </cell>
        </row>
        <row r="904">
          <cell r="I904">
            <v>8440429</v>
          </cell>
        </row>
        <row r="904">
          <cell r="K904">
            <v>45.3521739130435</v>
          </cell>
        </row>
        <row r="905">
          <cell r="A905">
            <v>44438</v>
          </cell>
        </row>
        <row r="905">
          <cell r="G905">
            <v>35</v>
          </cell>
        </row>
        <row r="905">
          <cell r="I905">
            <v>8440406</v>
          </cell>
        </row>
        <row r="905">
          <cell r="K905">
            <v>45.1642857142857</v>
          </cell>
        </row>
        <row r="906">
          <cell r="A906">
            <v>44435</v>
          </cell>
        </row>
        <row r="906">
          <cell r="G906">
            <v>205101</v>
          </cell>
        </row>
        <row r="906">
          <cell r="I906">
            <v>8440371</v>
          </cell>
        </row>
        <row r="906">
          <cell r="K906">
            <v>44.0005363211296</v>
          </cell>
        </row>
        <row r="907">
          <cell r="A907">
            <v>44434</v>
          </cell>
        </row>
        <row r="907">
          <cell r="G907">
            <v>4212</v>
          </cell>
        </row>
        <row r="907">
          <cell r="I907">
            <v>8235270</v>
          </cell>
        </row>
        <row r="907">
          <cell r="K907">
            <v>47.6431623931624</v>
          </cell>
        </row>
        <row r="908">
          <cell r="A908">
            <v>44433</v>
          </cell>
        </row>
        <row r="908">
          <cell r="G908">
            <v>285210</v>
          </cell>
        </row>
        <row r="908">
          <cell r="I908">
            <v>8231058</v>
          </cell>
        </row>
        <row r="908">
          <cell r="K908">
            <v>46.1774832579503</v>
          </cell>
        </row>
        <row r="909">
          <cell r="A909">
            <v>44432</v>
          </cell>
        </row>
        <row r="909">
          <cell r="G909">
            <v>2002</v>
          </cell>
        </row>
        <row r="909">
          <cell r="I909">
            <v>7945848</v>
          </cell>
        </row>
        <row r="909">
          <cell r="K909">
            <v>50.1998001998002</v>
          </cell>
        </row>
        <row r="910">
          <cell r="A910">
            <v>44431</v>
          </cell>
        </row>
        <row r="910">
          <cell r="G910">
            <v>3002</v>
          </cell>
        </row>
        <row r="910">
          <cell r="I910">
            <v>7943846</v>
          </cell>
        </row>
        <row r="910">
          <cell r="K910">
            <v>50.199200532978</v>
          </cell>
        </row>
        <row r="911">
          <cell r="A911">
            <v>44428</v>
          </cell>
        </row>
        <row r="911">
          <cell r="G911">
            <v>908000</v>
          </cell>
        </row>
        <row r="911">
          <cell r="I911">
            <v>7940844</v>
          </cell>
        </row>
        <row r="911">
          <cell r="K911">
            <v>41.5660792951542</v>
          </cell>
        </row>
        <row r="912">
          <cell r="A912">
            <v>44427</v>
          </cell>
        </row>
        <row r="912">
          <cell r="G912">
            <v>4001</v>
          </cell>
        </row>
        <row r="912">
          <cell r="I912">
            <v>7032844</v>
          </cell>
        </row>
        <row r="912">
          <cell r="K912">
            <v>50.4878780304924</v>
          </cell>
        </row>
        <row r="913">
          <cell r="A913">
            <v>44426</v>
          </cell>
        </row>
        <row r="913">
          <cell r="G913">
            <v>3000</v>
          </cell>
        </row>
        <row r="913">
          <cell r="I913">
            <v>7028843</v>
          </cell>
        </row>
        <row r="913">
          <cell r="K913">
            <v>51.8666666666667</v>
          </cell>
        </row>
        <row r="914">
          <cell r="A914">
            <v>44425</v>
          </cell>
        </row>
        <row r="914">
          <cell r="G914">
            <v>7001</v>
          </cell>
        </row>
        <row r="914">
          <cell r="I914">
            <v>7025843</v>
          </cell>
        </row>
        <row r="914">
          <cell r="K914">
            <v>51.7571775460648</v>
          </cell>
        </row>
        <row r="915">
          <cell r="A915">
            <v>44424</v>
          </cell>
        </row>
        <row r="915">
          <cell r="G915">
            <v>500010</v>
          </cell>
        </row>
        <row r="915">
          <cell r="I915">
            <v>7018842</v>
          </cell>
        </row>
        <row r="915">
          <cell r="K915">
            <v>51.4999900002</v>
          </cell>
        </row>
        <row r="916">
          <cell r="A916">
            <v>44421</v>
          </cell>
        </row>
        <row r="916">
          <cell r="G916">
            <v>51001</v>
          </cell>
        </row>
        <row r="916">
          <cell r="I916">
            <v>6518832</v>
          </cell>
        </row>
        <row r="916">
          <cell r="K916">
            <v>54.0000280386659</v>
          </cell>
        </row>
        <row r="917">
          <cell r="A917">
            <v>44420</v>
          </cell>
        </row>
        <row r="917">
          <cell r="G917">
            <v>6001</v>
          </cell>
        </row>
        <row r="917">
          <cell r="I917">
            <v>6467831</v>
          </cell>
        </row>
        <row r="917">
          <cell r="K917">
            <v>55.4327612064656</v>
          </cell>
        </row>
        <row r="918">
          <cell r="A918">
            <v>44419</v>
          </cell>
        </row>
        <row r="918">
          <cell r="G918">
            <v>20000</v>
          </cell>
        </row>
        <row r="918">
          <cell r="I918">
            <v>6461830</v>
          </cell>
        </row>
        <row r="918">
          <cell r="K918">
            <v>55.9</v>
          </cell>
        </row>
        <row r="919">
          <cell r="A919">
            <v>44418</v>
          </cell>
        </row>
        <row r="919">
          <cell r="G919">
            <v>20000</v>
          </cell>
        </row>
        <row r="919">
          <cell r="I919">
            <v>6441830</v>
          </cell>
        </row>
        <row r="919">
          <cell r="K919">
            <v>55.32</v>
          </cell>
        </row>
        <row r="920">
          <cell r="A920">
            <v>44417</v>
          </cell>
        </row>
        <row r="920">
          <cell r="G920">
            <v>282866</v>
          </cell>
        </row>
        <row r="920">
          <cell r="I920">
            <v>6421830</v>
          </cell>
        </row>
        <row r="920">
          <cell r="K920">
            <v>50.4167214157941</v>
          </cell>
        </row>
        <row r="921">
          <cell r="A921">
            <v>44414</v>
          </cell>
        </row>
        <row r="921">
          <cell r="G921">
            <v>20000</v>
          </cell>
        </row>
        <row r="921">
          <cell r="I921">
            <v>6138964</v>
          </cell>
        </row>
        <row r="921">
          <cell r="K921">
            <v>52.96</v>
          </cell>
        </row>
        <row r="922">
          <cell r="A922">
            <v>44413</v>
          </cell>
        </row>
        <row r="922">
          <cell r="G922">
            <v>60000</v>
          </cell>
        </row>
        <row r="922">
          <cell r="I922">
            <v>6118964</v>
          </cell>
        </row>
        <row r="922">
          <cell r="K922">
            <v>54.9</v>
          </cell>
        </row>
        <row r="923">
          <cell r="A923">
            <v>44412</v>
          </cell>
        </row>
        <row r="923">
          <cell r="G923">
            <v>20000</v>
          </cell>
        </row>
        <row r="923">
          <cell r="I923">
            <v>6058964</v>
          </cell>
        </row>
        <row r="923">
          <cell r="K923">
            <v>58.7</v>
          </cell>
        </row>
        <row r="924">
          <cell r="A924">
            <v>44411</v>
          </cell>
        </row>
        <row r="924">
          <cell r="G924">
            <v>45005</v>
          </cell>
        </row>
        <row r="924">
          <cell r="I924">
            <v>6038964</v>
          </cell>
        </row>
        <row r="924">
          <cell r="K924">
            <v>53.4393956227086</v>
          </cell>
        </row>
        <row r="925">
          <cell r="A925">
            <v>44410</v>
          </cell>
        </row>
        <row r="925">
          <cell r="G925">
            <v>42022</v>
          </cell>
        </row>
        <row r="925">
          <cell r="I925">
            <v>5993959</v>
          </cell>
        </row>
        <row r="925">
          <cell r="K925">
            <v>51.9872780924278</v>
          </cell>
        </row>
        <row r="926">
          <cell r="A926">
            <v>44407</v>
          </cell>
        </row>
        <row r="926">
          <cell r="G926">
            <v>40000</v>
          </cell>
        </row>
        <row r="926">
          <cell r="I926">
            <v>5951937</v>
          </cell>
        </row>
        <row r="926">
          <cell r="K926">
            <v>54.17015</v>
          </cell>
        </row>
        <row r="927">
          <cell r="A927">
            <v>44406</v>
          </cell>
        </row>
        <row r="927">
          <cell r="G927">
            <v>84026</v>
          </cell>
        </row>
        <row r="927">
          <cell r="I927">
            <v>5911937</v>
          </cell>
        </row>
        <row r="927">
          <cell r="K927">
            <v>52.9628141289601</v>
          </cell>
        </row>
        <row r="928">
          <cell r="A928">
            <v>44405</v>
          </cell>
        </row>
        <row r="928">
          <cell r="G928">
            <v>872747</v>
          </cell>
        </row>
        <row r="928">
          <cell r="I928">
            <v>5827911</v>
          </cell>
        </row>
        <row r="928">
          <cell r="K928">
            <v>41.9400622288017</v>
          </cell>
        </row>
        <row r="929">
          <cell r="A929">
            <v>44404</v>
          </cell>
        </row>
        <row r="929">
          <cell r="G929">
            <v>74211</v>
          </cell>
        </row>
        <row r="929">
          <cell r="I929">
            <v>4955164</v>
          </cell>
        </row>
        <row r="929">
          <cell r="K929">
            <v>54.6313638139898</v>
          </cell>
        </row>
        <row r="930">
          <cell r="A930">
            <v>44403</v>
          </cell>
        </row>
        <row r="930">
          <cell r="G930">
            <v>48000</v>
          </cell>
        </row>
        <row r="930">
          <cell r="I930">
            <v>4880953</v>
          </cell>
        </row>
        <row r="930">
          <cell r="K930">
            <v>54.4629166666667</v>
          </cell>
        </row>
        <row r="931">
          <cell r="A931">
            <v>44400</v>
          </cell>
        </row>
        <row r="931">
          <cell r="G931">
            <v>112000</v>
          </cell>
        </row>
        <row r="931">
          <cell r="I931">
            <v>4832953</v>
          </cell>
        </row>
        <row r="931">
          <cell r="K931">
            <v>56.9666071428571</v>
          </cell>
        </row>
        <row r="932">
          <cell r="A932">
            <v>44399</v>
          </cell>
        </row>
        <row r="932">
          <cell r="G932">
            <v>112200</v>
          </cell>
        </row>
        <row r="932">
          <cell r="I932">
            <v>4720953</v>
          </cell>
        </row>
        <row r="932">
          <cell r="K932">
            <v>55.5177183600713</v>
          </cell>
        </row>
        <row r="933">
          <cell r="A933">
            <v>44398</v>
          </cell>
        </row>
        <row r="933">
          <cell r="G933">
            <v>212000</v>
          </cell>
        </row>
        <row r="933">
          <cell r="I933">
            <v>4608753</v>
          </cell>
        </row>
        <row r="933">
          <cell r="K933">
            <v>53.7020283018868</v>
          </cell>
        </row>
        <row r="934">
          <cell r="A934">
            <v>44397</v>
          </cell>
        </row>
        <row r="934">
          <cell r="G934">
            <v>162000</v>
          </cell>
        </row>
        <row r="934">
          <cell r="I934">
            <v>4396753</v>
          </cell>
        </row>
        <row r="934">
          <cell r="K934">
            <v>53.279487654321</v>
          </cell>
        </row>
        <row r="935">
          <cell r="A935">
            <v>44396</v>
          </cell>
        </row>
        <row r="935">
          <cell r="G935">
            <v>130800</v>
          </cell>
        </row>
        <row r="935">
          <cell r="I935">
            <v>4234753</v>
          </cell>
        </row>
        <row r="935">
          <cell r="K935">
            <v>52.3034327217125</v>
          </cell>
        </row>
        <row r="936">
          <cell r="A936">
            <v>44393</v>
          </cell>
        </row>
        <row r="936">
          <cell r="G936">
            <v>4103953</v>
          </cell>
        </row>
        <row r="936">
          <cell r="I936">
            <v>4103953</v>
          </cell>
        </row>
        <row r="936">
          <cell r="K936">
            <v>51.2262331586156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ee.gov.cn/ywgz/ydqhbh/wsqtkz/202212/P020221230799532329594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6"/>
  <sheetViews>
    <sheetView topLeftCell="A10" workbookViewId="0">
      <selection activeCell="H30" sqref="H30"/>
    </sheetView>
  </sheetViews>
  <sheetFormatPr defaultColWidth="9" defaultRowHeight="13.85" outlineLevelCol="1"/>
  <cols>
    <col min="2" max="2" width="58.8761061946903" customWidth="1"/>
  </cols>
  <sheetData>
    <row r="1" s="23" customFormat="1" spans="1:2">
      <c r="A1" s="24" t="s">
        <v>0</v>
      </c>
    </row>
    <row r="2" s="23" customFormat="1" spans="1:2">
      <c r="A2" s="24"/>
    </row>
    <row r="3" spans="1:2">
      <c r="A3" s="24" t="s">
        <v>1</v>
      </c>
      <c r="B3" s="25" t="s">
        <v>2</v>
      </c>
    </row>
    <row r="4" spans="1:2">
      <c r="A4" s="24"/>
      <c r="B4" s="26" t="s">
        <v>3</v>
      </c>
    </row>
    <row r="5" spans="1:2">
      <c r="A5" s="24"/>
      <c r="B5" s="27">
        <v>2022</v>
      </c>
    </row>
    <row r="6" spans="1:2">
      <c r="A6" s="24"/>
      <c r="B6" s="27" t="s">
        <v>4</v>
      </c>
    </row>
    <row r="7" spans="1:2">
      <c r="B7" s="26" t="s">
        <v>5</v>
      </c>
    </row>
    <row r="8" spans="1:2">
      <c r="B8" t="s">
        <v>6</v>
      </c>
    </row>
    <row r="10" spans="1:2">
      <c r="B10" s="25" t="s">
        <v>7</v>
      </c>
    </row>
    <row r="11" spans="1:2">
      <c r="B11" s="26" t="s">
        <v>8</v>
      </c>
    </row>
    <row r="12" spans="1:2">
      <c r="B12" s="26" t="s">
        <v>9</v>
      </c>
    </row>
    <row r="13" spans="1:2">
      <c r="B13" s="27">
        <v>2022</v>
      </c>
    </row>
    <row r="14" spans="1:2">
      <c r="B14" s="27" t="s">
        <v>10</v>
      </c>
    </row>
    <row r="15" spans="1:2">
      <c r="B15" s="26" t="s">
        <v>11</v>
      </c>
    </row>
    <row r="16" spans="1:2">
      <c r="B16" s="28" t="s">
        <v>12</v>
      </c>
    </row>
    <row r="18" spans="1:2">
      <c r="B18" s="25" t="s">
        <v>13</v>
      </c>
    </row>
    <row r="19" spans="1:2">
      <c r="B19" s="26" t="s">
        <v>14</v>
      </c>
    </row>
    <row r="20" spans="1:2">
      <c r="B20" s="26">
        <v>2021</v>
      </c>
    </row>
    <row r="21" spans="1:2">
      <c r="B21" s="26" t="s">
        <v>15</v>
      </c>
    </row>
    <row r="22" spans="1:2">
      <c r="B22" s="28" t="s">
        <v>16</v>
      </c>
    </row>
    <row r="24" spans="1:2">
      <c r="A24" s="24" t="s">
        <v>17</v>
      </c>
      <c r="B24" t="s">
        <v>18</v>
      </c>
    </row>
    <row r="25" spans="1:2">
      <c r="B25" t="s">
        <v>19</v>
      </c>
    </row>
    <row r="26" spans="1:2">
      <c r="B26" t="s">
        <v>20</v>
      </c>
    </row>
  </sheetData>
  <hyperlinks>
    <hyperlink ref="B16" r:id="rId1" display="https://www.mee.gov.cn/ywgz/ydqhbh/wsqtkz/202212/P020221230799532329594.pdf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5"/>
  <sheetViews>
    <sheetView topLeftCell="B1" workbookViewId="0">
      <selection activeCell="U13" sqref="U13"/>
    </sheetView>
  </sheetViews>
  <sheetFormatPr defaultColWidth="9" defaultRowHeight="13.85" outlineLevelRow="4" outlineLevelCol="7"/>
  <cols>
    <col min="2" max="2" width="21.2477876106195" customWidth="1"/>
  </cols>
  <sheetData>
    <row r="1" spans="2:8">
      <c r="C1">
        <v>2021</v>
      </c>
      <c r="D1">
        <v>2022</v>
      </c>
      <c r="E1">
        <v>2023</v>
      </c>
      <c r="F1">
        <v>202301</v>
      </c>
      <c r="G1">
        <v>202302</v>
      </c>
      <c r="H1">
        <v>2023</v>
      </c>
    </row>
    <row r="2" spans="2:8">
      <c r="B2" t="s">
        <v>21</v>
      </c>
      <c r="C2" s="21">
        <v>17900</v>
      </c>
      <c r="D2" s="21">
        <v>5088.95</v>
      </c>
      <c r="E2" s="21">
        <f>SUM(F2:H2)</f>
        <v>341.9309</v>
      </c>
      <c r="F2" s="21">
        <v>25.74</v>
      </c>
      <c r="G2" s="21">
        <v>185.4306</v>
      </c>
      <c r="H2" s="21">
        <v>130.7603</v>
      </c>
    </row>
    <row r="3" spans="2:8">
      <c r="B3" t="s">
        <v>22</v>
      </c>
      <c r="C3" s="22">
        <v>76.61</v>
      </c>
      <c r="D3" s="22">
        <v>28.14</v>
      </c>
      <c r="E3" s="21">
        <f>SUM(F3:H3)</f>
        <v>1.8689297407</v>
      </c>
      <c r="F3" s="22">
        <v>0.1434228227</v>
      </c>
      <c r="G3" s="22">
        <v>1.035958308</v>
      </c>
      <c r="H3" s="22">
        <v>0.68954861</v>
      </c>
    </row>
    <row r="4" spans="2:8">
      <c r="B4" t="s">
        <v>23</v>
      </c>
      <c r="C4" s="22">
        <f>C3/C2*10^4</f>
        <v>42.7988826815643</v>
      </c>
      <c r="D4" s="22">
        <f>D3/D2*10^4</f>
        <v>55.2962791931538</v>
      </c>
      <c r="E4" s="22">
        <f t="shared" ref="E4:H4" si="0">E3/E2*10^4</f>
        <v>54.6581119372364</v>
      </c>
      <c r="F4" s="22">
        <f t="shared" si="0"/>
        <v>55.7198223387723</v>
      </c>
      <c r="G4" s="22">
        <f t="shared" si="0"/>
        <v>55.8677105073273</v>
      </c>
      <c r="H4" s="22">
        <f t="shared" si="0"/>
        <v>52.7337892311351</v>
      </c>
    </row>
    <row r="5" spans="2:8">
      <c r="B5" t="s">
        <v>24</v>
      </c>
      <c r="C5" s="22">
        <f>C4*'Exchange Rate'!B23</f>
        <v>5.6440157008065</v>
      </c>
      <c r="D5" s="22">
        <f>D4*'Exchange Rate'!B24</f>
        <v>7.09790176343395</v>
      </c>
      <c r="E5" s="22">
        <f>E4*'Exchange Rate'!B25</f>
        <v>6.86163410343784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7:D38"/>
  <sheetViews>
    <sheetView tabSelected="1" topLeftCell="A13" workbookViewId="0">
      <selection activeCell="D25" sqref="D25"/>
    </sheetView>
  </sheetViews>
  <sheetFormatPr defaultColWidth="9" defaultRowHeight="13.85" outlineLevelCol="3"/>
  <cols>
    <col min="1" max="1" width="45.6283185840708" customWidth="1"/>
    <col min="2" max="2" width="10.5309734513274"/>
    <col min="3" max="3" width="9.53097345132743"/>
  </cols>
  <sheetData>
    <row r="27" spans="1:4">
      <c r="B27">
        <v>2022</v>
      </c>
      <c r="C27">
        <v>2025</v>
      </c>
      <c r="D27">
        <v>2030</v>
      </c>
    </row>
    <row r="28" spans="1:4">
      <c r="A28" t="s">
        <v>25</v>
      </c>
      <c r="B28">
        <v>49</v>
      </c>
      <c r="C28">
        <v>87</v>
      </c>
      <c r="D28">
        <v>139</v>
      </c>
    </row>
    <row r="29" spans="1:4">
      <c r="A29" t="s">
        <v>26</v>
      </c>
      <c r="B29">
        <f>B28*'Exchange Rate'!$B$23</f>
        <v>6.46177544860642</v>
      </c>
      <c r="C29">
        <f>C28*'Exchange Rate'!$B$27</f>
        <v>10.4464779536406</v>
      </c>
      <c r="D29">
        <f>D28*'Exchange Rate'!$B$32</f>
        <v>14.9334349200431</v>
      </c>
    </row>
    <row r="32" spans="1:4">
      <c r="B32">
        <v>2022</v>
      </c>
      <c r="C32">
        <v>2023</v>
      </c>
    </row>
    <row r="33" spans="1:3">
      <c r="A33" s="19" t="s">
        <v>27</v>
      </c>
      <c r="B33" s="19">
        <f>0.5366*87045/1000</f>
        <v>46.708347</v>
      </c>
      <c r="C33">
        <f>0.54*92908/1000</f>
        <v>50.17032</v>
      </c>
    </row>
    <row r="34" spans="1:3">
      <c r="A34" s="19" t="s">
        <v>28</v>
      </c>
      <c r="B34">
        <v>1.89</v>
      </c>
    </row>
    <row r="35" spans="1:3">
      <c r="A35" t="s">
        <v>29</v>
      </c>
      <c r="B35" s="20">
        <f>B34/B33</f>
        <v>0.0404638597037056</v>
      </c>
    </row>
    <row r="38" spans="1:3">
      <c r="A38" t="s">
        <v>30</v>
      </c>
    </row>
  </sheetData>
  <pageMargins left="0.7" right="0.7" top="0.75" bottom="0.75" header="0.3" footer="0.3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J15" sqref="J15"/>
    </sheetView>
  </sheetViews>
  <sheetFormatPr defaultColWidth="9" defaultRowHeight="13.85" outlineLevelCol="2"/>
  <cols>
    <col min="1" max="3" width="10.1238938053097" customWidth="1"/>
  </cols>
  <sheetData>
    <row r="1" ht="55.5" spans="1:3">
      <c r="A1" s="12" t="s">
        <v>31</v>
      </c>
      <c r="B1" s="13" t="s">
        <v>32</v>
      </c>
      <c r="C1" s="13" t="s">
        <v>33</v>
      </c>
    </row>
    <row r="2" spans="1:3">
      <c r="A2" s="14">
        <v>2000</v>
      </c>
      <c r="B2" s="15">
        <v>0.264027318393146</v>
      </c>
      <c r="C2" s="15">
        <v>3.78748686342738</v>
      </c>
    </row>
    <row r="3" spans="1:3">
      <c r="A3" s="14">
        <v>2001</v>
      </c>
      <c r="B3" s="15">
        <v>0.258730967526493</v>
      </c>
      <c r="C3" s="15">
        <v>3.86501859271099</v>
      </c>
    </row>
    <row r="4" spans="1:3">
      <c r="A4" s="14">
        <v>2002</v>
      </c>
      <c r="B4" s="15">
        <v>0.257182474220425</v>
      </c>
      <c r="C4" s="15">
        <v>3.88828983402238</v>
      </c>
    </row>
    <row r="5" spans="1:3">
      <c r="A5" s="14">
        <v>2003</v>
      </c>
      <c r="B5" s="15">
        <v>0.250657416210714</v>
      </c>
      <c r="C5" s="15">
        <v>3.98950892863012</v>
      </c>
    </row>
    <row r="6" spans="1:3">
      <c r="A6" s="14">
        <v>2004</v>
      </c>
      <c r="B6" s="15">
        <v>0.234364418959083</v>
      </c>
      <c r="C6" s="15">
        <v>4.26685929733466</v>
      </c>
    </row>
    <row r="7" spans="1:3">
      <c r="A7" s="14">
        <v>2005</v>
      </c>
      <c r="B7" s="15">
        <v>0.225559165944784</v>
      </c>
      <c r="C7" s="15">
        <v>4.43342657263059</v>
      </c>
    </row>
    <row r="8" spans="1:3">
      <c r="A8" s="14">
        <v>2006</v>
      </c>
      <c r="B8" s="15">
        <v>0.217037097117422</v>
      </c>
      <c r="C8" s="15">
        <v>4.60750725696896</v>
      </c>
    </row>
    <row r="9" spans="1:3">
      <c r="A9" s="14">
        <v>2007</v>
      </c>
      <c r="B9" s="15">
        <v>0.201427126315792</v>
      </c>
      <c r="C9" s="15">
        <v>4.96457462453308</v>
      </c>
    </row>
    <row r="10" spans="1:3">
      <c r="A10" s="14">
        <v>2008</v>
      </c>
      <c r="B10" s="15">
        <v>0.186860689001348</v>
      </c>
      <c r="C10" s="15">
        <v>5.35158039577165</v>
      </c>
    </row>
    <row r="11" spans="1:3">
      <c r="A11" s="14">
        <v>2009</v>
      </c>
      <c r="B11" s="15">
        <v>0.187253046603439</v>
      </c>
      <c r="C11" s="15">
        <v>5.3403670495027</v>
      </c>
    </row>
    <row r="12" spans="1:3">
      <c r="A12" s="14">
        <v>2010</v>
      </c>
      <c r="B12" s="15">
        <v>0.175197070022782</v>
      </c>
      <c r="C12" s="15">
        <v>5.70785801309328</v>
      </c>
    </row>
    <row r="13" spans="1:3">
      <c r="A13" s="14">
        <v>2011</v>
      </c>
      <c r="B13" s="15">
        <v>0.162105908361236</v>
      </c>
      <c r="C13" s="15">
        <v>6.16880661605253</v>
      </c>
    </row>
    <row r="14" spans="1:3">
      <c r="A14" s="14">
        <v>2012</v>
      </c>
      <c r="B14" s="15">
        <v>0.158412957650193</v>
      </c>
      <c r="C14" s="15">
        <v>6.31261492010141</v>
      </c>
    </row>
    <row r="15" spans="1:3">
      <c r="A15" s="14">
        <v>2013</v>
      </c>
      <c r="B15" s="15">
        <v>0.155058469203377</v>
      </c>
      <c r="C15" s="15">
        <v>6.44918013919244</v>
      </c>
    </row>
    <row r="16" spans="1:3">
      <c r="A16" s="14">
        <v>2014</v>
      </c>
      <c r="B16" s="15">
        <v>0.153476033552131</v>
      </c>
      <c r="C16" s="15">
        <v>6.51567529376063</v>
      </c>
    </row>
    <row r="17" spans="1:3">
      <c r="A17" s="14">
        <v>2015</v>
      </c>
      <c r="B17" s="15">
        <v>0.153480552163204</v>
      </c>
      <c r="C17" s="15">
        <v>6.51548346618306</v>
      </c>
    </row>
    <row r="18" spans="1:3">
      <c r="A18" s="14">
        <v>2016</v>
      </c>
      <c r="B18" s="15">
        <v>0.151350526540712</v>
      </c>
      <c r="C18" s="15">
        <v>6.60717886390048</v>
      </c>
    </row>
    <row r="19" spans="1:3">
      <c r="A19" s="14">
        <v>2017</v>
      </c>
      <c r="B19" s="15">
        <v>0.145204482579299</v>
      </c>
      <c r="C19" s="15">
        <v>6.88683973274641</v>
      </c>
    </row>
    <row r="20" spans="1:3">
      <c r="A20" s="14">
        <v>2018</v>
      </c>
      <c r="B20" s="15">
        <v>0.140294528147456</v>
      </c>
      <c r="C20" s="15">
        <v>7.12786174346697</v>
      </c>
    </row>
    <row r="21" spans="1:3">
      <c r="A21" s="14">
        <v>2019</v>
      </c>
      <c r="B21" s="15">
        <v>0.138511262027254</v>
      </c>
      <c r="C21" s="15">
        <v>7.2196295475471</v>
      </c>
    </row>
    <row r="22" spans="1:3">
      <c r="A22" s="14">
        <v>2020</v>
      </c>
      <c r="B22" s="15">
        <v>0.137650677988234</v>
      </c>
      <c r="C22" s="15">
        <v>7.26476625189943</v>
      </c>
    </row>
    <row r="23" spans="1:3">
      <c r="A23" s="16">
        <v>2021</v>
      </c>
      <c r="B23" s="15">
        <v>0.131872968338906</v>
      </c>
      <c r="C23" s="15">
        <v>7.5830552128777</v>
      </c>
    </row>
    <row r="24" spans="1:3">
      <c r="A24" s="14">
        <v>2022</v>
      </c>
      <c r="B24" s="15">
        <v>0.12836129061488</v>
      </c>
      <c r="C24" s="15">
        <v>7.79051063766788</v>
      </c>
    </row>
    <row r="25" spans="1:3">
      <c r="A25" s="17">
        <v>2023</v>
      </c>
      <c r="B25" s="15">
        <f>B24*0.978</f>
        <v>0.125537342221352</v>
      </c>
      <c r="C25" s="15">
        <f>1/B25</f>
        <v>7.96575729822892</v>
      </c>
    </row>
    <row r="26" spans="1:3">
      <c r="A26" s="18">
        <v>2024</v>
      </c>
      <c r="B26" s="15">
        <f t="shared" ref="B26:B32" si="0">B25*0.978</f>
        <v>0.122775520692483</v>
      </c>
      <c r="C26" s="15">
        <f t="shared" ref="C26:C32" si="1">1/B26</f>
        <v>8.14494611270851</v>
      </c>
    </row>
    <row r="27" spans="1:3">
      <c r="A27" s="17">
        <v>2025</v>
      </c>
      <c r="B27" s="15">
        <f t="shared" si="0"/>
        <v>0.120074459237248</v>
      </c>
      <c r="C27" s="15">
        <f t="shared" si="1"/>
        <v>8.32816575941565</v>
      </c>
    </row>
    <row r="28" spans="1:3">
      <c r="A28" s="17">
        <v>2026</v>
      </c>
      <c r="B28" s="15">
        <f t="shared" si="0"/>
        <v>0.117432821134029</v>
      </c>
      <c r="C28" s="15">
        <f t="shared" si="1"/>
        <v>8.51550691146795</v>
      </c>
    </row>
    <row r="29" spans="1:3">
      <c r="A29" s="18">
        <v>2027</v>
      </c>
      <c r="B29" s="15">
        <f t="shared" si="0"/>
        <v>0.11484929906908</v>
      </c>
      <c r="C29" s="15">
        <f t="shared" si="1"/>
        <v>8.70706228166457</v>
      </c>
    </row>
    <row r="30" spans="1:3">
      <c r="A30" s="17">
        <v>2028</v>
      </c>
      <c r="B30" s="15">
        <f t="shared" si="0"/>
        <v>0.11232261448956</v>
      </c>
      <c r="C30" s="15">
        <f t="shared" si="1"/>
        <v>8.90292666836868</v>
      </c>
    </row>
    <row r="31" spans="1:3">
      <c r="A31" s="17">
        <v>2029</v>
      </c>
      <c r="B31" s="15">
        <f t="shared" si="0"/>
        <v>0.10985151697079</v>
      </c>
      <c r="C31" s="15">
        <f t="shared" si="1"/>
        <v>9.10319700242196</v>
      </c>
    </row>
    <row r="32" spans="1:3">
      <c r="A32" s="18">
        <v>2030</v>
      </c>
      <c r="B32" s="15">
        <f t="shared" si="0"/>
        <v>0.107434783597433</v>
      </c>
      <c r="C32" s="15">
        <f t="shared" si="1"/>
        <v>9.30797239511448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36"/>
  <sheetViews>
    <sheetView zoomScale="80" zoomScaleNormal="80" workbookViewId="0">
      <selection activeCell="H13" sqref="H13"/>
    </sheetView>
  </sheetViews>
  <sheetFormatPr defaultColWidth="9" defaultRowHeight="13.85"/>
  <cols>
    <col min="2" max="9" width="15.2477876106195" style="5" customWidth="1"/>
    <col min="10" max="11" width="18" style="5" customWidth="1"/>
    <col min="12" max="12" width="12.7522123893805" style="6" customWidth="1"/>
    <col min="13" max="13" width="2.3716814159292" style="5" customWidth="1"/>
    <col min="14" max="29" width="9" style="5"/>
    <col min="30" max="30" width="2.3716814159292" style="5" customWidth="1"/>
  </cols>
  <sheetData>
    <row r="1" ht="25.5" spans="1:12">
      <c r="B1" s="7" t="s">
        <v>34</v>
      </c>
      <c r="C1" s="7" t="s">
        <v>35</v>
      </c>
      <c r="D1" s="7" t="s">
        <v>36</v>
      </c>
      <c r="E1" s="7" t="s">
        <v>37</v>
      </c>
      <c r="F1" s="7" t="s">
        <v>38</v>
      </c>
      <c r="G1" s="7" t="s">
        <v>39</v>
      </c>
      <c r="H1" s="7" t="s">
        <v>40</v>
      </c>
      <c r="I1" s="7" t="s">
        <v>41</v>
      </c>
      <c r="J1" s="7" t="s">
        <v>42</v>
      </c>
      <c r="K1" s="7" t="s">
        <v>43</v>
      </c>
      <c r="L1" s="8" t="s">
        <v>44</v>
      </c>
    </row>
    <row r="2" spans="1:12">
      <c r="A2" s="9" t="s">
        <v>45</v>
      </c>
      <c r="B2" s="7" t="s">
        <v>46</v>
      </c>
      <c r="C2" s="7" t="s">
        <v>47</v>
      </c>
      <c r="D2" s="7" t="s">
        <v>47</v>
      </c>
      <c r="E2" s="7" t="s">
        <v>47</v>
      </c>
      <c r="F2" s="7" t="s">
        <v>47</v>
      </c>
      <c r="G2" s="7" t="s">
        <v>48</v>
      </c>
      <c r="H2" s="7" t="s">
        <v>49</v>
      </c>
      <c r="I2" s="7" t="s">
        <v>50</v>
      </c>
      <c r="J2" s="7" t="s">
        <v>49</v>
      </c>
      <c r="K2" s="7" t="s">
        <v>50</v>
      </c>
      <c r="L2" s="7" t="s">
        <v>50</v>
      </c>
    </row>
    <row r="3" spans="1:12">
      <c r="A3">
        <f>YEAR(B3)</f>
        <v>2025</v>
      </c>
      <c r="B3" s="10">
        <v>45819</v>
      </c>
      <c r="C3" s="11">
        <v>68.48</v>
      </c>
      <c r="D3" s="11">
        <v>67.05</v>
      </c>
      <c r="E3" s="11">
        <v>68.64</v>
      </c>
      <c r="F3" s="11">
        <v>67.05</v>
      </c>
      <c r="G3" s="11">
        <v>1.2</v>
      </c>
      <c r="H3" s="11">
        <v>852487</v>
      </c>
      <c r="I3" s="11">
        <v>59303156</v>
      </c>
      <c r="J3" s="11">
        <v>657767583</v>
      </c>
      <c r="K3" s="11">
        <v>45108552370.83</v>
      </c>
      <c r="L3" s="6">
        <f>I3/H3</f>
        <v>69.5648801682606</v>
      </c>
    </row>
    <row r="4" spans="1:12">
      <c r="A4">
        <f t="shared" ref="A4:A67" si="0">YEAR(B4)</f>
        <v>2025</v>
      </c>
      <c r="B4" s="10">
        <v>45818</v>
      </c>
      <c r="C4" s="11">
        <v>67.67</v>
      </c>
      <c r="D4" s="11">
        <v>67.1</v>
      </c>
      <c r="E4" s="11">
        <v>67.88</v>
      </c>
      <c r="F4" s="11">
        <v>67.1</v>
      </c>
      <c r="G4" s="11">
        <v>-0.01</v>
      </c>
      <c r="H4" s="11">
        <v>1016716</v>
      </c>
      <c r="I4" s="11">
        <v>70140406</v>
      </c>
      <c r="J4" s="11">
        <v>656915096</v>
      </c>
      <c r="K4" s="11">
        <v>45049249214.83</v>
      </c>
      <c r="L4" s="6">
        <f t="shared" ref="L4:L67" si="1">I4/H4</f>
        <v>68.98721570232</v>
      </c>
    </row>
    <row r="5" spans="1:12">
      <c r="A5">
        <f t="shared" si="0"/>
        <v>2025</v>
      </c>
      <c r="B5" s="10">
        <v>45817</v>
      </c>
      <c r="C5" s="11">
        <v>67.68</v>
      </c>
      <c r="D5" s="11">
        <v>67.85</v>
      </c>
      <c r="E5" s="11">
        <v>67.85</v>
      </c>
      <c r="F5" s="11">
        <v>67.6</v>
      </c>
      <c r="G5" s="11">
        <v>-0.32</v>
      </c>
      <c r="H5" s="11">
        <v>669212</v>
      </c>
      <c r="I5" s="11">
        <v>46030628</v>
      </c>
      <c r="J5" s="11">
        <v>655898380</v>
      </c>
      <c r="K5" s="11">
        <v>44979108808.83</v>
      </c>
      <c r="L5" s="6">
        <f t="shared" si="1"/>
        <v>68.7833272565345</v>
      </c>
    </row>
    <row r="6" spans="1:12">
      <c r="A6">
        <f t="shared" si="0"/>
        <v>2025</v>
      </c>
      <c r="B6" s="10">
        <v>45814</v>
      </c>
      <c r="C6" s="11">
        <v>67.9</v>
      </c>
      <c r="D6" s="11">
        <v>67.12</v>
      </c>
      <c r="E6" s="11">
        <v>68.86</v>
      </c>
      <c r="F6" s="11">
        <v>67.12</v>
      </c>
      <c r="G6" s="11">
        <v>0.27</v>
      </c>
      <c r="H6" s="11">
        <v>1268612</v>
      </c>
      <c r="I6" s="11">
        <v>86900004.12</v>
      </c>
      <c r="J6" s="11">
        <v>655229168</v>
      </c>
      <c r="K6" s="11">
        <v>44933078180.83</v>
      </c>
      <c r="L6" s="6">
        <f t="shared" si="1"/>
        <v>68.500064732164</v>
      </c>
    </row>
    <row r="7" spans="1:12">
      <c r="A7">
        <f t="shared" si="0"/>
        <v>2025</v>
      </c>
      <c r="B7" s="10">
        <v>45813</v>
      </c>
      <c r="C7" s="11">
        <v>67.72</v>
      </c>
      <c r="D7" s="11">
        <v>68.88</v>
      </c>
      <c r="E7" s="11">
        <v>68.88</v>
      </c>
      <c r="F7" s="11">
        <v>67.41</v>
      </c>
      <c r="G7" s="11">
        <v>-0.41</v>
      </c>
      <c r="H7" s="11">
        <v>367940</v>
      </c>
      <c r="I7" s="11">
        <v>22617980</v>
      </c>
      <c r="J7" s="11">
        <v>653960556</v>
      </c>
      <c r="K7" s="11">
        <v>44846178176.71</v>
      </c>
      <c r="L7" s="6">
        <f t="shared" si="1"/>
        <v>61.471924770343</v>
      </c>
    </row>
    <row r="8" spans="1:12">
      <c r="A8">
        <f t="shared" si="0"/>
        <v>2025</v>
      </c>
      <c r="B8" s="10">
        <v>45812</v>
      </c>
      <c r="C8" s="11">
        <v>68</v>
      </c>
      <c r="D8" s="11">
        <v>68.64</v>
      </c>
      <c r="E8" s="11">
        <v>68.64</v>
      </c>
      <c r="F8" s="11">
        <v>67.92</v>
      </c>
      <c r="G8" s="11">
        <v>-0.5</v>
      </c>
      <c r="H8" s="11">
        <v>271987</v>
      </c>
      <c r="I8" s="11">
        <v>18438322.5</v>
      </c>
      <c r="J8" s="11">
        <v>653592616</v>
      </c>
      <c r="K8" s="11">
        <v>44823560196.71</v>
      </c>
      <c r="L8" s="6">
        <f t="shared" si="1"/>
        <v>67.7911903877759</v>
      </c>
    </row>
    <row r="9" spans="1:12">
      <c r="A9">
        <f t="shared" si="0"/>
        <v>2025</v>
      </c>
      <c r="B9" s="10">
        <v>45811</v>
      </c>
      <c r="C9" s="11">
        <v>68.34</v>
      </c>
      <c r="D9" s="11">
        <v>68.34</v>
      </c>
      <c r="E9" s="11">
        <v>68.36</v>
      </c>
      <c r="F9" s="11">
        <v>68.34</v>
      </c>
      <c r="G9" s="11">
        <v>-0.18</v>
      </c>
      <c r="H9" s="11">
        <v>311782</v>
      </c>
      <c r="I9" s="11">
        <v>21275385</v>
      </c>
      <c r="J9" s="11">
        <v>653320629</v>
      </c>
      <c r="K9" s="11">
        <v>44805121874.21</v>
      </c>
      <c r="L9" s="6">
        <f t="shared" si="1"/>
        <v>68.2380156647914</v>
      </c>
    </row>
    <row r="10" spans="1:12">
      <c r="A10">
        <f t="shared" si="0"/>
        <v>2025</v>
      </c>
      <c r="B10" s="10">
        <v>45807</v>
      </c>
      <c r="C10" s="11">
        <v>68.46</v>
      </c>
      <c r="D10" s="11">
        <v>67.91</v>
      </c>
      <c r="E10" s="11">
        <v>68.72</v>
      </c>
      <c r="F10" s="11">
        <v>67.91</v>
      </c>
      <c r="G10" s="11">
        <v>0.37</v>
      </c>
      <c r="H10" s="11">
        <v>658520</v>
      </c>
      <c r="I10" s="11">
        <v>45232261.2</v>
      </c>
      <c r="J10" s="11">
        <v>653008847</v>
      </c>
      <c r="K10" s="11">
        <v>44783846489.21</v>
      </c>
      <c r="L10" s="6">
        <f t="shared" si="1"/>
        <v>68.687756180526</v>
      </c>
    </row>
    <row r="11" spans="1:12">
      <c r="A11">
        <f t="shared" si="0"/>
        <v>2025</v>
      </c>
      <c r="B11" s="10">
        <v>45806</v>
      </c>
      <c r="C11" s="11">
        <v>68.21</v>
      </c>
      <c r="D11" s="11">
        <v>68.45</v>
      </c>
      <c r="E11" s="11">
        <v>68.45</v>
      </c>
      <c r="F11" s="11">
        <v>68.21</v>
      </c>
      <c r="G11" s="11">
        <v>-0.35</v>
      </c>
      <c r="H11" s="11">
        <v>308914</v>
      </c>
      <c r="I11" s="11">
        <v>20159981.1</v>
      </c>
      <c r="J11" s="11">
        <v>652350327</v>
      </c>
      <c r="K11" s="11">
        <v>44738614228.01</v>
      </c>
      <c r="L11" s="6">
        <f t="shared" si="1"/>
        <v>65.2608204872554</v>
      </c>
    </row>
    <row r="12" spans="1:12">
      <c r="A12">
        <f t="shared" si="0"/>
        <v>2025</v>
      </c>
      <c r="B12" s="10">
        <v>45805</v>
      </c>
      <c r="C12" s="11">
        <v>68.45</v>
      </c>
      <c r="D12" s="11">
        <v>68.36</v>
      </c>
      <c r="E12" s="11">
        <v>68.75</v>
      </c>
      <c r="F12" s="11">
        <v>68.35</v>
      </c>
      <c r="G12" s="11">
        <v>-0.01</v>
      </c>
      <c r="H12" s="11">
        <v>301529</v>
      </c>
      <c r="I12" s="11">
        <v>20668715.5</v>
      </c>
      <c r="J12" s="11">
        <v>652041413</v>
      </c>
      <c r="K12" s="11">
        <v>44718454246.91</v>
      </c>
      <c r="L12" s="6">
        <f t="shared" si="1"/>
        <v>68.5463603832467</v>
      </c>
    </row>
    <row r="13" spans="1:12">
      <c r="A13">
        <f t="shared" si="0"/>
        <v>2025</v>
      </c>
      <c r="B13" s="10">
        <v>45804</v>
      </c>
      <c r="C13" s="11">
        <v>68.46</v>
      </c>
      <c r="D13" s="11">
        <v>68.69</v>
      </c>
      <c r="E13" s="11">
        <v>68.93</v>
      </c>
      <c r="F13" s="11">
        <v>68.35</v>
      </c>
      <c r="G13" s="11">
        <v>-0.54</v>
      </c>
      <c r="H13" s="11">
        <v>405848</v>
      </c>
      <c r="I13" s="11">
        <v>28100031.93</v>
      </c>
      <c r="J13" s="11">
        <v>651739884</v>
      </c>
      <c r="K13" s="11">
        <v>44697785531.41</v>
      </c>
      <c r="L13" s="6">
        <f t="shared" si="1"/>
        <v>69.2378228548619</v>
      </c>
    </row>
    <row r="14" spans="1:12">
      <c r="A14">
        <f t="shared" si="0"/>
        <v>2025</v>
      </c>
      <c r="B14" s="10">
        <v>45803</v>
      </c>
      <c r="C14" s="11">
        <v>68.83</v>
      </c>
      <c r="D14" s="11">
        <v>68.91</v>
      </c>
      <c r="E14" s="11">
        <v>69.27</v>
      </c>
      <c r="F14" s="11">
        <v>68.83</v>
      </c>
      <c r="G14" s="11">
        <v>-0.84</v>
      </c>
      <c r="H14" s="11">
        <v>447516</v>
      </c>
      <c r="I14" s="11">
        <v>31496223.36</v>
      </c>
      <c r="J14" s="11">
        <v>651334036</v>
      </c>
      <c r="K14" s="11">
        <v>44669685499.48</v>
      </c>
      <c r="L14" s="6">
        <f t="shared" si="1"/>
        <v>70.3801056498539</v>
      </c>
    </row>
    <row r="15" spans="1:12">
      <c r="A15">
        <f t="shared" si="0"/>
        <v>2025</v>
      </c>
      <c r="B15" s="10">
        <v>45800</v>
      </c>
      <c r="C15" s="11">
        <v>69.41</v>
      </c>
      <c r="D15" s="11">
        <v>69.47</v>
      </c>
      <c r="E15" s="11">
        <v>69.54</v>
      </c>
      <c r="F15" s="11">
        <v>69.36</v>
      </c>
      <c r="G15" s="11">
        <v>-0.72</v>
      </c>
      <c r="H15" s="11">
        <v>576358</v>
      </c>
      <c r="I15" s="11">
        <v>41899119.3</v>
      </c>
      <c r="J15" s="11">
        <v>650886520</v>
      </c>
      <c r="K15" s="11">
        <v>44638189276.12</v>
      </c>
      <c r="L15" s="6">
        <f t="shared" si="1"/>
        <v>72.6963437655069</v>
      </c>
    </row>
    <row r="16" spans="1:12">
      <c r="A16">
        <f t="shared" si="0"/>
        <v>2025</v>
      </c>
      <c r="B16" s="10">
        <v>45799</v>
      </c>
      <c r="C16" s="11">
        <v>69.91</v>
      </c>
      <c r="D16" s="11">
        <v>70.01</v>
      </c>
      <c r="E16" s="11">
        <v>70.01</v>
      </c>
      <c r="F16" s="11">
        <v>69.88</v>
      </c>
      <c r="G16" s="11">
        <v>-0.57</v>
      </c>
      <c r="H16" s="11">
        <v>311506</v>
      </c>
      <c r="I16" s="11">
        <v>22247065</v>
      </c>
      <c r="J16" s="11">
        <v>650310162</v>
      </c>
      <c r="K16" s="11">
        <v>44596290156.82</v>
      </c>
      <c r="L16" s="6">
        <f t="shared" si="1"/>
        <v>71.41777365444</v>
      </c>
    </row>
    <row r="17" spans="1:12">
      <c r="A17">
        <f t="shared" si="0"/>
        <v>2025</v>
      </c>
      <c r="B17" s="10">
        <v>45798</v>
      </c>
      <c r="C17" s="11">
        <v>70.31</v>
      </c>
      <c r="D17" s="11">
        <v>70.51</v>
      </c>
      <c r="E17" s="11">
        <v>70.51</v>
      </c>
      <c r="F17" s="11">
        <v>70.29</v>
      </c>
      <c r="G17" s="11">
        <v>-0.04</v>
      </c>
      <c r="H17" s="11">
        <v>1139426</v>
      </c>
      <c r="I17" s="11">
        <v>81084676.7</v>
      </c>
      <c r="J17" s="11">
        <v>649998656</v>
      </c>
      <c r="K17" s="11">
        <v>44574043091.82</v>
      </c>
      <c r="L17" s="6">
        <f t="shared" si="1"/>
        <v>71.1627404500161</v>
      </c>
    </row>
    <row r="18" spans="1:12">
      <c r="A18">
        <f t="shared" si="0"/>
        <v>2025</v>
      </c>
      <c r="B18" s="10">
        <v>45797</v>
      </c>
      <c r="C18" s="11">
        <v>70.34</v>
      </c>
      <c r="D18" s="11">
        <v>70.23</v>
      </c>
      <c r="E18" s="11">
        <v>70.38</v>
      </c>
      <c r="F18" s="11">
        <v>70.23</v>
      </c>
      <c r="G18" s="11">
        <v>0.01</v>
      </c>
      <c r="H18" s="11">
        <v>846796</v>
      </c>
      <c r="I18" s="11">
        <v>57986051.27</v>
      </c>
      <c r="J18" s="11">
        <v>648859230</v>
      </c>
      <c r="K18" s="11">
        <v>44492958415.12</v>
      </c>
      <c r="L18" s="6">
        <f t="shared" si="1"/>
        <v>68.4770018634949</v>
      </c>
    </row>
    <row r="19" spans="1:12">
      <c r="A19">
        <f t="shared" si="0"/>
        <v>2025</v>
      </c>
      <c r="B19" s="10">
        <v>45796</v>
      </c>
      <c r="C19" s="11">
        <v>70.33</v>
      </c>
      <c r="D19" s="11">
        <v>70.33</v>
      </c>
      <c r="E19" s="11">
        <v>70.46</v>
      </c>
      <c r="F19" s="11">
        <v>70.3</v>
      </c>
      <c r="G19" s="11">
        <v>-0.13</v>
      </c>
      <c r="H19" s="11">
        <v>525553</v>
      </c>
      <c r="I19" s="11">
        <v>37308367.2</v>
      </c>
      <c r="J19" s="11">
        <v>648012434</v>
      </c>
      <c r="K19" s="11">
        <v>44434972363.85</v>
      </c>
      <c r="L19" s="6">
        <f t="shared" si="1"/>
        <v>70.9887817213488</v>
      </c>
    </row>
    <row r="20" spans="1:12">
      <c r="A20">
        <f t="shared" si="0"/>
        <v>2025</v>
      </c>
      <c r="B20" s="10">
        <v>45793</v>
      </c>
      <c r="C20" s="11">
        <v>70.42</v>
      </c>
      <c r="D20" s="11">
        <v>70.41</v>
      </c>
      <c r="E20" s="11">
        <v>70.44</v>
      </c>
      <c r="F20" s="11">
        <v>70.41</v>
      </c>
      <c r="G20" s="11">
        <v>0.03</v>
      </c>
      <c r="H20" s="11">
        <v>249700</v>
      </c>
      <c r="I20" s="11">
        <v>17727850</v>
      </c>
      <c r="J20" s="11">
        <v>647486881</v>
      </c>
      <c r="K20" s="11">
        <v>44397663996.65</v>
      </c>
      <c r="L20" s="6">
        <f t="shared" si="1"/>
        <v>70.9965959150981</v>
      </c>
    </row>
    <row r="21" spans="1:12">
      <c r="A21">
        <f t="shared" si="0"/>
        <v>2025</v>
      </c>
      <c r="B21" s="10">
        <v>45792</v>
      </c>
      <c r="C21" s="11">
        <v>70.4</v>
      </c>
      <c r="D21" s="11">
        <v>70.4</v>
      </c>
      <c r="E21" s="11">
        <v>70.44</v>
      </c>
      <c r="F21" s="11">
        <v>70.3</v>
      </c>
      <c r="G21" s="11">
        <v>0.06</v>
      </c>
      <c r="H21" s="11">
        <v>586041</v>
      </c>
      <c r="I21" s="11">
        <v>40689481</v>
      </c>
      <c r="J21" s="11">
        <v>647237181</v>
      </c>
      <c r="K21" s="11">
        <v>44379936146.65</v>
      </c>
      <c r="L21" s="6">
        <f t="shared" si="1"/>
        <v>69.4311165942315</v>
      </c>
    </row>
    <row r="22" spans="1:12">
      <c r="A22">
        <f t="shared" si="0"/>
        <v>2025</v>
      </c>
      <c r="B22" s="10">
        <v>45791</v>
      </c>
      <c r="C22" s="11">
        <v>70.36</v>
      </c>
      <c r="D22" s="11">
        <v>70.2</v>
      </c>
      <c r="E22" s="11">
        <v>70.52</v>
      </c>
      <c r="F22" s="11">
        <v>70.16</v>
      </c>
      <c r="G22" s="11">
        <v>0.31</v>
      </c>
      <c r="H22" s="11">
        <v>394565</v>
      </c>
      <c r="I22" s="11">
        <v>27898462.5</v>
      </c>
      <c r="J22" s="11">
        <v>646651140</v>
      </c>
      <c r="K22" s="11">
        <v>44339246665.65</v>
      </c>
      <c r="L22" s="6">
        <f t="shared" si="1"/>
        <v>70.7068860644</v>
      </c>
    </row>
    <row r="23" spans="1:12">
      <c r="A23">
        <f t="shared" si="0"/>
        <v>2025</v>
      </c>
      <c r="B23" s="10">
        <v>45790</v>
      </c>
      <c r="C23" s="11">
        <v>70.14</v>
      </c>
      <c r="D23" s="11">
        <v>70.14</v>
      </c>
      <c r="E23" s="11">
        <v>70.34</v>
      </c>
      <c r="F23" s="11">
        <v>70</v>
      </c>
      <c r="G23" s="11">
        <v>0</v>
      </c>
      <c r="H23" s="11">
        <v>2116249</v>
      </c>
      <c r="I23" s="11">
        <v>156350711.6</v>
      </c>
      <c r="J23" s="11">
        <v>646256575</v>
      </c>
      <c r="K23" s="11">
        <v>44311348203.15</v>
      </c>
      <c r="L23" s="6">
        <f t="shared" si="1"/>
        <v>73.8810563407236</v>
      </c>
    </row>
    <row r="24" spans="1:12">
      <c r="A24">
        <f t="shared" si="0"/>
        <v>2025</v>
      </c>
      <c r="B24" s="10">
        <v>45789</v>
      </c>
      <c r="C24" s="11">
        <v>70.14</v>
      </c>
      <c r="D24" s="11">
        <v>70.02</v>
      </c>
      <c r="E24" s="11">
        <v>70.24</v>
      </c>
      <c r="F24" s="11">
        <v>69.96</v>
      </c>
      <c r="G24" s="11">
        <v>0.4</v>
      </c>
      <c r="H24" s="11">
        <v>325608</v>
      </c>
      <c r="I24" s="11">
        <v>23055914</v>
      </c>
      <c r="J24" s="11">
        <v>644140326</v>
      </c>
      <c r="K24" s="11">
        <v>44154997491.55</v>
      </c>
      <c r="L24" s="6">
        <f t="shared" si="1"/>
        <v>70.8088069089212</v>
      </c>
    </row>
    <row r="25" spans="1:12">
      <c r="A25">
        <f t="shared" si="0"/>
        <v>2025</v>
      </c>
      <c r="B25" s="10">
        <v>45786</v>
      </c>
      <c r="C25" s="11">
        <v>69.86</v>
      </c>
      <c r="D25" s="11">
        <v>71.16</v>
      </c>
      <c r="E25" s="11">
        <v>71.22</v>
      </c>
      <c r="F25" s="11">
        <v>69.68</v>
      </c>
      <c r="G25" s="11">
        <v>-2.09</v>
      </c>
      <c r="H25" s="11">
        <v>256011</v>
      </c>
      <c r="I25" s="11">
        <v>17877677.57</v>
      </c>
      <c r="J25" s="11">
        <v>643814718</v>
      </c>
      <c r="K25" s="11">
        <v>44131941577.55</v>
      </c>
      <c r="L25" s="6">
        <f t="shared" si="1"/>
        <v>69.831677427923</v>
      </c>
    </row>
    <row r="26" spans="1:12">
      <c r="A26">
        <f t="shared" si="0"/>
        <v>2025</v>
      </c>
      <c r="B26" s="10">
        <v>45785</v>
      </c>
      <c r="C26" s="11">
        <v>71.35</v>
      </c>
      <c r="D26" s="11">
        <v>71.3</v>
      </c>
      <c r="E26" s="11">
        <v>71.4</v>
      </c>
      <c r="F26" s="11">
        <v>71</v>
      </c>
      <c r="G26" s="11">
        <v>0.07</v>
      </c>
      <c r="H26" s="11">
        <v>156194</v>
      </c>
      <c r="I26" s="11">
        <v>10942983</v>
      </c>
      <c r="J26" s="11">
        <v>643558707</v>
      </c>
      <c r="K26" s="11">
        <v>44114063899.98</v>
      </c>
      <c r="L26" s="6">
        <f t="shared" si="1"/>
        <v>70.0602007759581</v>
      </c>
    </row>
    <row r="27" spans="1:12">
      <c r="A27">
        <f t="shared" si="0"/>
        <v>2025</v>
      </c>
      <c r="B27" s="10">
        <v>45784</v>
      </c>
      <c r="C27" s="11">
        <v>71.3</v>
      </c>
      <c r="D27" s="11">
        <v>71.3</v>
      </c>
      <c r="E27" s="11">
        <v>71.3</v>
      </c>
      <c r="F27" s="11">
        <v>71.3</v>
      </c>
      <c r="G27" s="11">
        <v>-0.07</v>
      </c>
      <c r="H27" s="11">
        <v>310500</v>
      </c>
      <c r="I27" s="11">
        <v>21725000</v>
      </c>
      <c r="J27" s="11">
        <v>643402513</v>
      </c>
      <c r="K27" s="11">
        <v>44103120916.98</v>
      </c>
      <c r="L27" s="6">
        <f t="shared" si="1"/>
        <v>69.9677938808374</v>
      </c>
    </row>
    <row r="28" spans="1:12">
      <c r="A28">
        <f t="shared" si="0"/>
        <v>2025</v>
      </c>
      <c r="B28" s="10">
        <v>45783</v>
      </c>
      <c r="C28" s="11">
        <v>71.35</v>
      </c>
      <c r="D28" s="11">
        <v>71.46</v>
      </c>
      <c r="E28" s="11">
        <v>71.5</v>
      </c>
      <c r="F28" s="11">
        <v>71.3</v>
      </c>
      <c r="G28" s="11">
        <v>-0.15</v>
      </c>
      <c r="H28" s="11">
        <v>453746</v>
      </c>
      <c r="I28" s="11">
        <v>31764220</v>
      </c>
      <c r="J28" s="11">
        <v>643092013</v>
      </c>
      <c r="K28" s="11">
        <v>44081395916.98</v>
      </c>
      <c r="L28" s="6">
        <f t="shared" si="1"/>
        <v>70.0044077523548</v>
      </c>
    </row>
    <row r="29" spans="1:12">
      <c r="A29">
        <f t="shared" si="0"/>
        <v>2025</v>
      </c>
      <c r="B29" s="10">
        <v>45777</v>
      </c>
      <c r="C29" s="11">
        <v>71.46</v>
      </c>
      <c r="D29" s="11">
        <v>72.35</v>
      </c>
      <c r="E29" s="11">
        <v>72.35</v>
      </c>
      <c r="F29" s="11">
        <v>71.4</v>
      </c>
      <c r="G29" s="11">
        <v>-2.1</v>
      </c>
      <c r="H29" s="11">
        <v>818555</v>
      </c>
      <c r="I29" s="11">
        <v>56638177.5</v>
      </c>
      <c r="J29" s="11">
        <v>642638267</v>
      </c>
      <c r="K29" s="11">
        <v>44049631696.98</v>
      </c>
      <c r="L29" s="6">
        <f t="shared" si="1"/>
        <v>69.1928795255053</v>
      </c>
    </row>
    <row r="30" spans="1:12">
      <c r="A30">
        <f t="shared" si="0"/>
        <v>2025</v>
      </c>
      <c r="B30" s="10">
        <v>45776</v>
      </c>
      <c r="C30" s="11">
        <v>72.99</v>
      </c>
      <c r="D30" s="11">
        <v>73.03</v>
      </c>
      <c r="E30" s="11">
        <v>73.03</v>
      </c>
      <c r="F30" s="11">
        <v>72.93</v>
      </c>
      <c r="G30" s="11"/>
      <c r="H30" s="11">
        <v>465543</v>
      </c>
      <c r="I30" s="11">
        <v>34270634</v>
      </c>
      <c r="J30" s="11">
        <v>641819712</v>
      </c>
      <c r="K30" s="11">
        <v>43992993519.48</v>
      </c>
      <c r="L30" s="6">
        <f t="shared" si="1"/>
        <v>73.6143256369444</v>
      </c>
    </row>
    <row r="31" spans="1:12">
      <c r="A31">
        <f t="shared" si="0"/>
        <v>2025</v>
      </c>
      <c r="B31" s="10">
        <v>45775</v>
      </c>
      <c r="C31" s="11">
        <v>73.17</v>
      </c>
      <c r="D31" s="11">
        <v>75.75</v>
      </c>
      <c r="E31" s="11">
        <v>75.75</v>
      </c>
      <c r="F31" s="11">
        <v>73.08</v>
      </c>
      <c r="G31" s="11">
        <v>-3.42</v>
      </c>
      <c r="H31" s="11">
        <v>427000</v>
      </c>
      <c r="I31" s="11">
        <v>30756410</v>
      </c>
      <c r="J31" s="11">
        <v>641354169</v>
      </c>
      <c r="K31" s="11">
        <v>43958722885.48</v>
      </c>
      <c r="L31" s="6">
        <f t="shared" si="1"/>
        <v>72.0290632318501</v>
      </c>
    </row>
    <row r="32" spans="1:12">
      <c r="A32">
        <f t="shared" si="0"/>
        <v>2025</v>
      </c>
      <c r="B32" s="10">
        <v>45772</v>
      </c>
      <c r="C32" s="11">
        <v>75.76</v>
      </c>
      <c r="D32" s="11">
        <v>76</v>
      </c>
      <c r="E32" s="11">
        <v>76</v>
      </c>
      <c r="F32" s="11">
        <v>75.7</v>
      </c>
      <c r="G32" s="11">
        <v>-0.34</v>
      </c>
      <c r="H32" s="11">
        <v>550500</v>
      </c>
      <c r="I32" s="11">
        <v>41394885</v>
      </c>
      <c r="J32" s="11">
        <v>640927169</v>
      </c>
      <c r="K32" s="11">
        <v>43927966475.48</v>
      </c>
      <c r="L32" s="6">
        <f t="shared" si="1"/>
        <v>75.195068119891</v>
      </c>
    </row>
    <row r="33" spans="1:12">
      <c r="A33">
        <f t="shared" si="0"/>
        <v>2025</v>
      </c>
      <c r="B33" s="10">
        <v>45771</v>
      </c>
      <c r="C33" s="11">
        <v>76.02</v>
      </c>
      <c r="D33" s="11">
        <v>76.5</v>
      </c>
      <c r="E33" s="11">
        <v>76.63</v>
      </c>
      <c r="F33" s="11">
        <v>76</v>
      </c>
      <c r="G33" s="11">
        <v>-1.14</v>
      </c>
      <c r="H33" s="11">
        <v>232778</v>
      </c>
      <c r="I33" s="11">
        <v>17695428</v>
      </c>
      <c r="J33" s="11">
        <v>640376669</v>
      </c>
      <c r="K33" s="11">
        <v>43886571590.48</v>
      </c>
      <c r="L33" s="6">
        <f t="shared" si="1"/>
        <v>76.0184725360644</v>
      </c>
    </row>
    <row r="34" spans="1:12">
      <c r="A34">
        <f t="shared" si="0"/>
        <v>2025</v>
      </c>
      <c r="B34" s="10">
        <v>45770</v>
      </c>
      <c r="C34" s="11">
        <v>76.9</v>
      </c>
      <c r="D34" s="11">
        <v>77</v>
      </c>
      <c r="E34" s="11">
        <v>77</v>
      </c>
      <c r="F34" s="11">
        <v>76.75</v>
      </c>
      <c r="G34" s="11">
        <v>0.07</v>
      </c>
      <c r="H34" s="11">
        <v>116510</v>
      </c>
      <c r="I34" s="11">
        <v>9039304</v>
      </c>
      <c r="J34" s="11">
        <v>640143891</v>
      </c>
      <c r="K34" s="11">
        <v>43868876162.48</v>
      </c>
      <c r="L34" s="6">
        <f t="shared" si="1"/>
        <v>77.5839327096387</v>
      </c>
    </row>
    <row r="35" spans="1:12">
      <c r="A35">
        <f t="shared" si="0"/>
        <v>2025</v>
      </c>
      <c r="B35" s="10">
        <v>45769</v>
      </c>
      <c r="C35" s="11">
        <v>76.85</v>
      </c>
      <c r="D35" s="11">
        <v>77.4</v>
      </c>
      <c r="E35" s="11">
        <v>77.59</v>
      </c>
      <c r="F35" s="11">
        <v>76.78</v>
      </c>
      <c r="G35" s="11">
        <v>-3.07</v>
      </c>
      <c r="H35" s="11">
        <v>548357</v>
      </c>
      <c r="I35" s="11">
        <v>44216682</v>
      </c>
      <c r="J35" s="11">
        <v>640027381</v>
      </c>
      <c r="K35" s="11">
        <v>43859836858.48</v>
      </c>
      <c r="L35" s="6">
        <f t="shared" si="1"/>
        <v>80.6348455476998</v>
      </c>
    </row>
    <row r="36" spans="1:12">
      <c r="A36">
        <f t="shared" si="0"/>
        <v>2025</v>
      </c>
      <c r="B36" s="10">
        <v>45768</v>
      </c>
      <c r="C36" s="11">
        <v>79.28</v>
      </c>
      <c r="D36" s="11">
        <v>80.6</v>
      </c>
      <c r="E36" s="11">
        <v>80.6</v>
      </c>
      <c r="F36" s="11">
        <v>79.13</v>
      </c>
      <c r="G36" s="11">
        <v>-1.37</v>
      </c>
      <c r="H36" s="11">
        <v>166000</v>
      </c>
      <c r="I36" s="11">
        <v>13095900</v>
      </c>
      <c r="J36" s="11">
        <v>639479024</v>
      </c>
      <c r="K36" s="11">
        <v>43815620176.48</v>
      </c>
      <c r="L36" s="6">
        <f t="shared" si="1"/>
        <v>78.8909638554217</v>
      </c>
    </row>
    <row r="37" spans="1:12">
      <c r="A37">
        <f t="shared" si="0"/>
        <v>2025</v>
      </c>
      <c r="B37" s="10">
        <v>45765</v>
      </c>
      <c r="C37" s="11">
        <v>80.38</v>
      </c>
      <c r="D37" s="11">
        <v>80.99</v>
      </c>
      <c r="E37" s="11">
        <v>80.99</v>
      </c>
      <c r="F37" s="11">
        <v>80.25</v>
      </c>
      <c r="G37" s="11">
        <v>-0.89</v>
      </c>
      <c r="H37" s="11">
        <v>552500</v>
      </c>
      <c r="I37" s="11">
        <v>46877965</v>
      </c>
      <c r="J37" s="11">
        <v>639313024</v>
      </c>
      <c r="K37" s="11">
        <v>43802524276.48</v>
      </c>
      <c r="L37" s="6">
        <f t="shared" si="1"/>
        <v>84.8469954751131</v>
      </c>
    </row>
    <row r="38" spans="1:12">
      <c r="A38">
        <f t="shared" si="0"/>
        <v>2025</v>
      </c>
      <c r="B38" s="10">
        <v>45764</v>
      </c>
      <c r="C38" s="11">
        <v>81.1</v>
      </c>
      <c r="D38" s="11">
        <v>83.46</v>
      </c>
      <c r="E38" s="11">
        <v>83.49</v>
      </c>
      <c r="F38" s="11">
        <v>80.99</v>
      </c>
      <c r="G38" s="11">
        <v>-2.87</v>
      </c>
      <c r="H38" s="11">
        <v>227284</v>
      </c>
      <c r="I38" s="11">
        <v>18339673</v>
      </c>
      <c r="J38" s="11">
        <v>638760524</v>
      </c>
      <c r="K38" s="11">
        <v>43755646311.48</v>
      </c>
      <c r="L38" s="6">
        <f t="shared" si="1"/>
        <v>80.6905589482762</v>
      </c>
    </row>
    <row r="39" spans="1:12">
      <c r="A39">
        <f t="shared" si="0"/>
        <v>2025</v>
      </c>
      <c r="B39" s="10">
        <v>45763</v>
      </c>
      <c r="C39" s="11">
        <v>83.5</v>
      </c>
      <c r="D39" s="11">
        <v>83.49</v>
      </c>
      <c r="E39" s="11">
        <v>83.52</v>
      </c>
      <c r="F39" s="11">
        <v>83.44</v>
      </c>
      <c r="G39" s="11">
        <v>-0.19</v>
      </c>
      <c r="H39" s="11">
        <v>97789</v>
      </c>
      <c r="I39" s="11">
        <v>8024576.9</v>
      </c>
      <c r="J39" s="11">
        <v>638533240</v>
      </c>
      <c r="K39" s="11">
        <v>43737306638.48</v>
      </c>
      <c r="L39" s="6">
        <f t="shared" si="1"/>
        <v>82.060118213705</v>
      </c>
    </row>
    <row r="40" spans="1:12">
      <c r="A40">
        <f t="shared" si="0"/>
        <v>2025</v>
      </c>
      <c r="B40" s="10">
        <v>45762</v>
      </c>
      <c r="C40" s="11">
        <v>83.66</v>
      </c>
      <c r="D40" s="11">
        <v>83.74</v>
      </c>
      <c r="E40" s="11">
        <v>83.74</v>
      </c>
      <c r="F40" s="11">
        <v>83.59</v>
      </c>
      <c r="G40" s="11">
        <v>0</v>
      </c>
      <c r="H40" s="11">
        <v>458650</v>
      </c>
      <c r="I40" s="11">
        <v>37838950</v>
      </c>
      <c r="J40" s="11">
        <v>638435451</v>
      </c>
      <c r="K40" s="11">
        <v>43729282061.58</v>
      </c>
      <c r="L40" s="6">
        <f t="shared" si="1"/>
        <v>82.50070860133</v>
      </c>
    </row>
    <row r="41" spans="1:12">
      <c r="A41">
        <f t="shared" si="0"/>
        <v>2025</v>
      </c>
      <c r="B41" s="10">
        <v>45761</v>
      </c>
      <c r="C41" s="11">
        <v>83.66</v>
      </c>
      <c r="D41" s="11">
        <v>85.3</v>
      </c>
      <c r="E41" s="11">
        <v>85.38</v>
      </c>
      <c r="F41" s="11">
        <v>83.63</v>
      </c>
      <c r="G41" s="11">
        <v>-1.95</v>
      </c>
      <c r="H41" s="11">
        <v>162649</v>
      </c>
      <c r="I41" s="11">
        <v>13060807.4</v>
      </c>
      <c r="J41" s="11">
        <v>637976801</v>
      </c>
      <c r="K41" s="11">
        <v>43691443111.58</v>
      </c>
      <c r="L41" s="6">
        <f t="shared" si="1"/>
        <v>80.3005699389483</v>
      </c>
    </row>
    <row r="42" spans="1:12">
      <c r="A42">
        <f t="shared" si="0"/>
        <v>2025</v>
      </c>
      <c r="B42" s="10">
        <v>45758</v>
      </c>
      <c r="C42" s="11">
        <v>85.32</v>
      </c>
      <c r="D42" s="11">
        <v>85.38</v>
      </c>
      <c r="E42" s="11">
        <v>85.38</v>
      </c>
      <c r="F42" s="11">
        <v>85.3</v>
      </c>
      <c r="G42" s="11">
        <v>-0.09</v>
      </c>
      <c r="H42" s="11">
        <v>26700</v>
      </c>
      <c r="I42" s="11">
        <v>2210100</v>
      </c>
      <c r="J42" s="11">
        <v>637814152</v>
      </c>
      <c r="K42" s="11">
        <v>43678382304.18</v>
      </c>
      <c r="L42" s="6">
        <f t="shared" si="1"/>
        <v>82.7752808988764</v>
      </c>
    </row>
    <row r="43" spans="1:12">
      <c r="A43">
        <f t="shared" si="0"/>
        <v>2025</v>
      </c>
      <c r="B43" s="10">
        <v>45757</v>
      </c>
      <c r="C43" s="11">
        <v>85.4</v>
      </c>
      <c r="D43" s="11">
        <v>85.4</v>
      </c>
      <c r="E43" s="11">
        <v>85.62</v>
      </c>
      <c r="F43" s="11">
        <v>85.38</v>
      </c>
      <c r="G43" s="11">
        <v>-0.12</v>
      </c>
      <c r="H43" s="11">
        <v>303926</v>
      </c>
      <c r="I43" s="11">
        <v>24924922</v>
      </c>
      <c r="J43" s="11">
        <v>637787452</v>
      </c>
      <c r="K43" s="11">
        <v>43676172204.18</v>
      </c>
      <c r="L43" s="6">
        <f t="shared" si="1"/>
        <v>82.0098379210729</v>
      </c>
    </row>
    <row r="44" spans="1:12">
      <c r="A44">
        <f t="shared" si="0"/>
        <v>2025</v>
      </c>
      <c r="B44" s="10">
        <v>45756</v>
      </c>
      <c r="C44" s="11">
        <v>85.5</v>
      </c>
      <c r="D44" s="11">
        <v>85.5</v>
      </c>
      <c r="E44" s="11">
        <v>85.5</v>
      </c>
      <c r="F44" s="11">
        <v>85.5</v>
      </c>
      <c r="G44" s="11">
        <v>0</v>
      </c>
      <c r="H44" s="11">
        <v>1000</v>
      </c>
      <c r="I44" s="11">
        <v>83500</v>
      </c>
      <c r="J44" s="11">
        <v>637483526</v>
      </c>
      <c r="K44" s="11">
        <v>43651247282.18</v>
      </c>
      <c r="L44" s="6">
        <f t="shared" si="1"/>
        <v>83.5</v>
      </c>
    </row>
    <row r="45" spans="1:12">
      <c r="A45">
        <f t="shared" si="0"/>
        <v>2025</v>
      </c>
      <c r="B45" s="10">
        <v>45755</v>
      </c>
      <c r="C45" s="11">
        <v>85.5</v>
      </c>
      <c r="D45" s="11">
        <v>85.43</v>
      </c>
      <c r="E45" s="11">
        <v>85.5</v>
      </c>
      <c r="F45" s="11">
        <v>85.43</v>
      </c>
      <c r="G45" s="11">
        <v>0.09</v>
      </c>
      <c r="H45" s="11">
        <v>21083</v>
      </c>
      <c r="I45" s="11">
        <v>1760105.6</v>
      </c>
      <c r="J45" s="11">
        <v>637482526</v>
      </c>
      <c r="K45" s="11">
        <v>43651163782.18</v>
      </c>
      <c r="L45" s="6">
        <f t="shared" si="1"/>
        <v>83.4845894796756</v>
      </c>
    </row>
    <row r="46" spans="1:12">
      <c r="A46">
        <f t="shared" si="0"/>
        <v>2025</v>
      </c>
      <c r="B46" s="10">
        <v>45754</v>
      </c>
      <c r="C46" s="11">
        <v>85.42</v>
      </c>
      <c r="D46" s="11">
        <v>85.48</v>
      </c>
      <c r="E46" s="11">
        <v>85.48</v>
      </c>
      <c r="F46" s="11">
        <v>85.38</v>
      </c>
      <c r="G46" s="11">
        <v>0.02</v>
      </c>
      <c r="H46" s="11">
        <v>4600</v>
      </c>
      <c r="I46" s="11">
        <v>382680</v>
      </c>
      <c r="J46" s="11">
        <v>637461443</v>
      </c>
      <c r="K46" s="11">
        <v>43649403676.58</v>
      </c>
      <c r="L46" s="6">
        <f t="shared" si="1"/>
        <v>83.1913043478261</v>
      </c>
    </row>
    <row r="47" spans="1:12">
      <c r="A47">
        <f t="shared" si="0"/>
        <v>2025</v>
      </c>
      <c r="B47" s="10">
        <v>45750</v>
      </c>
      <c r="C47" s="11">
        <v>85.4</v>
      </c>
      <c r="D47" s="11">
        <v>85.4</v>
      </c>
      <c r="E47" s="11">
        <v>85.4</v>
      </c>
      <c r="F47" s="11">
        <v>85.4</v>
      </c>
      <c r="G47" s="11">
        <v>-0.04</v>
      </c>
      <c r="H47" s="11">
        <v>273489</v>
      </c>
      <c r="I47" s="11">
        <v>19297318</v>
      </c>
      <c r="J47" s="11">
        <v>637456843</v>
      </c>
      <c r="K47" s="11">
        <v>43649020996.58</v>
      </c>
      <c r="L47" s="6">
        <f t="shared" si="1"/>
        <v>70.5597592590561</v>
      </c>
    </row>
    <row r="48" spans="1:12">
      <c r="A48">
        <f t="shared" si="0"/>
        <v>2025</v>
      </c>
      <c r="B48" s="10">
        <v>45749</v>
      </c>
      <c r="C48" s="11">
        <v>85.43</v>
      </c>
      <c r="D48" s="11">
        <v>85.45</v>
      </c>
      <c r="E48" s="11">
        <v>85.45</v>
      </c>
      <c r="F48" s="11">
        <v>85.4</v>
      </c>
      <c r="G48" s="11">
        <v>-0.09</v>
      </c>
      <c r="H48" s="11">
        <v>250000</v>
      </c>
      <c r="I48" s="11">
        <v>20061000</v>
      </c>
      <c r="J48" s="11">
        <v>637183354</v>
      </c>
      <c r="K48" s="11">
        <v>43629723678.58</v>
      </c>
      <c r="L48" s="6">
        <f t="shared" si="1"/>
        <v>80.244</v>
      </c>
    </row>
    <row r="49" spans="1:12">
      <c r="A49">
        <f t="shared" si="0"/>
        <v>2025</v>
      </c>
      <c r="B49" s="10">
        <v>45748</v>
      </c>
      <c r="C49" s="11">
        <v>85.51</v>
      </c>
      <c r="D49" s="11">
        <v>86.25</v>
      </c>
      <c r="E49" s="11">
        <v>86.25</v>
      </c>
      <c r="F49" s="11">
        <v>85.5</v>
      </c>
      <c r="G49" s="11">
        <v>-0.72</v>
      </c>
      <c r="H49" s="11">
        <v>201100</v>
      </c>
      <c r="I49" s="11">
        <v>16893439</v>
      </c>
      <c r="J49" s="11">
        <v>636933354</v>
      </c>
      <c r="K49" s="11">
        <v>43609662678.58</v>
      </c>
      <c r="L49" s="6">
        <f t="shared" si="1"/>
        <v>84.0051665837892</v>
      </c>
    </row>
    <row r="50" spans="1:12">
      <c r="A50">
        <f t="shared" si="0"/>
        <v>2025</v>
      </c>
      <c r="B50" s="10">
        <v>45747</v>
      </c>
      <c r="C50" s="11">
        <v>86.13</v>
      </c>
      <c r="D50" s="11">
        <v>86.13</v>
      </c>
      <c r="E50" s="11">
        <v>86.13</v>
      </c>
      <c r="F50" s="11">
        <v>86.13</v>
      </c>
      <c r="G50" s="11">
        <v>0</v>
      </c>
      <c r="H50" s="11">
        <v>1010000</v>
      </c>
      <c r="I50" s="11">
        <v>76840000</v>
      </c>
      <c r="J50" s="11">
        <v>636732254</v>
      </c>
      <c r="K50" s="11">
        <v>43592769239.58</v>
      </c>
      <c r="L50" s="6">
        <f t="shared" si="1"/>
        <v>76.0792079207921</v>
      </c>
    </row>
    <row r="51" spans="1:12">
      <c r="A51">
        <f t="shared" si="0"/>
        <v>2025</v>
      </c>
      <c r="B51" s="10">
        <v>45744</v>
      </c>
      <c r="C51" s="11">
        <v>86.13</v>
      </c>
      <c r="D51" s="11">
        <v>86.13</v>
      </c>
      <c r="E51" s="11">
        <v>86.13</v>
      </c>
      <c r="F51" s="11">
        <v>86.13</v>
      </c>
      <c r="G51" s="11">
        <v>0</v>
      </c>
      <c r="H51" s="11">
        <v>140500</v>
      </c>
      <c r="I51" s="11">
        <v>11802000</v>
      </c>
      <c r="J51" s="11">
        <v>635722254</v>
      </c>
      <c r="K51" s="11">
        <v>43515929239.58</v>
      </c>
      <c r="L51" s="6">
        <f t="shared" si="1"/>
        <v>84</v>
      </c>
    </row>
    <row r="52" spans="1:12">
      <c r="A52">
        <f t="shared" si="0"/>
        <v>2025</v>
      </c>
      <c r="B52" s="10">
        <v>45743</v>
      </c>
      <c r="C52" s="11">
        <v>86.13</v>
      </c>
      <c r="D52" s="11">
        <v>86.12</v>
      </c>
      <c r="E52" s="11">
        <v>86.38</v>
      </c>
      <c r="F52" s="11">
        <v>86</v>
      </c>
      <c r="G52" s="11">
        <v>0.44</v>
      </c>
      <c r="H52" s="11">
        <v>300487</v>
      </c>
      <c r="I52" s="11">
        <v>23977926</v>
      </c>
      <c r="J52" s="11">
        <v>635581754</v>
      </c>
      <c r="K52" s="11">
        <v>43504127239.58</v>
      </c>
      <c r="L52" s="6">
        <f t="shared" si="1"/>
        <v>79.7968830598329</v>
      </c>
    </row>
    <row r="53" spans="1:12">
      <c r="A53">
        <f t="shared" si="0"/>
        <v>2025</v>
      </c>
      <c r="B53" s="10">
        <v>45742</v>
      </c>
      <c r="C53" s="11">
        <v>85.75</v>
      </c>
      <c r="D53" s="11">
        <v>86.82</v>
      </c>
      <c r="E53" s="11">
        <v>86.82</v>
      </c>
      <c r="F53" s="11">
        <v>85.58</v>
      </c>
      <c r="G53" s="11">
        <v>-1.66</v>
      </c>
      <c r="H53" s="11">
        <v>407821</v>
      </c>
      <c r="I53" s="11">
        <v>34856982.5</v>
      </c>
      <c r="J53" s="11">
        <v>635281267</v>
      </c>
      <c r="K53" s="11">
        <v>43480149313.58</v>
      </c>
      <c r="L53" s="6">
        <f t="shared" si="1"/>
        <v>85.4712790660608</v>
      </c>
    </row>
    <row r="54" spans="1:12">
      <c r="A54">
        <f t="shared" si="0"/>
        <v>2025</v>
      </c>
      <c r="B54" s="10">
        <v>45741</v>
      </c>
      <c r="C54" s="11">
        <v>87.2</v>
      </c>
      <c r="D54" s="11">
        <v>86.87</v>
      </c>
      <c r="E54" s="11">
        <v>87.67</v>
      </c>
      <c r="F54" s="11">
        <v>86.87</v>
      </c>
      <c r="G54" s="11">
        <v>-0.62</v>
      </c>
      <c r="H54" s="11">
        <v>207123</v>
      </c>
      <c r="I54" s="11">
        <v>17433086</v>
      </c>
      <c r="J54" s="11">
        <v>634873446</v>
      </c>
      <c r="K54" s="11">
        <v>43445292331.08</v>
      </c>
      <c r="L54" s="6">
        <f t="shared" si="1"/>
        <v>84.167794016116</v>
      </c>
    </row>
    <row r="55" spans="1:12">
      <c r="A55">
        <f t="shared" si="0"/>
        <v>2025</v>
      </c>
      <c r="B55" s="10">
        <v>45740</v>
      </c>
      <c r="C55" s="11">
        <v>87.74</v>
      </c>
      <c r="D55" s="11">
        <v>88.25</v>
      </c>
      <c r="E55" s="11">
        <v>88.25</v>
      </c>
      <c r="F55" s="11">
        <v>87.62</v>
      </c>
      <c r="G55" s="11">
        <v>-0.05</v>
      </c>
      <c r="H55" s="11">
        <v>198009</v>
      </c>
      <c r="I55" s="11">
        <v>16920966.8</v>
      </c>
      <c r="J55" s="11">
        <v>634666323</v>
      </c>
      <c r="K55" s="11">
        <v>43427859245.08</v>
      </c>
      <c r="L55" s="6">
        <f t="shared" si="1"/>
        <v>85.4555439399219</v>
      </c>
    </row>
    <row r="56" spans="1:12">
      <c r="A56">
        <f t="shared" si="0"/>
        <v>2025</v>
      </c>
      <c r="B56" s="10">
        <v>45737</v>
      </c>
      <c r="C56" s="11">
        <v>87.78</v>
      </c>
      <c r="D56" s="11">
        <v>88.07</v>
      </c>
      <c r="E56" s="11">
        <v>88.07</v>
      </c>
      <c r="F56" s="11">
        <v>87.7</v>
      </c>
      <c r="G56" s="11">
        <v>-0.01</v>
      </c>
      <c r="H56" s="11">
        <v>133486</v>
      </c>
      <c r="I56" s="11">
        <v>11355797.5</v>
      </c>
      <c r="J56" s="11">
        <v>634468314</v>
      </c>
      <c r="K56" s="11">
        <v>43410938278.28</v>
      </c>
      <c r="L56" s="6">
        <f t="shared" si="1"/>
        <v>85.0710748692747</v>
      </c>
    </row>
    <row r="57" spans="1:12">
      <c r="A57">
        <f t="shared" si="0"/>
        <v>2025</v>
      </c>
      <c r="B57" s="10">
        <v>45736</v>
      </c>
      <c r="C57" s="11">
        <v>87.79</v>
      </c>
      <c r="D57" s="11">
        <v>87.87</v>
      </c>
      <c r="E57" s="11">
        <v>88.12</v>
      </c>
      <c r="F57" s="11">
        <v>87.75</v>
      </c>
      <c r="G57" s="11">
        <v>-0.09</v>
      </c>
      <c r="H57" s="11">
        <v>42050</v>
      </c>
      <c r="I57" s="11">
        <v>3603275</v>
      </c>
      <c r="J57" s="11">
        <v>634334828</v>
      </c>
      <c r="K57" s="11">
        <v>43399582480.78</v>
      </c>
      <c r="L57" s="6">
        <f t="shared" si="1"/>
        <v>85.6902497027348</v>
      </c>
    </row>
    <row r="58" spans="1:12">
      <c r="A58">
        <f t="shared" si="0"/>
        <v>2025</v>
      </c>
      <c r="B58" s="10">
        <v>45733</v>
      </c>
      <c r="C58" s="11">
        <v>87.87</v>
      </c>
      <c r="D58" s="11">
        <v>87.87</v>
      </c>
      <c r="E58" s="11">
        <v>87.87</v>
      </c>
      <c r="F58" s="11">
        <v>87.87</v>
      </c>
      <c r="G58" s="11">
        <v>-0.76</v>
      </c>
      <c r="H58" s="11">
        <v>102423</v>
      </c>
      <c r="I58" s="11">
        <v>8813224</v>
      </c>
      <c r="J58" s="11">
        <v>634292778</v>
      </c>
      <c r="K58" s="11">
        <v>43395979205.78</v>
      </c>
      <c r="L58" s="6">
        <f t="shared" si="1"/>
        <v>86.0473135916737</v>
      </c>
    </row>
    <row r="59" spans="1:12">
      <c r="A59">
        <f t="shared" si="0"/>
        <v>2025</v>
      </c>
      <c r="B59" s="10">
        <v>45730</v>
      </c>
      <c r="C59" s="11">
        <v>88.54</v>
      </c>
      <c r="D59" s="11">
        <v>88.54</v>
      </c>
      <c r="E59" s="11">
        <v>88.54</v>
      </c>
      <c r="F59" s="11">
        <v>88.54</v>
      </c>
      <c r="G59" s="11">
        <v>0.57</v>
      </c>
      <c r="H59" s="11">
        <v>110000</v>
      </c>
      <c r="I59" s="11">
        <v>9420000</v>
      </c>
      <c r="J59" s="11">
        <v>634190355</v>
      </c>
      <c r="K59" s="11">
        <v>43387165981.78</v>
      </c>
      <c r="L59" s="6">
        <f t="shared" si="1"/>
        <v>85.6363636363636</v>
      </c>
    </row>
    <row r="60" spans="1:12">
      <c r="A60">
        <f t="shared" si="0"/>
        <v>2025</v>
      </c>
      <c r="B60" s="10">
        <v>45729</v>
      </c>
      <c r="C60" s="11">
        <v>88.04</v>
      </c>
      <c r="D60" s="11">
        <v>88.03</v>
      </c>
      <c r="E60" s="11">
        <v>88.04</v>
      </c>
      <c r="F60" s="11">
        <v>88</v>
      </c>
      <c r="G60" s="11">
        <v>1.66</v>
      </c>
      <c r="H60" s="11">
        <v>85091</v>
      </c>
      <c r="I60" s="11">
        <v>7472004.42</v>
      </c>
      <c r="J60" s="11">
        <v>634080355</v>
      </c>
      <c r="K60" s="11">
        <v>43377745981.78</v>
      </c>
      <c r="L60" s="6">
        <f t="shared" si="1"/>
        <v>87.8119239402522</v>
      </c>
    </row>
    <row r="61" spans="1:12">
      <c r="A61">
        <f t="shared" si="0"/>
        <v>2025</v>
      </c>
      <c r="B61" s="10">
        <v>45728</v>
      </c>
      <c r="C61" s="11">
        <v>86.6</v>
      </c>
      <c r="D61" s="11">
        <v>87</v>
      </c>
      <c r="E61" s="11">
        <v>87</v>
      </c>
      <c r="F61" s="11">
        <v>86.5</v>
      </c>
      <c r="G61" s="11">
        <v>-1.72</v>
      </c>
      <c r="H61" s="11">
        <v>18596</v>
      </c>
      <c r="I61" s="11">
        <v>1587160</v>
      </c>
      <c r="J61" s="11">
        <v>633995264</v>
      </c>
      <c r="K61" s="11">
        <v>43370273977.36</v>
      </c>
      <c r="L61" s="6">
        <f t="shared" si="1"/>
        <v>85.3495375349538</v>
      </c>
    </row>
    <row r="62" spans="1:12">
      <c r="A62">
        <f t="shared" si="0"/>
        <v>2025</v>
      </c>
      <c r="B62" s="10">
        <v>45727</v>
      </c>
      <c r="C62" s="11">
        <v>88.12</v>
      </c>
      <c r="D62" s="11">
        <v>88.12</v>
      </c>
      <c r="E62" s="11">
        <v>88.12</v>
      </c>
      <c r="F62" s="11">
        <v>88.12</v>
      </c>
      <c r="G62" s="11">
        <v>-0.84</v>
      </c>
      <c r="H62" s="11">
        <v>210000</v>
      </c>
      <c r="I62" s="11">
        <v>18350000</v>
      </c>
      <c r="J62" s="11">
        <v>633976668</v>
      </c>
      <c r="K62" s="11">
        <v>43368686817.36</v>
      </c>
      <c r="L62" s="6">
        <f t="shared" si="1"/>
        <v>87.3809523809524</v>
      </c>
    </row>
    <row r="63" spans="1:12">
      <c r="A63">
        <f t="shared" si="0"/>
        <v>2025</v>
      </c>
      <c r="B63" s="10">
        <v>45726</v>
      </c>
      <c r="C63" s="11">
        <v>88.87</v>
      </c>
      <c r="D63" s="11">
        <v>88.87</v>
      </c>
      <c r="E63" s="11">
        <v>88.87</v>
      </c>
      <c r="F63" s="11">
        <v>88.87</v>
      </c>
      <c r="G63" s="11">
        <v>-0.84</v>
      </c>
      <c r="H63" s="11">
        <v>566</v>
      </c>
      <c r="I63" s="11">
        <v>49242</v>
      </c>
      <c r="J63" s="11">
        <v>633766668</v>
      </c>
      <c r="K63" s="11">
        <v>43350336817.36</v>
      </c>
      <c r="L63" s="6">
        <f t="shared" si="1"/>
        <v>87</v>
      </c>
    </row>
    <row r="64" spans="1:12">
      <c r="A64">
        <f t="shared" si="0"/>
        <v>2025</v>
      </c>
      <c r="B64" s="10">
        <v>45722</v>
      </c>
      <c r="C64" s="11">
        <v>89.62</v>
      </c>
      <c r="D64" s="11">
        <v>89.62</v>
      </c>
      <c r="E64" s="11">
        <v>89.62</v>
      </c>
      <c r="F64" s="11">
        <v>89.62</v>
      </c>
      <c r="G64" s="11">
        <v>0.56</v>
      </c>
      <c r="H64" s="11">
        <v>101300</v>
      </c>
      <c r="I64" s="11">
        <v>8766987</v>
      </c>
      <c r="J64" s="11">
        <v>633766102</v>
      </c>
      <c r="K64" s="11">
        <v>43350287575.36</v>
      </c>
      <c r="L64" s="6">
        <f t="shared" si="1"/>
        <v>86.5447877591313</v>
      </c>
    </row>
    <row r="65" spans="1:12">
      <c r="A65">
        <f t="shared" si="0"/>
        <v>2025</v>
      </c>
      <c r="B65" s="10">
        <v>45721</v>
      </c>
      <c r="C65" s="11">
        <v>89.12</v>
      </c>
      <c r="D65" s="11">
        <v>89.12</v>
      </c>
      <c r="E65" s="11">
        <v>89.12</v>
      </c>
      <c r="F65" s="11">
        <v>89.12</v>
      </c>
      <c r="G65" s="11">
        <v>-0.15</v>
      </c>
      <c r="H65" s="11">
        <v>5000</v>
      </c>
      <c r="I65" s="11">
        <v>440000</v>
      </c>
      <c r="J65" s="11">
        <v>633664802</v>
      </c>
      <c r="K65" s="11">
        <v>43341520588.36</v>
      </c>
      <c r="L65" s="6">
        <f t="shared" si="1"/>
        <v>88</v>
      </c>
    </row>
    <row r="66" spans="1:12">
      <c r="A66">
        <f t="shared" si="0"/>
        <v>2025</v>
      </c>
      <c r="B66" s="10">
        <v>45720</v>
      </c>
      <c r="C66" s="11">
        <v>89.25</v>
      </c>
      <c r="D66" s="11">
        <v>89.75</v>
      </c>
      <c r="E66" s="11">
        <v>89.75</v>
      </c>
      <c r="F66" s="11">
        <v>89.25</v>
      </c>
      <c r="G66" s="11">
        <v>-0.62</v>
      </c>
      <c r="H66" s="11">
        <v>4000</v>
      </c>
      <c r="I66" s="11">
        <v>353000</v>
      </c>
      <c r="J66" s="11">
        <v>633659802</v>
      </c>
      <c r="K66" s="11">
        <v>43341080588.36</v>
      </c>
      <c r="L66" s="6">
        <f t="shared" si="1"/>
        <v>88.25</v>
      </c>
    </row>
    <row r="67" spans="1:12">
      <c r="A67">
        <f t="shared" si="0"/>
        <v>2025</v>
      </c>
      <c r="B67" s="10">
        <v>45719</v>
      </c>
      <c r="C67" s="11">
        <v>89.81</v>
      </c>
      <c r="D67" s="11">
        <v>89.81</v>
      </c>
      <c r="E67" s="11">
        <v>89.81</v>
      </c>
      <c r="F67" s="11">
        <v>89.81</v>
      </c>
      <c r="G67" s="11">
        <v>0.28</v>
      </c>
      <c r="H67" s="11">
        <v>100001</v>
      </c>
      <c r="I67" s="11">
        <v>8874090</v>
      </c>
      <c r="J67" s="11">
        <v>633655802</v>
      </c>
      <c r="K67" s="11">
        <v>43340727588.36</v>
      </c>
      <c r="L67" s="6">
        <f t="shared" si="1"/>
        <v>88.740012599874</v>
      </c>
    </row>
    <row r="68" spans="1:12">
      <c r="A68">
        <f t="shared" ref="A68:A131" si="2">YEAR(B68)</f>
        <v>2025</v>
      </c>
      <c r="B68" s="10">
        <v>45716</v>
      </c>
      <c r="C68" s="11">
        <v>89.56</v>
      </c>
      <c r="D68" s="11">
        <v>89.62</v>
      </c>
      <c r="E68" s="11">
        <v>89.62</v>
      </c>
      <c r="F68" s="11">
        <v>89.37</v>
      </c>
      <c r="G68" s="11">
        <v>-0.21</v>
      </c>
      <c r="H68" s="11">
        <v>273950</v>
      </c>
      <c r="I68" s="11">
        <v>23786550</v>
      </c>
      <c r="J68" s="11">
        <v>633555801</v>
      </c>
      <c r="K68" s="11">
        <v>43331853498.36</v>
      </c>
      <c r="L68" s="6">
        <f t="shared" ref="L68:L131" si="3">I68/H68</f>
        <v>86.8280708158423</v>
      </c>
    </row>
    <row r="69" spans="1:12">
      <c r="A69">
        <f t="shared" si="2"/>
        <v>2025</v>
      </c>
      <c r="B69" s="10">
        <v>45715</v>
      </c>
      <c r="C69" s="11">
        <v>89.75</v>
      </c>
      <c r="D69" s="11">
        <v>89.75</v>
      </c>
      <c r="E69" s="11"/>
      <c r="F69" s="11"/>
      <c r="G69" s="11">
        <v>0</v>
      </c>
      <c r="H69" s="11">
        <v>100000</v>
      </c>
      <c r="I69" s="11">
        <v>8900000</v>
      </c>
      <c r="J69" s="11">
        <v>633281851</v>
      </c>
      <c r="K69" s="11">
        <v>43308066948.36</v>
      </c>
      <c r="L69" s="6">
        <f t="shared" si="3"/>
        <v>89</v>
      </c>
    </row>
    <row r="70" spans="1:12">
      <c r="A70">
        <f t="shared" si="2"/>
        <v>2025</v>
      </c>
      <c r="B70" s="10">
        <v>45714</v>
      </c>
      <c r="C70" s="11">
        <v>89.75</v>
      </c>
      <c r="D70" s="11">
        <v>90.87</v>
      </c>
      <c r="E70" s="11">
        <v>90.87</v>
      </c>
      <c r="F70" s="11">
        <v>89.75</v>
      </c>
      <c r="G70" s="11">
        <v>-1.19</v>
      </c>
      <c r="H70" s="11">
        <v>60050</v>
      </c>
      <c r="I70" s="11">
        <v>5369500</v>
      </c>
      <c r="J70" s="11">
        <v>633181851</v>
      </c>
      <c r="K70" s="11">
        <v>43299166948.36</v>
      </c>
      <c r="L70" s="6">
        <f t="shared" si="3"/>
        <v>89.4171523730225</v>
      </c>
    </row>
    <row r="71" spans="1:12">
      <c r="A71">
        <f t="shared" si="2"/>
        <v>2025</v>
      </c>
      <c r="B71" s="10">
        <v>45713</v>
      </c>
      <c r="C71" s="11">
        <v>90.83</v>
      </c>
      <c r="D71" s="11">
        <v>90.87</v>
      </c>
      <c r="E71" s="11">
        <v>91.87</v>
      </c>
      <c r="F71" s="11">
        <v>90.62</v>
      </c>
      <c r="G71" s="11">
        <v>1.05</v>
      </c>
      <c r="H71" s="11">
        <v>187174</v>
      </c>
      <c r="I71" s="11">
        <v>17037430.12</v>
      </c>
      <c r="J71" s="11">
        <v>633121801</v>
      </c>
      <c r="K71" s="11">
        <v>43293797448.36</v>
      </c>
      <c r="L71" s="6">
        <f t="shared" si="3"/>
        <v>91.0245553335399</v>
      </c>
    </row>
    <row r="72" spans="1:12">
      <c r="A72">
        <f t="shared" si="2"/>
        <v>2025</v>
      </c>
      <c r="B72" s="10">
        <v>45712</v>
      </c>
      <c r="C72" s="11">
        <v>89.89</v>
      </c>
      <c r="D72" s="11">
        <v>89.89</v>
      </c>
      <c r="E72" s="11">
        <v>89.89</v>
      </c>
      <c r="F72" s="11">
        <v>89.89</v>
      </c>
      <c r="G72" s="11">
        <v>-0.01</v>
      </c>
      <c r="H72" s="11">
        <v>5000</v>
      </c>
      <c r="I72" s="11">
        <v>450000</v>
      </c>
      <c r="J72" s="11">
        <v>632934627</v>
      </c>
      <c r="K72" s="11">
        <v>43276760018.24</v>
      </c>
      <c r="L72" s="6">
        <f t="shared" si="3"/>
        <v>90</v>
      </c>
    </row>
    <row r="73" spans="1:12">
      <c r="A73">
        <f t="shared" si="2"/>
        <v>2025</v>
      </c>
      <c r="B73" s="10">
        <v>45709</v>
      </c>
      <c r="C73" s="11">
        <v>89.9</v>
      </c>
      <c r="D73" s="11">
        <v>90.4</v>
      </c>
      <c r="E73" s="11">
        <v>90.4</v>
      </c>
      <c r="F73" s="11">
        <v>89.87</v>
      </c>
      <c r="G73" s="11">
        <v>-0.64</v>
      </c>
      <c r="H73" s="11">
        <v>38906</v>
      </c>
      <c r="I73" s="11">
        <v>3482090</v>
      </c>
      <c r="J73" s="11">
        <v>632929627</v>
      </c>
      <c r="K73" s="11">
        <v>43276310018.24</v>
      </c>
      <c r="L73" s="6">
        <f t="shared" si="3"/>
        <v>89.5000771089292</v>
      </c>
    </row>
    <row r="74" spans="1:12">
      <c r="A74">
        <f t="shared" si="2"/>
        <v>2025</v>
      </c>
      <c r="B74" s="10">
        <v>45708</v>
      </c>
      <c r="C74" s="11">
        <v>90.48</v>
      </c>
      <c r="D74" s="11">
        <v>91.74</v>
      </c>
      <c r="E74" s="11">
        <v>91.74</v>
      </c>
      <c r="F74" s="11">
        <v>90.37</v>
      </c>
      <c r="G74" s="11">
        <v>-0.83</v>
      </c>
      <c r="H74" s="11">
        <v>119594</v>
      </c>
      <c r="I74" s="11">
        <v>10802445</v>
      </c>
      <c r="J74" s="11">
        <v>632890721</v>
      </c>
      <c r="K74" s="11">
        <v>43272827928.24</v>
      </c>
      <c r="L74" s="6">
        <f t="shared" si="3"/>
        <v>90.3259778918675</v>
      </c>
    </row>
    <row r="75" spans="1:12">
      <c r="A75">
        <f t="shared" si="2"/>
        <v>2025</v>
      </c>
      <c r="B75" s="10">
        <v>45707</v>
      </c>
      <c r="C75" s="11">
        <v>91.24</v>
      </c>
      <c r="D75" s="11">
        <v>91.24</v>
      </c>
      <c r="E75" s="11">
        <v>91.24</v>
      </c>
      <c r="F75" s="11">
        <v>91.24</v>
      </c>
      <c r="G75" s="11">
        <v>0.08</v>
      </c>
      <c r="H75" s="11">
        <v>74000</v>
      </c>
      <c r="I75" s="11">
        <v>6697000</v>
      </c>
      <c r="J75" s="11">
        <v>632771127</v>
      </c>
      <c r="K75" s="11">
        <v>43262025483.24</v>
      </c>
      <c r="L75" s="6">
        <f t="shared" si="3"/>
        <v>90.5</v>
      </c>
    </row>
    <row r="76" spans="1:12">
      <c r="A76">
        <f t="shared" si="2"/>
        <v>2025</v>
      </c>
      <c r="B76" s="10">
        <v>45706</v>
      </c>
      <c r="C76" s="11">
        <v>91.17</v>
      </c>
      <c r="D76" s="11">
        <v>91.83</v>
      </c>
      <c r="E76" s="11">
        <v>91.83</v>
      </c>
      <c r="F76" s="11">
        <v>91.12</v>
      </c>
      <c r="G76" s="11">
        <v>0.03</v>
      </c>
      <c r="H76" s="11">
        <v>16733</v>
      </c>
      <c r="I76" s="11">
        <v>1520552.59</v>
      </c>
      <c r="J76" s="11">
        <v>632697127</v>
      </c>
      <c r="K76" s="11">
        <v>43255328483.24</v>
      </c>
      <c r="L76" s="6">
        <f t="shared" si="3"/>
        <v>90.8714868822088</v>
      </c>
    </row>
    <row r="77" spans="1:12">
      <c r="A77">
        <f t="shared" si="2"/>
        <v>2025</v>
      </c>
      <c r="B77" s="10">
        <v>45702</v>
      </c>
      <c r="C77" s="11">
        <v>91.14</v>
      </c>
      <c r="D77" s="11">
        <v>92.09</v>
      </c>
      <c r="E77" s="11">
        <v>92.09</v>
      </c>
      <c r="F77" s="11">
        <v>90.97</v>
      </c>
      <c r="G77" s="11">
        <v>-1.3</v>
      </c>
      <c r="H77" s="11">
        <v>261513</v>
      </c>
      <c r="I77" s="11">
        <v>24047670</v>
      </c>
      <c r="J77" s="11">
        <v>632680394</v>
      </c>
      <c r="K77" s="11">
        <v>43253807930.65</v>
      </c>
      <c r="L77" s="6">
        <f t="shared" si="3"/>
        <v>91.9559257092382</v>
      </c>
    </row>
    <row r="78" spans="1:12">
      <c r="A78">
        <f t="shared" si="2"/>
        <v>2025</v>
      </c>
      <c r="B78" s="10">
        <v>45701</v>
      </c>
      <c r="C78" s="11">
        <v>92.34</v>
      </c>
      <c r="D78" s="11">
        <v>92.34</v>
      </c>
      <c r="E78" s="11">
        <v>92.34</v>
      </c>
      <c r="F78" s="11">
        <v>92.34</v>
      </c>
      <c r="G78" s="11">
        <v>0.13</v>
      </c>
      <c r="H78" s="11">
        <v>8648</v>
      </c>
      <c r="I78" s="11">
        <v>799940</v>
      </c>
      <c r="J78" s="11">
        <v>632418881</v>
      </c>
      <c r="K78" s="11">
        <v>43229760260.65</v>
      </c>
      <c r="L78" s="6">
        <f t="shared" si="3"/>
        <v>92.5</v>
      </c>
    </row>
    <row r="79" spans="1:12">
      <c r="A79">
        <f t="shared" si="2"/>
        <v>2025</v>
      </c>
      <c r="B79" s="10">
        <v>45700</v>
      </c>
      <c r="C79" s="11">
        <v>92.22</v>
      </c>
      <c r="D79" s="11">
        <v>92.93</v>
      </c>
      <c r="E79" s="11">
        <v>92.93</v>
      </c>
      <c r="F79" s="11">
        <v>92</v>
      </c>
      <c r="G79" s="11">
        <v>-0.76</v>
      </c>
      <c r="H79" s="11">
        <v>40000</v>
      </c>
      <c r="I79" s="11">
        <v>3695000</v>
      </c>
      <c r="J79" s="11">
        <v>632410233</v>
      </c>
      <c r="K79" s="11">
        <v>43228960320.65</v>
      </c>
      <c r="L79" s="6">
        <f t="shared" si="3"/>
        <v>92.375</v>
      </c>
    </row>
    <row r="80" spans="1:12">
      <c r="A80">
        <f t="shared" si="2"/>
        <v>2025</v>
      </c>
      <c r="B80" s="10">
        <v>45699</v>
      </c>
      <c r="C80" s="11">
        <v>92.93</v>
      </c>
      <c r="D80" s="11">
        <v>92.93</v>
      </c>
      <c r="E80" s="11"/>
      <c r="F80" s="11"/>
      <c r="G80" s="11">
        <v>0</v>
      </c>
      <c r="H80" s="11">
        <v>100000</v>
      </c>
      <c r="I80" s="11">
        <v>9280000</v>
      </c>
      <c r="J80" s="11">
        <v>632370233</v>
      </c>
      <c r="K80" s="11">
        <v>43225265320.65</v>
      </c>
      <c r="L80" s="6">
        <f t="shared" si="3"/>
        <v>92.8</v>
      </c>
    </row>
    <row r="81" spans="1:12">
      <c r="A81">
        <f t="shared" si="2"/>
        <v>2025</v>
      </c>
      <c r="B81" s="10">
        <v>45694</v>
      </c>
      <c r="C81" s="11">
        <v>92.93</v>
      </c>
      <c r="D81" s="11">
        <v>92.93</v>
      </c>
      <c r="E81" s="11">
        <v>92.93</v>
      </c>
      <c r="F81" s="11">
        <v>92.93</v>
      </c>
      <c r="G81" s="11">
        <v>-0.54</v>
      </c>
      <c r="H81" s="11">
        <v>10000</v>
      </c>
      <c r="I81" s="11">
        <v>930000</v>
      </c>
      <c r="J81" s="11">
        <v>632270233</v>
      </c>
      <c r="K81" s="11">
        <v>43215985320.65</v>
      </c>
      <c r="L81" s="6">
        <f t="shared" si="3"/>
        <v>93</v>
      </c>
    </row>
    <row r="82" spans="1:12">
      <c r="A82">
        <f t="shared" si="2"/>
        <v>2025</v>
      </c>
      <c r="B82" s="10">
        <v>45681</v>
      </c>
      <c r="C82" s="11">
        <v>93.43</v>
      </c>
      <c r="D82" s="11">
        <v>93.43</v>
      </c>
      <c r="E82" s="11">
        <v>93.43</v>
      </c>
      <c r="F82" s="11">
        <v>93.43</v>
      </c>
      <c r="G82" s="11">
        <v>0.09</v>
      </c>
      <c r="H82" s="11">
        <v>725</v>
      </c>
      <c r="I82" s="11">
        <v>67787.5</v>
      </c>
      <c r="J82" s="11">
        <v>632260233</v>
      </c>
      <c r="K82" s="11">
        <v>43215055320.65</v>
      </c>
      <c r="L82" s="6">
        <f t="shared" si="3"/>
        <v>93.5</v>
      </c>
    </row>
    <row r="83" spans="1:12">
      <c r="A83">
        <f t="shared" si="2"/>
        <v>2025</v>
      </c>
      <c r="B83" s="10">
        <v>45680</v>
      </c>
      <c r="C83" s="11">
        <v>93.35</v>
      </c>
      <c r="D83" s="11">
        <v>93.35</v>
      </c>
      <c r="E83" s="11"/>
      <c r="F83" s="11"/>
      <c r="G83" s="11">
        <v>0</v>
      </c>
      <c r="H83" s="11">
        <v>200000</v>
      </c>
      <c r="I83" s="11">
        <v>18400000</v>
      </c>
      <c r="J83" s="11">
        <v>632259508</v>
      </c>
      <c r="K83" s="11">
        <v>43214987533.15</v>
      </c>
      <c r="L83" s="6">
        <f t="shared" si="3"/>
        <v>92</v>
      </c>
    </row>
    <row r="84" spans="1:12">
      <c r="A84">
        <f t="shared" si="2"/>
        <v>2025</v>
      </c>
      <c r="B84" s="10">
        <v>45679</v>
      </c>
      <c r="C84" s="11">
        <v>93.35</v>
      </c>
      <c r="D84" s="11">
        <v>93.35</v>
      </c>
      <c r="E84" s="11"/>
      <c r="F84" s="11"/>
      <c r="G84" s="11">
        <v>0</v>
      </c>
      <c r="H84" s="11">
        <v>250000</v>
      </c>
      <c r="I84" s="11">
        <v>23300000</v>
      </c>
      <c r="J84" s="11">
        <v>632059508</v>
      </c>
      <c r="K84" s="11">
        <v>43196587533.15</v>
      </c>
      <c r="L84" s="6">
        <f t="shared" si="3"/>
        <v>93.2</v>
      </c>
    </row>
    <row r="85" spans="1:12">
      <c r="A85">
        <f t="shared" si="2"/>
        <v>2025</v>
      </c>
      <c r="B85" s="10">
        <v>45678</v>
      </c>
      <c r="C85" s="11">
        <v>93.35</v>
      </c>
      <c r="D85" s="11">
        <v>93.35</v>
      </c>
      <c r="E85" s="11">
        <v>93.35</v>
      </c>
      <c r="F85" s="11">
        <v>93.35</v>
      </c>
      <c r="G85" s="11">
        <v>-0.53</v>
      </c>
      <c r="H85" s="11">
        <v>1005058</v>
      </c>
      <c r="I85" s="11">
        <v>90465336</v>
      </c>
      <c r="J85" s="11">
        <v>631809508</v>
      </c>
      <c r="K85" s="11">
        <v>43173287533.15</v>
      </c>
      <c r="L85" s="6">
        <f t="shared" si="3"/>
        <v>90.0100650907709</v>
      </c>
    </row>
    <row r="86" spans="1:12">
      <c r="A86">
        <f t="shared" si="2"/>
        <v>2025</v>
      </c>
      <c r="B86" s="10">
        <v>45677</v>
      </c>
      <c r="C86" s="11">
        <v>93.85</v>
      </c>
      <c r="D86" s="11">
        <v>94.05</v>
      </c>
      <c r="E86" s="11">
        <v>94.05</v>
      </c>
      <c r="F86" s="11">
        <v>93.85</v>
      </c>
      <c r="G86" s="11">
        <v>-1.16</v>
      </c>
      <c r="H86" s="11">
        <v>250000</v>
      </c>
      <c r="I86" s="11">
        <v>23300000</v>
      </c>
      <c r="J86" s="11">
        <v>630804450</v>
      </c>
      <c r="K86" s="11">
        <v>43082822197.15</v>
      </c>
      <c r="L86" s="6">
        <f t="shared" si="3"/>
        <v>93.2</v>
      </c>
    </row>
    <row r="87" spans="1:12">
      <c r="A87">
        <f t="shared" si="2"/>
        <v>2025</v>
      </c>
      <c r="B87" s="10">
        <v>45674</v>
      </c>
      <c r="C87" s="11">
        <v>94.95</v>
      </c>
      <c r="D87" s="11">
        <v>94.95</v>
      </c>
      <c r="E87" s="11">
        <v>94.95</v>
      </c>
      <c r="F87" s="11">
        <v>94.95</v>
      </c>
      <c r="G87" s="11">
        <v>0</v>
      </c>
      <c r="H87" s="11">
        <v>17497</v>
      </c>
      <c r="I87" s="11">
        <v>1644718</v>
      </c>
      <c r="J87" s="11">
        <v>630554450</v>
      </c>
      <c r="K87" s="11">
        <v>43059522197.15</v>
      </c>
      <c r="L87" s="6">
        <f t="shared" si="3"/>
        <v>94</v>
      </c>
    </row>
    <row r="88" spans="1:12">
      <c r="A88">
        <f t="shared" si="2"/>
        <v>2025</v>
      </c>
      <c r="B88" s="10">
        <v>45672</v>
      </c>
      <c r="C88" s="11">
        <v>94.95</v>
      </c>
      <c r="D88" s="11">
        <v>94.95</v>
      </c>
      <c r="E88" s="11">
        <v>94.95</v>
      </c>
      <c r="F88" s="11">
        <v>94.95</v>
      </c>
      <c r="G88" s="11">
        <v>0.51</v>
      </c>
      <c r="H88" s="11">
        <v>106595</v>
      </c>
      <c r="I88" s="11">
        <v>9946525</v>
      </c>
      <c r="J88" s="11">
        <v>630536953</v>
      </c>
      <c r="K88" s="11">
        <v>43057877479.15</v>
      </c>
      <c r="L88" s="6">
        <f t="shared" si="3"/>
        <v>93.3113654486608</v>
      </c>
    </row>
    <row r="89" spans="1:12">
      <c r="A89">
        <f t="shared" si="2"/>
        <v>2025</v>
      </c>
      <c r="B89" s="10">
        <v>45670</v>
      </c>
      <c r="C89" s="11">
        <v>94.47</v>
      </c>
      <c r="D89" s="11">
        <v>94.47</v>
      </c>
      <c r="E89" s="11">
        <v>94.47</v>
      </c>
      <c r="F89" s="11">
        <v>94.47</v>
      </c>
      <c r="G89" s="11">
        <v>0</v>
      </c>
      <c r="H89" s="11">
        <v>10008</v>
      </c>
      <c r="I89" s="11">
        <v>940752.08</v>
      </c>
      <c r="J89" s="11">
        <v>630430358</v>
      </c>
      <c r="K89" s="11">
        <v>43047930954.15</v>
      </c>
      <c r="L89" s="6">
        <f t="shared" si="3"/>
        <v>94.0000079936051</v>
      </c>
    </row>
    <row r="90" spans="1:12">
      <c r="A90">
        <f t="shared" si="2"/>
        <v>2025</v>
      </c>
      <c r="B90" s="10">
        <v>45667</v>
      </c>
      <c r="C90" s="11">
        <v>94.47</v>
      </c>
      <c r="D90" s="11">
        <v>94.47</v>
      </c>
      <c r="E90" s="11">
        <v>94.47</v>
      </c>
      <c r="F90" s="11">
        <v>94.47</v>
      </c>
      <c r="G90" s="11">
        <v>0.27</v>
      </c>
      <c r="H90" s="11">
        <v>8</v>
      </c>
      <c r="I90" s="11">
        <v>752.08</v>
      </c>
      <c r="J90" s="11">
        <v>630420350</v>
      </c>
      <c r="K90" s="11">
        <v>43046990202.07</v>
      </c>
      <c r="L90" s="6">
        <f t="shared" si="3"/>
        <v>94.01</v>
      </c>
    </row>
    <row r="91" spans="1:12">
      <c r="A91">
        <f t="shared" si="2"/>
        <v>2025</v>
      </c>
      <c r="B91" s="10">
        <v>45666</v>
      </c>
      <c r="C91" s="11">
        <v>94.22</v>
      </c>
      <c r="D91" s="11">
        <v>94.22</v>
      </c>
      <c r="E91" s="11">
        <v>94.22</v>
      </c>
      <c r="F91" s="11">
        <v>94.22</v>
      </c>
      <c r="G91" s="11">
        <v>-0.03</v>
      </c>
      <c r="H91" s="11">
        <v>15000</v>
      </c>
      <c r="I91" s="11">
        <v>1410000</v>
      </c>
      <c r="J91" s="11">
        <v>630420342</v>
      </c>
      <c r="K91" s="11">
        <v>43046989449.99</v>
      </c>
      <c r="L91" s="6">
        <f t="shared" si="3"/>
        <v>94</v>
      </c>
    </row>
    <row r="92" spans="1:12">
      <c r="A92">
        <f t="shared" si="2"/>
        <v>2025</v>
      </c>
      <c r="B92" s="10">
        <v>45665</v>
      </c>
      <c r="C92" s="11">
        <v>94.25</v>
      </c>
      <c r="D92" s="11">
        <v>95.45</v>
      </c>
      <c r="E92" s="11">
        <v>95.45</v>
      </c>
      <c r="F92" s="11">
        <v>94.25</v>
      </c>
      <c r="G92" s="11">
        <v>-2.53</v>
      </c>
      <c r="H92" s="11">
        <v>82671</v>
      </c>
      <c r="I92" s="11">
        <v>7717658.48</v>
      </c>
      <c r="J92" s="11">
        <v>630405342</v>
      </c>
      <c r="K92" s="11">
        <v>43045579449.99</v>
      </c>
      <c r="L92" s="6">
        <f t="shared" si="3"/>
        <v>93.3538783854072</v>
      </c>
    </row>
    <row r="93" spans="1:12">
      <c r="A93">
        <f t="shared" si="2"/>
        <v>2025</v>
      </c>
      <c r="B93" s="10">
        <v>45664</v>
      </c>
      <c r="C93" s="11">
        <v>96.7</v>
      </c>
      <c r="D93" s="11">
        <v>96.7</v>
      </c>
      <c r="E93" s="11">
        <v>96.7</v>
      </c>
      <c r="F93" s="11">
        <v>96.7</v>
      </c>
      <c r="G93" s="11">
        <v>0</v>
      </c>
      <c r="H93" s="11">
        <v>30008</v>
      </c>
      <c r="I93" s="11">
        <v>2850776</v>
      </c>
      <c r="J93" s="11">
        <v>630322671</v>
      </c>
      <c r="K93" s="11">
        <v>43037861791.51</v>
      </c>
      <c r="L93" s="6">
        <f t="shared" si="3"/>
        <v>95.000533191149</v>
      </c>
    </row>
    <row r="94" spans="1:12">
      <c r="A94">
        <f t="shared" si="2"/>
        <v>2025</v>
      </c>
      <c r="B94" s="10">
        <v>45663</v>
      </c>
      <c r="C94" s="11">
        <v>96.7</v>
      </c>
      <c r="D94" s="11">
        <v>96.7</v>
      </c>
      <c r="E94" s="11">
        <v>96.7</v>
      </c>
      <c r="F94" s="11">
        <v>96.7</v>
      </c>
      <c r="G94" s="11">
        <v>-0.06</v>
      </c>
      <c r="H94" s="11">
        <v>8</v>
      </c>
      <c r="I94" s="11">
        <v>776</v>
      </c>
      <c r="J94" s="11">
        <v>630292663</v>
      </c>
      <c r="K94" s="11">
        <v>43035011015.51</v>
      </c>
      <c r="L94" s="6">
        <f t="shared" si="3"/>
        <v>97</v>
      </c>
    </row>
    <row r="95" spans="1:12">
      <c r="A95">
        <f t="shared" si="2"/>
        <v>2025</v>
      </c>
      <c r="B95" s="10">
        <v>45660</v>
      </c>
      <c r="C95" s="11">
        <v>96.76</v>
      </c>
      <c r="D95" s="11">
        <v>96.76</v>
      </c>
      <c r="E95" s="11">
        <v>96.76</v>
      </c>
      <c r="F95" s="11">
        <v>96.76</v>
      </c>
      <c r="G95" s="11">
        <v>-0.26</v>
      </c>
      <c r="H95" s="11">
        <v>20000</v>
      </c>
      <c r="I95" s="11">
        <v>1900000</v>
      </c>
      <c r="J95" s="11">
        <v>630292655</v>
      </c>
      <c r="K95" s="11">
        <v>43035010239.51</v>
      </c>
      <c r="L95" s="6">
        <f t="shared" si="3"/>
        <v>95</v>
      </c>
    </row>
    <row r="96" spans="1:12">
      <c r="A96">
        <f t="shared" si="2"/>
        <v>2025</v>
      </c>
      <c r="B96" s="10">
        <v>45659</v>
      </c>
      <c r="C96" s="11">
        <v>97.01</v>
      </c>
      <c r="D96" s="11">
        <v>97.01</v>
      </c>
      <c r="E96" s="11">
        <v>97.01</v>
      </c>
      <c r="F96" s="11">
        <v>97.01</v>
      </c>
      <c r="G96" s="11">
        <v>-0.49</v>
      </c>
      <c r="H96" s="11">
        <v>3991</v>
      </c>
      <c r="I96" s="11">
        <v>383136</v>
      </c>
      <c r="J96" s="11">
        <v>630272655</v>
      </c>
      <c r="K96" s="11">
        <v>43033110239.51</v>
      </c>
      <c r="L96" s="6">
        <f t="shared" si="3"/>
        <v>96</v>
      </c>
    </row>
    <row r="97" spans="1:12">
      <c r="A97">
        <f t="shared" si="2"/>
        <v>2024</v>
      </c>
      <c r="B97" s="10">
        <v>45657</v>
      </c>
      <c r="C97" s="11">
        <v>97.49</v>
      </c>
      <c r="D97" s="11">
        <v>97.96</v>
      </c>
      <c r="E97" s="11">
        <v>97.96</v>
      </c>
      <c r="F97" s="11">
        <v>97.26</v>
      </c>
      <c r="G97" s="11">
        <v>-0.23</v>
      </c>
      <c r="H97" s="11">
        <v>116368</v>
      </c>
      <c r="I97" s="11">
        <v>11395448</v>
      </c>
      <c r="J97" s="11">
        <v>630268664</v>
      </c>
      <c r="K97" s="11">
        <v>43032727103.51</v>
      </c>
      <c r="L97" s="6">
        <f t="shared" si="3"/>
        <v>97.9259590265365</v>
      </c>
    </row>
    <row r="98" spans="1:12">
      <c r="A98">
        <f t="shared" si="2"/>
        <v>2024</v>
      </c>
      <c r="B98" s="10">
        <v>45656</v>
      </c>
      <c r="C98" s="11">
        <v>97.71</v>
      </c>
      <c r="D98" s="11">
        <v>97.28</v>
      </c>
      <c r="E98" s="11">
        <v>98.05</v>
      </c>
      <c r="F98" s="11">
        <v>97.22</v>
      </c>
      <c r="G98" s="11">
        <v>-0.03</v>
      </c>
      <c r="H98" s="11">
        <v>594823</v>
      </c>
      <c r="I98" s="11">
        <v>57961337.28</v>
      </c>
      <c r="J98" s="11">
        <v>630152296</v>
      </c>
      <c r="K98" s="11">
        <v>43021331655.51</v>
      </c>
      <c r="L98" s="6">
        <f t="shared" si="3"/>
        <v>97.4429994805177</v>
      </c>
    </row>
    <row r="99" spans="1:12">
      <c r="A99">
        <f t="shared" si="2"/>
        <v>2024</v>
      </c>
      <c r="B99" s="10">
        <v>45653</v>
      </c>
      <c r="C99" s="11">
        <v>97.74</v>
      </c>
      <c r="D99" s="11">
        <v>97.22</v>
      </c>
      <c r="E99" s="11">
        <v>98.4</v>
      </c>
      <c r="F99" s="11">
        <v>97.01</v>
      </c>
      <c r="G99" s="11">
        <v>-0.06</v>
      </c>
      <c r="H99" s="11">
        <v>1757294</v>
      </c>
      <c r="I99" s="11">
        <v>170598649.36</v>
      </c>
      <c r="J99" s="11">
        <v>629557473</v>
      </c>
      <c r="K99" s="11">
        <v>42963370318.23</v>
      </c>
      <c r="L99" s="6">
        <f t="shared" si="3"/>
        <v>97.0803117520461</v>
      </c>
    </row>
    <row r="100" spans="1:12">
      <c r="A100">
        <f t="shared" si="2"/>
        <v>2024</v>
      </c>
      <c r="B100" s="10">
        <v>45652</v>
      </c>
      <c r="C100" s="11">
        <v>97.8</v>
      </c>
      <c r="D100" s="11">
        <v>98.09</v>
      </c>
      <c r="E100" s="11">
        <v>98.09</v>
      </c>
      <c r="F100" s="11">
        <v>97.51</v>
      </c>
      <c r="G100" s="11">
        <v>-0.14</v>
      </c>
      <c r="H100" s="11">
        <v>1434650</v>
      </c>
      <c r="I100" s="11">
        <v>139294736.14</v>
      </c>
      <c r="J100" s="11">
        <v>627800179</v>
      </c>
      <c r="K100" s="11">
        <v>42792771668.87</v>
      </c>
      <c r="L100" s="6">
        <f t="shared" si="3"/>
        <v>97.0931838009271</v>
      </c>
    </row>
    <row r="101" spans="1:12">
      <c r="A101">
        <f t="shared" si="2"/>
        <v>2024</v>
      </c>
      <c r="B101" s="10">
        <v>45651</v>
      </c>
      <c r="C101" s="11">
        <v>97.94</v>
      </c>
      <c r="D101" s="11">
        <v>98.35</v>
      </c>
      <c r="E101" s="11">
        <v>98.35</v>
      </c>
      <c r="F101" s="11">
        <v>97.73</v>
      </c>
      <c r="G101" s="11">
        <v>-0.3</v>
      </c>
      <c r="H101" s="11">
        <v>525935</v>
      </c>
      <c r="I101" s="11">
        <v>51609785.27</v>
      </c>
      <c r="J101" s="11">
        <v>626365529</v>
      </c>
      <c r="K101" s="11">
        <v>42653476932.73</v>
      </c>
      <c r="L101" s="6">
        <f t="shared" si="3"/>
        <v>98.1295887704755</v>
      </c>
    </row>
    <row r="102" spans="1:12">
      <c r="A102">
        <f t="shared" si="2"/>
        <v>2024</v>
      </c>
      <c r="B102" s="10">
        <v>45650</v>
      </c>
      <c r="C102" s="11">
        <v>98.23</v>
      </c>
      <c r="D102" s="11">
        <v>97.85</v>
      </c>
      <c r="E102" s="11">
        <v>98.6</v>
      </c>
      <c r="F102" s="11">
        <v>97.85</v>
      </c>
      <c r="G102" s="11">
        <v>-0.23</v>
      </c>
      <c r="H102" s="11">
        <v>704375</v>
      </c>
      <c r="I102" s="11">
        <v>68814277.87</v>
      </c>
      <c r="J102" s="11">
        <v>625839594</v>
      </c>
      <c r="K102" s="11">
        <v>42601867147.46</v>
      </c>
      <c r="L102" s="6">
        <f t="shared" si="3"/>
        <v>97.6955142786158</v>
      </c>
    </row>
    <row r="103" spans="1:12">
      <c r="A103">
        <f t="shared" si="2"/>
        <v>2024</v>
      </c>
      <c r="B103" s="10">
        <v>45649</v>
      </c>
      <c r="C103" s="11">
        <v>98.46</v>
      </c>
      <c r="D103" s="11">
        <v>98.6</v>
      </c>
      <c r="E103" s="11">
        <v>98.6</v>
      </c>
      <c r="F103" s="11">
        <v>97.64</v>
      </c>
      <c r="G103" s="11">
        <v>0.13</v>
      </c>
      <c r="H103" s="11">
        <v>1468566</v>
      </c>
      <c r="I103" s="11">
        <v>135512913.15</v>
      </c>
      <c r="J103" s="11">
        <v>625135219</v>
      </c>
      <c r="K103" s="11">
        <v>42533052869.59</v>
      </c>
      <c r="L103" s="6">
        <f t="shared" si="3"/>
        <v>92.2756710627919</v>
      </c>
    </row>
    <row r="104" spans="1:12">
      <c r="A104">
        <f t="shared" si="2"/>
        <v>2024</v>
      </c>
      <c r="B104" s="10">
        <v>45646</v>
      </c>
      <c r="C104" s="11">
        <v>98.33</v>
      </c>
      <c r="D104" s="11">
        <v>98.4</v>
      </c>
      <c r="E104" s="11">
        <v>98.52</v>
      </c>
      <c r="F104" s="11">
        <v>97.95</v>
      </c>
      <c r="G104" s="11">
        <v>0.39</v>
      </c>
      <c r="H104" s="11">
        <v>2543230</v>
      </c>
      <c r="I104" s="11">
        <v>248148395.84</v>
      </c>
      <c r="J104" s="11">
        <v>623666653</v>
      </c>
      <c r="K104" s="11">
        <v>42397539956.44</v>
      </c>
      <c r="L104" s="6">
        <f t="shared" si="3"/>
        <v>97.5721408759727</v>
      </c>
    </row>
    <row r="105" spans="1:12">
      <c r="A105">
        <f t="shared" si="2"/>
        <v>2024</v>
      </c>
      <c r="B105" s="10">
        <v>45645</v>
      </c>
      <c r="C105" s="11">
        <v>97.95</v>
      </c>
      <c r="D105" s="11">
        <v>98.24</v>
      </c>
      <c r="E105" s="11">
        <v>98.24</v>
      </c>
      <c r="F105" s="11">
        <v>97.64</v>
      </c>
      <c r="G105" s="11">
        <v>0.44</v>
      </c>
      <c r="H105" s="11">
        <v>2727079</v>
      </c>
      <c r="I105" s="11">
        <v>266929409.11</v>
      </c>
      <c r="J105" s="11">
        <v>621123423</v>
      </c>
      <c r="K105" s="11">
        <v>42149391560.6</v>
      </c>
      <c r="L105" s="6">
        <f t="shared" si="3"/>
        <v>97.8810694923029</v>
      </c>
    </row>
    <row r="106" spans="1:12">
      <c r="A106">
        <f t="shared" si="2"/>
        <v>2024</v>
      </c>
      <c r="B106" s="10">
        <v>45644</v>
      </c>
      <c r="C106" s="11">
        <v>97.52</v>
      </c>
      <c r="D106" s="11">
        <v>98.15</v>
      </c>
      <c r="E106" s="11">
        <v>98.15</v>
      </c>
      <c r="F106" s="11">
        <v>97.21</v>
      </c>
      <c r="G106" s="11">
        <v>0.03</v>
      </c>
      <c r="H106" s="11">
        <v>2775202</v>
      </c>
      <c r="I106" s="11">
        <v>263623084.64</v>
      </c>
      <c r="J106" s="11">
        <v>618396344</v>
      </c>
      <c r="K106" s="11">
        <v>41882462151.49</v>
      </c>
      <c r="L106" s="6">
        <f t="shared" si="3"/>
        <v>94.9923950184527</v>
      </c>
    </row>
    <row r="107" spans="1:12">
      <c r="A107">
        <f t="shared" si="2"/>
        <v>2024</v>
      </c>
      <c r="B107" s="10">
        <v>45643</v>
      </c>
      <c r="C107" s="11">
        <v>97.49</v>
      </c>
      <c r="D107" s="11">
        <v>98.54</v>
      </c>
      <c r="E107" s="11">
        <v>98.59</v>
      </c>
      <c r="F107" s="11">
        <v>97.01</v>
      </c>
      <c r="G107" s="11">
        <v>-0.68</v>
      </c>
      <c r="H107" s="11">
        <v>1723068</v>
      </c>
      <c r="I107" s="11">
        <v>164562877.3</v>
      </c>
      <c r="J107" s="11">
        <v>615621142</v>
      </c>
      <c r="K107" s="11">
        <v>41618839066.85</v>
      </c>
      <c r="L107" s="6">
        <f t="shared" si="3"/>
        <v>95.5057358734536</v>
      </c>
    </row>
    <row r="108" spans="1:12">
      <c r="A108">
        <f t="shared" si="2"/>
        <v>2024</v>
      </c>
      <c r="B108" s="10">
        <v>45642</v>
      </c>
      <c r="C108" s="11">
        <v>98.16</v>
      </c>
      <c r="D108" s="11">
        <v>99.69</v>
      </c>
      <c r="E108" s="11">
        <v>100.69</v>
      </c>
      <c r="F108" s="11">
        <v>97.84</v>
      </c>
      <c r="G108" s="11">
        <v>-2.56</v>
      </c>
      <c r="H108" s="11">
        <v>2538798</v>
      </c>
      <c r="I108" s="11">
        <v>248647921.8</v>
      </c>
      <c r="J108" s="11">
        <v>613898074</v>
      </c>
      <c r="K108" s="11">
        <v>41454276189.55</v>
      </c>
      <c r="L108" s="6">
        <f t="shared" si="3"/>
        <v>97.9392302183947</v>
      </c>
    </row>
    <row r="109" spans="1:12">
      <c r="A109">
        <f t="shared" si="2"/>
        <v>2024</v>
      </c>
      <c r="B109" s="10">
        <v>45639</v>
      </c>
      <c r="C109" s="11">
        <v>100.74</v>
      </c>
      <c r="D109" s="11">
        <v>99.66</v>
      </c>
      <c r="E109" s="11">
        <v>101.74</v>
      </c>
      <c r="F109" s="11">
        <v>98.95</v>
      </c>
      <c r="G109" s="11">
        <v>0.84</v>
      </c>
      <c r="H109" s="11">
        <v>5081273</v>
      </c>
      <c r="I109" s="11">
        <v>496425710.05</v>
      </c>
      <c r="J109" s="11">
        <v>611359276</v>
      </c>
      <c r="K109" s="11">
        <v>41205628267.75</v>
      </c>
      <c r="L109" s="6">
        <f t="shared" si="3"/>
        <v>97.6971144927659</v>
      </c>
    </row>
    <row r="110" spans="1:12">
      <c r="A110">
        <f t="shared" si="2"/>
        <v>2024</v>
      </c>
      <c r="B110" s="10">
        <v>45638</v>
      </c>
      <c r="C110" s="11">
        <v>99.9</v>
      </c>
      <c r="D110" s="11">
        <v>101.15</v>
      </c>
      <c r="E110" s="11">
        <v>101.29</v>
      </c>
      <c r="F110" s="11">
        <v>99.88</v>
      </c>
      <c r="G110" s="11">
        <v>-1.29</v>
      </c>
      <c r="H110" s="11">
        <v>9168459</v>
      </c>
      <c r="I110" s="11">
        <v>907339984.27</v>
      </c>
      <c r="J110" s="11">
        <v>606278003</v>
      </c>
      <c r="K110" s="11">
        <v>40709202557.7</v>
      </c>
      <c r="L110" s="6">
        <f t="shared" si="3"/>
        <v>98.963193735174</v>
      </c>
    </row>
    <row r="111" spans="1:12">
      <c r="A111">
        <f t="shared" si="2"/>
        <v>2024</v>
      </c>
      <c r="B111" s="10">
        <v>45637</v>
      </c>
      <c r="C111" s="11">
        <v>101.21</v>
      </c>
      <c r="D111" s="11">
        <v>99.23</v>
      </c>
      <c r="E111" s="11">
        <v>102.03</v>
      </c>
      <c r="F111" s="11">
        <v>99.23</v>
      </c>
      <c r="G111" s="11">
        <v>-0.45</v>
      </c>
      <c r="H111" s="11">
        <v>9895425</v>
      </c>
      <c r="I111" s="11">
        <v>967225752.53</v>
      </c>
      <c r="J111" s="11">
        <v>597109544</v>
      </c>
      <c r="K111" s="11">
        <v>39801862573.43</v>
      </c>
      <c r="L111" s="6">
        <f t="shared" si="3"/>
        <v>97.7447408807605</v>
      </c>
    </row>
    <row r="112" spans="1:12">
      <c r="A112">
        <f t="shared" si="2"/>
        <v>2024</v>
      </c>
      <c r="B112" s="10">
        <v>45636</v>
      </c>
      <c r="C112" s="11">
        <v>101.67</v>
      </c>
      <c r="D112" s="11">
        <v>101.77</v>
      </c>
      <c r="E112" s="11">
        <v>101.77</v>
      </c>
      <c r="F112" s="11">
        <v>101.62</v>
      </c>
      <c r="G112" s="11">
        <v>-0.05</v>
      </c>
      <c r="H112" s="11">
        <v>9733692</v>
      </c>
      <c r="I112" s="11">
        <v>968814391.02</v>
      </c>
      <c r="J112" s="11">
        <v>587214119</v>
      </c>
      <c r="K112" s="11">
        <v>38834636820.9</v>
      </c>
      <c r="L112" s="6">
        <f t="shared" si="3"/>
        <v>99.5320574166514</v>
      </c>
    </row>
    <row r="113" spans="1:12">
      <c r="A113">
        <f t="shared" si="2"/>
        <v>2024</v>
      </c>
      <c r="B113" s="10">
        <v>45635</v>
      </c>
      <c r="C113" s="11">
        <v>101.72</v>
      </c>
      <c r="D113" s="11">
        <v>101.06</v>
      </c>
      <c r="E113" s="11">
        <v>101.82</v>
      </c>
      <c r="F113" s="11">
        <v>101.06</v>
      </c>
      <c r="G113" s="11">
        <v>0.77</v>
      </c>
      <c r="H113" s="11">
        <v>6325146</v>
      </c>
      <c r="I113" s="11">
        <v>638882124.08</v>
      </c>
      <c r="J113" s="11">
        <v>577480427</v>
      </c>
      <c r="K113" s="11">
        <v>37865822429.88</v>
      </c>
      <c r="L113" s="6">
        <f t="shared" si="3"/>
        <v>101.006699937045</v>
      </c>
    </row>
    <row r="114" spans="1:12">
      <c r="A114">
        <f t="shared" si="2"/>
        <v>2024</v>
      </c>
      <c r="B114" s="10">
        <v>45632</v>
      </c>
      <c r="C114" s="11">
        <v>100.94</v>
      </c>
      <c r="D114" s="11">
        <v>98.46</v>
      </c>
      <c r="E114" s="11">
        <v>101.12</v>
      </c>
      <c r="F114" s="11">
        <v>98.44</v>
      </c>
      <c r="G114" s="11">
        <v>0.04</v>
      </c>
      <c r="H114" s="11">
        <v>2608093</v>
      </c>
      <c r="I114" s="11">
        <v>258171326.34</v>
      </c>
      <c r="J114" s="11">
        <v>571155281</v>
      </c>
      <c r="K114" s="11">
        <v>37226940305.8</v>
      </c>
      <c r="L114" s="6">
        <f t="shared" si="3"/>
        <v>98.9885431002652</v>
      </c>
    </row>
    <row r="115" spans="1:12">
      <c r="A115">
        <f t="shared" si="2"/>
        <v>2024</v>
      </c>
      <c r="B115" s="10">
        <v>45631</v>
      </c>
      <c r="C115" s="11">
        <v>100.9</v>
      </c>
      <c r="D115" s="11">
        <v>100.96</v>
      </c>
      <c r="E115" s="11">
        <v>101.25</v>
      </c>
      <c r="F115" s="11">
        <v>100.7</v>
      </c>
      <c r="G115" s="11">
        <v>0.2</v>
      </c>
      <c r="H115" s="11">
        <v>2013641</v>
      </c>
      <c r="I115" s="11">
        <v>189517157.81</v>
      </c>
      <c r="J115" s="11">
        <v>568547188</v>
      </c>
      <c r="K115" s="11">
        <v>36968768979.46</v>
      </c>
      <c r="L115" s="6">
        <f t="shared" si="3"/>
        <v>94.1166562510398</v>
      </c>
    </row>
    <row r="116" spans="1:12">
      <c r="A116">
        <f t="shared" si="2"/>
        <v>2024</v>
      </c>
      <c r="B116" s="10">
        <v>45630</v>
      </c>
      <c r="C116" s="11">
        <v>100.7</v>
      </c>
      <c r="D116" s="11">
        <v>101.14</v>
      </c>
      <c r="E116" s="11">
        <v>101.14</v>
      </c>
      <c r="F116" s="11">
        <v>100.05</v>
      </c>
      <c r="G116" s="11">
        <v>-0.06</v>
      </c>
      <c r="H116" s="11">
        <v>3669020</v>
      </c>
      <c r="I116" s="11">
        <v>355289573.59</v>
      </c>
      <c r="J116" s="11">
        <v>566533547</v>
      </c>
      <c r="K116" s="11">
        <v>36779251821.65</v>
      </c>
      <c r="L116" s="6">
        <f t="shared" si="3"/>
        <v>96.8350059661708</v>
      </c>
    </row>
    <row r="117" spans="1:12">
      <c r="A117">
        <f t="shared" si="2"/>
        <v>2024</v>
      </c>
      <c r="B117" s="10">
        <v>45629</v>
      </c>
      <c r="C117" s="11">
        <v>100.76</v>
      </c>
      <c r="D117" s="11">
        <v>101.72</v>
      </c>
      <c r="E117" s="11">
        <v>102.25</v>
      </c>
      <c r="F117" s="11">
        <v>98.75</v>
      </c>
      <c r="G117" s="11">
        <v>-1.01</v>
      </c>
      <c r="H117" s="11">
        <v>3016953</v>
      </c>
      <c r="I117" s="11">
        <v>293811034.9</v>
      </c>
      <c r="J117" s="11">
        <v>562864527</v>
      </c>
      <c r="K117" s="11">
        <v>36423962248.06</v>
      </c>
      <c r="L117" s="6">
        <f t="shared" si="3"/>
        <v>97.3866795074368</v>
      </c>
    </row>
    <row r="118" spans="1:12">
      <c r="A118">
        <f t="shared" si="2"/>
        <v>2024</v>
      </c>
      <c r="B118" s="10">
        <v>45628</v>
      </c>
      <c r="C118" s="11">
        <v>101.79</v>
      </c>
      <c r="D118" s="11">
        <v>102.3</v>
      </c>
      <c r="E118" s="11">
        <v>102.5</v>
      </c>
      <c r="F118" s="11">
        <v>101.5</v>
      </c>
      <c r="G118" s="11">
        <v>-0.58</v>
      </c>
      <c r="H118" s="11">
        <v>4944441</v>
      </c>
      <c r="I118" s="11">
        <v>482985443.44</v>
      </c>
      <c r="J118" s="11">
        <v>559847574</v>
      </c>
      <c r="K118" s="11">
        <v>36130151213.16</v>
      </c>
      <c r="L118" s="6">
        <f t="shared" si="3"/>
        <v>97.6825172835514</v>
      </c>
    </row>
    <row r="119" spans="1:12">
      <c r="A119">
        <f t="shared" si="2"/>
        <v>2024</v>
      </c>
      <c r="B119" s="10">
        <v>45625</v>
      </c>
      <c r="C119" s="11">
        <v>102.38</v>
      </c>
      <c r="D119" s="11">
        <v>102.09</v>
      </c>
      <c r="E119" s="11">
        <v>102.38</v>
      </c>
      <c r="F119" s="11">
        <v>100.77</v>
      </c>
      <c r="G119" s="11">
        <v>0.06</v>
      </c>
      <c r="H119" s="11">
        <v>6469210</v>
      </c>
      <c r="I119" s="11">
        <v>638632974.49</v>
      </c>
      <c r="J119" s="11">
        <v>554903133</v>
      </c>
      <c r="K119" s="11">
        <v>35647165769.72</v>
      </c>
      <c r="L119" s="6">
        <f t="shared" si="3"/>
        <v>98.7188504454176</v>
      </c>
    </row>
    <row r="120" spans="1:12">
      <c r="A120">
        <f t="shared" si="2"/>
        <v>2024</v>
      </c>
      <c r="B120" s="10">
        <v>45624</v>
      </c>
      <c r="C120" s="11">
        <v>102.32</v>
      </c>
      <c r="D120" s="11">
        <v>102.88</v>
      </c>
      <c r="E120" s="11">
        <v>104.61</v>
      </c>
      <c r="F120" s="11">
        <v>100.53</v>
      </c>
      <c r="G120" s="11">
        <v>-0.57</v>
      </c>
      <c r="H120" s="11">
        <v>3268352</v>
      </c>
      <c r="I120" s="11">
        <v>307333521.57</v>
      </c>
      <c r="J120" s="11">
        <v>548433923</v>
      </c>
      <c r="K120" s="11">
        <v>35008532795.23</v>
      </c>
      <c r="L120" s="6">
        <f t="shared" si="3"/>
        <v>94.0331768334622</v>
      </c>
    </row>
    <row r="121" spans="1:12">
      <c r="A121">
        <f t="shared" si="2"/>
        <v>2024</v>
      </c>
      <c r="B121" s="10">
        <v>45623</v>
      </c>
      <c r="C121" s="11">
        <v>102.91</v>
      </c>
      <c r="D121" s="11">
        <v>102.88</v>
      </c>
      <c r="E121" s="11">
        <v>103.31</v>
      </c>
      <c r="F121" s="11">
        <v>102.08</v>
      </c>
      <c r="G121" s="11">
        <v>0.06</v>
      </c>
      <c r="H121" s="11">
        <v>5989204</v>
      </c>
      <c r="I121" s="11">
        <v>578155294.53</v>
      </c>
      <c r="J121" s="11">
        <v>545165571</v>
      </c>
      <c r="K121" s="11">
        <v>34701199273.66</v>
      </c>
      <c r="L121" s="6">
        <f t="shared" si="3"/>
        <v>96.5329106388762</v>
      </c>
    </row>
    <row r="122" spans="1:12">
      <c r="A122">
        <f t="shared" si="2"/>
        <v>2024</v>
      </c>
      <c r="B122" s="10">
        <v>45622</v>
      </c>
      <c r="C122" s="11">
        <v>102.85</v>
      </c>
      <c r="D122" s="11">
        <v>102.36</v>
      </c>
      <c r="E122" s="11">
        <v>104.16</v>
      </c>
      <c r="F122" s="11">
        <v>102.13</v>
      </c>
      <c r="G122" s="11">
        <v>-1.24</v>
      </c>
      <c r="H122" s="11">
        <v>5567219</v>
      </c>
      <c r="I122" s="11">
        <v>545530194.19</v>
      </c>
      <c r="J122" s="11">
        <v>539176367</v>
      </c>
      <c r="K122" s="11">
        <v>34123043979.13</v>
      </c>
      <c r="L122" s="6">
        <f t="shared" si="3"/>
        <v>97.9897133901145</v>
      </c>
    </row>
    <row r="123" spans="1:12">
      <c r="A123">
        <f t="shared" si="2"/>
        <v>2024</v>
      </c>
      <c r="B123" s="10">
        <v>45621</v>
      </c>
      <c r="C123" s="11">
        <v>104.14</v>
      </c>
      <c r="D123" s="11">
        <v>104.35</v>
      </c>
      <c r="E123" s="11">
        <v>104.48</v>
      </c>
      <c r="F123" s="11">
        <v>104.07</v>
      </c>
      <c r="G123" s="11">
        <v>-0.61</v>
      </c>
      <c r="H123" s="11">
        <v>5091901</v>
      </c>
      <c r="I123" s="11">
        <v>477563378.25</v>
      </c>
      <c r="J123" s="11">
        <v>533609148</v>
      </c>
      <c r="K123" s="11">
        <v>33577513784.94</v>
      </c>
      <c r="L123" s="6">
        <f t="shared" si="3"/>
        <v>93.788818409863</v>
      </c>
    </row>
    <row r="124" spans="1:12">
      <c r="A124">
        <f t="shared" si="2"/>
        <v>2024</v>
      </c>
      <c r="B124" s="10">
        <v>45618</v>
      </c>
      <c r="C124" s="11">
        <v>104.78</v>
      </c>
      <c r="D124" s="11">
        <v>104.84</v>
      </c>
      <c r="E124" s="11">
        <v>104.84</v>
      </c>
      <c r="F124" s="11">
        <v>104.65</v>
      </c>
      <c r="G124" s="11">
        <v>0.07</v>
      </c>
      <c r="H124" s="11">
        <v>3684953</v>
      </c>
      <c r="I124" s="11">
        <v>352787354.65</v>
      </c>
      <c r="J124" s="11">
        <v>528517247</v>
      </c>
      <c r="K124" s="11">
        <v>33099950406.69</v>
      </c>
      <c r="L124" s="6">
        <f t="shared" si="3"/>
        <v>95.7372738946738</v>
      </c>
    </row>
    <row r="125" spans="1:12">
      <c r="A125">
        <f t="shared" si="2"/>
        <v>2024</v>
      </c>
      <c r="B125" s="10">
        <v>45617</v>
      </c>
      <c r="C125" s="11">
        <v>104.71</v>
      </c>
      <c r="D125" s="11">
        <v>104.83</v>
      </c>
      <c r="E125" s="11">
        <v>104.94</v>
      </c>
      <c r="F125" s="11">
        <v>104.62</v>
      </c>
      <c r="G125" s="11">
        <v>-0.14</v>
      </c>
      <c r="H125" s="11">
        <v>3282986</v>
      </c>
      <c r="I125" s="11">
        <v>304097841.36</v>
      </c>
      <c r="J125" s="11">
        <v>524832294</v>
      </c>
      <c r="K125" s="11">
        <v>32747163052.04</v>
      </c>
      <c r="L125" s="6">
        <f t="shared" si="3"/>
        <v>92.6284307517607</v>
      </c>
    </row>
    <row r="126" spans="1:12">
      <c r="A126">
        <f t="shared" si="2"/>
        <v>2024</v>
      </c>
      <c r="B126" s="10">
        <v>45616</v>
      </c>
      <c r="C126" s="11">
        <v>104.86</v>
      </c>
      <c r="D126" s="11">
        <v>104.88</v>
      </c>
      <c r="E126" s="11">
        <v>104.9</v>
      </c>
      <c r="F126" s="11">
        <v>104.82</v>
      </c>
      <c r="G126" s="11">
        <v>-0.04</v>
      </c>
      <c r="H126" s="11">
        <v>2074888</v>
      </c>
      <c r="I126" s="11">
        <v>196210793.61</v>
      </c>
      <c r="J126" s="11">
        <v>521549308</v>
      </c>
      <c r="K126" s="11">
        <v>32443065210.68</v>
      </c>
      <c r="L126" s="6">
        <f t="shared" si="3"/>
        <v>94.5645228127976</v>
      </c>
    </row>
    <row r="127" spans="1:12">
      <c r="A127">
        <f t="shared" si="2"/>
        <v>2024</v>
      </c>
      <c r="B127" s="10">
        <v>45615</v>
      </c>
      <c r="C127" s="11">
        <v>104.9</v>
      </c>
      <c r="D127" s="11">
        <v>104.78</v>
      </c>
      <c r="E127" s="11">
        <v>105.1</v>
      </c>
      <c r="F127" s="11">
        <v>104.65</v>
      </c>
      <c r="G127" s="11">
        <v>0.27</v>
      </c>
      <c r="H127" s="11">
        <v>3124468</v>
      </c>
      <c r="I127" s="11">
        <v>283000960.27</v>
      </c>
      <c r="J127" s="11">
        <v>519474420</v>
      </c>
      <c r="K127" s="11">
        <v>32246854417.07</v>
      </c>
      <c r="L127" s="6">
        <f t="shared" si="3"/>
        <v>90.5757268981471</v>
      </c>
    </row>
    <row r="128" spans="1:12">
      <c r="A128">
        <f t="shared" si="2"/>
        <v>2024</v>
      </c>
      <c r="B128" s="10">
        <v>45614</v>
      </c>
      <c r="C128" s="11">
        <v>104.62</v>
      </c>
      <c r="D128" s="11">
        <v>104.76</v>
      </c>
      <c r="E128" s="11">
        <v>104.81</v>
      </c>
      <c r="F128" s="11">
        <v>104.51</v>
      </c>
      <c r="G128" s="11">
        <v>-0.15</v>
      </c>
      <c r="H128" s="11">
        <v>3158389</v>
      </c>
      <c r="I128" s="11">
        <v>314681750.98</v>
      </c>
      <c r="J128" s="11">
        <v>516349952</v>
      </c>
      <c r="K128" s="11">
        <v>31963853456.8</v>
      </c>
      <c r="L128" s="6">
        <f t="shared" si="3"/>
        <v>99.6336268205088</v>
      </c>
    </row>
    <row r="129" spans="1:12">
      <c r="A129">
        <f t="shared" si="2"/>
        <v>2024</v>
      </c>
      <c r="B129" s="10">
        <v>45611</v>
      </c>
      <c r="C129" s="11">
        <v>104.78</v>
      </c>
      <c r="D129" s="11">
        <v>104.87</v>
      </c>
      <c r="E129" s="11">
        <v>105.13</v>
      </c>
      <c r="F129" s="11">
        <v>104.78</v>
      </c>
      <c r="G129" s="11">
        <v>-0.29</v>
      </c>
      <c r="H129" s="11">
        <v>3476636</v>
      </c>
      <c r="I129" s="11">
        <v>352866596.38</v>
      </c>
      <c r="J129" s="11">
        <v>513191563</v>
      </c>
      <c r="K129" s="11">
        <v>31649171705.82</v>
      </c>
      <c r="L129" s="6">
        <f t="shared" si="3"/>
        <v>101.496560577524</v>
      </c>
    </row>
    <row r="130" spans="1:12">
      <c r="A130">
        <f t="shared" si="2"/>
        <v>2024</v>
      </c>
      <c r="B130" s="10">
        <v>45610</v>
      </c>
      <c r="C130" s="11">
        <v>105.09</v>
      </c>
      <c r="D130" s="11">
        <v>105.35</v>
      </c>
      <c r="E130" s="11">
        <v>105.47</v>
      </c>
      <c r="F130" s="11">
        <v>105.02</v>
      </c>
      <c r="G130" s="11">
        <v>-0.53</v>
      </c>
      <c r="H130" s="11">
        <v>1215301</v>
      </c>
      <c r="I130" s="11">
        <v>123364949.02</v>
      </c>
      <c r="J130" s="11">
        <v>509714927</v>
      </c>
      <c r="K130" s="11">
        <v>31296305109.44</v>
      </c>
      <c r="L130" s="6">
        <f t="shared" si="3"/>
        <v>101.509789772246</v>
      </c>
    </row>
    <row r="131" spans="1:12">
      <c r="A131">
        <f t="shared" si="2"/>
        <v>2024</v>
      </c>
      <c r="B131" s="10">
        <v>45609</v>
      </c>
      <c r="C131" s="11">
        <v>105.65</v>
      </c>
      <c r="D131" s="11">
        <v>105.34</v>
      </c>
      <c r="E131" s="11">
        <v>106.02</v>
      </c>
      <c r="F131" s="11">
        <v>105.19</v>
      </c>
      <c r="G131" s="11">
        <v>0.49</v>
      </c>
      <c r="H131" s="11">
        <v>2169584</v>
      </c>
      <c r="I131" s="11">
        <v>220108025.58</v>
      </c>
      <c r="J131" s="11">
        <v>508499626</v>
      </c>
      <c r="K131" s="11">
        <v>31172940160.42</v>
      </c>
      <c r="L131" s="6">
        <f t="shared" si="3"/>
        <v>101.451718661273</v>
      </c>
    </row>
    <row r="132" spans="1:12">
      <c r="A132">
        <f t="shared" ref="A132:A195" si="4">YEAR(B132)</f>
        <v>2024</v>
      </c>
      <c r="B132" s="10">
        <v>45608</v>
      </c>
      <c r="C132" s="11">
        <v>105.14</v>
      </c>
      <c r="D132" s="11">
        <v>104.37</v>
      </c>
      <c r="E132" s="11">
        <v>105.51</v>
      </c>
      <c r="F132" s="11">
        <v>103.58</v>
      </c>
      <c r="G132" s="11">
        <v>-0.28</v>
      </c>
      <c r="H132" s="11">
        <v>1457869</v>
      </c>
      <c r="I132" s="11">
        <v>145609511.87</v>
      </c>
      <c r="J132" s="11">
        <v>506330042</v>
      </c>
      <c r="K132" s="11">
        <v>30952832134.84</v>
      </c>
      <c r="L132" s="6">
        <f t="shared" ref="L132:L195" si="5">I132/H132</f>
        <v>99.8783236834036</v>
      </c>
    </row>
    <row r="133" spans="1:12">
      <c r="A133">
        <f t="shared" si="4"/>
        <v>2024</v>
      </c>
      <c r="B133" s="10">
        <v>45607</v>
      </c>
      <c r="C133" s="11">
        <v>105.43</v>
      </c>
      <c r="D133" s="11">
        <v>105.06</v>
      </c>
      <c r="E133" s="11">
        <v>105.43</v>
      </c>
      <c r="F133" s="11">
        <v>104.85</v>
      </c>
      <c r="G133" s="11">
        <v>0.38</v>
      </c>
      <c r="H133" s="11">
        <v>2012735</v>
      </c>
      <c r="I133" s="11">
        <v>208696746.98</v>
      </c>
      <c r="J133" s="11">
        <v>504872173</v>
      </c>
      <c r="K133" s="11">
        <v>30807222622.97</v>
      </c>
      <c r="L133" s="6">
        <f t="shared" si="5"/>
        <v>103.688139263241</v>
      </c>
    </row>
    <row r="134" spans="1:12">
      <c r="A134">
        <f t="shared" si="4"/>
        <v>2024</v>
      </c>
      <c r="B134" s="10">
        <v>45604</v>
      </c>
      <c r="C134" s="11">
        <v>105.03</v>
      </c>
      <c r="D134" s="11">
        <v>104.9</v>
      </c>
      <c r="E134" s="11">
        <v>105.54</v>
      </c>
      <c r="F134" s="11">
        <v>104.77</v>
      </c>
      <c r="G134" s="11">
        <v>-0.35</v>
      </c>
      <c r="H134" s="11">
        <v>2798318</v>
      </c>
      <c r="I134" s="11">
        <v>282512402.67</v>
      </c>
      <c r="J134" s="11">
        <v>502859438</v>
      </c>
      <c r="K134" s="11">
        <v>30598525875.99</v>
      </c>
      <c r="L134" s="6">
        <f t="shared" si="5"/>
        <v>100.957933540791</v>
      </c>
    </row>
    <row r="135" spans="1:12">
      <c r="A135">
        <f t="shared" si="4"/>
        <v>2024</v>
      </c>
      <c r="B135" s="10">
        <v>45603</v>
      </c>
      <c r="C135" s="11">
        <v>105.4</v>
      </c>
      <c r="D135" s="11">
        <v>105.32</v>
      </c>
      <c r="E135" s="11">
        <v>105.76</v>
      </c>
      <c r="F135" s="11">
        <v>105.32</v>
      </c>
      <c r="G135" s="11">
        <v>0.16</v>
      </c>
      <c r="H135" s="11">
        <v>813062</v>
      </c>
      <c r="I135" s="11">
        <v>79961567</v>
      </c>
      <c r="J135" s="11">
        <v>500061120</v>
      </c>
      <c r="K135" s="11">
        <v>30316013473.32</v>
      </c>
      <c r="L135" s="6">
        <f t="shared" si="5"/>
        <v>98.3462109900598</v>
      </c>
    </row>
    <row r="136" spans="1:12">
      <c r="A136">
        <f t="shared" si="4"/>
        <v>2024</v>
      </c>
      <c r="B136" s="10">
        <v>45602</v>
      </c>
      <c r="C136" s="11">
        <v>105.23</v>
      </c>
      <c r="D136" s="11">
        <v>105.29</v>
      </c>
      <c r="E136" s="11">
        <v>105.29</v>
      </c>
      <c r="F136" s="11">
        <v>104.81</v>
      </c>
      <c r="G136" s="11">
        <v>0.19</v>
      </c>
      <c r="H136" s="11">
        <v>601405</v>
      </c>
      <c r="I136" s="11">
        <v>62326922.55</v>
      </c>
      <c r="J136" s="11">
        <v>499248058</v>
      </c>
      <c r="K136" s="11">
        <v>30236051906.32</v>
      </c>
      <c r="L136" s="6">
        <f t="shared" si="5"/>
        <v>103.635524397037</v>
      </c>
    </row>
    <row r="137" spans="1:12">
      <c r="A137">
        <f t="shared" si="4"/>
        <v>2024</v>
      </c>
      <c r="B137" s="10">
        <v>45601</v>
      </c>
      <c r="C137" s="11">
        <v>105.03</v>
      </c>
      <c r="D137" s="11">
        <v>104.04</v>
      </c>
      <c r="E137" s="11">
        <v>105.23</v>
      </c>
      <c r="F137" s="11">
        <v>104.04</v>
      </c>
      <c r="G137" s="11">
        <v>0.31</v>
      </c>
      <c r="H137" s="11">
        <v>2274030</v>
      </c>
      <c r="I137" s="11">
        <v>234757072.3</v>
      </c>
      <c r="J137" s="11">
        <v>498646653</v>
      </c>
      <c r="K137" s="11">
        <v>30173724983.77</v>
      </c>
      <c r="L137" s="6">
        <f t="shared" si="5"/>
        <v>103.23393811867</v>
      </c>
    </row>
    <row r="138" spans="1:12">
      <c r="A138">
        <f t="shared" si="4"/>
        <v>2024</v>
      </c>
      <c r="B138" s="10">
        <v>45600</v>
      </c>
      <c r="C138" s="11">
        <v>104.71</v>
      </c>
      <c r="D138" s="11">
        <v>104.5</v>
      </c>
      <c r="E138" s="11">
        <v>104.74</v>
      </c>
      <c r="F138" s="11">
        <v>104.5</v>
      </c>
      <c r="G138" s="11">
        <v>0.27</v>
      </c>
      <c r="H138" s="11">
        <v>621166</v>
      </c>
      <c r="I138" s="11">
        <v>63698662.8</v>
      </c>
      <c r="J138" s="11">
        <v>496372623</v>
      </c>
      <c r="K138" s="11">
        <v>29938967911.47</v>
      </c>
      <c r="L138" s="6">
        <f t="shared" si="5"/>
        <v>102.546924332626</v>
      </c>
    </row>
    <row r="139" spans="1:12">
      <c r="A139">
        <f t="shared" si="4"/>
        <v>2024</v>
      </c>
      <c r="B139" s="10">
        <v>45597</v>
      </c>
      <c r="C139" s="11">
        <v>104.43</v>
      </c>
      <c r="D139" s="11">
        <v>104.09</v>
      </c>
      <c r="E139" s="11">
        <v>104.46</v>
      </c>
      <c r="F139" s="11">
        <v>104.09</v>
      </c>
      <c r="G139" s="11">
        <v>0.4</v>
      </c>
      <c r="H139" s="11">
        <v>1685565</v>
      </c>
      <c r="I139" s="11">
        <v>158379835.49</v>
      </c>
      <c r="J139" s="11">
        <v>495751457</v>
      </c>
      <c r="K139" s="11">
        <v>29875269248.67</v>
      </c>
      <c r="L139" s="6">
        <f t="shared" si="5"/>
        <v>93.9624609492959</v>
      </c>
    </row>
    <row r="140" spans="1:12">
      <c r="A140">
        <f t="shared" si="4"/>
        <v>2024</v>
      </c>
      <c r="B140" s="10">
        <v>45596</v>
      </c>
      <c r="C140" s="11">
        <v>104.01</v>
      </c>
      <c r="D140" s="11">
        <v>103.53</v>
      </c>
      <c r="E140" s="11">
        <v>104.15</v>
      </c>
      <c r="F140" s="11">
        <v>103.32</v>
      </c>
      <c r="G140" s="11">
        <v>-0.16</v>
      </c>
      <c r="H140" s="11">
        <v>439379</v>
      </c>
      <c r="I140" s="11">
        <v>45040793.83</v>
      </c>
      <c r="J140" s="11">
        <v>494065892</v>
      </c>
      <c r="K140" s="11">
        <v>29716889413.18</v>
      </c>
      <c r="L140" s="6">
        <f t="shared" si="5"/>
        <v>102.510119577859</v>
      </c>
    </row>
    <row r="141" spans="1:12">
      <c r="A141">
        <f t="shared" si="4"/>
        <v>2024</v>
      </c>
      <c r="B141" s="10">
        <v>45595</v>
      </c>
      <c r="C141" s="11">
        <v>104.18</v>
      </c>
      <c r="D141" s="11">
        <v>100.91</v>
      </c>
      <c r="E141" s="11">
        <v>104.29</v>
      </c>
      <c r="F141" s="11">
        <v>100.91</v>
      </c>
      <c r="G141" s="11">
        <v>0.77</v>
      </c>
      <c r="H141" s="11">
        <v>354074</v>
      </c>
      <c r="I141" s="11">
        <v>31715481.49</v>
      </c>
      <c r="J141" s="11">
        <v>493626513</v>
      </c>
      <c r="K141" s="11">
        <v>29671848619.35</v>
      </c>
      <c r="L141" s="6">
        <f t="shared" si="5"/>
        <v>89.5730313154877</v>
      </c>
    </row>
    <row r="142" spans="1:12">
      <c r="A142">
        <f t="shared" si="4"/>
        <v>2024</v>
      </c>
      <c r="B142" s="10">
        <v>45594</v>
      </c>
      <c r="C142" s="11">
        <v>103.38</v>
      </c>
      <c r="D142" s="11">
        <v>103.69</v>
      </c>
      <c r="E142" s="11">
        <v>103.69</v>
      </c>
      <c r="F142" s="11">
        <v>102.62</v>
      </c>
      <c r="G142" s="11">
        <v>-0.06</v>
      </c>
      <c r="H142" s="11">
        <v>1117428</v>
      </c>
      <c r="I142" s="11">
        <v>103335207.92</v>
      </c>
      <c r="J142" s="11">
        <v>493272439</v>
      </c>
      <c r="K142" s="11">
        <v>29640133137.86</v>
      </c>
      <c r="L142" s="6">
        <f t="shared" si="5"/>
        <v>92.4759428974395</v>
      </c>
    </row>
    <row r="143" spans="1:12">
      <c r="A143">
        <f t="shared" si="4"/>
        <v>2024</v>
      </c>
      <c r="B143" s="10">
        <v>45593</v>
      </c>
      <c r="C143" s="11">
        <v>103.44</v>
      </c>
      <c r="D143" s="11">
        <v>104.14</v>
      </c>
      <c r="E143" s="11">
        <v>104.14</v>
      </c>
      <c r="F143" s="11">
        <v>102.44</v>
      </c>
      <c r="G143" s="11">
        <v>-0.78</v>
      </c>
      <c r="H143" s="11">
        <v>1252412</v>
      </c>
      <c r="I143" s="11">
        <v>123281229.94</v>
      </c>
      <c r="J143" s="11">
        <v>492155011</v>
      </c>
      <c r="K143" s="11">
        <v>29536797929.94</v>
      </c>
      <c r="L143" s="6">
        <f t="shared" si="5"/>
        <v>98.4350436916925</v>
      </c>
    </row>
    <row r="144" spans="1:12">
      <c r="A144">
        <f t="shared" si="4"/>
        <v>2024</v>
      </c>
      <c r="B144" s="10">
        <v>45590</v>
      </c>
      <c r="C144" s="11">
        <v>104.25</v>
      </c>
      <c r="D144" s="11">
        <v>104.03</v>
      </c>
      <c r="E144" s="11">
        <v>104.3</v>
      </c>
      <c r="F144" s="11">
        <v>103</v>
      </c>
      <c r="G144" s="11">
        <v>0.2</v>
      </c>
      <c r="H144" s="11">
        <v>390666</v>
      </c>
      <c r="I144" s="11">
        <v>40658535.4</v>
      </c>
      <c r="J144" s="11">
        <v>490902599</v>
      </c>
      <c r="K144" s="11">
        <v>29413516700</v>
      </c>
      <c r="L144" s="6">
        <f t="shared" si="5"/>
        <v>104.074926919671</v>
      </c>
    </row>
    <row r="145" spans="1:12">
      <c r="A145">
        <f t="shared" si="4"/>
        <v>2024</v>
      </c>
      <c r="B145" s="10">
        <v>45589</v>
      </c>
      <c r="C145" s="11">
        <v>104.04</v>
      </c>
      <c r="D145" s="11">
        <v>104.01</v>
      </c>
      <c r="E145" s="11">
        <v>104.14</v>
      </c>
      <c r="F145" s="11">
        <v>104.01</v>
      </c>
      <c r="G145" s="11">
        <v>-0.06</v>
      </c>
      <c r="H145" s="11">
        <v>386268</v>
      </c>
      <c r="I145" s="11">
        <v>40039863.09</v>
      </c>
      <c r="J145" s="11">
        <v>490511933</v>
      </c>
      <c r="K145" s="11">
        <v>29372858164.6</v>
      </c>
      <c r="L145" s="6">
        <f t="shared" si="5"/>
        <v>103.658245285657</v>
      </c>
    </row>
    <row r="146" spans="1:12">
      <c r="A146">
        <f t="shared" si="4"/>
        <v>2024</v>
      </c>
      <c r="B146" s="10">
        <v>45588</v>
      </c>
      <c r="C146" s="11">
        <v>104.1</v>
      </c>
      <c r="D146" s="11">
        <v>104.04</v>
      </c>
      <c r="E146" s="11">
        <v>104.14</v>
      </c>
      <c r="F146" s="11">
        <v>104</v>
      </c>
      <c r="G146" s="11">
        <v>-0.03</v>
      </c>
      <c r="H146" s="11">
        <v>546800</v>
      </c>
      <c r="I146" s="11">
        <v>55927070</v>
      </c>
      <c r="J146" s="11">
        <v>490125665</v>
      </c>
      <c r="K146" s="11">
        <v>29332818301.51</v>
      </c>
      <c r="L146" s="6">
        <f t="shared" si="5"/>
        <v>102.280669348939</v>
      </c>
    </row>
    <row r="147" spans="1:12">
      <c r="A147">
        <f t="shared" si="4"/>
        <v>2024</v>
      </c>
      <c r="B147" s="10">
        <v>45587</v>
      </c>
      <c r="C147" s="11">
        <v>104.13</v>
      </c>
      <c r="D147" s="11">
        <v>104.06</v>
      </c>
      <c r="E147" s="11">
        <v>104.33</v>
      </c>
      <c r="F147" s="11">
        <v>104</v>
      </c>
      <c r="G147" s="11">
        <v>-0.01</v>
      </c>
      <c r="H147" s="11">
        <v>1376416</v>
      </c>
      <c r="I147" s="11">
        <v>137825583.49</v>
      </c>
      <c r="J147" s="11">
        <v>489578865</v>
      </c>
      <c r="K147" s="11">
        <v>29276891231.51</v>
      </c>
      <c r="L147" s="6">
        <f t="shared" si="5"/>
        <v>100.133668520273</v>
      </c>
    </row>
    <row r="148" spans="1:12">
      <c r="A148">
        <f t="shared" si="4"/>
        <v>2024</v>
      </c>
      <c r="B148" s="10">
        <v>45586</v>
      </c>
      <c r="C148" s="11">
        <v>104.14</v>
      </c>
      <c r="D148" s="11">
        <v>103.2</v>
      </c>
      <c r="E148" s="11">
        <v>104.53</v>
      </c>
      <c r="F148" s="11">
        <v>103.2</v>
      </c>
      <c r="G148" s="11">
        <v>0.61</v>
      </c>
      <c r="H148" s="11">
        <v>317563</v>
      </c>
      <c r="I148" s="11">
        <v>32463870.5</v>
      </c>
      <c r="J148" s="11">
        <v>488202449</v>
      </c>
      <c r="K148" s="11">
        <v>29139065648.02</v>
      </c>
      <c r="L148" s="6">
        <f t="shared" si="5"/>
        <v>102.22812638752</v>
      </c>
    </row>
    <row r="149" spans="1:12">
      <c r="A149">
        <f t="shared" si="4"/>
        <v>2024</v>
      </c>
      <c r="B149" s="10">
        <v>45583</v>
      </c>
      <c r="C149" s="11">
        <v>103.51</v>
      </c>
      <c r="D149" s="11">
        <v>103.87</v>
      </c>
      <c r="E149" s="11">
        <v>104.6</v>
      </c>
      <c r="F149" s="11">
        <v>103.31</v>
      </c>
      <c r="G149" s="11">
        <v>0.09</v>
      </c>
      <c r="H149" s="11">
        <v>1059325</v>
      </c>
      <c r="I149" s="11">
        <v>106959152.86</v>
      </c>
      <c r="J149" s="11">
        <v>487884886</v>
      </c>
      <c r="K149" s="11">
        <v>29106601777.52</v>
      </c>
      <c r="L149" s="6">
        <f t="shared" si="5"/>
        <v>100.969157586199</v>
      </c>
    </row>
    <row r="150" spans="1:12">
      <c r="A150">
        <f t="shared" si="4"/>
        <v>2024</v>
      </c>
      <c r="B150" s="10">
        <v>45582</v>
      </c>
      <c r="C150" s="11">
        <v>103.42</v>
      </c>
      <c r="D150" s="11">
        <v>102.39</v>
      </c>
      <c r="E150" s="11">
        <v>103.8</v>
      </c>
      <c r="F150" s="11">
        <v>102.39</v>
      </c>
      <c r="G150" s="11">
        <v>0.73</v>
      </c>
      <c r="H150" s="11">
        <v>503113</v>
      </c>
      <c r="I150" s="11">
        <v>46854881.02</v>
      </c>
      <c r="J150" s="11">
        <v>486825561</v>
      </c>
      <c r="K150" s="11">
        <v>28999642624.66</v>
      </c>
      <c r="L150" s="6">
        <f t="shared" si="5"/>
        <v>93.1299350642897</v>
      </c>
    </row>
    <row r="151" spans="1:12">
      <c r="A151">
        <f t="shared" si="4"/>
        <v>2024</v>
      </c>
      <c r="B151" s="10">
        <v>45581</v>
      </c>
      <c r="C151" s="11">
        <v>102.67</v>
      </c>
      <c r="D151" s="11">
        <v>102.52</v>
      </c>
      <c r="E151" s="11">
        <v>103.02</v>
      </c>
      <c r="F151" s="11">
        <v>102.52</v>
      </c>
      <c r="G151" s="11">
        <v>-0.35</v>
      </c>
      <c r="H151" s="11">
        <v>248000</v>
      </c>
      <c r="I151" s="11">
        <v>25538050</v>
      </c>
      <c r="J151" s="11">
        <v>486322448</v>
      </c>
      <c r="K151" s="11">
        <v>28952787743.64</v>
      </c>
      <c r="L151" s="6">
        <f t="shared" si="5"/>
        <v>102.976008064516</v>
      </c>
    </row>
    <row r="152" spans="1:12">
      <c r="A152">
        <f t="shared" si="4"/>
        <v>2024</v>
      </c>
      <c r="B152" s="10">
        <v>45580</v>
      </c>
      <c r="C152" s="11">
        <v>103.03</v>
      </c>
      <c r="D152" s="11">
        <v>103.47</v>
      </c>
      <c r="E152" s="11">
        <v>103.66</v>
      </c>
      <c r="F152" s="11">
        <v>102.33</v>
      </c>
      <c r="G152" s="11">
        <v>-0.44</v>
      </c>
      <c r="H152" s="11">
        <v>1216139</v>
      </c>
      <c r="I152" s="11">
        <v>123514987.31</v>
      </c>
      <c r="J152" s="11">
        <v>486074448</v>
      </c>
      <c r="K152" s="11">
        <v>28927249693.64</v>
      </c>
      <c r="L152" s="6">
        <f t="shared" si="5"/>
        <v>101.563215479481</v>
      </c>
    </row>
    <row r="153" spans="1:12">
      <c r="A153">
        <f t="shared" si="4"/>
        <v>2024</v>
      </c>
      <c r="B153" s="10">
        <v>45579</v>
      </c>
      <c r="C153" s="11">
        <v>103.49</v>
      </c>
      <c r="D153" s="11">
        <v>100.98</v>
      </c>
      <c r="E153" s="11">
        <v>104.1</v>
      </c>
      <c r="F153" s="11">
        <v>100.02</v>
      </c>
      <c r="G153" s="11">
        <v>2.52</v>
      </c>
      <c r="H153" s="11">
        <v>428713</v>
      </c>
      <c r="I153" s="11">
        <v>43455011</v>
      </c>
      <c r="J153" s="11">
        <v>484858309</v>
      </c>
      <c r="K153" s="11">
        <v>28803734706.33</v>
      </c>
      <c r="L153" s="6">
        <f t="shared" si="5"/>
        <v>101.361542570438</v>
      </c>
    </row>
    <row r="154" spans="1:12">
      <c r="A154">
        <f t="shared" si="4"/>
        <v>2024</v>
      </c>
      <c r="B154" s="10">
        <v>45576</v>
      </c>
      <c r="C154" s="11">
        <v>100.95</v>
      </c>
      <c r="D154" s="11">
        <v>103.09</v>
      </c>
      <c r="E154" s="11">
        <v>103.66</v>
      </c>
      <c r="F154" s="11">
        <v>99.93</v>
      </c>
      <c r="G154" s="11">
        <v>-1.9</v>
      </c>
      <c r="H154" s="11">
        <v>971092</v>
      </c>
      <c r="I154" s="11">
        <v>95131900.47</v>
      </c>
      <c r="J154" s="11">
        <v>484429596</v>
      </c>
      <c r="K154" s="11">
        <v>28760279695.33</v>
      </c>
      <c r="L154" s="6">
        <f t="shared" si="5"/>
        <v>97.9638391316168</v>
      </c>
    </row>
    <row r="155" spans="1:12">
      <c r="A155">
        <f t="shared" si="4"/>
        <v>2024</v>
      </c>
      <c r="B155" s="10">
        <v>45575</v>
      </c>
      <c r="C155" s="11">
        <v>102.9</v>
      </c>
      <c r="D155" s="11">
        <v>100.1</v>
      </c>
      <c r="E155" s="11">
        <v>103.17</v>
      </c>
      <c r="F155" s="11">
        <v>99.73</v>
      </c>
      <c r="G155" s="11">
        <v>1.78</v>
      </c>
      <c r="H155" s="11">
        <v>900647</v>
      </c>
      <c r="I155" s="11">
        <v>91850378.7</v>
      </c>
      <c r="J155" s="11">
        <v>483458504</v>
      </c>
      <c r="K155" s="11">
        <v>28665147794.86</v>
      </c>
      <c r="L155" s="6">
        <f t="shared" si="5"/>
        <v>101.982662130668</v>
      </c>
    </row>
    <row r="156" spans="1:12">
      <c r="A156">
        <f t="shared" si="4"/>
        <v>2024</v>
      </c>
      <c r="B156" s="10">
        <v>45574</v>
      </c>
      <c r="C156" s="11">
        <v>101.1</v>
      </c>
      <c r="D156" s="11">
        <v>100.06</v>
      </c>
      <c r="E156" s="11">
        <v>101.4</v>
      </c>
      <c r="F156" s="11">
        <v>100.06</v>
      </c>
      <c r="G156" s="11">
        <v>1.07</v>
      </c>
      <c r="H156" s="11">
        <v>907601</v>
      </c>
      <c r="I156" s="11">
        <v>79313177</v>
      </c>
      <c r="J156" s="11">
        <v>482557857</v>
      </c>
      <c r="K156" s="11">
        <v>28573297416.16</v>
      </c>
      <c r="L156" s="6">
        <f t="shared" si="5"/>
        <v>87.3877144251714</v>
      </c>
    </row>
    <row r="157" spans="1:12">
      <c r="A157">
        <f t="shared" si="4"/>
        <v>2024</v>
      </c>
      <c r="B157" s="10">
        <v>45573</v>
      </c>
      <c r="C157" s="11">
        <v>100.03</v>
      </c>
      <c r="D157" s="11">
        <v>99.9</v>
      </c>
      <c r="E157" s="11">
        <v>100.07</v>
      </c>
      <c r="F157" s="11">
        <v>99.9</v>
      </c>
      <c r="G157" s="11">
        <v>0.55</v>
      </c>
      <c r="H157" s="11">
        <v>830121</v>
      </c>
      <c r="I157" s="11">
        <v>72617707.8</v>
      </c>
      <c r="J157" s="11">
        <v>481650256</v>
      </c>
      <c r="K157" s="11">
        <v>28493984239.16</v>
      </c>
      <c r="L157" s="6">
        <f t="shared" si="5"/>
        <v>87.4784613327455</v>
      </c>
    </row>
    <row r="158" spans="1:12">
      <c r="A158">
        <f t="shared" si="4"/>
        <v>2024</v>
      </c>
      <c r="B158" s="10">
        <v>45565</v>
      </c>
      <c r="C158" s="11">
        <v>99.48</v>
      </c>
      <c r="D158" s="11">
        <v>99.23</v>
      </c>
      <c r="E158" s="11">
        <v>99.8</v>
      </c>
      <c r="F158" s="11">
        <v>98.73</v>
      </c>
      <c r="G158" s="11">
        <v>0.32</v>
      </c>
      <c r="H158" s="11">
        <v>997536</v>
      </c>
      <c r="I158" s="11">
        <v>97014291.2</v>
      </c>
      <c r="J158" s="11">
        <v>480820135</v>
      </c>
      <c r="K158" s="11">
        <v>28421366531.36</v>
      </c>
      <c r="L158" s="6">
        <f t="shared" si="5"/>
        <v>97.2539248708819</v>
      </c>
    </row>
    <row r="159" spans="1:12">
      <c r="A159">
        <f t="shared" si="4"/>
        <v>2024</v>
      </c>
      <c r="B159" s="10">
        <v>45562</v>
      </c>
      <c r="C159" s="11">
        <v>99.16</v>
      </c>
      <c r="D159" s="11">
        <v>99.54</v>
      </c>
      <c r="E159" s="11">
        <v>99.67</v>
      </c>
      <c r="F159" s="11">
        <v>99</v>
      </c>
      <c r="G159" s="11">
        <v>-1.05</v>
      </c>
      <c r="H159" s="11">
        <v>725153</v>
      </c>
      <c r="I159" s="11">
        <v>72603575.9</v>
      </c>
      <c r="J159" s="11">
        <v>479822599</v>
      </c>
      <c r="K159" s="11">
        <v>28324352240.16</v>
      </c>
      <c r="L159" s="6">
        <f t="shared" si="5"/>
        <v>100.121734171961</v>
      </c>
    </row>
    <row r="160" spans="1:12">
      <c r="A160">
        <f t="shared" si="4"/>
        <v>2024</v>
      </c>
      <c r="B160" s="10">
        <v>45561</v>
      </c>
      <c r="C160" s="11">
        <v>100.21</v>
      </c>
      <c r="D160" s="11">
        <v>96.73</v>
      </c>
      <c r="E160" s="11">
        <v>100.3</v>
      </c>
      <c r="F160" s="11">
        <v>96.4</v>
      </c>
      <c r="G160" s="11">
        <v>3.27</v>
      </c>
      <c r="H160" s="11">
        <v>608717</v>
      </c>
      <c r="I160" s="11">
        <v>61251450.2</v>
      </c>
      <c r="J160" s="11">
        <v>479097446</v>
      </c>
      <c r="K160" s="11">
        <v>28251748664.26</v>
      </c>
      <c r="L160" s="6">
        <f t="shared" si="5"/>
        <v>100.62385344914</v>
      </c>
    </row>
    <row r="161" spans="1:12">
      <c r="A161">
        <f t="shared" si="4"/>
        <v>2024</v>
      </c>
      <c r="B161" s="10">
        <v>45560</v>
      </c>
      <c r="C161" s="11">
        <v>97.04</v>
      </c>
      <c r="D161" s="11">
        <v>100.79</v>
      </c>
      <c r="E161" s="11">
        <v>100.79</v>
      </c>
      <c r="F161" s="11">
        <v>96.33</v>
      </c>
      <c r="G161" s="11">
        <v>-3.32</v>
      </c>
      <c r="H161" s="11">
        <v>503942</v>
      </c>
      <c r="I161" s="11">
        <v>49832339.2</v>
      </c>
      <c r="J161" s="11">
        <v>478488729</v>
      </c>
      <c r="K161" s="11">
        <v>28190497214.06</v>
      </c>
      <c r="L161" s="6">
        <f t="shared" si="5"/>
        <v>98.88506851979</v>
      </c>
    </row>
    <row r="162" spans="1:12">
      <c r="A162">
        <f t="shared" si="4"/>
        <v>2024</v>
      </c>
      <c r="B162" s="10">
        <v>45559</v>
      </c>
      <c r="C162" s="11">
        <v>100.37</v>
      </c>
      <c r="D162" s="11">
        <v>95.22</v>
      </c>
      <c r="E162" s="11">
        <v>100.6</v>
      </c>
      <c r="F162" s="11">
        <v>95.22</v>
      </c>
      <c r="G162" s="11">
        <v>5.41</v>
      </c>
      <c r="H162" s="11">
        <v>584686</v>
      </c>
      <c r="I162" s="11">
        <v>55733137.6</v>
      </c>
      <c r="J162" s="11">
        <v>477984787</v>
      </c>
      <c r="K162" s="11">
        <v>28140664874.86</v>
      </c>
      <c r="L162" s="6">
        <f t="shared" si="5"/>
        <v>95.3214846943488</v>
      </c>
    </row>
    <row r="163" spans="1:12">
      <c r="A163">
        <f t="shared" si="4"/>
        <v>2024</v>
      </c>
      <c r="B163" s="10">
        <v>45558</v>
      </c>
      <c r="C163" s="11">
        <v>95.22</v>
      </c>
      <c r="D163" s="11">
        <v>95.22</v>
      </c>
      <c r="E163" s="11">
        <v>95.22</v>
      </c>
      <c r="F163" s="11">
        <v>95.22</v>
      </c>
      <c r="G163" s="11">
        <v>0.29</v>
      </c>
      <c r="H163" s="11">
        <v>714701</v>
      </c>
      <c r="I163" s="11">
        <v>71873801</v>
      </c>
      <c r="J163" s="11">
        <v>477400101</v>
      </c>
      <c r="K163" s="11">
        <v>28084931737.26</v>
      </c>
      <c r="L163" s="6">
        <f t="shared" si="5"/>
        <v>100.564852994469</v>
      </c>
    </row>
    <row r="164" spans="1:12">
      <c r="A164">
        <f t="shared" si="4"/>
        <v>2024</v>
      </c>
      <c r="B164" s="10">
        <v>45555</v>
      </c>
      <c r="C164" s="11">
        <v>94.94</v>
      </c>
      <c r="D164" s="11">
        <v>89.09</v>
      </c>
      <c r="E164" s="11">
        <v>97.29</v>
      </c>
      <c r="F164" s="11">
        <v>89.09</v>
      </c>
      <c r="G164" s="11">
        <v>3.34</v>
      </c>
      <c r="H164" s="11">
        <v>581949</v>
      </c>
      <c r="I164" s="11">
        <v>58064601.46</v>
      </c>
      <c r="J164" s="11">
        <v>476685400</v>
      </c>
      <c r="K164" s="11">
        <v>28013057936.26</v>
      </c>
      <c r="L164" s="6">
        <f t="shared" si="5"/>
        <v>99.776099726952</v>
      </c>
    </row>
    <row r="165" spans="1:12">
      <c r="A165">
        <f t="shared" si="4"/>
        <v>2024</v>
      </c>
      <c r="B165" s="10">
        <v>45554</v>
      </c>
      <c r="C165" s="11">
        <v>91.87</v>
      </c>
      <c r="D165" s="11">
        <v>91.49</v>
      </c>
      <c r="E165" s="11">
        <v>93.09</v>
      </c>
      <c r="F165" s="11">
        <v>91.49</v>
      </c>
      <c r="G165" s="11">
        <v>-1.31</v>
      </c>
      <c r="H165" s="11">
        <v>336000</v>
      </c>
      <c r="I165" s="11">
        <v>33791550</v>
      </c>
      <c r="J165" s="11">
        <v>476103451</v>
      </c>
      <c r="K165" s="11">
        <v>27954993334.8</v>
      </c>
      <c r="L165" s="6">
        <f t="shared" si="5"/>
        <v>100.570089285714</v>
      </c>
    </row>
    <row r="166" spans="1:12">
      <c r="A166">
        <f t="shared" si="4"/>
        <v>2024</v>
      </c>
      <c r="B166" s="10">
        <v>45553</v>
      </c>
      <c r="C166" s="11">
        <v>93.09</v>
      </c>
      <c r="D166" s="11">
        <v>93.09</v>
      </c>
      <c r="E166" s="11">
        <v>93.09</v>
      </c>
      <c r="F166" s="11">
        <v>93.09</v>
      </c>
      <c r="G166" s="11">
        <v>0.31</v>
      </c>
      <c r="H166" s="11">
        <v>2000</v>
      </c>
      <c r="I166" s="11">
        <v>199600</v>
      </c>
      <c r="J166" s="11">
        <v>475767451</v>
      </c>
      <c r="K166" s="11">
        <v>27921201784.8</v>
      </c>
      <c r="L166" s="6">
        <f t="shared" si="5"/>
        <v>99.8</v>
      </c>
    </row>
    <row r="167" spans="1:12">
      <c r="A167">
        <f t="shared" si="4"/>
        <v>2024</v>
      </c>
      <c r="B167" s="10">
        <v>45548</v>
      </c>
      <c r="C167" s="11">
        <v>92.8</v>
      </c>
      <c r="D167" s="11">
        <v>86.65</v>
      </c>
      <c r="E167" s="11">
        <v>92.99</v>
      </c>
      <c r="F167" s="11">
        <v>86.65</v>
      </c>
      <c r="G167" s="11">
        <v>3.2</v>
      </c>
      <c r="H167" s="11">
        <v>679802</v>
      </c>
      <c r="I167" s="11">
        <v>67802278.92</v>
      </c>
      <c r="J167" s="11">
        <v>475765451</v>
      </c>
      <c r="K167" s="11">
        <v>27921002184.8</v>
      </c>
      <c r="L167" s="6">
        <f t="shared" si="5"/>
        <v>99.7382751448216</v>
      </c>
    </row>
    <row r="168" spans="1:12">
      <c r="A168">
        <f t="shared" si="4"/>
        <v>2024</v>
      </c>
      <c r="B168" s="10">
        <v>45547</v>
      </c>
      <c r="C168" s="11">
        <v>89.92</v>
      </c>
      <c r="D168" s="11">
        <v>89.92</v>
      </c>
      <c r="E168" s="11">
        <v>90.08</v>
      </c>
      <c r="F168" s="11">
        <v>89.92</v>
      </c>
      <c r="G168" s="11">
        <v>0.19</v>
      </c>
      <c r="H168" s="11">
        <v>100501</v>
      </c>
      <c r="I168" s="11">
        <v>9949849.49</v>
      </c>
      <c r="J168" s="11">
        <v>475085649</v>
      </c>
      <c r="K168" s="11">
        <v>27853199905.88</v>
      </c>
      <c r="L168" s="6">
        <f t="shared" si="5"/>
        <v>99.0024924130108</v>
      </c>
    </row>
    <row r="169" spans="1:12">
      <c r="A169">
        <f t="shared" si="4"/>
        <v>2024</v>
      </c>
      <c r="B169" s="10">
        <v>45546</v>
      </c>
      <c r="C169" s="11">
        <v>89.75</v>
      </c>
      <c r="D169" s="11">
        <v>89.4</v>
      </c>
      <c r="E169" s="11">
        <v>89.92</v>
      </c>
      <c r="F169" s="11">
        <v>89.4</v>
      </c>
      <c r="G169" s="11">
        <v>-0.26</v>
      </c>
      <c r="H169" s="11">
        <v>153466</v>
      </c>
      <c r="I169" s="11">
        <v>14767971.76</v>
      </c>
      <c r="J169" s="11">
        <v>474985148</v>
      </c>
      <c r="K169" s="11">
        <v>27843250056.39</v>
      </c>
      <c r="L169" s="6">
        <f t="shared" si="5"/>
        <v>96.229599781059</v>
      </c>
    </row>
    <row r="170" spans="1:12">
      <c r="A170">
        <f t="shared" si="4"/>
        <v>2024</v>
      </c>
      <c r="B170" s="10">
        <v>45545</v>
      </c>
      <c r="C170" s="11">
        <v>89.98</v>
      </c>
      <c r="D170" s="11">
        <v>89.76</v>
      </c>
      <c r="E170" s="11">
        <v>90.5</v>
      </c>
      <c r="F170" s="11">
        <v>89.76</v>
      </c>
      <c r="G170" s="11">
        <v>-3.08</v>
      </c>
      <c r="H170" s="11">
        <v>139917</v>
      </c>
      <c r="I170" s="11">
        <v>13595185.38</v>
      </c>
      <c r="J170" s="11">
        <v>474831682</v>
      </c>
      <c r="K170" s="11">
        <v>27828482084.63</v>
      </c>
      <c r="L170" s="6">
        <f t="shared" si="5"/>
        <v>97.1660726001844</v>
      </c>
    </row>
    <row r="171" spans="1:12">
      <c r="A171">
        <f t="shared" si="4"/>
        <v>2024</v>
      </c>
      <c r="B171" s="10">
        <v>45544</v>
      </c>
      <c r="C171" s="11">
        <v>92.84</v>
      </c>
      <c r="D171" s="11">
        <v>92.45</v>
      </c>
      <c r="E171" s="11">
        <v>93.41</v>
      </c>
      <c r="F171" s="11">
        <v>92.45</v>
      </c>
      <c r="G171" s="11">
        <v>-0.31</v>
      </c>
      <c r="H171" s="11">
        <v>167630</v>
      </c>
      <c r="I171" s="11">
        <v>16223495</v>
      </c>
      <c r="J171" s="11">
        <v>474691765</v>
      </c>
      <c r="K171" s="11">
        <v>27814886899.25</v>
      </c>
      <c r="L171" s="6">
        <f t="shared" si="5"/>
        <v>96.7815725108871</v>
      </c>
    </row>
    <row r="172" spans="1:12">
      <c r="A172">
        <f t="shared" si="4"/>
        <v>2024</v>
      </c>
      <c r="B172" s="10">
        <v>45541</v>
      </c>
      <c r="C172" s="11">
        <v>93.13</v>
      </c>
      <c r="D172" s="11">
        <v>92.91</v>
      </c>
      <c r="E172" s="11">
        <v>93.25</v>
      </c>
      <c r="F172" s="11">
        <v>92.91</v>
      </c>
      <c r="G172" s="11">
        <v>0.67</v>
      </c>
      <c r="H172" s="11">
        <v>38100</v>
      </c>
      <c r="I172" s="11">
        <v>3720300</v>
      </c>
      <c r="J172" s="11">
        <v>474524135</v>
      </c>
      <c r="K172" s="11">
        <v>27798663404.25</v>
      </c>
      <c r="L172" s="6">
        <f t="shared" si="5"/>
        <v>97.6456692913386</v>
      </c>
    </row>
    <row r="173" spans="1:12">
      <c r="A173">
        <f t="shared" si="4"/>
        <v>2024</v>
      </c>
      <c r="B173" s="10">
        <v>45540</v>
      </c>
      <c r="C173" s="11">
        <v>92.51</v>
      </c>
      <c r="D173" s="11">
        <v>90.23</v>
      </c>
      <c r="E173" s="11">
        <v>93.38</v>
      </c>
      <c r="F173" s="11">
        <v>90.06</v>
      </c>
      <c r="G173" s="11">
        <v>-0.66</v>
      </c>
      <c r="H173" s="11">
        <v>926300</v>
      </c>
      <c r="I173" s="11">
        <v>77046232.8</v>
      </c>
      <c r="J173" s="11">
        <v>474486035</v>
      </c>
      <c r="K173" s="11">
        <v>27794943104.25</v>
      </c>
      <c r="L173" s="6">
        <f t="shared" si="5"/>
        <v>83.1763281874123</v>
      </c>
    </row>
    <row r="174" spans="1:12">
      <c r="A174">
        <f t="shared" si="4"/>
        <v>2024</v>
      </c>
      <c r="B174" s="10">
        <v>45539</v>
      </c>
      <c r="C174" s="11">
        <v>93.12</v>
      </c>
      <c r="D174" s="11">
        <v>93.1</v>
      </c>
      <c r="E174" s="11">
        <v>93.27</v>
      </c>
      <c r="F174" s="11">
        <v>93.1</v>
      </c>
      <c r="G174" s="11">
        <v>0.05</v>
      </c>
      <c r="H174" s="11">
        <v>215500</v>
      </c>
      <c r="I174" s="11">
        <v>20809000</v>
      </c>
      <c r="J174" s="11">
        <v>473559735</v>
      </c>
      <c r="K174" s="11">
        <v>27717896871.45</v>
      </c>
      <c r="L174" s="6">
        <f t="shared" si="5"/>
        <v>96.5614849187935</v>
      </c>
    </row>
    <row r="175" spans="1:12">
      <c r="A175">
        <f t="shared" si="4"/>
        <v>2024</v>
      </c>
      <c r="B175" s="10">
        <v>45538</v>
      </c>
      <c r="C175" s="11">
        <v>93.07</v>
      </c>
      <c r="D175" s="11">
        <v>92.1</v>
      </c>
      <c r="E175" s="11">
        <v>93.41</v>
      </c>
      <c r="F175" s="11">
        <v>92.1</v>
      </c>
      <c r="G175" s="11">
        <v>0.7</v>
      </c>
      <c r="H175" s="11">
        <v>12350</v>
      </c>
      <c r="I175" s="11">
        <v>1185835</v>
      </c>
      <c r="J175" s="11">
        <v>473344235</v>
      </c>
      <c r="K175" s="11">
        <v>27697087871.45</v>
      </c>
      <c r="L175" s="6">
        <f t="shared" si="5"/>
        <v>96.019028340081</v>
      </c>
    </row>
    <row r="176" spans="1:12">
      <c r="A176">
        <f t="shared" si="4"/>
        <v>2024</v>
      </c>
      <c r="B176" s="10">
        <v>45537</v>
      </c>
      <c r="C176" s="11">
        <v>92.42</v>
      </c>
      <c r="D176" s="11">
        <v>89.41</v>
      </c>
      <c r="E176" s="11">
        <v>92.77</v>
      </c>
      <c r="F176" s="11">
        <v>89.41</v>
      </c>
      <c r="G176" s="11">
        <v>0.16</v>
      </c>
      <c r="H176" s="11">
        <v>347337</v>
      </c>
      <c r="I176" s="11">
        <v>32177786.26</v>
      </c>
      <c r="J176" s="11">
        <v>473331885</v>
      </c>
      <c r="K176" s="11">
        <v>27695902036.45</v>
      </c>
      <c r="L176" s="6">
        <f t="shared" si="5"/>
        <v>92.6414008873227</v>
      </c>
    </row>
    <row r="177" spans="1:12">
      <c r="A177">
        <f t="shared" si="4"/>
        <v>2024</v>
      </c>
      <c r="B177" s="10">
        <v>45534</v>
      </c>
      <c r="C177" s="11">
        <v>92.27</v>
      </c>
      <c r="D177" s="11">
        <v>90.25</v>
      </c>
      <c r="E177" s="11">
        <v>95.01</v>
      </c>
      <c r="F177" s="11">
        <v>89.58</v>
      </c>
      <c r="G177" s="11">
        <v>2.78</v>
      </c>
      <c r="H177" s="11">
        <v>124367</v>
      </c>
      <c r="I177" s="11">
        <v>11620781.69</v>
      </c>
      <c r="J177" s="11">
        <v>472984548</v>
      </c>
      <c r="K177" s="11">
        <v>27663724250.19</v>
      </c>
      <c r="L177" s="6">
        <f t="shared" si="5"/>
        <v>93.4394307975588</v>
      </c>
    </row>
    <row r="178" spans="1:12">
      <c r="A178">
        <f t="shared" si="4"/>
        <v>2024</v>
      </c>
      <c r="B178" s="10">
        <v>45533</v>
      </c>
      <c r="C178" s="11">
        <v>89.77</v>
      </c>
      <c r="D178" s="11">
        <v>88.42</v>
      </c>
      <c r="E178" s="11">
        <v>92.04</v>
      </c>
      <c r="F178" s="11">
        <v>88.42</v>
      </c>
      <c r="G178" s="11">
        <v>0.82</v>
      </c>
      <c r="H178" s="11">
        <v>42924</v>
      </c>
      <c r="I178" s="11">
        <v>4083327.74</v>
      </c>
      <c r="J178" s="11">
        <v>472860181</v>
      </c>
      <c r="K178" s="11">
        <v>27652103468.5</v>
      </c>
      <c r="L178" s="6">
        <f t="shared" si="5"/>
        <v>95.1292456434629</v>
      </c>
    </row>
    <row r="179" spans="1:12">
      <c r="A179">
        <f t="shared" si="4"/>
        <v>2024</v>
      </c>
      <c r="B179" s="10">
        <v>45532</v>
      </c>
      <c r="C179" s="11">
        <v>89.04</v>
      </c>
      <c r="D179" s="11">
        <v>90.65</v>
      </c>
      <c r="E179" s="11">
        <v>90.65</v>
      </c>
      <c r="F179" s="11">
        <v>88.77</v>
      </c>
      <c r="G179" s="11">
        <v>-3.57</v>
      </c>
      <c r="H179" s="11">
        <v>1107001</v>
      </c>
      <c r="I179" s="11">
        <v>88210774.7</v>
      </c>
      <c r="J179" s="11">
        <v>472817257</v>
      </c>
      <c r="K179" s="11">
        <v>27648020140.76</v>
      </c>
      <c r="L179" s="6">
        <f t="shared" si="5"/>
        <v>79.6844580086197</v>
      </c>
    </row>
    <row r="180" spans="1:12">
      <c r="A180">
        <f t="shared" si="4"/>
        <v>2024</v>
      </c>
      <c r="B180" s="10">
        <v>45531</v>
      </c>
      <c r="C180" s="11">
        <v>92.34</v>
      </c>
      <c r="D180" s="11">
        <v>90.04</v>
      </c>
      <c r="E180" s="11">
        <v>92.54</v>
      </c>
      <c r="F180" s="11">
        <v>89.57</v>
      </c>
      <c r="G180" s="11">
        <v>2.13</v>
      </c>
      <c r="H180" s="11">
        <v>154671</v>
      </c>
      <c r="I180" s="11">
        <v>14593853.46</v>
      </c>
      <c r="J180" s="11">
        <v>471710256</v>
      </c>
      <c r="K180" s="11">
        <v>27559809366.06</v>
      </c>
      <c r="L180" s="6">
        <f t="shared" si="5"/>
        <v>94.3541676203037</v>
      </c>
    </row>
    <row r="181" spans="1:12">
      <c r="A181">
        <f t="shared" si="4"/>
        <v>2024</v>
      </c>
      <c r="B181" s="10">
        <v>45530</v>
      </c>
      <c r="C181" s="11">
        <v>90.41</v>
      </c>
      <c r="D181" s="11">
        <v>89.66</v>
      </c>
      <c r="E181" s="11">
        <v>90.54</v>
      </c>
      <c r="F181" s="11">
        <v>89.66</v>
      </c>
      <c r="G181" s="11">
        <v>0.9</v>
      </c>
      <c r="H181" s="11">
        <v>51657</v>
      </c>
      <c r="I181" s="11">
        <v>4840175.03</v>
      </c>
      <c r="J181" s="11">
        <v>471555585</v>
      </c>
      <c r="K181" s="11">
        <v>27545215512.6</v>
      </c>
      <c r="L181" s="6">
        <f t="shared" si="5"/>
        <v>93.698337688987</v>
      </c>
    </row>
    <row r="182" spans="1:12">
      <c r="A182">
        <f t="shared" si="4"/>
        <v>2024</v>
      </c>
      <c r="B182" s="10">
        <v>45527</v>
      </c>
      <c r="C182" s="11">
        <v>89.6</v>
      </c>
      <c r="D182" s="11">
        <v>88.69</v>
      </c>
      <c r="E182" s="11">
        <v>89.84</v>
      </c>
      <c r="F182" s="11">
        <v>88.69</v>
      </c>
      <c r="G182" s="11">
        <v>0.43</v>
      </c>
      <c r="H182" s="11">
        <v>190700</v>
      </c>
      <c r="I182" s="11">
        <v>17851676</v>
      </c>
      <c r="J182" s="11">
        <v>471503928</v>
      </c>
      <c r="K182" s="11">
        <v>27540375337.57</v>
      </c>
      <c r="L182" s="6">
        <f t="shared" si="5"/>
        <v>93.611305715784</v>
      </c>
    </row>
    <row r="183" spans="1:12">
      <c r="A183">
        <f t="shared" si="4"/>
        <v>2024</v>
      </c>
      <c r="B183" s="10">
        <v>45526</v>
      </c>
      <c r="C183" s="11">
        <v>89.22</v>
      </c>
      <c r="D183" s="11">
        <v>88.34</v>
      </c>
      <c r="E183" s="11">
        <v>89.54</v>
      </c>
      <c r="F183" s="11">
        <v>88</v>
      </c>
      <c r="G183" s="11">
        <v>0.78</v>
      </c>
      <c r="H183" s="11">
        <v>34112</v>
      </c>
      <c r="I183" s="11">
        <v>3105231.92</v>
      </c>
      <c r="J183" s="11">
        <v>471313228</v>
      </c>
      <c r="K183" s="11">
        <v>27522523661.57</v>
      </c>
      <c r="L183" s="6">
        <f t="shared" si="5"/>
        <v>91.0304854596623</v>
      </c>
    </row>
    <row r="184" spans="1:12">
      <c r="A184">
        <f t="shared" si="4"/>
        <v>2024</v>
      </c>
      <c r="B184" s="10">
        <v>45525</v>
      </c>
      <c r="C184" s="11">
        <v>88.53</v>
      </c>
      <c r="D184" s="11">
        <v>90.77</v>
      </c>
      <c r="E184" s="11">
        <v>90.77</v>
      </c>
      <c r="F184" s="11">
        <v>88.32</v>
      </c>
      <c r="G184" s="11">
        <v>-3.07</v>
      </c>
      <c r="H184" s="11">
        <v>1194861</v>
      </c>
      <c r="I184" s="11">
        <v>89120522.28</v>
      </c>
      <c r="J184" s="11">
        <v>471279116</v>
      </c>
      <c r="K184" s="11">
        <v>27519418429.65</v>
      </c>
      <c r="L184" s="6">
        <f t="shared" si="5"/>
        <v>74.586518666188</v>
      </c>
    </row>
    <row r="185" spans="1:12">
      <c r="A185">
        <f t="shared" si="4"/>
        <v>2024</v>
      </c>
      <c r="B185" s="10">
        <v>45524</v>
      </c>
      <c r="C185" s="11">
        <v>91.33</v>
      </c>
      <c r="D185" s="11">
        <v>90.81</v>
      </c>
      <c r="E185" s="11">
        <v>91.73</v>
      </c>
      <c r="F185" s="11">
        <v>89.04</v>
      </c>
      <c r="G185" s="11">
        <v>-0.51</v>
      </c>
      <c r="H185" s="11">
        <v>649519</v>
      </c>
      <c r="I185" s="11">
        <v>60538960.7</v>
      </c>
      <c r="J185" s="11">
        <v>470084255</v>
      </c>
      <c r="K185" s="11">
        <v>27430297907.37</v>
      </c>
      <c r="L185" s="6">
        <f t="shared" si="5"/>
        <v>93.2058349332352</v>
      </c>
    </row>
    <row r="186" spans="1:12">
      <c r="A186">
        <f t="shared" si="4"/>
        <v>2024</v>
      </c>
      <c r="B186" s="10">
        <v>45523</v>
      </c>
      <c r="C186" s="11">
        <v>91.8</v>
      </c>
      <c r="D186" s="11">
        <v>90.93</v>
      </c>
      <c r="E186" s="11">
        <v>92.18</v>
      </c>
      <c r="F186" s="11">
        <v>89.97</v>
      </c>
      <c r="G186" s="11">
        <v>0.56</v>
      </c>
      <c r="H186" s="11">
        <v>140767</v>
      </c>
      <c r="I186" s="11">
        <v>13105824.4</v>
      </c>
      <c r="J186" s="11">
        <v>469434736</v>
      </c>
      <c r="K186" s="11">
        <v>27369758946.67</v>
      </c>
      <c r="L186" s="6">
        <f t="shared" si="5"/>
        <v>93.1029602108449</v>
      </c>
    </row>
    <row r="187" spans="1:12">
      <c r="A187">
        <f t="shared" si="4"/>
        <v>2024</v>
      </c>
      <c r="B187" s="10">
        <v>45520</v>
      </c>
      <c r="C187" s="11">
        <v>91.29</v>
      </c>
      <c r="D187" s="11">
        <v>91.5</v>
      </c>
      <c r="E187" s="11">
        <v>91.5</v>
      </c>
      <c r="F187" s="11">
        <v>91</v>
      </c>
      <c r="G187" s="11">
        <v>0.32</v>
      </c>
      <c r="H187" s="11">
        <v>140005</v>
      </c>
      <c r="I187" s="11">
        <v>12875460</v>
      </c>
      <c r="J187" s="11">
        <v>469293969</v>
      </c>
      <c r="K187" s="11">
        <v>27356653122.27</v>
      </c>
      <c r="L187" s="6">
        <f t="shared" si="5"/>
        <v>91.9642869897504</v>
      </c>
    </row>
    <row r="188" spans="1:12">
      <c r="A188">
        <f t="shared" si="4"/>
        <v>2024</v>
      </c>
      <c r="B188" s="10">
        <v>45519</v>
      </c>
      <c r="C188" s="11">
        <v>91</v>
      </c>
      <c r="D188" s="11">
        <v>91</v>
      </c>
      <c r="E188" s="11">
        <v>91</v>
      </c>
      <c r="F188" s="11">
        <v>91</v>
      </c>
      <c r="G188" s="11">
        <v>-0.1</v>
      </c>
      <c r="H188" s="11">
        <v>113554</v>
      </c>
      <c r="I188" s="11">
        <v>10446468</v>
      </c>
      <c r="J188" s="11">
        <v>469153964</v>
      </c>
      <c r="K188" s="11">
        <v>27343777662.27</v>
      </c>
      <c r="L188" s="6">
        <f t="shared" si="5"/>
        <v>91.9955968085668</v>
      </c>
    </row>
    <row r="189" spans="1:12">
      <c r="A189">
        <f t="shared" si="4"/>
        <v>2024</v>
      </c>
      <c r="B189" s="10">
        <v>45518</v>
      </c>
      <c r="C189" s="11">
        <v>91.09</v>
      </c>
      <c r="D189" s="11">
        <v>91.02</v>
      </c>
      <c r="E189" s="11">
        <v>91.1</v>
      </c>
      <c r="F189" s="11">
        <v>91.02</v>
      </c>
      <c r="G189" s="11">
        <v>0.07</v>
      </c>
      <c r="H189" s="11">
        <v>15000</v>
      </c>
      <c r="I189" s="11">
        <v>1376750</v>
      </c>
      <c r="J189" s="11">
        <v>469040410</v>
      </c>
      <c r="K189" s="11">
        <v>27333331194.27</v>
      </c>
      <c r="L189" s="6">
        <f t="shared" si="5"/>
        <v>91.7833333333333</v>
      </c>
    </row>
    <row r="190" spans="1:12">
      <c r="A190">
        <f t="shared" si="4"/>
        <v>2024</v>
      </c>
      <c r="B190" s="10">
        <v>45517</v>
      </c>
      <c r="C190" s="11">
        <v>91.03</v>
      </c>
      <c r="D190" s="11">
        <v>91.83</v>
      </c>
      <c r="E190" s="11">
        <v>91.83</v>
      </c>
      <c r="F190" s="11">
        <v>90.97</v>
      </c>
      <c r="G190" s="11">
        <v>-0.87</v>
      </c>
      <c r="H190" s="11">
        <v>68370</v>
      </c>
      <c r="I190" s="11">
        <v>6242647</v>
      </c>
      <c r="J190" s="11">
        <v>469025410</v>
      </c>
      <c r="K190" s="11">
        <v>27331954444.27</v>
      </c>
      <c r="L190" s="6">
        <f t="shared" si="5"/>
        <v>91.3068158549071</v>
      </c>
    </row>
    <row r="191" spans="1:12">
      <c r="A191">
        <f t="shared" si="4"/>
        <v>2024</v>
      </c>
      <c r="B191" s="10">
        <v>45516</v>
      </c>
      <c r="C191" s="11">
        <v>91.83</v>
      </c>
      <c r="D191" s="11">
        <v>90.57</v>
      </c>
      <c r="E191" s="11">
        <v>92.97</v>
      </c>
      <c r="F191" s="11">
        <v>90.57</v>
      </c>
      <c r="G191" s="11">
        <v>1.39</v>
      </c>
      <c r="H191" s="11">
        <v>406401</v>
      </c>
      <c r="I191" s="11">
        <v>37544605.9</v>
      </c>
      <c r="J191" s="11">
        <v>468957040</v>
      </c>
      <c r="K191" s="11">
        <v>27325711797.27</v>
      </c>
      <c r="L191" s="6">
        <f t="shared" si="5"/>
        <v>92.3831533386975</v>
      </c>
    </row>
    <row r="192" spans="1:12">
      <c r="A192">
        <f t="shared" si="4"/>
        <v>2024</v>
      </c>
      <c r="B192" s="10">
        <v>45513</v>
      </c>
      <c r="C192" s="11">
        <v>90.57</v>
      </c>
      <c r="D192" s="11">
        <v>89.83</v>
      </c>
      <c r="E192" s="11">
        <v>91.57</v>
      </c>
      <c r="F192" s="11">
        <v>89.83</v>
      </c>
      <c r="G192" s="11">
        <v>-1.48</v>
      </c>
      <c r="H192" s="11">
        <v>212971</v>
      </c>
      <c r="I192" s="11">
        <v>19526855.6</v>
      </c>
      <c r="J192" s="11">
        <v>468550639</v>
      </c>
      <c r="K192" s="11">
        <v>27288167191.37</v>
      </c>
      <c r="L192" s="6">
        <f t="shared" si="5"/>
        <v>91.6878617276531</v>
      </c>
    </row>
    <row r="193" spans="1:12">
      <c r="A193">
        <f t="shared" si="4"/>
        <v>2024</v>
      </c>
      <c r="B193" s="10">
        <v>45512</v>
      </c>
      <c r="C193" s="11">
        <v>91.93</v>
      </c>
      <c r="D193" s="11">
        <v>91.6</v>
      </c>
      <c r="E193" s="11">
        <v>91.93</v>
      </c>
      <c r="F193" s="11">
        <v>91.6</v>
      </c>
      <c r="G193" s="11">
        <v>0.19</v>
      </c>
      <c r="H193" s="11">
        <v>113200</v>
      </c>
      <c r="I193" s="11">
        <v>10320800</v>
      </c>
      <c r="J193" s="11">
        <v>468337668</v>
      </c>
      <c r="K193" s="11">
        <v>27268640335.77</v>
      </c>
      <c r="L193" s="6">
        <f t="shared" si="5"/>
        <v>91.1731448763251</v>
      </c>
    </row>
    <row r="194" spans="1:12">
      <c r="A194">
        <f t="shared" si="4"/>
        <v>2024</v>
      </c>
      <c r="B194" s="10">
        <v>45511</v>
      </c>
      <c r="C194" s="11">
        <v>91.76</v>
      </c>
      <c r="D194" s="11">
        <v>91.57</v>
      </c>
      <c r="E194" s="11">
        <v>92</v>
      </c>
      <c r="F194" s="11">
        <v>91.57</v>
      </c>
      <c r="G194" s="11">
        <v>-0.12</v>
      </c>
      <c r="H194" s="11">
        <v>231000</v>
      </c>
      <c r="I194" s="11">
        <v>20971200</v>
      </c>
      <c r="J194" s="11">
        <v>468224468</v>
      </c>
      <c r="K194" s="11">
        <v>27258319535.77</v>
      </c>
      <c r="L194" s="6">
        <f t="shared" si="5"/>
        <v>90.7844155844156</v>
      </c>
    </row>
    <row r="195" spans="1:12">
      <c r="A195">
        <f t="shared" si="4"/>
        <v>2024</v>
      </c>
      <c r="B195" s="10">
        <v>45510</v>
      </c>
      <c r="C195" s="11">
        <v>91.87</v>
      </c>
      <c r="D195" s="11">
        <v>91.83</v>
      </c>
      <c r="E195" s="11">
        <v>92.17</v>
      </c>
      <c r="F195" s="11">
        <v>91.83</v>
      </c>
      <c r="G195" s="11">
        <v>0.46</v>
      </c>
      <c r="H195" s="11">
        <v>55503</v>
      </c>
      <c r="I195" s="11">
        <v>5111776</v>
      </c>
      <c r="J195" s="11">
        <v>467993468</v>
      </c>
      <c r="K195" s="11">
        <v>27237348335.77</v>
      </c>
      <c r="L195" s="6">
        <f t="shared" si="5"/>
        <v>92.0990937426806</v>
      </c>
    </row>
    <row r="196" spans="1:12">
      <c r="A196">
        <f t="shared" ref="A196:A259" si="6">YEAR(B196)</f>
        <v>2024</v>
      </c>
      <c r="B196" s="10">
        <v>45509</v>
      </c>
      <c r="C196" s="11">
        <v>91.45</v>
      </c>
      <c r="D196" s="11">
        <v>89.9</v>
      </c>
      <c r="E196" s="11">
        <v>92.17</v>
      </c>
      <c r="F196" s="11">
        <v>89.9</v>
      </c>
      <c r="G196" s="11">
        <v>1.46</v>
      </c>
      <c r="H196" s="11">
        <v>650528</v>
      </c>
      <c r="I196" s="11">
        <v>58987416</v>
      </c>
      <c r="J196" s="11">
        <v>467937965</v>
      </c>
      <c r="K196" s="11">
        <v>27232236559.77</v>
      </c>
      <c r="L196" s="6">
        <f t="shared" ref="L196:L259" si="7">I196/H196</f>
        <v>90.6762137832653</v>
      </c>
    </row>
    <row r="197" spans="1:12">
      <c r="A197">
        <f t="shared" si="6"/>
        <v>2024</v>
      </c>
      <c r="B197" s="10">
        <v>45506</v>
      </c>
      <c r="C197" s="11">
        <v>90.13</v>
      </c>
      <c r="D197" s="11">
        <v>89.8</v>
      </c>
      <c r="E197" s="11">
        <v>90.17</v>
      </c>
      <c r="F197" s="11">
        <v>89.8</v>
      </c>
      <c r="G197" s="11">
        <v>-0.04</v>
      </c>
      <c r="H197" s="11">
        <v>153000</v>
      </c>
      <c r="I197" s="11">
        <v>13826700</v>
      </c>
      <c r="J197" s="11">
        <v>467287437</v>
      </c>
      <c r="K197" s="11">
        <v>27173249143.77</v>
      </c>
      <c r="L197" s="6">
        <f t="shared" si="7"/>
        <v>90.3705882352941</v>
      </c>
    </row>
    <row r="198" spans="1:12">
      <c r="A198">
        <f t="shared" si="6"/>
        <v>2024</v>
      </c>
      <c r="B198" s="10">
        <v>45505</v>
      </c>
      <c r="C198" s="11">
        <v>90.17</v>
      </c>
      <c r="D198" s="11">
        <v>90.67</v>
      </c>
      <c r="E198" s="11">
        <v>91</v>
      </c>
      <c r="F198" s="11">
        <v>89.83</v>
      </c>
      <c r="G198" s="11">
        <v>-1.13</v>
      </c>
      <c r="H198" s="11">
        <v>12000</v>
      </c>
      <c r="I198" s="11">
        <v>1075000</v>
      </c>
      <c r="J198" s="11">
        <v>467134437</v>
      </c>
      <c r="K198" s="11">
        <v>27159422443.77</v>
      </c>
      <c r="L198" s="6">
        <f t="shared" si="7"/>
        <v>89.5833333333333</v>
      </c>
    </row>
    <row r="199" spans="1:12">
      <c r="A199">
        <f t="shared" si="6"/>
        <v>2024</v>
      </c>
      <c r="B199" s="10">
        <v>45504</v>
      </c>
      <c r="C199" s="11">
        <v>91.2</v>
      </c>
      <c r="D199" s="11">
        <v>91.4</v>
      </c>
      <c r="E199" s="11">
        <v>91.78</v>
      </c>
      <c r="F199" s="11">
        <v>91</v>
      </c>
      <c r="G199" s="11">
        <v>-0.01</v>
      </c>
      <c r="H199" s="11">
        <v>30384</v>
      </c>
      <c r="I199" s="11">
        <v>2752644</v>
      </c>
      <c r="J199" s="11">
        <v>467122437</v>
      </c>
      <c r="K199" s="11">
        <v>27158347443.77</v>
      </c>
      <c r="L199" s="6">
        <f t="shared" si="7"/>
        <v>90.5951816745656</v>
      </c>
    </row>
    <row r="200" spans="1:12">
      <c r="A200">
        <f t="shared" si="6"/>
        <v>2024</v>
      </c>
      <c r="B200" s="10">
        <v>45503</v>
      </c>
      <c r="C200" s="11">
        <v>91.21</v>
      </c>
      <c r="D200" s="11">
        <v>92</v>
      </c>
      <c r="E200" s="11">
        <v>92.33</v>
      </c>
      <c r="F200" s="11">
        <v>91</v>
      </c>
      <c r="G200" s="11">
        <v>-0.43</v>
      </c>
      <c r="H200" s="11">
        <v>137005</v>
      </c>
      <c r="I200" s="11">
        <v>12538457.5</v>
      </c>
      <c r="J200" s="11">
        <v>467092053</v>
      </c>
      <c r="K200" s="11">
        <v>27155594799.77</v>
      </c>
      <c r="L200" s="6">
        <f t="shared" si="7"/>
        <v>91.518247509215</v>
      </c>
    </row>
    <row r="201" spans="1:12">
      <c r="A201">
        <f t="shared" si="6"/>
        <v>2024</v>
      </c>
      <c r="B201" s="10">
        <v>45502</v>
      </c>
      <c r="C201" s="11">
        <v>91.6</v>
      </c>
      <c r="D201" s="11">
        <v>91.6</v>
      </c>
      <c r="E201" s="11">
        <v>91.6</v>
      </c>
      <c r="F201" s="11">
        <v>91.6</v>
      </c>
      <c r="G201" s="11">
        <v>0</v>
      </c>
      <c r="H201" s="11">
        <v>174005</v>
      </c>
      <c r="I201" s="11">
        <v>15982357.5</v>
      </c>
      <c r="J201" s="11">
        <v>466955048</v>
      </c>
      <c r="K201" s="11">
        <v>27143056342.27</v>
      </c>
      <c r="L201" s="6">
        <f t="shared" si="7"/>
        <v>91.8499899428177</v>
      </c>
    </row>
    <row r="202" spans="1:12">
      <c r="A202">
        <f t="shared" si="6"/>
        <v>2024</v>
      </c>
      <c r="B202" s="10">
        <v>45499</v>
      </c>
      <c r="C202" s="11">
        <v>91.6</v>
      </c>
      <c r="D202" s="11">
        <v>91.6</v>
      </c>
      <c r="E202" s="11">
        <v>91.6</v>
      </c>
      <c r="F202" s="11">
        <v>91.6</v>
      </c>
      <c r="G202" s="11">
        <v>1.26</v>
      </c>
      <c r="H202" s="11">
        <v>10000</v>
      </c>
      <c r="I202" s="11">
        <v>918000</v>
      </c>
      <c r="J202" s="11">
        <v>466781043</v>
      </c>
      <c r="K202" s="11">
        <v>27127073984.77</v>
      </c>
      <c r="L202" s="6">
        <f t="shared" si="7"/>
        <v>91.8</v>
      </c>
    </row>
    <row r="203" spans="1:12">
      <c r="A203">
        <f t="shared" si="6"/>
        <v>2024</v>
      </c>
      <c r="B203" s="10">
        <v>45498</v>
      </c>
      <c r="C203" s="11">
        <v>90.46</v>
      </c>
      <c r="D203" s="11">
        <v>89.79</v>
      </c>
      <c r="E203" s="11">
        <v>91.17</v>
      </c>
      <c r="F203" s="11">
        <v>89.79</v>
      </c>
      <c r="G203" s="11">
        <v>-0.53</v>
      </c>
      <c r="H203" s="11">
        <v>276120</v>
      </c>
      <c r="I203" s="11">
        <v>25065660</v>
      </c>
      <c r="J203" s="11">
        <v>466771043</v>
      </c>
      <c r="K203" s="11">
        <v>27126155984.77</v>
      </c>
      <c r="L203" s="6">
        <f t="shared" si="7"/>
        <v>90.7781399391569</v>
      </c>
    </row>
    <row r="204" spans="1:12">
      <c r="A204">
        <f t="shared" si="6"/>
        <v>2024</v>
      </c>
      <c r="B204" s="10">
        <v>45497</v>
      </c>
      <c r="C204" s="11">
        <v>90.94</v>
      </c>
      <c r="D204" s="11">
        <v>89.12</v>
      </c>
      <c r="E204" s="11">
        <v>90.95</v>
      </c>
      <c r="F204" s="11">
        <v>88.95</v>
      </c>
      <c r="G204" s="11">
        <v>2.87</v>
      </c>
      <c r="H204" s="11">
        <v>597446</v>
      </c>
      <c r="I204" s="11">
        <v>54931836</v>
      </c>
      <c r="J204" s="11">
        <v>466494923</v>
      </c>
      <c r="K204" s="11">
        <v>27101090324.77</v>
      </c>
      <c r="L204" s="6">
        <f t="shared" si="7"/>
        <v>91.9444368193946</v>
      </c>
    </row>
    <row r="205" spans="1:12">
      <c r="A205">
        <f t="shared" si="6"/>
        <v>2024</v>
      </c>
      <c r="B205" s="10">
        <v>45496</v>
      </c>
      <c r="C205" s="11">
        <v>88.4</v>
      </c>
      <c r="D205" s="11">
        <v>87.77</v>
      </c>
      <c r="E205" s="11">
        <v>89.4</v>
      </c>
      <c r="F205" s="11">
        <v>87.17</v>
      </c>
      <c r="G205" s="11">
        <v>-0.8</v>
      </c>
      <c r="H205" s="11">
        <v>164508</v>
      </c>
      <c r="I205" s="11">
        <v>14915728</v>
      </c>
      <c r="J205" s="11">
        <v>465897477</v>
      </c>
      <c r="K205" s="11">
        <v>27046158488.77</v>
      </c>
      <c r="L205" s="6">
        <f t="shared" si="7"/>
        <v>90.6687091205291</v>
      </c>
    </row>
    <row r="206" spans="1:12">
      <c r="A206">
        <f t="shared" si="6"/>
        <v>2024</v>
      </c>
      <c r="B206" s="10">
        <v>45495</v>
      </c>
      <c r="C206" s="11">
        <v>89.11</v>
      </c>
      <c r="D206" s="11">
        <v>87.5</v>
      </c>
      <c r="E206" s="11">
        <v>89.17</v>
      </c>
      <c r="F206" s="11">
        <v>87.5</v>
      </c>
      <c r="G206" s="11">
        <v>0.56</v>
      </c>
      <c r="H206" s="11">
        <v>54500</v>
      </c>
      <c r="I206" s="11">
        <v>4949500</v>
      </c>
      <c r="J206" s="11">
        <v>465732969</v>
      </c>
      <c r="K206" s="11">
        <v>27031242760.77</v>
      </c>
      <c r="L206" s="6">
        <f t="shared" si="7"/>
        <v>90.8165137614679</v>
      </c>
    </row>
    <row r="207" spans="1:12">
      <c r="A207">
        <f t="shared" si="6"/>
        <v>2024</v>
      </c>
      <c r="B207" s="10">
        <v>45492</v>
      </c>
      <c r="C207" s="11">
        <v>88.61</v>
      </c>
      <c r="D207" s="11">
        <v>87.5</v>
      </c>
      <c r="E207" s="11">
        <v>89.17</v>
      </c>
      <c r="F207" s="11">
        <v>87.5</v>
      </c>
      <c r="G207" s="11">
        <v>1.27</v>
      </c>
      <c r="H207" s="11">
        <v>33401</v>
      </c>
      <c r="I207" s="11">
        <v>2983988</v>
      </c>
      <c r="J207" s="11">
        <v>465678469</v>
      </c>
      <c r="K207" s="11">
        <v>27026293260.77</v>
      </c>
      <c r="L207" s="6">
        <f t="shared" si="7"/>
        <v>89.3382832849316</v>
      </c>
    </row>
    <row r="208" spans="1:12">
      <c r="A208">
        <f t="shared" si="6"/>
        <v>2024</v>
      </c>
      <c r="B208" s="10">
        <v>45491</v>
      </c>
      <c r="C208" s="11">
        <v>87.5</v>
      </c>
      <c r="D208" s="11">
        <v>86.86</v>
      </c>
      <c r="E208" s="11">
        <v>87.5</v>
      </c>
      <c r="F208" s="11">
        <v>86.86</v>
      </c>
      <c r="G208" s="11">
        <v>0.74</v>
      </c>
      <c r="H208" s="11">
        <v>288600</v>
      </c>
      <c r="I208" s="11">
        <v>26193300</v>
      </c>
      <c r="J208" s="11">
        <v>465645068</v>
      </c>
      <c r="K208" s="11">
        <v>27023309272.77</v>
      </c>
      <c r="L208" s="6">
        <f t="shared" si="7"/>
        <v>90.7598752598753</v>
      </c>
    </row>
    <row r="209" spans="1:12">
      <c r="A209">
        <f t="shared" si="6"/>
        <v>2024</v>
      </c>
      <c r="B209" s="10">
        <v>45490</v>
      </c>
      <c r="C209" s="11">
        <v>86.86</v>
      </c>
      <c r="D209" s="11">
        <v>86.86</v>
      </c>
      <c r="E209" s="11">
        <v>86.86</v>
      </c>
      <c r="F209" s="11">
        <v>86.86</v>
      </c>
      <c r="G209" s="11">
        <v>-0.81</v>
      </c>
      <c r="H209" s="11">
        <v>302000</v>
      </c>
      <c r="I209" s="11">
        <v>27172000</v>
      </c>
      <c r="J209" s="11">
        <v>465356468</v>
      </c>
      <c r="K209" s="11">
        <v>26997115972.77</v>
      </c>
      <c r="L209" s="6">
        <f t="shared" si="7"/>
        <v>89.9735099337748</v>
      </c>
    </row>
    <row r="210" spans="1:12">
      <c r="A210">
        <f t="shared" si="6"/>
        <v>2024</v>
      </c>
      <c r="B210" s="10">
        <v>45489</v>
      </c>
      <c r="C210" s="11">
        <v>87.57</v>
      </c>
      <c r="D210" s="11">
        <v>86.86</v>
      </c>
      <c r="E210" s="11">
        <v>88.19</v>
      </c>
      <c r="F210" s="11">
        <v>86.86</v>
      </c>
      <c r="G210" s="11">
        <v>0.6</v>
      </c>
      <c r="H210" s="11">
        <v>10720</v>
      </c>
      <c r="I210" s="11">
        <v>944581.6</v>
      </c>
      <c r="J210" s="11">
        <v>465054468</v>
      </c>
      <c r="K210" s="11">
        <v>26969943972.77</v>
      </c>
      <c r="L210" s="6">
        <f t="shared" si="7"/>
        <v>88.1139552238806</v>
      </c>
    </row>
    <row r="211" spans="1:12">
      <c r="A211">
        <f t="shared" si="6"/>
        <v>2024</v>
      </c>
      <c r="B211" s="10">
        <v>45488</v>
      </c>
      <c r="C211" s="11">
        <v>87.05</v>
      </c>
      <c r="D211" s="11">
        <v>88.49</v>
      </c>
      <c r="E211" s="11">
        <v>89.66</v>
      </c>
      <c r="F211" s="11">
        <v>87.52</v>
      </c>
      <c r="G211" s="11">
        <v>-3.47</v>
      </c>
      <c r="H211" s="11">
        <v>10065</v>
      </c>
      <c r="I211" s="11">
        <v>865642</v>
      </c>
      <c r="J211" s="11">
        <v>465043748</v>
      </c>
      <c r="K211" s="11">
        <v>26968999391.17</v>
      </c>
      <c r="L211" s="6">
        <f t="shared" si="7"/>
        <v>86.0051664182812</v>
      </c>
    </row>
    <row r="212" spans="1:12">
      <c r="A212">
        <f t="shared" si="6"/>
        <v>2024</v>
      </c>
      <c r="B212" s="10">
        <v>45485</v>
      </c>
      <c r="C212" s="11">
        <v>90.18</v>
      </c>
      <c r="D212" s="11">
        <v>88.87</v>
      </c>
      <c r="E212" s="11">
        <v>91.13</v>
      </c>
      <c r="F212" s="11">
        <v>88.87</v>
      </c>
      <c r="G212" s="11">
        <v>0.33</v>
      </c>
      <c r="H212" s="11">
        <v>253144</v>
      </c>
      <c r="I212" s="11">
        <v>23052340</v>
      </c>
      <c r="J212" s="11">
        <v>465033683</v>
      </c>
      <c r="K212" s="11">
        <v>26968133749.17</v>
      </c>
      <c r="L212" s="6">
        <f t="shared" si="7"/>
        <v>91.0641374079575</v>
      </c>
    </row>
    <row r="213" spans="1:12">
      <c r="A213">
        <f t="shared" si="6"/>
        <v>2024</v>
      </c>
      <c r="B213" s="10">
        <v>45484</v>
      </c>
      <c r="C213" s="11">
        <v>89.88</v>
      </c>
      <c r="D213" s="11">
        <v>90.52</v>
      </c>
      <c r="E213" s="11">
        <v>90.9</v>
      </c>
      <c r="F213" s="11">
        <v>89.5</v>
      </c>
      <c r="G213" s="11">
        <v>-1.04</v>
      </c>
      <c r="H213" s="11">
        <v>187189</v>
      </c>
      <c r="I213" s="11">
        <v>16842681.4</v>
      </c>
      <c r="J213" s="11">
        <v>464780539</v>
      </c>
      <c r="K213" s="11">
        <v>26945081409.17</v>
      </c>
      <c r="L213" s="6">
        <f t="shared" si="7"/>
        <v>89.976875777957</v>
      </c>
    </row>
    <row r="214" spans="1:12">
      <c r="A214">
        <f t="shared" si="6"/>
        <v>2024</v>
      </c>
      <c r="B214" s="10">
        <v>45483</v>
      </c>
      <c r="C214" s="11">
        <v>90.82</v>
      </c>
      <c r="D214" s="11">
        <v>90.17</v>
      </c>
      <c r="E214" s="11">
        <v>91.47</v>
      </c>
      <c r="F214" s="11">
        <v>90.17</v>
      </c>
      <c r="G214" s="11">
        <v>-0.06</v>
      </c>
      <c r="H214" s="11">
        <v>347005</v>
      </c>
      <c r="I214" s="11">
        <v>32239962.5</v>
      </c>
      <c r="J214" s="11">
        <v>464593350</v>
      </c>
      <c r="K214" s="11">
        <v>26928238727.77</v>
      </c>
      <c r="L214" s="6">
        <f t="shared" si="7"/>
        <v>92.9092160055331</v>
      </c>
    </row>
    <row r="215" spans="1:12">
      <c r="A215">
        <f t="shared" si="6"/>
        <v>2024</v>
      </c>
      <c r="B215" s="10">
        <v>45482</v>
      </c>
      <c r="C215" s="11">
        <v>90.87</v>
      </c>
      <c r="D215" s="11">
        <v>90.66</v>
      </c>
      <c r="E215" s="11">
        <v>90.87</v>
      </c>
      <c r="F215" s="11">
        <v>90.66</v>
      </c>
      <c r="G215" s="11">
        <v>0.26</v>
      </c>
      <c r="H215" s="11">
        <v>9005</v>
      </c>
      <c r="I215" s="11">
        <v>797262.5</v>
      </c>
      <c r="J215" s="11">
        <v>464246345</v>
      </c>
      <c r="K215" s="11">
        <v>26895998765.27</v>
      </c>
      <c r="L215" s="6">
        <f t="shared" si="7"/>
        <v>88.535535813437</v>
      </c>
    </row>
    <row r="216" spans="1:12">
      <c r="A216">
        <f t="shared" si="6"/>
        <v>2024</v>
      </c>
      <c r="B216" s="10">
        <v>45481</v>
      </c>
      <c r="C216" s="11">
        <v>90.63</v>
      </c>
      <c r="D216" s="11">
        <v>90.61</v>
      </c>
      <c r="E216" s="11">
        <v>90.64</v>
      </c>
      <c r="F216" s="11">
        <v>90.61</v>
      </c>
      <c r="G216" s="11">
        <v>0.02</v>
      </c>
      <c r="H216" s="11">
        <v>335015</v>
      </c>
      <c r="I216" s="11">
        <v>29983887</v>
      </c>
      <c r="J216" s="11">
        <v>464237340</v>
      </c>
      <c r="K216" s="11">
        <v>26895201502.77</v>
      </c>
      <c r="L216" s="6">
        <f t="shared" si="7"/>
        <v>89.5001328298733</v>
      </c>
    </row>
    <row r="217" spans="1:12">
      <c r="A217">
        <f t="shared" si="6"/>
        <v>2024</v>
      </c>
      <c r="B217" s="10">
        <v>45478</v>
      </c>
      <c r="C217" s="11">
        <v>90.61</v>
      </c>
      <c r="D217" s="11">
        <v>89.8</v>
      </c>
      <c r="E217" s="11">
        <v>90.8</v>
      </c>
      <c r="F217" s="11">
        <v>89.47</v>
      </c>
      <c r="G217" s="11">
        <v>-0.21</v>
      </c>
      <c r="H217" s="11">
        <v>38500</v>
      </c>
      <c r="I217" s="11">
        <v>3509500</v>
      </c>
      <c r="J217" s="11">
        <v>463902325</v>
      </c>
      <c r="K217" s="11">
        <v>26865217615.77</v>
      </c>
      <c r="L217" s="6">
        <f t="shared" si="7"/>
        <v>91.1558441558442</v>
      </c>
    </row>
    <row r="218" spans="1:12">
      <c r="A218">
        <f t="shared" si="6"/>
        <v>2024</v>
      </c>
      <c r="B218" s="10">
        <v>45477</v>
      </c>
      <c r="C218" s="11">
        <v>90.8</v>
      </c>
      <c r="D218" s="11">
        <v>90.8</v>
      </c>
      <c r="E218" s="11">
        <v>90.8</v>
      </c>
      <c r="F218" s="11">
        <v>90.8</v>
      </c>
      <c r="G218" s="11">
        <v>0</v>
      </c>
      <c r="H218" s="11">
        <v>20000</v>
      </c>
      <c r="I218" s="11">
        <v>1820000</v>
      </c>
      <c r="J218" s="11">
        <v>463863825</v>
      </c>
      <c r="K218" s="11">
        <v>26861708115.77</v>
      </c>
      <c r="L218" s="6">
        <f t="shared" si="7"/>
        <v>91</v>
      </c>
    </row>
    <row r="219" spans="1:12">
      <c r="A219">
        <f t="shared" si="6"/>
        <v>2024</v>
      </c>
      <c r="B219" s="10">
        <v>45476</v>
      </c>
      <c r="C219" s="11">
        <v>90.8</v>
      </c>
      <c r="D219" s="11">
        <v>90.47</v>
      </c>
      <c r="E219" s="11">
        <v>91.13</v>
      </c>
      <c r="F219" s="11">
        <v>90.13</v>
      </c>
      <c r="G219" s="11">
        <v>-0.58</v>
      </c>
      <c r="H219" s="11">
        <v>168000</v>
      </c>
      <c r="I219" s="11">
        <v>15132000</v>
      </c>
      <c r="J219" s="11">
        <v>463843825</v>
      </c>
      <c r="K219" s="11">
        <v>26859888115.77</v>
      </c>
      <c r="L219" s="6">
        <f t="shared" si="7"/>
        <v>90.0714285714286</v>
      </c>
    </row>
    <row r="220" spans="1:12">
      <c r="A220">
        <f t="shared" si="6"/>
        <v>2024</v>
      </c>
      <c r="B220" s="10">
        <v>45475</v>
      </c>
      <c r="C220" s="11">
        <v>91.33</v>
      </c>
      <c r="D220" s="11">
        <v>88</v>
      </c>
      <c r="E220" s="11">
        <v>91.47</v>
      </c>
      <c r="F220" s="11">
        <v>88</v>
      </c>
      <c r="G220" s="11">
        <v>3.34</v>
      </c>
      <c r="H220" s="11">
        <v>33000</v>
      </c>
      <c r="I220" s="11">
        <v>3022000</v>
      </c>
      <c r="J220" s="11">
        <v>463675825</v>
      </c>
      <c r="K220" s="11">
        <v>26844756115.77</v>
      </c>
      <c r="L220" s="6">
        <f t="shared" si="7"/>
        <v>91.5757575757576</v>
      </c>
    </row>
    <row r="221" spans="1:12">
      <c r="A221">
        <f t="shared" si="6"/>
        <v>2024</v>
      </c>
      <c r="B221" s="10">
        <v>45474</v>
      </c>
      <c r="C221" s="11">
        <v>88.38</v>
      </c>
      <c r="D221" s="11">
        <v>89.74</v>
      </c>
      <c r="E221" s="11">
        <v>89.74</v>
      </c>
      <c r="F221" s="11">
        <v>88</v>
      </c>
      <c r="G221" s="11">
        <v>-2.51</v>
      </c>
      <c r="H221" s="11">
        <v>11010</v>
      </c>
      <c r="I221" s="11">
        <v>999840</v>
      </c>
      <c r="J221" s="11">
        <v>463642825</v>
      </c>
      <c r="K221" s="11">
        <v>26841734115.77</v>
      </c>
      <c r="L221" s="6">
        <f t="shared" si="7"/>
        <v>90.8119891008174</v>
      </c>
    </row>
    <row r="222" spans="1:12">
      <c r="A222">
        <f t="shared" si="6"/>
        <v>2024</v>
      </c>
      <c r="B222" s="10">
        <v>45471</v>
      </c>
      <c r="C222" s="11">
        <v>90.66</v>
      </c>
      <c r="D222" s="11">
        <v>92.1</v>
      </c>
      <c r="E222" s="11">
        <v>92.24</v>
      </c>
      <c r="F222" s="11">
        <v>90.1</v>
      </c>
      <c r="G222" s="11">
        <v>-1.6</v>
      </c>
      <c r="H222" s="11">
        <v>351868</v>
      </c>
      <c r="I222" s="11">
        <v>32200909.6</v>
      </c>
      <c r="J222" s="11">
        <v>463631815</v>
      </c>
      <c r="K222" s="11">
        <v>26840734275.77</v>
      </c>
      <c r="L222" s="6">
        <f t="shared" si="7"/>
        <v>91.5141746336695</v>
      </c>
    </row>
    <row r="223" spans="1:12">
      <c r="A223">
        <f t="shared" si="6"/>
        <v>2024</v>
      </c>
      <c r="B223" s="10">
        <v>45470</v>
      </c>
      <c r="C223" s="11">
        <v>92.13</v>
      </c>
      <c r="D223" s="11">
        <v>93</v>
      </c>
      <c r="E223" s="11">
        <v>93</v>
      </c>
      <c r="F223" s="11">
        <v>91.77</v>
      </c>
      <c r="G223" s="11">
        <v>-0.8</v>
      </c>
      <c r="H223" s="11">
        <v>827010</v>
      </c>
      <c r="I223" s="11">
        <v>74514001</v>
      </c>
      <c r="J223" s="11">
        <v>463279947</v>
      </c>
      <c r="K223" s="11">
        <v>26808533366.17</v>
      </c>
      <c r="L223" s="6">
        <f t="shared" si="7"/>
        <v>90.1004836700886</v>
      </c>
    </row>
    <row r="224" spans="1:12">
      <c r="A224">
        <f t="shared" si="6"/>
        <v>2024</v>
      </c>
      <c r="B224" s="10">
        <v>45469</v>
      </c>
      <c r="C224" s="11">
        <v>92.87</v>
      </c>
      <c r="D224" s="11">
        <v>88.67</v>
      </c>
      <c r="E224" s="11">
        <v>92.97</v>
      </c>
      <c r="F224" s="11">
        <v>88.67</v>
      </c>
      <c r="G224" s="11">
        <v>4.49</v>
      </c>
      <c r="H224" s="11">
        <v>362100</v>
      </c>
      <c r="I224" s="11">
        <v>32467900</v>
      </c>
      <c r="J224" s="11">
        <v>462452937</v>
      </c>
      <c r="K224" s="11">
        <v>26734019365.17</v>
      </c>
      <c r="L224" s="6">
        <f t="shared" si="7"/>
        <v>89.6655619994477</v>
      </c>
    </row>
    <row r="225" spans="1:12">
      <c r="A225">
        <f t="shared" si="6"/>
        <v>2024</v>
      </c>
      <c r="B225" s="10">
        <v>45468</v>
      </c>
      <c r="C225" s="11">
        <v>88.88</v>
      </c>
      <c r="D225" s="11">
        <v>91.12</v>
      </c>
      <c r="E225" s="11">
        <v>91.38</v>
      </c>
      <c r="F225" s="11">
        <v>88.93</v>
      </c>
      <c r="G225" s="11">
        <v>-2.42</v>
      </c>
      <c r="H225" s="11">
        <v>769010</v>
      </c>
      <c r="I225" s="11">
        <v>72062140</v>
      </c>
      <c r="J225" s="11">
        <v>462090837</v>
      </c>
      <c r="K225" s="11">
        <v>26701551465.17</v>
      </c>
      <c r="L225" s="6">
        <f t="shared" si="7"/>
        <v>93.7076761030416</v>
      </c>
    </row>
    <row r="226" spans="1:12">
      <c r="A226">
        <f t="shared" si="6"/>
        <v>2024</v>
      </c>
      <c r="B226" s="10">
        <v>45467</v>
      </c>
      <c r="C226" s="11">
        <v>91.08</v>
      </c>
      <c r="D226" s="11">
        <v>90.71</v>
      </c>
      <c r="E226" s="11">
        <v>91.11</v>
      </c>
      <c r="F226" s="11">
        <v>90.71</v>
      </c>
      <c r="G226" s="11">
        <v>-0.38</v>
      </c>
      <c r="H226" s="11">
        <v>24000</v>
      </c>
      <c r="I226" s="11">
        <v>2234700</v>
      </c>
      <c r="J226" s="11">
        <v>461321827</v>
      </c>
      <c r="K226" s="11">
        <v>26629489325.17</v>
      </c>
      <c r="L226" s="6">
        <f t="shared" si="7"/>
        <v>93.1125</v>
      </c>
    </row>
    <row r="227" spans="1:12">
      <c r="A227">
        <f t="shared" si="6"/>
        <v>2024</v>
      </c>
      <c r="B227" s="10">
        <v>45464</v>
      </c>
      <c r="C227" s="11">
        <v>91.43</v>
      </c>
      <c r="D227" s="11">
        <v>91.08</v>
      </c>
      <c r="E227" s="11">
        <v>93.17</v>
      </c>
      <c r="F227" s="11">
        <v>90.33</v>
      </c>
      <c r="G227" s="11">
        <v>0.02</v>
      </c>
      <c r="H227" s="11">
        <v>51497</v>
      </c>
      <c r="I227" s="11">
        <v>4848335</v>
      </c>
      <c r="J227" s="11">
        <v>461297827</v>
      </c>
      <c r="K227" s="11">
        <v>26627254625.17</v>
      </c>
      <c r="L227" s="6">
        <f t="shared" si="7"/>
        <v>94.1479115288269</v>
      </c>
    </row>
    <row r="228" spans="1:12">
      <c r="A228">
        <f t="shared" si="6"/>
        <v>2024</v>
      </c>
      <c r="B228" s="10">
        <v>45463</v>
      </c>
      <c r="C228" s="11">
        <v>91.41</v>
      </c>
      <c r="D228" s="11">
        <v>91.67</v>
      </c>
      <c r="E228" s="11">
        <v>91.67</v>
      </c>
      <c r="F228" s="11">
        <v>90.33</v>
      </c>
      <c r="G228" s="11">
        <v>-1.4</v>
      </c>
      <c r="H228" s="11">
        <v>6010</v>
      </c>
      <c r="I228" s="11">
        <v>564080</v>
      </c>
      <c r="J228" s="11">
        <v>461246330</v>
      </c>
      <c r="K228" s="11">
        <v>26622406290.17</v>
      </c>
      <c r="L228" s="6">
        <f t="shared" si="7"/>
        <v>93.8569051580699</v>
      </c>
    </row>
    <row r="229" spans="1:12">
      <c r="A229">
        <f t="shared" si="6"/>
        <v>2024</v>
      </c>
      <c r="B229" s="10">
        <v>45462</v>
      </c>
      <c r="C229" s="11">
        <v>92.71</v>
      </c>
      <c r="D229" s="11">
        <v>93</v>
      </c>
      <c r="E229" s="11">
        <v>93</v>
      </c>
      <c r="F229" s="11">
        <v>92.67</v>
      </c>
      <c r="G229" s="11">
        <v>-1.89</v>
      </c>
      <c r="H229" s="11">
        <v>284861</v>
      </c>
      <c r="I229" s="11">
        <v>20866167.61</v>
      </c>
      <c r="J229" s="11">
        <v>461240320</v>
      </c>
      <c r="K229" s="11">
        <v>26621842210.17</v>
      </c>
      <c r="L229" s="6">
        <f t="shared" si="7"/>
        <v>73.2503488016963</v>
      </c>
    </row>
    <row r="230" spans="1:12">
      <c r="A230">
        <f t="shared" si="6"/>
        <v>2024</v>
      </c>
      <c r="B230" s="10">
        <v>45461</v>
      </c>
      <c r="C230" s="11">
        <v>94.5</v>
      </c>
      <c r="D230" s="11">
        <v>94.67</v>
      </c>
      <c r="E230" s="11">
        <v>94.67</v>
      </c>
      <c r="F230" s="11">
        <v>94.5</v>
      </c>
      <c r="G230" s="11">
        <v>-0.18</v>
      </c>
      <c r="H230" s="11">
        <v>24907</v>
      </c>
      <c r="I230" s="11">
        <v>2392025.5</v>
      </c>
      <c r="J230" s="11">
        <v>460955459</v>
      </c>
      <c r="K230" s="11">
        <v>26600976042.56</v>
      </c>
      <c r="L230" s="6">
        <f t="shared" si="7"/>
        <v>96.0382824105673</v>
      </c>
    </row>
    <row r="231" spans="1:12">
      <c r="A231">
        <f t="shared" si="6"/>
        <v>2024</v>
      </c>
      <c r="B231" s="10">
        <v>45460</v>
      </c>
      <c r="C231" s="11">
        <v>94.67</v>
      </c>
      <c r="D231" s="11">
        <v>94.67</v>
      </c>
      <c r="E231" s="11">
        <v>94.67</v>
      </c>
      <c r="F231" s="11">
        <v>94.67</v>
      </c>
      <c r="G231" s="11">
        <v>0</v>
      </c>
      <c r="H231" s="11">
        <v>4005</v>
      </c>
      <c r="I231" s="11">
        <v>386482.5</v>
      </c>
      <c r="J231" s="11">
        <v>460930552</v>
      </c>
      <c r="K231" s="11">
        <v>26598584017.06</v>
      </c>
      <c r="L231" s="6">
        <f t="shared" si="7"/>
        <v>96.5</v>
      </c>
    </row>
    <row r="232" spans="1:12">
      <c r="A232">
        <f t="shared" si="6"/>
        <v>2024</v>
      </c>
      <c r="B232" s="10">
        <v>45457</v>
      </c>
      <c r="C232" s="11">
        <v>94.67</v>
      </c>
      <c r="D232" s="11">
        <v>96.5</v>
      </c>
      <c r="E232" s="11">
        <v>96.5</v>
      </c>
      <c r="F232" s="11">
        <v>94.67</v>
      </c>
      <c r="G232" s="11">
        <v>-1.88</v>
      </c>
      <c r="H232" s="11">
        <v>17100</v>
      </c>
      <c r="I232" s="11">
        <v>1649600</v>
      </c>
      <c r="J232" s="11">
        <v>460926547</v>
      </c>
      <c r="K232" s="11">
        <v>26598197534.56</v>
      </c>
      <c r="L232" s="6">
        <f t="shared" si="7"/>
        <v>96.4678362573099</v>
      </c>
    </row>
    <row r="233" spans="1:12">
      <c r="A233">
        <f t="shared" si="6"/>
        <v>2024</v>
      </c>
      <c r="B233" s="10">
        <v>45456</v>
      </c>
      <c r="C233" s="11">
        <v>96.48</v>
      </c>
      <c r="D233" s="11">
        <v>96.17</v>
      </c>
      <c r="E233" s="11">
        <v>96.5</v>
      </c>
      <c r="F233" s="11">
        <v>96.17</v>
      </c>
      <c r="G233" s="11">
        <v>0.32</v>
      </c>
      <c r="H233" s="11">
        <v>262653</v>
      </c>
      <c r="I233" s="11">
        <v>25295514.5</v>
      </c>
      <c r="J233" s="11">
        <v>460909447</v>
      </c>
      <c r="K233" s="11">
        <v>26596547934.56</v>
      </c>
      <c r="L233" s="6">
        <f t="shared" si="7"/>
        <v>96.3077311129132</v>
      </c>
    </row>
    <row r="234" spans="1:12">
      <c r="A234">
        <f t="shared" si="6"/>
        <v>2024</v>
      </c>
      <c r="B234" s="10">
        <v>45455</v>
      </c>
      <c r="C234" s="11">
        <v>96.17</v>
      </c>
      <c r="D234" s="11">
        <v>93.5</v>
      </c>
      <c r="E234" s="11">
        <v>96.17</v>
      </c>
      <c r="F234" s="11">
        <v>93.5</v>
      </c>
      <c r="G234" s="11">
        <v>3.6</v>
      </c>
      <c r="H234" s="11">
        <v>90000</v>
      </c>
      <c r="I234" s="11">
        <v>8640000</v>
      </c>
      <c r="J234" s="11">
        <v>460646794</v>
      </c>
      <c r="K234" s="11">
        <v>26571252420.06</v>
      </c>
      <c r="L234" s="6">
        <f t="shared" si="7"/>
        <v>96</v>
      </c>
    </row>
    <row r="235" spans="1:12">
      <c r="A235">
        <f t="shared" si="6"/>
        <v>2024</v>
      </c>
      <c r="B235" s="10">
        <v>45454</v>
      </c>
      <c r="C235" s="11">
        <v>92.83</v>
      </c>
      <c r="D235" s="11">
        <v>95.97</v>
      </c>
      <c r="E235" s="11">
        <v>95.97</v>
      </c>
      <c r="F235" s="11">
        <v>92.83</v>
      </c>
      <c r="G235" s="11">
        <v>-3.37</v>
      </c>
      <c r="H235" s="11">
        <v>1152</v>
      </c>
      <c r="I235" s="11">
        <v>109936</v>
      </c>
      <c r="J235" s="11">
        <v>460556794</v>
      </c>
      <c r="K235" s="11">
        <v>26562612420.06</v>
      </c>
      <c r="L235" s="6">
        <f t="shared" si="7"/>
        <v>95.4305555555556</v>
      </c>
    </row>
    <row r="236" spans="1:12">
      <c r="A236">
        <f t="shared" si="6"/>
        <v>2024</v>
      </c>
      <c r="B236" s="10">
        <v>45450</v>
      </c>
      <c r="C236" s="11">
        <v>96.07</v>
      </c>
      <c r="D236" s="11">
        <v>95.93</v>
      </c>
      <c r="E236" s="11">
        <v>96.6</v>
      </c>
      <c r="F236" s="11">
        <v>95.43</v>
      </c>
      <c r="G236" s="11">
        <v>0.67</v>
      </c>
      <c r="H236" s="11">
        <v>118915</v>
      </c>
      <c r="I236" s="11">
        <v>11357820</v>
      </c>
      <c r="J236" s="11">
        <v>460555642</v>
      </c>
      <c r="K236" s="11">
        <v>26562502484.06</v>
      </c>
      <c r="L236" s="6">
        <f t="shared" si="7"/>
        <v>95.5120884665517</v>
      </c>
    </row>
    <row r="237" spans="1:12">
      <c r="A237">
        <f t="shared" si="6"/>
        <v>2024</v>
      </c>
      <c r="B237" s="10">
        <v>45449</v>
      </c>
      <c r="C237" s="11">
        <v>95.43</v>
      </c>
      <c r="D237" s="11">
        <v>95.2</v>
      </c>
      <c r="E237" s="11">
        <v>95.43</v>
      </c>
      <c r="F237" s="11">
        <v>95.2</v>
      </c>
      <c r="G237" s="11">
        <v>-0.59</v>
      </c>
      <c r="H237" s="11">
        <v>10008</v>
      </c>
      <c r="I237" s="11">
        <v>968748</v>
      </c>
      <c r="J237" s="11">
        <v>460436727</v>
      </c>
      <c r="K237" s="11">
        <v>26551144664.06</v>
      </c>
      <c r="L237" s="6">
        <f t="shared" si="7"/>
        <v>96.7973621103118</v>
      </c>
    </row>
    <row r="238" spans="1:12">
      <c r="A238">
        <f t="shared" si="6"/>
        <v>2024</v>
      </c>
      <c r="B238" s="10">
        <v>45448</v>
      </c>
      <c r="C238" s="11">
        <v>96</v>
      </c>
      <c r="D238" s="11">
        <v>94</v>
      </c>
      <c r="E238" s="11">
        <v>96.83</v>
      </c>
      <c r="F238" s="11">
        <v>91.17</v>
      </c>
      <c r="G238" s="11">
        <v>1.88</v>
      </c>
      <c r="H238" s="11">
        <v>102441</v>
      </c>
      <c r="I238" s="11">
        <v>9838948</v>
      </c>
      <c r="J238" s="11">
        <v>460426719</v>
      </c>
      <c r="K238" s="11">
        <v>26550175916.06</v>
      </c>
      <c r="L238" s="6">
        <f t="shared" si="7"/>
        <v>96.0450210364991</v>
      </c>
    </row>
    <row r="239" spans="1:12">
      <c r="A239">
        <f t="shared" si="6"/>
        <v>2024</v>
      </c>
      <c r="B239" s="10">
        <v>45447</v>
      </c>
      <c r="C239" s="11">
        <v>94.23</v>
      </c>
      <c r="D239" s="11">
        <v>95.63</v>
      </c>
      <c r="E239" s="11">
        <v>96.87</v>
      </c>
      <c r="F239" s="11">
        <v>94</v>
      </c>
      <c r="G239" s="11">
        <v>-1.55</v>
      </c>
      <c r="H239" s="11">
        <v>75779</v>
      </c>
      <c r="I239" s="11">
        <v>7320404.18</v>
      </c>
      <c r="J239" s="11">
        <v>460324278</v>
      </c>
      <c r="K239" s="11">
        <v>26540336968.06</v>
      </c>
      <c r="L239" s="6">
        <f t="shared" si="7"/>
        <v>96.6020161258396</v>
      </c>
    </row>
    <row r="240" spans="1:12">
      <c r="A240">
        <f t="shared" si="6"/>
        <v>2024</v>
      </c>
      <c r="B240" s="10">
        <v>45446</v>
      </c>
      <c r="C240" s="11">
        <v>95.71</v>
      </c>
      <c r="D240" s="11">
        <v>93.83</v>
      </c>
      <c r="E240" s="11">
        <v>96.13</v>
      </c>
      <c r="F240" s="11">
        <v>92.37</v>
      </c>
      <c r="G240" s="11">
        <v>2.66</v>
      </c>
      <c r="H240" s="11">
        <v>603767</v>
      </c>
      <c r="I240" s="11">
        <v>58504338.86</v>
      </c>
      <c r="J240" s="11">
        <v>460248499</v>
      </c>
      <c r="K240" s="11">
        <v>26533016563.88</v>
      </c>
      <c r="L240" s="6">
        <f t="shared" si="7"/>
        <v>96.8988680401546</v>
      </c>
    </row>
    <row r="241" spans="1:12">
      <c r="A241">
        <f t="shared" si="6"/>
        <v>2024</v>
      </c>
      <c r="B241" s="10">
        <v>45443</v>
      </c>
      <c r="C241" s="11">
        <v>93.23</v>
      </c>
      <c r="D241" s="11">
        <v>93.64</v>
      </c>
      <c r="E241" s="11">
        <v>93.64</v>
      </c>
      <c r="F241" s="11">
        <v>93.23</v>
      </c>
      <c r="G241" s="11">
        <v>-0.65</v>
      </c>
      <c r="H241" s="11">
        <v>402200</v>
      </c>
      <c r="I241" s="11">
        <v>39089155</v>
      </c>
      <c r="J241" s="11">
        <v>459644732</v>
      </c>
      <c r="K241" s="11">
        <v>26474512225.02</v>
      </c>
      <c r="L241" s="6">
        <f t="shared" si="7"/>
        <v>97.1883515663849</v>
      </c>
    </row>
    <row r="242" spans="1:12">
      <c r="A242">
        <f t="shared" si="6"/>
        <v>2024</v>
      </c>
      <c r="B242" s="10">
        <v>45442</v>
      </c>
      <c r="C242" s="11">
        <v>93.84</v>
      </c>
      <c r="D242" s="11">
        <v>95.11</v>
      </c>
      <c r="E242" s="11">
        <v>95.11</v>
      </c>
      <c r="F242" s="11">
        <v>93.64</v>
      </c>
      <c r="G242" s="11">
        <v>-1.34</v>
      </c>
      <c r="H242" s="11">
        <v>108</v>
      </c>
      <c r="I242" s="11">
        <v>10021.36</v>
      </c>
      <c r="J242" s="11">
        <v>459242532</v>
      </c>
      <c r="K242" s="11">
        <v>26435423070.02</v>
      </c>
      <c r="L242" s="6">
        <f t="shared" si="7"/>
        <v>92.7903703703704</v>
      </c>
    </row>
    <row r="243" spans="1:12">
      <c r="A243">
        <f t="shared" si="6"/>
        <v>2024</v>
      </c>
      <c r="B243" s="10">
        <v>45441</v>
      </c>
      <c r="C243" s="11">
        <v>95.11</v>
      </c>
      <c r="D243" s="11">
        <v>97.23</v>
      </c>
      <c r="E243" s="11">
        <v>97.4</v>
      </c>
      <c r="F243" s="11">
        <v>93.83</v>
      </c>
      <c r="G243" s="11">
        <v>-2.12</v>
      </c>
      <c r="H243" s="11">
        <v>869560</v>
      </c>
      <c r="I243" s="11">
        <v>84781622.2</v>
      </c>
      <c r="J243" s="11">
        <v>459242424</v>
      </c>
      <c r="K243" s="11">
        <v>26435413048.66</v>
      </c>
      <c r="L243" s="6">
        <f t="shared" si="7"/>
        <v>97.4994505267032</v>
      </c>
    </row>
    <row r="244" spans="1:12">
      <c r="A244">
        <f t="shared" si="6"/>
        <v>2024</v>
      </c>
      <c r="B244" s="10">
        <v>45440</v>
      </c>
      <c r="C244" s="11">
        <v>97.17</v>
      </c>
      <c r="D244" s="11">
        <v>98.83</v>
      </c>
      <c r="E244" s="11">
        <v>98.83</v>
      </c>
      <c r="F244" s="11">
        <v>97.17</v>
      </c>
      <c r="G244" s="11">
        <v>-1.68</v>
      </c>
      <c r="H244" s="11">
        <v>102320</v>
      </c>
      <c r="I244" s="11">
        <v>10027320</v>
      </c>
      <c r="J244" s="11">
        <v>458372864</v>
      </c>
      <c r="K244" s="11">
        <v>26350631426.46</v>
      </c>
      <c r="L244" s="6">
        <f t="shared" si="7"/>
        <v>97.9996090695856</v>
      </c>
    </row>
    <row r="245" spans="1:12">
      <c r="A245">
        <f t="shared" si="6"/>
        <v>2024</v>
      </c>
      <c r="B245" s="10">
        <v>45439</v>
      </c>
      <c r="C245" s="11">
        <v>98.83</v>
      </c>
      <c r="D245" s="11">
        <v>97.93</v>
      </c>
      <c r="E245" s="11">
        <v>99.04</v>
      </c>
      <c r="F245" s="11">
        <v>97.93</v>
      </c>
      <c r="G245" s="11">
        <v>-0.14</v>
      </c>
      <c r="H245" s="11">
        <v>7000</v>
      </c>
      <c r="I245" s="11">
        <v>683520</v>
      </c>
      <c r="J245" s="11">
        <v>458270544</v>
      </c>
      <c r="K245" s="11">
        <v>26340604106.46</v>
      </c>
      <c r="L245" s="6">
        <f t="shared" si="7"/>
        <v>97.6457142857143</v>
      </c>
    </row>
    <row r="246" spans="1:12">
      <c r="A246">
        <f t="shared" si="6"/>
        <v>2024</v>
      </c>
      <c r="B246" s="10">
        <v>45436</v>
      </c>
      <c r="C246" s="11">
        <v>98.97</v>
      </c>
      <c r="D246" s="11">
        <v>97.6</v>
      </c>
      <c r="E246" s="11">
        <v>99.6</v>
      </c>
      <c r="F246" s="11">
        <v>97.6</v>
      </c>
      <c r="G246" s="11">
        <v>0.47</v>
      </c>
      <c r="H246" s="11">
        <v>145505</v>
      </c>
      <c r="I246" s="11">
        <v>14265275</v>
      </c>
      <c r="J246" s="11">
        <v>458263544</v>
      </c>
      <c r="K246" s="11">
        <v>26339920586.46</v>
      </c>
      <c r="L246" s="6">
        <f t="shared" si="7"/>
        <v>98.0397580839146</v>
      </c>
    </row>
    <row r="247" spans="1:12">
      <c r="A247">
        <f t="shared" si="6"/>
        <v>2024</v>
      </c>
      <c r="B247" s="10">
        <v>45435</v>
      </c>
      <c r="C247" s="11">
        <v>98.51</v>
      </c>
      <c r="D247" s="11">
        <v>98.1</v>
      </c>
      <c r="E247" s="11">
        <v>98.93</v>
      </c>
      <c r="F247" s="11">
        <v>98.1</v>
      </c>
      <c r="G247" s="11">
        <v>-1.75</v>
      </c>
      <c r="H247" s="11">
        <v>174000</v>
      </c>
      <c r="I247" s="11">
        <v>14241000</v>
      </c>
      <c r="J247" s="11">
        <v>458118039</v>
      </c>
      <c r="K247" s="11">
        <v>26325655311.46</v>
      </c>
      <c r="L247" s="6">
        <f t="shared" si="7"/>
        <v>81.8448275862069</v>
      </c>
    </row>
    <row r="248" spans="1:12">
      <c r="A248">
        <f t="shared" si="6"/>
        <v>2024</v>
      </c>
      <c r="B248" s="10">
        <v>45434</v>
      </c>
      <c r="C248" s="11">
        <v>100.26</v>
      </c>
      <c r="D248" s="11">
        <v>97.72</v>
      </c>
      <c r="E248" s="11">
        <v>100.27</v>
      </c>
      <c r="F248" s="11">
        <v>97.72</v>
      </c>
      <c r="G248" s="11">
        <v>2.6</v>
      </c>
      <c r="H248" s="11">
        <v>262055</v>
      </c>
      <c r="I248" s="11">
        <v>25618585</v>
      </c>
      <c r="J248" s="11">
        <v>457944039</v>
      </c>
      <c r="K248" s="11">
        <v>26311414311.46</v>
      </c>
      <c r="L248" s="6">
        <f t="shared" si="7"/>
        <v>97.7603365705672</v>
      </c>
    </row>
    <row r="249" spans="1:12">
      <c r="A249">
        <f t="shared" si="6"/>
        <v>2024</v>
      </c>
      <c r="B249" s="10">
        <v>45433</v>
      </c>
      <c r="C249" s="11">
        <v>97.72</v>
      </c>
      <c r="D249" s="11">
        <v>96.5</v>
      </c>
      <c r="E249" s="11">
        <v>98</v>
      </c>
      <c r="F249" s="11">
        <v>96.5</v>
      </c>
      <c r="G249" s="11">
        <v>0.41</v>
      </c>
      <c r="H249" s="11">
        <v>256700</v>
      </c>
      <c r="I249" s="11">
        <v>21581200</v>
      </c>
      <c r="J249" s="11">
        <v>457681984</v>
      </c>
      <c r="K249" s="11">
        <v>26285795726.46</v>
      </c>
      <c r="L249" s="6">
        <f t="shared" si="7"/>
        <v>84.0716790027269</v>
      </c>
    </row>
    <row r="250" spans="1:12">
      <c r="A250">
        <f t="shared" si="6"/>
        <v>2024</v>
      </c>
      <c r="B250" s="10">
        <v>45432</v>
      </c>
      <c r="C250" s="11">
        <v>97.32</v>
      </c>
      <c r="D250" s="11">
        <v>97.37</v>
      </c>
      <c r="E250" s="11">
        <v>97.37</v>
      </c>
      <c r="F250" s="11">
        <v>96.53</v>
      </c>
      <c r="G250" s="11">
        <v>-2.22</v>
      </c>
      <c r="H250" s="11">
        <v>273659</v>
      </c>
      <c r="I250" s="11">
        <v>26808002.5</v>
      </c>
      <c r="J250" s="11">
        <v>457425284</v>
      </c>
      <c r="K250" s="11">
        <v>26264214526.46</v>
      </c>
      <c r="L250" s="6">
        <f t="shared" si="7"/>
        <v>97.9613405734874</v>
      </c>
    </row>
    <row r="251" spans="1:12">
      <c r="A251">
        <f t="shared" si="6"/>
        <v>2024</v>
      </c>
      <c r="B251" s="10">
        <v>45429</v>
      </c>
      <c r="C251" s="11">
        <v>99.53</v>
      </c>
      <c r="D251" s="11">
        <v>99.67</v>
      </c>
      <c r="E251" s="11">
        <v>99.67</v>
      </c>
      <c r="F251" s="11">
        <v>99.39</v>
      </c>
      <c r="G251" s="11">
        <v>0.14</v>
      </c>
      <c r="H251" s="11">
        <v>142505</v>
      </c>
      <c r="I251" s="11">
        <v>10834233.35</v>
      </c>
      <c r="J251" s="11">
        <v>457151625</v>
      </c>
      <c r="K251" s="11">
        <v>26237406523.96</v>
      </c>
      <c r="L251" s="6">
        <f t="shared" si="7"/>
        <v>76.027040103856</v>
      </c>
    </row>
    <row r="252" spans="1:12">
      <c r="A252">
        <f t="shared" si="6"/>
        <v>2024</v>
      </c>
      <c r="B252" s="10">
        <v>45428</v>
      </c>
      <c r="C252" s="11">
        <v>99.39</v>
      </c>
      <c r="D252" s="11">
        <v>97.42</v>
      </c>
      <c r="E252" s="11">
        <v>99.39</v>
      </c>
      <c r="F252" s="11">
        <v>97.42</v>
      </c>
      <c r="G252" s="11">
        <v>2.02</v>
      </c>
      <c r="H252" s="11">
        <v>105</v>
      </c>
      <c r="I252" s="11">
        <v>10883.35</v>
      </c>
      <c r="J252" s="11">
        <v>457009120</v>
      </c>
      <c r="K252" s="11">
        <v>26226572290.61</v>
      </c>
      <c r="L252" s="6">
        <f t="shared" si="7"/>
        <v>103.650952380952</v>
      </c>
    </row>
    <row r="253" spans="1:12">
      <c r="A253">
        <f t="shared" si="6"/>
        <v>2024</v>
      </c>
      <c r="B253" s="10">
        <v>45427</v>
      </c>
      <c r="C253" s="11">
        <v>97.42</v>
      </c>
      <c r="D253" s="11">
        <v>97.84</v>
      </c>
      <c r="E253" s="11">
        <v>99.9</v>
      </c>
      <c r="F253" s="11">
        <v>96.17</v>
      </c>
      <c r="G253" s="11">
        <v>-0.43</v>
      </c>
      <c r="H253" s="11">
        <v>3210</v>
      </c>
      <c r="I253" s="11">
        <v>310602</v>
      </c>
      <c r="J253" s="11">
        <v>457009015</v>
      </c>
      <c r="K253" s="11">
        <v>26226561407.26</v>
      </c>
      <c r="L253" s="6">
        <f t="shared" si="7"/>
        <v>96.7607476635514</v>
      </c>
    </row>
    <row r="254" spans="1:12">
      <c r="A254">
        <f t="shared" si="6"/>
        <v>2024</v>
      </c>
      <c r="B254" s="10">
        <v>45426</v>
      </c>
      <c r="C254" s="11">
        <v>97.84</v>
      </c>
      <c r="D254" s="11">
        <v>95.33</v>
      </c>
      <c r="E254" s="11">
        <v>100.03</v>
      </c>
      <c r="F254" s="11">
        <v>94.33</v>
      </c>
      <c r="G254" s="11">
        <v>0.87</v>
      </c>
      <c r="H254" s="11">
        <v>250</v>
      </c>
      <c r="I254" s="11">
        <v>24755</v>
      </c>
      <c r="J254" s="11">
        <v>457005805</v>
      </c>
      <c r="K254" s="11">
        <v>26226250805.26</v>
      </c>
      <c r="L254" s="6">
        <f t="shared" si="7"/>
        <v>99.02</v>
      </c>
    </row>
    <row r="255" spans="1:12">
      <c r="A255">
        <f t="shared" si="6"/>
        <v>2024</v>
      </c>
      <c r="B255" s="10">
        <v>45425</v>
      </c>
      <c r="C255" s="11">
        <v>97</v>
      </c>
      <c r="D255" s="11">
        <v>99</v>
      </c>
      <c r="E255" s="11">
        <v>99</v>
      </c>
      <c r="F255" s="11">
        <v>97</v>
      </c>
      <c r="G255" s="11">
        <v>-2.02</v>
      </c>
      <c r="H255" s="11">
        <v>55</v>
      </c>
      <c r="I255" s="11">
        <v>5230</v>
      </c>
      <c r="J255" s="11">
        <v>457005555</v>
      </c>
      <c r="K255" s="11">
        <v>26226226050.26</v>
      </c>
      <c r="L255" s="6">
        <f t="shared" si="7"/>
        <v>95.0909090909091</v>
      </c>
    </row>
    <row r="256" spans="1:12">
      <c r="A256">
        <f t="shared" si="6"/>
        <v>2024</v>
      </c>
      <c r="B256" s="10">
        <v>45422</v>
      </c>
      <c r="C256" s="11">
        <v>99</v>
      </c>
      <c r="D256" s="11">
        <v>98.09</v>
      </c>
      <c r="E256" s="11">
        <v>99</v>
      </c>
      <c r="F256" s="11">
        <v>98.09</v>
      </c>
      <c r="G256" s="11">
        <v>0.93</v>
      </c>
      <c r="H256" s="11">
        <v>1010</v>
      </c>
      <c r="I256" s="11">
        <v>100985</v>
      </c>
      <c r="J256" s="11">
        <v>457005500</v>
      </c>
      <c r="K256" s="11">
        <v>26226220820.26</v>
      </c>
      <c r="L256" s="6">
        <f t="shared" si="7"/>
        <v>99.9851485148515</v>
      </c>
    </row>
    <row r="257" spans="1:12">
      <c r="A257">
        <f t="shared" si="6"/>
        <v>2024</v>
      </c>
      <c r="B257" s="10">
        <v>45421</v>
      </c>
      <c r="C257" s="11">
        <v>98.09</v>
      </c>
      <c r="D257" s="11">
        <v>98.09</v>
      </c>
      <c r="E257" s="11">
        <v>98.09</v>
      </c>
      <c r="F257" s="11">
        <v>98.09</v>
      </c>
      <c r="G257" s="11">
        <v>-2.97</v>
      </c>
      <c r="H257" s="11">
        <v>109050</v>
      </c>
      <c r="I257" s="11">
        <v>10019200</v>
      </c>
      <c r="J257" s="11">
        <v>457004490</v>
      </c>
      <c r="K257" s="11">
        <v>26226119835.26</v>
      </c>
      <c r="L257" s="6">
        <f t="shared" si="7"/>
        <v>91.8771205868867</v>
      </c>
    </row>
    <row r="258" spans="1:12">
      <c r="A258">
        <f t="shared" si="6"/>
        <v>2024</v>
      </c>
      <c r="B258" s="10">
        <v>45420</v>
      </c>
      <c r="C258" s="11">
        <v>101.09</v>
      </c>
      <c r="D258" s="11">
        <v>100.83</v>
      </c>
      <c r="E258" s="11">
        <v>101.17</v>
      </c>
      <c r="F258" s="11">
        <v>100.83</v>
      </c>
      <c r="G258" s="11">
        <v>-0.57</v>
      </c>
      <c r="H258" s="11">
        <v>117192</v>
      </c>
      <c r="I258" s="11">
        <v>11516220</v>
      </c>
      <c r="J258" s="11">
        <v>456895440</v>
      </c>
      <c r="K258" s="11">
        <v>26216100635.26</v>
      </c>
      <c r="L258" s="6">
        <f t="shared" si="7"/>
        <v>98.2679705099324</v>
      </c>
    </row>
    <row r="259" spans="1:12">
      <c r="A259">
        <f t="shared" si="6"/>
        <v>2024</v>
      </c>
      <c r="B259" s="10">
        <v>45419</v>
      </c>
      <c r="C259" s="11">
        <v>101.67</v>
      </c>
      <c r="D259" s="11">
        <v>103</v>
      </c>
      <c r="E259" s="11">
        <v>103</v>
      </c>
      <c r="F259" s="11">
        <v>101.67</v>
      </c>
      <c r="G259" s="11">
        <v>-1.29</v>
      </c>
      <c r="H259" s="11">
        <v>15005</v>
      </c>
      <c r="I259" s="11">
        <v>1500525</v>
      </c>
      <c r="J259" s="11">
        <v>456778248</v>
      </c>
      <c r="K259" s="11">
        <v>26204584415.26</v>
      </c>
      <c r="L259" s="6">
        <f t="shared" si="7"/>
        <v>100.001666111296</v>
      </c>
    </row>
    <row r="260" spans="1:12">
      <c r="A260">
        <f t="shared" ref="A260:A323" si="8">YEAR(B260)</f>
        <v>2024</v>
      </c>
      <c r="B260" s="10">
        <v>45418</v>
      </c>
      <c r="C260" s="11">
        <v>103</v>
      </c>
      <c r="D260" s="11">
        <v>103</v>
      </c>
      <c r="E260" s="11">
        <v>103</v>
      </c>
      <c r="F260" s="11">
        <v>103</v>
      </c>
      <c r="G260" s="11">
        <v>0</v>
      </c>
      <c r="H260" s="11">
        <v>5</v>
      </c>
      <c r="I260" s="11">
        <v>525</v>
      </c>
      <c r="J260" s="11">
        <v>456763243</v>
      </c>
      <c r="K260" s="11">
        <v>26203083890.26</v>
      </c>
      <c r="L260" s="6">
        <f t="shared" ref="L260:L323" si="9">I260/H260</f>
        <v>105</v>
      </c>
    </row>
    <row r="261" spans="1:12">
      <c r="A261">
        <f t="shared" si="8"/>
        <v>2024</v>
      </c>
      <c r="B261" s="10">
        <v>45412</v>
      </c>
      <c r="C261" s="11">
        <v>103</v>
      </c>
      <c r="D261" s="11">
        <v>103</v>
      </c>
      <c r="E261" s="11">
        <v>103</v>
      </c>
      <c r="F261" s="11">
        <v>103</v>
      </c>
      <c r="G261" s="11">
        <v>-0.45</v>
      </c>
      <c r="H261" s="11">
        <v>104950</v>
      </c>
      <c r="I261" s="11">
        <v>9549950</v>
      </c>
      <c r="J261" s="11">
        <v>456763238</v>
      </c>
      <c r="K261" s="11">
        <v>26203083365.26</v>
      </c>
      <c r="L261" s="6">
        <f t="shared" si="9"/>
        <v>90.9952358265841</v>
      </c>
    </row>
    <row r="262" spans="1:12">
      <c r="A262">
        <f t="shared" si="8"/>
        <v>2024</v>
      </c>
      <c r="B262" s="10">
        <v>45411</v>
      </c>
      <c r="C262" s="11">
        <v>103.47</v>
      </c>
      <c r="D262" s="11">
        <v>102.19</v>
      </c>
      <c r="E262" s="11">
        <v>104</v>
      </c>
      <c r="F262" s="11">
        <v>102.19</v>
      </c>
      <c r="G262" s="11">
        <v>0.96</v>
      </c>
      <c r="H262" s="11">
        <v>582040</v>
      </c>
      <c r="I262" s="11">
        <v>57485125</v>
      </c>
      <c r="J262" s="11">
        <v>456658288</v>
      </c>
      <c r="K262" s="11">
        <v>26193533415.26</v>
      </c>
      <c r="L262" s="6">
        <f t="shared" si="9"/>
        <v>98.7649044739193</v>
      </c>
    </row>
    <row r="263" spans="1:12">
      <c r="A263">
        <f t="shared" si="8"/>
        <v>2024</v>
      </c>
      <c r="B263" s="10">
        <v>45408</v>
      </c>
      <c r="C263" s="11">
        <v>102.49</v>
      </c>
      <c r="D263" s="11">
        <v>102.39</v>
      </c>
      <c r="E263" s="11">
        <v>102.69</v>
      </c>
      <c r="F263" s="11">
        <v>102.39</v>
      </c>
      <c r="G263" s="11">
        <v>0.08</v>
      </c>
      <c r="H263" s="11">
        <v>716953</v>
      </c>
      <c r="I263" s="11">
        <v>70818179</v>
      </c>
      <c r="J263" s="11">
        <v>456076248</v>
      </c>
      <c r="K263" s="11">
        <v>26136048290.26</v>
      </c>
      <c r="L263" s="6">
        <f t="shared" si="9"/>
        <v>98.7765990239249</v>
      </c>
    </row>
    <row r="264" spans="1:12">
      <c r="A264">
        <f t="shared" si="8"/>
        <v>2024</v>
      </c>
      <c r="B264" s="10">
        <v>45407</v>
      </c>
      <c r="C264" s="11">
        <v>102.41</v>
      </c>
      <c r="D264" s="11">
        <v>99.73</v>
      </c>
      <c r="E264" s="11">
        <v>103.36</v>
      </c>
      <c r="F264" s="11">
        <v>99.73</v>
      </c>
      <c r="G264" s="11">
        <v>1.81</v>
      </c>
      <c r="H264" s="11">
        <v>527981</v>
      </c>
      <c r="I264" s="11">
        <v>54379634.6</v>
      </c>
      <c r="J264" s="11">
        <v>455359295</v>
      </c>
      <c r="K264" s="11">
        <v>26065230111.26</v>
      </c>
      <c r="L264" s="6">
        <f t="shared" si="9"/>
        <v>102.995438472218</v>
      </c>
    </row>
    <row r="265" spans="1:12">
      <c r="A265">
        <f t="shared" si="8"/>
        <v>2024</v>
      </c>
      <c r="B265" s="10">
        <v>45406</v>
      </c>
      <c r="C265" s="11">
        <v>100.59</v>
      </c>
      <c r="D265" s="11">
        <v>99.52</v>
      </c>
      <c r="E265" s="11">
        <v>101.51</v>
      </c>
      <c r="F265" s="11">
        <v>98.67</v>
      </c>
      <c r="G265" s="11">
        <v>0.99</v>
      </c>
      <c r="H265" s="11">
        <v>448283</v>
      </c>
      <c r="I265" s="11">
        <v>45299677.24</v>
      </c>
      <c r="J265" s="11">
        <v>454831314</v>
      </c>
      <c r="K265" s="11">
        <v>26010850476.66</v>
      </c>
      <c r="L265" s="6">
        <f t="shared" si="9"/>
        <v>101.051517099689</v>
      </c>
    </row>
    <row r="266" spans="1:12">
      <c r="A266">
        <f t="shared" si="8"/>
        <v>2024</v>
      </c>
      <c r="B266" s="10">
        <v>45405</v>
      </c>
      <c r="C266" s="11">
        <v>99.6</v>
      </c>
      <c r="D266" s="11">
        <v>97.84</v>
      </c>
      <c r="E266" s="11">
        <v>99.76</v>
      </c>
      <c r="F266" s="11">
        <v>97.84</v>
      </c>
      <c r="G266" s="11">
        <v>3.47</v>
      </c>
      <c r="H266" s="11">
        <v>107779</v>
      </c>
      <c r="I266" s="11">
        <v>10750805</v>
      </c>
      <c r="J266" s="11">
        <v>454383031</v>
      </c>
      <c r="K266" s="11">
        <v>25965550799.42</v>
      </c>
      <c r="L266" s="6">
        <f t="shared" si="9"/>
        <v>99.7486059436439</v>
      </c>
    </row>
    <row r="267" spans="1:12">
      <c r="A267">
        <f t="shared" si="8"/>
        <v>2024</v>
      </c>
      <c r="B267" s="10">
        <v>45404</v>
      </c>
      <c r="C267" s="11">
        <v>96.26</v>
      </c>
      <c r="D267" s="11">
        <v>95.89</v>
      </c>
      <c r="E267" s="11">
        <v>98.33</v>
      </c>
      <c r="F267" s="11">
        <v>95.89</v>
      </c>
      <c r="G267" s="11">
        <v>1.98</v>
      </c>
      <c r="H267" s="11">
        <v>716433</v>
      </c>
      <c r="I267" s="11">
        <v>64363843.2</v>
      </c>
      <c r="J267" s="11">
        <v>454275252</v>
      </c>
      <c r="K267" s="11">
        <v>25954799994.42</v>
      </c>
      <c r="L267" s="6">
        <f t="shared" si="9"/>
        <v>89.8393055596267</v>
      </c>
    </row>
    <row r="268" spans="1:12">
      <c r="A268">
        <f t="shared" si="8"/>
        <v>2024</v>
      </c>
      <c r="B268" s="10">
        <v>45401</v>
      </c>
      <c r="C268" s="11">
        <v>94.39</v>
      </c>
      <c r="D268" s="11">
        <v>93.29</v>
      </c>
      <c r="E268" s="11">
        <v>95.38</v>
      </c>
      <c r="F268" s="11">
        <v>93.29</v>
      </c>
      <c r="G268" s="11">
        <v>1.91</v>
      </c>
      <c r="H268" s="11">
        <v>173151</v>
      </c>
      <c r="I268" s="11">
        <v>16426194</v>
      </c>
      <c r="J268" s="11">
        <v>453558819</v>
      </c>
      <c r="K268" s="11">
        <v>25890436151.22</v>
      </c>
      <c r="L268" s="6">
        <f t="shared" si="9"/>
        <v>94.8662958920249</v>
      </c>
    </row>
    <row r="269" spans="1:12">
      <c r="A269">
        <f t="shared" si="8"/>
        <v>2024</v>
      </c>
      <c r="B269" s="10">
        <v>45400</v>
      </c>
      <c r="C269" s="11">
        <v>92.62</v>
      </c>
      <c r="D269" s="11">
        <v>91.25</v>
      </c>
      <c r="E269" s="11">
        <v>92.88</v>
      </c>
      <c r="F269" s="11">
        <v>90.22</v>
      </c>
      <c r="G269" s="11">
        <v>2.25</v>
      </c>
      <c r="H269" s="11">
        <v>272915</v>
      </c>
      <c r="I269" s="11">
        <v>25311087.5</v>
      </c>
      <c r="J269" s="11">
        <v>453385668</v>
      </c>
      <c r="K269" s="11">
        <v>25874009957.22</v>
      </c>
      <c r="L269" s="6">
        <f t="shared" si="9"/>
        <v>92.743482402946</v>
      </c>
    </row>
    <row r="270" spans="1:12">
      <c r="A270">
        <f t="shared" si="8"/>
        <v>2024</v>
      </c>
      <c r="B270" s="10">
        <v>45399</v>
      </c>
      <c r="C270" s="11">
        <v>90.58</v>
      </c>
      <c r="D270" s="11">
        <v>89.43</v>
      </c>
      <c r="E270" s="11">
        <v>90.6</v>
      </c>
      <c r="F270" s="11">
        <v>88.8</v>
      </c>
      <c r="G270" s="11">
        <v>1.13</v>
      </c>
      <c r="H270" s="11">
        <v>218309</v>
      </c>
      <c r="I270" s="11">
        <v>19992282</v>
      </c>
      <c r="J270" s="11">
        <v>453112753</v>
      </c>
      <c r="K270" s="11">
        <v>25848698869.72</v>
      </c>
      <c r="L270" s="6">
        <f t="shared" si="9"/>
        <v>91.5779102098402</v>
      </c>
    </row>
    <row r="271" spans="1:12">
      <c r="A271">
        <f t="shared" si="8"/>
        <v>2024</v>
      </c>
      <c r="B271" s="10">
        <v>45398</v>
      </c>
      <c r="C271" s="11">
        <v>89.57</v>
      </c>
      <c r="D271" s="11">
        <v>91.7</v>
      </c>
      <c r="E271" s="11">
        <v>91.7</v>
      </c>
      <c r="F271" s="11">
        <v>89.57</v>
      </c>
      <c r="G271" s="11">
        <v>2.99</v>
      </c>
      <c r="H271" s="11">
        <v>132800</v>
      </c>
      <c r="I271" s="11">
        <v>12405680</v>
      </c>
      <c r="J271" s="11">
        <v>452894444</v>
      </c>
      <c r="K271" s="11">
        <v>25828706587.72</v>
      </c>
      <c r="L271" s="6">
        <f t="shared" si="9"/>
        <v>93.416265060241</v>
      </c>
    </row>
    <row r="272" spans="1:12">
      <c r="A272">
        <f t="shared" si="8"/>
        <v>2024</v>
      </c>
      <c r="B272" s="10">
        <v>45397</v>
      </c>
      <c r="C272" s="11">
        <v>92.33</v>
      </c>
      <c r="D272" s="11">
        <v>92.99</v>
      </c>
      <c r="E272" s="11">
        <v>92.99</v>
      </c>
      <c r="F272" s="11">
        <v>92.33</v>
      </c>
      <c r="G272" s="11">
        <v>0.53</v>
      </c>
      <c r="H272" s="11">
        <v>2026</v>
      </c>
      <c r="I272" s="11">
        <v>182470</v>
      </c>
      <c r="J272" s="11">
        <v>452761644</v>
      </c>
      <c r="K272" s="11">
        <v>25816300907.72</v>
      </c>
      <c r="L272" s="6">
        <f t="shared" si="9"/>
        <v>90.0641658440276</v>
      </c>
    </row>
    <row r="273" spans="1:12">
      <c r="A273">
        <f t="shared" si="8"/>
        <v>2024</v>
      </c>
      <c r="B273" s="10">
        <v>45394</v>
      </c>
      <c r="C273" s="11">
        <v>91.84</v>
      </c>
      <c r="D273" s="11">
        <v>88.36</v>
      </c>
      <c r="E273" s="11">
        <v>92</v>
      </c>
      <c r="F273" s="11">
        <v>88.36</v>
      </c>
      <c r="G273" s="11">
        <v>4.48</v>
      </c>
      <c r="H273" s="11">
        <v>384300</v>
      </c>
      <c r="I273" s="11">
        <v>34801640</v>
      </c>
      <c r="J273" s="11">
        <v>452759618</v>
      </c>
      <c r="K273" s="11">
        <v>25816118437.72</v>
      </c>
      <c r="L273" s="6">
        <f t="shared" si="9"/>
        <v>90.5585219880302</v>
      </c>
    </row>
    <row r="274" spans="1:12">
      <c r="A274">
        <f t="shared" si="8"/>
        <v>2024</v>
      </c>
      <c r="B274" s="10">
        <v>45393</v>
      </c>
      <c r="C274" s="11">
        <v>87.9</v>
      </c>
      <c r="D274" s="11">
        <v>88.71</v>
      </c>
      <c r="E274" s="11">
        <v>88.71</v>
      </c>
      <c r="F274" s="11">
        <v>87.07</v>
      </c>
      <c r="G274" s="11">
        <v>1.77</v>
      </c>
      <c r="H274" s="11">
        <v>73571</v>
      </c>
      <c r="I274" s="11">
        <v>6442373.4</v>
      </c>
      <c r="J274" s="11">
        <v>452375318</v>
      </c>
      <c r="K274" s="11">
        <v>25781316797.72</v>
      </c>
      <c r="L274" s="6">
        <f t="shared" si="9"/>
        <v>87.5667504859252</v>
      </c>
    </row>
    <row r="275" spans="1:12">
      <c r="A275">
        <f t="shared" si="8"/>
        <v>2024</v>
      </c>
      <c r="B275" s="10">
        <v>45392</v>
      </c>
      <c r="C275" s="11">
        <v>86.37</v>
      </c>
      <c r="D275" s="11">
        <v>86.37</v>
      </c>
      <c r="E275" s="11">
        <v>86.37</v>
      </c>
      <c r="F275" s="11">
        <v>86.37</v>
      </c>
      <c r="G275" s="11">
        <v>-2.24</v>
      </c>
      <c r="H275" s="11">
        <v>915100</v>
      </c>
      <c r="I275" s="11">
        <v>81169800</v>
      </c>
      <c r="J275" s="11">
        <v>452301747</v>
      </c>
      <c r="K275" s="11">
        <v>25774874424.32</v>
      </c>
      <c r="L275" s="6">
        <f t="shared" si="9"/>
        <v>88.7004698940007</v>
      </c>
    </row>
    <row r="276" spans="1:12">
      <c r="A276">
        <f t="shared" si="8"/>
        <v>2024</v>
      </c>
      <c r="B276" s="10">
        <v>45391</v>
      </c>
      <c r="C276" s="11">
        <v>88.35</v>
      </c>
      <c r="D276" s="11">
        <v>88.37</v>
      </c>
      <c r="E276" s="11">
        <v>88.41</v>
      </c>
      <c r="F276" s="11">
        <v>87.37</v>
      </c>
      <c r="G276" s="11">
        <v>0.83</v>
      </c>
      <c r="H276" s="11">
        <v>787993</v>
      </c>
      <c r="I276" s="11">
        <v>70150576.16</v>
      </c>
      <c r="J276" s="11">
        <v>451386647</v>
      </c>
      <c r="K276" s="11">
        <v>25693704624.32</v>
      </c>
      <c r="L276" s="6">
        <f t="shared" si="9"/>
        <v>89.0243646326807</v>
      </c>
    </row>
    <row r="277" spans="1:12">
      <c r="A277">
        <f t="shared" si="8"/>
        <v>2024</v>
      </c>
      <c r="B277" s="10">
        <v>45390</v>
      </c>
      <c r="C277" s="11">
        <v>87.62</v>
      </c>
      <c r="D277" s="11">
        <v>87.33</v>
      </c>
      <c r="E277" s="11">
        <v>87.67</v>
      </c>
      <c r="F277" s="11">
        <v>87.33</v>
      </c>
      <c r="G277" s="11">
        <v>-0.06</v>
      </c>
      <c r="H277" s="11">
        <v>195776</v>
      </c>
      <c r="I277" s="11">
        <v>16753093.28</v>
      </c>
      <c r="J277" s="11">
        <v>450598654</v>
      </c>
      <c r="K277" s="11">
        <v>25623554048.16</v>
      </c>
      <c r="L277" s="6">
        <f t="shared" si="9"/>
        <v>85.5727631578947</v>
      </c>
    </row>
    <row r="278" spans="1:12">
      <c r="A278">
        <f t="shared" si="8"/>
        <v>2024</v>
      </c>
      <c r="B278" s="10">
        <v>45385</v>
      </c>
      <c r="C278" s="11">
        <v>87.67</v>
      </c>
      <c r="D278" s="11">
        <v>87.67</v>
      </c>
      <c r="E278" s="11">
        <v>87.67</v>
      </c>
      <c r="F278" s="11">
        <v>87.67</v>
      </c>
      <c r="G278" s="11">
        <v>-0.2</v>
      </c>
      <c r="H278" s="11">
        <v>39998</v>
      </c>
      <c r="I278" s="11">
        <v>3479826</v>
      </c>
      <c r="J278" s="11">
        <v>450402878</v>
      </c>
      <c r="K278" s="11">
        <v>25606800954.88</v>
      </c>
      <c r="L278" s="6">
        <f t="shared" si="9"/>
        <v>87</v>
      </c>
    </row>
    <row r="279" spans="1:12">
      <c r="A279">
        <f t="shared" si="8"/>
        <v>2024</v>
      </c>
      <c r="B279" s="10">
        <v>45384</v>
      </c>
      <c r="C279" s="11">
        <v>87.85</v>
      </c>
      <c r="D279" s="11">
        <v>89.27</v>
      </c>
      <c r="E279" s="11">
        <v>90.66</v>
      </c>
      <c r="F279" s="11">
        <v>87.6</v>
      </c>
      <c r="G279" s="11">
        <v>-3.1</v>
      </c>
      <c r="H279" s="11">
        <v>125005</v>
      </c>
      <c r="I279" s="11">
        <v>10900454.85</v>
      </c>
      <c r="J279" s="11">
        <v>450362880</v>
      </c>
      <c r="K279" s="11">
        <v>25603321128.88</v>
      </c>
      <c r="L279" s="6">
        <f t="shared" si="9"/>
        <v>87.2001507939682</v>
      </c>
    </row>
    <row r="280" spans="1:12">
      <c r="A280">
        <f t="shared" si="8"/>
        <v>2024</v>
      </c>
      <c r="B280" s="10">
        <v>45383</v>
      </c>
      <c r="C280" s="11">
        <v>90.66</v>
      </c>
      <c r="D280" s="11">
        <v>90.66</v>
      </c>
      <c r="E280" s="11">
        <v>90.66</v>
      </c>
      <c r="F280" s="11">
        <v>90.66</v>
      </c>
      <c r="G280" s="11">
        <v>0</v>
      </c>
      <c r="H280" s="11">
        <v>5</v>
      </c>
      <c r="I280" s="11">
        <v>454.85</v>
      </c>
      <c r="J280" s="11">
        <v>450237875</v>
      </c>
      <c r="K280" s="11">
        <v>25592420674.03</v>
      </c>
      <c r="L280" s="6">
        <f t="shared" si="9"/>
        <v>90.97</v>
      </c>
    </row>
    <row r="281" spans="1:12">
      <c r="A281">
        <f t="shared" si="8"/>
        <v>2024</v>
      </c>
      <c r="B281" s="10">
        <v>45380</v>
      </c>
      <c r="C281" s="11">
        <v>90.66</v>
      </c>
      <c r="D281" s="11">
        <v>88.67</v>
      </c>
      <c r="E281" s="11">
        <v>90.67</v>
      </c>
      <c r="F281" s="11">
        <v>88.67</v>
      </c>
      <c r="G281" s="11">
        <v>0.73</v>
      </c>
      <c r="H281" s="11">
        <v>10050</v>
      </c>
      <c r="I281" s="11">
        <v>914250</v>
      </c>
      <c r="J281" s="11">
        <v>450237870</v>
      </c>
      <c r="K281" s="11">
        <v>25592420219.18</v>
      </c>
      <c r="L281" s="6">
        <f t="shared" si="9"/>
        <v>90.9701492537313</v>
      </c>
    </row>
    <row r="282" spans="1:12">
      <c r="A282">
        <f t="shared" si="8"/>
        <v>2024</v>
      </c>
      <c r="B282" s="10">
        <v>45379</v>
      </c>
      <c r="C282" s="11">
        <v>90</v>
      </c>
      <c r="D282" s="11">
        <v>89.3</v>
      </c>
      <c r="E282" s="11">
        <v>90</v>
      </c>
      <c r="F282" s="11">
        <v>89.3</v>
      </c>
      <c r="G282" s="11">
        <v>0.4</v>
      </c>
      <c r="H282" s="11">
        <v>3051</v>
      </c>
      <c r="I282" s="11">
        <v>278058</v>
      </c>
      <c r="J282" s="11">
        <v>450227820</v>
      </c>
      <c r="K282" s="11">
        <v>25591505969.18</v>
      </c>
      <c r="L282" s="6">
        <f t="shared" si="9"/>
        <v>91.1366764995084</v>
      </c>
    </row>
    <row r="283" spans="1:12">
      <c r="A283">
        <f t="shared" si="8"/>
        <v>2024</v>
      </c>
      <c r="B283" s="10">
        <v>45378</v>
      </c>
      <c r="C283" s="11">
        <v>89.64</v>
      </c>
      <c r="D283" s="11">
        <v>86.3</v>
      </c>
      <c r="E283" s="11">
        <v>89.67</v>
      </c>
      <c r="F283" s="11">
        <v>86</v>
      </c>
      <c r="G283" s="11">
        <v>4.28</v>
      </c>
      <c r="H283" s="11">
        <v>125353</v>
      </c>
      <c r="I283" s="11">
        <v>11231904</v>
      </c>
      <c r="J283" s="11">
        <v>450224769</v>
      </c>
      <c r="K283" s="11">
        <v>25591227911.18</v>
      </c>
      <c r="L283" s="6">
        <f t="shared" si="9"/>
        <v>89.6021954001899</v>
      </c>
    </row>
    <row r="284" spans="1:12">
      <c r="A284">
        <f t="shared" si="8"/>
        <v>2024</v>
      </c>
      <c r="B284" s="10">
        <v>45377</v>
      </c>
      <c r="C284" s="11">
        <v>85.96</v>
      </c>
      <c r="D284" s="11">
        <v>85.83</v>
      </c>
      <c r="E284" s="11">
        <v>86.5</v>
      </c>
      <c r="F284" s="11">
        <v>85.83</v>
      </c>
      <c r="G284" s="11">
        <v>0.63</v>
      </c>
      <c r="H284" s="11">
        <v>578942</v>
      </c>
      <c r="I284" s="11">
        <v>51443002</v>
      </c>
      <c r="J284" s="11">
        <v>450099416</v>
      </c>
      <c r="K284" s="11">
        <v>25579996007.18</v>
      </c>
      <c r="L284" s="6">
        <f t="shared" si="9"/>
        <v>88.8569183096061</v>
      </c>
    </row>
    <row r="285" spans="1:12">
      <c r="A285">
        <f t="shared" si="8"/>
        <v>2024</v>
      </c>
      <c r="B285" s="10">
        <v>45376</v>
      </c>
      <c r="C285" s="11">
        <v>85.42</v>
      </c>
      <c r="D285" s="11">
        <v>82.83</v>
      </c>
      <c r="E285" s="11">
        <v>87.33</v>
      </c>
      <c r="F285" s="11">
        <v>82.83</v>
      </c>
      <c r="G285" s="11">
        <v>1.9</v>
      </c>
      <c r="H285" s="11">
        <v>46000</v>
      </c>
      <c r="I285" s="11">
        <v>3947000</v>
      </c>
      <c r="J285" s="11">
        <v>449520474</v>
      </c>
      <c r="K285" s="11">
        <v>25528553005.18</v>
      </c>
      <c r="L285" s="6">
        <f t="shared" si="9"/>
        <v>85.804347826087</v>
      </c>
    </row>
    <row r="286" spans="1:12">
      <c r="A286">
        <f t="shared" si="8"/>
        <v>2024</v>
      </c>
      <c r="B286" s="10">
        <v>45373</v>
      </c>
      <c r="C286" s="11">
        <v>83.83</v>
      </c>
      <c r="D286" s="11">
        <v>83.83</v>
      </c>
      <c r="E286" s="11">
        <v>83.83</v>
      </c>
      <c r="F286" s="11">
        <v>83.83</v>
      </c>
      <c r="G286" s="11">
        <v>0</v>
      </c>
      <c r="H286" s="11">
        <v>5</v>
      </c>
      <c r="I286" s="11">
        <v>400</v>
      </c>
      <c r="J286" s="11">
        <v>449474474</v>
      </c>
      <c r="K286" s="11">
        <v>25524606005.18</v>
      </c>
      <c r="L286" s="6">
        <f t="shared" si="9"/>
        <v>80</v>
      </c>
    </row>
    <row r="287" spans="1:12">
      <c r="A287">
        <f t="shared" si="8"/>
        <v>2024</v>
      </c>
      <c r="B287" s="10">
        <v>45372</v>
      </c>
      <c r="C287" s="11">
        <v>83.83</v>
      </c>
      <c r="D287" s="11">
        <v>84.49</v>
      </c>
      <c r="E287" s="11">
        <v>84.49</v>
      </c>
      <c r="F287" s="11">
        <v>83.83</v>
      </c>
      <c r="G287" s="11">
        <v>-1.24</v>
      </c>
      <c r="H287" s="11">
        <v>30100</v>
      </c>
      <c r="I287" s="11">
        <v>2588550</v>
      </c>
      <c r="J287" s="11">
        <v>449474469</v>
      </c>
      <c r="K287" s="11">
        <v>25524605605.18</v>
      </c>
      <c r="L287" s="6">
        <f t="shared" si="9"/>
        <v>85.9983388704319</v>
      </c>
    </row>
    <row r="288" spans="1:12">
      <c r="A288">
        <f t="shared" si="8"/>
        <v>2024</v>
      </c>
      <c r="B288" s="10">
        <v>45371</v>
      </c>
      <c r="C288" s="11">
        <v>84.88</v>
      </c>
      <c r="D288" s="11">
        <v>82.77</v>
      </c>
      <c r="E288" s="11">
        <v>85.33</v>
      </c>
      <c r="F288" s="11">
        <v>82.77</v>
      </c>
      <c r="G288" s="11">
        <v>4.79</v>
      </c>
      <c r="H288" s="11">
        <v>59200</v>
      </c>
      <c r="I288" s="11">
        <v>5168560</v>
      </c>
      <c r="J288" s="11">
        <v>449444369</v>
      </c>
      <c r="K288" s="11">
        <v>25522017055.18</v>
      </c>
      <c r="L288" s="6">
        <f t="shared" si="9"/>
        <v>87.3067567567568</v>
      </c>
    </row>
    <row r="289" spans="1:12">
      <c r="A289">
        <f t="shared" si="8"/>
        <v>2024</v>
      </c>
      <c r="B289" s="10">
        <v>45370</v>
      </c>
      <c r="C289" s="11">
        <v>81</v>
      </c>
      <c r="D289" s="11">
        <v>79.67</v>
      </c>
      <c r="E289" s="11">
        <v>81</v>
      </c>
      <c r="F289" s="11">
        <v>79.67</v>
      </c>
      <c r="G289" s="11">
        <v>0.62</v>
      </c>
      <c r="H289" s="11">
        <v>53447</v>
      </c>
      <c r="I289" s="11">
        <v>4355680.5</v>
      </c>
      <c r="J289" s="11">
        <v>449385169</v>
      </c>
      <c r="K289" s="11">
        <v>25516848495.18</v>
      </c>
      <c r="L289" s="6">
        <f t="shared" si="9"/>
        <v>81.495322468988</v>
      </c>
    </row>
    <row r="290" spans="1:12">
      <c r="A290">
        <f t="shared" si="8"/>
        <v>2024</v>
      </c>
      <c r="B290" s="10">
        <v>45369</v>
      </c>
      <c r="C290" s="11">
        <v>80.5</v>
      </c>
      <c r="D290" s="11">
        <v>79.5</v>
      </c>
      <c r="E290" s="11">
        <v>80.5</v>
      </c>
      <c r="F290" s="11">
        <v>79.5</v>
      </c>
      <c r="G290" s="11">
        <v>0.63</v>
      </c>
      <c r="H290" s="11">
        <v>50100</v>
      </c>
      <c r="I290" s="11">
        <v>4082850</v>
      </c>
      <c r="J290" s="11">
        <v>449331722</v>
      </c>
      <c r="K290" s="11">
        <v>25512492814.68</v>
      </c>
      <c r="L290" s="6">
        <f t="shared" si="9"/>
        <v>81.4940119760479</v>
      </c>
    </row>
    <row r="291" spans="1:12">
      <c r="A291">
        <f t="shared" si="8"/>
        <v>2024</v>
      </c>
      <c r="B291" s="10">
        <v>45366</v>
      </c>
      <c r="C291" s="11">
        <v>80</v>
      </c>
      <c r="D291" s="11">
        <v>80</v>
      </c>
      <c r="E291" s="11">
        <v>80</v>
      </c>
      <c r="F291" s="11">
        <v>80</v>
      </c>
      <c r="G291" s="11">
        <v>-0.05</v>
      </c>
      <c r="H291" s="11">
        <v>100</v>
      </c>
      <c r="I291" s="11">
        <v>8000</v>
      </c>
      <c r="J291" s="11">
        <v>449281622</v>
      </c>
      <c r="K291" s="11">
        <v>25508409964.68</v>
      </c>
      <c r="L291" s="6">
        <f t="shared" si="9"/>
        <v>80</v>
      </c>
    </row>
    <row r="292" spans="1:12">
      <c r="A292">
        <f t="shared" si="8"/>
        <v>2024</v>
      </c>
      <c r="B292" s="10">
        <v>45365</v>
      </c>
      <c r="C292" s="11">
        <v>80.04</v>
      </c>
      <c r="D292" s="11">
        <v>85.66</v>
      </c>
      <c r="E292" s="11">
        <v>85.66</v>
      </c>
      <c r="F292" s="11">
        <v>80</v>
      </c>
      <c r="G292" s="11">
        <v>-6.88</v>
      </c>
      <c r="H292" s="11">
        <v>100635</v>
      </c>
      <c r="I292" s="11">
        <v>8560825</v>
      </c>
      <c r="J292" s="11">
        <v>449281522</v>
      </c>
      <c r="K292" s="11">
        <v>25508401964.68</v>
      </c>
      <c r="L292" s="6">
        <f t="shared" si="9"/>
        <v>85.0680677696626</v>
      </c>
    </row>
    <row r="293" spans="1:12">
      <c r="A293">
        <f t="shared" si="8"/>
        <v>2024</v>
      </c>
      <c r="B293" s="10">
        <v>45364</v>
      </c>
      <c r="C293" s="11">
        <v>85.95</v>
      </c>
      <c r="D293" s="11">
        <v>85.62</v>
      </c>
      <c r="E293" s="11">
        <v>86.12</v>
      </c>
      <c r="F293" s="11">
        <v>85.62</v>
      </c>
      <c r="G293" s="11">
        <v>0.44</v>
      </c>
      <c r="H293" s="11">
        <v>107110</v>
      </c>
      <c r="I293" s="11">
        <v>9316581</v>
      </c>
      <c r="J293" s="11">
        <v>449180887</v>
      </c>
      <c r="K293" s="11">
        <v>25499841139.68</v>
      </c>
      <c r="L293" s="6">
        <f t="shared" si="9"/>
        <v>86.9814303052936</v>
      </c>
    </row>
    <row r="294" spans="1:12">
      <c r="A294">
        <f t="shared" si="8"/>
        <v>2024</v>
      </c>
      <c r="B294" s="10">
        <v>45363</v>
      </c>
      <c r="C294" s="11">
        <v>85.57</v>
      </c>
      <c r="D294" s="11">
        <v>85.03</v>
      </c>
      <c r="E294" s="11">
        <v>85.62</v>
      </c>
      <c r="F294" s="11">
        <v>85.03</v>
      </c>
      <c r="G294" s="11">
        <v>2.97</v>
      </c>
      <c r="H294" s="11">
        <v>308700</v>
      </c>
      <c r="I294" s="11">
        <v>26599500</v>
      </c>
      <c r="J294" s="11">
        <v>449073777</v>
      </c>
      <c r="K294" s="11">
        <v>25490524558.68</v>
      </c>
      <c r="L294" s="6">
        <f t="shared" si="9"/>
        <v>86.1661807580175</v>
      </c>
    </row>
    <row r="295" spans="1:12">
      <c r="A295">
        <f t="shared" si="8"/>
        <v>2024</v>
      </c>
      <c r="B295" s="10">
        <v>45362</v>
      </c>
      <c r="C295" s="11">
        <v>83.1</v>
      </c>
      <c r="D295" s="11">
        <v>83.1</v>
      </c>
      <c r="E295" s="11">
        <v>83.1</v>
      </c>
      <c r="F295" s="11">
        <v>83.1</v>
      </c>
      <c r="G295" s="11">
        <v>-0.28</v>
      </c>
      <c r="H295" s="11">
        <v>512250</v>
      </c>
      <c r="I295" s="11">
        <v>42446285</v>
      </c>
      <c r="J295" s="11">
        <v>448765077</v>
      </c>
      <c r="K295" s="11">
        <v>25463925058.68</v>
      </c>
      <c r="L295" s="6">
        <f t="shared" si="9"/>
        <v>82.8624402147389</v>
      </c>
    </row>
    <row r="296" spans="1:12">
      <c r="A296">
        <f t="shared" si="8"/>
        <v>2024</v>
      </c>
      <c r="B296" s="10">
        <v>45359</v>
      </c>
      <c r="C296" s="11">
        <v>83.33</v>
      </c>
      <c r="D296" s="11">
        <v>83.47</v>
      </c>
      <c r="E296" s="11">
        <v>83.55</v>
      </c>
      <c r="F296" s="11">
        <v>83.35</v>
      </c>
      <c r="G296" s="11">
        <v>0.07</v>
      </c>
      <c r="H296" s="11">
        <v>430000</v>
      </c>
      <c r="I296" s="11">
        <v>36299400</v>
      </c>
      <c r="J296" s="11">
        <v>448252827</v>
      </c>
      <c r="K296" s="11">
        <v>25421478773.68</v>
      </c>
      <c r="L296" s="6">
        <f t="shared" si="9"/>
        <v>84.4172093023256</v>
      </c>
    </row>
    <row r="297" spans="1:12">
      <c r="A297">
        <f t="shared" si="8"/>
        <v>2024</v>
      </c>
      <c r="B297" s="10">
        <v>45358</v>
      </c>
      <c r="C297" s="11">
        <v>83.27</v>
      </c>
      <c r="D297" s="11">
        <v>83.27</v>
      </c>
      <c r="E297" s="11">
        <v>83.27</v>
      </c>
      <c r="F297" s="11">
        <v>83.27</v>
      </c>
      <c r="G297" s="11">
        <v>0.98</v>
      </c>
      <c r="H297" s="11">
        <v>160005</v>
      </c>
      <c r="I297" s="11">
        <v>13888425</v>
      </c>
      <c r="J297" s="11">
        <v>447822827</v>
      </c>
      <c r="K297" s="11">
        <v>25385179373.68</v>
      </c>
      <c r="L297" s="6">
        <f t="shared" si="9"/>
        <v>86.7999437517578</v>
      </c>
    </row>
    <row r="298" spans="1:12">
      <c r="A298">
        <f t="shared" si="8"/>
        <v>2024</v>
      </c>
      <c r="B298" s="10">
        <v>45357</v>
      </c>
      <c r="C298" s="11">
        <v>82.46</v>
      </c>
      <c r="D298" s="11">
        <v>78.14</v>
      </c>
      <c r="E298" s="11">
        <v>83.58</v>
      </c>
      <c r="F298" s="11">
        <v>78.14</v>
      </c>
      <c r="G298" s="11">
        <v>1.84</v>
      </c>
      <c r="H298" s="11">
        <v>329396</v>
      </c>
      <c r="I298" s="11">
        <v>27087214.3</v>
      </c>
      <c r="J298" s="11">
        <v>447662822</v>
      </c>
      <c r="K298" s="11">
        <v>25371290948.68</v>
      </c>
      <c r="L298" s="6">
        <f t="shared" si="9"/>
        <v>82.2329788461305</v>
      </c>
    </row>
    <row r="299" spans="1:12">
      <c r="A299">
        <f t="shared" si="8"/>
        <v>2024</v>
      </c>
      <c r="B299" s="10">
        <v>45356</v>
      </c>
      <c r="C299" s="11">
        <v>80.97</v>
      </c>
      <c r="D299" s="11">
        <v>80.95</v>
      </c>
      <c r="E299" s="11">
        <v>81.2</v>
      </c>
      <c r="F299" s="11">
        <v>80.87</v>
      </c>
      <c r="G299" s="11">
        <v>0.02</v>
      </c>
      <c r="H299" s="11">
        <v>97608</v>
      </c>
      <c r="I299" s="11">
        <v>8337827.5</v>
      </c>
      <c r="J299" s="11">
        <v>447333426</v>
      </c>
      <c r="K299" s="11">
        <v>25344203734.38</v>
      </c>
      <c r="L299" s="6">
        <f t="shared" si="9"/>
        <v>85.4215586837145</v>
      </c>
    </row>
    <row r="300" spans="1:12">
      <c r="A300">
        <f t="shared" si="8"/>
        <v>2024</v>
      </c>
      <c r="B300" s="10">
        <v>45355</v>
      </c>
      <c r="C300" s="11">
        <v>80.95</v>
      </c>
      <c r="D300" s="11">
        <v>79.83</v>
      </c>
      <c r="E300" s="11">
        <v>81</v>
      </c>
      <c r="F300" s="11">
        <v>79.83</v>
      </c>
      <c r="G300" s="11">
        <v>1.61</v>
      </c>
      <c r="H300" s="11">
        <v>6300</v>
      </c>
      <c r="I300" s="11">
        <v>538130</v>
      </c>
      <c r="J300" s="11">
        <v>447235818</v>
      </c>
      <c r="K300" s="11">
        <v>25335865906.88</v>
      </c>
      <c r="L300" s="6">
        <f t="shared" si="9"/>
        <v>85.4174603174603</v>
      </c>
    </row>
    <row r="301" spans="1:12">
      <c r="A301">
        <f t="shared" si="8"/>
        <v>2024</v>
      </c>
      <c r="B301" s="10">
        <v>45352</v>
      </c>
      <c r="C301" s="11">
        <v>79.67</v>
      </c>
      <c r="D301" s="11">
        <v>81.33</v>
      </c>
      <c r="E301" s="11">
        <v>81.33</v>
      </c>
      <c r="F301" s="11">
        <v>79.67</v>
      </c>
      <c r="G301" s="11">
        <v>-2.41</v>
      </c>
      <c r="H301" s="11">
        <v>184635</v>
      </c>
      <c r="I301" s="11">
        <v>15692475</v>
      </c>
      <c r="J301" s="11">
        <v>447229518</v>
      </c>
      <c r="K301" s="11">
        <v>25335327776.88</v>
      </c>
      <c r="L301" s="6">
        <f t="shared" si="9"/>
        <v>84.9918758631895</v>
      </c>
    </row>
    <row r="302" spans="1:12">
      <c r="A302">
        <f t="shared" si="8"/>
        <v>2024</v>
      </c>
      <c r="B302" s="10">
        <v>45351</v>
      </c>
      <c r="C302" s="11">
        <v>81.64</v>
      </c>
      <c r="D302" s="11">
        <v>80</v>
      </c>
      <c r="E302" s="11">
        <v>82</v>
      </c>
      <c r="F302" s="11">
        <v>79.67</v>
      </c>
      <c r="G302" s="11">
        <v>2.73</v>
      </c>
      <c r="H302" s="11">
        <v>331398</v>
      </c>
      <c r="I302" s="11">
        <v>28482226</v>
      </c>
      <c r="J302" s="11">
        <v>447044883</v>
      </c>
      <c r="K302" s="11">
        <v>25319635301.88</v>
      </c>
      <c r="L302" s="6">
        <f t="shared" si="9"/>
        <v>85.9456786100097</v>
      </c>
    </row>
    <row r="303" spans="1:12">
      <c r="A303">
        <f t="shared" si="8"/>
        <v>2024</v>
      </c>
      <c r="B303" s="10">
        <v>45350</v>
      </c>
      <c r="C303" s="11">
        <v>79.47</v>
      </c>
      <c r="D303" s="11">
        <v>78.08</v>
      </c>
      <c r="E303" s="11">
        <v>80</v>
      </c>
      <c r="F303" s="11">
        <v>78.08</v>
      </c>
      <c r="G303" s="11">
        <v>0.43</v>
      </c>
      <c r="H303" s="11">
        <v>436851</v>
      </c>
      <c r="I303" s="11">
        <v>36382658.04</v>
      </c>
      <c r="J303" s="11">
        <v>446713485</v>
      </c>
      <c r="K303" s="11">
        <v>25291153075.88</v>
      </c>
      <c r="L303" s="6">
        <f t="shared" si="9"/>
        <v>83.2839069614125</v>
      </c>
    </row>
    <row r="304" spans="1:12">
      <c r="A304">
        <f t="shared" si="8"/>
        <v>2024</v>
      </c>
      <c r="B304" s="10">
        <v>45349</v>
      </c>
      <c r="C304" s="11">
        <v>79.13</v>
      </c>
      <c r="D304" s="11">
        <v>79</v>
      </c>
      <c r="E304" s="11">
        <v>79.24</v>
      </c>
      <c r="F304" s="11">
        <v>79</v>
      </c>
      <c r="G304" s="11">
        <v>-0.14</v>
      </c>
      <c r="H304" s="11">
        <v>340939</v>
      </c>
      <c r="I304" s="11">
        <v>26971902.5</v>
      </c>
      <c r="J304" s="11">
        <v>446276634</v>
      </c>
      <c r="K304" s="11">
        <v>25254770417.84</v>
      </c>
      <c r="L304" s="6">
        <f t="shared" si="9"/>
        <v>79.110640026515</v>
      </c>
    </row>
    <row r="305" spans="1:12">
      <c r="A305">
        <f t="shared" si="8"/>
        <v>2024</v>
      </c>
      <c r="B305" s="10">
        <v>45348</v>
      </c>
      <c r="C305" s="11">
        <v>79.24</v>
      </c>
      <c r="D305" s="11">
        <v>79.67</v>
      </c>
      <c r="E305" s="11">
        <v>79.67</v>
      </c>
      <c r="F305" s="11">
        <v>78.33</v>
      </c>
      <c r="G305" s="11">
        <v>1.16</v>
      </c>
      <c r="H305" s="11">
        <v>15714</v>
      </c>
      <c r="I305" s="11">
        <v>1299976</v>
      </c>
      <c r="J305" s="11">
        <v>445935695</v>
      </c>
      <c r="K305" s="11">
        <v>25227798515.34</v>
      </c>
      <c r="L305" s="6">
        <f t="shared" si="9"/>
        <v>82.7272495863561</v>
      </c>
    </row>
    <row r="306" spans="1:12">
      <c r="A306">
        <f t="shared" si="8"/>
        <v>2024</v>
      </c>
      <c r="B306" s="10">
        <v>45345</v>
      </c>
      <c r="C306" s="11">
        <v>78.33</v>
      </c>
      <c r="D306" s="11">
        <v>78.33</v>
      </c>
      <c r="E306" s="11">
        <v>78.33</v>
      </c>
      <c r="F306" s="11">
        <v>78.33</v>
      </c>
      <c r="G306" s="11">
        <v>-1.26</v>
      </c>
      <c r="H306" s="11">
        <v>225055</v>
      </c>
      <c r="I306" s="11">
        <v>18058942.5</v>
      </c>
      <c r="J306" s="11">
        <v>445919981</v>
      </c>
      <c r="K306" s="11">
        <v>25226498539.34</v>
      </c>
      <c r="L306" s="6">
        <f t="shared" si="9"/>
        <v>80.242351869543</v>
      </c>
    </row>
    <row r="307" spans="1:12">
      <c r="A307">
        <f t="shared" si="8"/>
        <v>2024</v>
      </c>
      <c r="B307" s="10">
        <v>45344</v>
      </c>
      <c r="C307" s="11">
        <v>79.33</v>
      </c>
      <c r="D307" s="11">
        <v>79.17</v>
      </c>
      <c r="E307" s="11">
        <v>79.33</v>
      </c>
      <c r="F307" s="11">
        <v>79.17</v>
      </c>
      <c r="G307" s="11">
        <v>0.38</v>
      </c>
      <c r="H307" s="11">
        <v>30852</v>
      </c>
      <c r="I307" s="11">
        <v>2560666</v>
      </c>
      <c r="J307" s="11">
        <v>445694926</v>
      </c>
      <c r="K307" s="11">
        <v>25208439596.84</v>
      </c>
      <c r="L307" s="6">
        <f t="shared" si="9"/>
        <v>82.9983793595229</v>
      </c>
    </row>
    <row r="308" spans="1:12">
      <c r="A308">
        <f t="shared" si="8"/>
        <v>2024</v>
      </c>
      <c r="B308" s="10">
        <v>45343</v>
      </c>
      <c r="C308" s="11">
        <v>79.03</v>
      </c>
      <c r="D308" s="11">
        <v>78.17</v>
      </c>
      <c r="E308" s="11">
        <v>79.17</v>
      </c>
      <c r="F308" s="11">
        <v>78.17</v>
      </c>
      <c r="G308" s="11">
        <v>2.2</v>
      </c>
      <c r="H308" s="11">
        <v>32599</v>
      </c>
      <c r="I308" s="11">
        <v>2690717</v>
      </c>
      <c r="J308" s="11">
        <v>445664074</v>
      </c>
      <c r="K308" s="11">
        <v>25205878930.84</v>
      </c>
      <c r="L308" s="6">
        <f t="shared" si="9"/>
        <v>82.5398631859873</v>
      </c>
    </row>
    <row r="309" spans="1:12">
      <c r="A309">
        <f t="shared" si="8"/>
        <v>2024</v>
      </c>
      <c r="B309" s="10">
        <v>45342</v>
      </c>
      <c r="C309" s="11">
        <v>77.33</v>
      </c>
      <c r="D309" s="11">
        <v>76</v>
      </c>
      <c r="E309" s="11">
        <v>77.33</v>
      </c>
      <c r="F309" s="11">
        <v>76</v>
      </c>
      <c r="G309" s="11">
        <v>3.56</v>
      </c>
      <c r="H309" s="11">
        <v>186584</v>
      </c>
      <c r="I309" s="11">
        <v>14926720</v>
      </c>
      <c r="J309" s="11">
        <v>445631475</v>
      </c>
      <c r="K309" s="11">
        <v>25203188213.84</v>
      </c>
      <c r="L309" s="6">
        <f t="shared" si="9"/>
        <v>80</v>
      </c>
    </row>
    <row r="310" spans="1:12">
      <c r="A310">
        <f t="shared" si="8"/>
        <v>2024</v>
      </c>
      <c r="B310" s="10">
        <v>45341</v>
      </c>
      <c r="C310" s="11">
        <v>74.67</v>
      </c>
      <c r="D310" s="11">
        <v>74.67</v>
      </c>
      <c r="E310" s="11">
        <v>74.67</v>
      </c>
      <c r="F310" s="11">
        <v>74.67</v>
      </c>
      <c r="G310" s="11">
        <v>0</v>
      </c>
      <c r="H310" s="11">
        <v>5</v>
      </c>
      <c r="I310" s="11">
        <v>380</v>
      </c>
      <c r="J310" s="11">
        <v>445444891</v>
      </c>
      <c r="K310" s="11">
        <v>25188261493.84</v>
      </c>
      <c r="L310" s="6">
        <f t="shared" si="9"/>
        <v>76</v>
      </c>
    </row>
    <row r="311" spans="1:12">
      <c r="A311">
        <f t="shared" si="8"/>
        <v>2024</v>
      </c>
      <c r="B311" s="10">
        <v>45330</v>
      </c>
      <c r="C311" s="11">
        <v>74.67</v>
      </c>
      <c r="D311" s="11">
        <v>74.67</v>
      </c>
      <c r="E311" s="11">
        <v>74.67</v>
      </c>
      <c r="F311" s="11">
        <v>74.67</v>
      </c>
      <c r="G311" s="11">
        <v>0</v>
      </c>
      <c r="H311" s="11">
        <v>5</v>
      </c>
      <c r="I311" s="11">
        <v>380</v>
      </c>
      <c r="J311" s="11">
        <v>445444886</v>
      </c>
      <c r="K311" s="11">
        <v>25188261113.84</v>
      </c>
      <c r="L311" s="6">
        <f t="shared" si="9"/>
        <v>76</v>
      </c>
    </row>
    <row r="312" spans="1:12">
      <c r="A312">
        <f t="shared" si="8"/>
        <v>2024</v>
      </c>
      <c r="B312" s="10">
        <v>45329</v>
      </c>
      <c r="C312" s="11">
        <v>74.67</v>
      </c>
      <c r="D312" s="11">
        <v>74.67</v>
      </c>
      <c r="E312" s="11">
        <v>74.67</v>
      </c>
      <c r="F312" s="11">
        <v>74.67</v>
      </c>
      <c r="G312" s="11">
        <v>-0.25</v>
      </c>
      <c r="H312" s="11">
        <v>20000</v>
      </c>
      <c r="I312" s="11">
        <v>1520000</v>
      </c>
      <c r="J312" s="11">
        <v>445444881</v>
      </c>
      <c r="K312" s="11">
        <v>25188260733.84</v>
      </c>
      <c r="L312" s="6">
        <f t="shared" si="9"/>
        <v>76</v>
      </c>
    </row>
    <row r="313" spans="1:12">
      <c r="A313">
        <f t="shared" si="8"/>
        <v>2024</v>
      </c>
      <c r="B313" s="10">
        <v>45328</v>
      </c>
      <c r="C313" s="11">
        <v>74.86</v>
      </c>
      <c r="D313" s="11">
        <v>74.86</v>
      </c>
      <c r="E313" s="11">
        <v>74.86</v>
      </c>
      <c r="F313" s="11">
        <v>74.86</v>
      </c>
      <c r="G313" s="11">
        <v>0</v>
      </c>
      <c r="H313" s="11">
        <v>8</v>
      </c>
      <c r="I313" s="11">
        <v>608</v>
      </c>
      <c r="J313" s="11">
        <v>445424881</v>
      </c>
      <c r="K313" s="11">
        <v>25186740733.84</v>
      </c>
      <c r="L313" s="6">
        <f t="shared" si="9"/>
        <v>76</v>
      </c>
    </row>
    <row r="314" spans="1:12">
      <c r="A314">
        <f t="shared" si="8"/>
        <v>2024</v>
      </c>
      <c r="B314" s="10">
        <v>45327</v>
      </c>
      <c r="C314" s="11">
        <v>74.86</v>
      </c>
      <c r="D314" s="11">
        <v>74.86</v>
      </c>
      <c r="E314" s="11">
        <v>74.86</v>
      </c>
      <c r="F314" s="11">
        <v>74.86</v>
      </c>
      <c r="G314" s="11">
        <v>0.44</v>
      </c>
      <c r="H314" s="11">
        <v>8</v>
      </c>
      <c r="I314" s="11">
        <v>608</v>
      </c>
      <c r="J314" s="11">
        <v>445424873</v>
      </c>
      <c r="K314" s="11">
        <v>25186740125.84</v>
      </c>
      <c r="L314" s="6">
        <f t="shared" si="9"/>
        <v>76</v>
      </c>
    </row>
    <row r="315" spans="1:12">
      <c r="A315">
        <f t="shared" si="8"/>
        <v>2024</v>
      </c>
      <c r="B315" s="10">
        <v>45324</v>
      </c>
      <c r="C315" s="11">
        <v>74.53</v>
      </c>
      <c r="D315" s="11">
        <v>72.27</v>
      </c>
      <c r="E315" s="11">
        <v>75</v>
      </c>
      <c r="F315" s="11">
        <v>72.27</v>
      </c>
      <c r="G315" s="11">
        <v>3.13</v>
      </c>
      <c r="H315" s="11">
        <v>703008</v>
      </c>
      <c r="I315" s="11">
        <v>42439332</v>
      </c>
      <c r="J315" s="11">
        <v>445424865</v>
      </c>
      <c r="K315" s="11">
        <v>25186739517.84</v>
      </c>
      <c r="L315" s="6">
        <f t="shared" si="9"/>
        <v>60.368206336201</v>
      </c>
    </row>
    <row r="316" spans="1:12">
      <c r="A316">
        <f t="shared" si="8"/>
        <v>2024</v>
      </c>
      <c r="B316" s="10">
        <v>45323</v>
      </c>
      <c r="C316" s="11">
        <v>72.27</v>
      </c>
      <c r="D316" s="11">
        <v>72.67</v>
      </c>
      <c r="E316" s="11">
        <v>72.67</v>
      </c>
      <c r="F316" s="11">
        <v>71.67</v>
      </c>
      <c r="G316" s="11">
        <v>0.56</v>
      </c>
      <c r="H316" s="11">
        <v>83000</v>
      </c>
      <c r="I316" s="11">
        <v>6126000</v>
      </c>
      <c r="J316" s="11">
        <v>444721857</v>
      </c>
      <c r="K316" s="11">
        <v>25144300185.84</v>
      </c>
      <c r="L316" s="6">
        <f t="shared" si="9"/>
        <v>73.8072289156626</v>
      </c>
    </row>
    <row r="317" spans="1:12">
      <c r="A317">
        <f t="shared" si="8"/>
        <v>2024</v>
      </c>
      <c r="B317" s="10">
        <v>45322</v>
      </c>
      <c r="C317" s="11">
        <v>71.87</v>
      </c>
      <c r="D317" s="11">
        <v>71.87</v>
      </c>
      <c r="E317" s="11">
        <v>71.87</v>
      </c>
      <c r="F317" s="11">
        <v>71.87</v>
      </c>
      <c r="G317" s="11">
        <v>3.16</v>
      </c>
      <c r="H317" s="11">
        <v>485310</v>
      </c>
      <c r="I317" s="11">
        <v>38821095</v>
      </c>
      <c r="J317" s="11">
        <v>444638857</v>
      </c>
      <c r="K317" s="11">
        <v>25138174185.84</v>
      </c>
      <c r="L317" s="6">
        <f t="shared" si="9"/>
        <v>79.9923657043951</v>
      </c>
    </row>
    <row r="318" spans="1:12">
      <c r="A318">
        <f t="shared" si="8"/>
        <v>2024</v>
      </c>
      <c r="B318" s="10">
        <v>45321</v>
      </c>
      <c r="C318" s="11">
        <v>69.67</v>
      </c>
      <c r="D318" s="11">
        <v>69.67</v>
      </c>
      <c r="E318" s="11">
        <v>69.67</v>
      </c>
      <c r="F318" s="11">
        <v>69.67</v>
      </c>
      <c r="G318" s="11">
        <v>-2.46</v>
      </c>
      <c r="H318" s="11">
        <v>20000</v>
      </c>
      <c r="I318" s="11">
        <v>1320000</v>
      </c>
      <c r="J318" s="11">
        <v>444153547</v>
      </c>
      <c r="K318" s="11">
        <v>25099353090.84</v>
      </c>
      <c r="L318" s="6">
        <f t="shared" si="9"/>
        <v>66</v>
      </c>
    </row>
    <row r="319" spans="1:12">
      <c r="A319">
        <f t="shared" si="8"/>
        <v>2024</v>
      </c>
      <c r="B319" s="10">
        <v>45320</v>
      </c>
      <c r="C319" s="11">
        <v>71.43</v>
      </c>
      <c r="D319" s="11">
        <v>70.67</v>
      </c>
      <c r="E319" s="11">
        <v>72.87</v>
      </c>
      <c r="F319" s="11">
        <v>70.67</v>
      </c>
      <c r="G319" s="11">
        <v>-1.98</v>
      </c>
      <c r="H319" s="11">
        <v>530500</v>
      </c>
      <c r="I319" s="11">
        <v>43234008</v>
      </c>
      <c r="J319" s="11">
        <v>444133547</v>
      </c>
      <c r="K319" s="11">
        <v>25098033090.84</v>
      </c>
      <c r="L319" s="6">
        <f t="shared" si="9"/>
        <v>81.4967163053723</v>
      </c>
    </row>
    <row r="320" spans="1:12">
      <c r="A320">
        <f t="shared" si="8"/>
        <v>2024</v>
      </c>
      <c r="B320" s="10">
        <v>45317</v>
      </c>
      <c r="C320" s="11">
        <v>72.87</v>
      </c>
      <c r="D320" s="11">
        <v>72.84</v>
      </c>
      <c r="E320" s="11">
        <v>74.3</v>
      </c>
      <c r="F320" s="11">
        <v>72.83</v>
      </c>
      <c r="G320" s="11">
        <v>0.08</v>
      </c>
      <c r="H320" s="11">
        <v>130563</v>
      </c>
      <c r="I320" s="11">
        <v>8232102.74</v>
      </c>
      <c r="J320" s="11">
        <v>443603047</v>
      </c>
      <c r="K320" s="11">
        <v>25054799082.84</v>
      </c>
      <c r="L320" s="6">
        <f t="shared" si="9"/>
        <v>63.0508087283534</v>
      </c>
    </row>
    <row r="321" spans="1:12">
      <c r="A321">
        <f t="shared" si="8"/>
        <v>2024</v>
      </c>
      <c r="B321" s="10">
        <v>45316</v>
      </c>
      <c r="C321" s="11">
        <v>72.81</v>
      </c>
      <c r="D321" s="11">
        <v>72.81</v>
      </c>
      <c r="E321" s="11">
        <v>72.81</v>
      </c>
      <c r="F321" s="11">
        <v>72.81</v>
      </c>
      <c r="G321" s="11">
        <v>0</v>
      </c>
      <c r="H321" s="11">
        <v>120100</v>
      </c>
      <c r="I321" s="11">
        <v>7447100</v>
      </c>
      <c r="J321" s="11">
        <v>443472484</v>
      </c>
      <c r="K321" s="11">
        <v>25046566980.1</v>
      </c>
      <c r="L321" s="6">
        <f t="shared" si="9"/>
        <v>62.007493755204</v>
      </c>
    </row>
    <row r="322" spans="1:12">
      <c r="A322">
        <f t="shared" si="8"/>
        <v>2024</v>
      </c>
      <c r="B322" s="10">
        <v>45315</v>
      </c>
      <c r="C322" s="11">
        <v>72.81</v>
      </c>
      <c r="D322" s="11">
        <v>71</v>
      </c>
      <c r="E322" s="11">
        <v>73.33</v>
      </c>
      <c r="F322" s="11">
        <v>71</v>
      </c>
      <c r="G322" s="11">
        <v>0.87</v>
      </c>
      <c r="H322" s="11">
        <v>150100</v>
      </c>
      <c r="I322" s="11">
        <v>11087100</v>
      </c>
      <c r="J322" s="11">
        <v>443352384</v>
      </c>
      <c r="K322" s="11">
        <v>25039119880.1</v>
      </c>
      <c r="L322" s="6">
        <f t="shared" si="9"/>
        <v>73.8647568287808</v>
      </c>
    </row>
    <row r="323" spans="1:12">
      <c r="A323">
        <f t="shared" si="8"/>
        <v>2024</v>
      </c>
      <c r="B323" s="10">
        <v>45314</v>
      </c>
      <c r="C323" s="11">
        <v>72.18</v>
      </c>
      <c r="D323" s="11">
        <v>71</v>
      </c>
      <c r="E323" s="11">
        <v>72.33</v>
      </c>
      <c r="F323" s="11">
        <v>70.67</v>
      </c>
      <c r="G323" s="11">
        <v>2.14</v>
      </c>
      <c r="H323" s="11">
        <v>949</v>
      </c>
      <c r="I323" s="11">
        <v>70735</v>
      </c>
      <c r="J323" s="11">
        <v>443202284</v>
      </c>
      <c r="K323" s="11">
        <v>25028032780.1</v>
      </c>
      <c r="L323" s="6">
        <f t="shared" si="9"/>
        <v>74.536354056902</v>
      </c>
    </row>
    <row r="324" spans="1:12">
      <c r="A324">
        <f t="shared" ref="A324:A387" si="10">YEAR(B324)</f>
        <v>2024</v>
      </c>
      <c r="B324" s="10">
        <v>45313</v>
      </c>
      <c r="C324" s="11">
        <v>70.67</v>
      </c>
      <c r="D324" s="11">
        <v>70.67</v>
      </c>
      <c r="E324" s="11">
        <v>70.67</v>
      </c>
      <c r="F324" s="11">
        <v>70.67</v>
      </c>
      <c r="G324" s="11">
        <v>-1.83</v>
      </c>
      <c r="H324" s="11">
        <v>100</v>
      </c>
      <c r="I324" s="11">
        <v>7100</v>
      </c>
      <c r="J324" s="11">
        <v>443201335</v>
      </c>
      <c r="K324" s="11">
        <v>25027962045.1</v>
      </c>
      <c r="L324" s="6">
        <f t="shared" ref="L324:L387" si="11">I324/H324</f>
        <v>71</v>
      </c>
    </row>
    <row r="325" spans="1:12">
      <c r="A325">
        <f t="shared" si="10"/>
        <v>2024</v>
      </c>
      <c r="B325" s="10">
        <v>45310</v>
      </c>
      <c r="C325" s="11">
        <v>71.99</v>
      </c>
      <c r="D325" s="11">
        <v>70.67</v>
      </c>
      <c r="E325" s="11">
        <v>72</v>
      </c>
      <c r="F325" s="11">
        <v>70.67</v>
      </c>
      <c r="G325" s="11">
        <v>-0.01</v>
      </c>
      <c r="H325" s="11">
        <v>10100</v>
      </c>
      <c r="I325" s="11">
        <v>757100</v>
      </c>
      <c r="J325" s="11">
        <v>443201235</v>
      </c>
      <c r="K325" s="11">
        <v>25027954945.1</v>
      </c>
      <c r="L325" s="6">
        <f t="shared" si="11"/>
        <v>74.960396039604</v>
      </c>
    </row>
    <row r="326" spans="1:12">
      <c r="A326">
        <f t="shared" si="10"/>
        <v>2024</v>
      </c>
      <c r="B326" s="10">
        <v>45309</v>
      </c>
      <c r="C326" s="11">
        <v>72</v>
      </c>
      <c r="D326" s="11">
        <v>72</v>
      </c>
      <c r="E326" s="11">
        <v>72</v>
      </c>
      <c r="F326" s="11">
        <v>72</v>
      </c>
      <c r="G326" s="11">
        <v>0</v>
      </c>
      <c r="H326" s="11">
        <v>8</v>
      </c>
      <c r="I326" s="11">
        <v>560</v>
      </c>
      <c r="J326" s="11">
        <v>443191135</v>
      </c>
      <c r="K326" s="11">
        <v>25027197845.1</v>
      </c>
      <c r="L326" s="6">
        <f t="shared" si="11"/>
        <v>70</v>
      </c>
    </row>
    <row r="327" spans="1:12">
      <c r="A327">
        <f t="shared" si="10"/>
        <v>2024</v>
      </c>
      <c r="B327" s="10">
        <v>45308</v>
      </c>
      <c r="C327" s="11">
        <v>72</v>
      </c>
      <c r="D327" s="11">
        <v>72</v>
      </c>
      <c r="E327" s="11">
        <v>72</v>
      </c>
      <c r="F327" s="11">
        <v>72</v>
      </c>
      <c r="G327" s="11">
        <v>0</v>
      </c>
      <c r="H327" s="11">
        <v>28690</v>
      </c>
      <c r="I327" s="11">
        <v>2151750</v>
      </c>
      <c r="J327" s="11">
        <v>443191127</v>
      </c>
      <c r="K327" s="11">
        <v>25027197285.1</v>
      </c>
      <c r="L327" s="6">
        <f t="shared" si="11"/>
        <v>75</v>
      </c>
    </row>
    <row r="328" spans="1:12">
      <c r="A328">
        <f t="shared" si="10"/>
        <v>2024</v>
      </c>
      <c r="B328" s="10">
        <v>45307</v>
      </c>
      <c r="C328" s="11">
        <v>72</v>
      </c>
      <c r="D328" s="11">
        <v>72.33</v>
      </c>
      <c r="E328" s="11">
        <v>72.33</v>
      </c>
      <c r="F328" s="11">
        <v>72</v>
      </c>
      <c r="G328" s="11">
        <v>-0.46</v>
      </c>
      <c r="H328" s="11">
        <v>73652</v>
      </c>
      <c r="I328" s="11">
        <v>5155740</v>
      </c>
      <c r="J328" s="11">
        <v>443162437</v>
      </c>
      <c r="K328" s="11">
        <v>25025045535.1</v>
      </c>
      <c r="L328" s="6">
        <f t="shared" si="11"/>
        <v>70.0013577363819</v>
      </c>
    </row>
    <row r="329" spans="1:12">
      <c r="A329">
        <f t="shared" si="10"/>
        <v>2024</v>
      </c>
      <c r="B329" s="10">
        <v>45306</v>
      </c>
      <c r="C329" s="11">
        <v>72.33</v>
      </c>
      <c r="D329" s="11">
        <v>72.33</v>
      </c>
      <c r="E329" s="11">
        <v>72.33</v>
      </c>
      <c r="F329" s="11">
        <v>72.33</v>
      </c>
      <c r="G329" s="11">
        <v>-0.01</v>
      </c>
      <c r="H329" s="11">
        <v>500</v>
      </c>
      <c r="I329" s="11">
        <v>35500</v>
      </c>
      <c r="J329" s="11">
        <v>443088785</v>
      </c>
      <c r="K329" s="11">
        <v>25019889795.1</v>
      </c>
      <c r="L329" s="6">
        <f t="shared" si="11"/>
        <v>71</v>
      </c>
    </row>
    <row r="330" spans="1:12">
      <c r="A330">
        <f t="shared" si="10"/>
        <v>2024</v>
      </c>
      <c r="B330" s="10">
        <v>45303</v>
      </c>
      <c r="C330" s="11">
        <v>72.34</v>
      </c>
      <c r="D330" s="11">
        <v>72.34</v>
      </c>
      <c r="E330" s="11">
        <v>72.34</v>
      </c>
      <c r="F330" s="11">
        <v>72.34</v>
      </c>
      <c r="G330" s="11">
        <v>0</v>
      </c>
      <c r="H330" s="11">
        <v>100</v>
      </c>
      <c r="I330" s="11">
        <v>7100</v>
      </c>
      <c r="J330" s="11">
        <v>443088285</v>
      </c>
      <c r="K330" s="11">
        <v>25019854295.1</v>
      </c>
      <c r="L330" s="6">
        <f t="shared" si="11"/>
        <v>71</v>
      </c>
    </row>
    <row r="331" spans="1:12">
      <c r="A331">
        <f t="shared" si="10"/>
        <v>2024</v>
      </c>
      <c r="B331" s="10">
        <v>45302</v>
      </c>
      <c r="C331" s="11">
        <v>72.34</v>
      </c>
      <c r="D331" s="11">
        <v>72.34</v>
      </c>
      <c r="E331" s="11">
        <v>72.34</v>
      </c>
      <c r="F331" s="11">
        <v>72.34</v>
      </c>
      <c r="G331" s="11">
        <v>0.01</v>
      </c>
      <c r="H331" s="11">
        <v>8</v>
      </c>
      <c r="I331" s="11">
        <v>568.16</v>
      </c>
      <c r="J331" s="11">
        <v>443088185</v>
      </c>
      <c r="K331" s="11">
        <v>25019847195.1</v>
      </c>
      <c r="L331" s="6">
        <f t="shared" si="11"/>
        <v>71.02</v>
      </c>
    </row>
    <row r="332" spans="1:12">
      <c r="A332">
        <f t="shared" si="10"/>
        <v>2024</v>
      </c>
      <c r="B332" s="10">
        <v>45301</v>
      </c>
      <c r="C332" s="11">
        <v>72.33</v>
      </c>
      <c r="D332" s="11">
        <v>71</v>
      </c>
      <c r="E332" s="11">
        <v>72.33</v>
      </c>
      <c r="F332" s="11">
        <v>71</v>
      </c>
      <c r="G332" s="11">
        <v>1.86</v>
      </c>
      <c r="H332" s="11">
        <v>182986</v>
      </c>
      <c r="I332" s="11">
        <v>14023550</v>
      </c>
      <c r="J332" s="11">
        <v>443088177</v>
      </c>
      <c r="K332" s="11">
        <v>25019846626.94</v>
      </c>
      <c r="L332" s="6">
        <f t="shared" si="11"/>
        <v>76.6372837266239</v>
      </c>
    </row>
    <row r="333" spans="1:12">
      <c r="A333">
        <f t="shared" si="10"/>
        <v>2024</v>
      </c>
      <c r="B333" s="10">
        <v>45300</v>
      </c>
      <c r="C333" s="11">
        <v>71.01</v>
      </c>
      <c r="D333" s="11">
        <v>71.01</v>
      </c>
      <c r="E333" s="11">
        <v>71.01</v>
      </c>
      <c r="F333" s="11">
        <v>71.01</v>
      </c>
      <c r="G333" s="11">
        <v>0.01</v>
      </c>
      <c r="H333" s="11">
        <v>100008</v>
      </c>
      <c r="I333" s="11">
        <v>7800568.16</v>
      </c>
      <c r="J333" s="11">
        <v>442905191</v>
      </c>
      <c r="K333" s="11">
        <v>25005823076.94</v>
      </c>
      <c r="L333" s="6">
        <f t="shared" si="11"/>
        <v>77.9994416446684</v>
      </c>
    </row>
    <row r="334" spans="1:12">
      <c r="A334">
        <f t="shared" si="10"/>
        <v>2024</v>
      </c>
      <c r="B334" s="10">
        <v>45299</v>
      </c>
      <c r="C334" s="11">
        <v>71</v>
      </c>
      <c r="D334" s="11">
        <v>73.52</v>
      </c>
      <c r="E334" s="11">
        <v>73.52</v>
      </c>
      <c r="F334" s="11">
        <v>71</v>
      </c>
      <c r="G334" s="11">
        <v>-3.22</v>
      </c>
      <c r="H334" s="11">
        <v>600</v>
      </c>
      <c r="I334" s="11">
        <v>42600</v>
      </c>
      <c r="J334" s="11">
        <v>442805183</v>
      </c>
      <c r="K334" s="11">
        <v>24998022508.78</v>
      </c>
      <c r="L334" s="6">
        <f t="shared" si="11"/>
        <v>71</v>
      </c>
    </row>
    <row r="335" spans="1:12">
      <c r="A335">
        <f t="shared" si="10"/>
        <v>2024</v>
      </c>
      <c r="B335" s="10">
        <v>45296</v>
      </c>
      <c r="C335" s="11">
        <v>73.36</v>
      </c>
      <c r="D335" s="11">
        <v>75.85</v>
      </c>
      <c r="E335" s="11">
        <v>75.85</v>
      </c>
      <c r="F335" s="11">
        <v>73.36</v>
      </c>
      <c r="G335" s="11">
        <v>-2.17</v>
      </c>
      <c r="H335" s="11">
        <v>150005</v>
      </c>
      <c r="I335" s="11">
        <v>10956352.5</v>
      </c>
      <c r="J335" s="11">
        <v>442804583</v>
      </c>
      <c r="K335" s="11">
        <v>24997979908.78</v>
      </c>
      <c r="L335" s="6">
        <f t="shared" si="11"/>
        <v>73.0399153361555</v>
      </c>
    </row>
    <row r="336" spans="1:12">
      <c r="A336">
        <f t="shared" si="10"/>
        <v>2024</v>
      </c>
      <c r="B336" s="10">
        <v>45295</v>
      </c>
      <c r="C336" s="11">
        <v>74.99</v>
      </c>
      <c r="D336" s="11">
        <v>74.08</v>
      </c>
      <c r="E336" s="11">
        <v>76.81</v>
      </c>
      <c r="F336" s="11">
        <v>74.08</v>
      </c>
      <c r="G336" s="11">
        <v>-2.37</v>
      </c>
      <c r="H336" s="11">
        <v>299174</v>
      </c>
      <c r="I336" s="11">
        <v>19757529</v>
      </c>
      <c r="J336" s="11">
        <v>442654578</v>
      </c>
      <c r="K336" s="11">
        <v>24987023556.28</v>
      </c>
      <c r="L336" s="6">
        <f t="shared" si="11"/>
        <v>66.0402608515446</v>
      </c>
    </row>
    <row r="337" spans="1:12">
      <c r="A337">
        <f t="shared" si="10"/>
        <v>2024</v>
      </c>
      <c r="B337" s="10">
        <v>45294</v>
      </c>
      <c r="C337" s="11">
        <v>76.81</v>
      </c>
      <c r="D337" s="11">
        <v>76.81</v>
      </c>
      <c r="E337" s="11">
        <v>76.81</v>
      </c>
      <c r="F337" s="11">
        <v>76.81</v>
      </c>
      <c r="G337" s="11">
        <v>0</v>
      </c>
      <c r="H337" s="11">
        <v>607393</v>
      </c>
      <c r="I337" s="11">
        <v>40867570</v>
      </c>
      <c r="J337" s="11">
        <v>442355404</v>
      </c>
      <c r="K337" s="11">
        <v>24967266027.28</v>
      </c>
      <c r="L337" s="6">
        <f t="shared" si="11"/>
        <v>67.2835709334813</v>
      </c>
    </row>
    <row r="338" spans="1:12">
      <c r="A338">
        <f t="shared" si="10"/>
        <v>2024</v>
      </c>
      <c r="B338" s="10">
        <v>45293</v>
      </c>
      <c r="C338" s="11">
        <v>76.81</v>
      </c>
      <c r="D338" s="11">
        <v>76.81</v>
      </c>
      <c r="E338" s="11">
        <v>76.81</v>
      </c>
      <c r="F338" s="11">
        <v>76.81</v>
      </c>
      <c r="G338" s="11">
        <v>-3.29</v>
      </c>
      <c r="H338" s="11">
        <v>125400</v>
      </c>
      <c r="I338" s="11">
        <v>7247938</v>
      </c>
      <c r="J338" s="11">
        <v>441748011</v>
      </c>
      <c r="K338" s="11">
        <v>24926398457.28</v>
      </c>
      <c r="L338" s="6">
        <f t="shared" si="11"/>
        <v>57.7985486443381</v>
      </c>
    </row>
    <row r="339" spans="1:12">
      <c r="A339">
        <f t="shared" si="10"/>
        <v>2023</v>
      </c>
      <c r="B339" s="10">
        <v>45289</v>
      </c>
      <c r="C339" s="11">
        <v>79.42</v>
      </c>
      <c r="D339" s="11">
        <v>80.1</v>
      </c>
      <c r="E339" s="11">
        <v>80.1</v>
      </c>
      <c r="F339" s="11">
        <v>79.1</v>
      </c>
      <c r="G339" s="11">
        <v>0.1</v>
      </c>
      <c r="H339" s="11">
        <v>163603</v>
      </c>
      <c r="I339" s="11">
        <v>12529771</v>
      </c>
      <c r="J339" s="11">
        <v>441622611</v>
      </c>
      <c r="K339" s="11">
        <v>24919150519.28</v>
      </c>
      <c r="L339" s="6">
        <f t="shared" si="11"/>
        <v>76.5864379015055</v>
      </c>
    </row>
    <row r="340" spans="1:12">
      <c r="A340">
        <f t="shared" si="10"/>
        <v>2023</v>
      </c>
      <c r="B340" s="10">
        <v>45288</v>
      </c>
      <c r="C340" s="11">
        <v>79.34</v>
      </c>
      <c r="D340" s="11">
        <v>79.55</v>
      </c>
      <c r="E340" s="11">
        <v>80</v>
      </c>
      <c r="F340" s="11">
        <v>78.5</v>
      </c>
      <c r="G340" s="11">
        <v>0.47</v>
      </c>
      <c r="H340" s="11">
        <v>362926</v>
      </c>
      <c r="I340" s="11">
        <v>27727395.48</v>
      </c>
      <c r="J340" s="11">
        <v>441459008</v>
      </c>
      <c r="K340" s="11">
        <v>24906620748.28</v>
      </c>
      <c r="L340" s="6">
        <f t="shared" si="11"/>
        <v>76.399584157652</v>
      </c>
    </row>
    <row r="341" spans="1:12">
      <c r="A341">
        <f t="shared" si="10"/>
        <v>2023</v>
      </c>
      <c r="B341" s="10">
        <v>45287</v>
      </c>
      <c r="C341" s="11">
        <v>78.97</v>
      </c>
      <c r="D341" s="11">
        <v>79.73</v>
      </c>
      <c r="E341" s="11">
        <v>80.4</v>
      </c>
      <c r="F341" s="11">
        <v>78.75</v>
      </c>
      <c r="G341" s="11">
        <v>-1.09</v>
      </c>
      <c r="H341" s="11">
        <v>495429</v>
      </c>
      <c r="I341" s="11">
        <v>39253458.49</v>
      </c>
      <c r="J341" s="11">
        <v>441096082</v>
      </c>
      <c r="K341" s="11">
        <v>24878893352.8</v>
      </c>
      <c r="L341" s="6">
        <f t="shared" si="11"/>
        <v>79.2312490588964</v>
      </c>
    </row>
    <row r="342" spans="1:12">
      <c r="A342">
        <f t="shared" si="10"/>
        <v>2023</v>
      </c>
      <c r="B342" s="10">
        <v>45286</v>
      </c>
      <c r="C342" s="11">
        <v>79.84</v>
      </c>
      <c r="D342" s="11">
        <v>78.3</v>
      </c>
      <c r="E342" s="11">
        <v>81.45</v>
      </c>
      <c r="F342" s="11">
        <v>78</v>
      </c>
      <c r="G342" s="11">
        <v>-1.42</v>
      </c>
      <c r="H342" s="11">
        <v>1654914</v>
      </c>
      <c r="I342" s="11">
        <v>132288311.5</v>
      </c>
      <c r="J342" s="11">
        <v>440600653</v>
      </c>
      <c r="K342" s="11">
        <v>24839639894.31</v>
      </c>
      <c r="L342" s="6">
        <f t="shared" si="11"/>
        <v>79.9366683102566</v>
      </c>
    </row>
    <row r="343" spans="1:12">
      <c r="A343">
        <f t="shared" si="10"/>
        <v>2023</v>
      </c>
      <c r="B343" s="10">
        <v>45285</v>
      </c>
      <c r="C343" s="11">
        <v>80.99</v>
      </c>
      <c r="D343" s="11">
        <v>80.69</v>
      </c>
      <c r="E343" s="11">
        <v>81.58</v>
      </c>
      <c r="F343" s="11">
        <v>78.33</v>
      </c>
      <c r="G343" s="11">
        <v>0.43</v>
      </c>
      <c r="H343" s="11">
        <v>3790045</v>
      </c>
      <c r="I343" s="11">
        <v>292561395.12</v>
      </c>
      <c r="J343" s="11">
        <v>438945739</v>
      </c>
      <c r="K343" s="11">
        <v>24707351582.81</v>
      </c>
      <c r="L343" s="6">
        <f t="shared" si="11"/>
        <v>77.1920637142831</v>
      </c>
    </row>
    <row r="344" spans="1:12">
      <c r="A344">
        <f t="shared" si="10"/>
        <v>2023</v>
      </c>
      <c r="B344" s="10">
        <v>45282</v>
      </c>
      <c r="C344" s="11">
        <v>80.64</v>
      </c>
      <c r="D344" s="11">
        <v>78.56</v>
      </c>
      <c r="E344" s="11">
        <v>81.03</v>
      </c>
      <c r="F344" s="11">
        <v>78.56</v>
      </c>
      <c r="G344" s="11">
        <v>3.62</v>
      </c>
      <c r="H344" s="11">
        <v>1666253</v>
      </c>
      <c r="I344" s="11">
        <v>133944885.6</v>
      </c>
      <c r="J344" s="11">
        <v>435155694</v>
      </c>
      <c r="K344" s="11">
        <v>24414790187.69</v>
      </c>
      <c r="L344" s="6">
        <f t="shared" si="11"/>
        <v>80.386883384456</v>
      </c>
    </row>
    <row r="345" spans="1:12">
      <c r="A345">
        <f t="shared" si="10"/>
        <v>2023</v>
      </c>
      <c r="B345" s="10">
        <v>45281</v>
      </c>
      <c r="C345" s="11">
        <v>77.82</v>
      </c>
      <c r="D345" s="11">
        <v>73.64</v>
      </c>
      <c r="E345" s="11">
        <v>79.11</v>
      </c>
      <c r="F345" s="11">
        <v>73.64</v>
      </c>
      <c r="G345" s="11">
        <v>7.04</v>
      </c>
      <c r="H345" s="11">
        <v>902050</v>
      </c>
      <c r="I345" s="11">
        <v>70069438.82</v>
      </c>
      <c r="J345" s="11">
        <v>433489441</v>
      </c>
      <c r="K345" s="11">
        <v>24280845302.09</v>
      </c>
      <c r="L345" s="6">
        <f t="shared" si="11"/>
        <v>77.6779988027271</v>
      </c>
    </row>
    <row r="346" spans="1:12">
      <c r="A346">
        <f t="shared" si="10"/>
        <v>2023</v>
      </c>
      <c r="B346" s="10">
        <v>45280</v>
      </c>
      <c r="C346" s="11">
        <v>72.7</v>
      </c>
      <c r="D346" s="11">
        <v>72.01</v>
      </c>
      <c r="E346" s="11">
        <v>73.51</v>
      </c>
      <c r="F346" s="11">
        <v>72.01</v>
      </c>
      <c r="G346" s="11">
        <v>0.64</v>
      </c>
      <c r="H346" s="11">
        <v>555496</v>
      </c>
      <c r="I346" s="11">
        <v>39811324.6</v>
      </c>
      <c r="J346" s="11">
        <v>432587391</v>
      </c>
      <c r="K346" s="11">
        <v>24210775863.27</v>
      </c>
      <c r="L346" s="6">
        <f t="shared" si="11"/>
        <v>71.6680670967928</v>
      </c>
    </row>
    <row r="347" spans="1:12">
      <c r="A347">
        <f t="shared" si="10"/>
        <v>2023</v>
      </c>
      <c r="B347" s="10">
        <v>45279</v>
      </c>
      <c r="C347" s="11">
        <v>72.24</v>
      </c>
      <c r="D347" s="11">
        <v>71.68</v>
      </c>
      <c r="E347" s="11">
        <v>72.36</v>
      </c>
      <c r="F347" s="11">
        <v>71.68</v>
      </c>
      <c r="G347" s="11">
        <v>0.88</v>
      </c>
      <c r="H347" s="11">
        <v>366249</v>
      </c>
      <c r="I347" s="11">
        <v>25582363.86</v>
      </c>
      <c r="J347" s="11">
        <v>432031895</v>
      </c>
      <c r="K347" s="11">
        <v>24170964538.67</v>
      </c>
      <c r="L347" s="6">
        <f t="shared" si="11"/>
        <v>69.8496483539887</v>
      </c>
    </row>
    <row r="348" spans="1:12">
      <c r="A348">
        <f t="shared" si="10"/>
        <v>2023</v>
      </c>
      <c r="B348" s="10">
        <v>45278</v>
      </c>
      <c r="C348" s="11">
        <v>71.61</v>
      </c>
      <c r="D348" s="11">
        <v>71.4</v>
      </c>
      <c r="E348" s="11">
        <v>71.94</v>
      </c>
      <c r="F348" s="11">
        <v>71.4</v>
      </c>
      <c r="G348" s="11">
        <v>0.36</v>
      </c>
      <c r="H348" s="11">
        <v>585057</v>
      </c>
      <c r="I348" s="11">
        <v>42281030</v>
      </c>
      <c r="J348" s="11">
        <v>431665646</v>
      </c>
      <c r="K348" s="11">
        <v>24145382174.81</v>
      </c>
      <c r="L348" s="6">
        <f t="shared" si="11"/>
        <v>72.2682234380582</v>
      </c>
    </row>
    <row r="349" spans="1:12">
      <c r="A349">
        <f t="shared" si="10"/>
        <v>2023</v>
      </c>
      <c r="B349" s="10">
        <v>45275</v>
      </c>
      <c r="C349" s="11">
        <v>71.35</v>
      </c>
      <c r="D349" s="11">
        <v>71.26</v>
      </c>
      <c r="E349" s="11">
        <v>72.79</v>
      </c>
      <c r="F349" s="11">
        <v>71.26</v>
      </c>
      <c r="G349" s="11">
        <v>-0.11</v>
      </c>
      <c r="H349" s="11">
        <v>846129</v>
      </c>
      <c r="I349" s="11">
        <v>60399866.3</v>
      </c>
      <c r="J349" s="11">
        <v>431080589</v>
      </c>
      <c r="K349" s="11">
        <v>24103101144.81</v>
      </c>
      <c r="L349" s="6">
        <f t="shared" si="11"/>
        <v>71.3837562593883</v>
      </c>
    </row>
    <row r="350" spans="1:12">
      <c r="A350">
        <f t="shared" si="10"/>
        <v>2023</v>
      </c>
      <c r="B350" s="10">
        <v>45274</v>
      </c>
      <c r="C350" s="11">
        <v>71.43</v>
      </c>
      <c r="D350" s="11">
        <v>71.22</v>
      </c>
      <c r="E350" s="11">
        <v>71.67</v>
      </c>
      <c r="F350" s="11">
        <v>71.2</v>
      </c>
      <c r="G350" s="11">
        <v>0.14</v>
      </c>
      <c r="H350" s="11">
        <v>783253</v>
      </c>
      <c r="I350" s="11">
        <v>48342704.16</v>
      </c>
      <c r="J350" s="11">
        <v>430234460</v>
      </c>
      <c r="K350" s="11">
        <v>24042701278.51</v>
      </c>
      <c r="L350" s="6">
        <f t="shared" si="11"/>
        <v>61.7204200430768</v>
      </c>
    </row>
    <row r="351" spans="1:12">
      <c r="A351">
        <f t="shared" si="10"/>
        <v>2023</v>
      </c>
      <c r="B351" s="10">
        <v>45273</v>
      </c>
      <c r="C351" s="11">
        <v>71.33</v>
      </c>
      <c r="D351" s="11">
        <v>69.98</v>
      </c>
      <c r="E351" s="11">
        <v>71.52</v>
      </c>
      <c r="F351" s="11">
        <v>69.98</v>
      </c>
      <c r="G351" s="11">
        <v>0.73</v>
      </c>
      <c r="H351" s="11">
        <v>1087730</v>
      </c>
      <c r="I351" s="11">
        <v>74227611.3</v>
      </c>
      <c r="J351" s="11">
        <v>429451207</v>
      </c>
      <c r="K351" s="11">
        <v>23994358574.35</v>
      </c>
      <c r="L351" s="6">
        <f t="shared" si="11"/>
        <v>68.2408422126815</v>
      </c>
    </row>
    <row r="352" spans="1:12">
      <c r="A352">
        <f t="shared" si="10"/>
        <v>2023</v>
      </c>
      <c r="B352" s="10">
        <v>45272</v>
      </c>
      <c r="C352" s="11">
        <v>70.81</v>
      </c>
      <c r="D352" s="11">
        <v>70.71</v>
      </c>
      <c r="E352" s="11">
        <v>70.77</v>
      </c>
      <c r="F352" s="11">
        <v>70.44</v>
      </c>
      <c r="G352" s="11">
        <v>0.61</v>
      </c>
      <c r="H352" s="11">
        <v>296523</v>
      </c>
      <c r="I352" s="11">
        <v>21238084.1</v>
      </c>
      <c r="J352" s="11">
        <v>428363477</v>
      </c>
      <c r="K352" s="11">
        <v>23920130963.05</v>
      </c>
      <c r="L352" s="6">
        <f t="shared" si="11"/>
        <v>71.6237327289957</v>
      </c>
    </row>
    <row r="353" spans="1:12">
      <c r="A353">
        <f t="shared" si="10"/>
        <v>2023</v>
      </c>
      <c r="B353" s="10">
        <v>45271</v>
      </c>
      <c r="C353" s="11">
        <v>70.38</v>
      </c>
      <c r="D353" s="11">
        <v>69.6</v>
      </c>
      <c r="E353" s="11">
        <v>71.2</v>
      </c>
      <c r="F353" s="11">
        <v>68.77</v>
      </c>
      <c r="G353" s="11">
        <v>-0.47</v>
      </c>
      <c r="H353" s="11">
        <v>666125</v>
      </c>
      <c r="I353" s="11">
        <v>38850882.32</v>
      </c>
      <c r="J353" s="11">
        <v>428066954</v>
      </c>
      <c r="K353" s="11">
        <v>23898892878.95</v>
      </c>
      <c r="L353" s="6">
        <f t="shared" si="11"/>
        <v>58.3237114955902</v>
      </c>
    </row>
    <row r="354" spans="1:12">
      <c r="A354">
        <f t="shared" si="10"/>
        <v>2023</v>
      </c>
      <c r="B354" s="10">
        <v>45268</v>
      </c>
      <c r="C354" s="11">
        <v>70.71</v>
      </c>
      <c r="D354" s="11">
        <v>67.88</v>
      </c>
      <c r="E354" s="11">
        <v>70.77</v>
      </c>
      <c r="F354" s="11">
        <v>67.88</v>
      </c>
      <c r="G354" s="11">
        <v>4.12</v>
      </c>
      <c r="H354" s="11">
        <v>167584</v>
      </c>
      <c r="I354" s="11">
        <v>12028878.9</v>
      </c>
      <c r="J354" s="11">
        <v>427400829</v>
      </c>
      <c r="K354" s="11">
        <v>23860041996.63</v>
      </c>
      <c r="L354" s="6">
        <f t="shared" si="11"/>
        <v>71.7782061533321</v>
      </c>
    </row>
    <row r="355" spans="1:12">
      <c r="A355">
        <f t="shared" si="10"/>
        <v>2023</v>
      </c>
      <c r="B355" s="10">
        <v>45267</v>
      </c>
      <c r="C355" s="11">
        <v>67.91</v>
      </c>
      <c r="D355" s="11">
        <v>67.91</v>
      </c>
      <c r="E355" s="11">
        <v>69</v>
      </c>
      <c r="F355" s="11">
        <v>65.58</v>
      </c>
      <c r="G355" s="11">
        <v>-3.28</v>
      </c>
      <c r="H355" s="11">
        <v>1250501</v>
      </c>
      <c r="I355" s="11">
        <v>78980323.02</v>
      </c>
      <c r="J355" s="11">
        <v>427233245</v>
      </c>
      <c r="K355" s="11">
        <v>23848013117.73</v>
      </c>
      <c r="L355" s="6">
        <f t="shared" si="11"/>
        <v>63.1589443111201</v>
      </c>
    </row>
    <row r="356" spans="1:12">
      <c r="A356">
        <f t="shared" si="10"/>
        <v>2023</v>
      </c>
      <c r="B356" s="10">
        <v>45266</v>
      </c>
      <c r="C356" s="11">
        <v>70.21</v>
      </c>
      <c r="D356" s="11">
        <v>71.87</v>
      </c>
      <c r="E356" s="11">
        <v>72</v>
      </c>
      <c r="F356" s="11">
        <v>70.33</v>
      </c>
      <c r="G356" s="11">
        <v>-2.08</v>
      </c>
      <c r="H356" s="11">
        <v>309586</v>
      </c>
      <c r="I356" s="11">
        <v>22078248</v>
      </c>
      <c r="J356" s="11">
        <v>425982744</v>
      </c>
      <c r="K356" s="11">
        <v>23769032794.71</v>
      </c>
      <c r="L356" s="6">
        <f t="shared" si="11"/>
        <v>71.3153953990168</v>
      </c>
    </row>
    <row r="357" spans="1:12">
      <c r="A357">
        <f t="shared" si="10"/>
        <v>2023</v>
      </c>
      <c r="B357" s="10">
        <v>45265</v>
      </c>
      <c r="C357" s="11">
        <v>71.7</v>
      </c>
      <c r="D357" s="11">
        <v>72.9</v>
      </c>
      <c r="E357" s="11">
        <v>72.9</v>
      </c>
      <c r="F357" s="11">
        <v>71.82</v>
      </c>
      <c r="G357" s="11">
        <v>-1.29</v>
      </c>
      <c r="H357" s="11">
        <v>760107</v>
      </c>
      <c r="I357" s="11">
        <v>56654313.84</v>
      </c>
      <c r="J357" s="11">
        <v>425673158</v>
      </c>
      <c r="K357" s="11">
        <v>23746954546.71</v>
      </c>
      <c r="L357" s="6">
        <f t="shared" si="11"/>
        <v>74.5346560944709</v>
      </c>
    </row>
    <row r="358" spans="1:12">
      <c r="A358">
        <f t="shared" si="10"/>
        <v>2023</v>
      </c>
      <c r="B358" s="10">
        <v>45264</v>
      </c>
      <c r="C358" s="11">
        <v>72.64</v>
      </c>
      <c r="D358" s="11">
        <v>72.5</v>
      </c>
      <c r="E358" s="11">
        <v>72.82</v>
      </c>
      <c r="F358" s="11">
        <v>72.5</v>
      </c>
      <c r="G358" s="11">
        <v>2.99</v>
      </c>
      <c r="H358" s="11">
        <v>1309043</v>
      </c>
      <c r="I358" s="11">
        <v>92405616.78</v>
      </c>
      <c r="J358" s="11">
        <v>424913051</v>
      </c>
      <c r="K358" s="11">
        <v>23690300232.87</v>
      </c>
      <c r="L358" s="6">
        <f t="shared" si="11"/>
        <v>70.5902073346712</v>
      </c>
    </row>
    <row r="359" spans="1:12">
      <c r="A359">
        <f t="shared" si="10"/>
        <v>2023</v>
      </c>
      <c r="B359" s="10">
        <v>45261</v>
      </c>
      <c r="C359" s="11">
        <v>70.53</v>
      </c>
      <c r="D359" s="11">
        <v>70.48</v>
      </c>
      <c r="E359" s="11">
        <v>70.83</v>
      </c>
      <c r="F359" s="11">
        <v>67.3</v>
      </c>
      <c r="G359" s="11">
        <v>0.11</v>
      </c>
      <c r="H359" s="11">
        <v>453152</v>
      </c>
      <c r="I359" s="11">
        <v>31879289.2</v>
      </c>
      <c r="J359" s="11">
        <v>423604008</v>
      </c>
      <c r="K359" s="11">
        <v>23597894616.09</v>
      </c>
      <c r="L359" s="6">
        <f t="shared" si="11"/>
        <v>70.3501015111927</v>
      </c>
    </row>
    <row r="360" spans="1:12">
      <c r="A360">
        <f t="shared" si="10"/>
        <v>2023</v>
      </c>
      <c r="B360" s="10">
        <v>45260</v>
      </c>
      <c r="C360" s="11">
        <v>70.45</v>
      </c>
      <c r="D360" s="11">
        <v>71.12</v>
      </c>
      <c r="E360" s="11">
        <v>71.13</v>
      </c>
      <c r="F360" s="11">
        <v>69.8</v>
      </c>
      <c r="G360" s="11">
        <v>-0.7</v>
      </c>
      <c r="H360" s="11">
        <v>1409093</v>
      </c>
      <c r="I360" s="11">
        <v>101260288.92</v>
      </c>
      <c r="J360" s="11">
        <v>423150856</v>
      </c>
      <c r="K360" s="11">
        <v>23566015326.89</v>
      </c>
      <c r="L360" s="6">
        <f t="shared" si="11"/>
        <v>71.8620338898852</v>
      </c>
    </row>
    <row r="361" spans="1:12">
      <c r="A361">
        <f t="shared" si="10"/>
        <v>2023</v>
      </c>
      <c r="B361" s="10">
        <v>45259</v>
      </c>
      <c r="C361" s="11">
        <v>70.95</v>
      </c>
      <c r="D361" s="11">
        <v>72.66</v>
      </c>
      <c r="E361" s="11">
        <v>72.67</v>
      </c>
      <c r="F361" s="11">
        <v>70.3</v>
      </c>
      <c r="G361" s="11">
        <v>-2.41</v>
      </c>
      <c r="H361" s="11">
        <v>855177</v>
      </c>
      <c r="I361" s="11">
        <v>60605710.4</v>
      </c>
      <c r="J361" s="11">
        <v>421741763</v>
      </c>
      <c r="K361" s="11">
        <v>23464755037.97</v>
      </c>
      <c r="L361" s="6">
        <f t="shared" si="11"/>
        <v>70.8692006450127</v>
      </c>
    </row>
    <row r="362" spans="1:12">
      <c r="A362">
        <f t="shared" si="10"/>
        <v>2023</v>
      </c>
      <c r="B362" s="10">
        <v>45258</v>
      </c>
      <c r="C362" s="11">
        <v>72.7</v>
      </c>
      <c r="D362" s="11">
        <v>72.11</v>
      </c>
      <c r="E362" s="11">
        <v>72.86</v>
      </c>
      <c r="F362" s="11">
        <v>71.69</v>
      </c>
      <c r="G362" s="11">
        <v>0.82</v>
      </c>
      <c r="H362" s="11">
        <v>691143</v>
      </c>
      <c r="I362" s="11">
        <v>49425780.83</v>
      </c>
      <c r="J362" s="11">
        <v>420886586</v>
      </c>
      <c r="K362" s="11">
        <v>23404149327.57</v>
      </c>
      <c r="L362" s="6">
        <f t="shared" si="11"/>
        <v>71.5131034098587</v>
      </c>
    </row>
    <row r="363" spans="1:12">
      <c r="A363">
        <f t="shared" si="10"/>
        <v>2023</v>
      </c>
      <c r="B363" s="10">
        <v>45257</v>
      </c>
      <c r="C363" s="11">
        <v>72.11</v>
      </c>
      <c r="D363" s="11">
        <v>71.99</v>
      </c>
      <c r="E363" s="11">
        <v>72.17</v>
      </c>
      <c r="F363" s="11">
        <v>71.99</v>
      </c>
      <c r="G363" s="11">
        <v>0.38</v>
      </c>
      <c r="H363" s="11">
        <v>189163</v>
      </c>
      <c r="I363" s="11">
        <v>13597246.6</v>
      </c>
      <c r="J363" s="11">
        <v>420195443</v>
      </c>
      <c r="K363" s="11">
        <v>23354723546.74</v>
      </c>
      <c r="L363" s="6">
        <f t="shared" si="11"/>
        <v>71.8811109995084</v>
      </c>
    </row>
    <row r="364" spans="1:12">
      <c r="A364">
        <f t="shared" si="10"/>
        <v>2023</v>
      </c>
      <c r="B364" s="10">
        <v>45254</v>
      </c>
      <c r="C364" s="11">
        <v>71.84</v>
      </c>
      <c r="D364" s="11">
        <v>72.4</v>
      </c>
      <c r="E364" s="11">
        <v>72.4</v>
      </c>
      <c r="F364" s="11">
        <v>71.7</v>
      </c>
      <c r="G364" s="11">
        <v>-0.28</v>
      </c>
      <c r="H364" s="11">
        <v>1454914</v>
      </c>
      <c r="I364" s="11">
        <v>100620221.72</v>
      </c>
      <c r="J364" s="11">
        <v>420006280</v>
      </c>
      <c r="K364" s="11">
        <v>23341126300.14</v>
      </c>
      <c r="L364" s="6">
        <f t="shared" si="11"/>
        <v>69.158879301457</v>
      </c>
    </row>
    <row r="365" spans="1:12">
      <c r="A365">
        <f t="shared" si="10"/>
        <v>2023</v>
      </c>
      <c r="B365" s="10">
        <v>45253</v>
      </c>
      <c r="C365" s="11">
        <v>72.04</v>
      </c>
      <c r="D365" s="11">
        <v>71.5</v>
      </c>
      <c r="E365" s="11">
        <v>72.89</v>
      </c>
      <c r="F365" s="11">
        <v>71.49</v>
      </c>
      <c r="G365" s="11">
        <v>0.52</v>
      </c>
      <c r="H365" s="11">
        <v>462208</v>
      </c>
      <c r="I365" s="11">
        <v>32988349.84</v>
      </c>
      <c r="J365" s="11">
        <v>418551366</v>
      </c>
      <c r="K365" s="11">
        <v>23240506078.42</v>
      </c>
      <c r="L365" s="6">
        <f t="shared" si="11"/>
        <v>71.371222133758</v>
      </c>
    </row>
    <row r="366" spans="1:12">
      <c r="A366">
        <f t="shared" si="10"/>
        <v>2023</v>
      </c>
      <c r="B366" s="10">
        <v>45252</v>
      </c>
      <c r="C366" s="11">
        <v>71.67</v>
      </c>
      <c r="D366" s="11">
        <v>72.52</v>
      </c>
      <c r="E366" s="11">
        <v>72.65</v>
      </c>
      <c r="F366" s="11">
        <v>71.6</v>
      </c>
      <c r="G366" s="11">
        <v>-1.17</v>
      </c>
      <c r="H366" s="11">
        <v>725546</v>
      </c>
      <c r="I366" s="11">
        <v>52313796.26</v>
      </c>
      <c r="J366" s="11">
        <v>418089158</v>
      </c>
      <c r="K366" s="11">
        <v>23207517728.58</v>
      </c>
      <c r="L366" s="6">
        <f t="shared" si="11"/>
        <v>72.1026595970483</v>
      </c>
    </row>
    <row r="367" spans="1:12">
      <c r="A367">
        <f t="shared" si="10"/>
        <v>2023</v>
      </c>
      <c r="B367" s="10">
        <v>45251</v>
      </c>
      <c r="C367" s="11">
        <v>72.52</v>
      </c>
      <c r="D367" s="11">
        <v>72.53</v>
      </c>
      <c r="E367" s="11">
        <v>72.68</v>
      </c>
      <c r="F367" s="11">
        <v>72.13</v>
      </c>
      <c r="G367" s="11">
        <v>0.01</v>
      </c>
      <c r="H367" s="11">
        <v>313651</v>
      </c>
      <c r="I367" s="11">
        <v>22639099.7</v>
      </c>
      <c r="J367" s="11">
        <v>417363612</v>
      </c>
      <c r="K367" s="11">
        <v>23155203932.32</v>
      </c>
      <c r="L367" s="6">
        <f t="shared" si="11"/>
        <v>72.1792683587809</v>
      </c>
    </row>
    <row r="368" spans="1:12">
      <c r="A368">
        <f t="shared" si="10"/>
        <v>2023</v>
      </c>
      <c r="B368" s="10">
        <v>45250</v>
      </c>
      <c r="C368" s="11">
        <v>72.51</v>
      </c>
      <c r="D368" s="11">
        <v>72.75</v>
      </c>
      <c r="E368" s="11">
        <v>72.75</v>
      </c>
      <c r="F368" s="11">
        <v>72.45</v>
      </c>
      <c r="G368" s="11">
        <v>0.06</v>
      </c>
      <c r="H368" s="11">
        <v>519166</v>
      </c>
      <c r="I368" s="11">
        <v>35377286.62</v>
      </c>
      <c r="J368" s="11">
        <v>417049961</v>
      </c>
      <c r="K368" s="11">
        <v>23132564832.62</v>
      </c>
      <c r="L368" s="6">
        <f t="shared" si="11"/>
        <v>68.1425336404926</v>
      </c>
    </row>
    <row r="369" spans="1:12">
      <c r="A369">
        <f t="shared" si="10"/>
        <v>2023</v>
      </c>
      <c r="B369" s="10">
        <v>45247</v>
      </c>
      <c r="C369" s="11">
        <v>72.47</v>
      </c>
      <c r="D369" s="11">
        <v>71.21</v>
      </c>
      <c r="E369" s="11">
        <v>73.52</v>
      </c>
      <c r="F369" s="11">
        <v>71.19</v>
      </c>
      <c r="G369" s="11">
        <v>1.31</v>
      </c>
      <c r="H369" s="11">
        <v>581694</v>
      </c>
      <c r="I369" s="11">
        <v>41032100.85</v>
      </c>
      <c r="J369" s="11">
        <v>416530795</v>
      </c>
      <c r="K369" s="11">
        <v>23097187546</v>
      </c>
      <c r="L369" s="6">
        <f t="shared" si="11"/>
        <v>70.5389789992677</v>
      </c>
    </row>
    <row r="370" spans="1:12">
      <c r="A370">
        <f t="shared" si="10"/>
        <v>2023</v>
      </c>
      <c r="B370" s="10">
        <v>45246</v>
      </c>
      <c r="C370" s="11">
        <v>71.53</v>
      </c>
      <c r="D370" s="11">
        <v>73.61</v>
      </c>
      <c r="E370" s="11">
        <v>73.61</v>
      </c>
      <c r="F370" s="11">
        <v>71.3</v>
      </c>
      <c r="G370" s="11">
        <v>-2.43</v>
      </c>
      <c r="H370" s="11">
        <v>2398298</v>
      </c>
      <c r="I370" s="11">
        <v>167857737.1</v>
      </c>
      <c r="J370" s="11">
        <v>415949101</v>
      </c>
      <c r="K370" s="11">
        <v>23056155445.15</v>
      </c>
      <c r="L370" s="6">
        <f t="shared" si="11"/>
        <v>69.9903586209887</v>
      </c>
    </row>
    <row r="371" spans="1:12">
      <c r="A371">
        <f t="shared" si="10"/>
        <v>2023</v>
      </c>
      <c r="B371" s="10">
        <v>45245</v>
      </c>
      <c r="C371" s="11">
        <v>73.31</v>
      </c>
      <c r="D371" s="11">
        <v>72.01</v>
      </c>
      <c r="E371" s="11">
        <v>74.66</v>
      </c>
      <c r="F371" s="11">
        <v>71.79</v>
      </c>
      <c r="G371" s="11">
        <v>2.25</v>
      </c>
      <c r="H371" s="11">
        <v>1472064</v>
      </c>
      <c r="I371" s="11">
        <v>92845081.36</v>
      </c>
      <c r="J371" s="11">
        <v>413550803</v>
      </c>
      <c r="K371" s="11">
        <v>22888297708.05</v>
      </c>
      <c r="L371" s="6">
        <f t="shared" si="11"/>
        <v>63.0713619516543</v>
      </c>
    </row>
    <row r="372" spans="1:12">
      <c r="A372">
        <f t="shared" si="10"/>
        <v>2023</v>
      </c>
      <c r="B372" s="10">
        <v>45244</v>
      </c>
      <c r="C372" s="11">
        <v>71.7</v>
      </c>
      <c r="D372" s="11">
        <v>70.75</v>
      </c>
      <c r="E372" s="11">
        <v>72.35</v>
      </c>
      <c r="F372" s="11">
        <v>70.75</v>
      </c>
      <c r="G372" s="11">
        <v>-0.15</v>
      </c>
      <c r="H372" s="11">
        <v>2738963</v>
      </c>
      <c r="I372" s="11">
        <v>184326884.39</v>
      </c>
      <c r="J372" s="11">
        <v>412078739</v>
      </c>
      <c r="K372" s="11">
        <v>22795452626.69</v>
      </c>
      <c r="L372" s="6">
        <f t="shared" si="11"/>
        <v>67.2980556473381</v>
      </c>
    </row>
    <row r="373" spans="1:12">
      <c r="A373">
        <f t="shared" si="10"/>
        <v>2023</v>
      </c>
      <c r="B373" s="10">
        <v>45243</v>
      </c>
      <c r="C373" s="11">
        <v>71.81</v>
      </c>
      <c r="D373" s="11">
        <v>72.75</v>
      </c>
      <c r="E373" s="11">
        <v>72.75</v>
      </c>
      <c r="F373" s="11">
        <v>68.88</v>
      </c>
      <c r="G373" s="11">
        <v>0.94</v>
      </c>
      <c r="H373" s="11">
        <v>3521649</v>
      </c>
      <c r="I373" s="11">
        <v>249168877.51</v>
      </c>
      <c r="J373" s="11">
        <v>409339776</v>
      </c>
      <c r="K373" s="11">
        <v>22611125742.3</v>
      </c>
      <c r="L373" s="6">
        <f t="shared" si="11"/>
        <v>70.7534673415778</v>
      </c>
    </row>
    <row r="374" spans="1:12">
      <c r="A374">
        <f t="shared" si="10"/>
        <v>2023</v>
      </c>
      <c r="B374" s="10">
        <v>45240</v>
      </c>
      <c r="C374" s="11">
        <v>71.14</v>
      </c>
      <c r="D374" s="11">
        <v>72.38</v>
      </c>
      <c r="E374" s="11">
        <v>72.83</v>
      </c>
      <c r="F374" s="11">
        <v>69.67</v>
      </c>
      <c r="G374" s="11">
        <v>-2.32</v>
      </c>
      <c r="H374" s="11">
        <v>5472325</v>
      </c>
      <c r="I374" s="11">
        <v>397718981.99</v>
      </c>
      <c r="J374" s="11">
        <v>405818127</v>
      </c>
      <c r="K374" s="11">
        <v>22361956864.79</v>
      </c>
      <c r="L374" s="6">
        <f t="shared" si="11"/>
        <v>72.6782458991379</v>
      </c>
    </row>
    <row r="375" spans="1:12">
      <c r="A375">
        <f t="shared" si="10"/>
        <v>2023</v>
      </c>
      <c r="B375" s="10">
        <v>45239</v>
      </c>
      <c r="C375" s="11">
        <v>72.83</v>
      </c>
      <c r="D375" s="11">
        <v>74.03</v>
      </c>
      <c r="E375" s="11">
        <v>74.03</v>
      </c>
      <c r="F375" s="11">
        <v>72.37</v>
      </c>
      <c r="G375" s="11">
        <v>-1.51</v>
      </c>
      <c r="H375" s="11">
        <v>2718129</v>
      </c>
      <c r="I375" s="11">
        <v>196324291.19</v>
      </c>
      <c r="J375" s="11">
        <v>400345802</v>
      </c>
      <c r="K375" s="11">
        <v>21964237882.8</v>
      </c>
      <c r="L375" s="6">
        <f t="shared" si="11"/>
        <v>72.2277313512346</v>
      </c>
    </row>
    <row r="376" spans="1:12">
      <c r="A376">
        <f t="shared" si="10"/>
        <v>2023</v>
      </c>
      <c r="B376" s="10">
        <v>45238</v>
      </c>
      <c r="C376" s="11">
        <v>73.95</v>
      </c>
      <c r="D376" s="11">
        <v>75.25</v>
      </c>
      <c r="E376" s="11">
        <v>77.58</v>
      </c>
      <c r="F376" s="11">
        <v>73.2</v>
      </c>
      <c r="G376" s="11">
        <v>-0.6</v>
      </c>
      <c r="H376" s="11">
        <v>2828919</v>
      </c>
      <c r="I376" s="11">
        <v>206533641.67</v>
      </c>
      <c r="J376" s="11">
        <v>397627673</v>
      </c>
      <c r="K376" s="11">
        <v>21767913591.61</v>
      </c>
      <c r="L376" s="6">
        <f t="shared" si="11"/>
        <v>73.0079728935328</v>
      </c>
    </row>
    <row r="377" spans="1:12">
      <c r="A377">
        <f t="shared" si="10"/>
        <v>2023</v>
      </c>
      <c r="B377" s="10">
        <v>45237</v>
      </c>
      <c r="C377" s="11">
        <v>74.4</v>
      </c>
      <c r="D377" s="11">
        <v>75.95</v>
      </c>
      <c r="E377" s="11">
        <v>79.47</v>
      </c>
      <c r="F377" s="11">
        <v>73.17</v>
      </c>
      <c r="G377" s="11">
        <v>-1.06</v>
      </c>
      <c r="H377" s="11">
        <v>1758903</v>
      </c>
      <c r="I377" s="11">
        <v>129398296.92</v>
      </c>
      <c r="J377" s="11">
        <v>394798754</v>
      </c>
      <c r="K377" s="11">
        <v>21561379949.94</v>
      </c>
      <c r="L377" s="6">
        <f t="shared" si="11"/>
        <v>73.5676139730275</v>
      </c>
    </row>
    <row r="378" spans="1:12">
      <c r="A378">
        <f t="shared" si="10"/>
        <v>2023</v>
      </c>
      <c r="B378" s="10">
        <v>45236</v>
      </c>
      <c r="C378" s="11">
        <v>75.2</v>
      </c>
      <c r="D378" s="11">
        <v>74.49</v>
      </c>
      <c r="E378" s="11">
        <v>76.67</v>
      </c>
      <c r="F378" s="11">
        <v>73</v>
      </c>
      <c r="G378" s="11">
        <v>0.64</v>
      </c>
      <c r="H378" s="11">
        <v>1895252</v>
      </c>
      <c r="I378" s="11">
        <v>144238833.48</v>
      </c>
      <c r="J378" s="11">
        <v>393039851</v>
      </c>
      <c r="K378" s="11">
        <v>21431981653.02</v>
      </c>
      <c r="L378" s="6">
        <f t="shared" si="11"/>
        <v>76.1053588018902</v>
      </c>
    </row>
    <row r="379" spans="1:12">
      <c r="A379">
        <f t="shared" si="10"/>
        <v>2023</v>
      </c>
      <c r="B379" s="10">
        <v>45233</v>
      </c>
      <c r="C379" s="11">
        <v>74.72</v>
      </c>
      <c r="D379" s="11">
        <v>75.98</v>
      </c>
      <c r="E379" s="11">
        <v>77.24</v>
      </c>
      <c r="F379" s="11">
        <v>73.5</v>
      </c>
      <c r="G379" s="11">
        <v>-2.85</v>
      </c>
      <c r="H379" s="11">
        <v>3835505</v>
      </c>
      <c r="I379" s="11">
        <v>294304154.21</v>
      </c>
      <c r="J379" s="11">
        <v>391144599</v>
      </c>
      <c r="K379" s="11">
        <v>21287742819.54</v>
      </c>
      <c r="L379" s="6">
        <f t="shared" si="11"/>
        <v>76.7315266724981</v>
      </c>
    </row>
    <row r="380" spans="1:12">
      <c r="A380">
        <f t="shared" si="10"/>
        <v>2023</v>
      </c>
      <c r="B380" s="10">
        <v>45232</v>
      </c>
      <c r="C380" s="11">
        <v>76.91</v>
      </c>
      <c r="D380" s="11">
        <v>77.36</v>
      </c>
      <c r="E380" s="11">
        <v>77.59</v>
      </c>
      <c r="F380" s="11">
        <v>76.03</v>
      </c>
      <c r="G380" s="11">
        <v>-0.8</v>
      </c>
      <c r="H380" s="11">
        <v>2190523</v>
      </c>
      <c r="I380" s="11">
        <v>158358743.99</v>
      </c>
      <c r="J380" s="11">
        <v>387309094</v>
      </c>
      <c r="K380" s="11">
        <v>20993438665.33</v>
      </c>
      <c r="L380" s="6">
        <f t="shared" si="11"/>
        <v>72.2926643500205</v>
      </c>
    </row>
    <row r="381" spans="1:12">
      <c r="A381">
        <f t="shared" si="10"/>
        <v>2023</v>
      </c>
      <c r="B381" s="10">
        <v>45231</v>
      </c>
      <c r="C381" s="11">
        <v>77.53</v>
      </c>
      <c r="D381" s="11">
        <v>77.47</v>
      </c>
      <c r="E381" s="11">
        <v>78.89</v>
      </c>
      <c r="F381" s="11">
        <v>76.34</v>
      </c>
      <c r="G381" s="11">
        <v>-0.67</v>
      </c>
      <c r="H381" s="11">
        <v>2400003</v>
      </c>
      <c r="I381" s="11">
        <v>171569040.66</v>
      </c>
      <c r="J381" s="11">
        <v>385118571</v>
      </c>
      <c r="K381" s="11">
        <v>20835079921.34</v>
      </c>
      <c r="L381" s="6">
        <f t="shared" si="11"/>
        <v>71.4870109162364</v>
      </c>
    </row>
    <row r="382" spans="1:12">
      <c r="A382">
        <f t="shared" si="10"/>
        <v>2023</v>
      </c>
      <c r="B382" s="10">
        <v>45230</v>
      </c>
      <c r="C382" s="11">
        <v>78.05</v>
      </c>
      <c r="D382" s="11">
        <v>80.02</v>
      </c>
      <c r="E382" s="11">
        <v>80.02</v>
      </c>
      <c r="F382" s="11">
        <v>75.5</v>
      </c>
      <c r="G382" s="11">
        <v>-1.9</v>
      </c>
      <c r="H382" s="11">
        <v>3509270</v>
      </c>
      <c r="I382" s="11">
        <v>238660801.19</v>
      </c>
      <c r="J382" s="11">
        <v>382718568</v>
      </c>
      <c r="K382" s="11">
        <v>20663510880.68</v>
      </c>
      <c r="L382" s="6">
        <f t="shared" si="11"/>
        <v>68.0086745078036</v>
      </c>
    </row>
    <row r="383" spans="1:12">
      <c r="A383">
        <f t="shared" si="10"/>
        <v>2023</v>
      </c>
      <c r="B383" s="10">
        <v>45229</v>
      </c>
      <c r="C383" s="11">
        <v>79.56</v>
      </c>
      <c r="D383" s="11">
        <v>80.21</v>
      </c>
      <c r="E383" s="11">
        <v>82.7</v>
      </c>
      <c r="F383" s="11">
        <v>77.3</v>
      </c>
      <c r="G383" s="11">
        <v>1.08</v>
      </c>
      <c r="H383" s="11">
        <v>3596497</v>
      </c>
      <c r="I383" s="11">
        <v>253518115.02</v>
      </c>
      <c r="J383" s="11">
        <v>379209298</v>
      </c>
      <c r="K383" s="11">
        <v>20424850079.49</v>
      </c>
      <c r="L383" s="6">
        <f t="shared" si="11"/>
        <v>70.4902895845596</v>
      </c>
    </row>
    <row r="384" spans="1:12">
      <c r="A384">
        <f t="shared" si="10"/>
        <v>2023</v>
      </c>
      <c r="B384" s="10">
        <v>45226</v>
      </c>
      <c r="C384" s="11">
        <v>78.71</v>
      </c>
      <c r="D384" s="11">
        <v>80.51</v>
      </c>
      <c r="E384" s="11">
        <v>80.51</v>
      </c>
      <c r="F384" s="11">
        <v>77.17</v>
      </c>
      <c r="G384" s="11">
        <v>-2.47</v>
      </c>
      <c r="H384" s="11">
        <v>6770524</v>
      </c>
      <c r="I384" s="11">
        <v>462618971.88</v>
      </c>
      <c r="J384" s="11">
        <v>375612801</v>
      </c>
      <c r="K384" s="11">
        <v>20171331964.47</v>
      </c>
      <c r="L384" s="6">
        <f t="shared" si="11"/>
        <v>68.3283852003183</v>
      </c>
    </row>
    <row r="385" spans="1:12">
      <c r="A385">
        <f t="shared" si="10"/>
        <v>2023</v>
      </c>
      <c r="B385" s="10">
        <v>45225</v>
      </c>
      <c r="C385" s="11">
        <v>80.7</v>
      </c>
      <c r="D385" s="11">
        <v>81.34</v>
      </c>
      <c r="E385" s="11">
        <v>81.34</v>
      </c>
      <c r="F385" s="11">
        <v>79.97</v>
      </c>
      <c r="G385" s="11">
        <v>-0.69</v>
      </c>
      <c r="H385" s="11">
        <v>3635122</v>
      </c>
      <c r="I385" s="11">
        <v>270930365.04</v>
      </c>
      <c r="J385" s="11">
        <v>368842277</v>
      </c>
      <c r="K385" s="11">
        <v>19708712992.59</v>
      </c>
      <c r="L385" s="6">
        <f t="shared" si="11"/>
        <v>74.531299098077</v>
      </c>
    </row>
    <row r="386" spans="1:12">
      <c r="A386">
        <f t="shared" si="10"/>
        <v>2023</v>
      </c>
      <c r="B386" s="10">
        <v>45224</v>
      </c>
      <c r="C386" s="11">
        <v>81.26</v>
      </c>
      <c r="D386" s="11">
        <v>81.11</v>
      </c>
      <c r="E386" s="11">
        <v>82.07</v>
      </c>
      <c r="F386" s="11">
        <v>80.61</v>
      </c>
      <c r="G386" s="11">
        <v>0.21</v>
      </c>
      <c r="H386" s="11">
        <v>3032140</v>
      </c>
      <c r="I386" s="11">
        <v>230101689.68</v>
      </c>
      <c r="J386" s="11">
        <v>365207155</v>
      </c>
      <c r="K386" s="11">
        <v>19437782627.55</v>
      </c>
      <c r="L386" s="6">
        <f t="shared" si="11"/>
        <v>75.8875545588264</v>
      </c>
    </row>
    <row r="387" spans="1:12">
      <c r="A387">
        <f t="shared" si="10"/>
        <v>2023</v>
      </c>
      <c r="B387" s="10">
        <v>45223</v>
      </c>
      <c r="C387" s="11">
        <v>81.09</v>
      </c>
      <c r="D387" s="11">
        <v>81.51</v>
      </c>
      <c r="E387" s="11">
        <v>81.51</v>
      </c>
      <c r="F387" s="11">
        <v>80.74</v>
      </c>
      <c r="G387" s="11">
        <v>-0.42</v>
      </c>
      <c r="H387" s="11">
        <v>5177465</v>
      </c>
      <c r="I387" s="11">
        <v>404159885.11</v>
      </c>
      <c r="J387" s="11">
        <v>362175015</v>
      </c>
      <c r="K387" s="11">
        <v>19207680937.87</v>
      </c>
      <c r="L387" s="6">
        <f t="shared" si="11"/>
        <v>78.0613456797873</v>
      </c>
    </row>
    <row r="388" spans="1:12">
      <c r="A388">
        <f t="shared" ref="A388:A451" si="12">YEAR(B388)</f>
        <v>2023</v>
      </c>
      <c r="B388" s="10">
        <v>45222</v>
      </c>
      <c r="C388" s="11">
        <v>81.43</v>
      </c>
      <c r="D388" s="11">
        <v>81.8</v>
      </c>
      <c r="E388" s="11">
        <v>81.88</v>
      </c>
      <c r="F388" s="11">
        <v>81.45</v>
      </c>
      <c r="G388" s="11">
        <v>-0.29</v>
      </c>
      <c r="H388" s="11">
        <v>5181015</v>
      </c>
      <c r="I388" s="11">
        <v>417507212.18</v>
      </c>
      <c r="J388" s="11">
        <v>356997550</v>
      </c>
      <c r="K388" s="11">
        <v>18803521052.76</v>
      </c>
      <c r="L388" s="6">
        <f t="shared" ref="L388:L451" si="13">I388/H388</f>
        <v>80.5840577917647</v>
      </c>
    </row>
    <row r="389" spans="1:12">
      <c r="A389">
        <f t="shared" si="12"/>
        <v>2023</v>
      </c>
      <c r="B389" s="10">
        <v>45219</v>
      </c>
      <c r="C389" s="11">
        <v>81.67</v>
      </c>
      <c r="D389" s="11">
        <v>81.13</v>
      </c>
      <c r="E389" s="11">
        <v>82.79</v>
      </c>
      <c r="F389" s="11">
        <v>80.25</v>
      </c>
      <c r="G389" s="11">
        <v>0.55</v>
      </c>
      <c r="H389" s="11">
        <v>5805678</v>
      </c>
      <c r="I389" s="11">
        <v>395735634.34</v>
      </c>
      <c r="J389" s="11">
        <v>351816535</v>
      </c>
      <c r="K389" s="11">
        <v>18386013840.58</v>
      </c>
      <c r="L389" s="6">
        <f t="shared" si="13"/>
        <v>68.1635520158025</v>
      </c>
    </row>
    <row r="390" spans="1:12">
      <c r="A390">
        <f t="shared" si="12"/>
        <v>2023</v>
      </c>
      <c r="B390" s="10">
        <v>45218</v>
      </c>
      <c r="C390" s="11">
        <v>81.22</v>
      </c>
      <c r="D390" s="11">
        <v>81.32</v>
      </c>
      <c r="E390" s="11">
        <v>81.63</v>
      </c>
      <c r="F390" s="11">
        <v>81</v>
      </c>
      <c r="G390" s="11">
        <v>0.09</v>
      </c>
      <c r="H390" s="11">
        <v>6833960</v>
      </c>
      <c r="I390" s="11">
        <v>468994045.49</v>
      </c>
      <c r="J390" s="11">
        <v>346010857</v>
      </c>
      <c r="K390" s="11">
        <v>17990278206.24</v>
      </c>
      <c r="L390" s="6">
        <f t="shared" si="13"/>
        <v>68.6269813534173</v>
      </c>
    </row>
    <row r="391" spans="1:12">
      <c r="A391">
        <f t="shared" si="12"/>
        <v>2023</v>
      </c>
      <c r="B391" s="10">
        <v>45217</v>
      </c>
      <c r="C391" s="11">
        <v>81.15</v>
      </c>
      <c r="D391" s="11">
        <v>80.76</v>
      </c>
      <c r="E391" s="11">
        <v>81.46</v>
      </c>
      <c r="F391" s="11">
        <v>80.76</v>
      </c>
      <c r="G391" s="11">
        <v>-0.15</v>
      </c>
      <c r="H391" s="11">
        <v>14354637</v>
      </c>
      <c r="I391" s="11">
        <v>883824626.19</v>
      </c>
      <c r="J391" s="11">
        <v>339176897</v>
      </c>
      <c r="K391" s="11">
        <v>17521284160.75</v>
      </c>
      <c r="L391" s="6">
        <f t="shared" si="13"/>
        <v>61.5706705916701</v>
      </c>
    </row>
    <row r="392" spans="1:12">
      <c r="A392">
        <f t="shared" si="12"/>
        <v>2023</v>
      </c>
      <c r="B392" s="10">
        <v>45216</v>
      </c>
      <c r="C392" s="11">
        <v>81.27</v>
      </c>
      <c r="D392" s="11">
        <v>81.57</v>
      </c>
      <c r="E392" s="11">
        <v>82</v>
      </c>
      <c r="F392" s="11">
        <v>80.89</v>
      </c>
      <c r="G392" s="11">
        <v>-0.07</v>
      </c>
      <c r="H392" s="11">
        <v>4284787</v>
      </c>
      <c r="I392" s="11">
        <v>293436060.69</v>
      </c>
      <c r="J392" s="11">
        <v>324822260</v>
      </c>
      <c r="K392" s="11">
        <v>16637459534.56</v>
      </c>
      <c r="L392" s="6">
        <f t="shared" si="13"/>
        <v>68.4832316495546</v>
      </c>
    </row>
    <row r="393" spans="1:12">
      <c r="A393">
        <f t="shared" si="12"/>
        <v>2023</v>
      </c>
      <c r="B393" s="10">
        <v>45215</v>
      </c>
      <c r="C393" s="11">
        <v>81.33</v>
      </c>
      <c r="D393" s="11">
        <v>80.26</v>
      </c>
      <c r="E393" s="11">
        <v>81.98</v>
      </c>
      <c r="F393" s="11">
        <v>80.26</v>
      </c>
      <c r="G393" s="11">
        <v>1.45</v>
      </c>
      <c r="H393" s="11">
        <v>5039902</v>
      </c>
      <c r="I393" s="11">
        <v>333772163.45</v>
      </c>
      <c r="J393" s="11">
        <v>320537473</v>
      </c>
      <c r="K393" s="11">
        <v>16344023473.87</v>
      </c>
      <c r="L393" s="6">
        <f t="shared" si="13"/>
        <v>66.2259233314457</v>
      </c>
    </row>
    <row r="394" spans="1:12">
      <c r="A394">
        <f t="shared" si="12"/>
        <v>2023</v>
      </c>
      <c r="B394" s="10">
        <v>45212</v>
      </c>
      <c r="C394" s="11">
        <v>80.17</v>
      </c>
      <c r="D394" s="11">
        <v>80.2</v>
      </c>
      <c r="E394" s="11">
        <v>81.33</v>
      </c>
      <c r="F394" s="11">
        <v>79</v>
      </c>
      <c r="G394" s="11">
        <v>-0.71</v>
      </c>
      <c r="H394" s="11">
        <v>7445741</v>
      </c>
      <c r="I394" s="11">
        <v>508333497.75</v>
      </c>
      <c r="J394" s="11">
        <v>315497571</v>
      </c>
      <c r="K394" s="11">
        <v>16010251310.42</v>
      </c>
      <c r="L394" s="6">
        <f t="shared" si="13"/>
        <v>68.2717136884025</v>
      </c>
    </row>
    <row r="395" spans="1:12">
      <c r="A395">
        <f t="shared" si="12"/>
        <v>2023</v>
      </c>
      <c r="B395" s="10">
        <v>45211</v>
      </c>
      <c r="C395" s="11">
        <v>80.74</v>
      </c>
      <c r="D395" s="11">
        <v>78.8</v>
      </c>
      <c r="E395" s="11">
        <v>81.56</v>
      </c>
      <c r="F395" s="11">
        <v>76.63</v>
      </c>
      <c r="G395" s="11">
        <v>2.51</v>
      </c>
      <c r="H395" s="11">
        <v>5235239</v>
      </c>
      <c r="I395" s="11">
        <v>346166583.38</v>
      </c>
      <c r="J395" s="11">
        <v>308051830</v>
      </c>
      <c r="K395" s="11">
        <v>15501917812.67</v>
      </c>
      <c r="L395" s="6">
        <f t="shared" si="13"/>
        <v>66.122403080356</v>
      </c>
    </row>
    <row r="396" spans="1:12">
      <c r="A396">
        <f t="shared" si="12"/>
        <v>2023</v>
      </c>
      <c r="B396" s="10">
        <v>45210</v>
      </c>
      <c r="C396" s="11">
        <v>78.76</v>
      </c>
      <c r="D396" s="11">
        <v>76.74</v>
      </c>
      <c r="E396" s="11">
        <v>80.83</v>
      </c>
      <c r="F396" s="11">
        <v>76.69</v>
      </c>
      <c r="G396" s="11">
        <v>-0.42</v>
      </c>
      <c r="H396" s="11">
        <v>5705151</v>
      </c>
      <c r="I396" s="11">
        <v>398144126.18</v>
      </c>
      <c r="J396" s="11">
        <v>302816591</v>
      </c>
      <c r="K396" s="11">
        <v>15155751229.29</v>
      </c>
      <c r="L396" s="6">
        <f t="shared" si="13"/>
        <v>69.7867814857135</v>
      </c>
    </row>
    <row r="397" spans="1:12">
      <c r="A397">
        <f t="shared" si="12"/>
        <v>2023</v>
      </c>
      <c r="B397" s="10">
        <v>45209</v>
      </c>
      <c r="C397" s="11">
        <v>79.09</v>
      </c>
      <c r="D397" s="11">
        <v>76</v>
      </c>
      <c r="E397" s="11">
        <v>80</v>
      </c>
      <c r="F397" s="11">
        <v>76</v>
      </c>
      <c r="G397" s="11">
        <v>2.73</v>
      </c>
      <c r="H397" s="11">
        <v>4873275</v>
      </c>
      <c r="I397" s="11">
        <v>333636179.6</v>
      </c>
      <c r="J397" s="11">
        <v>297111440</v>
      </c>
      <c r="K397" s="11">
        <v>14757607103.11</v>
      </c>
      <c r="L397" s="6">
        <f t="shared" si="13"/>
        <v>68.4624158497109</v>
      </c>
    </row>
    <row r="398" spans="1:12">
      <c r="A398">
        <f t="shared" si="12"/>
        <v>2023</v>
      </c>
      <c r="B398" s="10">
        <v>45208</v>
      </c>
      <c r="C398" s="11">
        <v>76.99</v>
      </c>
      <c r="D398" s="11">
        <v>75.29</v>
      </c>
      <c r="E398" s="11">
        <v>78.6</v>
      </c>
      <c r="F398" s="11">
        <v>75.29</v>
      </c>
      <c r="G398" s="11">
        <v>1.25</v>
      </c>
      <c r="H398" s="11">
        <v>2570918</v>
      </c>
      <c r="I398" s="11">
        <v>182206478.22</v>
      </c>
      <c r="J398" s="11">
        <v>292238165</v>
      </c>
      <c r="K398" s="11">
        <v>14423970923.51</v>
      </c>
      <c r="L398" s="6">
        <f t="shared" si="13"/>
        <v>70.8721469218388</v>
      </c>
    </row>
    <row r="399" spans="1:12">
      <c r="A399">
        <f t="shared" si="12"/>
        <v>2023</v>
      </c>
      <c r="B399" s="10">
        <v>45197</v>
      </c>
      <c r="C399" s="11">
        <v>76.04</v>
      </c>
      <c r="D399" s="11">
        <v>75.88</v>
      </c>
      <c r="E399" s="11">
        <v>77</v>
      </c>
      <c r="F399" s="11">
        <v>75.02</v>
      </c>
      <c r="G399" s="11">
        <v>-0.12</v>
      </c>
      <c r="H399" s="11">
        <v>2157689</v>
      </c>
      <c r="I399" s="11">
        <v>152402705.7</v>
      </c>
      <c r="J399" s="11">
        <v>289667247</v>
      </c>
      <c r="K399" s="11">
        <v>14241764445.29</v>
      </c>
      <c r="L399" s="6">
        <f t="shared" si="13"/>
        <v>70.6323782991895</v>
      </c>
    </row>
    <row r="400" spans="1:12">
      <c r="A400">
        <f t="shared" si="12"/>
        <v>2023</v>
      </c>
      <c r="B400" s="10">
        <v>45196</v>
      </c>
      <c r="C400" s="11">
        <v>76.13</v>
      </c>
      <c r="D400" s="11">
        <v>75.98</v>
      </c>
      <c r="E400" s="11">
        <v>76.57</v>
      </c>
      <c r="F400" s="11">
        <v>75.72</v>
      </c>
      <c r="G400" s="11">
        <v>0.09</v>
      </c>
      <c r="H400" s="11">
        <v>2484485</v>
      </c>
      <c r="I400" s="11">
        <v>169665551.21</v>
      </c>
      <c r="J400" s="11">
        <v>287509558</v>
      </c>
      <c r="K400" s="11">
        <v>14089361739.59</v>
      </c>
      <c r="L400" s="6">
        <f t="shared" si="13"/>
        <v>68.290028400252</v>
      </c>
    </row>
    <row r="401" spans="1:12">
      <c r="A401">
        <f t="shared" si="12"/>
        <v>2023</v>
      </c>
      <c r="B401" s="10">
        <v>45195</v>
      </c>
      <c r="C401" s="11">
        <v>76.06</v>
      </c>
      <c r="D401" s="11">
        <v>74.61</v>
      </c>
      <c r="E401" s="11">
        <v>76.36</v>
      </c>
      <c r="F401" s="11">
        <v>74.33</v>
      </c>
      <c r="G401" s="11">
        <v>1.58</v>
      </c>
      <c r="H401" s="11">
        <v>1147736</v>
      </c>
      <c r="I401" s="11">
        <v>80733995.4</v>
      </c>
      <c r="J401" s="11">
        <v>285025073</v>
      </c>
      <c r="K401" s="11">
        <v>13919696188.38</v>
      </c>
      <c r="L401" s="6">
        <f t="shared" si="13"/>
        <v>70.3419561641353</v>
      </c>
    </row>
    <row r="402" spans="1:12">
      <c r="A402">
        <f t="shared" si="12"/>
        <v>2023</v>
      </c>
      <c r="B402" s="10">
        <v>45194</v>
      </c>
      <c r="C402" s="11">
        <v>74.88</v>
      </c>
      <c r="D402" s="11">
        <v>74.28</v>
      </c>
      <c r="E402" s="11">
        <v>75.99</v>
      </c>
      <c r="F402" s="11">
        <v>74.17</v>
      </c>
      <c r="G402" s="11">
        <v>-0.61</v>
      </c>
      <c r="H402" s="11">
        <v>1724531</v>
      </c>
      <c r="I402" s="11">
        <v>116713160.1</v>
      </c>
      <c r="J402" s="11">
        <v>283877337</v>
      </c>
      <c r="K402" s="11">
        <v>13838962192.98</v>
      </c>
      <c r="L402" s="6">
        <f t="shared" si="13"/>
        <v>67.6782035811476</v>
      </c>
    </row>
    <row r="403" spans="1:12">
      <c r="A403">
        <f t="shared" si="12"/>
        <v>2023</v>
      </c>
      <c r="B403" s="10">
        <v>45191</v>
      </c>
      <c r="C403" s="11">
        <v>75.34</v>
      </c>
      <c r="D403" s="11">
        <v>74.35</v>
      </c>
      <c r="E403" s="11">
        <v>75.57</v>
      </c>
      <c r="F403" s="11">
        <v>74.33</v>
      </c>
      <c r="G403" s="11">
        <v>0.37</v>
      </c>
      <c r="H403" s="11">
        <v>1419673</v>
      </c>
      <c r="I403" s="11">
        <v>100965935.8</v>
      </c>
      <c r="J403" s="11">
        <v>282152806</v>
      </c>
      <c r="K403" s="11">
        <v>13722249032.89</v>
      </c>
      <c r="L403" s="6">
        <f t="shared" si="13"/>
        <v>71.1191491280034</v>
      </c>
    </row>
    <row r="404" spans="1:12">
      <c r="A404">
        <f t="shared" si="12"/>
        <v>2023</v>
      </c>
      <c r="B404" s="10">
        <v>45190</v>
      </c>
      <c r="C404" s="11">
        <v>75.06</v>
      </c>
      <c r="D404" s="11">
        <v>74.54</v>
      </c>
      <c r="E404" s="11">
        <v>75.49</v>
      </c>
      <c r="F404" s="11">
        <v>74.24</v>
      </c>
      <c r="G404" s="11">
        <v>0.56</v>
      </c>
      <c r="H404" s="11">
        <v>2324561</v>
      </c>
      <c r="I404" s="11">
        <v>167638616.3</v>
      </c>
      <c r="J404" s="11">
        <v>280733133</v>
      </c>
      <c r="K404" s="11">
        <v>13621283097.13</v>
      </c>
      <c r="L404" s="6">
        <f t="shared" si="13"/>
        <v>72.1162474548958</v>
      </c>
    </row>
    <row r="405" spans="1:12">
      <c r="A405">
        <f t="shared" si="12"/>
        <v>2023</v>
      </c>
      <c r="B405" s="10">
        <v>45189</v>
      </c>
      <c r="C405" s="11">
        <v>74.64</v>
      </c>
      <c r="D405" s="11">
        <v>74.14</v>
      </c>
      <c r="E405" s="11">
        <v>75.83</v>
      </c>
      <c r="F405" s="11">
        <v>73.94</v>
      </c>
      <c r="G405" s="11">
        <v>-0.65</v>
      </c>
      <c r="H405" s="11">
        <v>1356605</v>
      </c>
      <c r="I405" s="11">
        <v>94107999.44</v>
      </c>
      <c r="J405" s="11">
        <v>278408572</v>
      </c>
      <c r="K405" s="11">
        <v>13453644480.79</v>
      </c>
      <c r="L405" s="6">
        <f t="shared" si="13"/>
        <v>69.3702289465246</v>
      </c>
    </row>
    <row r="406" spans="1:12">
      <c r="A406">
        <f t="shared" si="12"/>
        <v>2023</v>
      </c>
      <c r="B406" s="10">
        <v>45188</v>
      </c>
      <c r="C406" s="11">
        <v>75.13</v>
      </c>
      <c r="D406" s="11">
        <v>74.6</v>
      </c>
      <c r="E406" s="11">
        <v>75.67</v>
      </c>
      <c r="F406" s="11">
        <v>74.6</v>
      </c>
      <c r="G406" s="11">
        <v>0.71</v>
      </c>
      <c r="H406" s="11">
        <v>902561</v>
      </c>
      <c r="I406" s="11">
        <v>67147554.75</v>
      </c>
      <c r="J406" s="11">
        <v>277051967</v>
      </c>
      <c r="K406" s="11">
        <v>13359536481.35</v>
      </c>
      <c r="L406" s="6">
        <f t="shared" si="13"/>
        <v>74.3966942400569</v>
      </c>
    </row>
    <row r="407" spans="1:12">
      <c r="A407">
        <f t="shared" si="12"/>
        <v>2023</v>
      </c>
      <c r="B407" s="10">
        <v>45187</v>
      </c>
      <c r="C407" s="11">
        <v>74.6</v>
      </c>
      <c r="D407" s="11">
        <v>74.93</v>
      </c>
      <c r="E407" s="11">
        <v>74.93</v>
      </c>
      <c r="F407" s="11">
        <v>74.42</v>
      </c>
      <c r="G407" s="11">
        <v>-0.21</v>
      </c>
      <c r="H407" s="11">
        <v>1092573</v>
      </c>
      <c r="I407" s="11">
        <v>79260399</v>
      </c>
      <c r="J407" s="11">
        <v>276149406</v>
      </c>
      <c r="K407" s="11">
        <v>13292388926.6</v>
      </c>
      <c r="L407" s="6">
        <f t="shared" si="13"/>
        <v>72.544716920517</v>
      </c>
    </row>
    <row r="408" spans="1:12">
      <c r="A408">
        <f t="shared" si="12"/>
        <v>2023</v>
      </c>
      <c r="B408" s="10">
        <v>45184</v>
      </c>
      <c r="C408" s="11">
        <v>74.76</v>
      </c>
      <c r="D408" s="11">
        <v>74.16</v>
      </c>
      <c r="E408" s="11">
        <v>76.17</v>
      </c>
      <c r="F408" s="11">
        <v>73.97</v>
      </c>
      <c r="G408" s="11">
        <v>1.01</v>
      </c>
      <c r="H408" s="11">
        <v>2140008</v>
      </c>
      <c r="I408" s="11">
        <v>158164270.2</v>
      </c>
      <c r="J408" s="11">
        <v>275056833</v>
      </c>
      <c r="K408" s="11">
        <v>13213128527.6</v>
      </c>
      <c r="L408" s="6">
        <f t="shared" si="13"/>
        <v>73.9082611840703</v>
      </c>
    </row>
    <row r="409" spans="1:12">
      <c r="A409">
        <f t="shared" si="12"/>
        <v>2023</v>
      </c>
      <c r="B409" s="10">
        <v>45183</v>
      </c>
      <c r="C409" s="11">
        <v>74.01</v>
      </c>
      <c r="D409" s="11">
        <v>73.35</v>
      </c>
      <c r="E409" s="11">
        <v>74.2</v>
      </c>
      <c r="F409" s="11">
        <v>73.2</v>
      </c>
      <c r="G409" s="11">
        <v>1.65</v>
      </c>
      <c r="H409" s="11">
        <v>974613</v>
      </c>
      <c r="I409" s="11">
        <v>71855542.2</v>
      </c>
      <c r="J409" s="11">
        <v>272916825</v>
      </c>
      <c r="K409" s="11">
        <v>13054964257.4</v>
      </c>
      <c r="L409" s="6">
        <f t="shared" si="13"/>
        <v>73.7272560493242</v>
      </c>
    </row>
    <row r="410" spans="1:12">
      <c r="A410">
        <f t="shared" si="12"/>
        <v>2023</v>
      </c>
      <c r="B410" s="10">
        <v>45182</v>
      </c>
      <c r="C410" s="11">
        <v>72.81</v>
      </c>
      <c r="D410" s="11">
        <v>72.04</v>
      </c>
      <c r="E410" s="11">
        <v>73.8</v>
      </c>
      <c r="F410" s="11">
        <v>72.04</v>
      </c>
      <c r="G410" s="11">
        <v>-0.01</v>
      </c>
      <c r="H410" s="11">
        <v>878424</v>
      </c>
      <c r="I410" s="11">
        <v>60099046</v>
      </c>
      <c r="J410" s="11">
        <v>271942212</v>
      </c>
      <c r="K410" s="11">
        <v>12983108715.2</v>
      </c>
      <c r="L410" s="6">
        <f t="shared" si="13"/>
        <v>68.4168989007586</v>
      </c>
    </row>
    <row r="411" spans="1:12">
      <c r="A411">
        <f t="shared" si="12"/>
        <v>2023</v>
      </c>
      <c r="B411" s="10">
        <v>45181</v>
      </c>
      <c r="C411" s="11">
        <v>72.82</v>
      </c>
      <c r="D411" s="11">
        <v>73.37</v>
      </c>
      <c r="E411" s="11">
        <v>73.37</v>
      </c>
      <c r="F411" s="11">
        <v>72.54</v>
      </c>
      <c r="G411" s="11">
        <v>0.1</v>
      </c>
      <c r="H411" s="11">
        <v>1346470</v>
      </c>
      <c r="I411" s="11">
        <v>90818490</v>
      </c>
      <c r="J411" s="11">
        <v>271063788</v>
      </c>
      <c r="K411" s="11">
        <v>12923009669.2</v>
      </c>
      <c r="L411" s="6">
        <f t="shared" si="13"/>
        <v>67.4493230447021</v>
      </c>
    </row>
    <row r="412" spans="1:12">
      <c r="A412">
        <f t="shared" si="12"/>
        <v>2023</v>
      </c>
      <c r="B412" s="10">
        <v>45180</v>
      </c>
      <c r="C412" s="11">
        <v>72.75</v>
      </c>
      <c r="D412" s="11">
        <v>72.2</v>
      </c>
      <c r="E412" s="11">
        <v>72.97</v>
      </c>
      <c r="F412" s="11">
        <v>71.9</v>
      </c>
      <c r="G412" s="11">
        <v>0.73</v>
      </c>
      <c r="H412" s="11">
        <v>587729</v>
      </c>
      <c r="I412" s="11">
        <v>37828583</v>
      </c>
      <c r="J412" s="11">
        <v>269717318</v>
      </c>
      <c r="K412" s="11">
        <v>12832191179.2</v>
      </c>
      <c r="L412" s="6">
        <f t="shared" si="13"/>
        <v>64.363989185492</v>
      </c>
    </row>
    <row r="413" spans="1:12">
      <c r="A413">
        <f t="shared" si="12"/>
        <v>2023</v>
      </c>
      <c r="B413" s="10">
        <v>45177</v>
      </c>
      <c r="C413" s="11">
        <v>72.22</v>
      </c>
      <c r="D413" s="11">
        <v>70.12</v>
      </c>
      <c r="E413" s="11">
        <v>72.87</v>
      </c>
      <c r="F413" s="11">
        <v>69.18</v>
      </c>
      <c r="G413" s="11">
        <v>1.32</v>
      </c>
      <c r="H413" s="11">
        <v>1383305</v>
      </c>
      <c r="I413" s="11">
        <v>90422762.9</v>
      </c>
      <c r="J413" s="11">
        <v>269129589</v>
      </c>
      <c r="K413" s="11">
        <v>12794362596.2</v>
      </c>
      <c r="L413" s="6">
        <f t="shared" si="13"/>
        <v>65.3671915448871</v>
      </c>
    </row>
    <row r="414" spans="1:12">
      <c r="A414">
        <f t="shared" si="12"/>
        <v>2023</v>
      </c>
      <c r="B414" s="10">
        <v>45176</v>
      </c>
      <c r="C414" s="11">
        <v>71.28</v>
      </c>
      <c r="D414" s="11">
        <v>70.61</v>
      </c>
      <c r="E414" s="11">
        <v>72.33</v>
      </c>
      <c r="F414" s="11">
        <v>66.67</v>
      </c>
      <c r="G414" s="11">
        <v>1.92</v>
      </c>
      <c r="H414" s="11">
        <v>3452591</v>
      </c>
      <c r="I414" s="11">
        <v>213826763.6</v>
      </c>
      <c r="J414" s="11">
        <v>267746284</v>
      </c>
      <c r="K414" s="11">
        <v>12703939833.3</v>
      </c>
      <c r="L414" s="6">
        <f t="shared" si="13"/>
        <v>61.9322600331172</v>
      </c>
    </row>
    <row r="415" spans="1:12">
      <c r="A415">
        <f t="shared" si="12"/>
        <v>2023</v>
      </c>
      <c r="B415" s="10">
        <v>45175</v>
      </c>
      <c r="C415" s="11">
        <v>69.94</v>
      </c>
      <c r="D415" s="11">
        <v>65.18</v>
      </c>
      <c r="E415" s="11">
        <v>71.22</v>
      </c>
      <c r="F415" s="11">
        <v>65.18</v>
      </c>
      <c r="G415" s="11">
        <v>5.63</v>
      </c>
      <c r="H415" s="11">
        <v>2003345</v>
      </c>
      <c r="I415" s="11">
        <v>113194422.4</v>
      </c>
      <c r="J415" s="11">
        <v>264293693</v>
      </c>
      <c r="K415" s="11">
        <v>12490113069.74</v>
      </c>
      <c r="L415" s="6">
        <f t="shared" si="13"/>
        <v>56.5027104168279</v>
      </c>
    </row>
    <row r="416" spans="1:12">
      <c r="A416">
        <f t="shared" si="12"/>
        <v>2023</v>
      </c>
      <c r="B416" s="10">
        <v>45174</v>
      </c>
      <c r="C416" s="11">
        <v>66.21</v>
      </c>
      <c r="D416" s="11">
        <v>66.36</v>
      </c>
      <c r="E416" s="11">
        <v>70.53</v>
      </c>
      <c r="F416" s="11">
        <v>65.44</v>
      </c>
      <c r="G416" s="11">
        <v>-3.22</v>
      </c>
      <c r="H416" s="11">
        <v>1522973</v>
      </c>
      <c r="I416" s="11">
        <v>104557418.5</v>
      </c>
      <c r="J416" s="11">
        <v>262290348</v>
      </c>
      <c r="K416" s="11">
        <v>12376918647.34</v>
      </c>
      <c r="L416" s="6">
        <f t="shared" si="13"/>
        <v>68.6534945136913</v>
      </c>
    </row>
    <row r="417" spans="1:12">
      <c r="A417">
        <f t="shared" si="12"/>
        <v>2023</v>
      </c>
      <c r="B417" s="10">
        <v>45173</v>
      </c>
      <c r="C417" s="11">
        <v>68.41</v>
      </c>
      <c r="D417" s="11">
        <v>67.7</v>
      </c>
      <c r="E417" s="11">
        <v>72.17</v>
      </c>
      <c r="F417" s="11">
        <v>63.83</v>
      </c>
      <c r="G417" s="11">
        <v>-0.03</v>
      </c>
      <c r="H417" s="11">
        <v>6282618</v>
      </c>
      <c r="I417" s="11">
        <v>344257964</v>
      </c>
      <c r="J417" s="11">
        <v>260767375</v>
      </c>
      <c r="K417" s="11">
        <v>12272361228.84</v>
      </c>
      <c r="L417" s="6">
        <f t="shared" si="13"/>
        <v>54.7953041232174</v>
      </c>
    </row>
    <row r="418" spans="1:12">
      <c r="A418">
        <f t="shared" si="12"/>
        <v>2023</v>
      </c>
      <c r="B418" s="10">
        <v>45170</v>
      </c>
      <c r="C418" s="11">
        <v>68.43</v>
      </c>
      <c r="D418" s="11">
        <v>68.14</v>
      </c>
      <c r="E418" s="11">
        <v>69.67</v>
      </c>
      <c r="F418" s="11">
        <v>66.87</v>
      </c>
      <c r="G418" s="11">
        <v>-0.52</v>
      </c>
      <c r="H418" s="11">
        <v>392681</v>
      </c>
      <c r="I418" s="11">
        <v>25124655.56</v>
      </c>
      <c r="J418" s="11">
        <v>254484757</v>
      </c>
      <c r="K418" s="11">
        <v>11928103264.84</v>
      </c>
      <c r="L418" s="6">
        <f t="shared" si="13"/>
        <v>63.982356060008</v>
      </c>
    </row>
    <row r="419" spans="1:12">
      <c r="A419">
        <f t="shared" si="12"/>
        <v>2023</v>
      </c>
      <c r="B419" s="10">
        <v>45169</v>
      </c>
      <c r="C419" s="11">
        <v>68.79</v>
      </c>
      <c r="D419" s="11">
        <v>68.38</v>
      </c>
      <c r="E419" s="11">
        <v>69.03</v>
      </c>
      <c r="F419" s="11">
        <v>67.57</v>
      </c>
      <c r="G419" s="11">
        <v>-0.36</v>
      </c>
      <c r="H419" s="11">
        <v>717676</v>
      </c>
      <c r="I419" s="11">
        <v>47646582.55</v>
      </c>
      <c r="J419" s="11">
        <v>254092076</v>
      </c>
      <c r="K419" s="11">
        <v>11902978609.28</v>
      </c>
      <c r="L419" s="6">
        <f t="shared" si="13"/>
        <v>66.3901015918047</v>
      </c>
    </row>
    <row r="420" spans="1:12">
      <c r="A420">
        <f t="shared" si="12"/>
        <v>2023</v>
      </c>
      <c r="B420" s="10">
        <v>45168</v>
      </c>
      <c r="C420" s="11">
        <v>69.04</v>
      </c>
      <c r="D420" s="11">
        <v>69.58</v>
      </c>
      <c r="E420" s="11">
        <v>69.58</v>
      </c>
      <c r="F420" s="11">
        <v>69.62</v>
      </c>
      <c r="G420" s="11">
        <v>-0.2</v>
      </c>
      <c r="H420" s="11">
        <v>3509128</v>
      </c>
      <c r="I420" s="11">
        <v>225588278.1</v>
      </c>
      <c r="J420" s="11">
        <v>253374400</v>
      </c>
      <c r="K420" s="11">
        <v>11855332026.73</v>
      </c>
      <c r="L420" s="6">
        <f t="shared" si="13"/>
        <v>64.2861355014693</v>
      </c>
    </row>
    <row r="421" spans="1:12">
      <c r="A421">
        <f t="shared" si="12"/>
        <v>2023</v>
      </c>
      <c r="B421" s="10">
        <v>45167</v>
      </c>
      <c r="C421" s="11">
        <v>69.18</v>
      </c>
      <c r="D421" s="11">
        <v>71.71</v>
      </c>
      <c r="E421" s="11">
        <v>71.71</v>
      </c>
      <c r="F421" s="11">
        <v>67.67</v>
      </c>
      <c r="G421" s="11">
        <v>-5.92</v>
      </c>
      <c r="H421" s="11">
        <v>1292751</v>
      </c>
      <c r="I421" s="11">
        <v>77979089.96</v>
      </c>
      <c r="J421" s="11">
        <v>249865272</v>
      </c>
      <c r="K421" s="11">
        <v>11629743748.63</v>
      </c>
      <c r="L421" s="6">
        <f t="shared" si="13"/>
        <v>60.3202704619838</v>
      </c>
    </row>
    <row r="422" spans="1:12">
      <c r="A422">
        <f t="shared" si="12"/>
        <v>2023</v>
      </c>
      <c r="B422" s="10">
        <v>45166</v>
      </c>
      <c r="C422" s="11">
        <v>73.53</v>
      </c>
      <c r="D422" s="11">
        <v>73.38</v>
      </c>
      <c r="E422" s="11">
        <v>73.71</v>
      </c>
      <c r="F422" s="11">
        <v>73.37</v>
      </c>
      <c r="G422" s="11">
        <v>0.64</v>
      </c>
      <c r="H422" s="11">
        <v>548848</v>
      </c>
      <c r="I422" s="11">
        <v>30471332.1</v>
      </c>
      <c r="J422" s="11">
        <v>248572521</v>
      </c>
      <c r="K422" s="11">
        <v>11551764658.67</v>
      </c>
      <c r="L422" s="6">
        <f t="shared" si="13"/>
        <v>55.5187084584439</v>
      </c>
    </row>
    <row r="423" spans="1:12">
      <c r="A423">
        <f t="shared" si="12"/>
        <v>2023</v>
      </c>
      <c r="B423" s="10">
        <v>45163</v>
      </c>
      <c r="C423" s="11">
        <v>73.06</v>
      </c>
      <c r="D423" s="11">
        <v>66.02</v>
      </c>
      <c r="E423" s="11">
        <v>75</v>
      </c>
      <c r="F423" s="11">
        <v>66.02</v>
      </c>
      <c r="G423" s="11">
        <v>1.05</v>
      </c>
      <c r="H423" s="11">
        <v>1224447</v>
      </c>
      <c r="I423" s="11">
        <v>75741720.84</v>
      </c>
      <c r="J423" s="11">
        <v>248023673</v>
      </c>
      <c r="K423" s="11">
        <v>11521293326.57</v>
      </c>
      <c r="L423" s="6">
        <f t="shared" si="13"/>
        <v>61.8579006196267</v>
      </c>
    </row>
    <row r="424" spans="1:12">
      <c r="A424">
        <f t="shared" si="12"/>
        <v>2023</v>
      </c>
      <c r="B424" s="10">
        <v>45162</v>
      </c>
      <c r="C424" s="11">
        <v>72.3</v>
      </c>
      <c r="D424" s="11">
        <v>67.9</v>
      </c>
      <c r="E424" s="11">
        <v>75</v>
      </c>
      <c r="F424" s="11">
        <v>67.9</v>
      </c>
      <c r="G424" s="11">
        <v>-3.29</v>
      </c>
      <c r="H424" s="11">
        <v>414021</v>
      </c>
      <c r="I424" s="11">
        <v>28131245.95</v>
      </c>
      <c r="J424" s="11">
        <v>246799226</v>
      </c>
      <c r="K424" s="11">
        <v>11445551605.73</v>
      </c>
      <c r="L424" s="6">
        <f t="shared" si="13"/>
        <v>67.9464228867618</v>
      </c>
    </row>
    <row r="425" spans="1:12">
      <c r="A425">
        <f t="shared" si="12"/>
        <v>2023</v>
      </c>
      <c r="B425" s="10">
        <v>45161</v>
      </c>
      <c r="C425" s="11">
        <v>74.76</v>
      </c>
      <c r="D425" s="11">
        <v>75</v>
      </c>
      <c r="E425" s="11">
        <v>75</v>
      </c>
      <c r="F425" s="11">
        <v>74</v>
      </c>
      <c r="G425" s="11">
        <v>2.79</v>
      </c>
      <c r="H425" s="11">
        <v>869808</v>
      </c>
      <c r="I425" s="11">
        <v>55407255.47</v>
      </c>
      <c r="J425" s="11">
        <v>246385205</v>
      </c>
      <c r="K425" s="11">
        <v>11417420359.78</v>
      </c>
      <c r="L425" s="6">
        <f t="shared" si="13"/>
        <v>63.7005585945404</v>
      </c>
    </row>
    <row r="426" spans="1:12">
      <c r="A426">
        <f t="shared" si="12"/>
        <v>2023</v>
      </c>
      <c r="B426" s="10">
        <v>45160</v>
      </c>
      <c r="C426" s="11">
        <v>72.73</v>
      </c>
      <c r="D426" s="11">
        <v>67.2</v>
      </c>
      <c r="E426" s="11">
        <v>74</v>
      </c>
      <c r="F426" s="11">
        <v>67.2</v>
      </c>
      <c r="G426" s="11">
        <v>7.75</v>
      </c>
      <c r="H426" s="11">
        <v>415328</v>
      </c>
      <c r="I426" s="11">
        <v>21796741.6</v>
      </c>
      <c r="J426" s="11">
        <v>245515397</v>
      </c>
      <c r="K426" s="11">
        <v>11362013104.31</v>
      </c>
      <c r="L426" s="6">
        <f t="shared" si="13"/>
        <v>52.4807901225056</v>
      </c>
    </row>
    <row r="427" spans="1:12">
      <c r="A427">
        <f t="shared" si="12"/>
        <v>2023</v>
      </c>
      <c r="B427" s="10">
        <v>45159</v>
      </c>
      <c r="C427" s="11">
        <v>67.5</v>
      </c>
      <c r="D427" s="11">
        <v>67.5</v>
      </c>
      <c r="E427" s="11">
        <v>67.5</v>
      </c>
      <c r="F427" s="11">
        <v>67.5</v>
      </c>
      <c r="G427" s="11">
        <v>-7.34</v>
      </c>
      <c r="H427" s="11">
        <v>10123</v>
      </c>
      <c r="I427" s="11">
        <v>683302.5</v>
      </c>
      <c r="J427" s="11">
        <v>245100069</v>
      </c>
      <c r="K427" s="11">
        <v>11340216362.71</v>
      </c>
      <c r="L427" s="6">
        <f t="shared" si="13"/>
        <v>67.5</v>
      </c>
    </row>
    <row r="428" spans="1:12">
      <c r="A428">
        <f t="shared" si="12"/>
        <v>2023</v>
      </c>
      <c r="B428" s="10">
        <v>45156</v>
      </c>
      <c r="C428" s="11">
        <v>72.85</v>
      </c>
      <c r="D428" s="11">
        <v>72</v>
      </c>
      <c r="E428" s="11">
        <v>73</v>
      </c>
      <c r="F428" s="11">
        <v>72</v>
      </c>
      <c r="G428" s="11">
        <v>3.92</v>
      </c>
      <c r="H428" s="11">
        <v>1484798</v>
      </c>
      <c r="I428" s="11">
        <v>87277554</v>
      </c>
      <c r="J428" s="11">
        <v>245089946</v>
      </c>
      <c r="K428" s="11">
        <v>11339533060.21</v>
      </c>
      <c r="L428" s="6">
        <f t="shared" si="13"/>
        <v>58.7807594029626</v>
      </c>
    </row>
    <row r="429" spans="1:12">
      <c r="A429">
        <f t="shared" si="12"/>
        <v>2023</v>
      </c>
      <c r="B429" s="10">
        <v>45155</v>
      </c>
      <c r="C429" s="11">
        <v>70.1</v>
      </c>
      <c r="D429" s="11">
        <v>70.1</v>
      </c>
      <c r="E429" s="11">
        <v>72</v>
      </c>
      <c r="F429" s="11">
        <v>70.1</v>
      </c>
      <c r="G429" s="11">
        <v>0.14</v>
      </c>
      <c r="H429" s="11">
        <v>1053902</v>
      </c>
      <c r="I429" s="11">
        <v>58702992.2</v>
      </c>
      <c r="J429" s="11">
        <v>243605148</v>
      </c>
      <c r="K429" s="11">
        <v>11252255506.21</v>
      </c>
      <c r="L429" s="6">
        <f t="shared" si="13"/>
        <v>55.7006175147215</v>
      </c>
    </row>
    <row r="430" spans="1:12">
      <c r="A430">
        <f t="shared" si="12"/>
        <v>2023</v>
      </c>
      <c r="B430" s="10">
        <v>45154</v>
      </c>
      <c r="C430" s="11">
        <v>70</v>
      </c>
      <c r="D430" s="11">
        <v>70</v>
      </c>
      <c r="E430" s="11">
        <v>70</v>
      </c>
      <c r="F430" s="11">
        <v>70</v>
      </c>
      <c r="G430" s="11">
        <v>-0.1</v>
      </c>
      <c r="H430" s="11">
        <v>6147</v>
      </c>
      <c r="I430" s="11">
        <v>430290</v>
      </c>
      <c r="J430" s="11">
        <v>242551246</v>
      </c>
      <c r="K430" s="11">
        <v>11193552514.01</v>
      </c>
      <c r="L430" s="6">
        <f t="shared" si="13"/>
        <v>70</v>
      </c>
    </row>
    <row r="431" spans="1:12">
      <c r="A431">
        <f t="shared" si="12"/>
        <v>2023</v>
      </c>
      <c r="B431" s="10">
        <v>45153</v>
      </c>
      <c r="C431" s="11">
        <v>70.07</v>
      </c>
      <c r="D431" s="11">
        <v>72</v>
      </c>
      <c r="E431" s="11">
        <v>72</v>
      </c>
      <c r="F431" s="11">
        <v>69.8</v>
      </c>
      <c r="G431" s="11">
        <v>2.55</v>
      </c>
      <c r="H431" s="11">
        <v>18609</v>
      </c>
      <c r="I431" s="11">
        <v>1303865</v>
      </c>
      <c r="J431" s="11">
        <v>242545099</v>
      </c>
      <c r="K431" s="11">
        <v>11193122224.01</v>
      </c>
      <c r="L431" s="6">
        <f t="shared" si="13"/>
        <v>70.066365737009</v>
      </c>
    </row>
    <row r="432" spans="1:12">
      <c r="A432">
        <f t="shared" si="12"/>
        <v>2023</v>
      </c>
      <c r="B432" s="10">
        <v>45152</v>
      </c>
      <c r="C432" s="11">
        <v>68.33</v>
      </c>
      <c r="D432" s="11">
        <v>67.1</v>
      </c>
      <c r="E432" s="11">
        <v>71</v>
      </c>
      <c r="F432" s="11">
        <v>67.1</v>
      </c>
      <c r="G432" s="11">
        <v>-2.25</v>
      </c>
      <c r="H432" s="11">
        <v>482112</v>
      </c>
      <c r="I432" s="11">
        <v>26410732</v>
      </c>
      <c r="J432" s="11">
        <v>242526490</v>
      </c>
      <c r="K432" s="11">
        <v>11191818359.01</v>
      </c>
      <c r="L432" s="6">
        <f t="shared" si="13"/>
        <v>54.781320523032</v>
      </c>
    </row>
    <row r="433" spans="1:12">
      <c r="A433">
        <f t="shared" si="12"/>
        <v>2023</v>
      </c>
      <c r="B433" s="10">
        <v>45149</v>
      </c>
      <c r="C433" s="11">
        <v>69.9</v>
      </c>
      <c r="D433" s="11">
        <v>70</v>
      </c>
      <c r="E433" s="11">
        <v>70</v>
      </c>
      <c r="F433" s="11">
        <v>69.5</v>
      </c>
      <c r="G433" s="11">
        <v>0.55</v>
      </c>
      <c r="H433" s="11">
        <v>119034</v>
      </c>
      <c r="I433" s="11">
        <v>8001432.5</v>
      </c>
      <c r="J433" s="11">
        <v>242044378</v>
      </c>
      <c r="K433" s="11">
        <v>11165407627.01</v>
      </c>
      <c r="L433" s="6">
        <f t="shared" si="13"/>
        <v>67.2197229363039</v>
      </c>
    </row>
    <row r="434" spans="1:12">
      <c r="A434">
        <f t="shared" si="12"/>
        <v>2023</v>
      </c>
      <c r="B434" s="10">
        <v>45148</v>
      </c>
      <c r="C434" s="11">
        <v>69.52</v>
      </c>
      <c r="D434" s="11">
        <v>68.9</v>
      </c>
      <c r="E434" s="11">
        <v>70</v>
      </c>
      <c r="F434" s="11">
        <v>68.9</v>
      </c>
      <c r="G434" s="11">
        <v>2.34</v>
      </c>
      <c r="H434" s="11">
        <v>172200</v>
      </c>
      <c r="I434" s="11">
        <v>11593280</v>
      </c>
      <c r="J434" s="11">
        <v>241925344</v>
      </c>
      <c r="K434" s="11">
        <v>11157406194.51</v>
      </c>
      <c r="L434" s="6">
        <f t="shared" si="13"/>
        <v>67.324506387921</v>
      </c>
    </row>
    <row r="435" spans="1:12">
      <c r="A435">
        <f t="shared" si="12"/>
        <v>2023</v>
      </c>
      <c r="B435" s="10">
        <v>45147</v>
      </c>
      <c r="C435" s="11">
        <v>67.93</v>
      </c>
      <c r="D435" s="11">
        <v>67.8</v>
      </c>
      <c r="E435" s="11">
        <v>69</v>
      </c>
      <c r="F435" s="11">
        <v>67.8</v>
      </c>
      <c r="G435" s="11">
        <v>1.39</v>
      </c>
      <c r="H435" s="11">
        <v>308160</v>
      </c>
      <c r="I435" s="11">
        <v>20710040</v>
      </c>
      <c r="J435" s="11">
        <v>241753144</v>
      </c>
      <c r="K435" s="11">
        <v>11145812914.51</v>
      </c>
      <c r="L435" s="6">
        <f t="shared" si="13"/>
        <v>67.2054776739356</v>
      </c>
    </row>
    <row r="436" spans="1:12">
      <c r="A436">
        <f t="shared" si="12"/>
        <v>2023</v>
      </c>
      <c r="B436" s="10">
        <v>45146</v>
      </c>
      <c r="C436" s="11">
        <v>67</v>
      </c>
      <c r="D436" s="11">
        <v>67</v>
      </c>
      <c r="E436" s="11">
        <v>67</v>
      </c>
      <c r="F436" s="11">
        <v>67</v>
      </c>
      <c r="G436" s="11">
        <v>1.52</v>
      </c>
      <c r="H436" s="11">
        <v>17000</v>
      </c>
      <c r="I436" s="11">
        <v>1139000</v>
      </c>
      <c r="J436" s="11">
        <v>241444984</v>
      </c>
      <c r="K436" s="11">
        <v>11125102874.51</v>
      </c>
      <c r="L436" s="6">
        <f t="shared" si="13"/>
        <v>67</v>
      </c>
    </row>
    <row r="437" spans="1:12">
      <c r="A437">
        <f t="shared" si="12"/>
        <v>2023</v>
      </c>
      <c r="B437" s="10">
        <v>45145</v>
      </c>
      <c r="C437" s="11">
        <v>66</v>
      </c>
      <c r="D437" s="11">
        <v>66</v>
      </c>
      <c r="E437" s="11">
        <v>66</v>
      </c>
      <c r="F437" s="11">
        <v>66</v>
      </c>
      <c r="G437" s="11">
        <v>0</v>
      </c>
      <c r="H437" s="11">
        <v>220140</v>
      </c>
      <c r="I437" s="11">
        <v>14081240</v>
      </c>
      <c r="J437" s="11">
        <v>241427984</v>
      </c>
      <c r="K437" s="11">
        <v>11123963874.51</v>
      </c>
      <c r="L437" s="6">
        <f t="shared" si="13"/>
        <v>63.9649314072863</v>
      </c>
    </row>
    <row r="438" spans="1:12">
      <c r="A438">
        <f t="shared" si="12"/>
        <v>2023</v>
      </c>
      <c r="B438" s="10">
        <v>45142</v>
      </c>
      <c r="C438" s="11">
        <v>66</v>
      </c>
      <c r="D438" s="11">
        <v>66</v>
      </c>
      <c r="E438" s="11">
        <v>66</v>
      </c>
      <c r="F438" s="11">
        <v>66</v>
      </c>
      <c r="G438" s="11">
        <v>2.69</v>
      </c>
      <c r="H438" s="11">
        <v>10000</v>
      </c>
      <c r="I438" s="11">
        <v>660000</v>
      </c>
      <c r="J438" s="11">
        <v>241207844</v>
      </c>
      <c r="K438" s="11">
        <v>11109882634.51</v>
      </c>
      <c r="L438" s="6">
        <f t="shared" si="13"/>
        <v>66</v>
      </c>
    </row>
    <row r="439" spans="1:12">
      <c r="A439">
        <f t="shared" si="12"/>
        <v>2023</v>
      </c>
      <c r="B439" s="10">
        <v>45141</v>
      </c>
      <c r="C439" s="11">
        <v>64.27</v>
      </c>
      <c r="D439" s="11">
        <v>65</v>
      </c>
      <c r="E439" s="11">
        <v>65</v>
      </c>
      <c r="F439" s="11">
        <v>64</v>
      </c>
      <c r="G439" s="11">
        <v>-1.08</v>
      </c>
      <c r="H439" s="11">
        <v>326539</v>
      </c>
      <c r="I439" s="11">
        <v>20816974</v>
      </c>
      <c r="J439" s="11">
        <v>241197844</v>
      </c>
      <c r="K439" s="11">
        <v>11109222634.51</v>
      </c>
      <c r="L439" s="6">
        <f t="shared" si="13"/>
        <v>63.7503452880054</v>
      </c>
    </row>
    <row r="440" spans="1:12">
      <c r="A440">
        <f t="shared" si="12"/>
        <v>2023</v>
      </c>
      <c r="B440" s="10">
        <v>45140</v>
      </c>
      <c r="C440" s="11">
        <v>64.97</v>
      </c>
      <c r="D440" s="11">
        <v>65</v>
      </c>
      <c r="E440" s="11">
        <v>65</v>
      </c>
      <c r="F440" s="11">
        <v>64</v>
      </c>
      <c r="G440" s="11">
        <v>-0.03</v>
      </c>
      <c r="H440" s="11">
        <v>32380</v>
      </c>
      <c r="I440" s="11">
        <v>2103800</v>
      </c>
      <c r="J440" s="11">
        <v>240871305</v>
      </c>
      <c r="K440" s="11">
        <v>11088405660.51</v>
      </c>
      <c r="L440" s="6">
        <f t="shared" si="13"/>
        <v>64.9722050648548</v>
      </c>
    </row>
    <row r="441" spans="1:12">
      <c r="A441">
        <f t="shared" si="12"/>
        <v>2023</v>
      </c>
      <c r="B441" s="10">
        <v>45139</v>
      </c>
      <c r="C441" s="11">
        <v>64.99</v>
      </c>
      <c r="D441" s="11">
        <v>65</v>
      </c>
      <c r="E441" s="11">
        <v>65</v>
      </c>
      <c r="F441" s="11">
        <v>62.6</v>
      </c>
      <c r="G441" s="11">
        <v>0.39</v>
      </c>
      <c r="H441" s="11">
        <v>144560</v>
      </c>
      <c r="I441" s="11">
        <v>9078781</v>
      </c>
      <c r="J441" s="11">
        <v>240838925</v>
      </c>
      <c r="K441" s="11">
        <v>11086301860.51</v>
      </c>
      <c r="L441" s="6">
        <f t="shared" si="13"/>
        <v>62.8028569452131</v>
      </c>
    </row>
    <row r="442" spans="1:12">
      <c r="A442">
        <f t="shared" si="12"/>
        <v>2023</v>
      </c>
      <c r="B442" s="10">
        <v>45138</v>
      </c>
      <c r="C442" s="11">
        <v>64.74</v>
      </c>
      <c r="D442" s="11">
        <v>62</v>
      </c>
      <c r="E442" s="11">
        <v>65</v>
      </c>
      <c r="F442" s="11">
        <v>62</v>
      </c>
      <c r="G442" s="11">
        <v>6.04</v>
      </c>
      <c r="H442" s="11">
        <v>41000</v>
      </c>
      <c r="I442" s="11">
        <v>2654500</v>
      </c>
      <c r="J442" s="11">
        <v>240694365</v>
      </c>
      <c r="K442" s="11">
        <v>11077223079.51</v>
      </c>
      <c r="L442" s="6">
        <f t="shared" si="13"/>
        <v>64.7439024390244</v>
      </c>
    </row>
    <row r="443" spans="1:12">
      <c r="A443">
        <f t="shared" si="12"/>
        <v>2023</v>
      </c>
      <c r="B443" s="10">
        <v>45135</v>
      </c>
      <c r="C443" s="11">
        <v>61.05</v>
      </c>
      <c r="D443" s="11">
        <v>58.4</v>
      </c>
      <c r="E443" s="11">
        <v>64</v>
      </c>
      <c r="F443" s="11">
        <v>58.4</v>
      </c>
      <c r="G443" s="11">
        <v>-4.61</v>
      </c>
      <c r="H443" s="11">
        <v>3800</v>
      </c>
      <c r="I443" s="11">
        <v>232000</v>
      </c>
      <c r="J443" s="11">
        <v>240653365</v>
      </c>
      <c r="K443" s="11">
        <v>11074568579.51</v>
      </c>
      <c r="L443" s="6">
        <f t="shared" si="13"/>
        <v>61.0526315789474</v>
      </c>
    </row>
    <row r="444" spans="1:12">
      <c r="A444">
        <f t="shared" si="12"/>
        <v>2023</v>
      </c>
      <c r="B444" s="10">
        <v>45134</v>
      </c>
      <c r="C444" s="11">
        <v>64</v>
      </c>
      <c r="D444" s="11">
        <v>64</v>
      </c>
      <c r="E444" s="11">
        <v>64</v>
      </c>
      <c r="F444" s="11">
        <v>64</v>
      </c>
      <c r="G444" s="11">
        <v>4.71</v>
      </c>
      <c r="H444" s="11">
        <v>5000</v>
      </c>
      <c r="I444" s="11">
        <v>320000</v>
      </c>
      <c r="J444" s="11">
        <v>240649565</v>
      </c>
      <c r="K444" s="11">
        <v>11074336579.51</v>
      </c>
      <c r="L444" s="6">
        <f t="shared" si="13"/>
        <v>64</v>
      </c>
    </row>
    <row r="445" spans="1:12">
      <c r="A445">
        <f t="shared" si="12"/>
        <v>2023</v>
      </c>
      <c r="B445" s="10">
        <v>45133</v>
      </c>
      <c r="C445" s="11">
        <v>61.12</v>
      </c>
      <c r="D445" s="11">
        <v>58.23</v>
      </c>
      <c r="E445" s="11">
        <v>64</v>
      </c>
      <c r="F445" s="11">
        <v>58.23</v>
      </c>
      <c r="G445" s="11">
        <v>-4.5</v>
      </c>
      <c r="H445" s="11">
        <v>202000</v>
      </c>
      <c r="I445" s="11">
        <v>12822230</v>
      </c>
      <c r="J445" s="11">
        <v>240644565</v>
      </c>
      <c r="K445" s="11">
        <v>11074016579.51</v>
      </c>
      <c r="L445" s="6">
        <f t="shared" si="13"/>
        <v>63.4763861386139</v>
      </c>
    </row>
    <row r="446" spans="1:12">
      <c r="A446">
        <f t="shared" si="12"/>
        <v>2023</v>
      </c>
      <c r="B446" s="10">
        <v>45132</v>
      </c>
      <c r="C446" s="11">
        <v>64</v>
      </c>
      <c r="D446" s="11">
        <v>64</v>
      </c>
      <c r="E446" s="11">
        <v>64</v>
      </c>
      <c r="F446" s="11">
        <v>64</v>
      </c>
      <c r="G446" s="11">
        <v>0</v>
      </c>
      <c r="H446" s="11">
        <v>500</v>
      </c>
      <c r="I446" s="11">
        <v>32000</v>
      </c>
      <c r="J446" s="11">
        <v>240442565</v>
      </c>
      <c r="K446" s="11">
        <v>11061194349.51</v>
      </c>
      <c r="L446" s="6">
        <f t="shared" si="13"/>
        <v>64</v>
      </c>
    </row>
    <row r="447" spans="1:12">
      <c r="A447">
        <f t="shared" si="12"/>
        <v>2023</v>
      </c>
      <c r="B447" s="10">
        <v>45131</v>
      </c>
      <c r="C447" s="11">
        <v>64</v>
      </c>
      <c r="D447" s="11">
        <v>64</v>
      </c>
      <c r="E447" s="11">
        <v>64</v>
      </c>
      <c r="F447" s="11">
        <v>64</v>
      </c>
      <c r="G447" s="11">
        <v>0.9</v>
      </c>
      <c r="H447" s="11">
        <v>100500</v>
      </c>
      <c r="I447" s="11">
        <v>5632000</v>
      </c>
      <c r="J447" s="11">
        <v>240442065</v>
      </c>
      <c r="K447" s="11">
        <v>11061162349.51</v>
      </c>
      <c r="L447" s="6">
        <f t="shared" si="13"/>
        <v>56.0398009950249</v>
      </c>
    </row>
    <row r="448" spans="1:12">
      <c r="A448">
        <f t="shared" si="12"/>
        <v>2023</v>
      </c>
      <c r="B448" s="10">
        <v>45128</v>
      </c>
      <c r="C448" s="11">
        <v>63.43</v>
      </c>
      <c r="D448" s="11">
        <v>64</v>
      </c>
      <c r="E448" s="11">
        <v>64</v>
      </c>
      <c r="F448" s="11">
        <v>61</v>
      </c>
      <c r="G448" s="11">
        <v>3.98</v>
      </c>
      <c r="H448" s="11">
        <v>321216</v>
      </c>
      <c r="I448" s="11">
        <v>18620018</v>
      </c>
      <c r="J448" s="11">
        <v>240341565</v>
      </c>
      <c r="K448" s="11">
        <v>11055530349.51</v>
      </c>
      <c r="L448" s="6">
        <f t="shared" si="13"/>
        <v>57.9672805837816</v>
      </c>
    </row>
    <row r="449" spans="1:12">
      <c r="A449">
        <f t="shared" si="12"/>
        <v>2023</v>
      </c>
      <c r="B449" s="10">
        <v>45127</v>
      </c>
      <c r="C449" s="11">
        <v>61</v>
      </c>
      <c r="D449" s="11">
        <v>61</v>
      </c>
      <c r="E449" s="11">
        <v>61</v>
      </c>
      <c r="F449" s="11">
        <v>61</v>
      </c>
      <c r="G449" s="11">
        <v>0</v>
      </c>
      <c r="H449" s="11">
        <v>500</v>
      </c>
      <c r="I449" s="11">
        <v>30500</v>
      </c>
      <c r="J449" s="11">
        <v>240020349</v>
      </c>
      <c r="K449" s="11">
        <v>11036910331.51</v>
      </c>
      <c r="L449" s="6">
        <f t="shared" si="13"/>
        <v>61</v>
      </c>
    </row>
    <row r="450" spans="1:12">
      <c r="A450">
        <f t="shared" si="12"/>
        <v>2023</v>
      </c>
      <c r="B450" s="10">
        <v>45126</v>
      </c>
      <c r="C450" s="11">
        <v>61</v>
      </c>
      <c r="D450" s="11">
        <v>61</v>
      </c>
      <c r="E450" s="11">
        <v>61</v>
      </c>
      <c r="F450" s="11">
        <v>61</v>
      </c>
      <c r="G450" s="11">
        <v>-0.03</v>
      </c>
      <c r="H450" s="11">
        <v>500</v>
      </c>
      <c r="I450" s="11">
        <v>30500</v>
      </c>
      <c r="J450" s="11">
        <v>240019849</v>
      </c>
      <c r="K450" s="11">
        <v>11036879831.51</v>
      </c>
      <c r="L450" s="6">
        <f t="shared" si="13"/>
        <v>61</v>
      </c>
    </row>
    <row r="451" spans="1:12">
      <c r="A451">
        <f t="shared" si="12"/>
        <v>2023</v>
      </c>
      <c r="B451" s="10">
        <v>45125</v>
      </c>
      <c r="C451" s="11">
        <v>61.02</v>
      </c>
      <c r="D451" s="11">
        <v>65</v>
      </c>
      <c r="E451" s="11">
        <v>65</v>
      </c>
      <c r="F451" s="11">
        <v>61</v>
      </c>
      <c r="G451" s="11">
        <v>1.7</v>
      </c>
      <c r="H451" s="11">
        <v>503</v>
      </c>
      <c r="I451" s="11">
        <v>30695</v>
      </c>
      <c r="J451" s="11">
        <v>240019349</v>
      </c>
      <c r="K451" s="11">
        <v>11036849331.51</v>
      </c>
      <c r="L451" s="6">
        <f t="shared" si="13"/>
        <v>61.0238568588469</v>
      </c>
    </row>
    <row r="452" spans="1:12">
      <c r="A452">
        <f t="shared" ref="A452:A515" si="14">YEAR(B452)</f>
        <v>2023</v>
      </c>
      <c r="B452" s="10">
        <v>45124</v>
      </c>
      <c r="C452" s="11">
        <v>60</v>
      </c>
      <c r="D452" s="11">
        <v>60</v>
      </c>
      <c r="E452" s="11">
        <v>60</v>
      </c>
      <c r="F452" s="11">
        <v>60</v>
      </c>
      <c r="G452" s="11">
        <v>0</v>
      </c>
      <c r="H452" s="11">
        <v>111000</v>
      </c>
      <c r="I452" s="11">
        <v>6660000</v>
      </c>
      <c r="J452" s="11">
        <v>240018846</v>
      </c>
      <c r="K452" s="11">
        <v>11036818636.51</v>
      </c>
      <c r="L452" s="6">
        <f t="shared" ref="L452:L515" si="15">I452/H452</f>
        <v>60</v>
      </c>
    </row>
    <row r="453" spans="1:12">
      <c r="A453">
        <f t="shared" si="14"/>
        <v>2023</v>
      </c>
      <c r="B453" s="10">
        <v>45121</v>
      </c>
      <c r="C453" s="11">
        <v>60</v>
      </c>
      <c r="D453" s="11">
        <v>60</v>
      </c>
      <c r="E453" s="11">
        <v>60</v>
      </c>
      <c r="F453" s="11">
        <v>60</v>
      </c>
      <c r="G453" s="11">
        <v>0</v>
      </c>
      <c r="H453" s="11">
        <v>370078</v>
      </c>
      <c r="I453" s="11">
        <v>22204680</v>
      </c>
      <c r="J453" s="11">
        <v>239907846</v>
      </c>
      <c r="K453" s="11">
        <v>11030158636.51</v>
      </c>
      <c r="L453" s="6">
        <f t="shared" si="15"/>
        <v>60</v>
      </c>
    </row>
    <row r="454" spans="1:12">
      <c r="A454">
        <f t="shared" si="14"/>
        <v>2023</v>
      </c>
      <c r="B454" s="10">
        <v>45120</v>
      </c>
      <c r="C454" s="11">
        <v>60</v>
      </c>
      <c r="D454" s="11">
        <v>60</v>
      </c>
      <c r="E454" s="11">
        <v>60</v>
      </c>
      <c r="F454" s="11">
        <v>60</v>
      </c>
      <c r="G454" s="11">
        <v>0.42</v>
      </c>
      <c r="H454" s="11">
        <v>60000</v>
      </c>
      <c r="I454" s="11">
        <v>3600000</v>
      </c>
      <c r="J454" s="11">
        <v>239537768</v>
      </c>
      <c r="K454" s="11">
        <v>11007953956.51</v>
      </c>
      <c r="L454" s="6">
        <f t="shared" si="15"/>
        <v>60</v>
      </c>
    </row>
    <row r="455" spans="1:12">
      <c r="A455">
        <f t="shared" si="14"/>
        <v>2023</v>
      </c>
      <c r="B455" s="10">
        <v>45119</v>
      </c>
      <c r="C455" s="11">
        <v>59.75</v>
      </c>
      <c r="D455" s="11">
        <v>59</v>
      </c>
      <c r="E455" s="11">
        <v>60</v>
      </c>
      <c r="F455" s="11">
        <v>59</v>
      </c>
      <c r="G455" s="11">
        <v>-0.42</v>
      </c>
      <c r="H455" s="11">
        <v>111923</v>
      </c>
      <c r="I455" s="11">
        <v>5712380</v>
      </c>
      <c r="J455" s="11">
        <v>239477768</v>
      </c>
      <c r="K455" s="11">
        <v>11004353956.51</v>
      </c>
      <c r="L455" s="6">
        <f t="shared" si="15"/>
        <v>51.0384818133896</v>
      </c>
    </row>
    <row r="456" spans="1:12">
      <c r="A456">
        <f t="shared" si="14"/>
        <v>2023</v>
      </c>
      <c r="B456" s="10">
        <v>45118</v>
      </c>
      <c r="C456" s="11">
        <v>60</v>
      </c>
      <c r="D456" s="11">
        <v>60</v>
      </c>
      <c r="E456" s="11">
        <v>60</v>
      </c>
      <c r="F456" s="11">
        <v>60</v>
      </c>
      <c r="G456" s="11">
        <v>1.69</v>
      </c>
      <c r="H456" s="11">
        <v>1020</v>
      </c>
      <c r="I456" s="11">
        <v>61200</v>
      </c>
      <c r="J456" s="11">
        <v>239365845</v>
      </c>
      <c r="K456" s="11">
        <v>10998641576.51</v>
      </c>
      <c r="L456" s="6">
        <f t="shared" si="15"/>
        <v>60</v>
      </c>
    </row>
    <row r="457" spans="1:12">
      <c r="A457">
        <f t="shared" si="14"/>
        <v>2023</v>
      </c>
      <c r="B457" s="10">
        <v>45117</v>
      </c>
      <c r="C457" s="11">
        <v>59</v>
      </c>
      <c r="D457" s="11">
        <v>59</v>
      </c>
      <c r="E457" s="11">
        <v>59</v>
      </c>
      <c r="F457" s="11">
        <v>59</v>
      </c>
      <c r="G457" s="11">
        <v>1.43</v>
      </c>
      <c r="H457" s="11">
        <v>151000</v>
      </c>
      <c r="I457" s="11">
        <v>8984000</v>
      </c>
      <c r="J457" s="11">
        <v>239364825</v>
      </c>
      <c r="K457" s="11">
        <v>10998580376.51</v>
      </c>
      <c r="L457" s="6">
        <f t="shared" si="15"/>
        <v>59.4966887417219</v>
      </c>
    </row>
    <row r="458" spans="1:12">
      <c r="A458">
        <f t="shared" si="14"/>
        <v>2023</v>
      </c>
      <c r="B458" s="10">
        <v>45114</v>
      </c>
      <c r="C458" s="11">
        <v>58.17</v>
      </c>
      <c r="D458" s="11">
        <v>57</v>
      </c>
      <c r="E458" s="11">
        <v>60</v>
      </c>
      <c r="F458" s="11">
        <v>57</v>
      </c>
      <c r="G458" s="11">
        <v>-1.41</v>
      </c>
      <c r="H458" s="11">
        <v>275201</v>
      </c>
      <c r="I458" s="11">
        <v>15330366.66</v>
      </c>
      <c r="J458" s="11">
        <v>239213825</v>
      </c>
      <c r="K458" s="11">
        <v>10989596376.51</v>
      </c>
      <c r="L458" s="6">
        <f t="shared" si="15"/>
        <v>55.7060717802624</v>
      </c>
    </row>
    <row r="459" spans="1:12">
      <c r="A459">
        <f t="shared" si="14"/>
        <v>2023</v>
      </c>
      <c r="B459" s="10">
        <v>45113</v>
      </c>
      <c r="C459" s="11">
        <v>59</v>
      </c>
      <c r="D459" s="11">
        <v>59</v>
      </c>
      <c r="E459" s="11">
        <v>60</v>
      </c>
      <c r="F459" s="11">
        <v>58</v>
      </c>
      <c r="G459" s="11">
        <v>-1.67</v>
      </c>
      <c r="H459" s="11">
        <v>401020</v>
      </c>
      <c r="I459" s="11">
        <v>23659200</v>
      </c>
      <c r="J459" s="11">
        <v>238938624</v>
      </c>
      <c r="K459" s="11">
        <v>10974266009.85</v>
      </c>
      <c r="L459" s="6">
        <f t="shared" si="15"/>
        <v>58.9975562316094</v>
      </c>
    </row>
    <row r="460" spans="1:12">
      <c r="A460">
        <f t="shared" si="14"/>
        <v>2023</v>
      </c>
      <c r="B460" s="10">
        <v>45112</v>
      </c>
      <c r="C460" s="11">
        <v>60</v>
      </c>
      <c r="D460" s="11">
        <v>60</v>
      </c>
      <c r="E460" s="11">
        <v>60</v>
      </c>
      <c r="F460" s="11">
        <v>60</v>
      </c>
      <c r="G460" s="11">
        <v>0</v>
      </c>
      <c r="H460" s="11">
        <v>651000</v>
      </c>
      <c r="I460" s="11">
        <v>27984000</v>
      </c>
      <c r="J460" s="11">
        <v>238537604</v>
      </c>
      <c r="K460" s="11">
        <v>10950606809.85</v>
      </c>
      <c r="L460" s="6">
        <f t="shared" si="15"/>
        <v>42.9861751152074</v>
      </c>
    </row>
    <row r="461" spans="1:12">
      <c r="A461">
        <f t="shared" si="14"/>
        <v>2023</v>
      </c>
      <c r="B461" s="10">
        <v>45111</v>
      </c>
      <c r="C461" s="11">
        <v>60</v>
      </c>
      <c r="D461" s="11">
        <v>60</v>
      </c>
      <c r="E461" s="11">
        <v>60</v>
      </c>
      <c r="F461" s="11">
        <v>60</v>
      </c>
      <c r="G461" s="11">
        <v>0</v>
      </c>
      <c r="H461" s="11">
        <v>201000</v>
      </c>
      <c r="I461" s="11">
        <v>10992000</v>
      </c>
      <c r="J461" s="11">
        <v>237886604</v>
      </c>
      <c r="K461" s="11">
        <v>10922622809.85</v>
      </c>
      <c r="L461" s="6">
        <f t="shared" si="15"/>
        <v>54.6865671641791</v>
      </c>
    </row>
    <row r="462" spans="1:12">
      <c r="A462">
        <f t="shared" si="14"/>
        <v>2023</v>
      </c>
      <c r="B462" s="10">
        <v>45110</v>
      </c>
      <c r="C462" s="11">
        <v>60</v>
      </c>
      <c r="D462" s="11">
        <v>60</v>
      </c>
      <c r="E462" s="11">
        <v>60</v>
      </c>
      <c r="F462" s="11">
        <v>60</v>
      </c>
      <c r="G462" s="11">
        <v>0</v>
      </c>
      <c r="H462" s="11">
        <v>500</v>
      </c>
      <c r="I462" s="11">
        <v>30000</v>
      </c>
      <c r="J462" s="11">
        <v>237685604</v>
      </c>
      <c r="K462" s="11">
        <v>10911630809.85</v>
      </c>
      <c r="L462" s="6">
        <f t="shared" si="15"/>
        <v>60</v>
      </c>
    </row>
    <row r="463" spans="1:12">
      <c r="A463">
        <f t="shared" si="14"/>
        <v>2023</v>
      </c>
      <c r="B463" s="10">
        <v>45107</v>
      </c>
      <c r="C463" s="11">
        <v>60</v>
      </c>
      <c r="D463" s="11">
        <v>60</v>
      </c>
      <c r="E463" s="11">
        <v>60</v>
      </c>
      <c r="F463" s="11">
        <v>60</v>
      </c>
      <c r="G463" s="11">
        <v>3.48</v>
      </c>
      <c r="H463" s="11">
        <v>276249</v>
      </c>
      <c r="I463" s="11">
        <v>16574940</v>
      </c>
      <c r="J463" s="11">
        <v>237685104</v>
      </c>
      <c r="K463" s="11">
        <v>10911600809.85</v>
      </c>
      <c r="L463" s="6">
        <f t="shared" si="15"/>
        <v>60</v>
      </c>
    </row>
    <row r="464" spans="1:12">
      <c r="A464">
        <f t="shared" si="14"/>
        <v>2023</v>
      </c>
      <c r="B464" s="10">
        <v>45106</v>
      </c>
      <c r="C464" s="11">
        <v>57.98</v>
      </c>
      <c r="D464" s="11">
        <v>58</v>
      </c>
      <c r="E464" s="11">
        <v>58</v>
      </c>
      <c r="F464" s="11">
        <v>57.5</v>
      </c>
      <c r="G464" s="11">
        <v>0.83</v>
      </c>
      <c r="H464" s="11">
        <v>220140</v>
      </c>
      <c r="I464" s="11">
        <v>12797620</v>
      </c>
      <c r="J464" s="11">
        <v>237408855</v>
      </c>
      <c r="K464" s="11">
        <v>10895025869.85</v>
      </c>
      <c r="L464" s="6">
        <f t="shared" si="15"/>
        <v>58.1340056327791</v>
      </c>
    </row>
    <row r="465" spans="1:12">
      <c r="A465">
        <f t="shared" si="14"/>
        <v>2023</v>
      </c>
      <c r="B465" s="10">
        <v>45105</v>
      </c>
      <c r="C465" s="11">
        <v>57.5</v>
      </c>
      <c r="D465" s="11">
        <v>57.5</v>
      </c>
      <c r="E465" s="11">
        <v>57.5</v>
      </c>
      <c r="F465" s="11">
        <v>57.5</v>
      </c>
      <c r="G465" s="11">
        <v>0.17</v>
      </c>
      <c r="H465" s="11">
        <v>1000</v>
      </c>
      <c r="I465" s="11">
        <v>57500</v>
      </c>
      <c r="J465" s="11">
        <v>237188715</v>
      </c>
      <c r="K465" s="11">
        <v>10882228249.85</v>
      </c>
      <c r="L465" s="6">
        <f t="shared" si="15"/>
        <v>57.5</v>
      </c>
    </row>
    <row r="466" spans="1:12">
      <c r="A466">
        <f t="shared" si="14"/>
        <v>2023</v>
      </c>
      <c r="B466" s="10">
        <v>45104</v>
      </c>
      <c r="C466" s="11">
        <v>57.4</v>
      </c>
      <c r="D466" s="11">
        <v>57.4</v>
      </c>
      <c r="E466" s="11">
        <v>57.4</v>
      </c>
      <c r="F466" s="11">
        <v>57.4</v>
      </c>
      <c r="G466" s="11">
        <v>0</v>
      </c>
      <c r="H466" s="11">
        <v>1001</v>
      </c>
      <c r="I466" s="11">
        <v>57457.5</v>
      </c>
      <c r="J466" s="11">
        <v>237187715</v>
      </c>
      <c r="K466" s="11">
        <v>10882170749.85</v>
      </c>
      <c r="L466" s="6">
        <f t="shared" si="15"/>
        <v>57.4000999000999</v>
      </c>
    </row>
    <row r="467" spans="1:12">
      <c r="A467">
        <f t="shared" si="14"/>
        <v>2023</v>
      </c>
      <c r="B467" s="10">
        <v>45103</v>
      </c>
      <c r="C467" s="11">
        <v>57.4</v>
      </c>
      <c r="D467" s="11">
        <v>57.4</v>
      </c>
      <c r="E467" s="11">
        <v>57.4</v>
      </c>
      <c r="F467" s="11">
        <v>57.4</v>
      </c>
      <c r="G467" s="11">
        <v>0.7</v>
      </c>
      <c r="H467" s="11">
        <v>1000</v>
      </c>
      <c r="I467" s="11">
        <v>57400</v>
      </c>
      <c r="J467" s="11">
        <v>237186714</v>
      </c>
      <c r="K467" s="11">
        <v>10882113292.35</v>
      </c>
      <c r="L467" s="6">
        <f t="shared" si="15"/>
        <v>57.4</v>
      </c>
    </row>
    <row r="468" spans="1:12">
      <c r="A468">
        <f t="shared" si="14"/>
        <v>2023</v>
      </c>
      <c r="B468" s="10">
        <v>45098</v>
      </c>
      <c r="C468" s="11">
        <v>57</v>
      </c>
      <c r="D468" s="11">
        <v>57</v>
      </c>
      <c r="E468" s="11">
        <v>59</v>
      </c>
      <c r="F468" s="11">
        <v>57</v>
      </c>
      <c r="G468" s="11">
        <v>-0.92</v>
      </c>
      <c r="H468" s="11">
        <v>401001</v>
      </c>
      <c r="I468" s="11">
        <v>17241059</v>
      </c>
      <c r="J468" s="11">
        <v>237185714</v>
      </c>
      <c r="K468" s="11">
        <v>10882055892.35</v>
      </c>
      <c r="L468" s="6">
        <f t="shared" si="15"/>
        <v>42.9950523814155</v>
      </c>
    </row>
    <row r="469" spans="1:12">
      <c r="A469">
        <f t="shared" si="14"/>
        <v>2023</v>
      </c>
      <c r="B469" s="10">
        <v>45097</v>
      </c>
      <c r="C469" s="11">
        <v>57.53</v>
      </c>
      <c r="D469" s="11">
        <v>57.5</v>
      </c>
      <c r="E469" s="11">
        <v>57.8</v>
      </c>
      <c r="F469" s="11">
        <v>57.5</v>
      </c>
      <c r="G469" s="11">
        <v>-0.47</v>
      </c>
      <c r="H469" s="11">
        <v>401000</v>
      </c>
      <c r="I469" s="11">
        <v>23070100</v>
      </c>
      <c r="J469" s="11">
        <v>236784713</v>
      </c>
      <c r="K469" s="11">
        <v>10864814833.35</v>
      </c>
      <c r="L469" s="6">
        <f t="shared" si="15"/>
        <v>57.531421446384</v>
      </c>
    </row>
    <row r="470" spans="1:12">
      <c r="A470">
        <f t="shared" si="14"/>
        <v>2023</v>
      </c>
      <c r="B470" s="10">
        <v>45096</v>
      </c>
      <c r="C470" s="11">
        <v>57.8</v>
      </c>
      <c r="D470" s="11">
        <v>57.8</v>
      </c>
      <c r="E470" s="11">
        <v>57.8</v>
      </c>
      <c r="F470" s="11">
        <v>57.8</v>
      </c>
      <c r="G470" s="11">
        <v>0</v>
      </c>
      <c r="H470" s="11">
        <v>323300</v>
      </c>
      <c r="I470" s="11">
        <v>18686740</v>
      </c>
      <c r="J470" s="11">
        <v>236383713</v>
      </c>
      <c r="K470" s="11">
        <v>10841744733.35</v>
      </c>
      <c r="L470" s="6">
        <f t="shared" si="15"/>
        <v>57.8</v>
      </c>
    </row>
    <row r="471" spans="1:12">
      <c r="A471">
        <f t="shared" si="14"/>
        <v>2023</v>
      </c>
      <c r="B471" s="10">
        <v>45093</v>
      </c>
      <c r="C471" s="11">
        <v>57.8</v>
      </c>
      <c r="D471" s="11">
        <v>57.8</v>
      </c>
      <c r="E471" s="11">
        <v>57.8</v>
      </c>
      <c r="F471" s="11">
        <v>57.8</v>
      </c>
      <c r="G471" s="11">
        <v>1.4</v>
      </c>
      <c r="H471" s="11">
        <v>177700</v>
      </c>
      <c r="I471" s="11">
        <v>10271060</v>
      </c>
      <c r="J471" s="11">
        <v>236060413</v>
      </c>
      <c r="K471" s="11">
        <v>10823057993.35</v>
      </c>
      <c r="L471" s="6">
        <f t="shared" si="15"/>
        <v>57.8</v>
      </c>
    </row>
    <row r="472" spans="1:12">
      <c r="A472">
        <f t="shared" si="14"/>
        <v>2023</v>
      </c>
      <c r="B472" s="10">
        <v>45092</v>
      </c>
      <c r="C472" s="11">
        <v>57</v>
      </c>
      <c r="D472" s="11">
        <v>57</v>
      </c>
      <c r="E472" s="11">
        <v>57</v>
      </c>
      <c r="F472" s="11">
        <v>57</v>
      </c>
      <c r="G472" s="11">
        <v>0</v>
      </c>
      <c r="H472" s="11">
        <v>1000</v>
      </c>
      <c r="I472" s="11">
        <v>57000</v>
      </c>
      <c r="J472" s="11">
        <v>235882713</v>
      </c>
      <c r="K472" s="11">
        <v>10812786933.35</v>
      </c>
      <c r="L472" s="6">
        <f t="shared" si="15"/>
        <v>57</v>
      </c>
    </row>
    <row r="473" spans="1:12">
      <c r="A473">
        <f t="shared" si="14"/>
        <v>2023</v>
      </c>
      <c r="B473" s="10">
        <v>45091</v>
      </c>
      <c r="C473" s="11">
        <v>57</v>
      </c>
      <c r="D473" s="11">
        <v>57</v>
      </c>
      <c r="E473" s="11">
        <v>57</v>
      </c>
      <c r="F473" s="11">
        <v>57</v>
      </c>
      <c r="G473" s="11">
        <v>0</v>
      </c>
      <c r="H473" s="11">
        <v>1000</v>
      </c>
      <c r="I473" s="11">
        <v>57000</v>
      </c>
      <c r="J473" s="11">
        <v>235881713</v>
      </c>
      <c r="K473" s="11">
        <v>10812729933.35</v>
      </c>
      <c r="L473" s="6">
        <f t="shared" si="15"/>
        <v>57</v>
      </c>
    </row>
    <row r="474" spans="1:12">
      <c r="A474">
        <f t="shared" si="14"/>
        <v>2023</v>
      </c>
      <c r="B474" s="10">
        <v>45090</v>
      </c>
      <c r="C474" s="11">
        <v>57</v>
      </c>
      <c r="D474" s="11">
        <v>57</v>
      </c>
      <c r="E474" s="11">
        <v>57</v>
      </c>
      <c r="F474" s="11">
        <v>57</v>
      </c>
      <c r="G474" s="11">
        <v>0</v>
      </c>
      <c r="H474" s="11">
        <v>1000</v>
      </c>
      <c r="I474" s="11">
        <v>57000</v>
      </c>
      <c r="J474" s="11">
        <v>235880713</v>
      </c>
      <c r="K474" s="11">
        <v>10812672933.35</v>
      </c>
      <c r="L474" s="6">
        <f t="shared" si="15"/>
        <v>57</v>
      </c>
    </row>
    <row r="475" spans="1:12">
      <c r="A475">
        <f t="shared" si="14"/>
        <v>2023</v>
      </c>
      <c r="B475" s="10">
        <v>45089</v>
      </c>
      <c r="C475" s="11">
        <v>57</v>
      </c>
      <c r="D475" s="11">
        <v>57</v>
      </c>
      <c r="E475" s="11">
        <v>57</v>
      </c>
      <c r="F475" s="11">
        <v>57</v>
      </c>
      <c r="G475" s="11">
        <v>-2.56</v>
      </c>
      <c r="H475" s="11">
        <v>291000</v>
      </c>
      <c r="I475" s="11">
        <v>16587000</v>
      </c>
      <c r="J475" s="11">
        <v>235879713</v>
      </c>
      <c r="K475" s="11">
        <v>10812615933.35</v>
      </c>
      <c r="L475" s="6">
        <f t="shared" si="15"/>
        <v>57</v>
      </c>
    </row>
    <row r="476" spans="1:12">
      <c r="A476">
        <f t="shared" si="14"/>
        <v>2023</v>
      </c>
      <c r="B476" s="10">
        <v>45086</v>
      </c>
      <c r="C476" s="11">
        <v>58.5</v>
      </c>
      <c r="D476" s="11">
        <v>58.5</v>
      </c>
      <c r="E476" s="11">
        <v>58.5</v>
      </c>
      <c r="F476" s="11">
        <v>58.5</v>
      </c>
      <c r="G476" s="11">
        <v>-0.17</v>
      </c>
      <c r="H476" s="11">
        <v>101000</v>
      </c>
      <c r="I476" s="11">
        <v>4354500</v>
      </c>
      <c r="J476" s="11">
        <v>235588713</v>
      </c>
      <c r="K476" s="11">
        <v>10796028933.35</v>
      </c>
      <c r="L476" s="6">
        <f t="shared" si="15"/>
        <v>43.1138613861386</v>
      </c>
    </row>
    <row r="477" spans="1:12">
      <c r="A477">
        <f t="shared" si="14"/>
        <v>2023</v>
      </c>
      <c r="B477" s="10">
        <v>45085</v>
      </c>
      <c r="C477" s="11">
        <v>58.6</v>
      </c>
      <c r="D477" s="11">
        <v>58.6</v>
      </c>
      <c r="E477" s="11">
        <v>58.6</v>
      </c>
      <c r="F477" s="11">
        <v>58.6</v>
      </c>
      <c r="G477" s="11">
        <v>0.17</v>
      </c>
      <c r="H477" s="11">
        <v>560</v>
      </c>
      <c r="I477" s="11">
        <v>32816</v>
      </c>
      <c r="J477" s="11">
        <v>235487713</v>
      </c>
      <c r="K477" s="11">
        <v>10791674433.35</v>
      </c>
      <c r="L477" s="6">
        <f t="shared" si="15"/>
        <v>58.6</v>
      </c>
    </row>
    <row r="478" spans="1:12">
      <c r="A478">
        <f t="shared" si="14"/>
        <v>2023</v>
      </c>
      <c r="B478" s="10">
        <v>45084</v>
      </c>
      <c r="C478" s="11">
        <v>58.5</v>
      </c>
      <c r="D478" s="11">
        <v>58.5</v>
      </c>
      <c r="E478" s="11">
        <v>58.5</v>
      </c>
      <c r="F478" s="11">
        <v>58.5</v>
      </c>
      <c r="G478" s="11">
        <v>0</v>
      </c>
      <c r="H478" s="11">
        <v>1000</v>
      </c>
      <c r="I478" s="11">
        <v>58500</v>
      </c>
      <c r="J478" s="11">
        <v>235487153</v>
      </c>
      <c r="K478" s="11">
        <v>10791641617.35</v>
      </c>
      <c r="L478" s="6">
        <f t="shared" si="15"/>
        <v>58.5</v>
      </c>
    </row>
    <row r="479" spans="1:12">
      <c r="A479">
        <f t="shared" si="14"/>
        <v>2023</v>
      </c>
      <c r="B479" s="10">
        <v>45083</v>
      </c>
      <c r="C479" s="11">
        <v>58.5</v>
      </c>
      <c r="D479" s="11">
        <v>58.5</v>
      </c>
      <c r="E479" s="11">
        <v>58.5</v>
      </c>
      <c r="F479" s="11">
        <v>58.5</v>
      </c>
      <c r="G479" s="11">
        <v>0</v>
      </c>
      <c r="H479" s="11">
        <v>1000</v>
      </c>
      <c r="I479" s="11">
        <v>58500</v>
      </c>
      <c r="J479" s="11">
        <v>235486153</v>
      </c>
      <c r="K479" s="11">
        <v>10791583117.35</v>
      </c>
      <c r="L479" s="6">
        <f t="shared" si="15"/>
        <v>58.5</v>
      </c>
    </row>
    <row r="480" spans="1:12">
      <c r="A480">
        <f t="shared" si="14"/>
        <v>2023</v>
      </c>
      <c r="B480" s="10">
        <v>45082</v>
      </c>
      <c r="C480" s="11">
        <v>58.5</v>
      </c>
      <c r="D480" s="11">
        <v>58.5</v>
      </c>
      <c r="E480" s="11">
        <v>58.5</v>
      </c>
      <c r="F480" s="11">
        <v>58.5</v>
      </c>
      <c r="G480" s="11">
        <v>0</v>
      </c>
      <c r="H480" s="11">
        <v>1000</v>
      </c>
      <c r="I480" s="11">
        <v>58500</v>
      </c>
      <c r="J480" s="11">
        <v>235485153</v>
      </c>
      <c r="K480" s="11">
        <v>10791524617.35</v>
      </c>
      <c r="L480" s="6">
        <f t="shared" si="15"/>
        <v>58.5</v>
      </c>
    </row>
    <row r="481" spans="1:12">
      <c r="A481">
        <f t="shared" si="14"/>
        <v>2023</v>
      </c>
      <c r="B481" s="10">
        <v>45079</v>
      </c>
      <c r="C481" s="11">
        <v>58.5</v>
      </c>
      <c r="D481" s="11">
        <v>58.5</v>
      </c>
      <c r="E481" s="11">
        <v>58.5</v>
      </c>
      <c r="F481" s="11">
        <v>58.5</v>
      </c>
      <c r="G481" s="11">
        <v>1.72</v>
      </c>
      <c r="H481" s="11">
        <v>101000</v>
      </c>
      <c r="I481" s="11">
        <v>4354500</v>
      </c>
      <c r="J481" s="11">
        <v>235484153</v>
      </c>
      <c r="K481" s="11">
        <v>10791466117.35</v>
      </c>
      <c r="L481" s="6">
        <f t="shared" si="15"/>
        <v>43.1138613861386</v>
      </c>
    </row>
    <row r="482" spans="1:12">
      <c r="A482">
        <f t="shared" si="14"/>
        <v>2023</v>
      </c>
      <c r="B482" s="10">
        <v>45078</v>
      </c>
      <c r="C482" s="11">
        <v>57.51</v>
      </c>
      <c r="D482" s="11">
        <v>57.5</v>
      </c>
      <c r="E482" s="11">
        <v>58</v>
      </c>
      <c r="F482" s="11">
        <v>57.5</v>
      </c>
      <c r="G482" s="11">
        <v>-1.69</v>
      </c>
      <c r="H482" s="11">
        <v>510</v>
      </c>
      <c r="I482" s="11">
        <v>29330</v>
      </c>
      <c r="J482" s="11">
        <v>235383153</v>
      </c>
      <c r="K482" s="11">
        <v>10787111617.35</v>
      </c>
      <c r="L482" s="6">
        <f t="shared" si="15"/>
        <v>57.5098039215686</v>
      </c>
    </row>
    <row r="483" spans="1:12">
      <c r="A483">
        <f t="shared" si="14"/>
        <v>2023</v>
      </c>
      <c r="B483" s="10">
        <v>45077</v>
      </c>
      <c r="C483" s="11">
        <v>58.5</v>
      </c>
      <c r="D483" s="11">
        <v>58.01</v>
      </c>
      <c r="E483" s="11">
        <v>59</v>
      </c>
      <c r="F483" s="11">
        <v>58.01</v>
      </c>
      <c r="G483" s="11">
        <v>2.63</v>
      </c>
      <c r="H483" s="11">
        <v>17107</v>
      </c>
      <c r="I483" s="11">
        <v>1000740.01</v>
      </c>
      <c r="J483" s="11">
        <v>235382643</v>
      </c>
      <c r="K483" s="11">
        <v>10787082287.35</v>
      </c>
      <c r="L483" s="6">
        <f t="shared" si="15"/>
        <v>58.4988607002981</v>
      </c>
    </row>
    <row r="484" spans="1:12">
      <c r="A484">
        <f t="shared" si="14"/>
        <v>2023</v>
      </c>
      <c r="B484" s="10">
        <v>45076</v>
      </c>
      <c r="C484" s="11">
        <v>57</v>
      </c>
      <c r="D484" s="11">
        <v>57</v>
      </c>
      <c r="E484" s="11">
        <v>57</v>
      </c>
      <c r="F484" s="11">
        <v>57</v>
      </c>
      <c r="G484" s="11">
        <v>0</v>
      </c>
      <c r="H484" s="11">
        <v>5524</v>
      </c>
      <c r="I484" s="11">
        <v>314868</v>
      </c>
      <c r="J484" s="11">
        <v>235365536</v>
      </c>
      <c r="K484" s="11">
        <v>10786081547.34</v>
      </c>
      <c r="L484" s="6">
        <f t="shared" si="15"/>
        <v>57</v>
      </c>
    </row>
    <row r="485" spans="1:12">
      <c r="A485">
        <f t="shared" si="14"/>
        <v>2023</v>
      </c>
      <c r="B485" s="10">
        <v>45075</v>
      </c>
      <c r="C485" s="11">
        <v>57</v>
      </c>
      <c r="D485" s="11">
        <v>57</v>
      </c>
      <c r="E485" s="11">
        <v>57</v>
      </c>
      <c r="F485" s="11">
        <v>57</v>
      </c>
      <c r="G485" s="11">
        <v>0</v>
      </c>
      <c r="H485" s="11">
        <v>1000</v>
      </c>
      <c r="I485" s="11">
        <v>57000</v>
      </c>
      <c r="J485" s="11">
        <v>235360012</v>
      </c>
      <c r="K485" s="11">
        <v>10785766679.34</v>
      </c>
      <c r="L485" s="6">
        <f t="shared" si="15"/>
        <v>57</v>
      </c>
    </row>
    <row r="486" spans="1:12">
      <c r="A486">
        <f t="shared" si="14"/>
        <v>2023</v>
      </c>
      <c r="B486" s="10">
        <v>45072</v>
      </c>
      <c r="C486" s="11">
        <v>57</v>
      </c>
      <c r="D486" s="11">
        <v>57</v>
      </c>
      <c r="E486" s="11">
        <v>57</v>
      </c>
      <c r="F486" s="11">
        <v>57</v>
      </c>
      <c r="G486" s="11">
        <v>0</v>
      </c>
      <c r="H486" s="11">
        <v>10</v>
      </c>
      <c r="I486" s="11">
        <v>570</v>
      </c>
      <c r="J486" s="11">
        <v>235359012</v>
      </c>
      <c r="K486" s="11">
        <v>10785709679.34</v>
      </c>
      <c r="L486" s="6">
        <f t="shared" si="15"/>
        <v>57</v>
      </c>
    </row>
    <row r="487" spans="1:12">
      <c r="A487">
        <f t="shared" si="14"/>
        <v>2023</v>
      </c>
      <c r="B487" s="10">
        <v>45071</v>
      </c>
      <c r="C487" s="11">
        <v>57</v>
      </c>
      <c r="D487" s="11">
        <v>57</v>
      </c>
      <c r="E487" s="11">
        <v>57</v>
      </c>
      <c r="F487" s="11">
        <v>57</v>
      </c>
      <c r="G487" s="11">
        <v>0</v>
      </c>
      <c r="H487" s="11">
        <v>10</v>
      </c>
      <c r="I487" s="11">
        <v>570</v>
      </c>
      <c r="J487" s="11">
        <v>235359002</v>
      </c>
      <c r="K487" s="11">
        <v>10785709109.34</v>
      </c>
      <c r="L487" s="6">
        <f t="shared" si="15"/>
        <v>57</v>
      </c>
    </row>
    <row r="488" spans="1:12">
      <c r="A488">
        <f t="shared" si="14"/>
        <v>2023</v>
      </c>
      <c r="B488" s="10">
        <v>45070</v>
      </c>
      <c r="C488" s="11">
        <v>57</v>
      </c>
      <c r="D488" s="11">
        <v>57</v>
      </c>
      <c r="E488" s="11">
        <v>57</v>
      </c>
      <c r="F488" s="11">
        <v>57</v>
      </c>
      <c r="G488" s="11">
        <v>1.79</v>
      </c>
      <c r="H488" s="11">
        <v>3410</v>
      </c>
      <c r="I488" s="11">
        <v>194370</v>
      </c>
      <c r="J488" s="11">
        <v>235358992</v>
      </c>
      <c r="K488" s="11">
        <v>10785708539.34</v>
      </c>
      <c r="L488" s="6">
        <f t="shared" si="15"/>
        <v>57</v>
      </c>
    </row>
    <row r="489" spans="1:12">
      <c r="A489">
        <f t="shared" si="14"/>
        <v>2023</v>
      </c>
      <c r="B489" s="10">
        <v>45069</v>
      </c>
      <c r="C489" s="11">
        <v>56</v>
      </c>
      <c r="D489" s="11">
        <v>56.5</v>
      </c>
      <c r="E489" s="11">
        <v>57</v>
      </c>
      <c r="F489" s="11">
        <v>56</v>
      </c>
      <c r="G489" s="11">
        <v>-2.12</v>
      </c>
      <c r="H489" s="11">
        <v>49813</v>
      </c>
      <c r="I489" s="11">
        <v>2789633</v>
      </c>
      <c r="J489" s="11">
        <v>235355582</v>
      </c>
      <c r="K489" s="11">
        <v>10785514169.34</v>
      </c>
      <c r="L489" s="6">
        <f t="shared" si="15"/>
        <v>56.0021078834842</v>
      </c>
    </row>
    <row r="490" spans="1:12">
      <c r="A490">
        <f t="shared" si="14"/>
        <v>2023</v>
      </c>
      <c r="B490" s="10">
        <v>45068</v>
      </c>
      <c r="C490" s="11">
        <v>57.21</v>
      </c>
      <c r="D490" s="11">
        <v>56</v>
      </c>
      <c r="E490" s="11">
        <v>60</v>
      </c>
      <c r="F490" s="11">
        <v>56</v>
      </c>
      <c r="G490" s="11">
        <v>0.37</v>
      </c>
      <c r="H490" s="11">
        <v>71792</v>
      </c>
      <c r="I490" s="11">
        <v>4106868</v>
      </c>
      <c r="J490" s="11">
        <v>235305769</v>
      </c>
      <c r="K490" s="11">
        <v>10782724536.34</v>
      </c>
      <c r="L490" s="6">
        <f t="shared" si="15"/>
        <v>57.2050924894139</v>
      </c>
    </row>
    <row r="491" spans="1:12">
      <c r="A491">
        <f t="shared" si="14"/>
        <v>2023</v>
      </c>
      <c r="B491" s="10">
        <v>45065</v>
      </c>
      <c r="C491" s="11">
        <v>57</v>
      </c>
      <c r="D491" s="11">
        <v>57</v>
      </c>
      <c r="E491" s="11">
        <v>57</v>
      </c>
      <c r="F491" s="11">
        <v>57</v>
      </c>
      <c r="G491" s="11">
        <v>-1.61</v>
      </c>
      <c r="H491" s="11">
        <v>10</v>
      </c>
      <c r="I491" s="11">
        <v>570</v>
      </c>
      <c r="J491" s="11">
        <v>235233977</v>
      </c>
      <c r="K491" s="11">
        <v>10778617668.34</v>
      </c>
      <c r="L491" s="6">
        <f t="shared" si="15"/>
        <v>57</v>
      </c>
    </row>
    <row r="492" spans="1:12">
      <c r="A492">
        <f t="shared" si="14"/>
        <v>2023</v>
      </c>
      <c r="B492" s="10">
        <v>45064</v>
      </c>
      <c r="C492" s="11">
        <v>57.93</v>
      </c>
      <c r="D492" s="11">
        <v>56.5</v>
      </c>
      <c r="E492" s="11">
        <v>58</v>
      </c>
      <c r="F492" s="11">
        <v>56.5</v>
      </c>
      <c r="G492" s="11">
        <v>2.99</v>
      </c>
      <c r="H492" s="11">
        <v>362710</v>
      </c>
      <c r="I492" s="11">
        <v>20429665</v>
      </c>
      <c r="J492" s="11">
        <v>235233967</v>
      </c>
      <c r="K492" s="11">
        <v>10778617098.34</v>
      </c>
      <c r="L492" s="6">
        <f t="shared" si="15"/>
        <v>56.3250668578203</v>
      </c>
    </row>
    <row r="493" spans="1:12">
      <c r="A493">
        <f t="shared" si="14"/>
        <v>2023</v>
      </c>
      <c r="B493" s="10">
        <v>45063</v>
      </c>
      <c r="C493" s="11">
        <v>56.25</v>
      </c>
      <c r="D493" s="11">
        <v>56</v>
      </c>
      <c r="E493" s="11">
        <v>56.5</v>
      </c>
      <c r="F493" s="11">
        <v>56</v>
      </c>
      <c r="G493" s="11">
        <v>-0.44</v>
      </c>
      <c r="H493" s="11">
        <v>362700</v>
      </c>
      <c r="I493" s="11">
        <v>20428750</v>
      </c>
      <c r="J493" s="11">
        <v>234871257</v>
      </c>
      <c r="K493" s="11">
        <v>10758187433.34</v>
      </c>
      <c r="L493" s="6">
        <f t="shared" si="15"/>
        <v>56.3240970499035</v>
      </c>
    </row>
    <row r="494" spans="1:12">
      <c r="A494">
        <f t="shared" si="14"/>
        <v>2023</v>
      </c>
      <c r="B494" s="10">
        <v>45062</v>
      </c>
      <c r="C494" s="11">
        <v>56.5</v>
      </c>
      <c r="D494" s="11">
        <v>56.5</v>
      </c>
      <c r="E494" s="11">
        <v>56.5</v>
      </c>
      <c r="F494" s="11">
        <v>56.5</v>
      </c>
      <c r="G494" s="11">
        <v>0.89</v>
      </c>
      <c r="H494" s="11">
        <v>100</v>
      </c>
      <c r="I494" s="11">
        <v>5650</v>
      </c>
      <c r="J494" s="11">
        <v>234508557</v>
      </c>
      <c r="K494" s="11">
        <v>10737758683.34</v>
      </c>
      <c r="L494" s="6">
        <f t="shared" si="15"/>
        <v>56.5</v>
      </c>
    </row>
    <row r="495" spans="1:12">
      <c r="A495">
        <f t="shared" si="14"/>
        <v>2023</v>
      </c>
      <c r="B495" s="10">
        <v>45061</v>
      </c>
      <c r="C495" s="11">
        <v>56</v>
      </c>
      <c r="D495" s="11">
        <v>56</v>
      </c>
      <c r="E495" s="11">
        <v>56</v>
      </c>
      <c r="F495" s="11">
        <v>56</v>
      </c>
      <c r="G495" s="11">
        <v>0</v>
      </c>
      <c r="H495" s="11">
        <v>100100</v>
      </c>
      <c r="I495" s="11">
        <v>5715600</v>
      </c>
      <c r="J495" s="11">
        <v>234508457</v>
      </c>
      <c r="K495" s="11">
        <v>10737753033.34</v>
      </c>
      <c r="L495" s="6">
        <f t="shared" si="15"/>
        <v>57.0989010989011</v>
      </c>
    </row>
    <row r="496" spans="1:12">
      <c r="A496">
        <f t="shared" si="14"/>
        <v>2023</v>
      </c>
      <c r="B496" s="10">
        <v>45058</v>
      </c>
      <c r="C496" s="11">
        <v>56</v>
      </c>
      <c r="D496" s="11">
        <v>56</v>
      </c>
      <c r="E496" s="11">
        <v>56</v>
      </c>
      <c r="F496" s="11">
        <v>56</v>
      </c>
      <c r="G496" s="11">
        <v>0</v>
      </c>
      <c r="H496" s="11">
        <v>10</v>
      </c>
      <c r="I496" s="11">
        <v>560</v>
      </c>
      <c r="J496" s="11">
        <v>234408357</v>
      </c>
      <c r="K496" s="11">
        <v>10732037433.34</v>
      </c>
      <c r="L496" s="6">
        <f t="shared" si="15"/>
        <v>56</v>
      </c>
    </row>
    <row r="497" spans="1:12">
      <c r="A497">
        <f t="shared" si="14"/>
        <v>2023</v>
      </c>
      <c r="B497" s="10">
        <v>45057</v>
      </c>
      <c r="C497" s="11">
        <v>56</v>
      </c>
      <c r="D497" s="11">
        <v>56</v>
      </c>
      <c r="E497" s="11">
        <v>56</v>
      </c>
      <c r="F497" s="11">
        <v>56</v>
      </c>
      <c r="G497" s="11">
        <v>0</v>
      </c>
      <c r="H497" s="11">
        <v>100</v>
      </c>
      <c r="I497" s="11">
        <v>5600</v>
      </c>
      <c r="J497" s="11">
        <v>234408347</v>
      </c>
      <c r="K497" s="11">
        <v>10732036873.34</v>
      </c>
      <c r="L497" s="6">
        <f t="shared" si="15"/>
        <v>56</v>
      </c>
    </row>
    <row r="498" spans="1:12">
      <c r="A498">
        <f t="shared" si="14"/>
        <v>2023</v>
      </c>
      <c r="B498" s="10">
        <v>45056</v>
      </c>
      <c r="C498" s="11">
        <v>56</v>
      </c>
      <c r="D498" s="11">
        <v>56</v>
      </c>
      <c r="E498" s="11">
        <v>56</v>
      </c>
      <c r="F498" s="11">
        <v>56</v>
      </c>
      <c r="G498" s="11">
        <v>0</v>
      </c>
      <c r="H498" s="11">
        <v>100</v>
      </c>
      <c r="I498" s="11">
        <v>5600</v>
      </c>
      <c r="J498" s="11">
        <v>234408247</v>
      </c>
      <c r="K498" s="11">
        <v>10732031273.34</v>
      </c>
      <c r="L498" s="6">
        <f t="shared" si="15"/>
        <v>56</v>
      </c>
    </row>
    <row r="499" spans="1:12">
      <c r="A499">
        <f t="shared" si="14"/>
        <v>2023</v>
      </c>
      <c r="B499" s="10">
        <v>45055</v>
      </c>
      <c r="C499" s="11">
        <v>56</v>
      </c>
      <c r="D499" s="11">
        <v>56</v>
      </c>
      <c r="E499" s="11">
        <v>56</v>
      </c>
      <c r="F499" s="11">
        <v>56</v>
      </c>
      <c r="G499" s="11">
        <v>0</v>
      </c>
      <c r="H499" s="11">
        <v>142317</v>
      </c>
      <c r="I499" s="11">
        <v>7849752.5</v>
      </c>
      <c r="J499" s="11">
        <v>234408147</v>
      </c>
      <c r="K499" s="11">
        <v>10732025673.34</v>
      </c>
      <c r="L499" s="6">
        <f t="shared" si="15"/>
        <v>55.1568154190996</v>
      </c>
    </row>
    <row r="500" spans="1:12">
      <c r="A500">
        <f t="shared" si="14"/>
        <v>2023</v>
      </c>
      <c r="B500" s="10">
        <v>45054</v>
      </c>
      <c r="C500" s="11">
        <v>56</v>
      </c>
      <c r="D500" s="11">
        <v>56</v>
      </c>
      <c r="E500" s="11">
        <v>56</v>
      </c>
      <c r="F500" s="11">
        <v>56</v>
      </c>
      <c r="G500" s="11">
        <v>0.9</v>
      </c>
      <c r="H500" s="11">
        <v>115000</v>
      </c>
      <c r="I500" s="11">
        <v>6590000</v>
      </c>
      <c r="J500" s="11">
        <v>234265830</v>
      </c>
      <c r="K500" s="11">
        <v>10724175920.84</v>
      </c>
      <c r="L500" s="6">
        <f t="shared" si="15"/>
        <v>57.304347826087</v>
      </c>
    </row>
    <row r="501" spans="1:12">
      <c r="A501">
        <f t="shared" si="14"/>
        <v>2023</v>
      </c>
      <c r="B501" s="10">
        <v>45051</v>
      </c>
      <c r="C501" s="11">
        <v>55.5</v>
      </c>
      <c r="D501" s="11">
        <v>55</v>
      </c>
      <c r="E501" s="11">
        <v>55</v>
      </c>
      <c r="F501" s="11">
        <v>55</v>
      </c>
      <c r="G501" s="11">
        <v>0</v>
      </c>
      <c r="H501" s="11">
        <v>11</v>
      </c>
      <c r="I501" s="11">
        <v>610.5</v>
      </c>
      <c r="J501" s="11">
        <v>234150830</v>
      </c>
      <c r="K501" s="11">
        <v>10717585920.84</v>
      </c>
      <c r="L501" s="6">
        <f t="shared" si="15"/>
        <v>55.5</v>
      </c>
    </row>
    <row r="502" spans="1:12">
      <c r="A502">
        <f t="shared" si="14"/>
        <v>2023</v>
      </c>
      <c r="B502" s="10">
        <v>45050</v>
      </c>
      <c r="C502" s="11">
        <v>55.5</v>
      </c>
      <c r="D502" s="11">
        <v>55.5</v>
      </c>
      <c r="E502" s="11">
        <v>55.5</v>
      </c>
      <c r="F502" s="11">
        <v>55.5</v>
      </c>
      <c r="G502" s="11">
        <v>0.91</v>
      </c>
      <c r="H502" s="11">
        <v>10</v>
      </c>
      <c r="I502" s="11">
        <v>555</v>
      </c>
      <c r="J502" s="11">
        <v>234150819</v>
      </c>
      <c r="K502" s="11">
        <v>10717585310.34</v>
      </c>
      <c r="L502" s="6">
        <f t="shared" si="15"/>
        <v>55.5</v>
      </c>
    </row>
    <row r="503" spans="1:12">
      <c r="A503">
        <f t="shared" si="14"/>
        <v>2023</v>
      </c>
      <c r="B503" s="10">
        <v>45044</v>
      </c>
      <c r="C503" s="11">
        <v>55</v>
      </c>
      <c r="D503" s="11">
        <v>55</v>
      </c>
      <c r="E503" s="11">
        <v>55</v>
      </c>
      <c r="F503" s="11">
        <v>55</v>
      </c>
      <c r="G503" s="11">
        <v>0</v>
      </c>
      <c r="H503" s="11">
        <v>10</v>
      </c>
      <c r="I503" s="11">
        <v>550</v>
      </c>
      <c r="J503" s="11">
        <v>234150809</v>
      </c>
      <c r="K503" s="11">
        <v>10717584755.34</v>
      </c>
      <c r="L503" s="6">
        <f t="shared" si="15"/>
        <v>55</v>
      </c>
    </row>
    <row r="504" spans="1:12">
      <c r="A504">
        <f t="shared" si="14"/>
        <v>2023</v>
      </c>
      <c r="B504" s="10">
        <v>45043</v>
      </c>
      <c r="C504" s="11">
        <v>55</v>
      </c>
      <c r="D504" s="11">
        <v>55</v>
      </c>
      <c r="E504" s="11">
        <v>55</v>
      </c>
      <c r="F504" s="11">
        <v>55</v>
      </c>
      <c r="G504" s="11">
        <v>0.15</v>
      </c>
      <c r="H504" s="11">
        <v>110</v>
      </c>
      <c r="I504" s="11">
        <v>6050</v>
      </c>
      <c r="J504" s="11">
        <v>234150799</v>
      </c>
      <c r="K504" s="11">
        <v>10717584205.34</v>
      </c>
      <c r="L504" s="6">
        <f t="shared" si="15"/>
        <v>55</v>
      </c>
    </row>
    <row r="505" spans="1:12">
      <c r="A505">
        <f t="shared" si="14"/>
        <v>2023</v>
      </c>
      <c r="B505" s="10">
        <v>45042</v>
      </c>
      <c r="C505" s="11">
        <v>54.92</v>
      </c>
      <c r="D505" s="11">
        <v>56</v>
      </c>
      <c r="E505" s="11">
        <v>56</v>
      </c>
      <c r="F505" s="11">
        <v>53.4</v>
      </c>
      <c r="G505" s="11">
        <v>2.85</v>
      </c>
      <c r="H505" s="11">
        <v>10510</v>
      </c>
      <c r="I505" s="11">
        <v>577260</v>
      </c>
      <c r="J505" s="11">
        <v>234150689</v>
      </c>
      <c r="K505" s="11">
        <v>10717578155.34</v>
      </c>
      <c r="L505" s="6">
        <f t="shared" si="15"/>
        <v>54.9248334919125</v>
      </c>
    </row>
    <row r="506" spans="1:12">
      <c r="A506">
        <f t="shared" si="14"/>
        <v>2023</v>
      </c>
      <c r="B506" s="10">
        <v>45041</v>
      </c>
      <c r="C506" s="11">
        <v>53.4</v>
      </c>
      <c r="D506" s="11">
        <v>53.4</v>
      </c>
      <c r="E506" s="11">
        <v>53.4</v>
      </c>
      <c r="F506" s="11">
        <v>53.4</v>
      </c>
      <c r="G506" s="11">
        <v>0</v>
      </c>
      <c r="H506" s="11">
        <v>500</v>
      </c>
      <c r="I506" s="11">
        <v>26700</v>
      </c>
      <c r="J506" s="11">
        <v>234140179</v>
      </c>
      <c r="K506" s="11">
        <v>10717000895.34</v>
      </c>
      <c r="L506" s="6">
        <f t="shared" si="15"/>
        <v>53.4</v>
      </c>
    </row>
    <row r="507" spans="1:12">
      <c r="A507">
        <f t="shared" si="14"/>
        <v>2023</v>
      </c>
      <c r="B507" s="10">
        <v>45040</v>
      </c>
      <c r="C507" s="11">
        <v>53.4</v>
      </c>
      <c r="D507" s="11">
        <v>53.4</v>
      </c>
      <c r="E507" s="11">
        <v>53.4</v>
      </c>
      <c r="F507" s="11">
        <v>53.4</v>
      </c>
      <c r="G507" s="11">
        <v>0</v>
      </c>
      <c r="H507" s="11">
        <v>10</v>
      </c>
      <c r="I507" s="11">
        <v>534</v>
      </c>
      <c r="J507" s="11">
        <v>234139679</v>
      </c>
      <c r="K507" s="11">
        <v>10716974195.34</v>
      </c>
      <c r="L507" s="6">
        <f t="shared" si="15"/>
        <v>53.4</v>
      </c>
    </row>
    <row r="508" spans="1:12">
      <c r="A508">
        <f t="shared" si="14"/>
        <v>2023</v>
      </c>
      <c r="B508" s="10">
        <v>45037</v>
      </c>
      <c r="C508" s="11">
        <v>53.4</v>
      </c>
      <c r="D508" s="11">
        <v>53.4</v>
      </c>
      <c r="E508" s="11">
        <v>53.4</v>
      </c>
      <c r="F508" s="11">
        <v>53.4</v>
      </c>
      <c r="G508" s="11">
        <v>0</v>
      </c>
      <c r="H508" s="11">
        <v>300010</v>
      </c>
      <c r="I508" s="11">
        <v>17250534</v>
      </c>
      <c r="J508" s="11">
        <v>234139669</v>
      </c>
      <c r="K508" s="11">
        <v>10716973661.34</v>
      </c>
      <c r="L508" s="6">
        <f t="shared" si="15"/>
        <v>57.4998633378887</v>
      </c>
    </row>
    <row r="509" spans="1:12">
      <c r="A509">
        <f t="shared" si="14"/>
        <v>2023</v>
      </c>
      <c r="B509" s="10">
        <v>45036</v>
      </c>
      <c r="C509" s="11">
        <v>53.4</v>
      </c>
      <c r="D509" s="11">
        <v>56</v>
      </c>
      <c r="E509" s="11">
        <v>56</v>
      </c>
      <c r="F509" s="11">
        <v>53</v>
      </c>
      <c r="G509" s="11">
        <v>-4.64</v>
      </c>
      <c r="H509" s="11">
        <v>300750</v>
      </c>
      <c r="I509" s="11">
        <v>12928050</v>
      </c>
      <c r="J509" s="11">
        <v>233839659</v>
      </c>
      <c r="K509" s="11">
        <v>10699723127.34</v>
      </c>
      <c r="L509" s="6">
        <f t="shared" si="15"/>
        <v>42.9860349127182</v>
      </c>
    </row>
    <row r="510" spans="1:12">
      <c r="A510">
        <f t="shared" si="14"/>
        <v>2023</v>
      </c>
      <c r="B510" s="10">
        <v>45035</v>
      </c>
      <c r="C510" s="11">
        <v>56</v>
      </c>
      <c r="D510" s="11">
        <v>56</v>
      </c>
      <c r="E510" s="11">
        <v>56</v>
      </c>
      <c r="F510" s="11">
        <v>56</v>
      </c>
      <c r="G510" s="11">
        <v>0</v>
      </c>
      <c r="H510" s="11">
        <v>100</v>
      </c>
      <c r="I510" s="11">
        <v>5600</v>
      </c>
      <c r="J510" s="11">
        <v>233538909</v>
      </c>
      <c r="K510" s="11">
        <v>10686795077.34</v>
      </c>
      <c r="L510" s="6">
        <f t="shared" si="15"/>
        <v>56</v>
      </c>
    </row>
    <row r="511" spans="1:12">
      <c r="A511">
        <f t="shared" si="14"/>
        <v>2023</v>
      </c>
      <c r="B511" s="10">
        <v>45034</v>
      </c>
      <c r="C511" s="11">
        <v>56</v>
      </c>
      <c r="D511" s="11">
        <v>56</v>
      </c>
      <c r="E511" s="11">
        <v>56</v>
      </c>
      <c r="F511" s="11">
        <v>56</v>
      </c>
      <c r="G511" s="11">
        <v>0</v>
      </c>
      <c r="H511" s="11">
        <v>10</v>
      </c>
      <c r="I511" s="11">
        <v>560</v>
      </c>
      <c r="J511" s="11">
        <v>233538809</v>
      </c>
      <c r="K511" s="11">
        <v>10686789477.34</v>
      </c>
      <c r="L511" s="6">
        <f t="shared" si="15"/>
        <v>56</v>
      </c>
    </row>
    <row r="512" spans="1:12">
      <c r="A512">
        <f t="shared" si="14"/>
        <v>2023</v>
      </c>
      <c r="B512" s="10">
        <v>45033</v>
      </c>
      <c r="C512" s="11">
        <v>56</v>
      </c>
      <c r="D512" s="11">
        <v>56</v>
      </c>
      <c r="E512" s="11">
        <v>56</v>
      </c>
      <c r="F512" s="11">
        <v>56</v>
      </c>
      <c r="G512" s="11">
        <v>0</v>
      </c>
      <c r="H512" s="11">
        <v>100</v>
      </c>
      <c r="I512" s="11">
        <v>5600</v>
      </c>
      <c r="J512" s="11">
        <v>233538799</v>
      </c>
      <c r="K512" s="11">
        <v>10686788917.34</v>
      </c>
      <c r="L512" s="6">
        <f t="shared" si="15"/>
        <v>56</v>
      </c>
    </row>
    <row r="513" spans="1:12">
      <c r="A513">
        <f t="shared" si="14"/>
        <v>2023</v>
      </c>
      <c r="B513" s="10">
        <v>45030</v>
      </c>
      <c r="C513" s="11">
        <v>56</v>
      </c>
      <c r="D513" s="11">
        <v>56</v>
      </c>
      <c r="E513" s="11">
        <v>56</v>
      </c>
      <c r="F513" s="11">
        <v>56</v>
      </c>
      <c r="G513" s="11">
        <v>0</v>
      </c>
      <c r="H513" s="11">
        <v>100</v>
      </c>
      <c r="I513" s="11">
        <v>5600</v>
      </c>
      <c r="J513" s="11">
        <v>233538699</v>
      </c>
      <c r="K513" s="11">
        <v>10686783317.34</v>
      </c>
      <c r="L513" s="6">
        <f t="shared" si="15"/>
        <v>56</v>
      </c>
    </row>
    <row r="514" spans="1:12">
      <c r="A514">
        <f t="shared" si="14"/>
        <v>2023</v>
      </c>
      <c r="B514" s="10">
        <v>45029</v>
      </c>
      <c r="C514" s="11">
        <v>56</v>
      </c>
      <c r="D514" s="11">
        <v>56</v>
      </c>
      <c r="E514" s="11">
        <v>56</v>
      </c>
      <c r="F514" s="11">
        <v>56</v>
      </c>
      <c r="G514" s="11">
        <v>0</v>
      </c>
      <c r="H514" s="11">
        <v>100</v>
      </c>
      <c r="I514" s="11">
        <v>5600</v>
      </c>
      <c r="J514" s="11">
        <v>233538599</v>
      </c>
      <c r="K514" s="11">
        <v>10686777717.34</v>
      </c>
      <c r="L514" s="6">
        <f t="shared" si="15"/>
        <v>56</v>
      </c>
    </row>
    <row r="515" spans="1:12">
      <c r="A515">
        <f t="shared" si="14"/>
        <v>2023</v>
      </c>
      <c r="B515" s="10">
        <v>45028</v>
      </c>
      <c r="C515" s="11">
        <v>56</v>
      </c>
      <c r="D515" s="11">
        <v>56</v>
      </c>
      <c r="E515" s="11">
        <v>56</v>
      </c>
      <c r="F515" s="11">
        <v>56</v>
      </c>
      <c r="G515" s="11">
        <v>0</v>
      </c>
      <c r="H515" s="11">
        <v>100</v>
      </c>
      <c r="I515" s="11">
        <v>5600</v>
      </c>
      <c r="J515" s="11">
        <v>233538499</v>
      </c>
      <c r="K515" s="11">
        <v>10686772117.34</v>
      </c>
      <c r="L515" s="6">
        <f t="shared" si="15"/>
        <v>56</v>
      </c>
    </row>
    <row r="516" spans="1:12">
      <c r="A516">
        <f t="shared" ref="A516:A579" si="16">YEAR(B516)</f>
        <v>2023</v>
      </c>
      <c r="B516" s="10">
        <v>45027</v>
      </c>
      <c r="C516" s="11">
        <v>56</v>
      </c>
      <c r="D516" s="11">
        <v>56</v>
      </c>
      <c r="E516" s="11">
        <v>56</v>
      </c>
      <c r="F516" s="11">
        <v>56</v>
      </c>
      <c r="G516" s="11">
        <v>0</v>
      </c>
      <c r="H516" s="11">
        <v>10</v>
      </c>
      <c r="I516" s="11">
        <v>560</v>
      </c>
      <c r="J516" s="11">
        <v>233538399</v>
      </c>
      <c r="K516" s="11">
        <v>10686766517.34</v>
      </c>
      <c r="L516" s="6">
        <f t="shared" ref="L516:L579" si="17">I516/H516</f>
        <v>56</v>
      </c>
    </row>
    <row r="517" spans="1:12">
      <c r="A517">
        <f t="shared" si="16"/>
        <v>2023</v>
      </c>
      <c r="B517" s="10">
        <v>45026</v>
      </c>
      <c r="C517" s="11">
        <v>56</v>
      </c>
      <c r="D517" s="11">
        <v>56</v>
      </c>
      <c r="E517" s="11">
        <v>56</v>
      </c>
      <c r="F517" s="11">
        <v>56</v>
      </c>
      <c r="G517" s="11">
        <v>1.08</v>
      </c>
      <c r="H517" s="11">
        <v>29990</v>
      </c>
      <c r="I517" s="11">
        <v>1679440</v>
      </c>
      <c r="J517" s="11">
        <v>233538389</v>
      </c>
      <c r="K517" s="11">
        <v>10686765957.34</v>
      </c>
      <c r="L517" s="6">
        <f t="shared" si="17"/>
        <v>56</v>
      </c>
    </row>
    <row r="518" spans="1:12">
      <c r="A518">
        <f t="shared" si="16"/>
        <v>2023</v>
      </c>
      <c r="B518" s="10">
        <v>45023</v>
      </c>
      <c r="C518" s="11">
        <v>55.4</v>
      </c>
      <c r="D518" s="11">
        <v>55.4</v>
      </c>
      <c r="E518" s="11">
        <v>55.4</v>
      </c>
      <c r="F518" s="11">
        <v>55.4</v>
      </c>
      <c r="G518" s="11">
        <v>9.66</v>
      </c>
      <c r="H518" s="11">
        <v>10</v>
      </c>
      <c r="I518" s="11">
        <v>554</v>
      </c>
      <c r="J518" s="11">
        <v>233508399</v>
      </c>
      <c r="K518" s="11">
        <v>10685086517.34</v>
      </c>
      <c r="L518" s="6">
        <f t="shared" si="17"/>
        <v>55.4</v>
      </c>
    </row>
    <row r="519" spans="1:12">
      <c r="A519">
        <f t="shared" si="16"/>
        <v>2023</v>
      </c>
      <c r="B519" s="10">
        <v>45022</v>
      </c>
      <c r="C519" s="11">
        <v>50.52</v>
      </c>
      <c r="D519" s="11">
        <v>56</v>
      </c>
      <c r="E519" s="11">
        <v>56</v>
      </c>
      <c r="F519" s="11">
        <v>50.5</v>
      </c>
      <c r="G519" s="11">
        <v>-9.79</v>
      </c>
      <c r="H519" s="11">
        <v>10037</v>
      </c>
      <c r="I519" s="11">
        <v>507072</v>
      </c>
      <c r="J519" s="11">
        <v>233508389</v>
      </c>
      <c r="K519" s="11">
        <v>10685085963.34</v>
      </c>
      <c r="L519" s="6">
        <f t="shared" si="17"/>
        <v>50.5202749825645</v>
      </c>
    </row>
    <row r="520" spans="1:12">
      <c r="A520">
        <f t="shared" si="16"/>
        <v>2023</v>
      </c>
      <c r="B520" s="10">
        <v>45020</v>
      </c>
      <c r="C520" s="11">
        <v>56</v>
      </c>
      <c r="D520" s="11">
        <v>56</v>
      </c>
      <c r="E520" s="11">
        <v>56</v>
      </c>
      <c r="F520" s="11">
        <v>56</v>
      </c>
      <c r="G520" s="11">
        <v>0</v>
      </c>
      <c r="H520" s="11">
        <v>100</v>
      </c>
      <c r="I520" s="11">
        <v>5600</v>
      </c>
      <c r="J520" s="11">
        <v>233498352</v>
      </c>
      <c r="K520" s="11">
        <v>10684578891.34</v>
      </c>
      <c r="L520" s="6">
        <f t="shared" si="17"/>
        <v>56</v>
      </c>
    </row>
    <row r="521" spans="1:12">
      <c r="A521">
        <f t="shared" si="16"/>
        <v>2023</v>
      </c>
      <c r="B521" s="10">
        <v>45019</v>
      </c>
      <c r="C521" s="11">
        <v>56</v>
      </c>
      <c r="D521" s="11">
        <v>56</v>
      </c>
      <c r="E521" s="11">
        <v>56</v>
      </c>
      <c r="F521" s="11">
        <v>56</v>
      </c>
      <c r="G521" s="11">
        <v>0</v>
      </c>
      <c r="H521" s="11">
        <v>400100</v>
      </c>
      <c r="I521" s="11">
        <v>22445600</v>
      </c>
      <c r="J521" s="11">
        <v>233498252</v>
      </c>
      <c r="K521" s="11">
        <v>10684573291.34</v>
      </c>
      <c r="L521" s="6">
        <f t="shared" si="17"/>
        <v>56.0999750062484</v>
      </c>
    </row>
    <row r="522" spans="1:12">
      <c r="A522">
        <f t="shared" si="16"/>
        <v>2023</v>
      </c>
      <c r="B522" s="10">
        <v>45016</v>
      </c>
      <c r="C522" s="11">
        <v>56</v>
      </c>
      <c r="D522" s="11">
        <v>56</v>
      </c>
      <c r="E522" s="11">
        <v>56</v>
      </c>
      <c r="F522" s="11">
        <v>56</v>
      </c>
      <c r="G522" s="11">
        <v>-1.23</v>
      </c>
      <c r="H522" s="11">
        <v>2737</v>
      </c>
      <c r="I522" s="11">
        <v>153272</v>
      </c>
      <c r="J522" s="11">
        <v>233098152</v>
      </c>
      <c r="K522" s="11">
        <v>10662127691.34</v>
      </c>
      <c r="L522" s="6">
        <f t="shared" si="17"/>
        <v>56</v>
      </c>
    </row>
    <row r="523" spans="1:12">
      <c r="A523">
        <f t="shared" si="16"/>
        <v>2023</v>
      </c>
      <c r="B523" s="10">
        <v>45015</v>
      </c>
      <c r="C523" s="11">
        <v>56.7</v>
      </c>
      <c r="D523" s="11">
        <v>56.7</v>
      </c>
      <c r="E523" s="11">
        <v>56.7</v>
      </c>
      <c r="F523" s="11">
        <v>56</v>
      </c>
      <c r="G523" s="11">
        <v>1.25</v>
      </c>
      <c r="H523" s="11">
        <v>308830</v>
      </c>
      <c r="I523" s="11">
        <v>14772654</v>
      </c>
      <c r="J523" s="11">
        <v>233095415</v>
      </c>
      <c r="K523" s="11">
        <v>10661974419.34</v>
      </c>
      <c r="L523" s="6">
        <f t="shared" si="17"/>
        <v>47.8342583298255</v>
      </c>
    </row>
    <row r="524" spans="1:12">
      <c r="A524">
        <f t="shared" si="16"/>
        <v>2023</v>
      </c>
      <c r="B524" s="10">
        <v>45014</v>
      </c>
      <c r="C524" s="11">
        <v>56</v>
      </c>
      <c r="D524" s="11">
        <v>56</v>
      </c>
      <c r="E524" s="11">
        <v>56</v>
      </c>
      <c r="F524" s="11">
        <v>56</v>
      </c>
      <c r="G524" s="11">
        <v>0</v>
      </c>
      <c r="H524" s="11">
        <v>100</v>
      </c>
      <c r="I524" s="11">
        <v>5600</v>
      </c>
      <c r="J524" s="11">
        <v>232786585</v>
      </c>
      <c r="K524" s="11">
        <v>10647201765.34</v>
      </c>
      <c r="L524" s="6">
        <f t="shared" si="17"/>
        <v>56</v>
      </c>
    </row>
    <row r="525" spans="1:12">
      <c r="A525">
        <f t="shared" si="16"/>
        <v>2023</v>
      </c>
      <c r="B525" s="10">
        <v>45013</v>
      </c>
      <c r="C525" s="11">
        <v>56</v>
      </c>
      <c r="D525" s="11">
        <v>56</v>
      </c>
      <c r="E525" s="11">
        <v>56</v>
      </c>
      <c r="F525" s="11">
        <v>56</v>
      </c>
      <c r="G525" s="11">
        <v>0</v>
      </c>
      <c r="H525" s="11">
        <v>476100</v>
      </c>
      <c r="I525" s="11">
        <v>24563840</v>
      </c>
      <c r="J525" s="11">
        <v>232786485</v>
      </c>
      <c r="K525" s="11">
        <v>10647196165.34</v>
      </c>
      <c r="L525" s="6">
        <f t="shared" si="17"/>
        <v>51.5938668346986</v>
      </c>
    </row>
    <row r="526" spans="1:12">
      <c r="A526">
        <f t="shared" si="16"/>
        <v>2023</v>
      </c>
      <c r="B526" s="10">
        <v>45012</v>
      </c>
      <c r="C526" s="11">
        <v>56</v>
      </c>
      <c r="D526" s="11">
        <v>56</v>
      </c>
      <c r="E526" s="11">
        <v>56</v>
      </c>
      <c r="F526" s="11">
        <v>56</v>
      </c>
      <c r="G526" s="11">
        <v>0</v>
      </c>
      <c r="H526" s="11">
        <v>8900</v>
      </c>
      <c r="I526" s="11">
        <v>498400</v>
      </c>
      <c r="J526" s="11">
        <v>232310385</v>
      </c>
      <c r="K526" s="11">
        <v>10622632325.34</v>
      </c>
      <c r="L526" s="6">
        <f t="shared" si="17"/>
        <v>56</v>
      </c>
    </row>
    <row r="527" spans="1:12">
      <c r="A527">
        <f t="shared" si="16"/>
        <v>2023</v>
      </c>
      <c r="B527" s="10">
        <v>45009</v>
      </c>
      <c r="C527" s="11">
        <v>56</v>
      </c>
      <c r="D527" s="11">
        <v>56</v>
      </c>
      <c r="E527" s="11">
        <v>56</v>
      </c>
      <c r="F527" s="11">
        <v>56</v>
      </c>
      <c r="G527" s="11">
        <v>0</v>
      </c>
      <c r="H527" s="11">
        <v>10</v>
      </c>
      <c r="I527" s="11">
        <v>560</v>
      </c>
      <c r="J527" s="11">
        <v>232301485</v>
      </c>
      <c r="K527" s="11">
        <v>10622133925.34</v>
      </c>
      <c r="L527" s="6">
        <f t="shared" si="17"/>
        <v>56</v>
      </c>
    </row>
    <row r="528" spans="1:12">
      <c r="A528">
        <f t="shared" si="16"/>
        <v>2023</v>
      </c>
      <c r="B528" s="10">
        <v>45008</v>
      </c>
      <c r="C528" s="11">
        <v>56</v>
      </c>
      <c r="D528" s="11">
        <v>56</v>
      </c>
      <c r="E528" s="11">
        <v>56</v>
      </c>
      <c r="F528" s="11">
        <v>56</v>
      </c>
      <c r="G528" s="11">
        <v>0</v>
      </c>
      <c r="H528" s="11">
        <v>100</v>
      </c>
      <c r="I528" s="11">
        <v>5600</v>
      </c>
      <c r="J528" s="11">
        <v>232301475</v>
      </c>
      <c r="K528" s="11">
        <v>10622133365.34</v>
      </c>
      <c r="L528" s="6">
        <f t="shared" si="17"/>
        <v>56</v>
      </c>
    </row>
    <row r="529" spans="1:12">
      <c r="A529">
        <f t="shared" si="16"/>
        <v>2023</v>
      </c>
      <c r="B529" s="10">
        <v>45007</v>
      </c>
      <c r="C529" s="11">
        <v>56</v>
      </c>
      <c r="D529" s="11">
        <v>56</v>
      </c>
      <c r="E529" s="11">
        <v>56</v>
      </c>
      <c r="F529" s="11">
        <v>56</v>
      </c>
      <c r="G529" s="11">
        <v>0</v>
      </c>
      <c r="H529" s="11">
        <v>100</v>
      </c>
      <c r="I529" s="11">
        <v>5600</v>
      </c>
      <c r="J529" s="11">
        <v>232301375</v>
      </c>
      <c r="K529" s="11">
        <v>10622127765.34</v>
      </c>
      <c r="L529" s="6">
        <f t="shared" si="17"/>
        <v>56</v>
      </c>
    </row>
    <row r="530" spans="1:12">
      <c r="A530">
        <f t="shared" si="16"/>
        <v>2023</v>
      </c>
      <c r="B530" s="10">
        <v>45006</v>
      </c>
      <c r="C530" s="11">
        <v>56</v>
      </c>
      <c r="D530" s="11">
        <v>56</v>
      </c>
      <c r="E530" s="11">
        <v>56</v>
      </c>
      <c r="F530" s="11">
        <v>56</v>
      </c>
      <c r="G530" s="11">
        <v>-1.75</v>
      </c>
      <c r="H530" s="11">
        <v>1000</v>
      </c>
      <c r="I530" s="11">
        <v>56000</v>
      </c>
      <c r="J530" s="11">
        <v>232301275</v>
      </c>
      <c r="K530" s="11">
        <v>10622122165.34</v>
      </c>
      <c r="L530" s="6">
        <f t="shared" si="17"/>
        <v>56</v>
      </c>
    </row>
    <row r="531" spans="1:12">
      <c r="A531">
        <f t="shared" si="16"/>
        <v>2023</v>
      </c>
      <c r="B531" s="10">
        <v>45005</v>
      </c>
      <c r="C531" s="11">
        <v>57</v>
      </c>
      <c r="D531" s="11">
        <v>57</v>
      </c>
      <c r="E531" s="11">
        <v>57</v>
      </c>
      <c r="F531" s="11">
        <v>57</v>
      </c>
      <c r="G531" s="11">
        <v>0.44</v>
      </c>
      <c r="H531" s="11">
        <v>175</v>
      </c>
      <c r="I531" s="11">
        <v>9975</v>
      </c>
      <c r="J531" s="11">
        <v>232300275</v>
      </c>
      <c r="K531" s="11">
        <v>10622066165.34</v>
      </c>
      <c r="L531" s="6">
        <f t="shared" si="17"/>
        <v>57</v>
      </c>
    </row>
    <row r="532" spans="1:12">
      <c r="A532">
        <f t="shared" si="16"/>
        <v>2023</v>
      </c>
      <c r="B532" s="10">
        <v>45002</v>
      </c>
      <c r="C532" s="11">
        <v>56.75</v>
      </c>
      <c r="D532" s="11">
        <v>57.5</v>
      </c>
      <c r="E532" s="11">
        <v>57.5</v>
      </c>
      <c r="F532" s="11">
        <v>55</v>
      </c>
      <c r="G532" s="11">
        <v>1.34</v>
      </c>
      <c r="H532" s="11">
        <v>1001</v>
      </c>
      <c r="I532" s="11">
        <v>56805</v>
      </c>
      <c r="J532" s="11">
        <v>232300100</v>
      </c>
      <c r="K532" s="11">
        <v>10622056190.34</v>
      </c>
      <c r="L532" s="6">
        <f t="shared" si="17"/>
        <v>56.7482517482517</v>
      </c>
    </row>
    <row r="533" spans="1:12">
      <c r="A533">
        <f t="shared" si="16"/>
        <v>2023</v>
      </c>
      <c r="B533" s="10">
        <v>45001</v>
      </c>
      <c r="C533" s="11">
        <v>56</v>
      </c>
      <c r="D533" s="11">
        <v>56</v>
      </c>
      <c r="E533" s="11">
        <v>56</v>
      </c>
      <c r="F533" s="11">
        <v>56</v>
      </c>
      <c r="G533" s="11">
        <v>0</v>
      </c>
      <c r="H533" s="11">
        <v>500</v>
      </c>
      <c r="I533" s="11">
        <v>28000</v>
      </c>
      <c r="J533" s="11">
        <v>232299099</v>
      </c>
      <c r="K533" s="11">
        <v>10621999385.34</v>
      </c>
      <c r="L533" s="6">
        <f t="shared" si="17"/>
        <v>56</v>
      </c>
    </row>
    <row r="534" spans="1:12">
      <c r="A534">
        <f t="shared" si="16"/>
        <v>2023</v>
      </c>
      <c r="B534" s="10">
        <v>45000</v>
      </c>
      <c r="C534" s="11">
        <v>56</v>
      </c>
      <c r="D534" s="11">
        <v>56</v>
      </c>
      <c r="E534" s="11">
        <v>56</v>
      </c>
      <c r="F534" s="11">
        <v>56</v>
      </c>
      <c r="G534" s="11">
        <v>0</v>
      </c>
      <c r="H534" s="11">
        <v>1000</v>
      </c>
      <c r="I534" s="11">
        <v>56000</v>
      </c>
      <c r="J534" s="11">
        <v>232298599</v>
      </c>
      <c r="K534" s="11">
        <v>10621971385.34</v>
      </c>
      <c r="L534" s="6">
        <f t="shared" si="17"/>
        <v>56</v>
      </c>
    </row>
    <row r="535" spans="1:12">
      <c r="A535">
        <f t="shared" si="16"/>
        <v>2023</v>
      </c>
      <c r="B535" s="10">
        <v>44999</v>
      </c>
      <c r="C535" s="11">
        <v>56</v>
      </c>
      <c r="D535" s="11">
        <v>56</v>
      </c>
      <c r="E535" s="11">
        <v>56</v>
      </c>
      <c r="F535" s="11">
        <v>56</v>
      </c>
      <c r="G535" s="11">
        <v>0</v>
      </c>
      <c r="H535" s="11">
        <v>1010</v>
      </c>
      <c r="I535" s="11">
        <v>56565</v>
      </c>
      <c r="J535" s="11">
        <v>232297599</v>
      </c>
      <c r="K535" s="11">
        <v>10621915385.34</v>
      </c>
      <c r="L535" s="6">
        <f t="shared" si="17"/>
        <v>56.0049504950495</v>
      </c>
    </row>
    <row r="536" spans="1:12">
      <c r="A536">
        <f t="shared" si="16"/>
        <v>2023</v>
      </c>
      <c r="B536" s="10">
        <v>44998</v>
      </c>
      <c r="C536" s="11">
        <v>56</v>
      </c>
      <c r="D536" s="11">
        <v>56</v>
      </c>
      <c r="E536" s="11">
        <v>56</v>
      </c>
      <c r="F536" s="11">
        <v>56</v>
      </c>
      <c r="G536" s="11">
        <v>0</v>
      </c>
      <c r="H536" s="11">
        <v>510</v>
      </c>
      <c r="I536" s="11">
        <v>28560</v>
      </c>
      <c r="J536" s="11">
        <v>232296589</v>
      </c>
      <c r="K536" s="11">
        <v>10621858820.34</v>
      </c>
      <c r="L536" s="6">
        <f t="shared" si="17"/>
        <v>56</v>
      </c>
    </row>
    <row r="537" spans="1:12">
      <c r="A537">
        <f t="shared" si="16"/>
        <v>2023</v>
      </c>
      <c r="B537" s="10">
        <v>44995</v>
      </c>
      <c r="C537" s="11">
        <v>56</v>
      </c>
      <c r="D537" s="11">
        <v>56</v>
      </c>
      <c r="E537" s="11">
        <v>56</v>
      </c>
      <c r="F537" s="11">
        <v>56</v>
      </c>
      <c r="G537" s="11">
        <v>0</v>
      </c>
      <c r="H537" s="11">
        <v>10</v>
      </c>
      <c r="I537" s="11">
        <v>560</v>
      </c>
      <c r="J537" s="11">
        <v>232296079</v>
      </c>
      <c r="K537" s="11">
        <v>10621830260.34</v>
      </c>
      <c r="L537" s="6">
        <f t="shared" si="17"/>
        <v>56</v>
      </c>
    </row>
    <row r="538" spans="1:12">
      <c r="A538">
        <f t="shared" si="16"/>
        <v>2023</v>
      </c>
      <c r="B538" s="10">
        <v>44994</v>
      </c>
      <c r="C538" s="11">
        <v>56</v>
      </c>
      <c r="D538" s="11">
        <v>56</v>
      </c>
      <c r="E538" s="11">
        <v>56</v>
      </c>
      <c r="F538" s="11">
        <v>56</v>
      </c>
      <c r="G538" s="11">
        <v>0</v>
      </c>
      <c r="H538" s="11">
        <v>1000</v>
      </c>
      <c r="I538" s="11">
        <v>56000</v>
      </c>
      <c r="J538" s="11">
        <v>232296069</v>
      </c>
      <c r="K538" s="11">
        <v>10621829700.34</v>
      </c>
      <c r="L538" s="6">
        <f t="shared" si="17"/>
        <v>56</v>
      </c>
    </row>
    <row r="539" spans="1:12">
      <c r="A539">
        <f t="shared" si="16"/>
        <v>2023</v>
      </c>
      <c r="B539" s="10">
        <v>44993</v>
      </c>
      <c r="C539" s="11">
        <v>56</v>
      </c>
      <c r="D539" s="11">
        <v>56</v>
      </c>
      <c r="E539" s="11">
        <v>56</v>
      </c>
      <c r="F539" s="11">
        <v>56</v>
      </c>
      <c r="G539" s="11">
        <v>0</v>
      </c>
      <c r="H539" s="11">
        <v>500</v>
      </c>
      <c r="I539" s="11">
        <v>28000</v>
      </c>
      <c r="J539" s="11">
        <v>232295069</v>
      </c>
      <c r="K539" s="11">
        <v>10621773700.34</v>
      </c>
      <c r="L539" s="6">
        <f t="shared" si="17"/>
        <v>56</v>
      </c>
    </row>
    <row r="540" spans="1:12">
      <c r="A540">
        <f t="shared" si="16"/>
        <v>2023</v>
      </c>
      <c r="B540" s="10">
        <v>44992</v>
      </c>
      <c r="C540" s="11">
        <v>56</v>
      </c>
      <c r="D540" s="11">
        <v>56</v>
      </c>
      <c r="E540" s="11">
        <v>56</v>
      </c>
      <c r="F540" s="11">
        <v>56</v>
      </c>
      <c r="G540" s="11">
        <v>0.9</v>
      </c>
      <c r="H540" s="11">
        <v>200500</v>
      </c>
      <c r="I540" s="11">
        <v>11368000</v>
      </c>
      <c r="J540" s="11">
        <v>232294569</v>
      </c>
      <c r="K540" s="11">
        <v>10621745700.34</v>
      </c>
      <c r="L540" s="6">
        <f t="shared" si="17"/>
        <v>56.6982543640898</v>
      </c>
    </row>
    <row r="541" spans="1:12">
      <c r="A541">
        <f t="shared" si="16"/>
        <v>2023</v>
      </c>
      <c r="B541" s="10">
        <v>44991</v>
      </c>
      <c r="C541" s="11">
        <v>55.5</v>
      </c>
      <c r="D541" s="11">
        <v>55</v>
      </c>
      <c r="E541" s="11">
        <v>56</v>
      </c>
      <c r="F541" s="11">
        <v>55</v>
      </c>
      <c r="G541" s="11">
        <v>-0.89</v>
      </c>
      <c r="H541" s="11">
        <v>1010</v>
      </c>
      <c r="I541" s="11">
        <v>56060</v>
      </c>
      <c r="J541" s="11">
        <v>232094069</v>
      </c>
      <c r="K541" s="11">
        <v>10610377700.34</v>
      </c>
      <c r="L541" s="6">
        <f t="shared" si="17"/>
        <v>55.5049504950495</v>
      </c>
    </row>
    <row r="542" spans="1:12">
      <c r="A542">
        <f t="shared" si="16"/>
        <v>2023</v>
      </c>
      <c r="B542" s="10">
        <v>44988</v>
      </c>
      <c r="C542" s="11">
        <v>56</v>
      </c>
      <c r="D542" s="11">
        <v>56</v>
      </c>
      <c r="E542" s="11">
        <v>56</v>
      </c>
      <c r="F542" s="11">
        <v>56</v>
      </c>
      <c r="G542" s="11">
        <v>1.82</v>
      </c>
      <c r="H542" s="11">
        <v>300010</v>
      </c>
      <c r="I542" s="11">
        <v>17010560</v>
      </c>
      <c r="J542" s="11">
        <v>232093059</v>
      </c>
      <c r="K542" s="11">
        <v>10610321640.34</v>
      </c>
      <c r="L542" s="6">
        <f t="shared" si="17"/>
        <v>56.6999766674444</v>
      </c>
    </row>
    <row r="543" spans="1:12">
      <c r="A543">
        <f t="shared" si="16"/>
        <v>2023</v>
      </c>
      <c r="B543" s="10">
        <v>44987</v>
      </c>
      <c r="C543" s="11">
        <v>55</v>
      </c>
      <c r="D543" s="11">
        <v>55</v>
      </c>
      <c r="E543" s="11">
        <v>55</v>
      </c>
      <c r="F543" s="11">
        <v>55</v>
      </c>
      <c r="G543" s="11">
        <v>-0.9</v>
      </c>
      <c r="H543" s="11">
        <v>1000</v>
      </c>
      <c r="I543" s="11">
        <v>55000</v>
      </c>
      <c r="J543" s="11">
        <v>231793049</v>
      </c>
      <c r="K543" s="11">
        <v>10593311080.34</v>
      </c>
      <c r="L543" s="6">
        <f t="shared" si="17"/>
        <v>55</v>
      </c>
    </row>
    <row r="544" spans="1:12">
      <c r="A544">
        <f t="shared" si="16"/>
        <v>2023</v>
      </c>
      <c r="B544" s="10">
        <v>44986</v>
      </c>
      <c r="C544" s="11">
        <v>55.5</v>
      </c>
      <c r="D544" s="11">
        <v>55</v>
      </c>
      <c r="E544" s="11">
        <v>56.5</v>
      </c>
      <c r="F544" s="11">
        <v>55</v>
      </c>
      <c r="G544" s="11">
        <v>0.91</v>
      </c>
      <c r="H544" s="11">
        <v>1500</v>
      </c>
      <c r="I544" s="11">
        <v>83250</v>
      </c>
      <c r="J544" s="11">
        <v>231792049</v>
      </c>
      <c r="K544" s="11">
        <v>10593256080.34</v>
      </c>
      <c r="L544" s="6">
        <f t="shared" si="17"/>
        <v>55.5</v>
      </c>
    </row>
    <row r="545" spans="1:12">
      <c r="A545">
        <f t="shared" si="16"/>
        <v>2023</v>
      </c>
      <c r="B545" s="10">
        <v>44985</v>
      </c>
      <c r="C545" s="11">
        <v>55</v>
      </c>
      <c r="D545" s="11">
        <v>55</v>
      </c>
      <c r="E545" s="11">
        <v>55</v>
      </c>
      <c r="F545" s="11">
        <v>55</v>
      </c>
      <c r="G545" s="11">
        <v>0</v>
      </c>
      <c r="H545" s="11">
        <v>500</v>
      </c>
      <c r="I545" s="11">
        <v>27500</v>
      </c>
      <c r="J545" s="11">
        <v>231790549</v>
      </c>
      <c r="K545" s="11">
        <v>10593172830.34</v>
      </c>
      <c r="L545" s="6">
        <f t="shared" si="17"/>
        <v>55</v>
      </c>
    </row>
    <row r="546" spans="1:12">
      <c r="A546">
        <f t="shared" si="16"/>
        <v>2023</v>
      </c>
      <c r="B546" s="10">
        <v>44984</v>
      </c>
      <c r="C546" s="11">
        <v>55</v>
      </c>
      <c r="D546" s="11">
        <v>55</v>
      </c>
      <c r="E546" s="11">
        <v>55</v>
      </c>
      <c r="F546" s="11">
        <v>55</v>
      </c>
      <c r="G546" s="11">
        <v>-2.65</v>
      </c>
      <c r="H546" s="11">
        <v>10000</v>
      </c>
      <c r="I546" s="11">
        <v>550000</v>
      </c>
      <c r="J546" s="11">
        <v>231790049</v>
      </c>
      <c r="K546" s="11">
        <v>10593145330.34</v>
      </c>
      <c r="L546" s="6">
        <f t="shared" si="17"/>
        <v>55</v>
      </c>
    </row>
    <row r="547" spans="1:12">
      <c r="A547">
        <f t="shared" si="16"/>
        <v>2023</v>
      </c>
      <c r="B547" s="10">
        <v>44981</v>
      </c>
      <c r="C547" s="11">
        <v>56.5</v>
      </c>
      <c r="D547" s="11">
        <v>56.5</v>
      </c>
      <c r="E547" s="11">
        <v>56.5</v>
      </c>
      <c r="F547" s="11">
        <v>56.5</v>
      </c>
      <c r="G547" s="11">
        <v>0</v>
      </c>
      <c r="H547" s="11">
        <v>1000010</v>
      </c>
      <c r="I547" s="11">
        <v>55000565</v>
      </c>
      <c r="J547" s="11">
        <v>231780049</v>
      </c>
      <c r="K547" s="11">
        <v>10592595330.34</v>
      </c>
      <c r="L547" s="6">
        <f t="shared" si="17"/>
        <v>55.00001499985</v>
      </c>
    </row>
    <row r="548" spans="1:12">
      <c r="A548">
        <f t="shared" si="16"/>
        <v>2023</v>
      </c>
      <c r="B548" s="10">
        <v>44980</v>
      </c>
      <c r="C548" s="11">
        <v>56.5</v>
      </c>
      <c r="D548" s="11">
        <v>56.5</v>
      </c>
      <c r="E548" s="11">
        <v>56.5</v>
      </c>
      <c r="F548" s="11">
        <v>56.5</v>
      </c>
      <c r="G548" s="11">
        <v>-0.88</v>
      </c>
      <c r="H548" s="11">
        <v>500</v>
      </c>
      <c r="I548" s="11">
        <v>28250</v>
      </c>
      <c r="J548" s="11">
        <v>230780039</v>
      </c>
      <c r="K548" s="11">
        <v>10537594765.34</v>
      </c>
      <c r="L548" s="6">
        <f t="shared" si="17"/>
        <v>56.5</v>
      </c>
    </row>
    <row r="549" spans="1:12">
      <c r="A549">
        <f t="shared" si="16"/>
        <v>2023</v>
      </c>
      <c r="B549" s="10">
        <v>44979</v>
      </c>
      <c r="C549" s="11">
        <v>57</v>
      </c>
      <c r="D549" s="11">
        <v>57</v>
      </c>
      <c r="E549" s="11">
        <v>57</v>
      </c>
      <c r="F549" s="11">
        <v>57</v>
      </c>
      <c r="G549" s="11">
        <v>0</v>
      </c>
      <c r="H549" s="11">
        <v>500</v>
      </c>
      <c r="I549" s="11">
        <v>28500</v>
      </c>
      <c r="J549" s="11">
        <v>230779539</v>
      </c>
      <c r="K549" s="11">
        <v>10537566515.34</v>
      </c>
      <c r="L549" s="6">
        <f t="shared" si="17"/>
        <v>57</v>
      </c>
    </row>
    <row r="550" spans="1:12">
      <c r="A550">
        <f t="shared" si="16"/>
        <v>2023</v>
      </c>
      <c r="B550" s="10">
        <v>44978</v>
      </c>
      <c r="C550" s="11">
        <v>57</v>
      </c>
      <c r="D550" s="11">
        <v>57</v>
      </c>
      <c r="E550" s="11">
        <v>57</v>
      </c>
      <c r="F550" s="11">
        <v>57</v>
      </c>
      <c r="G550" s="11">
        <v>1.42</v>
      </c>
      <c r="H550" s="11">
        <v>500</v>
      </c>
      <c r="I550" s="11">
        <v>28500</v>
      </c>
      <c r="J550" s="11">
        <v>230779039</v>
      </c>
      <c r="K550" s="11">
        <v>10537538015.34</v>
      </c>
      <c r="L550" s="6">
        <f t="shared" si="17"/>
        <v>57</v>
      </c>
    </row>
    <row r="551" spans="1:12">
      <c r="A551">
        <f t="shared" si="16"/>
        <v>2023</v>
      </c>
      <c r="B551" s="10">
        <v>44977</v>
      </c>
      <c r="C551" s="11">
        <v>56.2</v>
      </c>
      <c r="D551" s="11">
        <v>56.2</v>
      </c>
      <c r="E551" s="11">
        <v>56.2</v>
      </c>
      <c r="F551" s="11">
        <v>56.2</v>
      </c>
      <c r="G551" s="11">
        <v>-0.18</v>
      </c>
      <c r="H551" s="11">
        <v>500</v>
      </c>
      <c r="I551" s="11">
        <v>28100</v>
      </c>
      <c r="J551" s="11">
        <v>230778539</v>
      </c>
      <c r="K551" s="11">
        <v>10537509515.34</v>
      </c>
      <c r="L551" s="6">
        <f t="shared" si="17"/>
        <v>56.2</v>
      </c>
    </row>
    <row r="552" spans="1:12">
      <c r="A552">
        <f t="shared" si="16"/>
        <v>2023</v>
      </c>
      <c r="B552" s="10">
        <v>44974</v>
      </c>
      <c r="C552" s="11">
        <v>56.3</v>
      </c>
      <c r="D552" s="11">
        <v>56.3</v>
      </c>
      <c r="E552" s="11">
        <v>56.3</v>
      </c>
      <c r="F552" s="11">
        <v>56.3</v>
      </c>
      <c r="G552" s="11">
        <v>0</v>
      </c>
      <c r="H552" s="11">
        <v>200000</v>
      </c>
      <c r="I552" s="11">
        <v>11260000</v>
      </c>
      <c r="J552" s="11">
        <v>230778039</v>
      </c>
      <c r="K552" s="11">
        <v>10537481415.34</v>
      </c>
      <c r="L552" s="6">
        <f t="shared" si="17"/>
        <v>56.3</v>
      </c>
    </row>
    <row r="553" spans="1:12">
      <c r="A553">
        <f t="shared" si="16"/>
        <v>2023</v>
      </c>
      <c r="B553" s="10">
        <v>44973</v>
      </c>
      <c r="C553" s="11">
        <v>56.3</v>
      </c>
      <c r="D553" s="11">
        <v>56.3</v>
      </c>
      <c r="E553" s="11">
        <v>56.3</v>
      </c>
      <c r="F553" s="11">
        <v>56.2</v>
      </c>
      <c r="G553" s="11">
        <v>0.46</v>
      </c>
      <c r="H553" s="11">
        <v>10466</v>
      </c>
      <c r="I553" s="11">
        <v>589185.8</v>
      </c>
      <c r="J553" s="11">
        <v>230578039</v>
      </c>
      <c r="K553" s="11">
        <v>10526221415.34</v>
      </c>
      <c r="L553" s="6">
        <f t="shared" si="17"/>
        <v>56.295222625645</v>
      </c>
    </row>
    <row r="554" spans="1:12">
      <c r="A554">
        <f t="shared" si="16"/>
        <v>2023</v>
      </c>
      <c r="B554" s="10">
        <v>44972</v>
      </c>
      <c r="C554" s="11">
        <v>56.04</v>
      </c>
      <c r="D554" s="11">
        <v>56</v>
      </c>
      <c r="E554" s="11">
        <v>57.5</v>
      </c>
      <c r="F554" s="11">
        <v>56</v>
      </c>
      <c r="G554" s="11">
        <v>0.07</v>
      </c>
      <c r="H554" s="11">
        <v>320510</v>
      </c>
      <c r="I554" s="11">
        <v>18399310</v>
      </c>
      <c r="J554" s="11">
        <v>230567573</v>
      </c>
      <c r="K554" s="11">
        <v>10525632229.54</v>
      </c>
      <c r="L554" s="6">
        <f t="shared" si="17"/>
        <v>57.4063523759009</v>
      </c>
    </row>
    <row r="555" spans="1:12">
      <c r="A555">
        <f t="shared" si="16"/>
        <v>2023</v>
      </c>
      <c r="B555" s="10">
        <v>44971</v>
      </c>
      <c r="C555" s="11">
        <v>56</v>
      </c>
      <c r="D555" s="11">
        <v>56</v>
      </c>
      <c r="E555" s="11">
        <v>56</v>
      </c>
      <c r="F555" s="11">
        <v>56</v>
      </c>
      <c r="G555" s="11">
        <v>0</v>
      </c>
      <c r="H555" s="11">
        <v>200500</v>
      </c>
      <c r="I555" s="11">
        <v>11528000</v>
      </c>
      <c r="J555" s="11">
        <v>230247063</v>
      </c>
      <c r="K555" s="11">
        <v>10507232919.54</v>
      </c>
      <c r="L555" s="6">
        <f t="shared" si="17"/>
        <v>57.4962593516209</v>
      </c>
    </row>
    <row r="556" spans="1:12">
      <c r="A556">
        <f t="shared" si="16"/>
        <v>2023</v>
      </c>
      <c r="B556" s="10">
        <v>44970</v>
      </c>
      <c r="C556" s="11">
        <v>56</v>
      </c>
      <c r="D556" s="11">
        <v>56</v>
      </c>
      <c r="E556" s="11">
        <v>56</v>
      </c>
      <c r="F556" s="11">
        <v>56</v>
      </c>
      <c r="G556" s="11">
        <v>0</v>
      </c>
      <c r="H556" s="11">
        <v>500</v>
      </c>
      <c r="I556" s="11">
        <v>28000</v>
      </c>
      <c r="J556" s="11">
        <v>230046563</v>
      </c>
      <c r="K556" s="11">
        <v>10495704919.54</v>
      </c>
      <c r="L556" s="6">
        <f t="shared" si="17"/>
        <v>56</v>
      </c>
    </row>
    <row r="557" spans="1:12">
      <c r="A557">
        <f t="shared" si="16"/>
        <v>2023</v>
      </c>
      <c r="B557" s="10">
        <v>44967</v>
      </c>
      <c r="C557" s="11">
        <v>56</v>
      </c>
      <c r="D557" s="11">
        <v>56</v>
      </c>
      <c r="E557" s="11">
        <v>56</v>
      </c>
      <c r="F557" s="11">
        <v>56</v>
      </c>
      <c r="G557" s="11">
        <v>0</v>
      </c>
      <c r="H557" s="11">
        <v>10</v>
      </c>
      <c r="I557" s="11">
        <v>560</v>
      </c>
      <c r="J557" s="11">
        <v>230046063</v>
      </c>
      <c r="K557" s="11">
        <v>10495676919.54</v>
      </c>
      <c r="L557" s="6">
        <f t="shared" si="17"/>
        <v>56</v>
      </c>
    </row>
    <row r="558" spans="1:12">
      <c r="A558">
        <f t="shared" si="16"/>
        <v>2023</v>
      </c>
      <c r="B558" s="10">
        <v>44966</v>
      </c>
      <c r="C558" s="11">
        <v>56</v>
      </c>
      <c r="D558" s="11">
        <v>56</v>
      </c>
      <c r="E558" s="11">
        <v>56</v>
      </c>
      <c r="F558" s="11">
        <v>56</v>
      </c>
      <c r="G558" s="11">
        <v>0</v>
      </c>
      <c r="H558" s="11">
        <v>100100</v>
      </c>
      <c r="I558" s="11">
        <v>5555600</v>
      </c>
      <c r="J558" s="11">
        <v>230046053</v>
      </c>
      <c r="K558" s="11">
        <v>10495676359.54</v>
      </c>
      <c r="L558" s="6">
        <f t="shared" si="17"/>
        <v>55.5004995004995</v>
      </c>
    </row>
    <row r="559" spans="1:12">
      <c r="A559">
        <f t="shared" si="16"/>
        <v>2023</v>
      </c>
      <c r="B559" s="10">
        <v>44965</v>
      </c>
      <c r="C559" s="11">
        <v>56</v>
      </c>
      <c r="D559" s="11">
        <v>56</v>
      </c>
      <c r="E559" s="11">
        <v>56</v>
      </c>
      <c r="F559" s="11">
        <v>56</v>
      </c>
      <c r="G559" s="11">
        <v>0</v>
      </c>
      <c r="H559" s="11">
        <v>100</v>
      </c>
      <c r="I559" s="11">
        <v>5600</v>
      </c>
      <c r="J559" s="11">
        <v>229945953</v>
      </c>
      <c r="K559" s="11">
        <v>10490120759.54</v>
      </c>
      <c r="L559" s="6">
        <f t="shared" si="17"/>
        <v>56</v>
      </c>
    </row>
    <row r="560" spans="1:12">
      <c r="A560">
        <f t="shared" si="16"/>
        <v>2023</v>
      </c>
      <c r="B560" s="10">
        <v>44964</v>
      </c>
      <c r="C560" s="11">
        <v>56</v>
      </c>
      <c r="D560" s="11">
        <v>56</v>
      </c>
      <c r="E560" s="11">
        <v>56</v>
      </c>
      <c r="F560" s="11">
        <v>56</v>
      </c>
      <c r="G560" s="11">
        <v>0</v>
      </c>
      <c r="H560" s="11">
        <v>8500</v>
      </c>
      <c r="I560" s="11">
        <v>476000</v>
      </c>
      <c r="J560" s="11">
        <v>229945853</v>
      </c>
      <c r="K560" s="11">
        <v>10490115159.54</v>
      </c>
      <c r="L560" s="6">
        <f t="shared" si="17"/>
        <v>56</v>
      </c>
    </row>
    <row r="561" spans="1:12">
      <c r="A561">
        <f t="shared" si="16"/>
        <v>2023</v>
      </c>
      <c r="B561" s="10">
        <v>44963</v>
      </c>
      <c r="C561" s="11">
        <v>56</v>
      </c>
      <c r="D561" s="11">
        <v>56</v>
      </c>
      <c r="E561" s="11">
        <v>56</v>
      </c>
      <c r="F561" s="11">
        <v>56</v>
      </c>
      <c r="G561" s="11">
        <v>0</v>
      </c>
      <c r="H561" s="11">
        <v>600</v>
      </c>
      <c r="I561" s="11">
        <v>33600</v>
      </c>
      <c r="J561" s="11">
        <v>229937353</v>
      </c>
      <c r="K561" s="11">
        <v>10489639159.54</v>
      </c>
      <c r="L561" s="6">
        <f t="shared" si="17"/>
        <v>56</v>
      </c>
    </row>
    <row r="562" spans="1:12">
      <c r="A562">
        <f t="shared" si="16"/>
        <v>2023</v>
      </c>
      <c r="B562" s="10">
        <v>44960</v>
      </c>
      <c r="C562" s="11">
        <v>56</v>
      </c>
      <c r="D562" s="11">
        <v>56</v>
      </c>
      <c r="E562" s="11">
        <v>56</v>
      </c>
      <c r="F562" s="11">
        <v>56</v>
      </c>
      <c r="G562" s="11">
        <v>0</v>
      </c>
      <c r="H562" s="11">
        <v>110</v>
      </c>
      <c r="I562" s="11">
        <v>6160</v>
      </c>
      <c r="J562" s="11">
        <v>229936753</v>
      </c>
      <c r="K562" s="11">
        <v>10489605559.54</v>
      </c>
      <c r="L562" s="6">
        <f t="shared" si="17"/>
        <v>56</v>
      </c>
    </row>
    <row r="563" spans="1:12">
      <c r="A563">
        <f t="shared" si="16"/>
        <v>2023</v>
      </c>
      <c r="B563" s="10">
        <v>44959</v>
      </c>
      <c r="C563" s="11">
        <v>56</v>
      </c>
      <c r="D563" s="11">
        <v>56</v>
      </c>
      <c r="E563" s="11">
        <v>56</v>
      </c>
      <c r="F563" s="11">
        <v>56</v>
      </c>
      <c r="G563" s="11">
        <v>0</v>
      </c>
      <c r="H563" s="11">
        <v>300</v>
      </c>
      <c r="I563" s="11">
        <v>16800</v>
      </c>
      <c r="J563" s="11">
        <v>229936643</v>
      </c>
      <c r="K563" s="11">
        <v>10489599399.54</v>
      </c>
      <c r="L563" s="6">
        <f t="shared" si="17"/>
        <v>56</v>
      </c>
    </row>
    <row r="564" spans="1:12">
      <c r="A564">
        <f t="shared" si="16"/>
        <v>2023</v>
      </c>
      <c r="B564" s="10">
        <v>44958</v>
      </c>
      <c r="C564" s="11">
        <v>56</v>
      </c>
      <c r="D564" s="11">
        <v>56</v>
      </c>
      <c r="E564" s="11">
        <v>56</v>
      </c>
      <c r="F564" s="11">
        <v>56</v>
      </c>
      <c r="G564" s="11">
        <v>0</v>
      </c>
      <c r="H564" s="11">
        <v>100</v>
      </c>
      <c r="I564" s="11">
        <v>5600</v>
      </c>
      <c r="J564" s="11">
        <v>229936343</v>
      </c>
      <c r="K564" s="11">
        <v>10489582599.54</v>
      </c>
      <c r="L564" s="6">
        <f t="shared" si="17"/>
        <v>56</v>
      </c>
    </row>
    <row r="565" spans="1:12">
      <c r="A565">
        <f t="shared" si="16"/>
        <v>2023</v>
      </c>
      <c r="B565" s="10">
        <v>44957</v>
      </c>
      <c r="C565" s="11">
        <v>56</v>
      </c>
      <c r="D565" s="11">
        <v>56</v>
      </c>
      <c r="E565" s="11">
        <v>56</v>
      </c>
      <c r="F565" s="11">
        <v>56</v>
      </c>
      <c r="G565" s="11">
        <v>0</v>
      </c>
      <c r="H565" s="11">
        <v>600</v>
      </c>
      <c r="I565" s="11">
        <v>33600</v>
      </c>
      <c r="J565" s="11">
        <v>229936243</v>
      </c>
      <c r="K565" s="11">
        <v>10489576999.54</v>
      </c>
      <c r="L565" s="6">
        <f t="shared" si="17"/>
        <v>56</v>
      </c>
    </row>
    <row r="566" spans="1:12">
      <c r="A566">
        <f t="shared" si="16"/>
        <v>2023</v>
      </c>
      <c r="B566" s="10">
        <v>44956</v>
      </c>
      <c r="C566" s="11">
        <v>56</v>
      </c>
      <c r="D566" s="11">
        <v>56</v>
      </c>
      <c r="E566" s="11">
        <v>56</v>
      </c>
      <c r="F566" s="11">
        <v>56</v>
      </c>
      <c r="G566" s="11">
        <v>0</v>
      </c>
      <c r="H566" s="11">
        <v>600</v>
      </c>
      <c r="I566" s="11">
        <v>33600</v>
      </c>
      <c r="J566" s="11">
        <v>229935643</v>
      </c>
      <c r="K566" s="11">
        <v>10489543399.54</v>
      </c>
      <c r="L566" s="6">
        <f t="shared" si="17"/>
        <v>56</v>
      </c>
    </row>
    <row r="567" spans="1:12">
      <c r="A567">
        <f t="shared" si="16"/>
        <v>2023</v>
      </c>
      <c r="B567" s="10">
        <v>44946</v>
      </c>
      <c r="C567" s="11">
        <v>56</v>
      </c>
      <c r="D567" s="11">
        <v>56</v>
      </c>
      <c r="E567" s="11">
        <v>56</v>
      </c>
      <c r="F567" s="11">
        <v>56</v>
      </c>
      <c r="G567" s="11">
        <v>0</v>
      </c>
      <c r="H567" s="11">
        <v>10</v>
      </c>
      <c r="I567" s="11">
        <v>560</v>
      </c>
      <c r="J567" s="11">
        <v>229935043</v>
      </c>
      <c r="K567" s="11">
        <v>10489509799.54</v>
      </c>
      <c r="L567" s="6">
        <f t="shared" si="17"/>
        <v>56</v>
      </c>
    </row>
    <row r="568" spans="1:12">
      <c r="A568">
        <f t="shared" si="16"/>
        <v>2023</v>
      </c>
      <c r="B568" s="10">
        <v>44945</v>
      </c>
      <c r="C568" s="11">
        <v>56</v>
      </c>
      <c r="D568" s="11">
        <v>56</v>
      </c>
      <c r="E568" s="11">
        <v>56</v>
      </c>
      <c r="F568" s="11">
        <v>56</v>
      </c>
      <c r="G568" s="11">
        <v>0</v>
      </c>
      <c r="H568" s="11">
        <v>100</v>
      </c>
      <c r="I568" s="11">
        <v>5600</v>
      </c>
      <c r="J568" s="11">
        <v>229935033</v>
      </c>
      <c r="K568" s="11">
        <v>10489509239.54</v>
      </c>
      <c r="L568" s="6">
        <f t="shared" si="17"/>
        <v>56</v>
      </c>
    </row>
    <row r="569" spans="1:12">
      <c r="A569">
        <f t="shared" si="16"/>
        <v>2023</v>
      </c>
      <c r="B569" s="10">
        <v>44944</v>
      </c>
      <c r="C569" s="11">
        <v>56</v>
      </c>
      <c r="D569" s="11">
        <v>56</v>
      </c>
      <c r="E569" s="11">
        <v>56</v>
      </c>
      <c r="F569" s="11">
        <v>56</v>
      </c>
      <c r="G569" s="11">
        <v>0.48</v>
      </c>
      <c r="H569" s="11">
        <v>100</v>
      </c>
      <c r="I569" s="11">
        <v>5600</v>
      </c>
      <c r="J569" s="11">
        <v>229934933</v>
      </c>
      <c r="K569" s="11">
        <v>10489503639.54</v>
      </c>
      <c r="L569" s="6">
        <f t="shared" si="17"/>
        <v>56</v>
      </c>
    </row>
    <row r="570" spans="1:12">
      <c r="A570">
        <f t="shared" si="16"/>
        <v>2023</v>
      </c>
      <c r="B570" s="10">
        <v>44943</v>
      </c>
      <c r="C570" s="11">
        <v>55.73</v>
      </c>
      <c r="D570" s="11">
        <v>55.73</v>
      </c>
      <c r="E570" s="11">
        <v>55.73</v>
      </c>
      <c r="F570" s="11">
        <v>55.73</v>
      </c>
      <c r="G570" s="11">
        <v>0</v>
      </c>
      <c r="H570" s="11">
        <v>99999</v>
      </c>
      <c r="I570" s="11">
        <v>5572944.27</v>
      </c>
      <c r="J570" s="11">
        <v>229934833</v>
      </c>
      <c r="K570" s="11">
        <v>10489498039.54</v>
      </c>
      <c r="L570" s="6">
        <f t="shared" si="17"/>
        <v>55.73</v>
      </c>
    </row>
    <row r="571" spans="1:12">
      <c r="A571">
        <f t="shared" si="16"/>
        <v>2023</v>
      </c>
      <c r="B571" s="10">
        <v>44942</v>
      </c>
      <c r="C571" s="11">
        <v>55.73</v>
      </c>
      <c r="D571" s="11">
        <v>55.73</v>
      </c>
      <c r="E571" s="11">
        <v>55.73</v>
      </c>
      <c r="F571" s="11">
        <v>55.73</v>
      </c>
      <c r="G571" s="11">
        <v>0.41</v>
      </c>
      <c r="H571" s="11">
        <v>150000</v>
      </c>
      <c r="I571" s="11">
        <v>8359500</v>
      </c>
      <c r="J571" s="11">
        <v>229834834</v>
      </c>
      <c r="K571" s="11">
        <v>10483925095.27</v>
      </c>
      <c r="L571" s="6">
        <f t="shared" si="17"/>
        <v>55.73</v>
      </c>
    </row>
    <row r="572" spans="1:12">
      <c r="A572">
        <f t="shared" si="16"/>
        <v>2023</v>
      </c>
      <c r="B572" s="10">
        <v>44939</v>
      </c>
      <c r="C572" s="11">
        <v>55.5</v>
      </c>
      <c r="D572" s="11">
        <v>55.5</v>
      </c>
      <c r="E572" s="11">
        <v>55.5</v>
      </c>
      <c r="F572" s="11">
        <v>55.5</v>
      </c>
      <c r="G572" s="11">
        <v>0</v>
      </c>
      <c r="H572" s="11">
        <v>100</v>
      </c>
      <c r="I572" s="11">
        <v>5550</v>
      </c>
      <c r="J572" s="11">
        <v>229684834</v>
      </c>
      <c r="K572" s="11">
        <v>10475565595.27</v>
      </c>
      <c r="L572" s="6">
        <f t="shared" si="17"/>
        <v>55.5</v>
      </c>
    </row>
    <row r="573" spans="1:12">
      <c r="A573">
        <f t="shared" si="16"/>
        <v>2023</v>
      </c>
      <c r="B573" s="10">
        <v>44938</v>
      </c>
      <c r="C573" s="11">
        <v>55.5</v>
      </c>
      <c r="D573" s="11">
        <v>55.5</v>
      </c>
      <c r="E573" s="11">
        <v>55.5</v>
      </c>
      <c r="F573" s="11">
        <v>55.5</v>
      </c>
      <c r="G573" s="11">
        <v>-0.41</v>
      </c>
      <c r="H573" s="11">
        <v>100</v>
      </c>
      <c r="I573" s="11">
        <v>5550</v>
      </c>
      <c r="J573" s="11">
        <v>229684734</v>
      </c>
      <c r="K573" s="11">
        <v>10475560045.27</v>
      </c>
      <c r="L573" s="6">
        <f t="shared" si="17"/>
        <v>55.5</v>
      </c>
    </row>
    <row r="574" spans="1:12">
      <c r="A574">
        <f t="shared" si="16"/>
        <v>2023</v>
      </c>
      <c r="B574" s="10">
        <v>44937</v>
      </c>
      <c r="C574" s="11">
        <v>55.73</v>
      </c>
      <c r="D574" s="11">
        <v>55.73</v>
      </c>
      <c r="E574" s="11">
        <v>55.73</v>
      </c>
      <c r="F574" s="11">
        <v>55.73</v>
      </c>
      <c r="G574" s="11">
        <v>-0.48</v>
      </c>
      <c r="H574" s="11">
        <v>100</v>
      </c>
      <c r="I574" s="11">
        <v>5573</v>
      </c>
      <c r="J574" s="11">
        <v>229684634</v>
      </c>
      <c r="K574" s="11">
        <v>10475554495.27</v>
      </c>
      <c r="L574" s="6">
        <f t="shared" si="17"/>
        <v>55.73</v>
      </c>
    </row>
    <row r="575" spans="1:12">
      <c r="A575">
        <f t="shared" si="16"/>
        <v>2023</v>
      </c>
      <c r="B575" s="10">
        <v>44936</v>
      </c>
      <c r="C575" s="11">
        <v>56</v>
      </c>
      <c r="D575" s="11">
        <v>56</v>
      </c>
      <c r="E575" s="11">
        <v>56</v>
      </c>
      <c r="F575" s="11">
        <v>56</v>
      </c>
      <c r="G575" s="11">
        <v>0</v>
      </c>
      <c r="H575" s="11">
        <v>100</v>
      </c>
      <c r="I575" s="11">
        <v>5600</v>
      </c>
      <c r="J575" s="11">
        <v>229684534</v>
      </c>
      <c r="K575" s="11">
        <v>10475548922.27</v>
      </c>
      <c r="L575" s="6">
        <f t="shared" si="17"/>
        <v>56</v>
      </c>
    </row>
    <row r="576" spans="1:12">
      <c r="A576">
        <f t="shared" si="16"/>
        <v>2023</v>
      </c>
      <c r="B576" s="10">
        <v>44935</v>
      </c>
      <c r="C576" s="11">
        <v>56</v>
      </c>
      <c r="D576" s="11">
        <v>56</v>
      </c>
      <c r="E576" s="11">
        <v>56</v>
      </c>
      <c r="F576" s="11">
        <v>56</v>
      </c>
      <c r="G576" s="11">
        <v>0</v>
      </c>
      <c r="H576" s="11">
        <v>100</v>
      </c>
      <c r="I576" s="11">
        <v>5600</v>
      </c>
      <c r="J576" s="11">
        <v>229684434</v>
      </c>
      <c r="K576" s="11">
        <v>10475543322.27</v>
      </c>
      <c r="L576" s="6">
        <f t="shared" si="17"/>
        <v>56</v>
      </c>
    </row>
    <row r="577" spans="1:12">
      <c r="A577">
        <f t="shared" si="16"/>
        <v>2023</v>
      </c>
      <c r="B577" s="10">
        <v>44932</v>
      </c>
      <c r="C577" s="11">
        <v>56</v>
      </c>
      <c r="D577" s="11">
        <v>56</v>
      </c>
      <c r="E577" s="11">
        <v>56</v>
      </c>
      <c r="F577" s="11">
        <v>56</v>
      </c>
      <c r="G577" s="11">
        <v>1.82</v>
      </c>
      <c r="H577" s="11">
        <v>1000</v>
      </c>
      <c r="I577" s="11">
        <v>56000</v>
      </c>
      <c r="J577" s="11">
        <v>229684334</v>
      </c>
      <c r="K577" s="11">
        <v>10475537722.27</v>
      </c>
      <c r="L577" s="6">
        <f t="shared" si="17"/>
        <v>56</v>
      </c>
    </row>
    <row r="578" spans="1:12">
      <c r="A578">
        <f t="shared" si="16"/>
        <v>2023</v>
      </c>
      <c r="B578" s="10">
        <v>44931</v>
      </c>
      <c r="C578" s="11">
        <v>55</v>
      </c>
      <c r="D578" s="11">
        <v>55</v>
      </c>
      <c r="E578" s="11">
        <v>55</v>
      </c>
      <c r="F578" s="11">
        <v>55</v>
      </c>
      <c r="G578" s="11">
        <v>0</v>
      </c>
      <c r="H578" s="11">
        <v>4291</v>
      </c>
      <c r="I578" s="11">
        <v>236005</v>
      </c>
      <c r="J578" s="11">
        <v>229683334</v>
      </c>
      <c r="K578" s="11">
        <v>10475481722.27</v>
      </c>
      <c r="L578" s="6">
        <f t="shared" si="17"/>
        <v>55</v>
      </c>
    </row>
    <row r="579" spans="1:12">
      <c r="A579">
        <f t="shared" si="16"/>
        <v>2023</v>
      </c>
      <c r="B579" s="10">
        <v>44930</v>
      </c>
      <c r="C579" s="11">
        <v>55</v>
      </c>
      <c r="D579" s="11">
        <v>55</v>
      </c>
      <c r="E579" s="11">
        <v>55</v>
      </c>
      <c r="F579" s="11">
        <v>55</v>
      </c>
      <c r="G579" s="11">
        <v>0</v>
      </c>
      <c r="H579" s="11">
        <v>100</v>
      </c>
      <c r="I579" s="11">
        <v>5500</v>
      </c>
      <c r="J579" s="11">
        <v>229679043</v>
      </c>
      <c r="K579" s="11">
        <v>10475245717.27</v>
      </c>
      <c r="L579" s="6">
        <f t="shared" si="17"/>
        <v>55</v>
      </c>
    </row>
    <row r="580" spans="1:12">
      <c r="A580">
        <f t="shared" ref="A580:A643" si="18">YEAR(B580)</f>
        <v>2023</v>
      </c>
      <c r="B580" s="10">
        <v>44929</v>
      </c>
      <c r="C580" s="11">
        <v>55</v>
      </c>
      <c r="D580" s="11">
        <v>55</v>
      </c>
      <c r="E580" s="11">
        <v>55</v>
      </c>
      <c r="F580" s="11">
        <v>55</v>
      </c>
      <c r="G580" s="11">
        <v>0</v>
      </c>
      <c r="H580" s="11">
        <v>100</v>
      </c>
      <c r="I580" s="11">
        <v>5500</v>
      </c>
      <c r="J580" s="11">
        <v>229678943</v>
      </c>
      <c r="K580" s="11">
        <v>10475240217.27</v>
      </c>
      <c r="L580" s="6">
        <f t="shared" ref="L580:L643" si="19">I580/H580</f>
        <v>55</v>
      </c>
    </row>
    <row r="581" spans="1:12">
      <c r="A581">
        <f t="shared" si="18"/>
        <v>2022</v>
      </c>
      <c r="B581" s="10">
        <v>44925</v>
      </c>
      <c r="C581" s="11">
        <v>55</v>
      </c>
      <c r="D581" s="11">
        <v>55</v>
      </c>
      <c r="E581" s="11">
        <v>55</v>
      </c>
      <c r="F581" s="11">
        <v>55</v>
      </c>
      <c r="G581" s="11">
        <v>0</v>
      </c>
      <c r="H581" s="11">
        <v>30681</v>
      </c>
      <c r="I581" s="11">
        <v>1687455</v>
      </c>
      <c r="J581" s="11">
        <v>229678843</v>
      </c>
      <c r="K581" s="11">
        <v>10475234717.27</v>
      </c>
      <c r="L581" s="6">
        <f t="shared" si="19"/>
        <v>55</v>
      </c>
    </row>
    <row r="582" spans="1:12">
      <c r="A582">
        <f t="shared" si="18"/>
        <v>2022</v>
      </c>
      <c r="B582" s="10">
        <v>44924</v>
      </c>
      <c r="C582" s="11">
        <v>55</v>
      </c>
      <c r="D582" s="11">
        <v>55</v>
      </c>
      <c r="E582" s="11">
        <v>55</v>
      </c>
      <c r="F582" s="11">
        <v>55</v>
      </c>
      <c r="G582" s="11">
        <v>-1.61</v>
      </c>
      <c r="H582" s="11">
        <v>520380</v>
      </c>
      <c r="I582" s="11">
        <v>25661563.88</v>
      </c>
      <c r="J582" s="11">
        <v>229648162</v>
      </c>
      <c r="K582" s="11">
        <v>10473547262.27</v>
      </c>
      <c r="L582" s="6">
        <f t="shared" si="19"/>
        <v>49.3131247934202</v>
      </c>
    </row>
    <row r="583" spans="1:12">
      <c r="A583">
        <f t="shared" si="18"/>
        <v>2022</v>
      </c>
      <c r="B583" s="10">
        <v>44923</v>
      </c>
      <c r="C583" s="11">
        <v>55.9</v>
      </c>
      <c r="D583" s="11">
        <v>56.3</v>
      </c>
      <c r="E583" s="11">
        <v>56.5</v>
      </c>
      <c r="F583" s="11">
        <v>55</v>
      </c>
      <c r="G583" s="11">
        <v>-0.71</v>
      </c>
      <c r="H583" s="11">
        <v>1281987</v>
      </c>
      <c r="I583" s="11">
        <v>69609135</v>
      </c>
      <c r="J583" s="11">
        <v>229127782</v>
      </c>
      <c r="K583" s="11">
        <v>10447885698.39</v>
      </c>
      <c r="L583" s="6">
        <f t="shared" si="19"/>
        <v>54.2978477940884</v>
      </c>
    </row>
    <row r="584" spans="1:12">
      <c r="A584">
        <f t="shared" si="18"/>
        <v>2022</v>
      </c>
      <c r="B584" s="10">
        <v>44922</v>
      </c>
      <c r="C584" s="11">
        <v>56.3</v>
      </c>
      <c r="D584" s="11">
        <v>56.3</v>
      </c>
      <c r="E584" s="11">
        <v>56.3</v>
      </c>
      <c r="F584" s="11">
        <v>55.5</v>
      </c>
      <c r="G584" s="11">
        <v>0.07</v>
      </c>
      <c r="H584" s="11">
        <v>1026736</v>
      </c>
      <c r="I584" s="11">
        <v>59147434</v>
      </c>
      <c r="J584" s="11">
        <v>227845795</v>
      </c>
      <c r="K584" s="11">
        <v>10378276563.39</v>
      </c>
      <c r="L584" s="6">
        <f t="shared" si="19"/>
        <v>57.6072466534727</v>
      </c>
    </row>
    <row r="585" spans="1:12">
      <c r="A585">
        <f t="shared" si="18"/>
        <v>2022</v>
      </c>
      <c r="B585" s="10">
        <v>44921</v>
      </c>
      <c r="C585" s="11">
        <v>56.26</v>
      </c>
      <c r="D585" s="11">
        <v>56.3</v>
      </c>
      <c r="E585" s="11">
        <v>56.5</v>
      </c>
      <c r="F585" s="11">
        <v>56</v>
      </c>
      <c r="G585" s="11">
        <v>-0.42</v>
      </c>
      <c r="H585" s="11">
        <v>1987251</v>
      </c>
      <c r="I585" s="11">
        <v>110034810</v>
      </c>
      <c r="J585" s="11">
        <v>226819059</v>
      </c>
      <c r="K585" s="11">
        <v>10319129129.39</v>
      </c>
      <c r="L585" s="6">
        <f t="shared" si="19"/>
        <v>55.3703633813746</v>
      </c>
    </row>
    <row r="586" spans="1:12">
      <c r="A586">
        <f t="shared" si="18"/>
        <v>2022</v>
      </c>
      <c r="B586" s="10">
        <v>44918</v>
      </c>
      <c r="C586" s="11">
        <v>56.5</v>
      </c>
      <c r="D586" s="11">
        <v>56.5</v>
      </c>
      <c r="E586" s="11">
        <v>56.5</v>
      </c>
      <c r="F586" s="11">
        <v>56.5</v>
      </c>
      <c r="G586" s="11">
        <v>0</v>
      </c>
      <c r="H586" s="11">
        <v>1610110</v>
      </c>
      <c r="I586" s="11">
        <v>88488715</v>
      </c>
      <c r="J586" s="11">
        <v>224831808</v>
      </c>
      <c r="K586" s="11">
        <v>10209094319.39</v>
      </c>
      <c r="L586" s="6">
        <f t="shared" si="19"/>
        <v>54.9581798759091</v>
      </c>
    </row>
    <row r="587" spans="1:12">
      <c r="A587">
        <f t="shared" si="18"/>
        <v>2022</v>
      </c>
      <c r="B587" s="10">
        <v>44917</v>
      </c>
      <c r="C587" s="11">
        <v>56.5</v>
      </c>
      <c r="D587" s="11">
        <v>56</v>
      </c>
      <c r="E587" s="11">
        <v>56.5</v>
      </c>
      <c r="F587" s="11">
        <v>56</v>
      </c>
      <c r="G587" s="11">
        <v>0.89</v>
      </c>
      <c r="H587" s="11">
        <v>2678274</v>
      </c>
      <c r="I587" s="11">
        <v>151666944</v>
      </c>
      <c r="J587" s="11">
        <v>223221698</v>
      </c>
      <c r="K587" s="11">
        <v>10120605604.39</v>
      </c>
      <c r="L587" s="6">
        <f t="shared" si="19"/>
        <v>56.6286138012765</v>
      </c>
    </row>
    <row r="588" spans="1:12">
      <c r="A588">
        <f t="shared" si="18"/>
        <v>2022</v>
      </c>
      <c r="B588" s="10">
        <v>44916</v>
      </c>
      <c r="C588" s="11">
        <v>56</v>
      </c>
      <c r="D588" s="11">
        <v>56</v>
      </c>
      <c r="E588" s="11">
        <v>57.5</v>
      </c>
      <c r="F588" s="11">
        <v>56</v>
      </c>
      <c r="G588" s="11">
        <v>0</v>
      </c>
      <c r="H588" s="11">
        <v>9137583</v>
      </c>
      <c r="I588" s="11">
        <v>505338659.54</v>
      </c>
      <c r="J588" s="11">
        <v>220543424</v>
      </c>
      <c r="K588" s="11">
        <v>9968938660.39</v>
      </c>
      <c r="L588" s="6">
        <f t="shared" si="19"/>
        <v>55.3033181247164</v>
      </c>
    </row>
    <row r="589" spans="1:12">
      <c r="A589">
        <f t="shared" si="18"/>
        <v>2022</v>
      </c>
      <c r="B589" s="10">
        <v>44915</v>
      </c>
      <c r="C589" s="11">
        <v>56</v>
      </c>
      <c r="D589" s="11">
        <v>56</v>
      </c>
      <c r="E589" s="11">
        <v>56</v>
      </c>
      <c r="F589" s="11">
        <v>56</v>
      </c>
      <c r="G589" s="11">
        <v>1.82</v>
      </c>
      <c r="H589" s="11">
        <v>2508377</v>
      </c>
      <c r="I589" s="11">
        <v>141410538.73</v>
      </c>
      <c r="J589" s="11">
        <v>211405841</v>
      </c>
      <c r="K589" s="11">
        <v>9463600000.85</v>
      </c>
      <c r="L589" s="6">
        <f t="shared" si="19"/>
        <v>56.3753130928883</v>
      </c>
    </row>
    <row r="590" spans="1:12">
      <c r="A590">
        <f t="shared" si="18"/>
        <v>2022</v>
      </c>
      <c r="B590" s="10">
        <v>44914</v>
      </c>
      <c r="C590" s="11">
        <v>55</v>
      </c>
      <c r="D590" s="11">
        <v>55</v>
      </c>
      <c r="E590" s="11">
        <v>55</v>
      </c>
      <c r="F590" s="11">
        <v>55</v>
      </c>
      <c r="G590" s="11">
        <v>-3.51</v>
      </c>
      <c r="H590" s="11">
        <v>2197085</v>
      </c>
      <c r="I590" s="11">
        <v>119821207.67</v>
      </c>
      <c r="J590" s="11">
        <v>208897464</v>
      </c>
      <c r="K590" s="11">
        <v>9322189462.12</v>
      </c>
      <c r="L590" s="6">
        <f t="shared" si="19"/>
        <v>54.5364460956222</v>
      </c>
    </row>
    <row r="591" spans="1:12">
      <c r="A591">
        <f t="shared" si="18"/>
        <v>2022</v>
      </c>
      <c r="B591" s="10">
        <v>44911</v>
      </c>
      <c r="C591" s="11">
        <v>57</v>
      </c>
      <c r="D591" s="11">
        <v>57</v>
      </c>
      <c r="E591" s="11">
        <v>57</v>
      </c>
      <c r="F591" s="11">
        <v>57</v>
      </c>
      <c r="G591" s="11">
        <v>0</v>
      </c>
      <c r="H591" s="11">
        <v>1315400</v>
      </c>
      <c r="I591" s="11">
        <v>73673000</v>
      </c>
      <c r="J591" s="11">
        <v>206700379</v>
      </c>
      <c r="K591" s="11">
        <v>9202368254.45</v>
      </c>
      <c r="L591" s="6">
        <f t="shared" si="19"/>
        <v>56.008058385282</v>
      </c>
    </row>
    <row r="592" spans="1:12">
      <c r="A592">
        <f t="shared" si="18"/>
        <v>2022</v>
      </c>
      <c r="B592" s="10">
        <v>44910</v>
      </c>
      <c r="C592" s="11">
        <v>57</v>
      </c>
      <c r="D592" s="11">
        <v>57</v>
      </c>
      <c r="E592" s="11">
        <v>57</v>
      </c>
      <c r="F592" s="11">
        <v>57</v>
      </c>
      <c r="G592" s="11">
        <v>3.07</v>
      </c>
      <c r="H592" s="11">
        <v>384129</v>
      </c>
      <c r="I592" s="11">
        <v>22061523.95</v>
      </c>
      <c r="J592" s="11">
        <v>205384979</v>
      </c>
      <c r="K592" s="11">
        <v>9128695254.45</v>
      </c>
      <c r="L592" s="6">
        <f t="shared" si="19"/>
        <v>57.4325915252428</v>
      </c>
    </row>
    <row r="593" spans="1:12">
      <c r="A593">
        <f t="shared" si="18"/>
        <v>2022</v>
      </c>
      <c r="B593" s="10">
        <v>44909</v>
      </c>
      <c r="C593" s="11">
        <v>55.3</v>
      </c>
      <c r="D593" s="11">
        <v>56</v>
      </c>
      <c r="E593" s="11">
        <v>56.8</v>
      </c>
      <c r="F593" s="11">
        <v>54</v>
      </c>
      <c r="G593" s="11">
        <v>-2.21</v>
      </c>
      <c r="H593" s="11">
        <v>841770</v>
      </c>
      <c r="I593" s="11">
        <v>48207497.36</v>
      </c>
      <c r="J593" s="11">
        <v>205000850</v>
      </c>
      <c r="K593" s="11">
        <v>9106633730.5</v>
      </c>
      <c r="L593" s="6">
        <f t="shared" si="19"/>
        <v>57.2692034166102</v>
      </c>
    </row>
    <row r="594" spans="1:12">
      <c r="A594">
        <f t="shared" si="18"/>
        <v>2022</v>
      </c>
      <c r="B594" s="10">
        <v>44908</v>
      </c>
      <c r="C594" s="11">
        <v>56.55</v>
      </c>
      <c r="D594" s="11">
        <v>56.79</v>
      </c>
      <c r="E594" s="11">
        <v>56.8</v>
      </c>
      <c r="F594" s="11">
        <v>56.51</v>
      </c>
      <c r="G594" s="11">
        <v>-0.44</v>
      </c>
      <c r="H594" s="11">
        <v>8000</v>
      </c>
      <c r="I594" s="11">
        <v>452370.28</v>
      </c>
      <c r="J594" s="11">
        <v>204159080</v>
      </c>
      <c r="K594" s="11">
        <v>9058426233.14</v>
      </c>
      <c r="L594" s="6">
        <f t="shared" si="19"/>
        <v>56.546285</v>
      </c>
    </row>
    <row r="595" spans="1:12">
      <c r="A595">
        <f t="shared" si="18"/>
        <v>2022</v>
      </c>
      <c r="B595" s="10">
        <v>44907</v>
      </c>
      <c r="C595" s="11">
        <v>56.8</v>
      </c>
      <c r="D595" s="11">
        <v>56.8</v>
      </c>
      <c r="E595" s="11">
        <v>56.8</v>
      </c>
      <c r="F595" s="11">
        <v>56.8</v>
      </c>
      <c r="G595" s="11">
        <v>-0.4</v>
      </c>
      <c r="H595" s="11">
        <v>100</v>
      </c>
      <c r="I595" s="11">
        <v>5680</v>
      </c>
      <c r="J595" s="11">
        <v>204151080</v>
      </c>
      <c r="K595" s="11">
        <v>9057973862.86</v>
      </c>
      <c r="L595" s="6">
        <f t="shared" si="19"/>
        <v>56.8</v>
      </c>
    </row>
    <row r="596" spans="1:12">
      <c r="A596">
        <f t="shared" si="18"/>
        <v>2022</v>
      </c>
      <c r="B596" s="10">
        <v>44904</v>
      </c>
      <c r="C596" s="11">
        <v>57.03</v>
      </c>
      <c r="D596" s="11">
        <v>57</v>
      </c>
      <c r="E596" s="11">
        <v>57.5</v>
      </c>
      <c r="F596" s="11">
        <v>57</v>
      </c>
      <c r="G596" s="11">
        <v>-0.82</v>
      </c>
      <c r="H596" s="11">
        <v>293000</v>
      </c>
      <c r="I596" s="11">
        <v>17003500</v>
      </c>
      <c r="J596" s="11">
        <v>204150980</v>
      </c>
      <c r="K596" s="11">
        <v>9057968182.86</v>
      </c>
      <c r="L596" s="6">
        <f t="shared" si="19"/>
        <v>58.0324232081911</v>
      </c>
    </row>
    <row r="597" spans="1:12">
      <c r="A597">
        <f t="shared" si="18"/>
        <v>2022</v>
      </c>
      <c r="B597" s="10">
        <v>44903</v>
      </c>
      <c r="C597" s="11">
        <v>57.5</v>
      </c>
      <c r="D597" s="11">
        <v>57.5</v>
      </c>
      <c r="E597" s="11">
        <v>57.5</v>
      </c>
      <c r="F597" s="11">
        <v>57.5</v>
      </c>
      <c r="G597" s="11">
        <v>0.1</v>
      </c>
      <c r="H597" s="11">
        <v>9000</v>
      </c>
      <c r="I597" s="11">
        <v>517500</v>
      </c>
      <c r="J597" s="11">
        <v>203857980</v>
      </c>
      <c r="K597" s="11">
        <v>9040964682.86</v>
      </c>
      <c r="L597" s="6">
        <f t="shared" si="19"/>
        <v>57.5</v>
      </c>
    </row>
    <row r="598" spans="1:12">
      <c r="A598">
        <f t="shared" si="18"/>
        <v>2022</v>
      </c>
      <c r="B598" s="10">
        <v>44902</v>
      </c>
      <c r="C598" s="11">
        <v>57.44</v>
      </c>
      <c r="D598" s="11">
        <v>58</v>
      </c>
      <c r="E598" s="11">
        <v>58</v>
      </c>
      <c r="F598" s="11">
        <v>57</v>
      </c>
      <c r="G598" s="11">
        <v>0.09</v>
      </c>
      <c r="H598" s="11">
        <v>13510</v>
      </c>
      <c r="I598" s="11">
        <v>776080</v>
      </c>
      <c r="J598" s="11">
        <v>203848980</v>
      </c>
      <c r="K598" s="11">
        <v>9040447182.86</v>
      </c>
      <c r="L598" s="6">
        <f t="shared" si="19"/>
        <v>57.4448556624722</v>
      </c>
    </row>
    <row r="599" spans="1:12">
      <c r="A599">
        <f t="shared" si="18"/>
        <v>2022</v>
      </c>
      <c r="B599" s="10">
        <v>44901</v>
      </c>
      <c r="C599" s="11">
        <v>57.39</v>
      </c>
      <c r="D599" s="11">
        <v>58</v>
      </c>
      <c r="E599" s="11">
        <v>58</v>
      </c>
      <c r="F599" s="11">
        <v>57</v>
      </c>
      <c r="G599" s="11">
        <v>0.68</v>
      </c>
      <c r="H599" s="11">
        <v>6100</v>
      </c>
      <c r="I599" s="11">
        <v>350050</v>
      </c>
      <c r="J599" s="11">
        <v>203835470</v>
      </c>
      <c r="K599" s="11">
        <v>9039671102.86</v>
      </c>
      <c r="L599" s="6">
        <f t="shared" si="19"/>
        <v>57.3852459016393</v>
      </c>
    </row>
    <row r="600" spans="1:12">
      <c r="A600">
        <f t="shared" si="18"/>
        <v>2022</v>
      </c>
      <c r="B600" s="10">
        <v>44900</v>
      </c>
      <c r="C600" s="11">
        <v>57</v>
      </c>
      <c r="D600" s="11">
        <v>53</v>
      </c>
      <c r="E600" s="11">
        <v>58</v>
      </c>
      <c r="F600" s="11">
        <v>53</v>
      </c>
      <c r="G600" s="11">
        <v>-1.2</v>
      </c>
      <c r="H600" s="11">
        <v>2500</v>
      </c>
      <c r="I600" s="11">
        <v>142500</v>
      </c>
      <c r="J600" s="11">
        <v>203829370</v>
      </c>
      <c r="K600" s="11">
        <v>9039321052.86</v>
      </c>
      <c r="L600" s="6">
        <f t="shared" si="19"/>
        <v>57</v>
      </c>
    </row>
    <row r="601" spans="1:12">
      <c r="A601">
        <f t="shared" si="18"/>
        <v>2022</v>
      </c>
      <c r="B601" s="10">
        <v>44897</v>
      </c>
      <c r="C601" s="11">
        <v>57.69</v>
      </c>
      <c r="D601" s="11">
        <v>55</v>
      </c>
      <c r="E601" s="11">
        <v>57.7</v>
      </c>
      <c r="F601" s="11">
        <v>55</v>
      </c>
      <c r="G601" s="11">
        <v>-0.02</v>
      </c>
      <c r="H601" s="11">
        <v>502</v>
      </c>
      <c r="I601" s="11">
        <v>28960</v>
      </c>
      <c r="J601" s="11">
        <v>203826870</v>
      </c>
      <c r="K601" s="11">
        <v>9039178552.86</v>
      </c>
      <c r="L601" s="6">
        <f t="shared" si="19"/>
        <v>57.6892430278884</v>
      </c>
    </row>
    <row r="602" spans="1:12">
      <c r="A602">
        <f t="shared" si="18"/>
        <v>2022</v>
      </c>
      <c r="B602" s="10">
        <v>44896</v>
      </c>
      <c r="C602" s="11">
        <v>57.7</v>
      </c>
      <c r="D602" s="11">
        <v>57.52</v>
      </c>
      <c r="E602" s="11">
        <v>57.7</v>
      </c>
      <c r="F602" s="11">
        <v>57.52</v>
      </c>
      <c r="G602" s="11">
        <v>0.31</v>
      </c>
      <c r="H602" s="11">
        <v>400513</v>
      </c>
      <c r="I602" s="11">
        <v>23261554.7</v>
      </c>
      <c r="J602" s="11">
        <v>203826368</v>
      </c>
      <c r="K602" s="11">
        <v>9039149592.86</v>
      </c>
      <c r="L602" s="6">
        <f t="shared" si="19"/>
        <v>58.0793999196031</v>
      </c>
    </row>
    <row r="603" spans="1:12">
      <c r="A603">
        <f t="shared" si="18"/>
        <v>2022</v>
      </c>
      <c r="B603" s="10">
        <v>44895</v>
      </c>
      <c r="C603" s="11">
        <v>57.52</v>
      </c>
      <c r="D603" s="11">
        <v>57.8</v>
      </c>
      <c r="E603" s="11">
        <v>57.8</v>
      </c>
      <c r="F603" s="11">
        <v>57.5</v>
      </c>
      <c r="G603" s="11">
        <v>-0.48</v>
      </c>
      <c r="H603" s="11">
        <v>350380</v>
      </c>
      <c r="I603" s="11">
        <v>20155126</v>
      </c>
      <c r="J603" s="11">
        <v>203425855</v>
      </c>
      <c r="K603" s="11">
        <v>9015888038.16</v>
      </c>
      <c r="L603" s="6">
        <f t="shared" si="19"/>
        <v>57.5236200696387</v>
      </c>
    </row>
    <row r="604" spans="1:12">
      <c r="A604">
        <f t="shared" si="18"/>
        <v>2022</v>
      </c>
      <c r="B604" s="10">
        <v>44894</v>
      </c>
      <c r="C604" s="11">
        <v>57.8</v>
      </c>
      <c r="D604" s="11">
        <v>58</v>
      </c>
      <c r="E604" s="11">
        <v>58</v>
      </c>
      <c r="F604" s="11">
        <v>57.8</v>
      </c>
      <c r="G604" s="11">
        <v>0</v>
      </c>
      <c r="H604" s="11">
        <v>200501</v>
      </c>
      <c r="I604" s="11">
        <v>11828958</v>
      </c>
      <c r="J604" s="11">
        <v>203075475</v>
      </c>
      <c r="K604" s="11">
        <v>8995732912.16</v>
      </c>
      <c r="L604" s="6">
        <f t="shared" si="19"/>
        <v>58.9970025087157</v>
      </c>
    </row>
    <row r="605" spans="1:12">
      <c r="A605">
        <f t="shared" si="18"/>
        <v>2022</v>
      </c>
      <c r="B605" s="10">
        <v>44893</v>
      </c>
      <c r="C605" s="11">
        <v>57.8</v>
      </c>
      <c r="D605" s="11">
        <v>57.8</v>
      </c>
      <c r="E605" s="11">
        <v>57.8</v>
      </c>
      <c r="F605" s="11">
        <v>57.8</v>
      </c>
      <c r="G605" s="11">
        <v>0</v>
      </c>
      <c r="H605" s="11">
        <v>364076</v>
      </c>
      <c r="I605" s="11">
        <v>18954520</v>
      </c>
      <c r="J605" s="11">
        <v>202874974</v>
      </c>
      <c r="K605" s="11">
        <v>8983903954.16</v>
      </c>
      <c r="L605" s="6">
        <f t="shared" si="19"/>
        <v>52.0619870576473</v>
      </c>
    </row>
    <row r="606" spans="1:12">
      <c r="A606">
        <f t="shared" si="18"/>
        <v>2022</v>
      </c>
      <c r="B606" s="10">
        <v>44890</v>
      </c>
      <c r="C606" s="11">
        <v>57.8</v>
      </c>
      <c r="D606" s="11">
        <v>58.1</v>
      </c>
      <c r="E606" s="11">
        <v>58.1</v>
      </c>
      <c r="F606" s="11">
        <v>57.5</v>
      </c>
      <c r="G606" s="11">
        <v>-0.34</v>
      </c>
      <c r="H606" s="11">
        <v>2332774</v>
      </c>
      <c r="I606" s="11">
        <v>129144469.8</v>
      </c>
      <c r="J606" s="11">
        <v>202510898</v>
      </c>
      <c r="K606" s="11">
        <v>8964949434.16</v>
      </c>
      <c r="L606" s="6">
        <f t="shared" si="19"/>
        <v>55.3609007130566</v>
      </c>
    </row>
    <row r="607" spans="1:12">
      <c r="A607">
        <f t="shared" si="18"/>
        <v>2022</v>
      </c>
      <c r="B607" s="10">
        <v>44889</v>
      </c>
      <c r="C607" s="11">
        <v>58</v>
      </c>
      <c r="D607" s="11">
        <v>58</v>
      </c>
      <c r="E607" s="11">
        <v>58</v>
      </c>
      <c r="F607" s="11">
        <v>58</v>
      </c>
      <c r="G607" s="11">
        <v>0</v>
      </c>
      <c r="H607" s="11">
        <v>205200</v>
      </c>
      <c r="I607" s="11">
        <v>9954100</v>
      </c>
      <c r="J607" s="11">
        <v>200178124</v>
      </c>
      <c r="K607" s="11">
        <v>8835804964.36</v>
      </c>
      <c r="L607" s="6">
        <f t="shared" si="19"/>
        <v>48.5092592592593</v>
      </c>
    </row>
    <row r="608" spans="1:12">
      <c r="A608">
        <f t="shared" si="18"/>
        <v>2022</v>
      </c>
      <c r="B608" s="10">
        <v>44888</v>
      </c>
      <c r="C608" s="11">
        <v>58</v>
      </c>
      <c r="D608" s="11">
        <v>58</v>
      </c>
      <c r="E608" s="11">
        <v>58</v>
      </c>
      <c r="F608" s="11">
        <v>58</v>
      </c>
      <c r="G608" s="11">
        <v>0.35</v>
      </c>
      <c r="H608" s="11">
        <v>2553</v>
      </c>
      <c r="I608" s="11">
        <v>148074</v>
      </c>
      <c r="J608" s="11">
        <v>199972924</v>
      </c>
      <c r="K608" s="11">
        <v>8825850864.36</v>
      </c>
      <c r="L608" s="6">
        <f t="shared" si="19"/>
        <v>58</v>
      </c>
    </row>
    <row r="609" spans="1:12">
      <c r="A609">
        <f t="shared" si="18"/>
        <v>2022</v>
      </c>
      <c r="B609" s="10">
        <v>44887</v>
      </c>
      <c r="C609" s="11">
        <v>57.8</v>
      </c>
      <c r="D609" s="11">
        <v>57.8</v>
      </c>
      <c r="E609" s="11">
        <v>57.9</v>
      </c>
      <c r="F609" s="11">
        <v>57.7</v>
      </c>
      <c r="G609" s="11">
        <v>0</v>
      </c>
      <c r="H609" s="11">
        <v>920050</v>
      </c>
      <c r="I609" s="11">
        <v>53229890</v>
      </c>
      <c r="J609" s="11">
        <v>199970371</v>
      </c>
      <c r="K609" s="11">
        <v>8825702790.36</v>
      </c>
      <c r="L609" s="6">
        <f t="shared" si="19"/>
        <v>57.8554317700125</v>
      </c>
    </row>
    <row r="610" spans="1:12">
      <c r="A610">
        <f t="shared" si="18"/>
        <v>2022</v>
      </c>
      <c r="B610" s="10">
        <v>44886</v>
      </c>
      <c r="C610" s="11">
        <v>57.8</v>
      </c>
      <c r="D610" s="11">
        <v>57.8</v>
      </c>
      <c r="E610" s="11">
        <v>57.8</v>
      </c>
      <c r="F610" s="11">
        <v>57.8</v>
      </c>
      <c r="G610" s="11">
        <v>0.52</v>
      </c>
      <c r="H610" s="11">
        <v>297</v>
      </c>
      <c r="I610" s="11">
        <v>17166.6</v>
      </c>
      <c r="J610" s="11">
        <v>199050321</v>
      </c>
      <c r="K610" s="11">
        <v>8772472900.36</v>
      </c>
      <c r="L610" s="6">
        <f t="shared" si="19"/>
        <v>57.8</v>
      </c>
    </row>
    <row r="611" spans="1:12">
      <c r="A611">
        <f t="shared" si="18"/>
        <v>2022</v>
      </c>
      <c r="B611" s="10">
        <v>44883</v>
      </c>
      <c r="C611" s="11">
        <v>57.5</v>
      </c>
      <c r="D611" s="11">
        <v>57.5</v>
      </c>
      <c r="E611" s="11">
        <v>57.7</v>
      </c>
      <c r="F611" s="11">
        <v>57.5</v>
      </c>
      <c r="G611" s="11">
        <v>-0.52</v>
      </c>
      <c r="H611" s="11">
        <v>420010</v>
      </c>
      <c r="I611" s="11">
        <v>24150577</v>
      </c>
      <c r="J611" s="11">
        <v>199050024</v>
      </c>
      <c r="K611" s="11">
        <v>8772455733.76</v>
      </c>
      <c r="L611" s="6">
        <f t="shared" si="19"/>
        <v>57.5000047617914</v>
      </c>
    </row>
    <row r="612" spans="1:12">
      <c r="A612">
        <f t="shared" si="18"/>
        <v>2022</v>
      </c>
      <c r="B612" s="10">
        <v>44882</v>
      </c>
      <c r="C612" s="11">
        <v>57.8</v>
      </c>
      <c r="D612" s="11">
        <v>57.8</v>
      </c>
      <c r="E612" s="11">
        <v>57.8</v>
      </c>
      <c r="F612" s="11">
        <v>57.8</v>
      </c>
      <c r="G612" s="11">
        <v>0</v>
      </c>
      <c r="H612" s="11">
        <v>940757</v>
      </c>
      <c r="I612" s="11">
        <v>53639149</v>
      </c>
      <c r="J612" s="11">
        <v>198630014</v>
      </c>
      <c r="K612" s="11">
        <v>8748305156.76</v>
      </c>
      <c r="L612" s="6">
        <f t="shared" si="19"/>
        <v>57.0170075800658</v>
      </c>
    </row>
    <row r="613" spans="1:12">
      <c r="A613">
        <f t="shared" si="18"/>
        <v>2022</v>
      </c>
      <c r="B613" s="10">
        <v>44881</v>
      </c>
      <c r="C613" s="11">
        <v>57.8</v>
      </c>
      <c r="D613" s="11">
        <v>57.8</v>
      </c>
      <c r="E613" s="11">
        <v>57.8</v>
      </c>
      <c r="F613" s="11">
        <v>57.8</v>
      </c>
      <c r="G613" s="11">
        <v>0.52</v>
      </c>
      <c r="H613" s="11">
        <v>34137</v>
      </c>
      <c r="I613" s="11">
        <v>1973118.6</v>
      </c>
      <c r="J613" s="11">
        <v>197689257</v>
      </c>
      <c r="K613" s="11">
        <v>8694666007.76</v>
      </c>
      <c r="L613" s="6">
        <f t="shared" si="19"/>
        <v>57.8</v>
      </c>
    </row>
    <row r="614" spans="1:12">
      <c r="A614">
        <f t="shared" si="18"/>
        <v>2022</v>
      </c>
      <c r="B614" s="10">
        <v>44880</v>
      </c>
      <c r="C614" s="11">
        <v>57.5</v>
      </c>
      <c r="D614" s="11">
        <v>57.5</v>
      </c>
      <c r="E614" s="11">
        <v>57.5</v>
      </c>
      <c r="F614" s="11">
        <v>57.5</v>
      </c>
      <c r="G614" s="11">
        <v>-0.64</v>
      </c>
      <c r="H614" s="11">
        <v>200</v>
      </c>
      <c r="I614" s="11">
        <v>11500</v>
      </c>
      <c r="J614" s="11">
        <v>197655120</v>
      </c>
      <c r="K614" s="11">
        <v>8692692889.16</v>
      </c>
      <c r="L614" s="6">
        <f t="shared" si="19"/>
        <v>57.5</v>
      </c>
    </row>
    <row r="615" spans="1:12">
      <c r="A615">
        <f t="shared" si="18"/>
        <v>2022</v>
      </c>
      <c r="B615" s="10">
        <v>44879</v>
      </c>
      <c r="C615" s="11">
        <v>57.87</v>
      </c>
      <c r="D615" s="11">
        <v>58</v>
      </c>
      <c r="E615" s="11">
        <v>58</v>
      </c>
      <c r="F615" s="11">
        <v>57.3</v>
      </c>
      <c r="G615" s="11">
        <v>-0.22</v>
      </c>
      <c r="H615" s="11">
        <v>322275</v>
      </c>
      <c r="I615" s="11">
        <v>18982250</v>
      </c>
      <c r="J615" s="11">
        <v>197654920</v>
      </c>
      <c r="K615" s="11">
        <v>8692681389.16</v>
      </c>
      <c r="L615" s="6">
        <f t="shared" si="19"/>
        <v>58.900783492359</v>
      </c>
    </row>
    <row r="616" spans="1:12">
      <c r="A616">
        <f t="shared" si="18"/>
        <v>2022</v>
      </c>
      <c r="B616" s="10">
        <v>44876</v>
      </c>
      <c r="C616" s="11">
        <v>58</v>
      </c>
      <c r="D616" s="11">
        <v>58</v>
      </c>
      <c r="E616" s="11">
        <v>58</v>
      </c>
      <c r="F616" s="11">
        <v>58</v>
      </c>
      <c r="G616" s="11">
        <v>0</v>
      </c>
      <c r="H616" s="11">
        <v>5000</v>
      </c>
      <c r="I616" s="11">
        <v>290000</v>
      </c>
      <c r="J616" s="11">
        <v>197332645</v>
      </c>
      <c r="K616" s="11">
        <v>8673699139.16</v>
      </c>
      <c r="L616" s="6">
        <f t="shared" si="19"/>
        <v>58</v>
      </c>
    </row>
    <row r="617" spans="1:12">
      <c r="A617">
        <f t="shared" si="18"/>
        <v>2022</v>
      </c>
      <c r="B617" s="10">
        <v>44875</v>
      </c>
      <c r="C617" s="11">
        <v>58</v>
      </c>
      <c r="D617" s="11">
        <v>58</v>
      </c>
      <c r="E617" s="11">
        <v>58</v>
      </c>
      <c r="F617" s="11">
        <v>58</v>
      </c>
      <c r="G617" s="11">
        <v>0</v>
      </c>
      <c r="H617" s="11">
        <v>1725</v>
      </c>
      <c r="I617" s="11">
        <v>100050</v>
      </c>
      <c r="J617" s="11">
        <v>197327645</v>
      </c>
      <c r="K617" s="11">
        <v>8673409139.16</v>
      </c>
      <c r="L617" s="6">
        <f t="shared" si="19"/>
        <v>58</v>
      </c>
    </row>
    <row r="618" spans="1:12">
      <c r="A618">
        <f t="shared" si="18"/>
        <v>2022</v>
      </c>
      <c r="B618" s="10">
        <v>44874</v>
      </c>
      <c r="C618" s="11">
        <v>58</v>
      </c>
      <c r="D618" s="11">
        <v>58</v>
      </c>
      <c r="E618" s="11">
        <v>58</v>
      </c>
      <c r="F618" s="11">
        <v>58</v>
      </c>
      <c r="G618" s="11">
        <v>0.22</v>
      </c>
      <c r="H618" s="11">
        <v>3000</v>
      </c>
      <c r="I618" s="11">
        <v>174000</v>
      </c>
      <c r="J618" s="11">
        <v>197325920</v>
      </c>
      <c r="K618" s="11">
        <v>8673309089.16</v>
      </c>
      <c r="L618" s="6">
        <f t="shared" si="19"/>
        <v>58</v>
      </c>
    </row>
    <row r="619" spans="1:12">
      <c r="A619">
        <f t="shared" si="18"/>
        <v>2022</v>
      </c>
      <c r="B619" s="10">
        <v>44873</v>
      </c>
      <c r="C619" s="11">
        <v>57.87</v>
      </c>
      <c r="D619" s="11">
        <v>57.7</v>
      </c>
      <c r="E619" s="11">
        <v>58.2</v>
      </c>
      <c r="F619" s="11">
        <v>57.7</v>
      </c>
      <c r="G619" s="11">
        <v>-0.36</v>
      </c>
      <c r="H619" s="11">
        <v>45398</v>
      </c>
      <c r="I619" s="11">
        <v>2627084.2</v>
      </c>
      <c r="J619" s="11">
        <v>197322920</v>
      </c>
      <c r="K619" s="11">
        <v>8673135089.16</v>
      </c>
      <c r="L619" s="6">
        <f t="shared" si="19"/>
        <v>57.8678399929512</v>
      </c>
    </row>
    <row r="620" spans="1:12">
      <c r="A620">
        <f t="shared" si="18"/>
        <v>2022</v>
      </c>
      <c r="B620" s="10">
        <v>44872</v>
      </c>
      <c r="C620" s="11">
        <v>58.08</v>
      </c>
      <c r="D620" s="11">
        <v>58</v>
      </c>
      <c r="E620" s="11">
        <v>58.1</v>
      </c>
      <c r="F620" s="11">
        <v>58</v>
      </c>
      <c r="G620" s="11">
        <v>0.14</v>
      </c>
      <c r="H620" s="11">
        <v>87000</v>
      </c>
      <c r="I620" s="11">
        <v>5053000</v>
      </c>
      <c r="J620" s="11">
        <v>197277522</v>
      </c>
      <c r="K620" s="11">
        <v>8670508004.96</v>
      </c>
      <c r="L620" s="6">
        <f t="shared" si="19"/>
        <v>58.0804597701149</v>
      </c>
    </row>
    <row r="621" spans="1:12">
      <c r="A621">
        <f t="shared" si="18"/>
        <v>2022</v>
      </c>
      <c r="B621" s="10">
        <v>44869</v>
      </c>
      <c r="C621" s="11">
        <v>58</v>
      </c>
      <c r="D621" s="11">
        <v>58</v>
      </c>
      <c r="E621" s="11">
        <v>58</v>
      </c>
      <c r="F621" s="11">
        <v>58</v>
      </c>
      <c r="G621" s="11">
        <v>0</v>
      </c>
      <c r="H621" s="11">
        <v>480500</v>
      </c>
      <c r="I621" s="11">
        <v>28109000</v>
      </c>
      <c r="J621" s="11">
        <v>197190522</v>
      </c>
      <c r="K621" s="11">
        <v>8665455004.96</v>
      </c>
      <c r="L621" s="6">
        <f t="shared" si="19"/>
        <v>58.4994797086368</v>
      </c>
    </row>
    <row r="622" spans="1:12">
      <c r="A622">
        <f t="shared" si="18"/>
        <v>2022</v>
      </c>
      <c r="B622" s="10">
        <v>44868</v>
      </c>
      <c r="C622" s="11">
        <v>58</v>
      </c>
      <c r="D622" s="11">
        <v>58</v>
      </c>
      <c r="E622" s="11">
        <v>58</v>
      </c>
      <c r="F622" s="11">
        <v>58</v>
      </c>
      <c r="G622" s="11">
        <v>0</v>
      </c>
      <c r="H622" s="11">
        <v>17242</v>
      </c>
      <c r="I622" s="11">
        <v>1000036</v>
      </c>
      <c r="J622" s="11">
        <v>196710022</v>
      </c>
      <c r="K622" s="11">
        <v>8637346004.96</v>
      </c>
      <c r="L622" s="6">
        <f t="shared" si="19"/>
        <v>58</v>
      </c>
    </row>
    <row r="623" spans="1:12">
      <c r="A623">
        <f t="shared" si="18"/>
        <v>2022</v>
      </c>
      <c r="B623" s="10">
        <v>44867</v>
      </c>
      <c r="C623" s="11">
        <v>58</v>
      </c>
      <c r="D623" s="11">
        <v>58</v>
      </c>
      <c r="E623" s="11">
        <v>58</v>
      </c>
      <c r="F623" s="11">
        <v>58</v>
      </c>
      <c r="G623" s="11">
        <v>0</v>
      </c>
      <c r="H623" s="11">
        <v>560297</v>
      </c>
      <c r="I623" s="11">
        <v>23842764.38</v>
      </c>
      <c r="J623" s="11">
        <v>196692780</v>
      </c>
      <c r="K623" s="11">
        <v>8636345968.96</v>
      </c>
      <c r="L623" s="6">
        <f t="shared" si="19"/>
        <v>42.5537962544865</v>
      </c>
    </row>
    <row r="624" spans="1:12">
      <c r="A624">
        <f t="shared" si="18"/>
        <v>2022</v>
      </c>
      <c r="B624" s="10">
        <v>44866</v>
      </c>
      <c r="C624" s="11">
        <v>58</v>
      </c>
      <c r="D624" s="11">
        <v>58</v>
      </c>
      <c r="E624" s="11">
        <v>58</v>
      </c>
      <c r="F624" s="11">
        <v>58</v>
      </c>
      <c r="G624" s="11">
        <v>0</v>
      </c>
      <c r="H624" s="11">
        <v>5000</v>
      </c>
      <c r="I624" s="11">
        <v>290000</v>
      </c>
      <c r="J624" s="11">
        <v>196132483</v>
      </c>
      <c r="K624" s="11">
        <v>8612503204.58</v>
      </c>
      <c r="L624" s="6">
        <f t="shared" si="19"/>
        <v>58</v>
      </c>
    </row>
    <row r="625" spans="1:12">
      <c r="A625">
        <f t="shared" si="18"/>
        <v>2022</v>
      </c>
      <c r="B625" s="10">
        <v>44865</v>
      </c>
      <c r="C625" s="11">
        <v>58</v>
      </c>
      <c r="D625" s="11">
        <v>58</v>
      </c>
      <c r="E625" s="11">
        <v>58</v>
      </c>
      <c r="F625" s="11">
        <v>58</v>
      </c>
      <c r="G625" s="11">
        <v>0</v>
      </c>
      <c r="H625" s="11">
        <v>246412</v>
      </c>
      <c r="I625" s="11">
        <v>10670716</v>
      </c>
      <c r="J625" s="11">
        <v>196127483</v>
      </c>
      <c r="K625" s="11">
        <v>8612213204.58</v>
      </c>
      <c r="L625" s="6">
        <f t="shared" si="19"/>
        <v>43.3043682937519</v>
      </c>
    </row>
    <row r="626" spans="1:12">
      <c r="A626">
        <f t="shared" si="18"/>
        <v>2022</v>
      </c>
      <c r="B626" s="10">
        <v>44862</v>
      </c>
      <c r="C626" s="11">
        <v>58</v>
      </c>
      <c r="D626" s="11">
        <v>58</v>
      </c>
      <c r="E626" s="11">
        <v>58</v>
      </c>
      <c r="F626" s="11">
        <v>58</v>
      </c>
      <c r="G626" s="11">
        <v>-0.85</v>
      </c>
      <c r="H626" s="11">
        <v>5000</v>
      </c>
      <c r="I626" s="11">
        <v>290000</v>
      </c>
      <c r="J626" s="11">
        <v>195881071</v>
      </c>
      <c r="K626" s="11">
        <v>8601542488.58</v>
      </c>
      <c r="L626" s="6">
        <f t="shared" si="19"/>
        <v>58</v>
      </c>
    </row>
    <row r="627" spans="1:12">
      <c r="A627">
        <f t="shared" si="18"/>
        <v>2022</v>
      </c>
      <c r="B627" s="10">
        <v>44861</v>
      </c>
      <c r="C627" s="11">
        <v>58.5</v>
      </c>
      <c r="D627" s="11">
        <v>58.5</v>
      </c>
      <c r="E627" s="11">
        <v>58.5</v>
      </c>
      <c r="F627" s="11">
        <v>58.5</v>
      </c>
      <c r="G627" s="11">
        <v>0.86</v>
      </c>
      <c r="H627" s="11">
        <v>129274</v>
      </c>
      <c r="I627" s="11">
        <v>7400118</v>
      </c>
      <c r="J627" s="11">
        <v>195876071</v>
      </c>
      <c r="K627" s="11">
        <v>8601252488.58</v>
      </c>
      <c r="L627" s="6">
        <f t="shared" si="19"/>
        <v>57.2436684870894</v>
      </c>
    </row>
    <row r="628" spans="1:12">
      <c r="A628">
        <f t="shared" si="18"/>
        <v>2022</v>
      </c>
      <c r="B628" s="10">
        <v>44860</v>
      </c>
      <c r="C628" s="11">
        <v>58</v>
      </c>
      <c r="D628" s="11">
        <v>58</v>
      </c>
      <c r="E628" s="11">
        <v>58</v>
      </c>
      <c r="F628" s="11">
        <v>58</v>
      </c>
      <c r="G628" s="11">
        <v>-1.19</v>
      </c>
      <c r="H628" s="11">
        <v>135000</v>
      </c>
      <c r="I628" s="11">
        <v>8025000</v>
      </c>
      <c r="J628" s="11">
        <v>195746797</v>
      </c>
      <c r="K628" s="11">
        <v>8593852370.58</v>
      </c>
      <c r="L628" s="6">
        <f t="shared" si="19"/>
        <v>59.4444444444444</v>
      </c>
    </row>
    <row r="629" spans="1:12">
      <c r="A629">
        <f t="shared" si="18"/>
        <v>2022</v>
      </c>
      <c r="B629" s="10">
        <v>44859</v>
      </c>
      <c r="C629" s="11">
        <v>58.7</v>
      </c>
      <c r="D629" s="11">
        <v>58.7</v>
      </c>
      <c r="E629" s="11">
        <v>58.7</v>
      </c>
      <c r="F629" s="11">
        <v>58.7</v>
      </c>
      <c r="G629" s="11">
        <v>1.21</v>
      </c>
      <c r="H629" s="11">
        <v>15000</v>
      </c>
      <c r="I629" s="11">
        <v>880500</v>
      </c>
      <c r="J629" s="11">
        <v>195611797</v>
      </c>
      <c r="K629" s="11">
        <v>8585827370.58</v>
      </c>
      <c r="L629" s="6">
        <f t="shared" si="19"/>
        <v>58.7</v>
      </c>
    </row>
    <row r="630" spans="1:12">
      <c r="A630">
        <f t="shared" si="18"/>
        <v>2022</v>
      </c>
      <c r="B630" s="10">
        <v>44858</v>
      </c>
      <c r="C630" s="11">
        <v>58</v>
      </c>
      <c r="D630" s="11">
        <v>58</v>
      </c>
      <c r="E630" s="11">
        <v>58</v>
      </c>
      <c r="F630" s="11">
        <v>58</v>
      </c>
      <c r="G630" s="11">
        <v>-0.74</v>
      </c>
      <c r="H630" s="11">
        <v>1000</v>
      </c>
      <c r="I630" s="11">
        <v>58000</v>
      </c>
      <c r="J630" s="11">
        <v>195596797</v>
      </c>
      <c r="K630" s="11">
        <v>8584946870.58</v>
      </c>
      <c r="L630" s="6">
        <f t="shared" si="19"/>
        <v>58</v>
      </c>
    </row>
    <row r="631" spans="1:12">
      <c r="A631">
        <f t="shared" si="18"/>
        <v>2022</v>
      </c>
      <c r="B631" s="10">
        <v>44855</v>
      </c>
      <c r="C631" s="11">
        <v>58.49</v>
      </c>
      <c r="D631" s="11">
        <v>58.5</v>
      </c>
      <c r="E631" s="11">
        <v>58.5</v>
      </c>
      <c r="F631" s="11">
        <v>58</v>
      </c>
      <c r="G631" s="11">
        <v>1.63</v>
      </c>
      <c r="H631" s="11">
        <v>55000</v>
      </c>
      <c r="I631" s="11">
        <v>3217000</v>
      </c>
      <c r="J631" s="11">
        <v>195595797</v>
      </c>
      <c r="K631" s="11">
        <v>8584888870.58</v>
      </c>
      <c r="L631" s="6">
        <f t="shared" si="19"/>
        <v>58.4909090909091</v>
      </c>
    </row>
    <row r="632" spans="1:12">
      <c r="A632">
        <f t="shared" si="18"/>
        <v>2022</v>
      </c>
      <c r="B632" s="10">
        <v>44854</v>
      </c>
      <c r="C632" s="11">
        <v>57.55</v>
      </c>
      <c r="D632" s="11">
        <v>58</v>
      </c>
      <c r="E632" s="11">
        <v>58</v>
      </c>
      <c r="F632" s="11">
        <v>57.5</v>
      </c>
      <c r="G632" s="11">
        <v>-1.62</v>
      </c>
      <c r="H632" s="11">
        <v>11000</v>
      </c>
      <c r="I632" s="11">
        <v>633000</v>
      </c>
      <c r="J632" s="11">
        <v>195540797</v>
      </c>
      <c r="K632" s="11">
        <v>8581671870.58</v>
      </c>
      <c r="L632" s="6">
        <f t="shared" si="19"/>
        <v>57.5454545454545</v>
      </c>
    </row>
    <row r="633" spans="1:12">
      <c r="A633">
        <f t="shared" si="18"/>
        <v>2022</v>
      </c>
      <c r="B633" s="10">
        <v>44853</v>
      </c>
      <c r="C633" s="11">
        <v>58.5</v>
      </c>
      <c r="D633" s="11">
        <v>58.5</v>
      </c>
      <c r="E633" s="11">
        <v>58.5</v>
      </c>
      <c r="F633" s="11">
        <v>58.5</v>
      </c>
      <c r="G633" s="11">
        <v>0.86</v>
      </c>
      <c r="H633" s="11">
        <v>169400</v>
      </c>
      <c r="I633" s="11">
        <v>9909900</v>
      </c>
      <c r="J633" s="11">
        <v>195529797</v>
      </c>
      <c r="K633" s="11">
        <v>8581038870.58</v>
      </c>
      <c r="L633" s="6">
        <f t="shared" si="19"/>
        <v>58.5</v>
      </c>
    </row>
    <row r="634" spans="1:12">
      <c r="A634">
        <f t="shared" si="18"/>
        <v>2022</v>
      </c>
      <c r="B634" s="10">
        <v>44852</v>
      </c>
      <c r="C634" s="11">
        <v>58</v>
      </c>
      <c r="D634" s="11">
        <v>58</v>
      </c>
      <c r="E634" s="11">
        <v>58</v>
      </c>
      <c r="F634" s="11">
        <v>58</v>
      </c>
      <c r="G634" s="11">
        <v>-0.82</v>
      </c>
      <c r="H634" s="11">
        <v>300</v>
      </c>
      <c r="I634" s="11">
        <v>17400</v>
      </c>
      <c r="J634" s="11">
        <v>195360397</v>
      </c>
      <c r="K634" s="11">
        <v>8571128970.58</v>
      </c>
      <c r="L634" s="6">
        <f t="shared" si="19"/>
        <v>58</v>
      </c>
    </row>
    <row r="635" spans="1:12">
      <c r="A635">
        <f t="shared" si="18"/>
        <v>2022</v>
      </c>
      <c r="B635" s="10">
        <v>44851</v>
      </c>
      <c r="C635" s="11">
        <v>58.48</v>
      </c>
      <c r="D635" s="11">
        <v>58.5</v>
      </c>
      <c r="E635" s="11">
        <v>58.5</v>
      </c>
      <c r="F635" s="11">
        <v>58</v>
      </c>
      <c r="G635" s="11">
        <v>0.83</v>
      </c>
      <c r="H635" s="11">
        <v>10260</v>
      </c>
      <c r="I635" s="11">
        <v>599961</v>
      </c>
      <c r="J635" s="11">
        <v>195360097</v>
      </c>
      <c r="K635" s="11">
        <v>8571111570.58</v>
      </c>
      <c r="L635" s="6">
        <f t="shared" si="19"/>
        <v>58.475730994152</v>
      </c>
    </row>
    <row r="636" spans="1:12">
      <c r="A636">
        <f t="shared" si="18"/>
        <v>2022</v>
      </c>
      <c r="B636" s="10">
        <v>44848</v>
      </c>
      <c r="C636" s="11">
        <v>58</v>
      </c>
      <c r="D636" s="11">
        <v>58</v>
      </c>
      <c r="E636" s="11">
        <v>58</v>
      </c>
      <c r="F636" s="11">
        <v>58</v>
      </c>
      <c r="G636" s="11">
        <v>0.43</v>
      </c>
      <c r="H636" s="11">
        <v>300</v>
      </c>
      <c r="I636" s="11">
        <v>17400</v>
      </c>
      <c r="J636" s="11">
        <v>195349837</v>
      </c>
      <c r="K636" s="11">
        <v>8570511609.58</v>
      </c>
      <c r="L636" s="6">
        <f t="shared" si="19"/>
        <v>58</v>
      </c>
    </row>
    <row r="637" spans="1:12">
      <c r="A637">
        <f t="shared" si="18"/>
        <v>2022</v>
      </c>
      <c r="B637" s="10">
        <v>44847</v>
      </c>
      <c r="C637" s="11">
        <v>57.75</v>
      </c>
      <c r="D637" s="11">
        <v>57.5</v>
      </c>
      <c r="E637" s="11">
        <v>58</v>
      </c>
      <c r="F637" s="11">
        <v>57.5</v>
      </c>
      <c r="G637" s="11">
        <v>-0.43</v>
      </c>
      <c r="H637" s="11">
        <v>400</v>
      </c>
      <c r="I637" s="11">
        <v>23100</v>
      </c>
      <c r="J637" s="11">
        <v>195349537</v>
      </c>
      <c r="K637" s="11">
        <v>8570494209.58</v>
      </c>
      <c r="L637" s="6">
        <f t="shared" si="19"/>
        <v>57.75</v>
      </c>
    </row>
    <row r="638" spans="1:12">
      <c r="A638">
        <f t="shared" si="18"/>
        <v>2022</v>
      </c>
      <c r="B638" s="10">
        <v>44846</v>
      </c>
      <c r="C638" s="11">
        <v>58</v>
      </c>
      <c r="D638" s="11">
        <v>58</v>
      </c>
      <c r="E638" s="11">
        <v>58</v>
      </c>
      <c r="F638" s="11">
        <v>58</v>
      </c>
      <c r="G638" s="11">
        <v>-0.58</v>
      </c>
      <c r="H638" s="11">
        <v>200</v>
      </c>
      <c r="I638" s="11">
        <v>11600</v>
      </c>
      <c r="J638" s="11">
        <v>195349137</v>
      </c>
      <c r="K638" s="11">
        <v>8570471109.58</v>
      </c>
      <c r="L638" s="6">
        <f t="shared" si="19"/>
        <v>58</v>
      </c>
    </row>
    <row r="639" spans="1:12">
      <c r="A639">
        <f t="shared" si="18"/>
        <v>2022</v>
      </c>
      <c r="B639" s="10">
        <v>44845</v>
      </c>
      <c r="C639" s="11">
        <v>58.34</v>
      </c>
      <c r="D639" s="11">
        <v>57.52</v>
      </c>
      <c r="E639" s="11">
        <v>58.45</v>
      </c>
      <c r="F639" s="11">
        <v>57.52</v>
      </c>
      <c r="G639" s="11">
        <v>1.46</v>
      </c>
      <c r="H639" s="11">
        <v>191000</v>
      </c>
      <c r="I639" s="11">
        <v>11081770</v>
      </c>
      <c r="J639" s="11">
        <v>195348937</v>
      </c>
      <c r="K639" s="11">
        <v>8570459509.58</v>
      </c>
      <c r="L639" s="6">
        <f t="shared" si="19"/>
        <v>58.0197382198953</v>
      </c>
    </row>
    <row r="640" spans="1:12">
      <c r="A640">
        <f t="shared" si="18"/>
        <v>2022</v>
      </c>
      <c r="B640" s="10">
        <v>44844</v>
      </c>
      <c r="C640" s="11">
        <v>57.5</v>
      </c>
      <c r="D640" s="11">
        <v>57.5</v>
      </c>
      <c r="E640" s="11">
        <v>57.5</v>
      </c>
      <c r="F640" s="11">
        <v>57.5</v>
      </c>
      <c r="G640" s="11">
        <v>0</v>
      </c>
      <c r="H640" s="11">
        <v>200</v>
      </c>
      <c r="I640" s="11">
        <v>11500</v>
      </c>
      <c r="J640" s="11">
        <v>195157937</v>
      </c>
      <c r="K640" s="11">
        <v>8559377739.58</v>
      </c>
      <c r="L640" s="6">
        <f t="shared" si="19"/>
        <v>57.5</v>
      </c>
    </row>
    <row r="641" spans="1:12">
      <c r="A641">
        <f t="shared" si="18"/>
        <v>2022</v>
      </c>
      <c r="B641" s="10">
        <v>44834</v>
      </c>
      <c r="C641" s="11">
        <v>57.5</v>
      </c>
      <c r="D641" s="11">
        <v>57.5</v>
      </c>
      <c r="E641" s="11">
        <v>57.5</v>
      </c>
      <c r="F641" s="11">
        <v>57.5</v>
      </c>
      <c r="G641" s="11">
        <v>0</v>
      </c>
      <c r="H641" s="11">
        <v>200</v>
      </c>
      <c r="I641" s="11">
        <v>11500</v>
      </c>
      <c r="J641" s="11">
        <v>195157737</v>
      </c>
      <c r="K641" s="11">
        <v>8559366239.58</v>
      </c>
      <c r="L641" s="6">
        <f t="shared" si="19"/>
        <v>57.5</v>
      </c>
    </row>
    <row r="642" spans="1:12">
      <c r="A642">
        <f t="shared" si="18"/>
        <v>2022</v>
      </c>
      <c r="B642" s="10">
        <v>44833</v>
      </c>
      <c r="C642" s="11">
        <v>57.5</v>
      </c>
      <c r="D642" s="11">
        <v>57.5</v>
      </c>
      <c r="E642" s="11">
        <v>57.5</v>
      </c>
      <c r="F642" s="11">
        <v>57.5</v>
      </c>
      <c r="G642" s="11">
        <v>0</v>
      </c>
      <c r="H642" s="11">
        <v>200</v>
      </c>
      <c r="I642" s="11">
        <v>11500</v>
      </c>
      <c r="J642" s="11">
        <v>195157537</v>
      </c>
      <c r="K642" s="11">
        <v>8559354739.58</v>
      </c>
      <c r="L642" s="6">
        <f t="shared" si="19"/>
        <v>57.5</v>
      </c>
    </row>
    <row r="643" spans="1:12">
      <c r="A643">
        <f t="shared" si="18"/>
        <v>2022</v>
      </c>
      <c r="B643" s="10">
        <v>44832</v>
      </c>
      <c r="C643" s="11">
        <v>57.5</v>
      </c>
      <c r="D643" s="11">
        <v>57.5</v>
      </c>
      <c r="E643" s="11">
        <v>57.5</v>
      </c>
      <c r="F643" s="11">
        <v>57.5</v>
      </c>
      <c r="G643" s="11">
        <v>0</v>
      </c>
      <c r="H643" s="11">
        <v>200</v>
      </c>
      <c r="I643" s="11">
        <v>11500</v>
      </c>
      <c r="J643" s="11">
        <v>195157337</v>
      </c>
      <c r="K643" s="11">
        <v>8559343239.58</v>
      </c>
      <c r="L643" s="6">
        <f t="shared" si="19"/>
        <v>57.5</v>
      </c>
    </row>
    <row r="644" spans="1:12">
      <c r="A644">
        <f t="shared" ref="A644:A707" si="20">YEAR(B644)</f>
        <v>2022</v>
      </c>
      <c r="B644" s="10">
        <v>44831</v>
      </c>
      <c r="C644" s="11">
        <v>57.5</v>
      </c>
      <c r="D644" s="11">
        <v>57.5</v>
      </c>
      <c r="E644" s="11">
        <v>57.5</v>
      </c>
      <c r="F644" s="11">
        <v>57.5</v>
      </c>
      <c r="G644" s="11">
        <v>0</v>
      </c>
      <c r="H644" s="11">
        <v>200</v>
      </c>
      <c r="I644" s="11">
        <v>11500</v>
      </c>
      <c r="J644" s="11">
        <v>195157137</v>
      </c>
      <c r="K644" s="11">
        <v>8559331739.58</v>
      </c>
      <c r="L644" s="6">
        <f t="shared" ref="L644:L707" si="21">I644/H644</f>
        <v>57.5</v>
      </c>
    </row>
    <row r="645" spans="1:12">
      <c r="A645">
        <f t="shared" si="20"/>
        <v>2022</v>
      </c>
      <c r="B645" s="10">
        <v>44830</v>
      </c>
      <c r="C645" s="11">
        <v>57.5</v>
      </c>
      <c r="D645" s="11">
        <v>57.5</v>
      </c>
      <c r="E645" s="11">
        <v>57.5</v>
      </c>
      <c r="F645" s="11">
        <v>57.5</v>
      </c>
      <c r="G645" s="11">
        <v>0.03</v>
      </c>
      <c r="H645" s="11">
        <v>200</v>
      </c>
      <c r="I645" s="11">
        <v>11500</v>
      </c>
      <c r="J645" s="11">
        <v>195156937</v>
      </c>
      <c r="K645" s="11">
        <v>8559320239.58</v>
      </c>
      <c r="L645" s="6">
        <f t="shared" si="21"/>
        <v>57.5</v>
      </c>
    </row>
    <row r="646" spans="1:12">
      <c r="A646">
        <f t="shared" si="20"/>
        <v>2022</v>
      </c>
      <c r="B646" s="10">
        <v>44827</v>
      </c>
      <c r="C646" s="11">
        <v>57.48</v>
      </c>
      <c r="D646" s="11">
        <v>57</v>
      </c>
      <c r="E646" s="11">
        <v>57.5</v>
      </c>
      <c r="F646" s="11">
        <v>57</v>
      </c>
      <c r="G646" s="11">
        <v>-0.9</v>
      </c>
      <c r="H646" s="11">
        <v>210</v>
      </c>
      <c r="I646" s="11">
        <v>12070</v>
      </c>
      <c r="J646" s="11">
        <v>195156737</v>
      </c>
      <c r="K646" s="11">
        <v>8559308739.58</v>
      </c>
      <c r="L646" s="6">
        <f t="shared" si="21"/>
        <v>57.4761904761905</v>
      </c>
    </row>
    <row r="647" spans="1:12">
      <c r="A647">
        <f t="shared" si="20"/>
        <v>2022</v>
      </c>
      <c r="B647" s="10">
        <v>44826</v>
      </c>
      <c r="C647" s="11">
        <v>58</v>
      </c>
      <c r="D647" s="11">
        <v>58</v>
      </c>
      <c r="E647" s="11">
        <v>58</v>
      </c>
      <c r="F647" s="11">
        <v>58</v>
      </c>
      <c r="G647" s="11">
        <v>0</v>
      </c>
      <c r="H647" s="11">
        <v>100</v>
      </c>
      <c r="I647" s="11">
        <v>5800</v>
      </c>
      <c r="J647" s="11">
        <v>195156527</v>
      </c>
      <c r="K647" s="11">
        <v>8559296669.58</v>
      </c>
      <c r="L647" s="6">
        <f t="shared" si="21"/>
        <v>58</v>
      </c>
    </row>
    <row r="648" spans="1:12">
      <c r="A648">
        <f t="shared" si="20"/>
        <v>2022</v>
      </c>
      <c r="B648" s="10">
        <v>44825</v>
      </c>
      <c r="C648" s="11">
        <v>58</v>
      </c>
      <c r="D648" s="11">
        <v>58</v>
      </c>
      <c r="E648" s="11">
        <v>58</v>
      </c>
      <c r="F648" s="11">
        <v>58</v>
      </c>
      <c r="G648" s="11">
        <v>0</v>
      </c>
      <c r="H648" s="11">
        <v>100</v>
      </c>
      <c r="I648" s="11">
        <v>5800</v>
      </c>
      <c r="J648" s="11">
        <v>195156427</v>
      </c>
      <c r="K648" s="11">
        <v>8559290869.58</v>
      </c>
      <c r="L648" s="6">
        <f t="shared" si="21"/>
        <v>58</v>
      </c>
    </row>
    <row r="649" spans="1:12">
      <c r="A649">
        <f t="shared" si="20"/>
        <v>2022</v>
      </c>
      <c r="B649" s="10">
        <v>44824</v>
      </c>
      <c r="C649" s="11">
        <v>58</v>
      </c>
      <c r="D649" s="11">
        <v>58</v>
      </c>
      <c r="E649" s="11">
        <v>58</v>
      </c>
      <c r="F649" s="11">
        <v>58</v>
      </c>
      <c r="G649" s="11">
        <v>0</v>
      </c>
      <c r="H649" s="11">
        <v>100</v>
      </c>
      <c r="I649" s="11">
        <v>5800</v>
      </c>
      <c r="J649" s="11">
        <v>195156327</v>
      </c>
      <c r="K649" s="11">
        <v>8559285069.58</v>
      </c>
      <c r="L649" s="6">
        <f t="shared" si="21"/>
        <v>58</v>
      </c>
    </row>
    <row r="650" spans="1:12">
      <c r="A650">
        <f t="shared" si="20"/>
        <v>2022</v>
      </c>
      <c r="B650" s="10">
        <v>44823</v>
      </c>
      <c r="C650" s="11">
        <v>58</v>
      </c>
      <c r="D650" s="11">
        <v>58</v>
      </c>
      <c r="E650" s="11">
        <v>58</v>
      </c>
      <c r="F650" s="11">
        <v>58</v>
      </c>
      <c r="G650" s="11">
        <v>0</v>
      </c>
      <c r="H650" s="11">
        <v>100</v>
      </c>
      <c r="I650" s="11">
        <v>5800</v>
      </c>
      <c r="J650" s="11">
        <v>195156227</v>
      </c>
      <c r="K650" s="11">
        <v>8559279269.58</v>
      </c>
      <c r="L650" s="6">
        <f t="shared" si="21"/>
        <v>58</v>
      </c>
    </row>
    <row r="651" spans="1:12">
      <c r="A651">
        <f t="shared" si="20"/>
        <v>2022</v>
      </c>
      <c r="B651" s="10">
        <v>44820</v>
      </c>
      <c r="C651" s="11">
        <v>58</v>
      </c>
      <c r="D651" s="11">
        <v>58</v>
      </c>
      <c r="E651" s="11">
        <v>58</v>
      </c>
      <c r="F651" s="11">
        <v>58</v>
      </c>
      <c r="G651" s="11">
        <v>0</v>
      </c>
      <c r="H651" s="11">
        <v>100</v>
      </c>
      <c r="I651" s="11">
        <v>5800</v>
      </c>
      <c r="J651" s="11">
        <v>195156127</v>
      </c>
      <c r="K651" s="11">
        <v>8559273469.58</v>
      </c>
      <c r="L651" s="6">
        <f t="shared" si="21"/>
        <v>58</v>
      </c>
    </row>
    <row r="652" spans="1:12">
      <c r="A652">
        <f t="shared" si="20"/>
        <v>2022</v>
      </c>
      <c r="B652" s="10">
        <v>44819</v>
      </c>
      <c r="C652" s="11">
        <v>58</v>
      </c>
      <c r="D652" s="11">
        <v>58</v>
      </c>
      <c r="E652" s="11">
        <v>58</v>
      </c>
      <c r="F652" s="11">
        <v>58</v>
      </c>
      <c r="G652" s="11">
        <v>-0.85</v>
      </c>
      <c r="H652" s="11">
        <v>100</v>
      </c>
      <c r="I652" s="11">
        <v>5800</v>
      </c>
      <c r="J652" s="11">
        <v>195156027</v>
      </c>
      <c r="K652" s="11">
        <v>8559267669.58</v>
      </c>
      <c r="L652" s="6">
        <f t="shared" si="21"/>
        <v>58</v>
      </c>
    </row>
    <row r="653" spans="1:12">
      <c r="A653">
        <f t="shared" si="20"/>
        <v>2022</v>
      </c>
      <c r="B653" s="10">
        <v>44818</v>
      </c>
      <c r="C653" s="11">
        <v>58.5</v>
      </c>
      <c r="D653" s="11">
        <v>58.5</v>
      </c>
      <c r="E653" s="11">
        <v>58.5</v>
      </c>
      <c r="F653" s="11">
        <v>58.5</v>
      </c>
      <c r="G653" s="11">
        <v>0.86</v>
      </c>
      <c r="H653" s="11">
        <v>100</v>
      </c>
      <c r="I653" s="11">
        <v>5850</v>
      </c>
      <c r="J653" s="11">
        <v>195155927</v>
      </c>
      <c r="K653" s="11">
        <v>8559261870</v>
      </c>
      <c r="L653" s="6">
        <f t="shared" si="21"/>
        <v>58.5</v>
      </c>
    </row>
    <row r="654" spans="1:12">
      <c r="A654">
        <f t="shared" si="20"/>
        <v>2022</v>
      </c>
      <c r="B654" s="10">
        <v>44817</v>
      </c>
      <c r="C654" s="11">
        <v>58</v>
      </c>
      <c r="D654" s="11">
        <v>58</v>
      </c>
      <c r="E654" s="11">
        <v>58</v>
      </c>
      <c r="F654" s="11">
        <v>58</v>
      </c>
      <c r="G654" s="11">
        <v>0</v>
      </c>
      <c r="H654" s="11">
        <v>100</v>
      </c>
      <c r="I654" s="11">
        <v>5800</v>
      </c>
      <c r="J654" s="11">
        <v>195155827</v>
      </c>
      <c r="K654" s="11">
        <v>8559256019.58</v>
      </c>
      <c r="L654" s="6">
        <f t="shared" si="21"/>
        <v>58</v>
      </c>
    </row>
    <row r="655" spans="1:12">
      <c r="A655">
        <f t="shared" si="20"/>
        <v>2022</v>
      </c>
      <c r="B655" s="10">
        <v>44813</v>
      </c>
      <c r="C655" s="11">
        <v>58</v>
      </c>
      <c r="D655" s="11">
        <v>58</v>
      </c>
      <c r="E655" s="11">
        <v>58</v>
      </c>
      <c r="F655" s="11">
        <v>58</v>
      </c>
      <c r="G655" s="11">
        <v>-0.85</v>
      </c>
      <c r="H655" s="11">
        <v>100</v>
      </c>
      <c r="I655" s="11">
        <v>5800</v>
      </c>
      <c r="J655" s="11">
        <v>195155727</v>
      </c>
      <c r="K655" s="11">
        <v>8559250219.58</v>
      </c>
      <c r="L655" s="6">
        <f t="shared" si="21"/>
        <v>58</v>
      </c>
    </row>
    <row r="656" spans="1:12">
      <c r="A656">
        <f t="shared" si="20"/>
        <v>2022</v>
      </c>
      <c r="B656" s="10">
        <v>44812</v>
      </c>
      <c r="C656" s="11">
        <v>58.5</v>
      </c>
      <c r="D656" s="11">
        <v>58.5</v>
      </c>
      <c r="E656" s="11">
        <v>58.5</v>
      </c>
      <c r="F656" s="11">
        <v>58.5</v>
      </c>
      <c r="G656" s="11">
        <v>-0.83</v>
      </c>
      <c r="H656" s="11">
        <v>100</v>
      </c>
      <c r="I656" s="11">
        <v>5850</v>
      </c>
      <c r="J656" s="11">
        <v>195155627</v>
      </c>
      <c r="K656" s="11">
        <v>8559244419.58</v>
      </c>
      <c r="L656" s="6">
        <f t="shared" si="21"/>
        <v>58.5</v>
      </c>
    </row>
    <row r="657" spans="1:12">
      <c r="A657">
        <f t="shared" si="20"/>
        <v>2022</v>
      </c>
      <c r="B657" s="10">
        <v>44811</v>
      </c>
      <c r="C657" s="11">
        <v>58.99</v>
      </c>
      <c r="D657" s="11">
        <v>58.5</v>
      </c>
      <c r="E657" s="11">
        <v>59</v>
      </c>
      <c r="F657" s="11">
        <v>58.5</v>
      </c>
      <c r="G657" s="11">
        <v>0.02</v>
      </c>
      <c r="H657" s="11">
        <v>6090</v>
      </c>
      <c r="I657" s="11">
        <v>359260</v>
      </c>
      <c r="J657" s="11">
        <v>195155527</v>
      </c>
      <c r="K657" s="11">
        <v>8559238569.58</v>
      </c>
      <c r="L657" s="6">
        <f t="shared" si="21"/>
        <v>58.991789819376</v>
      </c>
    </row>
    <row r="658" spans="1:12">
      <c r="A658">
        <f t="shared" si="20"/>
        <v>2022</v>
      </c>
      <c r="B658" s="10">
        <v>44810</v>
      </c>
      <c r="C658" s="11">
        <v>58.98</v>
      </c>
      <c r="D658" s="11">
        <v>58.5</v>
      </c>
      <c r="E658" s="11">
        <v>59</v>
      </c>
      <c r="F658" s="11">
        <v>58.5</v>
      </c>
      <c r="G658" s="11">
        <v>0.82</v>
      </c>
      <c r="H658" s="11">
        <v>2100</v>
      </c>
      <c r="I658" s="11">
        <v>123850</v>
      </c>
      <c r="J658" s="11">
        <v>195149437</v>
      </c>
      <c r="K658" s="11">
        <v>8558879309.58</v>
      </c>
      <c r="L658" s="6">
        <f t="shared" si="21"/>
        <v>58.9761904761905</v>
      </c>
    </row>
    <row r="659" spans="1:12">
      <c r="A659">
        <f t="shared" si="20"/>
        <v>2022</v>
      </c>
      <c r="B659" s="10">
        <v>44809</v>
      </c>
      <c r="C659" s="11">
        <v>58.5</v>
      </c>
      <c r="D659" s="11">
        <v>58.5</v>
      </c>
      <c r="E659" s="11">
        <v>58.5</v>
      </c>
      <c r="F659" s="11">
        <v>58.5</v>
      </c>
      <c r="G659" s="11">
        <v>0.86</v>
      </c>
      <c r="H659" s="11">
        <v>10</v>
      </c>
      <c r="I659" s="11">
        <v>585</v>
      </c>
      <c r="J659" s="11">
        <v>195147337</v>
      </c>
      <c r="K659" s="11">
        <v>8558755459.58</v>
      </c>
      <c r="L659" s="6">
        <f t="shared" si="21"/>
        <v>58.5</v>
      </c>
    </row>
    <row r="660" spans="1:12">
      <c r="A660">
        <f t="shared" si="20"/>
        <v>2022</v>
      </c>
      <c r="B660" s="10">
        <v>44806</v>
      </c>
      <c r="C660" s="11">
        <v>58</v>
      </c>
      <c r="D660" s="11">
        <v>58</v>
      </c>
      <c r="E660" s="11">
        <v>58</v>
      </c>
      <c r="F660" s="11">
        <v>58</v>
      </c>
      <c r="G660" s="11">
        <v>0</v>
      </c>
      <c r="H660" s="11">
        <v>200</v>
      </c>
      <c r="I660" s="11">
        <v>11600</v>
      </c>
      <c r="J660" s="11">
        <v>195147327</v>
      </c>
      <c r="K660" s="11">
        <v>8558754874.58</v>
      </c>
      <c r="L660" s="6">
        <f t="shared" si="21"/>
        <v>58</v>
      </c>
    </row>
    <row r="661" spans="1:12">
      <c r="A661">
        <f t="shared" si="20"/>
        <v>2022</v>
      </c>
      <c r="B661" s="10">
        <v>44805</v>
      </c>
      <c r="C661" s="11">
        <v>58</v>
      </c>
      <c r="D661" s="11">
        <v>58</v>
      </c>
      <c r="E661" s="11">
        <v>58</v>
      </c>
      <c r="F661" s="11">
        <v>58</v>
      </c>
      <c r="G661" s="11">
        <v>0</v>
      </c>
      <c r="H661" s="11">
        <v>200</v>
      </c>
      <c r="I661" s="11">
        <v>11600</v>
      </c>
      <c r="J661" s="11">
        <v>195147127</v>
      </c>
      <c r="K661" s="11">
        <v>8558743274.58</v>
      </c>
      <c r="L661" s="6">
        <f t="shared" si="21"/>
        <v>58</v>
      </c>
    </row>
    <row r="662" spans="1:12">
      <c r="A662">
        <f t="shared" si="20"/>
        <v>2022</v>
      </c>
      <c r="B662" s="10">
        <v>44804</v>
      </c>
      <c r="C662" s="11">
        <v>58</v>
      </c>
      <c r="D662" s="11">
        <v>58</v>
      </c>
      <c r="E662" s="11">
        <v>58</v>
      </c>
      <c r="F662" s="11">
        <v>58</v>
      </c>
      <c r="G662" s="11">
        <v>0</v>
      </c>
      <c r="H662" s="11">
        <v>200</v>
      </c>
      <c r="I662" s="11">
        <v>11600</v>
      </c>
      <c r="J662" s="11">
        <v>195146927</v>
      </c>
      <c r="K662" s="11">
        <v>8558731674.58</v>
      </c>
      <c r="L662" s="6">
        <f t="shared" si="21"/>
        <v>58</v>
      </c>
    </row>
    <row r="663" spans="1:12">
      <c r="A663">
        <f t="shared" si="20"/>
        <v>2022</v>
      </c>
      <c r="B663" s="10">
        <v>44803</v>
      </c>
      <c r="C663" s="11">
        <v>58</v>
      </c>
      <c r="D663" s="11">
        <v>58</v>
      </c>
      <c r="E663" s="11">
        <v>58</v>
      </c>
      <c r="F663" s="11">
        <v>58</v>
      </c>
      <c r="G663" s="11">
        <v>-0.85</v>
      </c>
      <c r="H663" s="11">
        <v>200</v>
      </c>
      <c r="I663" s="11">
        <v>11600</v>
      </c>
      <c r="J663" s="11">
        <v>195146727</v>
      </c>
      <c r="K663" s="11">
        <v>8558720074.58</v>
      </c>
      <c r="L663" s="6">
        <f t="shared" si="21"/>
        <v>58</v>
      </c>
    </row>
    <row r="664" spans="1:12">
      <c r="A664">
        <f t="shared" si="20"/>
        <v>2022</v>
      </c>
      <c r="B664" s="10">
        <v>44802</v>
      </c>
      <c r="C664" s="11">
        <v>58.5</v>
      </c>
      <c r="D664" s="11">
        <v>58.5</v>
      </c>
      <c r="E664" s="11">
        <v>58.5</v>
      </c>
      <c r="F664" s="11">
        <v>58.5</v>
      </c>
      <c r="G664" s="11">
        <v>0</v>
      </c>
      <c r="H664" s="11">
        <v>130668</v>
      </c>
      <c r="I664" s="11">
        <v>7644078</v>
      </c>
      <c r="J664" s="11">
        <v>195146527</v>
      </c>
      <c r="K664" s="11">
        <v>8558708474.58</v>
      </c>
      <c r="L664" s="6">
        <f t="shared" si="21"/>
        <v>58.5</v>
      </c>
    </row>
    <row r="665" spans="1:12">
      <c r="A665">
        <f t="shared" si="20"/>
        <v>2022</v>
      </c>
      <c r="B665" s="10">
        <v>44799</v>
      </c>
      <c r="C665" s="11">
        <v>58.5</v>
      </c>
      <c r="D665" s="11">
        <v>58.5</v>
      </c>
      <c r="E665" s="11">
        <v>58.5</v>
      </c>
      <c r="F665" s="11">
        <v>58.5</v>
      </c>
      <c r="G665" s="11">
        <v>0</v>
      </c>
      <c r="H665" s="11">
        <v>668</v>
      </c>
      <c r="I665" s="11">
        <v>39078</v>
      </c>
      <c r="J665" s="11">
        <v>195015859</v>
      </c>
      <c r="K665" s="11">
        <v>8551064396.58</v>
      </c>
      <c r="L665" s="6">
        <f t="shared" si="21"/>
        <v>58.5</v>
      </c>
    </row>
    <row r="666" spans="1:12">
      <c r="A666">
        <f t="shared" si="20"/>
        <v>2022</v>
      </c>
      <c r="B666" s="10">
        <v>44798</v>
      </c>
      <c r="C666" s="11">
        <v>58.5</v>
      </c>
      <c r="D666" s="11">
        <v>58.5</v>
      </c>
      <c r="E666" s="11">
        <v>58.5</v>
      </c>
      <c r="F666" s="11">
        <v>58.5</v>
      </c>
      <c r="G666" s="11">
        <v>0.14</v>
      </c>
      <c r="H666" s="11">
        <v>100</v>
      </c>
      <c r="I666" s="11">
        <v>5850</v>
      </c>
      <c r="J666" s="11">
        <v>195015191</v>
      </c>
      <c r="K666" s="11">
        <v>8551025318.58</v>
      </c>
      <c r="L666" s="6">
        <f t="shared" si="21"/>
        <v>58.5</v>
      </c>
    </row>
    <row r="667" spans="1:12">
      <c r="A667">
        <f t="shared" si="20"/>
        <v>2022</v>
      </c>
      <c r="B667" s="10">
        <v>44797</v>
      </c>
      <c r="C667" s="11">
        <v>58.42</v>
      </c>
      <c r="D667" s="11">
        <v>58.5</v>
      </c>
      <c r="E667" s="11">
        <v>58.5</v>
      </c>
      <c r="F667" s="11">
        <v>58.5</v>
      </c>
      <c r="G667" s="11">
        <v>-0.65</v>
      </c>
      <c r="H667" s="11">
        <v>118</v>
      </c>
      <c r="I667" s="11">
        <v>6894</v>
      </c>
      <c r="J667" s="11">
        <v>195015091</v>
      </c>
      <c r="K667" s="11">
        <v>8551019469</v>
      </c>
      <c r="L667" s="6">
        <f t="shared" si="21"/>
        <v>58.4237288135593</v>
      </c>
    </row>
    <row r="668" spans="1:12">
      <c r="A668">
        <f t="shared" si="20"/>
        <v>2022</v>
      </c>
      <c r="B668" s="10">
        <v>44796</v>
      </c>
      <c r="C668" s="11">
        <v>58.8</v>
      </c>
      <c r="D668" s="11">
        <v>58.8</v>
      </c>
      <c r="E668" s="11">
        <v>59.5</v>
      </c>
      <c r="F668" s="11">
        <v>58.8</v>
      </c>
      <c r="G668" s="11">
        <v>1.38</v>
      </c>
      <c r="H668" s="11">
        <v>12002</v>
      </c>
      <c r="I668" s="11">
        <v>705719</v>
      </c>
      <c r="J668" s="11">
        <v>195014973</v>
      </c>
      <c r="K668" s="11">
        <v>8551012574.58</v>
      </c>
      <c r="L668" s="6">
        <f t="shared" si="21"/>
        <v>58.8001166472255</v>
      </c>
    </row>
    <row r="669" spans="1:12">
      <c r="A669">
        <f t="shared" si="20"/>
        <v>2022</v>
      </c>
      <c r="B669" s="10">
        <v>44795</v>
      </c>
      <c r="C669" s="11">
        <v>58</v>
      </c>
      <c r="D669" s="11">
        <v>58</v>
      </c>
      <c r="E669" s="11">
        <v>58</v>
      </c>
      <c r="F669" s="11">
        <v>58</v>
      </c>
      <c r="G669" s="11">
        <v>0</v>
      </c>
      <c r="H669" s="11">
        <v>200</v>
      </c>
      <c r="I669" s="11">
        <v>11600</v>
      </c>
      <c r="J669" s="11">
        <v>195002971</v>
      </c>
      <c r="K669" s="11">
        <v>8550306855.58</v>
      </c>
      <c r="L669" s="6">
        <f t="shared" si="21"/>
        <v>58</v>
      </c>
    </row>
    <row r="670" spans="1:12">
      <c r="A670">
        <f t="shared" si="20"/>
        <v>2022</v>
      </c>
      <c r="B670" s="10">
        <v>44792</v>
      </c>
      <c r="C670" s="11">
        <v>58</v>
      </c>
      <c r="D670" s="11">
        <v>58</v>
      </c>
      <c r="E670" s="11">
        <v>58</v>
      </c>
      <c r="F670" s="11">
        <v>58</v>
      </c>
      <c r="G670" s="11">
        <v>0</v>
      </c>
      <c r="H670" s="11">
        <v>80000</v>
      </c>
      <c r="I670" s="11">
        <v>4640000</v>
      </c>
      <c r="J670" s="11">
        <v>195002771</v>
      </c>
      <c r="K670" s="11">
        <v>8550295255.58</v>
      </c>
      <c r="L670" s="6">
        <f t="shared" si="21"/>
        <v>58</v>
      </c>
    </row>
    <row r="671" spans="1:12">
      <c r="A671">
        <f t="shared" si="20"/>
        <v>2022</v>
      </c>
      <c r="B671" s="10">
        <v>44791</v>
      </c>
      <c r="C671" s="11">
        <v>58</v>
      </c>
      <c r="D671" s="11">
        <v>58</v>
      </c>
      <c r="E671" s="11">
        <v>58</v>
      </c>
      <c r="F671" s="11">
        <v>58</v>
      </c>
      <c r="G671" s="11">
        <v>0</v>
      </c>
      <c r="H671" s="11">
        <v>200</v>
      </c>
      <c r="I671" s="11">
        <v>11600</v>
      </c>
      <c r="J671" s="11">
        <v>194922771</v>
      </c>
      <c r="K671" s="11">
        <v>8545655255.58</v>
      </c>
      <c r="L671" s="6">
        <f t="shared" si="21"/>
        <v>58</v>
      </c>
    </row>
    <row r="672" spans="1:12">
      <c r="A672">
        <f t="shared" si="20"/>
        <v>2022</v>
      </c>
      <c r="B672" s="10">
        <v>44790</v>
      </c>
      <c r="C672" s="11">
        <v>58</v>
      </c>
      <c r="D672" s="11">
        <v>58</v>
      </c>
      <c r="E672" s="11">
        <v>58</v>
      </c>
      <c r="F672" s="11">
        <v>58</v>
      </c>
      <c r="G672" s="11">
        <v>0</v>
      </c>
      <c r="H672" s="11">
        <v>200</v>
      </c>
      <c r="I672" s="11">
        <v>11600</v>
      </c>
      <c r="J672" s="11">
        <v>194922571</v>
      </c>
      <c r="K672" s="11">
        <v>8545643655.58</v>
      </c>
      <c r="L672" s="6">
        <f t="shared" si="21"/>
        <v>58</v>
      </c>
    </row>
    <row r="673" spans="1:12">
      <c r="A673">
        <f t="shared" si="20"/>
        <v>2022</v>
      </c>
      <c r="B673" s="10">
        <v>44789</v>
      </c>
      <c r="C673" s="11">
        <v>58</v>
      </c>
      <c r="D673" s="11">
        <v>58</v>
      </c>
      <c r="E673" s="11">
        <v>58</v>
      </c>
      <c r="F673" s="11">
        <v>58</v>
      </c>
      <c r="G673" s="11">
        <v>0</v>
      </c>
      <c r="H673" s="11">
        <v>200</v>
      </c>
      <c r="I673" s="11">
        <v>11600</v>
      </c>
      <c r="J673" s="11">
        <v>194922371</v>
      </c>
      <c r="K673" s="11">
        <v>8545632055.58</v>
      </c>
      <c r="L673" s="6">
        <f t="shared" si="21"/>
        <v>58</v>
      </c>
    </row>
    <row r="674" spans="1:12">
      <c r="A674">
        <f t="shared" si="20"/>
        <v>2022</v>
      </c>
      <c r="B674" s="10">
        <v>44788</v>
      </c>
      <c r="C674" s="11">
        <v>58</v>
      </c>
      <c r="D674" s="11">
        <v>58</v>
      </c>
      <c r="E674" s="11">
        <v>58</v>
      </c>
      <c r="F674" s="11">
        <v>58</v>
      </c>
      <c r="G674" s="11">
        <v>0</v>
      </c>
      <c r="H674" s="11">
        <v>200</v>
      </c>
      <c r="I674" s="11">
        <v>11600</v>
      </c>
      <c r="J674" s="11">
        <v>194922171</v>
      </c>
      <c r="K674" s="11">
        <v>8545620455.58</v>
      </c>
      <c r="L674" s="6">
        <f t="shared" si="21"/>
        <v>58</v>
      </c>
    </row>
    <row r="675" spans="1:12">
      <c r="A675">
        <f t="shared" si="20"/>
        <v>2022</v>
      </c>
      <c r="B675" s="10">
        <v>44785</v>
      </c>
      <c r="C675" s="11">
        <v>58</v>
      </c>
      <c r="D675" s="11">
        <v>58</v>
      </c>
      <c r="E675" s="11">
        <v>58</v>
      </c>
      <c r="F675" s="11">
        <v>58</v>
      </c>
      <c r="G675" s="11">
        <v>0</v>
      </c>
      <c r="H675" s="11">
        <v>121535</v>
      </c>
      <c r="I675" s="11">
        <v>7109697.5</v>
      </c>
      <c r="J675" s="11">
        <v>194921971</v>
      </c>
      <c r="K675" s="11">
        <v>8545608855.58</v>
      </c>
      <c r="L675" s="6">
        <f t="shared" si="21"/>
        <v>58.4991771917555</v>
      </c>
    </row>
    <row r="676" spans="1:12">
      <c r="A676">
        <f t="shared" si="20"/>
        <v>2022</v>
      </c>
      <c r="B676" s="10">
        <v>44784</v>
      </c>
      <c r="C676" s="11">
        <v>58</v>
      </c>
      <c r="D676" s="11">
        <v>58</v>
      </c>
      <c r="E676" s="11">
        <v>58</v>
      </c>
      <c r="F676" s="11">
        <v>58</v>
      </c>
      <c r="G676" s="11">
        <v>0</v>
      </c>
      <c r="H676" s="11">
        <v>5200</v>
      </c>
      <c r="I676" s="11">
        <v>301600</v>
      </c>
      <c r="J676" s="11">
        <v>194800436</v>
      </c>
      <c r="K676" s="11">
        <v>8538499158.08</v>
      </c>
      <c r="L676" s="6">
        <f t="shared" si="21"/>
        <v>58</v>
      </c>
    </row>
    <row r="677" spans="1:12">
      <c r="A677">
        <f t="shared" si="20"/>
        <v>2022</v>
      </c>
      <c r="B677" s="10">
        <v>44783</v>
      </c>
      <c r="C677" s="11">
        <v>58</v>
      </c>
      <c r="D677" s="11">
        <v>58</v>
      </c>
      <c r="E677" s="11">
        <v>58</v>
      </c>
      <c r="F677" s="11">
        <v>58</v>
      </c>
      <c r="G677" s="11">
        <v>-1.49</v>
      </c>
      <c r="H677" s="11">
        <v>17300</v>
      </c>
      <c r="I677" s="11">
        <v>1003400</v>
      </c>
      <c r="J677" s="11">
        <v>194795236</v>
      </c>
      <c r="K677" s="11">
        <v>8538197558.08</v>
      </c>
      <c r="L677" s="6">
        <f t="shared" si="21"/>
        <v>58</v>
      </c>
    </row>
    <row r="678" spans="1:12">
      <c r="A678">
        <f t="shared" si="20"/>
        <v>2022</v>
      </c>
      <c r="B678" s="10">
        <v>44782</v>
      </c>
      <c r="C678" s="11">
        <v>58.88</v>
      </c>
      <c r="D678" s="11">
        <v>58</v>
      </c>
      <c r="E678" s="11">
        <v>59</v>
      </c>
      <c r="F678" s="11">
        <v>58</v>
      </c>
      <c r="G678" s="11">
        <v>-0.2</v>
      </c>
      <c r="H678" s="11">
        <v>101700</v>
      </c>
      <c r="I678" s="11">
        <v>4682100</v>
      </c>
      <c r="J678" s="11">
        <v>194777936</v>
      </c>
      <c r="K678" s="11">
        <v>8537194158.08</v>
      </c>
      <c r="L678" s="6">
        <f t="shared" si="21"/>
        <v>46.0383480825959</v>
      </c>
    </row>
    <row r="679" spans="1:12">
      <c r="A679">
        <f t="shared" si="20"/>
        <v>2022</v>
      </c>
      <c r="B679" s="10">
        <v>44781</v>
      </c>
      <c r="C679" s="11">
        <v>59</v>
      </c>
      <c r="D679" s="11">
        <v>59</v>
      </c>
      <c r="E679" s="11">
        <v>59</v>
      </c>
      <c r="F679" s="11">
        <v>59</v>
      </c>
      <c r="G679" s="11">
        <v>0.85</v>
      </c>
      <c r="H679" s="11">
        <v>3000</v>
      </c>
      <c r="I679" s="11">
        <v>177000</v>
      </c>
      <c r="J679" s="11">
        <v>194676236</v>
      </c>
      <c r="K679" s="11">
        <v>8532512058.08</v>
      </c>
      <c r="L679" s="6">
        <f t="shared" si="21"/>
        <v>59</v>
      </c>
    </row>
    <row r="680" spans="1:12">
      <c r="A680">
        <f t="shared" si="20"/>
        <v>2022</v>
      </c>
      <c r="B680" s="10">
        <v>44778</v>
      </c>
      <c r="C680" s="11">
        <v>58.5</v>
      </c>
      <c r="D680" s="11">
        <v>58.5</v>
      </c>
      <c r="E680" s="11">
        <v>58.5</v>
      </c>
      <c r="F680" s="11">
        <v>58.5</v>
      </c>
      <c r="G680" s="11">
        <v>1.74</v>
      </c>
      <c r="H680" s="11">
        <v>68765</v>
      </c>
      <c r="I680" s="11">
        <v>4022752.5</v>
      </c>
      <c r="J680" s="11">
        <v>194673236</v>
      </c>
      <c r="K680" s="11">
        <v>8532335058.08</v>
      </c>
      <c r="L680" s="6">
        <f t="shared" si="21"/>
        <v>58.5</v>
      </c>
    </row>
    <row r="681" spans="1:12">
      <c r="A681">
        <f t="shared" si="20"/>
        <v>2022</v>
      </c>
      <c r="B681" s="10">
        <v>44777</v>
      </c>
      <c r="C681" s="11">
        <v>57.5</v>
      </c>
      <c r="D681" s="11">
        <v>57.5</v>
      </c>
      <c r="E681" s="11">
        <v>57.5</v>
      </c>
      <c r="F681" s="11">
        <v>57.5</v>
      </c>
      <c r="G681" s="11">
        <v>0</v>
      </c>
      <c r="H681" s="11">
        <v>500</v>
      </c>
      <c r="I681" s="11">
        <v>28750</v>
      </c>
      <c r="J681" s="11">
        <v>194604471</v>
      </c>
      <c r="K681" s="11">
        <v>8528312305.58</v>
      </c>
      <c r="L681" s="6">
        <f t="shared" si="21"/>
        <v>57.5</v>
      </c>
    </row>
    <row r="682" spans="1:12">
      <c r="A682">
        <f t="shared" si="20"/>
        <v>2022</v>
      </c>
      <c r="B682" s="10">
        <v>44776</v>
      </c>
      <c r="C682" s="11">
        <v>57.5</v>
      </c>
      <c r="D682" s="11">
        <v>57.5</v>
      </c>
      <c r="E682" s="11">
        <v>57.5</v>
      </c>
      <c r="F682" s="11">
        <v>57.5</v>
      </c>
      <c r="G682" s="11">
        <v>0.26</v>
      </c>
      <c r="H682" s="11">
        <v>500</v>
      </c>
      <c r="I682" s="11">
        <v>28750</v>
      </c>
      <c r="J682" s="11">
        <v>194603971</v>
      </c>
      <c r="K682" s="11">
        <v>8528283555.58</v>
      </c>
      <c r="L682" s="6">
        <f t="shared" si="21"/>
        <v>57.5</v>
      </c>
    </row>
    <row r="683" spans="1:12">
      <c r="A683">
        <f t="shared" si="20"/>
        <v>2022</v>
      </c>
      <c r="B683" s="10">
        <v>44775</v>
      </c>
      <c r="C683" s="11">
        <v>57.35</v>
      </c>
      <c r="D683" s="11">
        <v>57</v>
      </c>
      <c r="E683" s="11">
        <v>59</v>
      </c>
      <c r="F683" s="11">
        <v>57</v>
      </c>
      <c r="G683" s="11">
        <v>-2.27</v>
      </c>
      <c r="H683" s="11">
        <v>1731</v>
      </c>
      <c r="I683" s="11">
        <v>99267</v>
      </c>
      <c r="J683" s="11">
        <v>194603471</v>
      </c>
      <c r="K683" s="11">
        <v>8528254805.58</v>
      </c>
      <c r="L683" s="6">
        <f t="shared" si="21"/>
        <v>57.3466204506066</v>
      </c>
    </row>
    <row r="684" spans="1:12">
      <c r="A684">
        <f t="shared" si="20"/>
        <v>2022</v>
      </c>
      <c r="B684" s="10">
        <v>44774</v>
      </c>
      <c r="C684" s="11">
        <v>58.68</v>
      </c>
      <c r="D684" s="11">
        <v>58</v>
      </c>
      <c r="E684" s="11">
        <v>59.5</v>
      </c>
      <c r="F684" s="11">
        <v>58</v>
      </c>
      <c r="G684" s="11">
        <v>1.17</v>
      </c>
      <c r="H684" s="11">
        <v>2800</v>
      </c>
      <c r="I684" s="11">
        <v>164300</v>
      </c>
      <c r="J684" s="11">
        <v>194601740</v>
      </c>
      <c r="K684" s="11">
        <v>8528155538.58</v>
      </c>
      <c r="L684" s="6">
        <f t="shared" si="21"/>
        <v>58.6785714285714</v>
      </c>
    </row>
    <row r="685" spans="1:12">
      <c r="A685">
        <f t="shared" si="20"/>
        <v>2022</v>
      </c>
      <c r="B685" s="10">
        <v>44771</v>
      </c>
      <c r="C685" s="11">
        <v>58</v>
      </c>
      <c r="D685" s="11">
        <v>58</v>
      </c>
      <c r="E685" s="11">
        <v>58</v>
      </c>
      <c r="F685" s="11">
        <v>58</v>
      </c>
      <c r="G685" s="11">
        <v>-1.63</v>
      </c>
      <c r="H685" s="11">
        <v>150200</v>
      </c>
      <c r="I685" s="11">
        <v>9392600</v>
      </c>
      <c r="J685" s="11">
        <v>194598940</v>
      </c>
      <c r="K685" s="11">
        <v>8527991238.58</v>
      </c>
      <c r="L685" s="6">
        <f t="shared" si="21"/>
        <v>62.5339547270306</v>
      </c>
    </row>
    <row r="686" spans="1:12">
      <c r="A686">
        <f t="shared" si="20"/>
        <v>2022</v>
      </c>
      <c r="B686" s="10">
        <v>44770</v>
      </c>
      <c r="C686" s="11">
        <v>58.96</v>
      </c>
      <c r="D686" s="11">
        <v>57</v>
      </c>
      <c r="E686" s="11">
        <v>59</v>
      </c>
      <c r="F686" s="11">
        <v>57</v>
      </c>
      <c r="G686" s="11">
        <v>3.44</v>
      </c>
      <c r="H686" s="11">
        <v>211081</v>
      </c>
      <c r="I686" s="11">
        <v>12496617</v>
      </c>
      <c r="J686" s="11">
        <v>194448740</v>
      </c>
      <c r="K686" s="11">
        <v>8518598638.58</v>
      </c>
      <c r="L686" s="6">
        <f t="shared" si="21"/>
        <v>59.2029457885835</v>
      </c>
    </row>
    <row r="687" spans="1:12">
      <c r="A687">
        <f t="shared" si="20"/>
        <v>2022</v>
      </c>
      <c r="B687" s="10">
        <v>44769</v>
      </c>
      <c r="C687" s="11">
        <v>57</v>
      </c>
      <c r="D687" s="11">
        <v>57</v>
      </c>
      <c r="E687" s="11">
        <v>57</v>
      </c>
      <c r="F687" s="11">
        <v>57</v>
      </c>
      <c r="G687" s="11">
        <v>-0.52</v>
      </c>
      <c r="H687" s="11">
        <v>250</v>
      </c>
      <c r="I687" s="11">
        <v>14250</v>
      </c>
      <c r="J687" s="11">
        <v>194237659</v>
      </c>
      <c r="K687" s="11">
        <v>8506102021.58</v>
      </c>
      <c r="L687" s="6">
        <f t="shared" si="21"/>
        <v>57</v>
      </c>
    </row>
    <row r="688" spans="1:12">
      <c r="A688">
        <f t="shared" si="20"/>
        <v>2022</v>
      </c>
      <c r="B688" s="10">
        <v>44768</v>
      </c>
      <c r="C688" s="11">
        <v>57.3</v>
      </c>
      <c r="D688" s="11">
        <v>57.3</v>
      </c>
      <c r="E688" s="11">
        <v>57.3</v>
      </c>
      <c r="F688" s="11">
        <v>57.3</v>
      </c>
      <c r="G688" s="11">
        <v>0</v>
      </c>
      <c r="H688" s="11">
        <v>100</v>
      </c>
      <c r="I688" s="11">
        <v>5730</v>
      </c>
      <c r="J688" s="11">
        <v>194237409</v>
      </c>
      <c r="K688" s="11">
        <v>8506087771.58</v>
      </c>
      <c r="L688" s="6">
        <f t="shared" si="21"/>
        <v>57.3</v>
      </c>
    </row>
    <row r="689" spans="1:12">
      <c r="A689">
        <f t="shared" si="20"/>
        <v>2022</v>
      </c>
      <c r="B689" s="10">
        <v>44767</v>
      </c>
      <c r="C689" s="11">
        <v>57.3</v>
      </c>
      <c r="D689" s="11">
        <v>57.3</v>
      </c>
      <c r="E689" s="11">
        <v>57.3</v>
      </c>
      <c r="F689" s="11">
        <v>57.3</v>
      </c>
      <c r="G689" s="11">
        <v>0.53</v>
      </c>
      <c r="H689" s="11">
        <v>100</v>
      </c>
      <c r="I689" s="11">
        <v>5730</v>
      </c>
      <c r="J689" s="11">
        <v>194237309</v>
      </c>
      <c r="K689" s="11">
        <v>8506082041.58</v>
      </c>
      <c r="L689" s="6">
        <f t="shared" si="21"/>
        <v>57.3</v>
      </c>
    </row>
    <row r="690" spans="1:12">
      <c r="A690">
        <f t="shared" si="20"/>
        <v>2022</v>
      </c>
      <c r="B690" s="10">
        <v>44764</v>
      </c>
      <c r="C690" s="11">
        <v>57</v>
      </c>
      <c r="D690" s="11">
        <v>57</v>
      </c>
      <c r="E690" s="11">
        <v>57</v>
      </c>
      <c r="F690" s="11">
        <v>57</v>
      </c>
      <c r="G690" s="11">
        <v>-2.1</v>
      </c>
      <c r="H690" s="11">
        <v>10000</v>
      </c>
      <c r="I690" s="11">
        <v>570000</v>
      </c>
      <c r="J690" s="11">
        <v>194237209</v>
      </c>
      <c r="K690" s="11">
        <v>8506076311.58</v>
      </c>
      <c r="L690" s="6">
        <f t="shared" si="21"/>
        <v>57</v>
      </c>
    </row>
    <row r="691" spans="1:12">
      <c r="A691">
        <f t="shared" si="20"/>
        <v>2022</v>
      </c>
      <c r="B691" s="10">
        <v>44763</v>
      </c>
      <c r="C691" s="11">
        <v>58.22</v>
      </c>
      <c r="D691" s="11">
        <v>58.22</v>
      </c>
      <c r="E691" s="11">
        <v>58.22</v>
      </c>
      <c r="F691" s="11">
        <v>58.22</v>
      </c>
      <c r="G691" s="11">
        <v>1.53</v>
      </c>
      <c r="H691" s="11">
        <v>175000</v>
      </c>
      <c r="I691" s="11">
        <v>10380500</v>
      </c>
      <c r="J691" s="11">
        <v>194227209</v>
      </c>
      <c r="K691" s="11">
        <v>8505506311.58</v>
      </c>
      <c r="L691" s="6">
        <f t="shared" si="21"/>
        <v>59.3171428571429</v>
      </c>
    </row>
    <row r="692" spans="1:12">
      <c r="A692">
        <f t="shared" si="20"/>
        <v>2022</v>
      </c>
      <c r="B692" s="10">
        <v>44762</v>
      </c>
      <c r="C692" s="11">
        <v>57.34</v>
      </c>
      <c r="D692" s="11">
        <v>56.8</v>
      </c>
      <c r="E692" s="11">
        <v>58.22</v>
      </c>
      <c r="F692" s="11">
        <v>56</v>
      </c>
      <c r="G692" s="11">
        <v>-0.1</v>
      </c>
      <c r="H692" s="11">
        <v>30044</v>
      </c>
      <c r="I692" s="11">
        <v>1722664</v>
      </c>
      <c r="J692" s="11">
        <v>194052209</v>
      </c>
      <c r="K692" s="11">
        <v>8495125811.58</v>
      </c>
      <c r="L692" s="6">
        <f t="shared" si="21"/>
        <v>57.3380375449341</v>
      </c>
    </row>
    <row r="693" spans="1:12">
      <c r="A693">
        <f t="shared" si="20"/>
        <v>2022</v>
      </c>
      <c r="B693" s="10">
        <v>44761</v>
      </c>
      <c r="C693" s="11">
        <v>57.4</v>
      </c>
      <c r="D693" s="11">
        <v>57.4</v>
      </c>
      <c r="E693" s="11">
        <v>57.4</v>
      </c>
      <c r="F693" s="11">
        <v>57.4</v>
      </c>
      <c r="G693" s="11">
        <v>-0.35</v>
      </c>
      <c r="H693" s="11">
        <v>10000</v>
      </c>
      <c r="I693" s="11">
        <v>574000</v>
      </c>
      <c r="J693" s="11">
        <v>194022165</v>
      </c>
      <c r="K693" s="11">
        <v>8493403147.58</v>
      </c>
      <c r="L693" s="6">
        <f t="shared" si="21"/>
        <v>57.4</v>
      </c>
    </row>
    <row r="694" spans="1:12">
      <c r="A694">
        <f t="shared" si="20"/>
        <v>2022</v>
      </c>
      <c r="B694" s="10">
        <v>44760</v>
      </c>
      <c r="C694" s="11">
        <v>57.6</v>
      </c>
      <c r="D694" s="11">
        <v>58.6</v>
      </c>
      <c r="E694" s="11">
        <v>58.6</v>
      </c>
      <c r="F694" s="11">
        <v>57.6</v>
      </c>
      <c r="G694" s="11">
        <v>-1.1</v>
      </c>
      <c r="H694" s="11">
        <v>10010</v>
      </c>
      <c r="I694" s="11">
        <v>576586</v>
      </c>
      <c r="J694" s="11">
        <v>194012165</v>
      </c>
      <c r="K694" s="11">
        <v>8492829147.58</v>
      </c>
      <c r="L694" s="6">
        <f t="shared" si="21"/>
        <v>57.600999000999</v>
      </c>
    </row>
    <row r="695" spans="1:12">
      <c r="A695">
        <f t="shared" si="20"/>
        <v>2022</v>
      </c>
      <c r="B695" s="10">
        <v>44757</v>
      </c>
      <c r="C695" s="11">
        <v>58.24</v>
      </c>
      <c r="D695" s="11">
        <v>60</v>
      </c>
      <c r="E695" s="11">
        <v>60</v>
      </c>
      <c r="F695" s="11">
        <v>57.9</v>
      </c>
      <c r="G695" s="11">
        <v>1.71</v>
      </c>
      <c r="H695" s="11">
        <v>2500</v>
      </c>
      <c r="I695" s="11">
        <v>145600</v>
      </c>
      <c r="J695" s="11">
        <v>194002155</v>
      </c>
      <c r="K695" s="11">
        <v>8492252561.58</v>
      </c>
      <c r="L695" s="6">
        <f t="shared" si="21"/>
        <v>58.24</v>
      </c>
    </row>
    <row r="696" spans="1:12">
      <c r="A696">
        <f t="shared" si="20"/>
        <v>2022</v>
      </c>
      <c r="B696" s="10">
        <v>44756</v>
      </c>
      <c r="C696" s="11">
        <v>57.26</v>
      </c>
      <c r="D696" s="11">
        <v>57</v>
      </c>
      <c r="E696" s="11">
        <v>58</v>
      </c>
      <c r="F696" s="11">
        <v>57</v>
      </c>
      <c r="G696" s="11">
        <v>-3.11</v>
      </c>
      <c r="H696" s="11">
        <v>27446</v>
      </c>
      <c r="I696" s="11">
        <v>1571526.46</v>
      </c>
      <c r="J696" s="11">
        <v>193999655</v>
      </c>
      <c r="K696" s="11">
        <v>8492106961.58</v>
      </c>
      <c r="L696" s="6">
        <f t="shared" si="21"/>
        <v>57.2588522917729</v>
      </c>
    </row>
    <row r="697" spans="1:12">
      <c r="A697">
        <f t="shared" si="20"/>
        <v>2022</v>
      </c>
      <c r="B697" s="10">
        <v>44755</v>
      </c>
      <c r="C697" s="11">
        <v>59.1</v>
      </c>
      <c r="D697" s="11">
        <v>59.1</v>
      </c>
      <c r="E697" s="11">
        <v>59.1</v>
      </c>
      <c r="F697" s="11">
        <v>59.1</v>
      </c>
      <c r="G697" s="11">
        <v>1.9</v>
      </c>
      <c r="H697" s="11">
        <v>10</v>
      </c>
      <c r="I697" s="11">
        <v>591</v>
      </c>
      <c r="J697" s="11">
        <v>193972209</v>
      </c>
      <c r="K697" s="11">
        <v>8490535435.12</v>
      </c>
      <c r="L697" s="6">
        <f t="shared" si="21"/>
        <v>59.1</v>
      </c>
    </row>
    <row r="698" spans="1:12">
      <c r="A698">
        <f t="shared" si="20"/>
        <v>2022</v>
      </c>
      <c r="B698" s="10">
        <v>44754</v>
      </c>
      <c r="C698" s="11">
        <v>58</v>
      </c>
      <c r="D698" s="11">
        <v>58</v>
      </c>
      <c r="E698" s="11">
        <v>58</v>
      </c>
      <c r="F698" s="11">
        <v>58</v>
      </c>
      <c r="G698" s="11">
        <v>0</v>
      </c>
      <c r="H698" s="11">
        <v>10</v>
      </c>
      <c r="I698" s="11">
        <v>580</v>
      </c>
      <c r="J698" s="11">
        <v>193972199</v>
      </c>
      <c r="K698" s="11">
        <v>8490534844.12</v>
      </c>
      <c r="L698" s="6">
        <f t="shared" si="21"/>
        <v>58</v>
      </c>
    </row>
    <row r="699" spans="1:12">
      <c r="A699">
        <f t="shared" si="20"/>
        <v>2022</v>
      </c>
      <c r="B699" s="10">
        <v>44753</v>
      </c>
      <c r="C699" s="11">
        <v>58</v>
      </c>
      <c r="D699" s="11">
        <v>58</v>
      </c>
      <c r="E699" s="11">
        <v>58</v>
      </c>
      <c r="F699" s="11">
        <v>58</v>
      </c>
      <c r="G699" s="11">
        <v>1.72</v>
      </c>
      <c r="H699" s="11">
        <v>58</v>
      </c>
      <c r="I699" s="11">
        <v>3364</v>
      </c>
      <c r="J699" s="11">
        <v>193972189</v>
      </c>
      <c r="K699" s="11">
        <v>8490534264.12</v>
      </c>
      <c r="L699" s="6">
        <f t="shared" si="21"/>
        <v>58</v>
      </c>
    </row>
    <row r="700" spans="1:12">
      <c r="A700">
        <f t="shared" si="20"/>
        <v>2022</v>
      </c>
      <c r="B700" s="10">
        <v>44750</v>
      </c>
      <c r="C700" s="11">
        <v>57.02</v>
      </c>
      <c r="D700" s="11">
        <v>60</v>
      </c>
      <c r="E700" s="11">
        <v>60</v>
      </c>
      <c r="F700" s="11">
        <v>57</v>
      </c>
      <c r="G700" s="11">
        <v>-3.36</v>
      </c>
      <c r="H700" s="11">
        <v>49200</v>
      </c>
      <c r="I700" s="11">
        <v>2805180.5</v>
      </c>
      <c r="J700" s="11">
        <v>193972131</v>
      </c>
      <c r="K700" s="11">
        <v>8490530900.12</v>
      </c>
      <c r="L700" s="6">
        <f t="shared" si="21"/>
        <v>57.0158638211382</v>
      </c>
    </row>
    <row r="701" spans="1:12">
      <c r="A701">
        <f t="shared" si="20"/>
        <v>2022</v>
      </c>
      <c r="B701" s="10">
        <v>44749</v>
      </c>
      <c r="C701" s="11">
        <v>59</v>
      </c>
      <c r="D701" s="11">
        <v>59</v>
      </c>
      <c r="E701" s="11">
        <v>59</v>
      </c>
      <c r="F701" s="11">
        <v>59</v>
      </c>
      <c r="G701" s="11">
        <v>3.02</v>
      </c>
      <c r="H701" s="11">
        <v>1000</v>
      </c>
      <c r="I701" s="11">
        <v>59000</v>
      </c>
      <c r="J701" s="11">
        <v>193922931</v>
      </c>
      <c r="K701" s="11">
        <v>8487725719.62</v>
      </c>
      <c r="L701" s="6">
        <f t="shared" si="21"/>
        <v>59</v>
      </c>
    </row>
    <row r="702" spans="1:12">
      <c r="A702">
        <f t="shared" si="20"/>
        <v>2022</v>
      </c>
      <c r="B702" s="10">
        <v>44748</v>
      </c>
      <c r="C702" s="11">
        <v>57.27</v>
      </c>
      <c r="D702" s="11">
        <v>58</v>
      </c>
      <c r="E702" s="11">
        <v>58</v>
      </c>
      <c r="F702" s="11">
        <v>55</v>
      </c>
      <c r="G702" s="11">
        <v>-0.4</v>
      </c>
      <c r="H702" s="11">
        <v>80031</v>
      </c>
      <c r="I702" s="11">
        <v>4583589.6</v>
      </c>
      <c r="J702" s="11">
        <v>193921931</v>
      </c>
      <c r="K702" s="11">
        <v>8487666719.62</v>
      </c>
      <c r="L702" s="6">
        <f t="shared" si="21"/>
        <v>57.2726768377254</v>
      </c>
    </row>
    <row r="703" spans="1:12">
      <c r="A703">
        <f t="shared" si="20"/>
        <v>2022</v>
      </c>
      <c r="B703" s="10">
        <v>44747</v>
      </c>
      <c r="C703" s="11">
        <v>57.5</v>
      </c>
      <c r="D703" s="11">
        <v>57.5</v>
      </c>
      <c r="E703" s="11">
        <v>57.5</v>
      </c>
      <c r="F703" s="11">
        <v>57.5</v>
      </c>
      <c r="G703" s="11">
        <v>-2.54</v>
      </c>
      <c r="H703" s="11">
        <v>10000</v>
      </c>
      <c r="I703" s="11">
        <v>575000</v>
      </c>
      <c r="J703" s="11">
        <v>193841900</v>
      </c>
      <c r="K703" s="11">
        <v>8483083130.02</v>
      </c>
      <c r="L703" s="6">
        <f t="shared" si="21"/>
        <v>57.5</v>
      </c>
    </row>
    <row r="704" spans="1:12">
      <c r="A704">
        <f t="shared" si="20"/>
        <v>2022</v>
      </c>
      <c r="B704" s="10">
        <v>44746</v>
      </c>
      <c r="C704" s="11">
        <v>59</v>
      </c>
      <c r="D704" s="11">
        <v>59</v>
      </c>
      <c r="E704" s="11">
        <v>59</v>
      </c>
      <c r="F704" s="11">
        <v>59</v>
      </c>
      <c r="G704" s="11">
        <v>1.72</v>
      </c>
      <c r="H704" s="11">
        <v>10</v>
      </c>
      <c r="I704" s="11">
        <v>590</v>
      </c>
      <c r="J704" s="11">
        <v>193831900</v>
      </c>
      <c r="K704" s="11">
        <v>8482508130.02</v>
      </c>
      <c r="L704" s="6">
        <f t="shared" si="21"/>
        <v>59</v>
      </c>
    </row>
    <row r="705" spans="1:12">
      <c r="A705">
        <f t="shared" si="20"/>
        <v>2022</v>
      </c>
      <c r="B705" s="10">
        <v>44743</v>
      </c>
      <c r="C705" s="11">
        <v>58</v>
      </c>
      <c r="D705" s="11">
        <v>58.5</v>
      </c>
      <c r="E705" s="11">
        <v>58.5</v>
      </c>
      <c r="F705" s="11">
        <v>58</v>
      </c>
      <c r="G705" s="11">
        <v>0.87</v>
      </c>
      <c r="H705" s="11">
        <v>324940</v>
      </c>
      <c r="I705" s="11">
        <v>18746525</v>
      </c>
      <c r="J705" s="11">
        <v>193831890</v>
      </c>
      <c r="K705" s="11">
        <v>8482507540.02</v>
      </c>
      <c r="L705" s="6">
        <f t="shared" si="21"/>
        <v>57.6922662645411</v>
      </c>
    </row>
    <row r="706" spans="1:12">
      <c r="A706">
        <f t="shared" si="20"/>
        <v>2022</v>
      </c>
      <c r="B706" s="10">
        <v>44742</v>
      </c>
      <c r="C706" s="11">
        <v>57.5</v>
      </c>
      <c r="D706" s="11">
        <v>57.5</v>
      </c>
      <c r="E706" s="11">
        <v>57.5</v>
      </c>
      <c r="F706" s="11">
        <v>57.5</v>
      </c>
      <c r="G706" s="11">
        <v>-0.86</v>
      </c>
      <c r="H706" s="11">
        <v>10</v>
      </c>
      <c r="I706" s="11">
        <v>575</v>
      </c>
      <c r="J706" s="11">
        <v>193506950</v>
      </c>
      <c r="K706" s="11">
        <v>8463761015.02</v>
      </c>
      <c r="L706" s="6">
        <f t="shared" si="21"/>
        <v>57.5</v>
      </c>
    </row>
    <row r="707" spans="1:12">
      <c r="A707">
        <f t="shared" si="20"/>
        <v>2022</v>
      </c>
      <c r="B707" s="10">
        <v>44741</v>
      </c>
      <c r="C707" s="11">
        <v>58</v>
      </c>
      <c r="D707" s="11">
        <v>58</v>
      </c>
      <c r="E707" s="11">
        <v>58</v>
      </c>
      <c r="F707" s="11">
        <v>58</v>
      </c>
      <c r="G707" s="11">
        <v>-1.69</v>
      </c>
      <c r="H707" s="11">
        <v>10</v>
      </c>
      <c r="I707" s="11">
        <v>580</v>
      </c>
      <c r="J707" s="11">
        <v>193506940</v>
      </c>
      <c r="K707" s="11">
        <v>8463760440.02</v>
      </c>
      <c r="L707" s="6">
        <f t="shared" si="21"/>
        <v>58</v>
      </c>
    </row>
    <row r="708" spans="1:12">
      <c r="A708">
        <f t="shared" ref="A708:A771" si="22">YEAR(B708)</f>
        <v>2022</v>
      </c>
      <c r="B708" s="10">
        <v>44740</v>
      </c>
      <c r="C708" s="11">
        <v>59</v>
      </c>
      <c r="D708" s="11">
        <v>59</v>
      </c>
      <c r="E708" s="11">
        <v>59</v>
      </c>
      <c r="F708" s="11">
        <v>59</v>
      </c>
      <c r="G708" s="11">
        <v>-1.67</v>
      </c>
      <c r="H708" s="11">
        <v>20</v>
      </c>
      <c r="I708" s="11">
        <v>1180</v>
      </c>
      <c r="J708" s="11">
        <v>193506930</v>
      </c>
      <c r="K708" s="11">
        <v>8463759860.02</v>
      </c>
      <c r="L708" s="6">
        <f t="shared" ref="L708:L771" si="23">I708/H708</f>
        <v>59</v>
      </c>
    </row>
    <row r="709" spans="1:12">
      <c r="A709">
        <f t="shared" si="22"/>
        <v>2022</v>
      </c>
      <c r="B709" s="10">
        <v>44739</v>
      </c>
      <c r="C709" s="11">
        <v>60</v>
      </c>
      <c r="D709" s="11">
        <v>60</v>
      </c>
      <c r="E709" s="11">
        <v>60</v>
      </c>
      <c r="F709" s="11">
        <v>60</v>
      </c>
      <c r="G709" s="11">
        <v>0</v>
      </c>
      <c r="H709" s="11">
        <v>10</v>
      </c>
      <c r="I709" s="11">
        <v>600</v>
      </c>
      <c r="J709" s="11">
        <v>193506910</v>
      </c>
      <c r="K709" s="11">
        <v>8463758680.02</v>
      </c>
      <c r="L709" s="6">
        <f t="shared" si="23"/>
        <v>60</v>
      </c>
    </row>
    <row r="710" spans="1:12">
      <c r="A710">
        <f t="shared" si="22"/>
        <v>2022</v>
      </c>
      <c r="B710" s="10">
        <v>44736</v>
      </c>
      <c r="C710" s="11">
        <v>60</v>
      </c>
      <c r="D710" s="11">
        <v>60</v>
      </c>
      <c r="E710" s="11">
        <v>60</v>
      </c>
      <c r="F710" s="11">
        <v>60</v>
      </c>
      <c r="G710" s="11">
        <v>0</v>
      </c>
      <c r="H710" s="11">
        <v>120010</v>
      </c>
      <c r="I710" s="11">
        <v>7344600</v>
      </c>
      <c r="J710" s="11">
        <v>193506900</v>
      </c>
      <c r="K710" s="11">
        <v>8463758080.02</v>
      </c>
      <c r="L710" s="6">
        <f t="shared" si="23"/>
        <v>61.1999000083326</v>
      </c>
    </row>
    <row r="711" spans="1:12">
      <c r="A711">
        <f t="shared" si="22"/>
        <v>2022</v>
      </c>
      <c r="B711" s="10">
        <v>44735</v>
      </c>
      <c r="C711" s="11">
        <v>60</v>
      </c>
      <c r="D711" s="11">
        <v>60</v>
      </c>
      <c r="E711" s="11">
        <v>60</v>
      </c>
      <c r="F711" s="11">
        <v>60</v>
      </c>
      <c r="G711" s="11">
        <v>0</v>
      </c>
      <c r="H711" s="11">
        <v>250010</v>
      </c>
      <c r="I711" s="11">
        <v>13750600</v>
      </c>
      <c r="J711" s="11">
        <v>193386890</v>
      </c>
      <c r="K711" s="11">
        <v>8456413480.02</v>
      </c>
      <c r="L711" s="6">
        <f t="shared" si="23"/>
        <v>55.0001999920003</v>
      </c>
    </row>
    <row r="712" spans="1:12">
      <c r="A712">
        <f t="shared" si="22"/>
        <v>2022</v>
      </c>
      <c r="B712" s="10">
        <v>44734</v>
      </c>
      <c r="C712" s="11">
        <v>60</v>
      </c>
      <c r="D712" s="11">
        <v>60</v>
      </c>
      <c r="E712" s="11">
        <v>60</v>
      </c>
      <c r="F712" s="11">
        <v>60</v>
      </c>
      <c r="G712" s="11">
        <v>0.67</v>
      </c>
      <c r="H712" s="11">
        <v>150030</v>
      </c>
      <c r="I712" s="11">
        <v>9001800</v>
      </c>
      <c r="J712" s="11">
        <v>193136880</v>
      </c>
      <c r="K712" s="11">
        <v>8442662880.02</v>
      </c>
      <c r="L712" s="6">
        <f t="shared" si="23"/>
        <v>60</v>
      </c>
    </row>
    <row r="713" spans="1:12">
      <c r="A713">
        <f t="shared" si="22"/>
        <v>2022</v>
      </c>
      <c r="B713" s="10">
        <v>44733</v>
      </c>
      <c r="C713" s="11">
        <v>59.6</v>
      </c>
      <c r="D713" s="11">
        <v>59.6</v>
      </c>
      <c r="E713" s="11">
        <v>59.6</v>
      </c>
      <c r="F713" s="11">
        <v>59.6</v>
      </c>
      <c r="G713" s="11">
        <v>0.59</v>
      </c>
      <c r="H713" s="11">
        <v>50</v>
      </c>
      <c r="I713" s="11">
        <v>2980</v>
      </c>
      <c r="J713" s="11">
        <v>192986850</v>
      </c>
      <c r="K713" s="11">
        <v>8433661080.02</v>
      </c>
      <c r="L713" s="6">
        <f t="shared" si="23"/>
        <v>59.6</v>
      </c>
    </row>
    <row r="714" spans="1:12">
      <c r="A714">
        <f t="shared" si="22"/>
        <v>2022</v>
      </c>
      <c r="B714" s="10">
        <v>44732</v>
      </c>
      <c r="C714" s="11">
        <v>59.25</v>
      </c>
      <c r="D714" s="11">
        <v>59</v>
      </c>
      <c r="E714" s="11">
        <v>59</v>
      </c>
      <c r="F714" s="11">
        <v>59</v>
      </c>
      <c r="G714" s="11">
        <v>0.42</v>
      </c>
      <c r="H714" s="11">
        <v>20</v>
      </c>
      <c r="I714" s="11">
        <v>1185</v>
      </c>
      <c r="J714" s="11">
        <v>192986800</v>
      </c>
      <c r="K714" s="11">
        <v>8433658100.02</v>
      </c>
      <c r="L714" s="6">
        <f t="shared" si="23"/>
        <v>59.25</v>
      </c>
    </row>
    <row r="715" spans="1:12">
      <c r="A715">
        <f t="shared" si="22"/>
        <v>2022</v>
      </c>
      <c r="B715" s="10">
        <v>44729</v>
      </c>
      <c r="C715" s="11">
        <v>59</v>
      </c>
      <c r="D715" s="11">
        <v>59</v>
      </c>
      <c r="E715" s="11">
        <v>59</v>
      </c>
      <c r="F715" s="11">
        <v>59</v>
      </c>
      <c r="G715" s="11">
        <v>0</v>
      </c>
      <c r="H715" s="11">
        <v>10</v>
      </c>
      <c r="I715" s="11">
        <v>590</v>
      </c>
      <c r="J715" s="11">
        <v>192986780</v>
      </c>
      <c r="K715" s="11">
        <v>8433656915.02</v>
      </c>
      <c r="L715" s="6">
        <f t="shared" si="23"/>
        <v>59</v>
      </c>
    </row>
    <row r="716" spans="1:12">
      <c r="A716">
        <f t="shared" si="22"/>
        <v>2022</v>
      </c>
      <c r="B716" s="10">
        <v>44728</v>
      </c>
      <c r="C716" s="11">
        <v>59</v>
      </c>
      <c r="D716" s="11">
        <v>59</v>
      </c>
      <c r="E716" s="11">
        <v>59</v>
      </c>
      <c r="F716" s="11">
        <v>59</v>
      </c>
      <c r="G716" s="11">
        <v>0</v>
      </c>
      <c r="H716" s="11">
        <v>10</v>
      </c>
      <c r="I716" s="11">
        <v>590</v>
      </c>
      <c r="J716" s="11">
        <v>192986770</v>
      </c>
      <c r="K716" s="11">
        <v>8433656325.02</v>
      </c>
      <c r="L716" s="6">
        <f t="shared" si="23"/>
        <v>59</v>
      </c>
    </row>
    <row r="717" spans="1:12">
      <c r="A717">
        <f t="shared" si="22"/>
        <v>2022</v>
      </c>
      <c r="B717" s="10">
        <v>44727</v>
      </c>
      <c r="C717" s="11">
        <v>59</v>
      </c>
      <c r="D717" s="11">
        <v>59</v>
      </c>
      <c r="E717" s="11">
        <v>59</v>
      </c>
      <c r="F717" s="11">
        <v>59</v>
      </c>
      <c r="G717" s="11">
        <v>0</v>
      </c>
      <c r="H717" s="11">
        <v>10</v>
      </c>
      <c r="I717" s="11">
        <v>590</v>
      </c>
      <c r="J717" s="11">
        <v>192986760</v>
      </c>
      <c r="K717" s="11">
        <v>8433655735.02</v>
      </c>
      <c r="L717" s="6">
        <f t="shared" si="23"/>
        <v>59</v>
      </c>
    </row>
    <row r="718" spans="1:12">
      <c r="A718">
        <f t="shared" si="22"/>
        <v>2022</v>
      </c>
      <c r="B718" s="10">
        <v>44726</v>
      </c>
      <c r="C718" s="11">
        <v>59</v>
      </c>
      <c r="D718" s="11">
        <v>59</v>
      </c>
      <c r="E718" s="11">
        <v>59</v>
      </c>
      <c r="F718" s="11">
        <v>59</v>
      </c>
      <c r="G718" s="11">
        <v>0</v>
      </c>
      <c r="H718" s="11">
        <v>10</v>
      </c>
      <c r="I718" s="11">
        <v>590</v>
      </c>
      <c r="J718" s="11">
        <v>192986750</v>
      </c>
      <c r="K718" s="11">
        <v>8433655145.02</v>
      </c>
      <c r="L718" s="6">
        <f t="shared" si="23"/>
        <v>59</v>
      </c>
    </row>
    <row r="719" spans="1:12">
      <c r="A719">
        <f t="shared" si="22"/>
        <v>2022</v>
      </c>
      <c r="B719" s="10">
        <v>44725</v>
      </c>
      <c r="C719" s="11">
        <v>59</v>
      </c>
      <c r="D719" s="11">
        <v>59</v>
      </c>
      <c r="E719" s="11">
        <v>59</v>
      </c>
      <c r="F719" s="11">
        <v>59</v>
      </c>
      <c r="G719" s="11">
        <v>0</v>
      </c>
      <c r="H719" s="11">
        <v>10</v>
      </c>
      <c r="I719" s="11">
        <v>590</v>
      </c>
      <c r="J719" s="11">
        <v>192986740</v>
      </c>
      <c r="K719" s="11">
        <v>8433654555.02</v>
      </c>
      <c r="L719" s="6">
        <f t="shared" si="23"/>
        <v>59</v>
      </c>
    </row>
    <row r="720" spans="1:12">
      <c r="A720">
        <f t="shared" si="22"/>
        <v>2022</v>
      </c>
      <c r="B720" s="10">
        <v>44722</v>
      </c>
      <c r="C720" s="11">
        <v>59</v>
      </c>
      <c r="D720" s="11">
        <v>59</v>
      </c>
      <c r="E720" s="11">
        <v>59</v>
      </c>
      <c r="F720" s="11">
        <v>59</v>
      </c>
      <c r="G720" s="11">
        <v>0</v>
      </c>
      <c r="H720" s="11">
        <v>10</v>
      </c>
      <c r="I720" s="11">
        <v>590</v>
      </c>
      <c r="J720" s="11">
        <v>192986730</v>
      </c>
      <c r="K720" s="11">
        <v>8433653965.02</v>
      </c>
      <c r="L720" s="6">
        <f t="shared" si="23"/>
        <v>59</v>
      </c>
    </row>
    <row r="721" spans="1:12">
      <c r="A721">
        <f t="shared" si="22"/>
        <v>2022</v>
      </c>
      <c r="B721" s="10">
        <v>44721</v>
      </c>
      <c r="C721" s="11">
        <v>59</v>
      </c>
      <c r="D721" s="11">
        <v>59</v>
      </c>
      <c r="E721" s="11">
        <v>59</v>
      </c>
      <c r="F721" s="11">
        <v>59</v>
      </c>
      <c r="G721" s="11">
        <v>0</v>
      </c>
      <c r="H721" s="11">
        <v>150010</v>
      </c>
      <c r="I721" s="11">
        <v>8955590</v>
      </c>
      <c r="J721" s="11">
        <v>192986720</v>
      </c>
      <c r="K721" s="11">
        <v>8433653375.02</v>
      </c>
      <c r="L721" s="6">
        <f t="shared" si="23"/>
        <v>59.6999533364442</v>
      </c>
    </row>
    <row r="722" spans="1:12">
      <c r="A722">
        <f t="shared" si="22"/>
        <v>2022</v>
      </c>
      <c r="B722" s="10">
        <v>44720</v>
      </c>
      <c r="C722" s="11">
        <v>59</v>
      </c>
      <c r="D722" s="11">
        <v>59</v>
      </c>
      <c r="E722" s="11">
        <v>59</v>
      </c>
      <c r="F722" s="11">
        <v>59</v>
      </c>
      <c r="G722" s="11">
        <v>0</v>
      </c>
      <c r="H722" s="11">
        <v>10</v>
      </c>
      <c r="I722" s="11">
        <v>590</v>
      </c>
      <c r="J722" s="11">
        <v>192836710</v>
      </c>
      <c r="K722" s="11">
        <v>8424697785.02</v>
      </c>
      <c r="L722" s="6">
        <f t="shared" si="23"/>
        <v>59</v>
      </c>
    </row>
    <row r="723" spans="1:12">
      <c r="A723">
        <f t="shared" si="22"/>
        <v>2022</v>
      </c>
      <c r="B723" s="10">
        <v>44719</v>
      </c>
      <c r="C723" s="11">
        <v>59</v>
      </c>
      <c r="D723" s="11">
        <v>59</v>
      </c>
      <c r="E723" s="11">
        <v>59</v>
      </c>
      <c r="F723" s="11">
        <v>59</v>
      </c>
      <c r="G723" s="11">
        <v>0</v>
      </c>
      <c r="H723" s="11">
        <v>10</v>
      </c>
      <c r="I723" s="11">
        <v>590</v>
      </c>
      <c r="J723" s="11">
        <v>192836700</v>
      </c>
      <c r="K723" s="11">
        <v>8424697195.02</v>
      </c>
      <c r="L723" s="6">
        <f t="shared" si="23"/>
        <v>59</v>
      </c>
    </row>
    <row r="724" spans="1:12">
      <c r="A724">
        <f t="shared" si="22"/>
        <v>2022</v>
      </c>
      <c r="B724" s="10">
        <v>44718</v>
      </c>
      <c r="C724" s="11">
        <v>59</v>
      </c>
      <c r="D724" s="11">
        <v>59</v>
      </c>
      <c r="E724" s="11">
        <v>59</v>
      </c>
      <c r="F724" s="11">
        <v>59</v>
      </c>
      <c r="G724" s="11">
        <v>0</v>
      </c>
      <c r="H724" s="11">
        <v>10</v>
      </c>
      <c r="I724" s="11">
        <v>590</v>
      </c>
      <c r="J724" s="11">
        <v>192836690</v>
      </c>
      <c r="K724" s="11">
        <v>8424696605.02</v>
      </c>
      <c r="L724" s="6">
        <f t="shared" si="23"/>
        <v>59</v>
      </c>
    </row>
    <row r="725" spans="1:12">
      <c r="A725">
        <f t="shared" si="22"/>
        <v>2022</v>
      </c>
      <c r="B725" s="10">
        <v>44714</v>
      </c>
      <c r="C725" s="11">
        <v>59</v>
      </c>
      <c r="D725" s="11">
        <v>59</v>
      </c>
      <c r="E725" s="11">
        <v>59</v>
      </c>
      <c r="F725" s="11">
        <v>59</v>
      </c>
      <c r="G725" s="11">
        <v>0</v>
      </c>
      <c r="H725" s="11">
        <v>10</v>
      </c>
      <c r="I725" s="11">
        <v>590</v>
      </c>
      <c r="J725" s="11">
        <v>192836680</v>
      </c>
      <c r="K725" s="11">
        <v>8424696015.02</v>
      </c>
      <c r="L725" s="6">
        <f t="shared" si="23"/>
        <v>59</v>
      </c>
    </row>
    <row r="726" spans="1:12">
      <c r="A726">
        <f t="shared" si="22"/>
        <v>2022</v>
      </c>
      <c r="B726" s="10">
        <v>44713</v>
      </c>
      <c r="C726" s="11">
        <v>59</v>
      </c>
      <c r="D726" s="11">
        <v>59</v>
      </c>
      <c r="E726" s="11">
        <v>59</v>
      </c>
      <c r="F726" s="11">
        <v>59</v>
      </c>
      <c r="G726" s="11">
        <v>0</v>
      </c>
      <c r="H726" s="11">
        <v>100010</v>
      </c>
      <c r="I726" s="11">
        <v>5500590</v>
      </c>
      <c r="J726" s="11">
        <v>192836670</v>
      </c>
      <c r="K726" s="11">
        <v>8424695425.02</v>
      </c>
      <c r="L726" s="6">
        <f t="shared" si="23"/>
        <v>55.000399960004</v>
      </c>
    </row>
    <row r="727" spans="1:12">
      <c r="A727">
        <f t="shared" si="22"/>
        <v>2022</v>
      </c>
      <c r="B727" s="10">
        <v>44712</v>
      </c>
      <c r="C727" s="11">
        <v>59</v>
      </c>
      <c r="D727" s="11">
        <v>59</v>
      </c>
      <c r="E727" s="11">
        <v>59</v>
      </c>
      <c r="F727" s="11">
        <v>59</v>
      </c>
      <c r="G727" s="11">
        <v>0</v>
      </c>
      <c r="H727" s="11">
        <v>600010</v>
      </c>
      <c r="I727" s="11">
        <v>32700590</v>
      </c>
      <c r="J727" s="11">
        <v>192736660</v>
      </c>
      <c r="K727" s="11">
        <v>8419194835.02</v>
      </c>
      <c r="L727" s="6">
        <f t="shared" si="23"/>
        <v>54.50007499875</v>
      </c>
    </row>
    <row r="728" spans="1:12">
      <c r="A728">
        <f t="shared" si="22"/>
        <v>2022</v>
      </c>
      <c r="B728" s="10">
        <v>44711</v>
      </c>
      <c r="C728" s="11">
        <v>59</v>
      </c>
      <c r="D728" s="11">
        <v>59</v>
      </c>
      <c r="E728" s="11">
        <v>59</v>
      </c>
      <c r="F728" s="11">
        <v>59</v>
      </c>
      <c r="G728" s="11">
        <v>0</v>
      </c>
      <c r="H728" s="11">
        <v>10</v>
      </c>
      <c r="I728" s="11">
        <v>590</v>
      </c>
      <c r="J728" s="11">
        <v>192136650</v>
      </c>
      <c r="K728" s="11">
        <v>8386494245.02</v>
      </c>
      <c r="L728" s="6">
        <f t="shared" si="23"/>
        <v>59</v>
      </c>
    </row>
    <row r="729" spans="1:12">
      <c r="A729">
        <f t="shared" si="22"/>
        <v>2022</v>
      </c>
      <c r="B729" s="10">
        <v>44708</v>
      </c>
      <c r="C729" s="11">
        <v>59</v>
      </c>
      <c r="D729" s="11">
        <v>59</v>
      </c>
      <c r="E729" s="11">
        <v>59</v>
      </c>
      <c r="F729" s="11">
        <v>59</v>
      </c>
      <c r="G729" s="11">
        <v>0</v>
      </c>
      <c r="H729" s="11">
        <v>421010</v>
      </c>
      <c r="I729" s="11">
        <v>23039590</v>
      </c>
      <c r="J729" s="11">
        <v>192136640</v>
      </c>
      <c r="K729" s="11">
        <v>8386493655.02</v>
      </c>
      <c r="L729" s="6">
        <f t="shared" si="23"/>
        <v>54.7245671124201</v>
      </c>
    </row>
    <row r="730" spans="1:12">
      <c r="A730">
        <f t="shared" si="22"/>
        <v>2022</v>
      </c>
      <c r="B730" s="10">
        <v>44707</v>
      </c>
      <c r="C730" s="11">
        <v>59</v>
      </c>
      <c r="D730" s="11">
        <v>59</v>
      </c>
      <c r="E730" s="11">
        <v>59</v>
      </c>
      <c r="F730" s="11">
        <v>59</v>
      </c>
      <c r="G730" s="11">
        <v>0</v>
      </c>
      <c r="H730" s="11">
        <v>130010</v>
      </c>
      <c r="I730" s="11">
        <v>7670590</v>
      </c>
      <c r="J730" s="11">
        <v>191715630</v>
      </c>
      <c r="K730" s="11">
        <v>8363454065.02</v>
      </c>
      <c r="L730" s="6">
        <f t="shared" si="23"/>
        <v>59</v>
      </c>
    </row>
    <row r="731" spans="1:12">
      <c r="A731">
        <f t="shared" si="22"/>
        <v>2022</v>
      </c>
      <c r="B731" s="10">
        <v>44706</v>
      </c>
      <c r="C731" s="11">
        <v>59</v>
      </c>
      <c r="D731" s="11">
        <v>59</v>
      </c>
      <c r="E731" s="11">
        <v>59</v>
      </c>
      <c r="F731" s="11">
        <v>59</v>
      </c>
      <c r="G731" s="11">
        <v>-0.3</v>
      </c>
      <c r="H731" s="11">
        <v>10</v>
      </c>
      <c r="I731" s="11">
        <v>590</v>
      </c>
      <c r="J731" s="11">
        <v>191585620</v>
      </c>
      <c r="K731" s="11">
        <v>8355783475.02</v>
      </c>
      <c r="L731" s="6">
        <f t="shared" si="23"/>
        <v>59</v>
      </c>
    </row>
    <row r="732" spans="1:12">
      <c r="A732">
        <f t="shared" si="22"/>
        <v>2022</v>
      </c>
      <c r="B732" s="10">
        <v>44705</v>
      </c>
      <c r="C732" s="11">
        <v>59.18</v>
      </c>
      <c r="D732" s="11">
        <v>59</v>
      </c>
      <c r="E732" s="11">
        <v>61</v>
      </c>
      <c r="F732" s="11">
        <v>59</v>
      </c>
      <c r="G732" s="11">
        <v>0.36</v>
      </c>
      <c r="H732" s="11">
        <v>11</v>
      </c>
      <c r="I732" s="11">
        <v>651</v>
      </c>
      <c r="J732" s="11">
        <v>191585610</v>
      </c>
      <c r="K732" s="11">
        <v>8355782885.02</v>
      </c>
      <c r="L732" s="6">
        <f t="shared" si="23"/>
        <v>59.1818181818182</v>
      </c>
    </row>
    <row r="733" spans="1:12">
      <c r="A733">
        <f t="shared" si="22"/>
        <v>2022</v>
      </c>
      <c r="B733" s="10">
        <v>44704</v>
      </c>
      <c r="C733" s="11">
        <v>58.97</v>
      </c>
      <c r="D733" s="11">
        <v>59</v>
      </c>
      <c r="E733" s="11">
        <v>59</v>
      </c>
      <c r="F733" s="11">
        <v>58</v>
      </c>
      <c r="G733" s="11">
        <v>1.67</v>
      </c>
      <c r="H733" s="11">
        <v>310</v>
      </c>
      <c r="I733" s="11">
        <v>18280</v>
      </c>
      <c r="J733" s="11">
        <v>191585599</v>
      </c>
      <c r="K733" s="11">
        <v>8355782234.02</v>
      </c>
      <c r="L733" s="6">
        <f t="shared" si="23"/>
        <v>58.9677419354839</v>
      </c>
    </row>
    <row r="734" spans="1:12">
      <c r="A734">
        <f t="shared" si="22"/>
        <v>2022</v>
      </c>
      <c r="B734" s="10">
        <v>44701</v>
      </c>
      <c r="C734" s="11">
        <v>58</v>
      </c>
      <c r="D734" s="11">
        <v>58</v>
      </c>
      <c r="E734" s="11">
        <v>58</v>
      </c>
      <c r="F734" s="11">
        <v>58</v>
      </c>
      <c r="G734" s="11">
        <v>0</v>
      </c>
      <c r="H734" s="11">
        <v>10</v>
      </c>
      <c r="I734" s="11">
        <v>580</v>
      </c>
      <c r="J734" s="11">
        <v>191585289</v>
      </c>
      <c r="K734" s="11">
        <v>8355763954.02</v>
      </c>
      <c r="L734" s="6">
        <f t="shared" si="23"/>
        <v>58</v>
      </c>
    </row>
    <row r="735" spans="1:12">
      <c r="A735">
        <f t="shared" si="22"/>
        <v>2022</v>
      </c>
      <c r="B735" s="10">
        <v>44700</v>
      </c>
      <c r="C735" s="11">
        <v>58</v>
      </c>
      <c r="D735" s="11">
        <v>58</v>
      </c>
      <c r="E735" s="11">
        <v>58</v>
      </c>
      <c r="F735" s="11">
        <v>58</v>
      </c>
      <c r="G735" s="11">
        <v>0</v>
      </c>
      <c r="H735" s="11">
        <v>200010</v>
      </c>
      <c r="I735" s="11">
        <v>12200580</v>
      </c>
      <c r="J735" s="11">
        <v>191585279</v>
      </c>
      <c r="K735" s="11">
        <v>8355763374.02</v>
      </c>
      <c r="L735" s="6">
        <f t="shared" si="23"/>
        <v>60.9998500074996</v>
      </c>
    </row>
    <row r="736" spans="1:12">
      <c r="A736">
        <f t="shared" si="22"/>
        <v>2022</v>
      </c>
      <c r="B736" s="10">
        <v>44699</v>
      </c>
      <c r="C736" s="11">
        <v>58</v>
      </c>
      <c r="D736" s="11">
        <v>58</v>
      </c>
      <c r="E736" s="11">
        <v>58</v>
      </c>
      <c r="F736" s="11">
        <v>58</v>
      </c>
      <c r="G736" s="11">
        <v>0</v>
      </c>
      <c r="H736" s="11">
        <v>10</v>
      </c>
      <c r="I736" s="11">
        <v>580</v>
      </c>
      <c r="J736" s="11">
        <v>191385269</v>
      </c>
      <c r="K736" s="11">
        <v>8343562794.02</v>
      </c>
      <c r="L736" s="6">
        <f t="shared" si="23"/>
        <v>58</v>
      </c>
    </row>
    <row r="737" spans="1:12">
      <c r="A737">
        <f t="shared" si="22"/>
        <v>2022</v>
      </c>
      <c r="B737" s="10">
        <v>44698</v>
      </c>
      <c r="C737" s="11">
        <v>58</v>
      </c>
      <c r="D737" s="11">
        <v>58</v>
      </c>
      <c r="E737" s="11">
        <v>58</v>
      </c>
      <c r="F737" s="11">
        <v>58</v>
      </c>
      <c r="G737" s="11">
        <v>0</v>
      </c>
      <c r="H737" s="11">
        <v>10</v>
      </c>
      <c r="I737" s="11">
        <v>580</v>
      </c>
      <c r="J737" s="11">
        <v>191385259</v>
      </c>
      <c r="K737" s="11">
        <v>8343562214.02</v>
      </c>
      <c r="L737" s="6">
        <f t="shared" si="23"/>
        <v>58</v>
      </c>
    </row>
    <row r="738" spans="1:12">
      <c r="A738">
        <f t="shared" si="22"/>
        <v>2022</v>
      </c>
      <c r="B738" s="10">
        <v>44697</v>
      </c>
      <c r="C738" s="11">
        <v>58</v>
      </c>
      <c r="D738" s="11">
        <v>58</v>
      </c>
      <c r="E738" s="11">
        <v>58</v>
      </c>
      <c r="F738" s="11">
        <v>58</v>
      </c>
      <c r="G738" s="11">
        <v>0</v>
      </c>
      <c r="H738" s="11">
        <v>10</v>
      </c>
      <c r="I738" s="11">
        <v>580</v>
      </c>
      <c r="J738" s="11">
        <v>191385249</v>
      </c>
      <c r="K738" s="11">
        <v>8343561634.02</v>
      </c>
      <c r="L738" s="6">
        <f t="shared" si="23"/>
        <v>58</v>
      </c>
    </row>
    <row r="739" spans="1:12">
      <c r="A739">
        <f t="shared" si="22"/>
        <v>2022</v>
      </c>
      <c r="B739" s="10">
        <v>44694</v>
      </c>
      <c r="C739" s="11">
        <v>58</v>
      </c>
      <c r="D739" s="11">
        <v>58</v>
      </c>
      <c r="E739" s="11">
        <v>58</v>
      </c>
      <c r="F739" s="11">
        <v>58</v>
      </c>
      <c r="G739" s="11">
        <v>0</v>
      </c>
      <c r="H739" s="11">
        <v>10</v>
      </c>
      <c r="I739" s="11">
        <v>580</v>
      </c>
      <c r="J739" s="11">
        <v>191385239</v>
      </c>
      <c r="K739" s="11">
        <v>8343561054.02</v>
      </c>
      <c r="L739" s="6">
        <f t="shared" si="23"/>
        <v>58</v>
      </c>
    </row>
    <row r="740" spans="1:12">
      <c r="A740">
        <f t="shared" si="22"/>
        <v>2022</v>
      </c>
      <c r="B740" s="10">
        <v>44693</v>
      </c>
      <c r="C740" s="11">
        <v>58</v>
      </c>
      <c r="D740" s="11">
        <v>58</v>
      </c>
      <c r="E740" s="11">
        <v>58</v>
      </c>
      <c r="F740" s="11">
        <v>58</v>
      </c>
      <c r="G740" s="11">
        <v>0</v>
      </c>
      <c r="H740" s="11">
        <v>10</v>
      </c>
      <c r="I740" s="11">
        <v>580</v>
      </c>
      <c r="J740" s="11">
        <v>191385229</v>
      </c>
      <c r="K740" s="11">
        <v>8343560474.02</v>
      </c>
      <c r="L740" s="6">
        <f t="shared" si="23"/>
        <v>58</v>
      </c>
    </row>
    <row r="741" spans="1:12">
      <c r="A741">
        <f t="shared" si="22"/>
        <v>2022</v>
      </c>
      <c r="B741" s="10">
        <v>44692</v>
      </c>
      <c r="C741" s="11">
        <v>58</v>
      </c>
      <c r="D741" s="11">
        <v>58</v>
      </c>
      <c r="E741" s="11">
        <v>58</v>
      </c>
      <c r="F741" s="11">
        <v>58</v>
      </c>
      <c r="G741" s="11">
        <v>0</v>
      </c>
      <c r="H741" s="11">
        <v>10</v>
      </c>
      <c r="I741" s="11">
        <v>580</v>
      </c>
      <c r="J741" s="11">
        <v>191385219</v>
      </c>
      <c r="K741" s="11">
        <v>8343559894.02</v>
      </c>
      <c r="L741" s="6">
        <f t="shared" si="23"/>
        <v>58</v>
      </c>
    </row>
    <row r="742" spans="1:12">
      <c r="A742">
        <f t="shared" si="22"/>
        <v>2022</v>
      </c>
      <c r="B742" s="10">
        <v>44691</v>
      </c>
      <c r="C742" s="11">
        <v>58</v>
      </c>
      <c r="D742" s="11">
        <v>58</v>
      </c>
      <c r="E742" s="11">
        <v>58</v>
      </c>
      <c r="F742" s="11">
        <v>58</v>
      </c>
      <c r="G742" s="11">
        <v>0</v>
      </c>
      <c r="H742" s="11">
        <v>10</v>
      </c>
      <c r="I742" s="11">
        <v>580</v>
      </c>
      <c r="J742" s="11">
        <v>191385209</v>
      </c>
      <c r="K742" s="11">
        <v>8343559314.02</v>
      </c>
      <c r="L742" s="6">
        <f t="shared" si="23"/>
        <v>58</v>
      </c>
    </row>
    <row r="743" spans="1:12">
      <c r="A743">
        <f t="shared" si="22"/>
        <v>2022</v>
      </c>
      <c r="B743" s="10">
        <v>44690</v>
      </c>
      <c r="C743" s="11">
        <v>58</v>
      </c>
      <c r="D743" s="11">
        <v>58</v>
      </c>
      <c r="E743" s="11">
        <v>58</v>
      </c>
      <c r="F743" s="11">
        <v>58</v>
      </c>
      <c r="G743" s="11">
        <v>0</v>
      </c>
      <c r="H743" s="11">
        <v>113668</v>
      </c>
      <c r="I743" s="11">
        <v>6812744</v>
      </c>
      <c r="J743" s="11">
        <v>191385199</v>
      </c>
      <c r="K743" s="11">
        <v>8343558734.02</v>
      </c>
      <c r="L743" s="6">
        <f t="shared" si="23"/>
        <v>59.9354611676109</v>
      </c>
    </row>
    <row r="744" spans="1:12">
      <c r="A744">
        <f t="shared" si="22"/>
        <v>2022</v>
      </c>
      <c r="B744" s="10">
        <v>44687</v>
      </c>
      <c r="C744" s="11">
        <v>58</v>
      </c>
      <c r="D744" s="11">
        <v>58</v>
      </c>
      <c r="E744" s="11">
        <v>58</v>
      </c>
      <c r="F744" s="11">
        <v>58</v>
      </c>
      <c r="G744" s="11">
        <v>0</v>
      </c>
      <c r="H744" s="11">
        <v>580010</v>
      </c>
      <c r="I744" s="11">
        <v>33930580</v>
      </c>
      <c r="J744" s="11">
        <v>191271531</v>
      </c>
      <c r="K744" s="11">
        <v>8336745990.02</v>
      </c>
      <c r="L744" s="6">
        <f t="shared" si="23"/>
        <v>58.499991379459</v>
      </c>
    </row>
    <row r="745" spans="1:12">
      <c r="A745">
        <f t="shared" si="22"/>
        <v>2022</v>
      </c>
      <c r="B745" s="10">
        <v>44686</v>
      </c>
      <c r="C745" s="11">
        <v>58</v>
      </c>
      <c r="D745" s="11">
        <v>58</v>
      </c>
      <c r="E745" s="11">
        <v>60</v>
      </c>
      <c r="F745" s="11">
        <v>58</v>
      </c>
      <c r="G745" s="11">
        <v>-1.36</v>
      </c>
      <c r="H745" s="11">
        <v>210010</v>
      </c>
      <c r="I745" s="11">
        <v>11740600</v>
      </c>
      <c r="J745" s="11">
        <v>190691521</v>
      </c>
      <c r="K745" s="11">
        <v>8302815410.02</v>
      </c>
      <c r="L745" s="6">
        <f t="shared" si="23"/>
        <v>55.904956906814</v>
      </c>
    </row>
    <row r="746" spans="1:12">
      <c r="A746">
        <f t="shared" si="22"/>
        <v>2022</v>
      </c>
      <c r="B746" s="10">
        <v>44680</v>
      </c>
      <c r="C746" s="11">
        <v>58.8</v>
      </c>
      <c r="D746" s="11">
        <v>59</v>
      </c>
      <c r="E746" s="11">
        <v>59</v>
      </c>
      <c r="F746" s="11">
        <v>58</v>
      </c>
      <c r="G746" s="11">
        <v>-0.34</v>
      </c>
      <c r="H746" s="11">
        <v>300050</v>
      </c>
      <c r="I746" s="11">
        <v>17552940</v>
      </c>
      <c r="J746" s="11">
        <v>190481511</v>
      </c>
      <c r="K746" s="11">
        <v>8291074810.02</v>
      </c>
      <c r="L746" s="6">
        <f t="shared" si="23"/>
        <v>58.5000499916681</v>
      </c>
    </row>
    <row r="747" spans="1:12">
      <c r="A747">
        <f t="shared" si="22"/>
        <v>2022</v>
      </c>
      <c r="B747" s="10">
        <v>44679</v>
      </c>
      <c r="C747" s="11">
        <v>59</v>
      </c>
      <c r="D747" s="11">
        <v>59</v>
      </c>
      <c r="E747" s="11">
        <v>59</v>
      </c>
      <c r="F747" s="11">
        <v>59</v>
      </c>
      <c r="G747" s="11">
        <v>0</v>
      </c>
      <c r="H747" s="11">
        <v>10</v>
      </c>
      <c r="I747" s="11">
        <v>590</v>
      </c>
      <c r="J747" s="11">
        <v>190181461</v>
      </c>
      <c r="K747" s="11">
        <v>8273521870.02</v>
      </c>
      <c r="L747" s="6">
        <f t="shared" si="23"/>
        <v>59</v>
      </c>
    </row>
    <row r="748" spans="1:12">
      <c r="A748">
        <f t="shared" si="22"/>
        <v>2022</v>
      </c>
      <c r="B748" s="10">
        <v>44678</v>
      </c>
      <c r="C748" s="11">
        <v>59</v>
      </c>
      <c r="D748" s="11">
        <v>60</v>
      </c>
      <c r="E748" s="11">
        <v>60</v>
      </c>
      <c r="F748" s="11">
        <v>59</v>
      </c>
      <c r="G748" s="11">
        <v>-1.67</v>
      </c>
      <c r="H748" s="11">
        <v>40010</v>
      </c>
      <c r="I748" s="11">
        <v>2360600</v>
      </c>
      <c r="J748" s="11">
        <v>190181451</v>
      </c>
      <c r="K748" s="11">
        <v>8273521280.02</v>
      </c>
      <c r="L748" s="6">
        <f t="shared" si="23"/>
        <v>59.0002499375156</v>
      </c>
    </row>
    <row r="749" spans="1:12">
      <c r="A749">
        <f t="shared" si="22"/>
        <v>2022</v>
      </c>
      <c r="B749" s="10">
        <v>44677</v>
      </c>
      <c r="C749" s="11">
        <v>60</v>
      </c>
      <c r="D749" s="11">
        <v>60</v>
      </c>
      <c r="E749" s="11">
        <v>60</v>
      </c>
      <c r="F749" s="11">
        <v>60</v>
      </c>
      <c r="G749" s="11">
        <v>0</v>
      </c>
      <c r="H749" s="11">
        <v>319223</v>
      </c>
      <c r="I749" s="11">
        <v>18355347.5</v>
      </c>
      <c r="J749" s="11">
        <v>190141441</v>
      </c>
      <c r="K749" s="11">
        <v>8271160680.02</v>
      </c>
      <c r="L749" s="6">
        <f t="shared" si="23"/>
        <v>57.500078315159</v>
      </c>
    </row>
    <row r="750" spans="1:12">
      <c r="A750">
        <f t="shared" si="22"/>
        <v>2022</v>
      </c>
      <c r="B750" s="10">
        <v>44676</v>
      </c>
      <c r="C750" s="11">
        <v>60</v>
      </c>
      <c r="D750" s="11">
        <v>60</v>
      </c>
      <c r="E750" s="11">
        <v>60</v>
      </c>
      <c r="F750" s="11">
        <v>60</v>
      </c>
      <c r="G750" s="11">
        <v>0</v>
      </c>
      <c r="H750" s="11">
        <v>280010</v>
      </c>
      <c r="I750" s="11">
        <v>15120600</v>
      </c>
      <c r="J750" s="11">
        <v>189822218</v>
      </c>
      <c r="K750" s="11">
        <v>8252805332.52</v>
      </c>
      <c r="L750" s="6">
        <f t="shared" si="23"/>
        <v>54.0002142780615</v>
      </c>
    </row>
    <row r="751" spans="1:12">
      <c r="A751">
        <f t="shared" si="22"/>
        <v>2022</v>
      </c>
      <c r="B751" s="10">
        <v>44673</v>
      </c>
      <c r="C751" s="11">
        <v>60</v>
      </c>
      <c r="D751" s="11">
        <v>60</v>
      </c>
      <c r="E751" s="11">
        <v>60</v>
      </c>
      <c r="F751" s="11">
        <v>60</v>
      </c>
      <c r="G751" s="11">
        <v>0</v>
      </c>
      <c r="H751" s="11">
        <v>80</v>
      </c>
      <c r="I751" s="11">
        <v>4800</v>
      </c>
      <c r="J751" s="11">
        <v>189542208</v>
      </c>
      <c r="K751" s="11">
        <v>8237684732.52</v>
      </c>
      <c r="L751" s="6">
        <f t="shared" si="23"/>
        <v>60</v>
      </c>
    </row>
    <row r="752" spans="1:12">
      <c r="A752">
        <f t="shared" si="22"/>
        <v>2022</v>
      </c>
      <c r="B752" s="10">
        <v>44672</v>
      </c>
      <c r="C752" s="11">
        <v>60</v>
      </c>
      <c r="D752" s="11">
        <v>60</v>
      </c>
      <c r="E752" s="11">
        <v>60</v>
      </c>
      <c r="F752" s="11">
        <v>60</v>
      </c>
      <c r="G752" s="11">
        <v>0</v>
      </c>
      <c r="H752" s="11">
        <v>10</v>
      </c>
      <c r="I752" s="11">
        <v>600</v>
      </c>
      <c r="J752" s="11">
        <v>189542128</v>
      </c>
      <c r="K752" s="11">
        <v>8237679932.52</v>
      </c>
      <c r="L752" s="6">
        <f t="shared" si="23"/>
        <v>60</v>
      </c>
    </row>
    <row r="753" spans="1:12">
      <c r="A753">
        <f t="shared" si="22"/>
        <v>2022</v>
      </c>
      <c r="B753" s="10">
        <v>44671</v>
      </c>
      <c r="C753" s="11">
        <v>60</v>
      </c>
      <c r="D753" s="11">
        <v>60</v>
      </c>
      <c r="E753" s="11">
        <v>60</v>
      </c>
      <c r="F753" s="11">
        <v>60</v>
      </c>
      <c r="G753" s="11">
        <v>0</v>
      </c>
      <c r="H753" s="11">
        <v>10</v>
      </c>
      <c r="I753" s="11">
        <v>600</v>
      </c>
      <c r="J753" s="11">
        <v>189542118</v>
      </c>
      <c r="K753" s="11">
        <v>8237679332.52</v>
      </c>
      <c r="L753" s="6">
        <f t="shared" si="23"/>
        <v>60</v>
      </c>
    </row>
    <row r="754" spans="1:12">
      <c r="A754">
        <f t="shared" si="22"/>
        <v>2022</v>
      </c>
      <c r="B754" s="10">
        <v>44670</v>
      </c>
      <c r="C754" s="11">
        <v>60</v>
      </c>
      <c r="D754" s="11">
        <v>60</v>
      </c>
      <c r="E754" s="11">
        <v>60</v>
      </c>
      <c r="F754" s="11">
        <v>60</v>
      </c>
      <c r="G754" s="11">
        <v>0</v>
      </c>
      <c r="H754" s="11">
        <v>50</v>
      </c>
      <c r="I754" s="11">
        <v>3000</v>
      </c>
      <c r="J754" s="11">
        <v>189542108</v>
      </c>
      <c r="K754" s="11">
        <v>8237678732.52</v>
      </c>
      <c r="L754" s="6">
        <f t="shared" si="23"/>
        <v>60</v>
      </c>
    </row>
    <row r="755" spans="1:12">
      <c r="A755">
        <f t="shared" si="22"/>
        <v>2022</v>
      </c>
      <c r="B755" s="10">
        <v>44669</v>
      </c>
      <c r="C755" s="11">
        <v>60</v>
      </c>
      <c r="D755" s="11">
        <v>60</v>
      </c>
      <c r="E755" s="11">
        <v>60</v>
      </c>
      <c r="F755" s="11">
        <v>60</v>
      </c>
      <c r="G755" s="11">
        <v>0</v>
      </c>
      <c r="H755" s="11">
        <v>10</v>
      </c>
      <c r="I755" s="11">
        <v>600</v>
      </c>
      <c r="J755" s="11">
        <v>189542058</v>
      </c>
      <c r="K755" s="11">
        <v>8237675732.52</v>
      </c>
      <c r="L755" s="6">
        <f t="shared" si="23"/>
        <v>60</v>
      </c>
    </row>
    <row r="756" spans="1:12">
      <c r="A756">
        <f t="shared" si="22"/>
        <v>2022</v>
      </c>
      <c r="B756" s="10">
        <v>44666</v>
      </c>
      <c r="C756" s="11">
        <v>60</v>
      </c>
      <c r="D756" s="11">
        <v>60</v>
      </c>
      <c r="E756" s="11">
        <v>60</v>
      </c>
      <c r="F756" s="11">
        <v>60</v>
      </c>
      <c r="G756" s="11">
        <v>0</v>
      </c>
      <c r="H756" s="11">
        <v>275890</v>
      </c>
      <c r="I756" s="11">
        <v>15725760</v>
      </c>
      <c r="J756" s="11">
        <v>189542048</v>
      </c>
      <c r="K756" s="11">
        <v>8237675132.52</v>
      </c>
      <c r="L756" s="6">
        <f t="shared" si="23"/>
        <v>57.0001087389902</v>
      </c>
    </row>
    <row r="757" spans="1:12">
      <c r="A757">
        <f t="shared" si="22"/>
        <v>2022</v>
      </c>
      <c r="B757" s="10">
        <v>44665</v>
      </c>
      <c r="C757" s="11">
        <v>60</v>
      </c>
      <c r="D757" s="11">
        <v>60</v>
      </c>
      <c r="E757" s="11">
        <v>60</v>
      </c>
      <c r="F757" s="11">
        <v>60</v>
      </c>
      <c r="G757" s="11">
        <v>0</v>
      </c>
      <c r="H757" s="11">
        <v>10</v>
      </c>
      <c r="I757" s="11">
        <v>600</v>
      </c>
      <c r="J757" s="11">
        <v>189266158</v>
      </c>
      <c r="K757" s="11">
        <v>8221949372.52</v>
      </c>
      <c r="L757" s="6">
        <f t="shared" si="23"/>
        <v>60</v>
      </c>
    </row>
    <row r="758" spans="1:12">
      <c r="A758">
        <f t="shared" si="22"/>
        <v>2022</v>
      </c>
      <c r="B758" s="10">
        <v>44664</v>
      </c>
      <c r="C758" s="11">
        <v>60</v>
      </c>
      <c r="D758" s="11">
        <v>60</v>
      </c>
      <c r="E758" s="11">
        <v>60</v>
      </c>
      <c r="F758" s="11">
        <v>60</v>
      </c>
      <c r="G758" s="11">
        <v>0</v>
      </c>
      <c r="H758" s="11">
        <v>10</v>
      </c>
      <c r="I758" s="11">
        <v>600</v>
      </c>
      <c r="J758" s="11">
        <v>189266148</v>
      </c>
      <c r="K758" s="11">
        <v>8221948772.52</v>
      </c>
      <c r="L758" s="6">
        <f t="shared" si="23"/>
        <v>60</v>
      </c>
    </row>
    <row r="759" spans="1:12">
      <c r="A759">
        <f t="shared" si="22"/>
        <v>2022</v>
      </c>
      <c r="B759" s="10">
        <v>44663</v>
      </c>
      <c r="C759" s="11">
        <v>60</v>
      </c>
      <c r="D759" s="11">
        <v>60</v>
      </c>
      <c r="E759" s="11">
        <v>60</v>
      </c>
      <c r="F759" s="11">
        <v>60</v>
      </c>
      <c r="G759" s="11">
        <v>0</v>
      </c>
      <c r="H759" s="11">
        <v>100010</v>
      </c>
      <c r="I759" s="11">
        <v>5750600</v>
      </c>
      <c r="J759" s="11">
        <v>189266138</v>
      </c>
      <c r="K759" s="11">
        <v>8221948172.52</v>
      </c>
      <c r="L759" s="6">
        <f t="shared" si="23"/>
        <v>57.5002499750025</v>
      </c>
    </row>
    <row r="760" spans="1:12">
      <c r="A760">
        <f t="shared" si="22"/>
        <v>2022</v>
      </c>
      <c r="B760" s="10">
        <v>44662</v>
      </c>
      <c r="C760" s="11">
        <v>60</v>
      </c>
      <c r="D760" s="11">
        <v>60</v>
      </c>
      <c r="E760" s="11">
        <v>60</v>
      </c>
      <c r="F760" s="11">
        <v>60</v>
      </c>
      <c r="G760" s="11">
        <v>0.02</v>
      </c>
      <c r="H760" s="11">
        <v>50</v>
      </c>
      <c r="I760" s="11">
        <v>3000</v>
      </c>
      <c r="J760" s="11">
        <v>189166128</v>
      </c>
      <c r="K760" s="11">
        <v>8216197572.52</v>
      </c>
      <c r="L760" s="6">
        <f t="shared" si="23"/>
        <v>60</v>
      </c>
    </row>
    <row r="761" spans="1:12">
      <c r="A761">
        <f t="shared" si="22"/>
        <v>2022</v>
      </c>
      <c r="B761" s="10">
        <v>44659</v>
      </c>
      <c r="C761" s="11">
        <v>59.99</v>
      </c>
      <c r="D761" s="11">
        <v>59</v>
      </c>
      <c r="E761" s="11">
        <v>60</v>
      </c>
      <c r="F761" s="11">
        <v>59</v>
      </c>
      <c r="G761" s="11">
        <v>1.68</v>
      </c>
      <c r="H761" s="11">
        <v>130789</v>
      </c>
      <c r="I761" s="11">
        <v>7457330</v>
      </c>
      <c r="J761" s="11">
        <v>189166078</v>
      </c>
      <c r="K761" s="11">
        <v>8216194572.52</v>
      </c>
      <c r="L761" s="6">
        <f t="shared" si="23"/>
        <v>57.0180213932364</v>
      </c>
    </row>
    <row r="762" spans="1:12">
      <c r="A762">
        <f t="shared" si="22"/>
        <v>2022</v>
      </c>
      <c r="B762" s="10">
        <v>44658</v>
      </c>
      <c r="C762" s="11">
        <v>59</v>
      </c>
      <c r="D762" s="11">
        <v>59</v>
      </c>
      <c r="E762" s="11">
        <v>59</v>
      </c>
      <c r="F762" s="11">
        <v>59</v>
      </c>
      <c r="G762" s="11">
        <v>-1.67</v>
      </c>
      <c r="H762" s="11">
        <v>50</v>
      </c>
      <c r="I762" s="11">
        <v>2950</v>
      </c>
      <c r="J762" s="11">
        <v>189035289</v>
      </c>
      <c r="K762" s="11">
        <v>8208737242.52</v>
      </c>
      <c r="L762" s="6">
        <f t="shared" si="23"/>
        <v>59</v>
      </c>
    </row>
    <row r="763" spans="1:12">
      <c r="A763">
        <f t="shared" si="22"/>
        <v>2022</v>
      </c>
      <c r="B763" s="10">
        <v>44657</v>
      </c>
      <c r="C763" s="11">
        <v>60</v>
      </c>
      <c r="D763" s="11">
        <v>60</v>
      </c>
      <c r="E763" s="11">
        <v>60</v>
      </c>
      <c r="F763" s="11">
        <v>60</v>
      </c>
      <c r="G763" s="11">
        <v>2.56</v>
      </c>
      <c r="H763" s="11">
        <v>4206</v>
      </c>
      <c r="I763" s="11">
        <v>252360</v>
      </c>
      <c r="J763" s="11">
        <v>189035239</v>
      </c>
      <c r="K763" s="11">
        <v>8208734292.52</v>
      </c>
      <c r="L763" s="6">
        <f t="shared" si="23"/>
        <v>60</v>
      </c>
    </row>
    <row r="764" spans="1:12">
      <c r="A764">
        <f t="shared" si="22"/>
        <v>2022</v>
      </c>
      <c r="B764" s="10">
        <v>44652</v>
      </c>
      <c r="C764" s="11">
        <v>58.5</v>
      </c>
      <c r="D764" s="11">
        <v>58.5</v>
      </c>
      <c r="E764" s="11">
        <v>58.5</v>
      </c>
      <c r="F764" s="11">
        <v>58.5</v>
      </c>
      <c r="G764" s="11">
        <v>-0.09</v>
      </c>
      <c r="H764" s="11">
        <v>50</v>
      </c>
      <c r="I764" s="11">
        <v>2925</v>
      </c>
      <c r="J764" s="11">
        <v>189031033</v>
      </c>
      <c r="K764" s="11">
        <v>8208481932.52</v>
      </c>
      <c r="L764" s="6">
        <f t="shared" si="23"/>
        <v>58.5</v>
      </c>
    </row>
    <row r="765" spans="1:12">
      <c r="A765">
        <f t="shared" si="22"/>
        <v>2022</v>
      </c>
      <c r="B765" s="10">
        <v>44651</v>
      </c>
      <c r="C765" s="11">
        <v>58.55</v>
      </c>
      <c r="D765" s="11">
        <v>58.5</v>
      </c>
      <c r="E765" s="11">
        <v>58.7</v>
      </c>
      <c r="F765" s="11">
        <v>58.5</v>
      </c>
      <c r="G765" s="11">
        <v>0.09</v>
      </c>
      <c r="H765" s="11">
        <v>68000</v>
      </c>
      <c r="I765" s="11">
        <v>3981600</v>
      </c>
      <c r="J765" s="11">
        <v>189030983</v>
      </c>
      <c r="K765" s="11">
        <v>8208479007.52</v>
      </c>
      <c r="L765" s="6">
        <f t="shared" si="23"/>
        <v>58.5529411764706</v>
      </c>
    </row>
    <row r="766" spans="1:12">
      <c r="A766">
        <f t="shared" si="22"/>
        <v>2022</v>
      </c>
      <c r="B766" s="10">
        <v>44650</v>
      </c>
      <c r="C766" s="11">
        <v>58.5</v>
      </c>
      <c r="D766" s="11">
        <v>58.5</v>
      </c>
      <c r="E766" s="11">
        <v>58.5</v>
      </c>
      <c r="F766" s="11">
        <v>58.5</v>
      </c>
      <c r="G766" s="11">
        <v>0</v>
      </c>
      <c r="H766" s="11">
        <v>1500</v>
      </c>
      <c r="I766" s="11">
        <v>87750</v>
      </c>
      <c r="J766" s="11">
        <v>188962983</v>
      </c>
      <c r="K766" s="11">
        <v>8204497407.52</v>
      </c>
      <c r="L766" s="6">
        <f t="shared" si="23"/>
        <v>58.5</v>
      </c>
    </row>
    <row r="767" spans="1:12">
      <c r="A767">
        <f t="shared" si="22"/>
        <v>2022</v>
      </c>
      <c r="B767" s="10">
        <v>44649</v>
      </c>
      <c r="C767" s="11">
        <v>58.5</v>
      </c>
      <c r="D767" s="11">
        <v>58.5</v>
      </c>
      <c r="E767" s="11">
        <v>58.5</v>
      </c>
      <c r="F767" s="11">
        <v>58.5</v>
      </c>
      <c r="G767" s="11">
        <v>0.86</v>
      </c>
      <c r="H767" s="11">
        <v>50</v>
      </c>
      <c r="I767" s="11">
        <v>2925</v>
      </c>
      <c r="J767" s="11">
        <v>188961483</v>
      </c>
      <c r="K767" s="11">
        <v>8204409657.52</v>
      </c>
      <c r="L767" s="6">
        <f t="shared" si="23"/>
        <v>58.5</v>
      </c>
    </row>
    <row r="768" spans="1:12">
      <c r="A768">
        <f t="shared" si="22"/>
        <v>2022</v>
      </c>
      <c r="B768" s="10">
        <v>44648</v>
      </c>
      <c r="C768" s="11">
        <v>58</v>
      </c>
      <c r="D768" s="11">
        <v>58</v>
      </c>
      <c r="E768" s="11">
        <v>58</v>
      </c>
      <c r="F768" s="11">
        <v>58</v>
      </c>
      <c r="G768" s="11">
        <v>0</v>
      </c>
      <c r="H768" s="11">
        <v>15</v>
      </c>
      <c r="I768" s="11">
        <v>870</v>
      </c>
      <c r="J768" s="11">
        <v>188961433</v>
      </c>
      <c r="K768" s="11">
        <v>8204406732.52</v>
      </c>
      <c r="L768" s="6">
        <f t="shared" si="23"/>
        <v>58</v>
      </c>
    </row>
    <row r="769" spans="1:12">
      <c r="A769">
        <f t="shared" si="22"/>
        <v>2022</v>
      </c>
      <c r="B769" s="10">
        <v>44645</v>
      </c>
      <c r="C769" s="11">
        <v>58</v>
      </c>
      <c r="D769" s="11">
        <v>58</v>
      </c>
      <c r="E769" s="11">
        <v>58</v>
      </c>
      <c r="F769" s="11">
        <v>58</v>
      </c>
      <c r="G769" s="11">
        <v>-0.02</v>
      </c>
      <c r="H769" s="11">
        <v>15</v>
      </c>
      <c r="I769" s="11">
        <v>870</v>
      </c>
      <c r="J769" s="11">
        <v>188961418</v>
      </c>
      <c r="K769" s="11">
        <v>8204405862.52</v>
      </c>
      <c r="L769" s="6">
        <f t="shared" si="23"/>
        <v>58</v>
      </c>
    </row>
    <row r="770" spans="1:12">
      <c r="A770">
        <f t="shared" si="22"/>
        <v>2022</v>
      </c>
      <c r="B770" s="10">
        <v>44644</v>
      </c>
      <c r="C770" s="11">
        <v>58.01</v>
      </c>
      <c r="D770" s="11">
        <v>59</v>
      </c>
      <c r="E770" s="11">
        <v>59</v>
      </c>
      <c r="F770" s="11">
        <v>58</v>
      </c>
      <c r="G770" s="11">
        <v>-0.67</v>
      </c>
      <c r="H770" s="11">
        <v>81685</v>
      </c>
      <c r="I770" s="11">
        <v>4738930</v>
      </c>
      <c r="J770" s="11">
        <v>188961403</v>
      </c>
      <c r="K770" s="11">
        <v>8204404992.52</v>
      </c>
      <c r="L770" s="6">
        <f t="shared" si="23"/>
        <v>58.0146905796658</v>
      </c>
    </row>
    <row r="771" spans="1:12">
      <c r="A771">
        <f t="shared" si="22"/>
        <v>2022</v>
      </c>
      <c r="B771" s="10">
        <v>44643</v>
      </c>
      <c r="C771" s="11">
        <v>58.4</v>
      </c>
      <c r="D771" s="11">
        <v>58.4</v>
      </c>
      <c r="E771" s="11">
        <v>58.4</v>
      </c>
      <c r="F771" s="11">
        <v>58.4</v>
      </c>
      <c r="G771" s="11">
        <v>0.69</v>
      </c>
      <c r="H771" s="11">
        <v>60</v>
      </c>
      <c r="I771" s="11">
        <v>3504</v>
      </c>
      <c r="J771" s="11">
        <v>188879718</v>
      </c>
      <c r="K771" s="11">
        <v>8199666062.52</v>
      </c>
      <c r="L771" s="6">
        <f t="shared" si="23"/>
        <v>58.4</v>
      </c>
    </row>
    <row r="772" spans="1:12">
      <c r="A772">
        <f t="shared" ref="A772:A835" si="24">YEAR(B772)</f>
        <v>2022</v>
      </c>
      <c r="B772" s="10">
        <v>44642</v>
      </c>
      <c r="C772" s="11">
        <v>58</v>
      </c>
      <c r="D772" s="11">
        <v>58</v>
      </c>
      <c r="E772" s="11">
        <v>58</v>
      </c>
      <c r="F772" s="11">
        <v>58</v>
      </c>
      <c r="G772" s="11">
        <v>-0.85</v>
      </c>
      <c r="H772" s="11">
        <v>50</v>
      </c>
      <c r="I772" s="11">
        <v>2900</v>
      </c>
      <c r="J772" s="11">
        <v>188879658</v>
      </c>
      <c r="K772" s="11">
        <v>8199662558.52</v>
      </c>
      <c r="L772" s="6">
        <f t="shared" ref="L772:L835" si="25">I772/H772</f>
        <v>58</v>
      </c>
    </row>
    <row r="773" spans="1:12">
      <c r="A773">
        <f t="shared" si="24"/>
        <v>2022</v>
      </c>
      <c r="B773" s="10">
        <v>44641</v>
      </c>
      <c r="C773" s="11">
        <v>58.5</v>
      </c>
      <c r="D773" s="11">
        <v>58.5</v>
      </c>
      <c r="E773" s="11">
        <v>58.5</v>
      </c>
      <c r="F773" s="11">
        <v>58.5</v>
      </c>
      <c r="G773" s="11">
        <v>0.86</v>
      </c>
      <c r="H773" s="11">
        <v>20</v>
      </c>
      <c r="I773" s="11">
        <v>1170</v>
      </c>
      <c r="J773" s="11">
        <v>188879608</v>
      </c>
      <c r="K773" s="11">
        <v>8199659658.52</v>
      </c>
      <c r="L773" s="6">
        <f t="shared" si="25"/>
        <v>58.5</v>
      </c>
    </row>
    <row r="774" spans="1:12">
      <c r="A774">
        <f t="shared" si="24"/>
        <v>2022</v>
      </c>
      <c r="B774" s="10">
        <v>44638</v>
      </c>
      <c r="C774" s="11">
        <v>58</v>
      </c>
      <c r="D774" s="11">
        <v>58</v>
      </c>
      <c r="E774" s="11">
        <v>58</v>
      </c>
      <c r="F774" s="11">
        <v>58</v>
      </c>
      <c r="G774" s="11">
        <v>1.75</v>
      </c>
      <c r="H774" s="11">
        <v>150015</v>
      </c>
      <c r="I774" s="11">
        <v>8325870</v>
      </c>
      <c r="J774" s="11">
        <v>188879588</v>
      </c>
      <c r="K774" s="11">
        <v>8199658488.52</v>
      </c>
      <c r="L774" s="6">
        <f t="shared" si="25"/>
        <v>55.5002499750025</v>
      </c>
    </row>
    <row r="775" spans="1:12">
      <c r="A775">
        <f t="shared" si="24"/>
        <v>2022</v>
      </c>
      <c r="B775" s="10">
        <v>44637</v>
      </c>
      <c r="C775" s="11">
        <v>57</v>
      </c>
      <c r="D775" s="11">
        <v>57</v>
      </c>
      <c r="E775" s="11">
        <v>57</v>
      </c>
      <c r="F775" s="11">
        <v>57</v>
      </c>
      <c r="G775" s="11">
        <v>0</v>
      </c>
      <c r="H775" s="11">
        <v>13010</v>
      </c>
      <c r="I775" s="11">
        <v>741570</v>
      </c>
      <c r="J775" s="11">
        <v>188729573</v>
      </c>
      <c r="K775" s="11">
        <v>8191332618.52</v>
      </c>
      <c r="L775" s="6">
        <f t="shared" si="25"/>
        <v>57</v>
      </c>
    </row>
    <row r="776" spans="1:12">
      <c r="A776">
        <f t="shared" si="24"/>
        <v>2022</v>
      </c>
      <c r="B776" s="10">
        <v>44636</v>
      </c>
      <c r="C776" s="11">
        <v>57</v>
      </c>
      <c r="D776" s="11">
        <v>57</v>
      </c>
      <c r="E776" s="11">
        <v>57</v>
      </c>
      <c r="F776" s="11">
        <v>57</v>
      </c>
      <c r="G776" s="11">
        <v>-1.33</v>
      </c>
      <c r="H776" s="11">
        <v>520</v>
      </c>
      <c r="I776" s="11">
        <v>29640</v>
      </c>
      <c r="J776" s="11">
        <v>188716563</v>
      </c>
      <c r="K776" s="11">
        <v>8190591048.52</v>
      </c>
      <c r="L776" s="6">
        <f t="shared" si="25"/>
        <v>57</v>
      </c>
    </row>
    <row r="777" spans="1:12">
      <c r="A777">
        <f t="shared" si="24"/>
        <v>2022</v>
      </c>
      <c r="B777" s="10">
        <v>44635</v>
      </c>
      <c r="C777" s="11">
        <v>57.77</v>
      </c>
      <c r="D777" s="11">
        <v>58</v>
      </c>
      <c r="E777" s="11">
        <v>58</v>
      </c>
      <c r="F777" s="11">
        <v>57.5</v>
      </c>
      <c r="G777" s="11">
        <v>-0.4</v>
      </c>
      <c r="H777" s="11">
        <v>191404</v>
      </c>
      <c r="I777" s="11">
        <v>10624622.9</v>
      </c>
      <c r="J777" s="11">
        <v>188716043</v>
      </c>
      <c r="K777" s="11">
        <v>8190561408.52</v>
      </c>
      <c r="L777" s="6">
        <f t="shared" si="25"/>
        <v>55.5088864391549</v>
      </c>
    </row>
    <row r="778" spans="1:12">
      <c r="A778">
        <f t="shared" si="24"/>
        <v>2022</v>
      </c>
      <c r="B778" s="10">
        <v>44634</v>
      </c>
      <c r="C778" s="11">
        <v>58</v>
      </c>
      <c r="D778" s="11">
        <v>58</v>
      </c>
      <c r="E778" s="11">
        <v>58</v>
      </c>
      <c r="F778" s="11">
        <v>58</v>
      </c>
      <c r="G778" s="11">
        <v>0.69</v>
      </c>
      <c r="H778" s="11">
        <v>20</v>
      </c>
      <c r="I778" s="11">
        <v>1160</v>
      </c>
      <c r="J778" s="11">
        <v>188524639</v>
      </c>
      <c r="K778" s="11">
        <v>8179936785.62</v>
      </c>
      <c r="L778" s="6">
        <f t="shared" si="25"/>
        <v>58</v>
      </c>
    </row>
    <row r="779" spans="1:12">
      <c r="A779">
        <f t="shared" si="24"/>
        <v>2022</v>
      </c>
      <c r="B779" s="10">
        <v>44631</v>
      </c>
      <c r="C779" s="11">
        <v>57.6</v>
      </c>
      <c r="D779" s="11">
        <v>57.6</v>
      </c>
      <c r="E779" s="11">
        <v>57.6</v>
      </c>
      <c r="F779" s="11">
        <v>57.6</v>
      </c>
      <c r="G779" s="11">
        <v>0.59</v>
      </c>
      <c r="H779" s="11">
        <v>60</v>
      </c>
      <c r="I779" s="11">
        <v>3456</v>
      </c>
      <c r="J779" s="11">
        <v>188524619</v>
      </c>
      <c r="K779" s="11">
        <v>8179935625.62</v>
      </c>
      <c r="L779" s="6">
        <f t="shared" si="25"/>
        <v>57.6</v>
      </c>
    </row>
    <row r="780" spans="1:12">
      <c r="A780">
        <f t="shared" si="24"/>
        <v>2022</v>
      </c>
      <c r="B780" s="10">
        <v>44630</v>
      </c>
      <c r="C780" s="11">
        <v>57.26</v>
      </c>
      <c r="D780" s="11">
        <v>57</v>
      </c>
      <c r="E780" s="11">
        <v>57.9</v>
      </c>
      <c r="F780" s="11">
        <v>57</v>
      </c>
      <c r="G780" s="11">
        <v>-1.28</v>
      </c>
      <c r="H780" s="11">
        <v>700</v>
      </c>
      <c r="I780" s="11">
        <v>40080</v>
      </c>
      <c r="J780" s="11">
        <v>188524559</v>
      </c>
      <c r="K780" s="11">
        <v>8179932169.62</v>
      </c>
      <c r="L780" s="6">
        <f t="shared" si="25"/>
        <v>57.2571428571429</v>
      </c>
    </row>
    <row r="781" spans="1:12">
      <c r="A781">
        <f t="shared" si="24"/>
        <v>2022</v>
      </c>
      <c r="B781" s="10">
        <v>44629</v>
      </c>
      <c r="C781" s="11">
        <v>58</v>
      </c>
      <c r="D781" s="11">
        <v>58</v>
      </c>
      <c r="E781" s="11">
        <v>58</v>
      </c>
      <c r="F781" s="11">
        <v>58</v>
      </c>
      <c r="G781" s="11">
        <v>1.75</v>
      </c>
      <c r="H781" s="11">
        <v>80</v>
      </c>
      <c r="I781" s="11">
        <v>4640</v>
      </c>
      <c r="J781" s="11">
        <v>188523859</v>
      </c>
      <c r="K781" s="11">
        <v>8179892089.62</v>
      </c>
      <c r="L781" s="6">
        <f t="shared" si="25"/>
        <v>58</v>
      </c>
    </row>
    <row r="782" spans="1:12">
      <c r="A782">
        <f t="shared" si="24"/>
        <v>2022</v>
      </c>
      <c r="B782" s="10">
        <v>44628</v>
      </c>
      <c r="C782" s="11">
        <v>57</v>
      </c>
      <c r="D782" s="11">
        <v>57</v>
      </c>
      <c r="E782" s="11">
        <v>57</v>
      </c>
      <c r="F782" s="11">
        <v>57</v>
      </c>
      <c r="G782" s="11">
        <v>-0.07</v>
      </c>
      <c r="H782" s="11">
        <v>500</v>
      </c>
      <c r="I782" s="11">
        <v>28500</v>
      </c>
      <c r="J782" s="11">
        <v>188523779</v>
      </c>
      <c r="K782" s="11">
        <v>8179887449.62</v>
      </c>
      <c r="L782" s="6">
        <f t="shared" si="25"/>
        <v>57</v>
      </c>
    </row>
    <row r="783" spans="1:12">
      <c r="A783">
        <f t="shared" si="24"/>
        <v>2022</v>
      </c>
      <c r="B783" s="10">
        <v>44627</v>
      </c>
      <c r="C783" s="11">
        <v>57.04</v>
      </c>
      <c r="D783" s="11">
        <v>58</v>
      </c>
      <c r="E783" s="11">
        <v>58</v>
      </c>
      <c r="F783" s="11">
        <v>57</v>
      </c>
      <c r="G783" s="11">
        <v>-1.49</v>
      </c>
      <c r="H783" s="11">
        <v>520</v>
      </c>
      <c r="I783" s="11">
        <v>29660</v>
      </c>
      <c r="J783" s="11">
        <v>188523279</v>
      </c>
      <c r="K783" s="11">
        <v>8179858949.62</v>
      </c>
      <c r="L783" s="6">
        <f t="shared" si="25"/>
        <v>57.0384615384615</v>
      </c>
    </row>
    <row r="784" spans="1:12">
      <c r="A784">
        <f t="shared" si="24"/>
        <v>2022</v>
      </c>
      <c r="B784" s="10">
        <v>44624</v>
      </c>
      <c r="C784" s="11">
        <v>57.9</v>
      </c>
      <c r="D784" s="11">
        <v>57.9</v>
      </c>
      <c r="E784" s="11">
        <v>57.9</v>
      </c>
      <c r="F784" s="11">
        <v>57.9</v>
      </c>
      <c r="G784" s="11">
        <v>0</v>
      </c>
      <c r="H784" s="11">
        <v>150</v>
      </c>
      <c r="I784" s="11">
        <v>8685</v>
      </c>
      <c r="J784" s="11">
        <v>188522759</v>
      </c>
      <c r="K784" s="11">
        <v>8179829289.62</v>
      </c>
      <c r="L784" s="6">
        <f t="shared" si="25"/>
        <v>57.9</v>
      </c>
    </row>
    <row r="785" spans="1:12">
      <c r="A785">
        <f t="shared" si="24"/>
        <v>2022</v>
      </c>
      <c r="B785" s="10">
        <v>44623</v>
      </c>
      <c r="C785" s="11">
        <v>57.9</v>
      </c>
      <c r="D785" s="11">
        <v>57.9</v>
      </c>
      <c r="E785" s="11">
        <v>57.9</v>
      </c>
      <c r="F785" s="11">
        <v>57.9</v>
      </c>
      <c r="G785" s="11">
        <v>0</v>
      </c>
      <c r="H785" s="11">
        <v>20</v>
      </c>
      <c r="I785" s="11">
        <v>1158</v>
      </c>
      <c r="J785" s="11">
        <v>188522609</v>
      </c>
      <c r="K785" s="11">
        <v>8179820604.62</v>
      </c>
      <c r="L785" s="6">
        <f t="shared" si="25"/>
        <v>57.9</v>
      </c>
    </row>
    <row r="786" spans="1:12">
      <c r="A786">
        <f t="shared" si="24"/>
        <v>2022</v>
      </c>
      <c r="B786" s="10">
        <v>44622</v>
      </c>
      <c r="C786" s="11">
        <v>57.9</v>
      </c>
      <c r="D786" s="11">
        <v>57.8</v>
      </c>
      <c r="E786" s="11">
        <v>58.9</v>
      </c>
      <c r="F786" s="11">
        <v>57.8</v>
      </c>
      <c r="G786" s="11">
        <v>0.17</v>
      </c>
      <c r="H786" s="11">
        <v>200110</v>
      </c>
      <c r="I786" s="11">
        <v>11306369</v>
      </c>
      <c r="J786" s="11">
        <v>188522589</v>
      </c>
      <c r="K786" s="11">
        <v>8179819446.62</v>
      </c>
      <c r="L786" s="6">
        <f t="shared" si="25"/>
        <v>56.5007695767328</v>
      </c>
    </row>
    <row r="787" spans="1:12">
      <c r="A787">
        <f t="shared" si="24"/>
        <v>2022</v>
      </c>
      <c r="B787" s="10">
        <v>44621</v>
      </c>
      <c r="C787" s="11">
        <v>57.8</v>
      </c>
      <c r="D787" s="11">
        <v>57.8</v>
      </c>
      <c r="E787" s="11">
        <v>57.8</v>
      </c>
      <c r="F787" s="11">
        <v>57.8</v>
      </c>
      <c r="G787" s="11">
        <v>0.1</v>
      </c>
      <c r="H787" s="11">
        <v>50</v>
      </c>
      <c r="I787" s="11">
        <v>2890</v>
      </c>
      <c r="J787" s="11">
        <v>188322479</v>
      </c>
      <c r="K787" s="11">
        <v>8168513077.62</v>
      </c>
      <c r="L787" s="6">
        <f t="shared" si="25"/>
        <v>57.8</v>
      </c>
    </row>
    <row r="788" spans="1:12">
      <c r="A788">
        <f t="shared" si="24"/>
        <v>2022</v>
      </c>
      <c r="B788" s="10">
        <v>44620</v>
      </c>
      <c r="C788" s="11">
        <v>57.74</v>
      </c>
      <c r="D788" s="11">
        <v>52.68</v>
      </c>
      <c r="E788" s="11">
        <v>59</v>
      </c>
      <c r="F788" s="11">
        <v>52.68</v>
      </c>
      <c r="G788" s="11">
        <v>-1.35</v>
      </c>
      <c r="H788" s="11">
        <v>118766</v>
      </c>
      <c r="I788" s="11">
        <v>5110622</v>
      </c>
      <c r="J788" s="11">
        <v>188322429</v>
      </c>
      <c r="K788" s="11">
        <v>8168510187.62</v>
      </c>
      <c r="L788" s="6">
        <f t="shared" si="25"/>
        <v>43.0310189784955</v>
      </c>
    </row>
    <row r="789" spans="1:12">
      <c r="A789">
        <f t="shared" si="24"/>
        <v>2022</v>
      </c>
      <c r="B789" s="10">
        <v>44617</v>
      </c>
      <c r="C789" s="11">
        <v>58.53</v>
      </c>
      <c r="D789" s="11">
        <v>58</v>
      </c>
      <c r="E789" s="11">
        <v>59</v>
      </c>
      <c r="F789" s="11">
        <v>58</v>
      </c>
      <c r="G789" s="11">
        <v>0.91</v>
      </c>
      <c r="H789" s="11">
        <v>1393635</v>
      </c>
      <c r="I789" s="11">
        <v>82208572.5</v>
      </c>
      <c r="J789" s="11">
        <v>188203663</v>
      </c>
      <c r="K789" s="11">
        <v>8163399565.62</v>
      </c>
      <c r="L789" s="6">
        <f t="shared" si="25"/>
        <v>58.9885963684896</v>
      </c>
    </row>
    <row r="790" spans="1:12">
      <c r="A790">
        <f t="shared" si="24"/>
        <v>2022</v>
      </c>
      <c r="B790" s="10">
        <v>44616</v>
      </c>
      <c r="C790" s="11">
        <v>58</v>
      </c>
      <c r="D790" s="11">
        <v>58</v>
      </c>
      <c r="E790" s="11">
        <v>58</v>
      </c>
      <c r="F790" s="11">
        <v>58</v>
      </c>
      <c r="G790" s="11">
        <v>2.67</v>
      </c>
      <c r="H790" s="11">
        <v>50</v>
      </c>
      <c r="I790" s="11">
        <v>2900</v>
      </c>
      <c r="J790" s="11">
        <v>186810028</v>
      </c>
      <c r="K790" s="11">
        <v>8081190993.12</v>
      </c>
      <c r="L790" s="6">
        <f t="shared" si="25"/>
        <v>58</v>
      </c>
    </row>
    <row r="791" spans="1:12">
      <c r="A791">
        <f t="shared" si="24"/>
        <v>2022</v>
      </c>
      <c r="B791" s="10">
        <v>44615</v>
      </c>
      <c r="C791" s="11">
        <v>56.49</v>
      </c>
      <c r="D791" s="11">
        <v>57.5</v>
      </c>
      <c r="E791" s="11">
        <v>57.5</v>
      </c>
      <c r="F791" s="11">
        <v>56</v>
      </c>
      <c r="G791" s="11">
        <v>-0.51</v>
      </c>
      <c r="H791" s="11">
        <v>5030</v>
      </c>
      <c r="I791" s="11">
        <v>284125</v>
      </c>
      <c r="J791" s="11">
        <v>186809978</v>
      </c>
      <c r="K791" s="11">
        <v>8081188093.12</v>
      </c>
      <c r="L791" s="6">
        <f t="shared" si="25"/>
        <v>56.486083499006</v>
      </c>
    </row>
    <row r="792" spans="1:12">
      <c r="A792">
        <f t="shared" si="24"/>
        <v>2022</v>
      </c>
      <c r="B792" s="10">
        <v>44614</v>
      </c>
      <c r="C792" s="11">
        <v>56.78</v>
      </c>
      <c r="D792" s="11">
        <v>57</v>
      </c>
      <c r="E792" s="11">
        <v>58</v>
      </c>
      <c r="F792" s="11">
        <v>51.3</v>
      </c>
      <c r="G792" s="11">
        <v>-0.37</v>
      </c>
      <c r="H792" s="11">
        <v>78402</v>
      </c>
      <c r="I792" s="11">
        <v>4451554</v>
      </c>
      <c r="J792" s="11">
        <v>186804948</v>
      </c>
      <c r="K792" s="11">
        <v>8080903968.12</v>
      </c>
      <c r="L792" s="6">
        <f t="shared" si="25"/>
        <v>56.7785770771154</v>
      </c>
    </row>
    <row r="793" spans="1:12">
      <c r="A793">
        <f t="shared" si="24"/>
        <v>2022</v>
      </c>
      <c r="B793" s="10">
        <v>44613</v>
      </c>
      <c r="C793" s="11">
        <v>56.99</v>
      </c>
      <c r="D793" s="11">
        <v>56.99</v>
      </c>
      <c r="E793" s="11">
        <v>56.99</v>
      </c>
      <c r="F793" s="11">
        <v>56.99</v>
      </c>
      <c r="G793" s="11">
        <v>0.19</v>
      </c>
      <c r="H793" s="11">
        <v>143</v>
      </c>
      <c r="I793" s="11">
        <v>8149.57</v>
      </c>
      <c r="J793" s="11">
        <v>186726546</v>
      </c>
      <c r="K793" s="11">
        <v>8076452414.12</v>
      </c>
      <c r="L793" s="6">
        <f t="shared" si="25"/>
        <v>56.99</v>
      </c>
    </row>
    <row r="794" spans="1:12">
      <c r="A794">
        <f t="shared" si="24"/>
        <v>2022</v>
      </c>
      <c r="B794" s="10">
        <v>44610</v>
      </c>
      <c r="C794" s="11">
        <v>56.88</v>
      </c>
      <c r="D794" s="11">
        <v>56.88</v>
      </c>
      <c r="E794" s="11">
        <v>56.88</v>
      </c>
      <c r="F794" s="11">
        <v>56.88</v>
      </c>
      <c r="G794" s="11">
        <v>0.67</v>
      </c>
      <c r="H794" s="11">
        <v>60</v>
      </c>
      <c r="I794" s="11">
        <v>3412.8</v>
      </c>
      <c r="J794" s="11">
        <v>186726403</v>
      </c>
      <c r="K794" s="11">
        <v>8076444264.55</v>
      </c>
      <c r="L794" s="6">
        <f t="shared" si="25"/>
        <v>56.88</v>
      </c>
    </row>
    <row r="795" spans="1:12">
      <c r="A795">
        <f t="shared" si="24"/>
        <v>2022</v>
      </c>
      <c r="B795" s="10">
        <v>44609</v>
      </c>
      <c r="C795" s="11">
        <v>56.5</v>
      </c>
      <c r="D795" s="11">
        <v>56.5</v>
      </c>
      <c r="E795" s="11">
        <v>56.5</v>
      </c>
      <c r="F795" s="11">
        <v>56.5</v>
      </c>
      <c r="G795" s="11">
        <v>-0.18</v>
      </c>
      <c r="H795" s="11">
        <v>50</v>
      </c>
      <c r="I795" s="11">
        <v>2825</v>
      </c>
      <c r="J795" s="11">
        <v>186726343</v>
      </c>
      <c r="K795" s="11">
        <v>8076440851.75</v>
      </c>
      <c r="L795" s="6">
        <f t="shared" si="25"/>
        <v>56.5</v>
      </c>
    </row>
    <row r="796" spans="1:12">
      <c r="A796">
        <f t="shared" si="24"/>
        <v>2022</v>
      </c>
      <c r="B796" s="10">
        <v>44608</v>
      </c>
      <c r="C796" s="11">
        <v>56.6</v>
      </c>
      <c r="D796" s="11">
        <v>56.6</v>
      </c>
      <c r="E796" s="11">
        <v>56.6</v>
      </c>
      <c r="F796" s="11">
        <v>56.6</v>
      </c>
      <c r="G796" s="11">
        <v>-3.08</v>
      </c>
      <c r="H796" s="11">
        <v>2000</v>
      </c>
      <c r="I796" s="11">
        <v>113200</v>
      </c>
      <c r="J796" s="11">
        <v>186726293</v>
      </c>
      <c r="K796" s="11">
        <v>8076438026.75</v>
      </c>
      <c r="L796" s="6">
        <f t="shared" si="25"/>
        <v>56.6</v>
      </c>
    </row>
    <row r="797" spans="1:12">
      <c r="A797">
        <f t="shared" si="24"/>
        <v>2022</v>
      </c>
      <c r="B797" s="10">
        <v>44607</v>
      </c>
      <c r="C797" s="11">
        <v>58.4</v>
      </c>
      <c r="D797" s="11">
        <v>58.4</v>
      </c>
      <c r="E797" s="11">
        <v>58.4</v>
      </c>
      <c r="F797" s="11">
        <v>58.4</v>
      </c>
      <c r="G797" s="11">
        <v>-0.02</v>
      </c>
      <c r="H797" s="11">
        <v>20</v>
      </c>
      <c r="I797" s="11">
        <v>1168</v>
      </c>
      <c r="J797" s="11">
        <v>186724293</v>
      </c>
      <c r="K797" s="11">
        <v>8076324826.75</v>
      </c>
      <c r="L797" s="6">
        <f t="shared" si="25"/>
        <v>58.4</v>
      </c>
    </row>
    <row r="798" spans="1:12">
      <c r="A798">
        <f t="shared" si="24"/>
        <v>2022</v>
      </c>
      <c r="B798" s="10">
        <v>44606</v>
      </c>
      <c r="C798" s="11">
        <v>58.41</v>
      </c>
      <c r="D798" s="11">
        <v>50.54</v>
      </c>
      <c r="E798" s="11">
        <v>58.8</v>
      </c>
      <c r="F798" s="11">
        <v>50.54</v>
      </c>
      <c r="G798" s="11">
        <v>4.02</v>
      </c>
      <c r="H798" s="11">
        <v>21</v>
      </c>
      <c r="I798" s="11">
        <v>1226.54</v>
      </c>
      <c r="J798" s="11">
        <v>186724273</v>
      </c>
      <c r="K798" s="11">
        <v>8076323658.75</v>
      </c>
      <c r="L798" s="6">
        <f t="shared" si="25"/>
        <v>58.4066666666667</v>
      </c>
    </row>
    <row r="799" spans="1:12">
      <c r="A799">
        <f t="shared" si="24"/>
        <v>2022</v>
      </c>
      <c r="B799" s="10">
        <v>44603</v>
      </c>
      <c r="C799" s="11">
        <v>56.15</v>
      </c>
      <c r="D799" s="11">
        <v>55</v>
      </c>
      <c r="E799" s="11">
        <v>60</v>
      </c>
      <c r="F799" s="11">
        <v>55</v>
      </c>
      <c r="G799" s="11">
        <v>-6.42</v>
      </c>
      <c r="H799" s="11">
        <v>130</v>
      </c>
      <c r="I799" s="11">
        <v>7300</v>
      </c>
      <c r="J799" s="11">
        <v>186724252</v>
      </c>
      <c r="K799" s="11">
        <v>8076322432.21</v>
      </c>
      <c r="L799" s="6">
        <f t="shared" si="25"/>
        <v>56.1538461538462</v>
      </c>
    </row>
    <row r="800" spans="1:12">
      <c r="A800">
        <f t="shared" si="24"/>
        <v>2022</v>
      </c>
      <c r="B800" s="10">
        <v>44602</v>
      </c>
      <c r="C800" s="11">
        <v>60</v>
      </c>
      <c r="D800" s="11">
        <v>60</v>
      </c>
      <c r="E800" s="11">
        <v>60</v>
      </c>
      <c r="F800" s="11">
        <v>60</v>
      </c>
      <c r="G800" s="11">
        <v>2.56</v>
      </c>
      <c r="H800" s="11">
        <v>80</v>
      </c>
      <c r="I800" s="11">
        <v>4800</v>
      </c>
      <c r="J800" s="11">
        <v>186724122</v>
      </c>
      <c r="K800" s="11">
        <v>8076315132.21</v>
      </c>
      <c r="L800" s="6">
        <f t="shared" si="25"/>
        <v>60</v>
      </c>
    </row>
    <row r="801" spans="1:12">
      <c r="A801">
        <f t="shared" si="24"/>
        <v>2022</v>
      </c>
      <c r="B801" s="10">
        <v>44601</v>
      </c>
      <c r="C801" s="11">
        <v>58.5</v>
      </c>
      <c r="D801" s="11">
        <v>58.5</v>
      </c>
      <c r="E801" s="11">
        <v>58.5</v>
      </c>
      <c r="F801" s="11">
        <v>58.5</v>
      </c>
      <c r="G801" s="11">
        <v>0</v>
      </c>
      <c r="H801" s="11">
        <v>50</v>
      </c>
      <c r="I801" s="11">
        <v>2925</v>
      </c>
      <c r="J801" s="11">
        <v>186724042</v>
      </c>
      <c r="K801" s="11">
        <v>8076310332.21</v>
      </c>
      <c r="L801" s="6">
        <f t="shared" si="25"/>
        <v>58.5</v>
      </c>
    </row>
    <row r="802" spans="1:12">
      <c r="A802">
        <f t="shared" si="24"/>
        <v>2022</v>
      </c>
      <c r="B802" s="10">
        <v>44600</v>
      </c>
      <c r="C802" s="11">
        <v>58.5</v>
      </c>
      <c r="D802" s="11">
        <v>58.5</v>
      </c>
      <c r="E802" s="11">
        <v>58.5</v>
      </c>
      <c r="F802" s="11">
        <v>58.5</v>
      </c>
      <c r="G802" s="11">
        <v>0.72</v>
      </c>
      <c r="H802" s="11">
        <v>72148</v>
      </c>
      <c r="I802" s="11">
        <v>4220658</v>
      </c>
      <c r="J802" s="11">
        <v>186723992</v>
      </c>
      <c r="K802" s="11">
        <v>8076307407.21</v>
      </c>
      <c r="L802" s="6">
        <f t="shared" si="25"/>
        <v>58.5</v>
      </c>
    </row>
    <row r="803" spans="1:12">
      <c r="A803">
        <f t="shared" si="24"/>
        <v>2022</v>
      </c>
      <c r="B803" s="10">
        <v>44599</v>
      </c>
      <c r="C803" s="11">
        <v>58.08</v>
      </c>
      <c r="D803" s="11">
        <v>58.08</v>
      </c>
      <c r="E803" s="11">
        <v>58.08</v>
      </c>
      <c r="F803" s="11">
        <v>58.08</v>
      </c>
      <c r="G803" s="11">
        <v>-5.38</v>
      </c>
      <c r="H803" s="11">
        <v>30</v>
      </c>
      <c r="I803" s="11">
        <v>1742.4</v>
      </c>
      <c r="J803" s="11">
        <v>186651844</v>
      </c>
      <c r="K803" s="11">
        <v>8072086749.21</v>
      </c>
      <c r="L803" s="6">
        <f t="shared" si="25"/>
        <v>58.08</v>
      </c>
    </row>
    <row r="804" spans="1:12">
      <c r="A804">
        <f t="shared" si="24"/>
        <v>2022</v>
      </c>
      <c r="B804" s="10">
        <v>44589</v>
      </c>
      <c r="C804" s="11">
        <v>61.38</v>
      </c>
      <c r="D804" s="11">
        <v>58.88</v>
      </c>
      <c r="E804" s="11">
        <v>61.6</v>
      </c>
      <c r="F804" s="11">
        <v>58.88</v>
      </c>
      <c r="G804" s="11">
        <v>9.61</v>
      </c>
      <c r="H804" s="11">
        <v>1088</v>
      </c>
      <c r="I804" s="11">
        <v>66781.44</v>
      </c>
      <c r="J804" s="11">
        <v>186651814</v>
      </c>
      <c r="K804" s="11">
        <v>8072085006.81</v>
      </c>
      <c r="L804" s="6">
        <f t="shared" si="25"/>
        <v>61.38</v>
      </c>
    </row>
    <row r="805" spans="1:12">
      <c r="A805">
        <f t="shared" si="24"/>
        <v>2022</v>
      </c>
      <c r="B805" s="10">
        <v>44588</v>
      </c>
      <c r="C805" s="11">
        <v>56</v>
      </c>
      <c r="D805" s="11">
        <v>56</v>
      </c>
      <c r="E805" s="11">
        <v>56</v>
      </c>
      <c r="F805" s="11">
        <v>56</v>
      </c>
      <c r="G805" s="11">
        <v>-3.25</v>
      </c>
      <c r="H805" s="11">
        <v>60</v>
      </c>
      <c r="I805" s="11">
        <v>3360</v>
      </c>
      <c r="J805" s="11">
        <v>186650726</v>
      </c>
      <c r="K805" s="11">
        <v>8072018225.37</v>
      </c>
      <c r="L805" s="6">
        <f t="shared" si="25"/>
        <v>56</v>
      </c>
    </row>
    <row r="806" spans="1:12">
      <c r="A806">
        <f t="shared" si="24"/>
        <v>2022</v>
      </c>
      <c r="B806" s="10">
        <v>44587</v>
      </c>
      <c r="C806" s="11">
        <v>57.88</v>
      </c>
      <c r="D806" s="11">
        <v>58</v>
      </c>
      <c r="E806" s="11">
        <v>58</v>
      </c>
      <c r="F806" s="11">
        <v>52.06</v>
      </c>
      <c r="G806" s="11">
        <v>0.09</v>
      </c>
      <c r="H806" s="11">
        <v>51</v>
      </c>
      <c r="I806" s="11">
        <v>2952.06</v>
      </c>
      <c r="J806" s="11">
        <v>186650666</v>
      </c>
      <c r="K806" s="11">
        <v>8072014865.37</v>
      </c>
      <c r="L806" s="6">
        <f t="shared" si="25"/>
        <v>57.8835294117647</v>
      </c>
    </row>
    <row r="807" spans="1:12">
      <c r="A807">
        <f t="shared" si="24"/>
        <v>2022</v>
      </c>
      <c r="B807" s="10">
        <v>44586</v>
      </c>
      <c r="C807" s="11">
        <v>57.83</v>
      </c>
      <c r="D807" s="11">
        <v>57.87</v>
      </c>
      <c r="E807" s="11">
        <v>57.87</v>
      </c>
      <c r="F807" s="11">
        <v>52.09</v>
      </c>
      <c r="G807" s="11">
        <v>-0.07</v>
      </c>
      <c r="H807" s="11">
        <v>151</v>
      </c>
      <c r="I807" s="11">
        <v>8732.59</v>
      </c>
      <c r="J807" s="11">
        <v>186650615</v>
      </c>
      <c r="K807" s="11">
        <v>8072011913.31</v>
      </c>
      <c r="L807" s="6">
        <f t="shared" si="25"/>
        <v>57.8317218543046</v>
      </c>
    </row>
    <row r="808" spans="1:12">
      <c r="A808">
        <f t="shared" si="24"/>
        <v>2022</v>
      </c>
      <c r="B808" s="10">
        <v>44585</v>
      </c>
      <c r="C808" s="11">
        <v>57.87</v>
      </c>
      <c r="D808" s="11">
        <v>51.71</v>
      </c>
      <c r="E808" s="11">
        <v>57.99</v>
      </c>
      <c r="F808" s="11">
        <v>51.71</v>
      </c>
      <c r="G808" s="11">
        <v>0.71</v>
      </c>
      <c r="H808" s="11">
        <v>109</v>
      </c>
      <c r="I808" s="11">
        <v>6308.36</v>
      </c>
      <c r="J808" s="11">
        <v>186650464</v>
      </c>
      <c r="K808" s="11">
        <v>8072003180.72</v>
      </c>
      <c r="L808" s="6">
        <f t="shared" si="25"/>
        <v>57.8748623853211</v>
      </c>
    </row>
    <row r="809" spans="1:12">
      <c r="A809">
        <f t="shared" si="24"/>
        <v>2022</v>
      </c>
      <c r="B809" s="10">
        <v>44582</v>
      </c>
      <c r="C809" s="11">
        <v>57.46</v>
      </c>
      <c r="D809" s="11">
        <v>52.2</v>
      </c>
      <c r="E809" s="11">
        <v>57.5</v>
      </c>
      <c r="F809" s="11">
        <v>52.2</v>
      </c>
      <c r="G809" s="11">
        <v>-0.93</v>
      </c>
      <c r="H809" s="11">
        <v>125</v>
      </c>
      <c r="I809" s="11">
        <v>7182.2</v>
      </c>
      <c r="J809" s="11">
        <v>186650355</v>
      </c>
      <c r="K809" s="11">
        <v>8071996872.36</v>
      </c>
      <c r="L809" s="6">
        <f t="shared" si="25"/>
        <v>57.4576</v>
      </c>
    </row>
    <row r="810" spans="1:12">
      <c r="A810">
        <f t="shared" si="24"/>
        <v>2022</v>
      </c>
      <c r="B810" s="10">
        <v>44581</v>
      </c>
      <c r="C810" s="11">
        <v>58</v>
      </c>
      <c r="D810" s="11">
        <v>58</v>
      </c>
      <c r="E810" s="11">
        <v>58</v>
      </c>
      <c r="F810" s="11">
        <v>58</v>
      </c>
      <c r="G810" s="11">
        <v>3.57</v>
      </c>
      <c r="H810" s="11">
        <v>197</v>
      </c>
      <c r="I810" s="11">
        <v>11426</v>
      </c>
      <c r="J810" s="11">
        <v>186650230</v>
      </c>
      <c r="K810" s="11">
        <v>8071989690.16</v>
      </c>
      <c r="L810" s="6">
        <f t="shared" si="25"/>
        <v>58</v>
      </c>
    </row>
    <row r="811" spans="1:12">
      <c r="A811">
        <f t="shared" si="24"/>
        <v>2022</v>
      </c>
      <c r="B811" s="10">
        <v>44580</v>
      </c>
      <c r="C811" s="11">
        <v>56</v>
      </c>
      <c r="D811" s="11">
        <v>56</v>
      </c>
      <c r="E811" s="11">
        <v>56</v>
      </c>
      <c r="F811" s="11">
        <v>56</v>
      </c>
      <c r="G811" s="11">
        <v>-4.27</v>
      </c>
      <c r="H811" s="11">
        <v>52695</v>
      </c>
      <c r="I811" s="11">
        <v>2950920</v>
      </c>
      <c r="J811" s="11">
        <v>186650033</v>
      </c>
      <c r="K811" s="11">
        <v>8071978264.16</v>
      </c>
      <c r="L811" s="6">
        <f t="shared" si="25"/>
        <v>56</v>
      </c>
    </row>
    <row r="812" spans="1:12">
      <c r="A812">
        <f t="shared" si="24"/>
        <v>2022</v>
      </c>
      <c r="B812" s="10">
        <v>44579</v>
      </c>
      <c r="C812" s="11">
        <v>58.5</v>
      </c>
      <c r="D812" s="11">
        <v>58.5</v>
      </c>
      <c r="E812" s="11">
        <v>58.5</v>
      </c>
      <c r="F812" s="11">
        <v>58.5</v>
      </c>
      <c r="G812" s="11">
        <v>0.03</v>
      </c>
      <c r="H812" s="11">
        <v>100</v>
      </c>
      <c r="I812" s="11">
        <v>5850</v>
      </c>
      <c r="J812" s="11">
        <v>186597338</v>
      </c>
      <c r="K812" s="11">
        <v>8069027344.16</v>
      </c>
      <c r="L812" s="6">
        <f t="shared" si="25"/>
        <v>58.5</v>
      </c>
    </row>
    <row r="813" spans="1:12">
      <c r="A813">
        <f t="shared" si="24"/>
        <v>2022</v>
      </c>
      <c r="B813" s="10">
        <v>44578</v>
      </c>
      <c r="C813" s="11">
        <v>58.48</v>
      </c>
      <c r="D813" s="11">
        <v>58.49</v>
      </c>
      <c r="E813" s="11">
        <v>58.49</v>
      </c>
      <c r="F813" s="11">
        <v>52.3</v>
      </c>
      <c r="G813" s="11">
        <v>1.23</v>
      </c>
      <c r="H813" s="11">
        <v>731</v>
      </c>
      <c r="I813" s="11">
        <v>42750</v>
      </c>
      <c r="J813" s="11">
        <v>186597238</v>
      </c>
      <c r="K813" s="11">
        <v>8069021494.16</v>
      </c>
      <c r="L813" s="6">
        <f t="shared" si="25"/>
        <v>58.4815321477428</v>
      </c>
    </row>
    <row r="814" spans="1:12">
      <c r="A814">
        <f t="shared" si="24"/>
        <v>2022</v>
      </c>
      <c r="B814" s="10">
        <v>44575</v>
      </c>
      <c r="C814" s="11">
        <v>57.77</v>
      </c>
      <c r="D814" s="11">
        <v>57.74</v>
      </c>
      <c r="E814" s="11">
        <v>57.9</v>
      </c>
      <c r="F814" s="11">
        <v>57.6</v>
      </c>
      <c r="G814" s="11">
        <v>0.03</v>
      </c>
      <c r="H814" s="11">
        <v>173370</v>
      </c>
      <c r="I814" s="11">
        <v>10014725.4</v>
      </c>
      <c r="J814" s="11">
        <v>186596507</v>
      </c>
      <c r="K814" s="11">
        <v>8068978744.16</v>
      </c>
      <c r="L814" s="6">
        <f t="shared" si="25"/>
        <v>57.765042394878</v>
      </c>
    </row>
    <row r="815" spans="1:12">
      <c r="A815">
        <f t="shared" si="24"/>
        <v>2022</v>
      </c>
      <c r="B815" s="10">
        <v>44574</v>
      </c>
      <c r="C815" s="11">
        <v>57.75</v>
      </c>
      <c r="D815" s="11">
        <v>57</v>
      </c>
      <c r="E815" s="11">
        <v>58</v>
      </c>
      <c r="F815" s="11">
        <v>57</v>
      </c>
      <c r="G815" s="11">
        <v>-0.41</v>
      </c>
      <c r="H815" s="11">
        <v>590482</v>
      </c>
      <c r="I815" s="11">
        <v>33076520.85</v>
      </c>
      <c r="J815" s="11">
        <v>186423137</v>
      </c>
      <c r="K815" s="11">
        <v>8058964018.76</v>
      </c>
      <c r="L815" s="6">
        <f t="shared" si="25"/>
        <v>56.0161374097771</v>
      </c>
    </row>
    <row r="816" spans="1:12">
      <c r="A816">
        <f t="shared" si="24"/>
        <v>2022</v>
      </c>
      <c r="B816" s="10">
        <v>44573</v>
      </c>
      <c r="C816" s="11">
        <v>57.99</v>
      </c>
      <c r="D816" s="11">
        <v>57.99</v>
      </c>
      <c r="E816" s="11">
        <v>57.99</v>
      </c>
      <c r="F816" s="11">
        <v>57.99</v>
      </c>
      <c r="G816" s="11">
        <v>0.82</v>
      </c>
      <c r="H816" s="11">
        <v>500100</v>
      </c>
      <c r="I816" s="11">
        <v>28005799</v>
      </c>
      <c r="J816" s="11">
        <v>185832655</v>
      </c>
      <c r="K816" s="11">
        <v>8025887497.91</v>
      </c>
      <c r="L816" s="6">
        <f t="shared" si="25"/>
        <v>56.0003979204159</v>
      </c>
    </row>
    <row r="817" spans="1:12">
      <c r="A817">
        <f t="shared" si="24"/>
        <v>2022</v>
      </c>
      <c r="B817" s="10">
        <v>44572</v>
      </c>
      <c r="C817" s="11">
        <v>57.52</v>
      </c>
      <c r="D817" s="11">
        <v>58.3</v>
      </c>
      <c r="E817" s="11">
        <v>58.3</v>
      </c>
      <c r="F817" s="11">
        <v>57</v>
      </c>
      <c r="G817" s="11">
        <v>-1.3</v>
      </c>
      <c r="H817" s="11">
        <v>165087</v>
      </c>
      <c r="I817" s="11">
        <v>9631491.9</v>
      </c>
      <c r="J817" s="11">
        <v>185332555</v>
      </c>
      <c r="K817" s="11">
        <v>7997881698.91</v>
      </c>
      <c r="L817" s="6">
        <f t="shared" si="25"/>
        <v>58.341916080612</v>
      </c>
    </row>
    <row r="818" spans="1:12">
      <c r="A818">
        <f t="shared" si="24"/>
        <v>2022</v>
      </c>
      <c r="B818" s="10">
        <v>44571</v>
      </c>
      <c r="C818" s="11">
        <v>58.28</v>
      </c>
      <c r="D818" s="11">
        <v>58.5</v>
      </c>
      <c r="E818" s="11">
        <v>58.5</v>
      </c>
      <c r="F818" s="11">
        <v>58</v>
      </c>
      <c r="G818" s="11">
        <v>1.2</v>
      </c>
      <c r="H818" s="11">
        <v>1794387</v>
      </c>
      <c r="I818" s="11">
        <v>80491805.32</v>
      </c>
      <c r="J818" s="11">
        <v>185167468</v>
      </c>
      <c r="K818" s="11">
        <v>7988250207.01</v>
      </c>
      <c r="L818" s="6">
        <f t="shared" si="25"/>
        <v>44.857550416939</v>
      </c>
    </row>
    <row r="819" spans="1:12">
      <c r="A819">
        <f t="shared" si="24"/>
        <v>2022</v>
      </c>
      <c r="B819" s="10">
        <v>44568</v>
      </c>
      <c r="C819" s="11">
        <v>57.59</v>
      </c>
      <c r="D819" s="11">
        <v>57.5</v>
      </c>
      <c r="E819" s="11">
        <v>58</v>
      </c>
      <c r="F819" s="11">
        <v>56.1</v>
      </c>
      <c r="G819" s="11">
        <v>0.58</v>
      </c>
      <c r="H819" s="11">
        <v>3171045</v>
      </c>
      <c r="I819" s="11">
        <v>169404435.1</v>
      </c>
      <c r="J819" s="11">
        <v>183373081</v>
      </c>
      <c r="K819" s="11">
        <v>7907758401.69</v>
      </c>
      <c r="L819" s="6">
        <f t="shared" si="25"/>
        <v>53.4222740768422</v>
      </c>
    </row>
    <row r="820" spans="1:12">
      <c r="A820">
        <f t="shared" si="24"/>
        <v>2022</v>
      </c>
      <c r="B820" s="10">
        <v>44567</v>
      </c>
      <c r="C820" s="11">
        <v>57.26</v>
      </c>
      <c r="D820" s="11">
        <v>55.5</v>
      </c>
      <c r="E820" s="11">
        <v>57.8</v>
      </c>
      <c r="F820" s="11">
        <v>55.5</v>
      </c>
      <c r="G820" s="11">
        <v>0.56</v>
      </c>
      <c r="H820" s="11">
        <v>341822</v>
      </c>
      <c r="I820" s="11">
        <v>18979354.7</v>
      </c>
      <c r="J820" s="11">
        <v>180202036</v>
      </c>
      <c r="K820" s="11">
        <v>7738353966.59</v>
      </c>
      <c r="L820" s="6">
        <f t="shared" si="25"/>
        <v>55.5240876830631</v>
      </c>
    </row>
    <row r="821" spans="1:12">
      <c r="A821">
        <f t="shared" si="24"/>
        <v>2022</v>
      </c>
      <c r="B821" s="10">
        <v>44566</v>
      </c>
      <c r="C821" s="11">
        <v>56.94</v>
      </c>
      <c r="D821" s="11">
        <v>56</v>
      </c>
      <c r="E821" s="11">
        <v>57.5</v>
      </c>
      <c r="F821" s="11">
        <v>56</v>
      </c>
      <c r="G821" s="11">
        <v>-0.61</v>
      </c>
      <c r="H821" s="11">
        <v>739769</v>
      </c>
      <c r="I821" s="11">
        <v>39271601.26</v>
      </c>
      <c r="J821" s="11">
        <v>179860214</v>
      </c>
      <c r="K821" s="11">
        <v>7719374611.89</v>
      </c>
      <c r="L821" s="6">
        <f t="shared" si="25"/>
        <v>53.086302967548</v>
      </c>
    </row>
    <row r="822" spans="1:12">
      <c r="A822">
        <f t="shared" si="24"/>
        <v>2022</v>
      </c>
      <c r="B822" s="10">
        <v>44565</v>
      </c>
      <c r="C822" s="11">
        <v>57.29</v>
      </c>
      <c r="D822" s="11">
        <v>59.64</v>
      </c>
      <c r="E822" s="11">
        <v>59.64</v>
      </c>
      <c r="F822" s="11">
        <v>54.23</v>
      </c>
      <c r="G822" s="11">
        <v>5.66</v>
      </c>
      <c r="H822" s="11">
        <v>331095</v>
      </c>
      <c r="I822" s="11">
        <v>18872987.64</v>
      </c>
      <c r="J822" s="11">
        <v>179120445</v>
      </c>
      <c r="K822" s="11">
        <v>7680103010.63</v>
      </c>
      <c r="L822" s="6">
        <f t="shared" si="25"/>
        <v>57.0017295338196</v>
      </c>
    </row>
    <row r="823" spans="1:12">
      <c r="A823">
        <f t="shared" si="24"/>
        <v>2021</v>
      </c>
      <c r="B823" s="10">
        <v>44561</v>
      </c>
      <c r="C823" s="11">
        <v>54.22</v>
      </c>
      <c r="D823" s="11">
        <v>55</v>
      </c>
      <c r="E823" s="11">
        <v>56</v>
      </c>
      <c r="F823" s="11">
        <v>53.5</v>
      </c>
      <c r="G823" s="11"/>
      <c r="H823" s="11">
        <v>2959816</v>
      </c>
      <c r="I823" s="11">
        <v>155853039.98</v>
      </c>
      <c r="J823" s="11">
        <v>178789350</v>
      </c>
      <c r="K823" s="11">
        <v>7661230022.99</v>
      </c>
      <c r="L823" s="6">
        <f t="shared" si="25"/>
        <v>52.6563272784524</v>
      </c>
    </row>
    <row r="824" spans="1:12">
      <c r="A824">
        <f t="shared" si="24"/>
        <v>2021</v>
      </c>
      <c r="B824" s="10">
        <v>44560</v>
      </c>
      <c r="C824" s="11">
        <v>57.06</v>
      </c>
      <c r="D824" s="11">
        <v>62</v>
      </c>
      <c r="E824" s="11">
        <v>62.29</v>
      </c>
      <c r="F824" s="11">
        <v>53</v>
      </c>
      <c r="G824" s="11">
        <v>0.74</v>
      </c>
      <c r="H824" s="11">
        <v>10743243</v>
      </c>
      <c r="I824" s="11">
        <v>574125393.37</v>
      </c>
      <c r="J824" s="11">
        <v>175829534</v>
      </c>
      <c r="K824" s="11">
        <v>7505376983.01</v>
      </c>
      <c r="L824" s="6">
        <f t="shared" si="25"/>
        <v>53.4406038632841</v>
      </c>
    </row>
    <row r="825" spans="1:12">
      <c r="A825">
        <f t="shared" si="24"/>
        <v>2021</v>
      </c>
      <c r="B825" s="10">
        <v>44559</v>
      </c>
      <c r="C825" s="11">
        <v>56.64</v>
      </c>
      <c r="D825" s="11">
        <v>54.5</v>
      </c>
      <c r="E825" s="11">
        <v>56.86</v>
      </c>
      <c r="F825" s="11">
        <v>54.5</v>
      </c>
      <c r="G825" s="11">
        <v>9.58</v>
      </c>
      <c r="H825" s="11">
        <v>5884011</v>
      </c>
      <c r="I825" s="11">
        <v>276042553.85</v>
      </c>
      <c r="J825" s="11">
        <v>165086291</v>
      </c>
      <c r="K825" s="11">
        <v>6931251589.64</v>
      </c>
      <c r="L825" s="6">
        <f t="shared" si="25"/>
        <v>46.9140105023597</v>
      </c>
    </row>
    <row r="826" spans="1:12">
      <c r="A826">
        <f t="shared" si="24"/>
        <v>2021</v>
      </c>
      <c r="B826" s="10">
        <v>44558</v>
      </c>
      <c r="C826" s="11">
        <v>51.69</v>
      </c>
      <c r="D826" s="11">
        <v>52.8</v>
      </c>
      <c r="E826" s="11">
        <v>52.94</v>
      </c>
      <c r="F826" s="11">
        <v>48.6</v>
      </c>
      <c r="G826" s="11">
        <v>7.4</v>
      </c>
      <c r="H826" s="11">
        <v>4892844</v>
      </c>
      <c r="I826" s="11">
        <v>212848130.69</v>
      </c>
      <c r="J826" s="11">
        <v>159202280</v>
      </c>
      <c r="K826" s="11">
        <v>6655209035.79</v>
      </c>
      <c r="L826" s="6">
        <f t="shared" si="25"/>
        <v>43.5019245841478</v>
      </c>
    </row>
    <row r="827" spans="1:12">
      <c r="A827">
        <f t="shared" si="24"/>
        <v>2021</v>
      </c>
      <c r="B827" s="10">
        <v>44557</v>
      </c>
      <c r="C827" s="11">
        <v>48.13</v>
      </c>
      <c r="D827" s="11">
        <v>49.64</v>
      </c>
      <c r="E827" s="11">
        <v>49.7</v>
      </c>
      <c r="F827" s="11">
        <v>47</v>
      </c>
      <c r="G827" s="11">
        <v>-2.81</v>
      </c>
      <c r="H827" s="11">
        <v>3590598</v>
      </c>
      <c r="I827" s="11">
        <v>160614340.56</v>
      </c>
      <c r="J827" s="11">
        <v>154309436</v>
      </c>
      <c r="K827" s="11">
        <v>6442360905.1</v>
      </c>
      <c r="L827" s="6">
        <f t="shared" si="25"/>
        <v>44.7319194629975</v>
      </c>
    </row>
    <row r="828" spans="1:12">
      <c r="A828">
        <f t="shared" si="24"/>
        <v>2021</v>
      </c>
      <c r="B828" s="10">
        <v>44554</v>
      </c>
      <c r="C828" s="11">
        <v>49.52</v>
      </c>
      <c r="D828" s="11">
        <v>49.8</v>
      </c>
      <c r="E828" s="11">
        <v>49.8</v>
      </c>
      <c r="F828" s="11">
        <v>49.29</v>
      </c>
      <c r="G828" s="11">
        <v>-0.1</v>
      </c>
      <c r="H828" s="11">
        <v>3741650</v>
      </c>
      <c r="I828" s="11">
        <v>173583449.03</v>
      </c>
      <c r="J828" s="11">
        <v>150718838</v>
      </c>
      <c r="K828" s="11">
        <v>6281746564.54</v>
      </c>
      <c r="L828" s="6">
        <f t="shared" si="25"/>
        <v>46.3922197506448</v>
      </c>
    </row>
    <row r="829" spans="1:12">
      <c r="A829">
        <f t="shared" si="24"/>
        <v>2021</v>
      </c>
      <c r="B829" s="10">
        <v>44553</v>
      </c>
      <c r="C829" s="11">
        <v>49.57</v>
      </c>
      <c r="D829" s="11">
        <v>49.46</v>
      </c>
      <c r="E829" s="11">
        <v>49.79</v>
      </c>
      <c r="F829" s="11">
        <v>49.45</v>
      </c>
      <c r="G829" s="11">
        <v>0.36</v>
      </c>
      <c r="H829" s="11">
        <v>6623352</v>
      </c>
      <c r="I829" s="11">
        <v>306046737.89</v>
      </c>
      <c r="J829" s="11">
        <v>146977188</v>
      </c>
      <c r="K829" s="11">
        <v>6108163115.51</v>
      </c>
      <c r="L829" s="6">
        <f t="shared" si="25"/>
        <v>46.2072282871271</v>
      </c>
    </row>
    <row r="830" spans="1:12">
      <c r="A830">
        <f t="shared" si="24"/>
        <v>2021</v>
      </c>
      <c r="B830" s="10">
        <v>44552</v>
      </c>
      <c r="C830" s="11">
        <v>49.39</v>
      </c>
      <c r="D830" s="11">
        <v>49.49</v>
      </c>
      <c r="E830" s="11">
        <v>49.49</v>
      </c>
      <c r="F830" s="11">
        <v>49.25</v>
      </c>
      <c r="G830" s="11">
        <v>-0.2</v>
      </c>
      <c r="H830" s="11">
        <v>3270603</v>
      </c>
      <c r="I830" s="11">
        <v>146432564.48</v>
      </c>
      <c r="J830" s="11">
        <v>140353836</v>
      </c>
      <c r="K830" s="11">
        <v>5802116377.62</v>
      </c>
      <c r="L830" s="6">
        <f t="shared" si="25"/>
        <v>44.7723445737682</v>
      </c>
    </row>
    <row r="831" spans="1:12">
      <c r="A831">
        <f t="shared" si="24"/>
        <v>2021</v>
      </c>
      <c r="B831" s="10">
        <v>44551</v>
      </c>
      <c r="C831" s="11">
        <v>49.49</v>
      </c>
      <c r="D831" s="11">
        <v>48.6</v>
      </c>
      <c r="E831" s="11">
        <v>51</v>
      </c>
      <c r="F831" s="11">
        <v>48.6</v>
      </c>
      <c r="G831" s="11">
        <v>0.63</v>
      </c>
      <c r="H831" s="11">
        <v>3142041</v>
      </c>
      <c r="I831" s="11">
        <v>148134066.6</v>
      </c>
      <c r="J831" s="11">
        <v>137083233</v>
      </c>
      <c r="K831" s="11">
        <v>5655683813.14</v>
      </c>
      <c r="L831" s="6">
        <f t="shared" si="25"/>
        <v>47.1458095549994</v>
      </c>
    </row>
    <row r="832" spans="1:12">
      <c r="A832">
        <f t="shared" si="24"/>
        <v>2021</v>
      </c>
      <c r="B832" s="10">
        <v>44550</v>
      </c>
      <c r="C832" s="11">
        <v>49.18</v>
      </c>
      <c r="D832" s="11">
        <v>47.5</v>
      </c>
      <c r="E832" s="11">
        <v>51.33</v>
      </c>
      <c r="F832" s="11">
        <v>45.01</v>
      </c>
      <c r="G832" s="11">
        <v>5.4</v>
      </c>
      <c r="H832" s="11">
        <v>3345118</v>
      </c>
      <c r="I832" s="11">
        <v>150822993.11</v>
      </c>
      <c r="J832" s="11">
        <v>133941192</v>
      </c>
      <c r="K832" s="11">
        <v>5507549746.54</v>
      </c>
      <c r="L832" s="6">
        <f t="shared" si="25"/>
        <v>45.087495601052</v>
      </c>
    </row>
    <row r="833" spans="1:12">
      <c r="A833">
        <f t="shared" si="24"/>
        <v>2021</v>
      </c>
      <c r="B833" s="10">
        <v>44547</v>
      </c>
      <c r="C833" s="11">
        <v>46.66</v>
      </c>
      <c r="D833" s="11">
        <v>44.5</v>
      </c>
      <c r="E833" s="11">
        <v>46.99</v>
      </c>
      <c r="F833" s="11">
        <v>44.5</v>
      </c>
      <c r="G833" s="11">
        <v>5.52</v>
      </c>
      <c r="H833" s="11">
        <v>2659951</v>
      </c>
      <c r="I833" s="11">
        <v>113635304.78</v>
      </c>
      <c r="J833" s="11">
        <v>130596074</v>
      </c>
      <c r="K833" s="11">
        <v>5356726753.43</v>
      </c>
      <c r="L833" s="6">
        <f t="shared" si="25"/>
        <v>42.7208263535682</v>
      </c>
    </row>
    <row r="834" spans="1:12">
      <c r="A834">
        <f t="shared" si="24"/>
        <v>2021</v>
      </c>
      <c r="B834" s="10">
        <v>44546</v>
      </c>
      <c r="C834" s="11">
        <v>44.22</v>
      </c>
      <c r="D834" s="11">
        <v>43.65</v>
      </c>
      <c r="E834" s="11">
        <v>45.2</v>
      </c>
      <c r="F834" s="11">
        <v>43.15</v>
      </c>
      <c r="G834" s="11">
        <v>2.69</v>
      </c>
      <c r="H834" s="11">
        <v>20480941</v>
      </c>
      <c r="I834" s="11">
        <v>817218117.95</v>
      </c>
      <c r="J834" s="11">
        <v>127936123</v>
      </c>
      <c r="K834" s="11">
        <v>5243091448.65</v>
      </c>
      <c r="L834" s="6">
        <f t="shared" si="25"/>
        <v>39.9013950555299</v>
      </c>
    </row>
    <row r="835" spans="1:12">
      <c r="A835">
        <f t="shared" si="24"/>
        <v>2021</v>
      </c>
      <c r="B835" s="10">
        <v>44545</v>
      </c>
      <c r="C835" s="11">
        <v>43.06</v>
      </c>
      <c r="D835" s="11">
        <v>42.72</v>
      </c>
      <c r="E835" s="11">
        <v>44</v>
      </c>
      <c r="F835" s="11">
        <v>42.72</v>
      </c>
      <c r="G835" s="11">
        <v>0.3</v>
      </c>
      <c r="H835" s="11">
        <v>7626184</v>
      </c>
      <c r="I835" s="11">
        <v>284935323.88</v>
      </c>
      <c r="J835" s="11">
        <v>107455182</v>
      </c>
      <c r="K835" s="11">
        <v>4425873330.7</v>
      </c>
      <c r="L835" s="6">
        <f t="shared" si="25"/>
        <v>37.3627654250147</v>
      </c>
    </row>
    <row r="836" spans="1:12">
      <c r="A836">
        <f t="shared" ref="A836:A899" si="26">YEAR(B836)</f>
        <v>2021</v>
      </c>
      <c r="B836" s="10">
        <v>44544</v>
      </c>
      <c r="C836" s="11">
        <v>42.93</v>
      </c>
      <c r="D836" s="11">
        <v>42.68</v>
      </c>
      <c r="E836" s="11">
        <v>43.32</v>
      </c>
      <c r="F836" s="11">
        <v>42.68</v>
      </c>
      <c r="G836" s="11">
        <v>-0.05</v>
      </c>
      <c r="H836" s="11">
        <v>14880770</v>
      </c>
      <c r="I836" s="11">
        <v>626696279.02</v>
      </c>
      <c r="J836" s="11">
        <v>99828998</v>
      </c>
      <c r="K836" s="11">
        <v>4140938006.82</v>
      </c>
      <c r="L836" s="6">
        <f t="shared" ref="L836:L899" si="27">I836/H836</f>
        <v>42.1145061055308</v>
      </c>
    </row>
    <row r="837" spans="1:12">
      <c r="A837">
        <f t="shared" si="26"/>
        <v>2021</v>
      </c>
      <c r="B837" s="10">
        <v>44543</v>
      </c>
      <c r="C837" s="11">
        <v>42.95</v>
      </c>
      <c r="D837" s="11">
        <v>43.5</v>
      </c>
      <c r="E837" s="11">
        <v>43.5</v>
      </c>
      <c r="F837" s="11">
        <v>42.6</v>
      </c>
      <c r="G837" s="11">
        <v>0.61</v>
      </c>
      <c r="H837" s="11">
        <v>8024074</v>
      </c>
      <c r="I837" s="11">
        <v>311474142.05</v>
      </c>
      <c r="J837" s="11">
        <v>84948228</v>
      </c>
      <c r="K837" s="11">
        <v>3514241727.8</v>
      </c>
      <c r="L837" s="6">
        <f t="shared" si="27"/>
        <v>38.8174563258016</v>
      </c>
    </row>
    <row r="838" spans="1:12">
      <c r="A838">
        <f t="shared" si="26"/>
        <v>2021</v>
      </c>
      <c r="B838" s="10">
        <v>44540</v>
      </c>
      <c r="C838" s="11">
        <v>42.69</v>
      </c>
      <c r="D838" s="11">
        <v>42</v>
      </c>
      <c r="E838" s="11">
        <v>43.19</v>
      </c>
      <c r="F838" s="11">
        <v>42</v>
      </c>
      <c r="G838" s="11">
        <v>2.72</v>
      </c>
      <c r="H838" s="11">
        <v>7521219</v>
      </c>
      <c r="I838" s="11">
        <v>308590756.21</v>
      </c>
      <c r="J838" s="11">
        <v>76924154</v>
      </c>
      <c r="K838" s="11">
        <v>3202767585.75</v>
      </c>
      <c r="L838" s="6">
        <f t="shared" si="27"/>
        <v>41.029353913242</v>
      </c>
    </row>
    <row r="839" spans="1:12">
      <c r="A839">
        <f t="shared" si="26"/>
        <v>2021</v>
      </c>
      <c r="B839" s="10">
        <v>44539</v>
      </c>
      <c r="C839" s="11">
        <v>41.56</v>
      </c>
      <c r="D839" s="11">
        <v>42.89</v>
      </c>
      <c r="E839" s="11">
        <v>42.89</v>
      </c>
      <c r="F839" s="11">
        <v>41.2</v>
      </c>
      <c r="G839" s="11">
        <v>0.24</v>
      </c>
      <c r="H839" s="11">
        <v>5956165</v>
      </c>
      <c r="I839" s="11">
        <v>233031147.72</v>
      </c>
      <c r="J839" s="11">
        <v>69402935</v>
      </c>
      <c r="K839" s="11">
        <v>2894176829.54</v>
      </c>
      <c r="L839" s="6">
        <f t="shared" si="27"/>
        <v>39.1243606783895</v>
      </c>
    </row>
    <row r="840" spans="1:12">
      <c r="A840">
        <f t="shared" si="26"/>
        <v>2021</v>
      </c>
      <c r="B840" s="10">
        <v>44538</v>
      </c>
      <c r="C840" s="11">
        <v>41.46</v>
      </c>
      <c r="D840" s="11">
        <v>42.42</v>
      </c>
      <c r="E840" s="11">
        <v>42.42</v>
      </c>
      <c r="F840" s="11">
        <v>40.91</v>
      </c>
      <c r="G840" s="11">
        <v>-1.59</v>
      </c>
      <c r="H840" s="11">
        <v>4347077</v>
      </c>
      <c r="I840" s="11">
        <v>168339732.39</v>
      </c>
      <c r="J840" s="11">
        <v>63446770</v>
      </c>
      <c r="K840" s="11">
        <v>2661145681.82</v>
      </c>
      <c r="L840" s="6">
        <f t="shared" si="27"/>
        <v>38.7248103472747</v>
      </c>
    </row>
    <row r="841" spans="1:12">
      <c r="A841">
        <f t="shared" si="26"/>
        <v>2021</v>
      </c>
      <c r="B841" s="10">
        <v>44537</v>
      </c>
      <c r="C841" s="11">
        <v>42.13</v>
      </c>
      <c r="D841" s="11">
        <v>42.5</v>
      </c>
      <c r="E841" s="11">
        <v>42.6</v>
      </c>
      <c r="F841" s="11">
        <v>40.4</v>
      </c>
      <c r="G841" s="11">
        <v>-1.54</v>
      </c>
      <c r="H841" s="11">
        <v>4409463</v>
      </c>
      <c r="I841" s="11">
        <v>171198432.91</v>
      </c>
      <c r="J841" s="11">
        <v>59099693</v>
      </c>
      <c r="K841" s="11">
        <v>2492805949.43</v>
      </c>
      <c r="L841" s="6">
        <f t="shared" si="27"/>
        <v>38.8252340273634</v>
      </c>
    </row>
    <row r="842" spans="1:12">
      <c r="A842">
        <f t="shared" si="26"/>
        <v>2021</v>
      </c>
      <c r="B842" s="10">
        <v>44536</v>
      </c>
      <c r="C842" s="11">
        <v>42.79</v>
      </c>
      <c r="D842" s="11">
        <v>42.89</v>
      </c>
      <c r="E842" s="11">
        <v>42.92</v>
      </c>
      <c r="F842" s="11">
        <v>42.5</v>
      </c>
      <c r="G842" s="11">
        <v>-0.35</v>
      </c>
      <c r="H842" s="11">
        <v>3293132</v>
      </c>
      <c r="I842" s="11">
        <v>137535889.58</v>
      </c>
      <c r="J842" s="11">
        <v>54690230</v>
      </c>
      <c r="K842" s="11">
        <v>2321607516.52</v>
      </c>
      <c r="L842" s="6">
        <f t="shared" si="27"/>
        <v>41.7644630036087</v>
      </c>
    </row>
    <row r="843" spans="1:12">
      <c r="A843">
        <f t="shared" si="26"/>
        <v>2021</v>
      </c>
      <c r="B843" s="10">
        <v>44533</v>
      </c>
      <c r="C843" s="11">
        <v>42.94</v>
      </c>
      <c r="D843" s="11">
        <v>43</v>
      </c>
      <c r="E843" s="11">
        <v>43</v>
      </c>
      <c r="F843" s="11">
        <v>42.85</v>
      </c>
      <c r="G843" s="11">
        <v>0.14</v>
      </c>
      <c r="H843" s="11">
        <v>2926530</v>
      </c>
      <c r="I843" s="11">
        <v>119680038.44</v>
      </c>
      <c r="J843" s="11">
        <v>51397098</v>
      </c>
      <c r="K843" s="11">
        <v>2184071626.94</v>
      </c>
      <c r="L843" s="6">
        <f t="shared" si="27"/>
        <v>40.8948612999012</v>
      </c>
    </row>
    <row r="844" spans="1:12">
      <c r="A844">
        <f t="shared" si="26"/>
        <v>2021</v>
      </c>
      <c r="B844" s="10">
        <v>44532</v>
      </c>
      <c r="C844" s="11">
        <v>42.88</v>
      </c>
      <c r="D844" s="11">
        <v>42.97</v>
      </c>
      <c r="E844" s="11">
        <v>43</v>
      </c>
      <c r="F844" s="11">
        <v>40</v>
      </c>
      <c r="G844" s="11">
        <v>-0.21</v>
      </c>
      <c r="H844" s="11">
        <v>2671136</v>
      </c>
      <c r="I844" s="11">
        <v>108831516.01</v>
      </c>
      <c r="J844" s="11">
        <v>48470568</v>
      </c>
      <c r="K844" s="11">
        <v>2064391588.5</v>
      </c>
      <c r="L844" s="6">
        <f t="shared" si="27"/>
        <v>40.7435323435422</v>
      </c>
    </row>
    <row r="845" spans="1:12">
      <c r="A845">
        <f t="shared" si="26"/>
        <v>2021</v>
      </c>
      <c r="B845" s="10">
        <v>44531</v>
      </c>
      <c r="C845" s="11">
        <v>42.97</v>
      </c>
      <c r="D845" s="11">
        <v>42.95</v>
      </c>
      <c r="E845" s="11">
        <v>42.99</v>
      </c>
      <c r="F845" s="11">
        <v>42.95</v>
      </c>
      <c r="G845" s="11">
        <v>0.05</v>
      </c>
      <c r="H845" s="11">
        <v>2567722</v>
      </c>
      <c r="I845" s="11">
        <v>108434372.85</v>
      </c>
      <c r="J845" s="11">
        <v>45799432</v>
      </c>
      <c r="K845" s="11">
        <v>1955560072.49</v>
      </c>
      <c r="L845" s="6">
        <f t="shared" si="27"/>
        <v>42.2297946779285</v>
      </c>
    </row>
    <row r="846" spans="1:12">
      <c r="A846">
        <f t="shared" si="26"/>
        <v>2021</v>
      </c>
      <c r="B846" s="10">
        <v>44530</v>
      </c>
      <c r="C846" s="11">
        <v>42.95</v>
      </c>
      <c r="D846" s="11">
        <v>42.98</v>
      </c>
      <c r="E846" s="11">
        <v>43</v>
      </c>
      <c r="F846" s="11">
        <v>42.9</v>
      </c>
      <c r="G846" s="11">
        <v>0.07</v>
      </c>
      <c r="H846" s="11">
        <v>3030367</v>
      </c>
      <c r="I846" s="11">
        <v>127115848.78</v>
      </c>
      <c r="J846" s="11">
        <v>43231710</v>
      </c>
      <c r="K846" s="11">
        <v>1847125699.64</v>
      </c>
      <c r="L846" s="6">
        <f t="shared" si="27"/>
        <v>41.9473445889557</v>
      </c>
    </row>
    <row r="847" spans="1:12">
      <c r="A847">
        <f t="shared" si="26"/>
        <v>2021</v>
      </c>
      <c r="B847" s="10">
        <v>44529</v>
      </c>
      <c r="C847" s="11">
        <v>42.92</v>
      </c>
      <c r="D847" s="11">
        <v>43.2</v>
      </c>
      <c r="E847" s="11">
        <v>43.2</v>
      </c>
      <c r="F847" s="11">
        <v>42.87</v>
      </c>
      <c r="G847" s="11">
        <v>0.16</v>
      </c>
      <c r="H847" s="11">
        <v>2973131</v>
      </c>
      <c r="I847" s="11">
        <v>123492128.92</v>
      </c>
      <c r="J847" s="11">
        <v>40201343</v>
      </c>
      <c r="K847" s="11">
        <v>1720009850.86</v>
      </c>
      <c r="L847" s="6">
        <f t="shared" si="27"/>
        <v>41.5360537157629</v>
      </c>
    </row>
    <row r="848" spans="1:12">
      <c r="A848">
        <f t="shared" si="26"/>
        <v>2021</v>
      </c>
      <c r="B848" s="10">
        <v>44526</v>
      </c>
      <c r="C848" s="11">
        <v>42.85</v>
      </c>
      <c r="D848" s="11">
        <v>42.8</v>
      </c>
      <c r="E848" s="11">
        <v>42.9</v>
      </c>
      <c r="F848" s="11">
        <v>42.79</v>
      </c>
      <c r="G848" s="11">
        <v>-0.26</v>
      </c>
      <c r="H848" s="11">
        <v>4105442</v>
      </c>
      <c r="I848" s="11">
        <v>173935852.92</v>
      </c>
      <c r="J848" s="11">
        <v>37228212</v>
      </c>
      <c r="K848" s="11">
        <v>1596517721.94</v>
      </c>
      <c r="L848" s="6">
        <f t="shared" si="27"/>
        <v>42.367144127234</v>
      </c>
    </row>
    <row r="849" spans="1:12">
      <c r="A849">
        <f t="shared" si="26"/>
        <v>2021</v>
      </c>
      <c r="B849" s="10">
        <v>44525</v>
      </c>
      <c r="C849" s="11">
        <v>42.96</v>
      </c>
      <c r="D849" s="11">
        <v>42.96</v>
      </c>
      <c r="E849" s="11">
        <v>43</v>
      </c>
      <c r="F849" s="11">
        <v>42.9</v>
      </c>
      <c r="G849" s="11">
        <v>0</v>
      </c>
      <c r="H849" s="11">
        <v>747994</v>
      </c>
      <c r="I849" s="11">
        <v>31589631.35</v>
      </c>
      <c r="J849" s="11">
        <v>33122770</v>
      </c>
      <c r="K849" s="11">
        <v>1422581869.02</v>
      </c>
      <c r="L849" s="6">
        <f t="shared" si="27"/>
        <v>42.2324662363602</v>
      </c>
    </row>
    <row r="850" spans="1:12">
      <c r="A850">
        <f t="shared" si="26"/>
        <v>2021</v>
      </c>
      <c r="B850" s="10">
        <v>44524</v>
      </c>
      <c r="C850" s="11">
        <v>42.96</v>
      </c>
      <c r="D850" s="11">
        <v>43</v>
      </c>
      <c r="E850" s="11">
        <v>43</v>
      </c>
      <c r="F850" s="11">
        <v>42.88</v>
      </c>
      <c r="G850" s="11">
        <v>-0.23</v>
      </c>
      <c r="H850" s="11">
        <v>1901228</v>
      </c>
      <c r="I850" s="11">
        <v>79652865.26</v>
      </c>
      <c r="J850" s="11">
        <v>32374776</v>
      </c>
      <c r="K850" s="11">
        <v>1390992237.67</v>
      </c>
      <c r="L850" s="6">
        <f t="shared" si="27"/>
        <v>41.895482951019</v>
      </c>
    </row>
    <row r="851" spans="1:12">
      <c r="A851">
        <f t="shared" si="26"/>
        <v>2021</v>
      </c>
      <c r="B851" s="10">
        <v>44523</v>
      </c>
      <c r="C851" s="11">
        <v>43.06</v>
      </c>
      <c r="D851" s="11">
        <v>43.5</v>
      </c>
      <c r="E851" s="11">
        <v>43.5</v>
      </c>
      <c r="F851" s="11">
        <v>42.98</v>
      </c>
      <c r="G851" s="11">
        <v>0.02</v>
      </c>
      <c r="H851" s="11">
        <v>178974</v>
      </c>
      <c r="I851" s="11">
        <v>7706348.8</v>
      </c>
      <c r="J851" s="11">
        <v>30473548</v>
      </c>
      <c r="K851" s="11">
        <v>1311339372.41</v>
      </c>
      <c r="L851" s="6">
        <f t="shared" si="27"/>
        <v>43.0584822376435</v>
      </c>
    </row>
    <row r="852" spans="1:12">
      <c r="A852">
        <f t="shared" si="26"/>
        <v>2021</v>
      </c>
      <c r="B852" s="10">
        <v>44522</v>
      </c>
      <c r="C852" s="11">
        <v>43.05</v>
      </c>
      <c r="D852" s="11">
        <v>43.1</v>
      </c>
      <c r="E852" s="11">
        <v>43.1</v>
      </c>
      <c r="F852" s="11">
        <v>42.85</v>
      </c>
      <c r="G852" s="11">
        <v>0</v>
      </c>
      <c r="H852" s="11">
        <v>197816</v>
      </c>
      <c r="I852" s="11">
        <v>8515376.35</v>
      </c>
      <c r="J852" s="11">
        <v>30294574</v>
      </c>
      <c r="K852" s="11">
        <v>1303633023.61</v>
      </c>
      <c r="L852" s="6">
        <f t="shared" si="27"/>
        <v>43.0469544930643</v>
      </c>
    </row>
    <row r="853" spans="1:12">
      <c r="A853">
        <f t="shared" si="26"/>
        <v>2021</v>
      </c>
      <c r="B853" s="10">
        <v>44519</v>
      </c>
      <c r="C853" s="11">
        <v>43.05</v>
      </c>
      <c r="D853" s="11">
        <v>43.5</v>
      </c>
      <c r="E853" s="11">
        <v>43.5</v>
      </c>
      <c r="F853" s="11">
        <v>43</v>
      </c>
      <c r="G853" s="11">
        <v>-0.25</v>
      </c>
      <c r="H853" s="11">
        <v>1319778</v>
      </c>
      <c r="I853" s="11">
        <v>40806800.99</v>
      </c>
      <c r="J853" s="11">
        <v>30096758</v>
      </c>
      <c r="K853" s="11">
        <v>1295117647.26</v>
      </c>
      <c r="L853" s="6">
        <f t="shared" si="27"/>
        <v>30.9194432624275</v>
      </c>
    </row>
    <row r="854" spans="1:12">
      <c r="A854">
        <f t="shared" si="26"/>
        <v>2021</v>
      </c>
      <c r="B854" s="10">
        <v>44518</v>
      </c>
      <c r="C854" s="11">
        <v>43.16</v>
      </c>
      <c r="D854" s="11">
        <v>43.12</v>
      </c>
      <c r="E854" s="11">
        <v>43.5</v>
      </c>
      <c r="F854" s="11">
        <v>42.95</v>
      </c>
      <c r="G854" s="11">
        <v>0.09</v>
      </c>
      <c r="H854" s="11">
        <v>1360446</v>
      </c>
      <c r="I854" s="11">
        <v>44674631.64</v>
      </c>
      <c r="J854" s="11">
        <v>28776980</v>
      </c>
      <c r="K854" s="11">
        <v>1254310846.27</v>
      </c>
      <c r="L854" s="6">
        <f t="shared" si="27"/>
        <v>32.8382248468517</v>
      </c>
    </row>
    <row r="855" spans="1:12">
      <c r="A855">
        <f t="shared" si="26"/>
        <v>2021</v>
      </c>
      <c r="B855" s="10">
        <v>44517</v>
      </c>
      <c r="C855" s="11">
        <v>43.12</v>
      </c>
      <c r="D855" s="11">
        <v>46</v>
      </c>
      <c r="E855" s="11">
        <v>46</v>
      </c>
      <c r="F855" s="11">
        <v>42.95</v>
      </c>
      <c r="G855" s="11">
        <v>-0.09</v>
      </c>
      <c r="H855" s="11">
        <v>386406</v>
      </c>
      <c r="I855" s="11">
        <v>16236164.92</v>
      </c>
      <c r="J855" s="11">
        <v>27416534</v>
      </c>
      <c r="K855" s="11">
        <v>1209636214.63</v>
      </c>
      <c r="L855" s="6">
        <f t="shared" si="27"/>
        <v>42.018407892217</v>
      </c>
    </row>
    <row r="856" spans="1:12">
      <c r="A856">
        <f t="shared" si="26"/>
        <v>2021</v>
      </c>
      <c r="B856" s="10">
        <v>44516</v>
      </c>
      <c r="C856" s="11">
        <v>43.16</v>
      </c>
      <c r="D856" s="11">
        <v>42.93</v>
      </c>
      <c r="E856" s="11">
        <v>43.4</v>
      </c>
      <c r="F856" s="11">
        <v>42.93</v>
      </c>
      <c r="G856" s="11">
        <v>0.54</v>
      </c>
      <c r="H856" s="11">
        <v>1789500</v>
      </c>
      <c r="I856" s="11">
        <v>74115495</v>
      </c>
      <c r="J856" s="11">
        <v>27030128</v>
      </c>
      <c r="K856" s="11">
        <v>1193400049.71</v>
      </c>
      <c r="L856" s="6">
        <f t="shared" si="27"/>
        <v>41.4168734283319</v>
      </c>
    </row>
    <row r="857" spans="1:12">
      <c r="A857">
        <f t="shared" si="26"/>
        <v>2021</v>
      </c>
      <c r="B857" s="10">
        <v>44515</v>
      </c>
      <c r="C857" s="11">
        <v>42.93</v>
      </c>
      <c r="D857" s="11">
        <v>42.66</v>
      </c>
      <c r="E857" s="11">
        <v>43.2</v>
      </c>
      <c r="F857" s="11">
        <v>42.66</v>
      </c>
      <c r="G857" s="11">
        <v>0.63</v>
      </c>
      <c r="H857" s="11">
        <v>326470</v>
      </c>
      <c r="I857" s="11">
        <v>13436240</v>
      </c>
      <c r="J857" s="11">
        <v>25240628</v>
      </c>
      <c r="K857" s="11">
        <v>1119284554.71</v>
      </c>
      <c r="L857" s="6">
        <f t="shared" si="27"/>
        <v>41.1561246056299</v>
      </c>
    </row>
    <row r="858" spans="1:12">
      <c r="A858">
        <f t="shared" si="26"/>
        <v>2021</v>
      </c>
      <c r="B858" s="10">
        <v>44512</v>
      </c>
      <c r="C858" s="11">
        <v>42.66</v>
      </c>
      <c r="D858" s="11">
        <v>42.6</v>
      </c>
      <c r="E858" s="11">
        <v>42.82</v>
      </c>
      <c r="F858" s="11">
        <v>42.5</v>
      </c>
      <c r="G858" s="11">
        <v>0.4</v>
      </c>
      <c r="H858" s="11">
        <v>1449859</v>
      </c>
      <c r="I858" s="11">
        <v>60672261.3</v>
      </c>
      <c r="J858" s="11">
        <v>24914158</v>
      </c>
      <c r="K858" s="11">
        <v>1105848314.71</v>
      </c>
      <c r="L858" s="6">
        <f t="shared" si="27"/>
        <v>41.8470080883727</v>
      </c>
    </row>
    <row r="859" spans="1:12">
      <c r="A859">
        <f t="shared" si="26"/>
        <v>2021</v>
      </c>
      <c r="B859" s="10">
        <v>44511</v>
      </c>
      <c r="C859" s="11">
        <v>42.49</v>
      </c>
      <c r="D859" s="11">
        <v>42.5</v>
      </c>
      <c r="E859" s="11">
        <v>42.74</v>
      </c>
      <c r="F859" s="11">
        <v>42.4</v>
      </c>
      <c r="G859" s="11">
        <v>-0.58</v>
      </c>
      <c r="H859" s="11">
        <v>23884</v>
      </c>
      <c r="I859" s="11">
        <v>1014944.28</v>
      </c>
      <c r="J859" s="11">
        <v>23464299</v>
      </c>
      <c r="K859" s="11">
        <v>1045176053.41</v>
      </c>
      <c r="L859" s="6">
        <f t="shared" si="27"/>
        <v>42.4947362250879</v>
      </c>
    </row>
    <row r="860" spans="1:12">
      <c r="A860">
        <f t="shared" si="26"/>
        <v>2021</v>
      </c>
      <c r="B860" s="10">
        <v>44510</v>
      </c>
      <c r="C860" s="11">
        <v>42.74</v>
      </c>
      <c r="D860" s="11">
        <v>42.73</v>
      </c>
      <c r="E860" s="11">
        <v>42.8</v>
      </c>
      <c r="F860" s="11">
        <v>42.7</v>
      </c>
      <c r="G860" s="11">
        <v>0.02</v>
      </c>
      <c r="H860" s="11">
        <v>1209236</v>
      </c>
      <c r="I860" s="11">
        <v>51507851.23</v>
      </c>
      <c r="J860" s="11">
        <v>23440415</v>
      </c>
      <c r="K860" s="11">
        <v>1044161109.13</v>
      </c>
      <c r="L860" s="6">
        <f t="shared" si="27"/>
        <v>42.5953670168602</v>
      </c>
    </row>
    <row r="861" spans="1:12">
      <c r="A861">
        <f t="shared" si="26"/>
        <v>2021</v>
      </c>
      <c r="B861" s="10">
        <v>44509</v>
      </c>
      <c r="C861" s="11">
        <v>42.73</v>
      </c>
      <c r="D861" s="11">
        <v>42.58</v>
      </c>
      <c r="E861" s="11">
        <v>43</v>
      </c>
      <c r="F861" s="11">
        <v>42.5</v>
      </c>
      <c r="G861" s="11">
        <v>0.35</v>
      </c>
      <c r="H861" s="11">
        <v>28534</v>
      </c>
      <c r="I861" s="11">
        <v>1219152</v>
      </c>
      <c r="J861" s="11">
        <v>22231179</v>
      </c>
      <c r="K861" s="11">
        <v>992653257.9</v>
      </c>
      <c r="L861" s="6">
        <f t="shared" si="27"/>
        <v>42.7262914417887</v>
      </c>
    </row>
    <row r="862" spans="1:12">
      <c r="A862">
        <f t="shared" si="26"/>
        <v>2021</v>
      </c>
      <c r="B862" s="10">
        <v>44508</v>
      </c>
      <c r="C862" s="11">
        <v>42.58</v>
      </c>
      <c r="D862" s="11">
        <v>42.69</v>
      </c>
      <c r="E862" s="11">
        <v>42.8</v>
      </c>
      <c r="F862" s="11">
        <v>42.5</v>
      </c>
      <c r="G862" s="11">
        <v>-0.26</v>
      </c>
      <c r="H862" s="11">
        <v>28499</v>
      </c>
      <c r="I862" s="11">
        <v>1213568.5</v>
      </c>
      <c r="J862" s="11">
        <v>22202645</v>
      </c>
      <c r="K862" s="11">
        <v>991434105.9</v>
      </c>
      <c r="L862" s="6">
        <f t="shared" si="27"/>
        <v>42.5828450121057</v>
      </c>
    </row>
    <row r="863" spans="1:12">
      <c r="A863">
        <f t="shared" si="26"/>
        <v>2021</v>
      </c>
      <c r="B863" s="10">
        <v>44505</v>
      </c>
      <c r="C863" s="11">
        <v>42.69</v>
      </c>
      <c r="D863" s="11">
        <v>43</v>
      </c>
      <c r="E863" s="11">
        <v>43</v>
      </c>
      <c r="F863" s="11">
        <v>42.2</v>
      </c>
      <c r="G863" s="11">
        <v>0.85</v>
      </c>
      <c r="H863" s="11">
        <v>33010</v>
      </c>
      <c r="I863" s="11">
        <v>1409087.05</v>
      </c>
      <c r="J863" s="11">
        <v>22174146</v>
      </c>
      <c r="K863" s="11">
        <v>990220537.4</v>
      </c>
      <c r="L863" s="6">
        <f t="shared" si="27"/>
        <v>42.6866722205392</v>
      </c>
    </row>
    <row r="864" spans="1:12">
      <c r="A864">
        <f t="shared" si="26"/>
        <v>2021</v>
      </c>
      <c r="B864" s="10">
        <v>44504</v>
      </c>
      <c r="C864" s="11">
        <v>42.33</v>
      </c>
      <c r="D864" s="11">
        <v>42.4</v>
      </c>
      <c r="E864" s="11">
        <v>42.4</v>
      </c>
      <c r="F864" s="11">
        <v>42</v>
      </c>
      <c r="G864" s="11">
        <v>-0.17</v>
      </c>
      <c r="H864" s="11">
        <v>13400</v>
      </c>
      <c r="I864" s="11">
        <v>567282</v>
      </c>
      <c r="J864" s="11">
        <v>22141136</v>
      </c>
      <c r="K864" s="11">
        <v>988811450.35</v>
      </c>
      <c r="L864" s="6">
        <f t="shared" si="27"/>
        <v>42.3344776119403</v>
      </c>
    </row>
    <row r="865" spans="1:12">
      <c r="A865">
        <f t="shared" si="26"/>
        <v>2021</v>
      </c>
      <c r="B865" s="10">
        <v>44503</v>
      </c>
      <c r="C865" s="11">
        <v>42.4</v>
      </c>
      <c r="D865" s="11">
        <v>42.43</v>
      </c>
      <c r="E865" s="11">
        <v>42.43</v>
      </c>
      <c r="F865" s="11">
        <v>42.39</v>
      </c>
      <c r="G865" s="11">
        <v>-0.07</v>
      </c>
      <c r="H865" s="11">
        <v>7735</v>
      </c>
      <c r="I865" s="11">
        <v>327962.05</v>
      </c>
      <c r="J865" s="11">
        <v>22127736</v>
      </c>
      <c r="K865" s="11">
        <v>988244168.35</v>
      </c>
      <c r="L865" s="6">
        <f t="shared" si="27"/>
        <v>42.3997478991597</v>
      </c>
    </row>
    <row r="866" spans="1:12">
      <c r="A866">
        <f t="shared" si="26"/>
        <v>2021</v>
      </c>
      <c r="B866" s="10">
        <v>44502</v>
      </c>
      <c r="C866" s="11">
        <v>42.43</v>
      </c>
      <c r="D866" s="11">
        <v>42.45</v>
      </c>
      <c r="E866" s="11">
        <v>42.45</v>
      </c>
      <c r="F866" s="11">
        <v>42.4</v>
      </c>
      <c r="G866" s="11">
        <v>-0.05</v>
      </c>
      <c r="H866" s="11">
        <v>398500</v>
      </c>
      <c r="I866" s="11">
        <v>16450975</v>
      </c>
      <c r="J866" s="11">
        <v>22120001</v>
      </c>
      <c r="K866" s="11">
        <v>987916206.3</v>
      </c>
      <c r="L866" s="6">
        <f t="shared" si="27"/>
        <v>41.2822459222083</v>
      </c>
    </row>
    <row r="867" spans="1:12">
      <c r="A867">
        <f t="shared" si="26"/>
        <v>2021</v>
      </c>
      <c r="B867" s="10">
        <v>44501</v>
      </c>
      <c r="C867" s="11">
        <v>42.45</v>
      </c>
      <c r="D867" s="11">
        <v>42.41</v>
      </c>
      <c r="E867" s="11">
        <v>42.54</v>
      </c>
      <c r="F867" s="11">
        <v>42.3</v>
      </c>
      <c r="G867" s="11">
        <v>0.09</v>
      </c>
      <c r="H867" s="11">
        <v>1519536</v>
      </c>
      <c r="I867" s="11">
        <v>63310198.7</v>
      </c>
      <c r="J867" s="11">
        <v>21721501</v>
      </c>
      <c r="K867" s="11">
        <v>971465231.3</v>
      </c>
      <c r="L867" s="6">
        <f t="shared" si="27"/>
        <v>41.6641650477514</v>
      </c>
    </row>
    <row r="868" spans="1:12">
      <c r="A868">
        <f t="shared" si="26"/>
        <v>2021</v>
      </c>
      <c r="B868" s="10">
        <v>44498</v>
      </c>
      <c r="C868" s="11">
        <v>42.41</v>
      </c>
      <c r="D868" s="11">
        <v>42.5</v>
      </c>
      <c r="E868" s="11">
        <v>42.6</v>
      </c>
      <c r="F868" s="11">
        <v>42.2</v>
      </c>
      <c r="G868" s="11">
        <v>-0.84</v>
      </c>
      <c r="H868" s="11">
        <v>676823</v>
      </c>
      <c r="I868" s="11">
        <v>28005104.2</v>
      </c>
      <c r="J868" s="11">
        <v>20201965</v>
      </c>
      <c r="K868" s="11">
        <v>908155032.6</v>
      </c>
      <c r="L868" s="6">
        <f t="shared" si="27"/>
        <v>41.3772939158391</v>
      </c>
    </row>
    <row r="869" spans="1:12">
      <c r="A869">
        <f t="shared" si="26"/>
        <v>2021</v>
      </c>
      <c r="B869" s="10">
        <v>44497</v>
      </c>
      <c r="C869" s="11">
        <v>42.77</v>
      </c>
      <c r="D869" s="11">
        <v>42.61</v>
      </c>
      <c r="E869" s="11">
        <v>42.8</v>
      </c>
      <c r="F869" s="11">
        <v>42.61</v>
      </c>
      <c r="G869" s="11">
        <v>0.38</v>
      </c>
      <c r="H869" s="11">
        <v>3500</v>
      </c>
      <c r="I869" s="11">
        <v>149705</v>
      </c>
      <c r="J869" s="11">
        <v>19525142</v>
      </c>
      <c r="K869" s="11">
        <v>880149928.4</v>
      </c>
      <c r="L869" s="6">
        <f t="shared" si="27"/>
        <v>42.7728571428571</v>
      </c>
    </row>
    <row r="870" spans="1:12">
      <c r="A870">
        <f t="shared" si="26"/>
        <v>2021</v>
      </c>
      <c r="B870" s="10">
        <v>44496</v>
      </c>
      <c r="C870" s="11">
        <v>42.61</v>
      </c>
      <c r="D870" s="11">
        <v>38.5</v>
      </c>
      <c r="E870" s="11">
        <v>42.75</v>
      </c>
      <c r="F870" s="11">
        <v>38.5</v>
      </c>
      <c r="G870" s="11">
        <v>-0.09</v>
      </c>
      <c r="H870" s="11">
        <v>310635</v>
      </c>
      <c r="I870" s="11">
        <v>13003171.25</v>
      </c>
      <c r="J870" s="11">
        <v>19521642</v>
      </c>
      <c r="K870" s="11">
        <v>880000223.4</v>
      </c>
      <c r="L870" s="6">
        <f t="shared" si="27"/>
        <v>41.8599682907592</v>
      </c>
    </row>
    <row r="871" spans="1:12">
      <c r="A871">
        <f t="shared" si="26"/>
        <v>2021</v>
      </c>
      <c r="B871" s="10">
        <v>44495</v>
      </c>
      <c r="C871" s="11">
        <v>42.65</v>
      </c>
      <c r="D871" s="11">
        <v>43</v>
      </c>
      <c r="E871" s="11">
        <v>43</v>
      </c>
      <c r="F871" s="11">
        <v>42.4</v>
      </c>
      <c r="G871" s="11">
        <v>-1.36</v>
      </c>
      <c r="H871" s="11">
        <v>87882</v>
      </c>
      <c r="I871" s="11">
        <v>3748485</v>
      </c>
      <c r="J871" s="11">
        <v>19211007</v>
      </c>
      <c r="K871" s="11">
        <v>866997052.15</v>
      </c>
      <c r="L871" s="6">
        <f t="shared" si="27"/>
        <v>42.6536150747593</v>
      </c>
    </row>
    <row r="872" spans="1:12">
      <c r="A872">
        <f t="shared" si="26"/>
        <v>2021</v>
      </c>
      <c r="B872" s="10">
        <v>44494</v>
      </c>
      <c r="C872" s="11">
        <v>43.24</v>
      </c>
      <c r="D872" s="11">
        <v>46</v>
      </c>
      <c r="E872" s="11">
        <v>46</v>
      </c>
      <c r="F872" s="11">
        <v>42.16</v>
      </c>
      <c r="G872" s="11">
        <v>0.58</v>
      </c>
      <c r="H872" s="11">
        <v>12501</v>
      </c>
      <c r="I872" s="11">
        <v>540537.16</v>
      </c>
      <c r="J872" s="11">
        <v>19123125</v>
      </c>
      <c r="K872" s="11">
        <v>863248567.15</v>
      </c>
      <c r="L872" s="6">
        <f t="shared" si="27"/>
        <v>43.2395136389089</v>
      </c>
    </row>
    <row r="873" spans="1:12">
      <c r="A873">
        <f t="shared" si="26"/>
        <v>2021</v>
      </c>
      <c r="B873" s="10">
        <v>44491</v>
      </c>
      <c r="C873" s="11">
        <v>42.99</v>
      </c>
      <c r="D873" s="11">
        <v>44.5</v>
      </c>
      <c r="E873" s="11">
        <v>44.5</v>
      </c>
      <c r="F873" s="11">
        <v>42.5</v>
      </c>
      <c r="G873" s="11">
        <v>-0.09</v>
      </c>
      <c r="H873" s="11">
        <v>30760</v>
      </c>
      <c r="I873" s="11">
        <v>1322513.8</v>
      </c>
      <c r="J873" s="11">
        <v>19110624</v>
      </c>
      <c r="K873" s="11">
        <v>862708029.99</v>
      </c>
      <c r="L873" s="6">
        <f t="shared" si="27"/>
        <v>42.9945968790637</v>
      </c>
    </row>
    <row r="874" spans="1:12">
      <c r="A874">
        <f t="shared" si="26"/>
        <v>2021</v>
      </c>
      <c r="B874" s="10">
        <v>44490</v>
      </c>
      <c r="C874" s="11">
        <v>43.03</v>
      </c>
      <c r="D874" s="11">
        <v>45</v>
      </c>
      <c r="E874" s="11">
        <v>45</v>
      </c>
      <c r="F874" s="11">
        <v>42.8</v>
      </c>
      <c r="G874" s="11">
        <v>-0.49</v>
      </c>
      <c r="H874" s="11">
        <v>200200</v>
      </c>
      <c r="I874" s="11">
        <v>8431130</v>
      </c>
      <c r="J874" s="11">
        <v>19079864</v>
      </c>
      <c r="K874" s="11">
        <v>861385516.19</v>
      </c>
      <c r="L874" s="6">
        <f t="shared" si="27"/>
        <v>42.1135364635365</v>
      </c>
    </row>
    <row r="875" spans="1:12">
      <c r="A875">
        <f t="shared" si="26"/>
        <v>2021</v>
      </c>
      <c r="B875" s="10">
        <v>44489</v>
      </c>
      <c r="C875" s="11">
        <v>43.24</v>
      </c>
      <c r="D875" s="11">
        <v>43.5</v>
      </c>
      <c r="E875" s="11">
        <v>43.5</v>
      </c>
      <c r="F875" s="11">
        <v>41.5</v>
      </c>
      <c r="G875" s="11">
        <v>-0.44</v>
      </c>
      <c r="H875" s="11">
        <v>102860</v>
      </c>
      <c r="I875" s="11">
        <v>4273662</v>
      </c>
      <c r="J875" s="11">
        <v>18879664</v>
      </c>
      <c r="K875" s="11">
        <v>852954386.19</v>
      </c>
      <c r="L875" s="6">
        <f t="shared" si="27"/>
        <v>41.5483375461793</v>
      </c>
    </row>
    <row r="876" spans="1:12">
      <c r="A876">
        <f t="shared" si="26"/>
        <v>2021</v>
      </c>
      <c r="B876" s="10">
        <v>44488</v>
      </c>
      <c r="C876" s="11">
        <v>43.43</v>
      </c>
      <c r="D876" s="11">
        <v>43.43</v>
      </c>
      <c r="E876" s="11">
        <v>43.44</v>
      </c>
      <c r="F876" s="11">
        <v>43.43</v>
      </c>
      <c r="G876" s="11">
        <v>-0.02</v>
      </c>
      <c r="H876" s="11">
        <v>102028</v>
      </c>
      <c r="I876" s="11">
        <v>4088076.32</v>
      </c>
      <c r="J876" s="11">
        <v>18776804</v>
      </c>
      <c r="K876" s="11">
        <v>848680724.19</v>
      </c>
      <c r="L876" s="6">
        <f t="shared" si="27"/>
        <v>40.0681804994707</v>
      </c>
    </row>
    <row r="877" spans="1:12">
      <c r="A877">
        <f t="shared" si="26"/>
        <v>2021</v>
      </c>
      <c r="B877" s="10">
        <v>44487</v>
      </c>
      <c r="C877" s="11">
        <v>43.44</v>
      </c>
      <c r="D877" s="11">
        <v>45.7</v>
      </c>
      <c r="E877" s="11">
        <v>45.7</v>
      </c>
      <c r="F877" s="11">
        <v>43.1</v>
      </c>
      <c r="G877" s="11">
        <v>-1.05</v>
      </c>
      <c r="H877" s="11">
        <v>524688</v>
      </c>
      <c r="I877" s="11">
        <v>21783629.78</v>
      </c>
      <c r="J877" s="11">
        <v>18674776</v>
      </c>
      <c r="K877" s="11">
        <v>844592647.87</v>
      </c>
      <c r="L877" s="6">
        <f t="shared" si="27"/>
        <v>41.5173012914342</v>
      </c>
    </row>
    <row r="878" spans="1:12">
      <c r="A878">
        <f t="shared" si="26"/>
        <v>2021</v>
      </c>
      <c r="B878" s="10">
        <v>44484</v>
      </c>
      <c r="C878" s="11">
        <v>43.9</v>
      </c>
      <c r="D878" s="11">
        <v>43.96</v>
      </c>
      <c r="E878" s="11">
        <v>44</v>
      </c>
      <c r="F878" s="11">
        <v>43.8</v>
      </c>
      <c r="G878" s="11">
        <v>-0.14</v>
      </c>
      <c r="H878" s="11">
        <v>8200</v>
      </c>
      <c r="I878" s="11">
        <v>359968</v>
      </c>
      <c r="J878" s="11">
        <v>18150088</v>
      </c>
      <c r="K878" s="11">
        <v>822809018.09</v>
      </c>
      <c r="L878" s="6">
        <f t="shared" si="27"/>
        <v>43.8985365853659</v>
      </c>
    </row>
    <row r="879" spans="1:12">
      <c r="A879">
        <f t="shared" si="26"/>
        <v>2021</v>
      </c>
      <c r="B879" s="10">
        <v>44483</v>
      </c>
      <c r="C879" s="11">
        <v>43.96</v>
      </c>
      <c r="D879" s="11">
        <v>44</v>
      </c>
      <c r="E879" s="11">
        <v>44</v>
      </c>
      <c r="F879" s="11">
        <v>43.8</v>
      </c>
      <c r="G879" s="11">
        <v>-1.61</v>
      </c>
      <c r="H879" s="11">
        <v>3482</v>
      </c>
      <c r="I879" s="11">
        <v>153055</v>
      </c>
      <c r="J879" s="11">
        <v>18141888</v>
      </c>
      <c r="K879" s="11">
        <v>822449050.09</v>
      </c>
      <c r="L879" s="6">
        <f t="shared" si="27"/>
        <v>43.956059735784</v>
      </c>
    </row>
    <row r="880" spans="1:12">
      <c r="A880">
        <f t="shared" si="26"/>
        <v>2021</v>
      </c>
      <c r="B880" s="10">
        <v>44482</v>
      </c>
      <c r="C880" s="11">
        <v>44.68</v>
      </c>
      <c r="D880" s="11">
        <v>44.8</v>
      </c>
      <c r="E880" s="11">
        <v>44.8</v>
      </c>
      <c r="F880" s="11">
        <v>43.98</v>
      </c>
      <c r="G880" s="11">
        <v>0.02</v>
      </c>
      <c r="H880" s="11">
        <v>77386</v>
      </c>
      <c r="I880" s="11">
        <v>3457873.94</v>
      </c>
      <c r="J880" s="11">
        <v>18138406</v>
      </c>
      <c r="K880" s="11">
        <v>822295995.09</v>
      </c>
      <c r="L880" s="6">
        <f t="shared" si="27"/>
        <v>44.6834561807045</v>
      </c>
    </row>
    <row r="881" spans="1:12">
      <c r="A881">
        <f t="shared" si="26"/>
        <v>2021</v>
      </c>
      <c r="B881" s="10">
        <v>44481</v>
      </c>
      <c r="C881" s="11">
        <v>44.67</v>
      </c>
      <c r="D881" s="11">
        <v>45.2</v>
      </c>
      <c r="E881" s="11">
        <v>45.2</v>
      </c>
      <c r="F881" s="11">
        <v>44.5</v>
      </c>
      <c r="G881" s="11">
        <v>-2.95</v>
      </c>
      <c r="H881" s="11">
        <v>404001</v>
      </c>
      <c r="I881" s="11">
        <v>17745965.71</v>
      </c>
      <c r="J881" s="11">
        <v>18061020</v>
      </c>
      <c r="K881" s="11">
        <v>818838121.15</v>
      </c>
      <c r="L881" s="6">
        <f t="shared" si="27"/>
        <v>43.9255489714134</v>
      </c>
    </row>
    <row r="882" spans="1:12">
      <c r="A882">
        <f t="shared" si="26"/>
        <v>2021</v>
      </c>
      <c r="B882" s="10">
        <v>44480</v>
      </c>
      <c r="C882" s="11">
        <v>46.03</v>
      </c>
      <c r="D882" s="11">
        <v>44.06</v>
      </c>
      <c r="E882" s="11">
        <v>48.49</v>
      </c>
      <c r="F882" s="11">
        <v>43.1</v>
      </c>
      <c r="G882" s="11">
        <v>4.42</v>
      </c>
      <c r="H882" s="11">
        <v>5024</v>
      </c>
      <c r="I882" s="11">
        <v>231240.46</v>
      </c>
      <c r="J882" s="11">
        <v>17657019</v>
      </c>
      <c r="K882" s="11">
        <v>801092155.44</v>
      </c>
      <c r="L882" s="6">
        <f t="shared" si="27"/>
        <v>46.0271616242038</v>
      </c>
    </row>
    <row r="883" spans="1:12">
      <c r="A883">
        <f t="shared" si="26"/>
        <v>2021</v>
      </c>
      <c r="B883" s="10">
        <v>44477</v>
      </c>
      <c r="C883" s="11">
        <v>44.08</v>
      </c>
      <c r="D883" s="11">
        <v>44.45</v>
      </c>
      <c r="E883" s="11">
        <v>44.45</v>
      </c>
      <c r="F883" s="11">
        <v>42.21</v>
      </c>
      <c r="G883" s="11">
        <v>4.43</v>
      </c>
      <c r="H883" s="11">
        <v>3000</v>
      </c>
      <c r="I883" s="11">
        <v>132230</v>
      </c>
      <c r="J883" s="11">
        <v>17651995</v>
      </c>
      <c r="K883" s="11">
        <v>800860914.98</v>
      </c>
      <c r="L883" s="6">
        <f t="shared" si="27"/>
        <v>44.0766666666667</v>
      </c>
    </row>
    <row r="884" spans="1:12">
      <c r="A884">
        <f t="shared" si="26"/>
        <v>2021</v>
      </c>
      <c r="B884" s="10">
        <v>44469</v>
      </c>
      <c r="C884" s="11">
        <v>42.21</v>
      </c>
      <c r="D884" s="11">
        <v>41.84</v>
      </c>
      <c r="E884" s="11">
        <v>45.8</v>
      </c>
      <c r="F884" s="11">
        <v>41.84</v>
      </c>
      <c r="G884" s="11">
        <v>0.88</v>
      </c>
      <c r="H884" s="11">
        <v>8474383</v>
      </c>
      <c r="I884" s="11">
        <v>354157396.32</v>
      </c>
      <c r="J884" s="11">
        <v>17648995</v>
      </c>
      <c r="K884" s="11">
        <v>800728684.98</v>
      </c>
      <c r="L884" s="6">
        <f t="shared" si="27"/>
        <v>41.7915258632988</v>
      </c>
    </row>
    <row r="885" spans="1:12">
      <c r="A885">
        <f t="shared" si="26"/>
        <v>2021</v>
      </c>
      <c r="B885" s="10">
        <v>44468</v>
      </c>
      <c r="C885" s="11">
        <v>41.84</v>
      </c>
      <c r="D885" s="11">
        <v>41</v>
      </c>
      <c r="E885" s="11">
        <v>43.5</v>
      </c>
      <c r="F885" s="11">
        <v>41</v>
      </c>
      <c r="G885" s="11">
        <v>-0.9</v>
      </c>
      <c r="H885" s="11">
        <v>611768</v>
      </c>
      <c r="I885" s="11">
        <v>25159268</v>
      </c>
      <c r="J885" s="11">
        <v>9174612</v>
      </c>
      <c r="K885" s="11">
        <v>446571288.66</v>
      </c>
      <c r="L885" s="6">
        <f t="shared" si="27"/>
        <v>41.1255050934341</v>
      </c>
    </row>
    <row r="886" spans="1:12">
      <c r="A886">
        <f t="shared" si="26"/>
        <v>2021</v>
      </c>
      <c r="B886" s="10">
        <v>44467</v>
      </c>
      <c r="C886" s="11">
        <v>42.22</v>
      </c>
      <c r="D886" s="11">
        <v>43.49</v>
      </c>
      <c r="E886" s="11">
        <v>43.5</v>
      </c>
      <c r="F886" s="11">
        <v>42.05</v>
      </c>
      <c r="G886" s="11">
        <v>-3.14</v>
      </c>
      <c r="H886" s="11">
        <v>56000</v>
      </c>
      <c r="I886" s="11">
        <v>2364470</v>
      </c>
      <c r="J886" s="11">
        <v>8562844</v>
      </c>
      <c r="K886" s="11">
        <v>421412020.66</v>
      </c>
      <c r="L886" s="6">
        <f t="shared" si="27"/>
        <v>42.2226785714286</v>
      </c>
    </row>
    <row r="887" spans="1:12">
      <c r="A887">
        <f t="shared" si="26"/>
        <v>2021</v>
      </c>
      <c r="B887" s="10">
        <v>44466</v>
      </c>
      <c r="C887" s="11">
        <v>43.59</v>
      </c>
      <c r="D887" s="11">
        <v>44.35</v>
      </c>
      <c r="E887" s="11">
        <v>44.35</v>
      </c>
      <c r="F887" s="11">
        <v>42.01</v>
      </c>
      <c r="G887" s="11">
        <v>-1.74</v>
      </c>
      <c r="H887" s="11">
        <v>15841</v>
      </c>
      <c r="I887" s="11">
        <v>690546.5</v>
      </c>
      <c r="J887" s="11">
        <v>8506844</v>
      </c>
      <c r="K887" s="11">
        <v>419047550.66</v>
      </c>
      <c r="L887" s="6">
        <f t="shared" si="27"/>
        <v>43.592355280601</v>
      </c>
    </row>
    <row r="888" spans="1:12">
      <c r="A888">
        <f t="shared" si="26"/>
        <v>2021</v>
      </c>
      <c r="B888" s="10">
        <v>44463</v>
      </c>
      <c r="C888" s="11">
        <v>44.36</v>
      </c>
      <c r="D888" s="11">
        <v>46</v>
      </c>
      <c r="E888" s="11">
        <v>46</v>
      </c>
      <c r="F888" s="11">
        <v>42.2</v>
      </c>
      <c r="G888" s="11">
        <v>1.16</v>
      </c>
      <c r="H888" s="11">
        <v>4841</v>
      </c>
      <c r="I888" s="11">
        <v>214742.2</v>
      </c>
      <c r="J888" s="11">
        <v>8491003</v>
      </c>
      <c r="K888" s="11">
        <v>418357004.16</v>
      </c>
      <c r="L888" s="6">
        <f t="shared" si="27"/>
        <v>44.3590580458583</v>
      </c>
    </row>
    <row r="889" spans="1:12">
      <c r="A889">
        <f t="shared" si="26"/>
        <v>2021</v>
      </c>
      <c r="B889" s="10">
        <v>44462</v>
      </c>
      <c r="C889" s="11">
        <v>43.85</v>
      </c>
      <c r="D889" s="11">
        <v>43.24</v>
      </c>
      <c r="E889" s="11">
        <v>44</v>
      </c>
      <c r="F889" s="11">
        <v>43.24</v>
      </c>
      <c r="G889" s="11">
        <v>1.41</v>
      </c>
      <c r="H889" s="11">
        <v>2500</v>
      </c>
      <c r="I889" s="11">
        <v>109620</v>
      </c>
      <c r="J889" s="11">
        <v>8486162</v>
      </c>
      <c r="K889" s="11">
        <v>418142261.96</v>
      </c>
      <c r="L889" s="6">
        <f t="shared" si="27"/>
        <v>43.848</v>
      </c>
    </row>
    <row r="890" spans="1:12">
      <c r="A890">
        <f t="shared" si="26"/>
        <v>2021</v>
      </c>
      <c r="B890" s="10">
        <v>44461</v>
      </c>
      <c r="C890" s="11">
        <v>43.24</v>
      </c>
      <c r="D890" s="11">
        <v>43</v>
      </c>
      <c r="E890" s="11">
        <v>43.35</v>
      </c>
      <c r="F890" s="11">
        <v>42.5</v>
      </c>
      <c r="G890" s="11">
        <v>-0.44</v>
      </c>
      <c r="H890" s="11">
        <v>4231</v>
      </c>
      <c r="I890" s="11">
        <v>182936.1</v>
      </c>
      <c r="J890" s="11">
        <v>8483662</v>
      </c>
      <c r="K890" s="11">
        <v>418032641.96</v>
      </c>
      <c r="L890" s="6">
        <f t="shared" si="27"/>
        <v>43.2370834318128</v>
      </c>
    </row>
    <row r="891" spans="1:12">
      <c r="A891">
        <f t="shared" si="26"/>
        <v>2021</v>
      </c>
      <c r="B891" s="10">
        <v>44456</v>
      </c>
      <c r="C891" s="11">
        <v>43.43</v>
      </c>
      <c r="D891" s="11">
        <v>42</v>
      </c>
      <c r="E891" s="11">
        <v>44.8</v>
      </c>
      <c r="F891" s="11">
        <v>42</v>
      </c>
      <c r="G891" s="11">
        <v>-3.36</v>
      </c>
      <c r="H891" s="11">
        <v>21900</v>
      </c>
      <c r="I891" s="11">
        <v>951212</v>
      </c>
      <c r="J891" s="11">
        <v>8479431</v>
      </c>
      <c r="K891" s="11">
        <v>417849705.86</v>
      </c>
      <c r="L891" s="6">
        <f t="shared" si="27"/>
        <v>43.4343378995434</v>
      </c>
    </row>
    <row r="892" spans="1:12">
      <c r="A892">
        <f t="shared" si="26"/>
        <v>2021</v>
      </c>
      <c r="B892" s="10">
        <v>44455</v>
      </c>
      <c r="C892" s="11">
        <v>44.94</v>
      </c>
      <c r="D892" s="11">
        <v>47</v>
      </c>
      <c r="E892" s="11">
        <v>47</v>
      </c>
      <c r="F892" s="11">
        <v>44</v>
      </c>
      <c r="G892" s="11">
        <v>-0.13</v>
      </c>
      <c r="H892" s="11">
        <v>6140</v>
      </c>
      <c r="I892" s="11">
        <v>275930</v>
      </c>
      <c r="J892" s="11">
        <v>8457531</v>
      </c>
      <c r="K892" s="11">
        <v>416898493.86</v>
      </c>
      <c r="L892" s="6">
        <f t="shared" si="27"/>
        <v>44.9397394136808</v>
      </c>
    </row>
    <row r="893" spans="1:12">
      <c r="A893">
        <f t="shared" si="26"/>
        <v>2021</v>
      </c>
      <c r="B893" s="10">
        <v>44454</v>
      </c>
      <c r="C893" s="11">
        <v>45</v>
      </c>
      <c r="D893" s="11">
        <v>45</v>
      </c>
      <c r="E893" s="11">
        <v>45</v>
      </c>
      <c r="F893" s="11">
        <v>45</v>
      </c>
      <c r="G893" s="11">
        <v>-1.19</v>
      </c>
      <c r="H893" s="11">
        <v>50</v>
      </c>
      <c r="I893" s="11">
        <v>2250</v>
      </c>
      <c r="J893" s="11">
        <v>8451391</v>
      </c>
      <c r="K893" s="11">
        <v>416622563.86</v>
      </c>
      <c r="L893" s="6">
        <f t="shared" si="27"/>
        <v>45</v>
      </c>
    </row>
    <row r="894" spans="1:12">
      <c r="A894">
        <f t="shared" si="26"/>
        <v>2021</v>
      </c>
      <c r="B894" s="10">
        <v>44453</v>
      </c>
      <c r="C894" s="11">
        <v>45.54</v>
      </c>
      <c r="D894" s="11">
        <v>42</v>
      </c>
      <c r="E894" s="11">
        <v>50.18</v>
      </c>
      <c r="F894" s="11">
        <v>41.6</v>
      </c>
      <c r="G894" s="11">
        <v>-0.18</v>
      </c>
      <c r="H894" s="11">
        <v>3950</v>
      </c>
      <c r="I894" s="11">
        <v>179877.5</v>
      </c>
      <c r="J894" s="11">
        <v>8451341</v>
      </c>
      <c r="K894" s="11">
        <v>416620313.86</v>
      </c>
      <c r="L894" s="6">
        <f t="shared" si="27"/>
        <v>45.5386075949367</v>
      </c>
    </row>
    <row r="895" spans="1:12">
      <c r="A895">
        <f t="shared" si="26"/>
        <v>2021</v>
      </c>
      <c r="B895" s="10">
        <v>44452</v>
      </c>
      <c r="C895" s="11">
        <v>45.62</v>
      </c>
      <c r="D895" s="11">
        <v>46</v>
      </c>
      <c r="E895" s="11">
        <v>46</v>
      </c>
      <c r="F895" s="11">
        <v>44.1</v>
      </c>
      <c r="G895" s="11">
        <v>3.68</v>
      </c>
      <c r="H895" s="11">
        <v>50</v>
      </c>
      <c r="I895" s="11">
        <v>2281</v>
      </c>
      <c r="J895" s="11">
        <v>8447391</v>
      </c>
      <c r="K895" s="11">
        <v>416440436.36</v>
      </c>
      <c r="L895" s="6">
        <f t="shared" si="27"/>
        <v>45.62</v>
      </c>
    </row>
    <row r="896" spans="1:12">
      <c r="A896">
        <f t="shared" si="26"/>
        <v>2021</v>
      </c>
      <c r="B896" s="10">
        <v>44449</v>
      </c>
      <c r="C896" s="11">
        <v>44</v>
      </c>
      <c r="D896" s="11">
        <v>44</v>
      </c>
      <c r="E896" s="11">
        <v>44</v>
      </c>
      <c r="F896" s="11">
        <v>44</v>
      </c>
      <c r="G896" s="11">
        <v>4.79</v>
      </c>
      <c r="H896" s="11">
        <v>3040</v>
      </c>
      <c r="I896" s="11">
        <v>133760</v>
      </c>
      <c r="J896" s="11">
        <v>8447341</v>
      </c>
      <c r="K896" s="11">
        <v>416438155.36</v>
      </c>
      <c r="L896" s="6">
        <f t="shared" si="27"/>
        <v>44</v>
      </c>
    </row>
    <row r="897" spans="1:12">
      <c r="A897">
        <f t="shared" si="26"/>
        <v>2021</v>
      </c>
      <c r="B897" s="10">
        <v>44448</v>
      </c>
      <c r="C897" s="11">
        <v>41.99</v>
      </c>
      <c r="D897" s="11">
        <v>42</v>
      </c>
      <c r="E897" s="11">
        <v>42</v>
      </c>
      <c r="F897" s="11">
        <v>41.8</v>
      </c>
      <c r="G897" s="11">
        <v>-2.12</v>
      </c>
      <c r="H897" s="11">
        <v>1222</v>
      </c>
      <c r="I897" s="11">
        <v>51306.1</v>
      </c>
      <c r="J897" s="11">
        <v>8444301</v>
      </c>
      <c r="K897" s="11">
        <v>416304395.36</v>
      </c>
      <c r="L897" s="6">
        <f t="shared" si="27"/>
        <v>41.9853518821604</v>
      </c>
    </row>
    <row r="898" spans="1:12">
      <c r="A898">
        <f t="shared" si="26"/>
        <v>2021</v>
      </c>
      <c r="B898" s="10">
        <v>44447</v>
      </c>
      <c r="C898" s="11">
        <v>42.9</v>
      </c>
      <c r="D898" s="11">
        <v>42.9</v>
      </c>
      <c r="E898" s="11">
        <v>42.9</v>
      </c>
      <c r="F898" s="11">
        <v>42.9</v>
      </c>
      <c r="G898" s="11">
        <v>-2.28</v>
      </c>
      <c r="H898" s="11">
        <v>40</v>
      </c>
      <c r="I898" s="11">
        <v>1716</v>
      </c>
      <c r="J898" s="11">
        <v>8443079</v>
      </c>
      <c r="K898" s="11">
        <v>416253089.26</v>
      </c>
      <c r="L898" s="6">
        <f t="shared" si="27"/>
        <v>42.9</v>
      </c>
    </row>
    <row r="899" spans="1:12">
      <c r="A899">
        <f t="shared" si="26"/>
        <v>2021</v>
      </c>
      <c r="B899" s="10">
        <v>44446</v>
      </c>
      <c r="C899" s="11">
        <v>43.9</v>
      </c>
      <c r="D899" s="11">
        <v>43.8</v>
      </c>
      <c r="E899" s="11">
        <v>44</v>
      </c>
      <c r="F899" s="11">
        <v>43.8</v>
      </c>
      <c r="G899" s="11">
        <v>-0.23</v>
      </c>
      <c r="H899" s="11">
        <v>2000</v>
      </c>
      <c r="I899" s="11">
        <v>87800</v>
      </c>
      <c r="J899" s="11">
        <v>8443039</v>
      </c>
      <c r="K899" s="11">
        <v>416251373.26</v>
      </c>
      <c r="L899" s="6">
        <f t="shared" si="27"/>
        <v>43.9</v>
      </c>
    </row>
    <row r="900" spans="1:12">
      <c r="A900">
        <f t="shared" ref="A900:A936" si="28">YEAR(B900)</f>
        <v>2021</v>
      </c>
      <c r="B900" s="10">
        <v>44445</v>
      </c>
      <c r="C900" s="11">
        <v>44</v>
      </c>
      <c r="D900" s="11">
        <v>44</v>
      </c>
      <c r="E900" s="11">
        <v>44</v>
      </c>
      <c r="F900" s="11">
        <v>44</v>
      </c>
      <c r="G900" s="11">
        <v>-1.5</v>
      </c>
      <c r="H900" s="11">
        <v>10</v>
      </c>
      <c r="I900" s="11">
        <v>440</v>
      </c>
      <c r="J900" s="11">
        <v>8441039</v>
      </c>
      <c r="K900" s="11">
        <v>416163573.26</v>
      </c>
      <c r="L900" s="6">
        <f t="shared" ref="L900:L936" si="29">I900/H900</f>
        <v>44</v>
      </c>
    </row>
    <row r="901" spans="1:12">
      <c r="A901">
        <f t="shared" si="28"/>
        <v>2021</v>
      </c>
      <c r="B901" s="10">
        <v>44442</v>
      </c>
      <c r="C901" s="11">
        <v>44.67</v>
      </c>
      <c r="D901" s="11">
        <v>44.66</v>
      </c>
      <c r="E901" s="11">
        <v>45</v>
      </c>
      <c r="F901" s="11">
        <v>44.66</v>
      </c>
      <c r="G901" s="11">
        <v>0.02</v>
      </c>
      <c r="H901" s="11">
        <v>520</v>
      </c>
      <c r="I901" s="11">
        <v>23230</v>
      </c>
      <c r="J901" s="11">
        <v>8441029</v>
      </c>
      <c r="K901" s="11">
        <v>416163133.26</v>
      </c>
      <c r="L901" s="6">
        <f t="shared" si="29"/>
        <v>44.6730769230769</v>
      </c>
    </row>
    <row r="902" spans="1:12">
      <c r="A902">
        <f t="shared" si="28"/>
        <v>2021</v>
      </c>
      <c r="B902" s="10">
        <v>44441</v>
      </c>
      <c r="C902" s="11">
        <v>44.66</v>
      </c>
      <c r="D902" s="11">
        <v>44.66</v>
      </c>
      <c r="E902" s="11">
        <v>44.66</v>
      </c>
      <c r="F902" s="11">
        <v>44.66</v>
      </c>
      <c r="G902" s="11">
        <v>-1.17</v>
      </c>
      <c r="H902" s="11">
        <v>50</v>
      </c>
      <c r="I902" s="11">
        <v>2233</v>
      </c>
      <c r="J902" s="11">
        <v>8440509</v>
      </c>
      <c r="K902" s="11">
        <v>416139903.26</v>
      </c>
      <c r="L902" s="6">
        <f t="shared" si="29"/>
        <v>44.66</v>
      </c>
    </row>
    <row r="903" spans="1:12">
      <c r="A903">
        <f t="shared" si="28"/>
        <v>2021</v>
      </c>
      <c r="B903" s="10">
        <v>44440</v>
      </c>
      <c r="C903" s="11">
        <v>45.19</v>
      </c>
      <c r="D903" s="11">
        <v>45.35</v>
      </c>
      <c r="E903" s="11">
        <v>46</v>
      </c>
      <c r="F903" s="11">
        <v>44.21</v>
      </c>
      <c r="G903" s="11">
        <v>-0.35</v>
      </c>
      <c r="H903" s="11">
        <v>30</v>
      </c>
      <c r="I903" s="11">
        <v>1355.6</v>
      </c>
      <c r="J903" s="11">
        <v>8440459</v>
      </c>
      <c r="K903" s="11">
        <v>416137670.26</v>
      </c>
      <c r="L903" s="6">
        <f t="shared" si="29"/>
        <v>45.1866666666667</v>
      </c>
    </row>
    <row r="904" spans="1:12">
      <c r="A904">
        <f t="shared" si="28"/>
        <v>2021</v>
      </c>
      <c r="B904" s="10">
        <v>44439</v>
      </c>
      <c r="C904" s="11">
        <v>45.35</v>
      </c>
      <c r="D904" s="11">
        <v>45.16</v>
      </c>
      <c r="E904" s="11">
        <v>45.5</v>
      </c>
      <c r="F904" s="11">
        <v>45.16</v>
      </c>
      <c r="G904" s="11">
        <v>0.42</v>
      </c>
      <c r="H904" s="11">
        <v>23</v>
      </c>
      <c r="I904" s="11">
        <v>1043.1</v>
      </c>
      <c r="J904" s="11">
        <v>8440429</v>
      </c>
      <c r="K904" s="11">
        <v>416136314.66</v>
      </c>
      <c r="L904" s="6">
        <f t="shared" si="29"/>
        <v>45.3521739130435</v>
      </c>
    </row>
    <row r="905" spans="1:12">
      <c r="A905">
        <f t="shared" si="28"/>
        <v>2021</v>
      </c>
      <c r="B905" s="10">
        <v>44438</v>
      </c>
      <c r="C905" s="11">
        <v>45.16</v>
      </c>
      <c r="D905" s="11">
        <v>45.09</v>
      </c>
      <c r="E905" s="11">
        <v>45.22</v>
      </c>
      <c r="F905" s="11">
        <v>45.09</v>
      </c>
      <c r="G905" s="11">
        <v>0.16</v>
      </c>
      <c r="H905" s="11">
        <v>35</v>
      </c>
      <c r="I905" s="11">
        <v>1580.75</v>
      </c>
      <c r="J905" s="11">
        <v>8440406</v>
      </c>
      <c r="K905" s="11">
        <v>416135271.56</v>
      </c>
      <c r="L905" s="6">
        <f t="shared" si="29"/>
        <v>45.1642857142857</v>
      </c>
    </row>
    <row r="906" spans="1:12">
      <c r="A906">
        <f t="shared" si="28"/>
        <v>2021</v>
      </c>
      <c r="B906" s="10">
        <v>44435</v>
      </c>
      <c r="C906" s="11">
        <v>45.09</v>
      </c>
      <c r="D906" s="11">
        <v>44</v>
      </c>
      <c r="E906" s="11">
        <v>45.1</v>
      </c>
      <c r="F906" s="11">
        <v>44</v>
      </c>
      <c r="G906" s="11">
        <v>-5.35</v>
      </c>
      <c r="H906" s="11">
        <v>205101</v>
      </c>
      <c r="I906" s="11">
        <v>9024554</v>
      </c>
      <c r="J906" s="11">
        <v>8440371</v>
      </c>
      <c r="K906" s="11">
        <v>416133690.45</v>
      </c>
      <c r="L906" s="6">
        <f t="shared" si="29"/>
        <v>44.0005363211296</v>
      </c>
    </row>
    <row r="907" spans="1:12">
      <c r="A907">
        <f t="shared" si="28"/>
        <v>2021</v>
      </c>
      <c r="B907" s="10">
        <v>44434</v>
      </c>
      <c r="C907" s="11">
        <v>47.64</v>
      </c>
      <c r="D907" s="11">
        <v>45</v>
      </c>
      <c r="E907" s="11">
        <v>47.65</v>
      </c>
      <c r="F907" s="11">
        <v>45</v>
      </c>
      <c r="G907" s="11">
        <v>0</v>
      </c>
      <c r="H907" s="11">
        <v>4212</v>
      </c>
      <c r="I907" s="11">
        <v>200673</v>
      </c>
      <c r="J907" s="11">
        <v>8235270</v>
      </c>
      <c r="K907" s="11">
        <v>407109136.45</v>
      </c>
      <c r="L907" s="6">
        <f t="shared" si="29"/>
        <v>47.6431623931624</v>
      </c>
    </row>
    <row r="908" spans="1:12">
      <c r="A908">
        <f t="shared" si="28"/>
        <v>2021</v>
      </c>
      <c r="B908" s="10">
        <v>44433</v>
      </c>
      <c r="C908" s="11">
        <v>47.64</v>
      </c>
      <c r="D908" s="11">
        <v>49</v>
      </c>
      <c r="E908" s="11">
        <v>49</v>
      </c>
      <c r="F908" s="11">
        <v>47</v>
      </c>
      <c r="G908" s="11">
        <v>-5.1</v>
      </c>
      <c r="H908" s="11">
        <v>285210</v>
      </c>
      <c r="I908" s="11">
        <v>13170280</v>
      </c>
      <c r="J908" s="11">
        <v>8231058</v>
      </c>
      <c r="K908" s="11">
        <v>406908463.45</v>
      </c>
      <c r="L908" s="6">
        <f t="shared" si="29"/>
        <v>46.1774832579503</v>
      </c>
    </row>
    <row r="909" spans="1:12">
      <c r="A909">
        <f t="shared" si="28"/>
        <v>2021</v>
      </c>
      <c r="B909" s="10">
        <v>44432</v>
      </c>
      <c r="C909" s="11">
        <v>50.2</v>
      </c>
      <c r="D909" s="11">
        <v>50.19</v>
      </c>
      <c r="E909" s="11">
        <v>50.2</v>
      </c>
      <c r="F909" s="11">
        <v>50.17</v>
      </c>
      <c r="G909" s="11">
        <v>0</v>
      </c>
      <c r="H909" s="11">
        <v>2002</v>
      </c>
      <c r="I909" s="11">
        <v>100500</v>
      </c>
      <c r="J909" s="11">
        <v>7945848</v>
      </c>
      <c r="K909" s="11">
        <v>393738183.45</v>
      </c>
      <c r="L909" s="6">
        <f t="shared" si="29"/>
        <v>50.1998001998002</v>
      </c>
    </row>
    <row r="910" spans="1:12">
      <c r="A910">
        <f t="shared" si="28"/>
        <v>2021</v>
      </c>
      <c r="B910" s="10">
        <v>44431</v>
      </c>
      <c r="C910" s="11">
        <v>50.2</v>
      </c>
      <c r="D910" s="11">
        <v>49</v>
      </c>
      <c r="E910" s="11">
        <v>50.2</v>
      </c>
      <c r="F910" s="11">
        <v>49</v>
      </c>
      <c r="G910" s="11">
        <v>2.45</v>
      </c>
      <c r="H910" s="11">
        <v>3002</v>
      </c>
      <c r="I910" s="11">
        <v>150698</v>
      </c>
      <c r="J910" s="11">
        <v>7943846</v>
      </c>
      <c r="K910" s="11">
        <v>393637683.45</v>
      </c>
      <c r="L910" s="6">
        <f t="shared" si="29"/>
        <v>50.199200532978</v>
      </c>
    </row>
    <row r="911" spans="1:12">
      <c r="A911">
        <f t="shared" si="28"/>
        <v>2021</v>
      </c>
      <c r="B911" s="10">
        <v>44428</v>
      </c>
      <c r="C911" s="11">
        <v>49</v>
      </c>
      <c r="D911" s="11">
        <v>49</v>
      </c>
      <c r="E911" s="11">
        <v>49</v>
      </c>
      <c r="F911" s="11">
        <v>49</v>
      </c>
      <c r="G911" s="11">
        <v>-2.95</v>
      </c>
      <c r="H911" s="11">
        <v>908000</v>
      </c>
      <c r="I911" s="11">
        <v>37742000</v>
      </c>
      <c r="J911" s="11">
        <v>7940844</v>
      </c>
      <c r="K911" s="11">
        <v>393486985.45</v>
      </c>
      <c r="L911" s="6">
        <f t="shared" si="29"/>
        <v>41.5660792951542</v>
      </c>
    </row>
    <row r="912" spans="1:12">
      <c r="A912">
        <f t="shared" si="28"/>
        <v>2021</v>
      </c>
      <c r="B912" s="10">
        <v>44427</v>
      </c>
      <c r="C912" s="11">
        <v>50.49</v>
      </c>
      <c r="D912" s="11">
        <v>52</v>
      </c>
      <c r="E912" s="11">
        <v>52</v>
      </c>
      <c r="F912" s="11">
        <v>50</v>
      </c>
      <c r="G912" s="11">
        <v>-2.66</v>
      </c>
      <c r="H912" s="11">
        <v>4001</v>
      </c>
      <c r="I912" s="11">
        <v>202002</v>
      </c>
      <c r="J912" s="11">
        <v>7032844</v>
      </c>
      <c r="K912" s="11">
        <v>355744985.45</v>
      </c>
      <c r="L912" s="6">
        <f t="shared" si="29"/>
        <v>50.4878780304924</v>
      </c>
    </row>
    <row r="913" spans="1:12">
      <c r="A913">
        <f t="shared" si="28"/>
        <v>2021</v>
      </c>
      <c r="B913" s="10">
        <v>44426</v>
      </c>
      <c r="C913" s="11">
        <v>51.87</v>
      </c>
      <c r="D913" s="11">
        <v>51.8</v>
      </c>
      <c r="E913" s="11">
        <v>52</v>
      </c>
      <c r="F913" s="11">
        <v>51.8</v>
      </c>
      <c r="G913" s="11">
        <v>0.21</v>
      </c>
      <c r="H913" s="11">
        <v>3000</v>
      </c>
      <c r="I913" s="11">
        <v>155600</v>
      </c>
      <c r="J913" s="11">
        <v>7028843</v>
      </c>
      <c r="K913" s="11">
        <v>355542983.45</v>
      </c>
      <c r="L913" s="6">
        <f t="shared" si="29"/>
        <v>51.8666666666667</v>
      </c>
    </row>
    <row r="914" spans="1:12">
      <c r="A914">
        <f t="shared" si="28"/>
        <v>2021</v>
      </c>
      <c r="B914" s="10">
        <v>44425</v>
      </c>
      <c r="C914" s="11">
        <v>51.76</v>
      </c>
      <c r="D914" s="11">
        <v>52</v>
      </c>
      <c r="E914" s="11">
        <v>52.5</v>
      </c>
      <c r="F914" s="11">
        <v>51.2</v>
      </c>
      <c r="G914" s="11">
        <v>1.49</v>
      </c>
      <c r="H914" s="11">
        <v>7001</v>
      </c>
      <c r="I914" s="11">
        <v>362352</v>
      </c>
      <c r="J914" s="11">
        <v>7025843</v>
      </c>
      <c r="K914" s="11">
        <v>355387383.45</v>
      </c>
      <c r="L914" s="6">
        <f t="shared" si="29"/>
        <v>51.7571775460648</v>
      </c>
    </row>
    <row r="915" spans="1:12">
      <c r="A915">
        <f t="shared" si="28"/>
        <v>2021</v>
      </c>
      <c r="B915" s="10">
        <v>44424</v>
      </c>
      <c r="C915" s="11">
        <v>51</v>
      </c>
      <c r="D915" s="11">
        <v>51</v>
      </c>
      <c r="E915" s="11">
        <v>51</v>
      </c>
      <c r="F915" s="11">
        <v>51</v>
      </c>
      <c r="G915" s="11">
        <v>-5.56</v>
      </c>
      <c r="H915" s="11">
        <v>500010</v>
      </c>
      <c r="I915" s="11">
        <v>25750510</v>
      </c>
      <c r="J915" s="11">
        <v>7018842</v>
      </c>
      <c r="K915" s="11">
        <v>355025031.45</v>
      </c>
      <c r="L915" s="6">
        <f t="shared" si="29"/>
        <v>51.4999900002</v>
      </c>
    </row>
    <row r="916" spans="1:12">
      <c r="A916">
        <f t="shared" si="28"/>
        <v>2021</v>
      </c>
      <c r="B916" s="10">
        <v>44421</v>
      </c>
      <c r="C916" s="11">
        <v>54</v>
      </c>
      <c r="D916" s="11">
        <v>55.43</v>
      </c>
      <c r="E916" s="11">
        <v>55.43</v>
      </c>
      <c r="F916" s="11">
        <v>54</v>
      </c>
      <c r="G916" s="11">
        <v>-2.58</v>
      </c>
      <c r="H916" s="11">
        <v>51001</v>
      </c>
      <c r="I916" s="11">
        <v>2754055.43</v>
      </c>
      <c r="J916" s="11">
        <v>6518832</v>
      </c>
      <c r="K916" s="11">
        <v>329274521.45</v>
      </c>
      <c r="L916" s="6">
        <f t="shared" si="29"/>
        <v>54.0000280386659</v>
      </c>
    </row>
    <row r="917" spans="1:12">
      <c r="A917">
        <f t="shared" si="28"/>
        <v>2021</v>
      </c>
      <c r="B917" s="10">
        <v>44420</v>
      </c>
      <c r="C917" s="11">
        <v>55.43</v>
      </c>
      <c r="D917" s="11">
        <v>52</v>
      </c>
      <c r="E917" s="11">
        <v>55.7</v>
      </c>
      <c r="F917" s="11">
        <v>52</v>
      </c>
      <c r="G917" s="11">
        <v>-0.84</v>
      </c>
      <c r="H917" s="11">
        <v>6001</v>
      </c>
      <c r="I917" s="11">
        <v>332652</v>
      </c>
      <c r="J917" s="11">
        <v>6467831</v>
      </c>
      <c r="K917" s="11">
        <v>326520466.02</v>
      </c>
      <c r="L917" s="6">
        <f t="shared" si="29"/>
        <v>55.4327612064656</v>
      </c>
    </row>
    <row r="918" spans="1:12">
      <c r="A918">
        <f t="shared" si="28"/>
        <v>2021</v>
      </c>
      <c r="B918" s="10">
        <v>44419</v>
      </c>
      <c r="C918" s="11">
        <v>55.9</v>
      </c>
      <c r="D918" s="11">
        <v>55.9</v>
      </c>
      <c r="E918" s="11">
        <v>55.9</v>
      </c>
      <c r="F918" s="11">
        <v>55.9</v>
      </c>
      <c r="G918" s="11">
        <v>1.05</v>
      </c>
      <c r="H918" s="11">
        <v>20000</v>
      </c>
      <c r="I918" s="11">
        <v>1118000</v>
      </c>
      <c r="J918" s="11">
        <v>6461830</v>
      </c>
      <c r="K918" s="11">
        <v>326187814.02</v>
      </c>
      <c r="L918" s="6">
        <f t="shared" si="29"/>
        <v>55.9</v>
      </c>
    </row>
    <row r="919" spans="1:12">
      <c r="A919">
        <f t="shared" si="28"/>
        <v>2021</v>
      </c>
      <c r="B919" s="10">
        <v>44418</v>
      </c>
      <c r="C919" s="11">
        <v>55.32</v>
      </c>
      <c r="D919" s="11">
        <v>55.32</v>
      </c>
      <c r="E919" s="11">
        <v>55.32</v>
      </c>
      <c r="F919" s="11">
        <v>55.32</v>
      </c>
      <c r="G919" s="11">
        <v>3.75</v>
      </c>
      <c r="H919" s="11">
        <v>20000</v>
      </c>
      <c r="I919" s="11">
        <v>1106400</v>
      </c>
      <c r="J919" s="11">
        <v>6441830</v>
      </c>
      <c r="K919" s="11">
        <v>325069814.02</v>
      </c>
      <c r="L919" s="6">
        <f t="shared" si="29"/>
        <v>55.32</v>
      </c>
    </row>
    <row r="920" spans="1:12">
      <c r="A920">
        <f t="shared" si="28"/>
        <v>2021</v>
      </c>
      <c r="B920" s="10">
        <v>44417</v>
      </c>
      <c r="C920" s="11">
        <v>53.32</v>
      </c>
      <c r="D920" s="11">
        <v>53.3</v>
      </c>
      <c r="E920" s="11">
        <v>58.26</v>
      </c>
      <c r="F920" s="11">
        <v>53.3</v>
      </c>
      <c r="G920" s="11">
        <v>0.68</v>
      </c>
      <c r="H920" s="11">
        <v>282866</v>
      </c>
      <c r="I920" s="11">
        <v>14261176.32</v>
      </c>
      <c r="J920" s="11">
        <v>6421830</v>
      </c>
      <c r="K920" s="11">
        <v>323963414.02</v>
      </c>
      <c r="L920" s="6">
        <f t="shared" si="29"/>
        <v>50.4167214157941</v>
      </c>
    </row>
    <row r="921" spans="1:12">
      <c r="A921">
        <f t="shared" si="28"/>
        <v>2021</v>
      </c>
      <c r="B921" s="10">
        <v>44414</v>
      </c>
      <c r="C921" s="11">
        <v>52.96</v>
      </c>
      <c r="D921" s="11">
        <v>52.96</v>
      </c>
      <c r="E921" s="11">
        <v>52.96</v>
      </c>
      <c r="F921" s="11">
        <v>52.96</v>
      </c>
      <c r="G921" s="11">
        <v>-3.53</v>
      </c>
      <c r="H921" s="11">
        <v>20000</v>
      </c>
      <c r="I921" s="11">
        <v>1059200</v>
      </c>
      <c r="J921" s="11">
        <v>6138964</v>
      </c>
      <c r="K921" s="11">
        <v>309702237.7</v>
      </c>
      <c r="L921" s="6">
        <f t="shared" si="29"/>
        <v>52.96</v>
      </c>
    </row>
    <row r="922" spans="1:12">
      <c r="A922">
        <f t="shared" si="28"/>
        <v>2021</v>
      </c>
      <c r="B922" s="10">
        <v>44413</v>
      </c>
      <c r="C922" s="11">
        <v>54.9</v>
      </c>
      <c r="D922" s="11">
        <v>52.85</v>
      </c>
      <c r="E922" s="11">
        <v>59</v>
      </c>
      <c r="F922" s="11">
        <v>52.85</v>
      </c>
      <c r="G922" s="11">
        <v>-6.47</v>
      </c>
      <c r="H922" s="11">
        <v>60000</v>
      </c>
      <c r="I922" s="11">
        <v>3294000</v>
      </c>
      <c r="J922" s="11">
        <v>6118964</v>
      </c>
      <c r="K922" s="11">
        <v>308643037.7</v>
      </c>
      <c r="L922" s="6">
        <f t="shared" si="29"/>
        <v>54.9</v>
      </c>
    </row>
    <row r="923" spans="1:12">
      <c r="A923">
        <f t="shared" si="28"/>
        <v>2021</v>
      </c>
      <c r="B923" s="10">
        <v>44412</v>
      </c>
      <c r="C923" s="11">
        <v>58.7</v>
      </c>
      <c r="D923" s="11">
        <v>58.7</v>
      </c>
      <c r="E923" s="11">
        <v>58.7</v>
      </c>
      <c r="F923" s="11">
        <v>58.7</v>
      </c>
      <c r="G923" s="11">
        <v>9.84</v>
      </c>
      <c r="H923" s="11">
        <v>20000</v>
      </c>
      <c r="I923" s="11">
        <v>1174000</v>
      </c>
      <c r="J923" s="11">
        <v>6058964</v>
      </c>
      <c r="K923" s="11">
        <v>305349037.7</v>
      </c>
      <c r="L923" s="6">
        <f t="shared" si="29"/>
        <v>58.7</v>
      </c>
    </row>
    <row r="924" spans="1:12">
      <c r="A924">
        <f t="shared" si="28"/>
        <v>2021</v>
      </c>
      <c r="B924" s="10">
        <v>44411</v>
      </c>
      <c r="C924" s="11">
        <v>53.44</v>
      </c>
      <c r="D924" s="11">
        <v>48</v>
      </c>
      <c r="E924" s="11">
        <v>57</v>
      </c>
      <c r="F924" s="11">
        <v>48</v>
      </c>
      <c r="G924" s="11">
        <v>2.79</v>
      </c>
      <c r="H924" s="11">
        <v>45005</v>
      </c>
      <c r="I924" s="11">
        <v>2405040</v>
      </c>
      <c r="J924" s="11">
        <v>6038964</v>
      </c>
      <c r="K924" s="11">
        <v>304175037.7</v>
      </c>
      <c r="L924" s="6">
        <f t="shared" si="29"/>
        <v>53.4393956227086</v>
      </c>
    </row>
    <row r="925" spans="1:12">
      <c r="A925">
        <f t="shared" si="28"/>
        <v>2021</v>
      </c>
      <c r="B925" s="10">
        <v>44410</v>
      </c>
      <c r="C925" s="11">
        <v>51.99</v>
      </c>
      <c r="D925" s="11">
        <v>50.53</v>
      </c>
      <c r="E925" s="11">
        <v>55.3</v>
      </c>
      <c r="F925" s="11">
        <v>50.35</v>
      </c>
      <c r="G925" s="11">
        <v>-4.02</v>
      </c>
      <c r="H925" s="11">
        <v>42022</v>
      </c>
      <c r="I925" s="11">
        <v>2184609.4</v>
      </c>
      <c r="J925" s="11">
        <v>5993959</v>
      </c>
      <c r="K925" s="11">
        <v>301769997.7</v>
      </c>
      <c r="L925" s="6">
        <f t="shared" si="29"/>
        <v>51.9872780924278</v>
      </c>
    </row>
    <row r="926" spans="1:12">
      <c r="A926">
        <f t="shared" si="28"/>
        <v>2021</v>
      </c>
      <c r="B926" s="10">
        <v>44407</v>
      </c>
      <c r="C926" s="11">
        <v>54.17</v>
      </c>
      <c r="D926" s="11">
        <v>52.96</v>
      </c>
      <c r="E926" s="11">
        <v>58.1</v>
      </c>
      <c r="F926" s="11">
        <v>51.5</v>
      </c>
      <c r="G926" s="11">
        <v>2.28</v>
      </c>
      <c r="H926" s="11">
        <v>40000</v>
      </c>
      <c r="I926" s="11">
        <v>2166806</v>
      </c>
      <c r="J926" s="11">
        <v>5951937</v>
      </c>
      <c r="K926" s="11">
        <v>299585388.3</v>
      </c>
      <c r="L926" s="6">
        <f t="shared" si="29"/>
        <v>54.17015</v>
      </c>
    </row>
    <row r="927" spans="1:12">
      <c r="A927">
        <f t="shared" si="28"/>
        <v>2021</v>
      </c>
      <c r="B927" s="10">
        <v>44406</v>
      </c>
      <c r="C927" s="11">
        <v>52.96</v>
      </c>
      <c r="D927" s="11">
        <v>52.9</v>
      </c>
      <c r="E927" s="11">
        <v>54.88</v>
      </c>
      <c r="F927" s="11">
        <v>50.98</v>
      </c>
      <c r="G927" s="11">
        <v>0.88</v>
      </c>
      <c r="H927" s="11">
        <v>84026</v>
      </c>
      <c r="I927" s="11">
        <v>4450253.42</v>
      </c>
      <c r="J927" s="11">
        <v>5911937</v>
      </c>
      <c r="K927" s="11">
        <v>297418582.3</v>
      </c>
      <c r="L927" s="6">
        <f t="shared" si="29"/>
        <v>52.9628141289601</v>
      </c>
    </row>
    <row r="928" spans="1:12">
      <c r="A928">
        <f t="shared" si="28"/>
        <v>2021</v>
      </c>
      <c r="B928" s="10">
        <v>44405</v>
      </c>
      <c r="C928" s="11">
        <v>52.5</v>
      </c>
      <c r="D928" s="11">
        <v>52.03</v>
      </c>
      <c r="E928" s="11">
        <v>56.8</v>
      </c>
      <c r="F928" s="11">
        <v>52.03</v>
      </c>
      <c r="G928" s="11">
        <v>-3.9</v>
      </c>
      <c r="H928" s="11">
        <v>872747</v>
      </c>
      <c r="I928" s="11">
        <v>36603063.49</v>
      </c>
      <c r="J928" s="11">
        <v>5827911</v>
      </c>
      <c r="K928" s="11">
        <v>292968328.88</v>
      </c>
      <c r="L928" s="6">
        <f t="shared" si="29"/>
        <v>41.9400622288017</v>
      </c>
    </row>
    <row r="929" spans="1:12">
      <c r="A929">
        <f t="shared" si="28"/>
        <v>2021</v>
      </c>
      <c r="B929" s="10">
        <v>44404</v>
      </c>
      <c r="C929" s="11">
        <v>54.63</v>
      </c>
      <c r="D929" s="11">
        <v>52.2</v>
      </c>
      <c r="E929" s="11">
        <v>55.76</v>
      </c>
      <c r="F929" s="11">
        <v>51.34</v>
      </c>
      <c r="G929" s="11">
        <v>0.31</v>
      </c>
      <c r="H929" s="11">
        <v>74211</v>
      </c>
      <c r="I929" s="11">
        <v>4054248.14</v>
      </c>
      <c r="J929" s="11">
        <v>4955164</v>
      </c>
      <c r="K929" s="11">
        <v>256365265.39</v>
      </c>
      <c r="L929" s="6">
        <f t="shared" si="29"/>
        <v>54.6313638139898</v>
      </c>
    </row>
    <row r="930" spans="1:12">
      <c r="A930">
        <f t="shared" si="28"/>
        <v>2021</v>
      </c>
      <c r="B930" s="10">
        <v>44403</v>
      </c>
      <c r="C930" s="11">
        <v>54.46</v>
      </c>
      <c r="D930" s="11">
        <v>54.5</v>
      </c>
      <c r="E930" s="11">
        <v>54.85</v>
      </c>
      <c r="F930" s="11">
        <v>53.98</v>
      </c>
      <c r="G930" s="11">
        <v>-4.41</v>
      </c>
      <c r="H930" s="11">
        <v>48000</v>
      </c>
      <c r="I930" s="11">
        <v>2614220</v>
      </c>
      <c r="J930" s="11">
        <v>4880953</v>
      </c>
      <c r="K930" s="11">
        <v>252311017.25</v>
      </c>
      <c r="L930" s="6">
        <f t="shared" si="29"/>
        <v>54.4629166666667</v>
      </c>
    </row>
    <row r="931" spans="1:12">
      <c r="A931">
        <f t="shared" si="28"/>
        <v>2021</v>
      </c>
      <c r="B931" s="10">
        <v>44400</v>
      </c>
      <c r="C931" s="11">
        <v>56.97</v>
      </c>
      <c r="D931" s="11">
        <v>56.52</v>
      </c>
      <c r="E931" s="11">
        <v>61.07</v>
      </c>
      <c r="F931" s="11">
        <v>55.52</v>
      </c>
      <c r="G931" s="11">
        <v>2.61</v>
      </c>
      <c r="H931" s="11">
        <v>112000</v>
      </c>
      <c r="I931" s="11">
        <v>6380260</v>
      </c>
      <c r="J931" s="11">
        <v>4832953</v>
      </c>
      <c r="K931" s="11">
        <v>249696797.25</v>
      </c>
      <c r="L931" s="6">
        <f t="shared" si="29"/>
        <v>56.9666071428571</v>
      </c>
    </row>
    <row r="932" spans="1:12">
      <c r="A932">
        <f t="shared" si="28"/>
        <v>2021</v>
      </c>
      <c r="B932" s="10">
        <v>44399</v>
      </c>
      <c r="C932" s="11">
        <v>55.52</v>
      </c>
      <c r="D932" s="11">
        <v>55.3</v>
      </c>
      <c r="E932" s="11">
        <v>58.5</v>
      </c>
      <c r="F932" s="11">
        <v>54.3</v>
      </c>
      <c r="G932" s="11">
        <v>2.06</v>
      </c>
      <c r="H932" s="11">
        <v>112200</v>
      </c>
      <c r="I932" s="11">
        <v>6229088</v>
      </c>
      <c r="J932" s="11">
        <v>4720953</v>
      </c>
      <c r="K932" s="11">
        <v>243316537.25</v>
      </c>
      <c r="L932" s="6">
        <f t="shared" si="29"/>
        <v>55.5177183600713</v>
      </c>
    </row>
    <row r="933" spans="1:12">
      <c r="A933">
        <f t="shared" si="28"/>
        <v>2021</v>
      </c>
      <c r="B933" s="10">
        <v>44398</v>
      </c>
      <c r="C933" s="11">
        <v>54.4</v>
      </c>
      <c r="D933" s="11">
        <v>54.2</v>
      </c>
      <c r="E933" s="11">
        <v>55.5</v>
      </c>
      <c r="F933" s="11">
        <v>54.07</v>
      </c>
      <c r="G933" s="11">
        <v>2.1</v>
      </c>
      <c r="H933" s="11">
        <v>212000</v>
      </c>
      <c r="I933" s="11">
        <v>11384830</v>
      </c>
      <c r="J933" s="11">
        <v>4608753</v>
      </c>
      <c r="K933" s="11">
        <v>237087449.25</v>
      </c>
      <c r="L933" s="6">
        <f t="shared" si="29"/>
        <v>53.7020283018868</v>
      </c>
    </row>
    <row r="934" spans="1:12">
      <c r="A934">
        <f t="shared" si="28"/>
        <v>2021</v>
      </c>
      <c r="B934" s="10">
        <v>44397</v>
      </c>
      <c r="C934" s="11">
        <v>53.28</v>
      </c>
      <c r="D934" s="11">
        <v>52.92</v>
      </c>
      <c r="E934" s="11">
        <v>54</v>
      </c>
      <c r="F934" s="11">
        <v>52.9</v>
      </c>
      <c r="G934" s="11">
        <v>1.87</v>
      </c>
      <c r="H934" s="11">
        <v>162000</v>
      </c>
      <c r="I934" s="11">
        <v>8631277</v>
      </c>
      <c r="J934" s="11">
        <v>4396753</v>
      </c>
      <c r="K934" s="11">
        <v>225702619.25</v>
      </c>
      <c r="L934" s="6">
        <f t="shared" si="29"/>
        <v>53.279487654321</v>
      </c>
    </row>
    <row r="935" spans="1:12">
      <c r="A935">
        <f t="shared" si="28"/>
        <v>2021</v>
      </c>
      <c r="B935" s="10">
        <v>44396</v>
      </c>
      <c r="C935" s="11">
        <v>52.3</v>
      </c>
      <c r="D935" s="11">
        <v>52.8</v>
      </c>
      <c r="E935" s="11">
        <v>53</v>
      </c>
      <c r="F935" s="11">
        <v>52.08</v>
      </c>
      <c r="G935" s="11">
        <v>2.09</v>
      </c>
      <c r="H935" s="11">
        <v>130800</v>
      </c>
      <c r="I935" s="11">
        <v>6841289</v>
      </c>
      <c r="J935" s="11">
        <v>4234753</v>
      </c>
      <c r="K935" s="11">
        <v>217071342.25</v>
      </c>
      <c r="L935" s="6">
        <f t="shared" si="29"/>
        <v>52.3034327217125</v>
      </c>
    </row>
    <row r="936" spans="1:12">
      <c r="A936">
        <f t="shared" si="28"/>
        <v>2021</v>
      </c>
      <c r="B936" s="10">
        <v>44393</v>
      </c>
      <c r="C936" s="11">
        <v>51.23</v>
      </c>
      <c r="D936" s="11">
        <v>48</v>
      </c>
      <c r="E936" s="11">
        <v>52.8</v>
      </c>
      <c r="F936" s="11">
        <v>48</v>
      </c>
      <c r="G936" s="11">
        <v>6.73</v>
      </c>
      <c r="H936" s="11">
        <v>4103953</v>
      </c>
      <c r="I936" s="11">
        <v>210230053.25</v>
      </c>
      <c r="J936" s="11">
        <v>4103953</v>
      </c>
      <c r="K936" s="11">
        <v>210230053.25</v>
      </c>
      <c r="L936" s="6">
        <f t="shared" si="29"/>
        <v>51.2262331586156</v>
      </c>
    </row>
  </sheetData>
  <conditionalFormatting sqref="L3:L1048576 L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-0.249977111117893"/>
  </sheetPr>
  <dimension ref="A1:AP9"/>
  <sheetViews>
    <sheetView workbookViewId="0">
      <selection activeCell="L20" sqref="L20"/>
    </sheetView>
  </sheetViews>
  <sheetFormatPr defaultColWidth="9" defaultRowHeight="13.85"/>
  <cols>
    <col min="1" max="1" width="48" style="1" customWidth="1"/>
    <col min="2" max="6" width="9" style="1"/>
    <col min="7" max="7" width="9.24778761061947" style="1" customWidth="1"/>
    <col min="8" max="16384" width="9" style="1"/>
  </cols>
  <sheetData>
    <row r="1" spans="1:42">
      <c r="A1" s="2" t="s">
        <v>51</v>
      </c>
      <c r="B1" s="3">
        <v>2020</v>
      </c>
      <c r="C1" s="3">
        <v>2021</v>
      </c>
      <c r="D1" s="3">
        <v>2022</v>
      </c>
      <c r="E1" s="3">
        <v>2023</v>
      </c>
      <c r="F1" s="3">
        <v>2024</v>
      </c>
      <c r="G1" s="3">
        <v>2025</v>
      </c>
      <c r="H1" s="3">
        <v>2026</v>
      </c>
      <c r="I1" s="3">
        <v>2027</v>
      </c>
      <c r="J1" s="3">
        <v>2028</v>
      </c>
      <c r="K1" s="3">
        <v>2029</v>
      </c>
      <c r="L1" s="3">
        <v>2030</v>
      </c>
      <c r="M1" s="3">
        <v>2031</v>
      </c>
      <c r="N1" s="3">
        <v>2032</v>
      </c>
      <c r="O1" s="3">
        <v>2033</v>
      </c>
      <c r="P1" s="3">
        <v>2034</v>
      </c>
      <c r="Q1" s="3">
        <v>2035</v>
      </c>
      <c r="R1" s="3">
        <v>2036</v>
      </c>
      <c r="S1" s="3">
        <v>2037</v>
      </c>
      <c r="T1" s="3">
        <v>2038</v>
      </c>
      <c r="U1" s="3">
        <v>2039</v>
      </c>
      <c r="V1" s="3">
        <v>2040</v>
      </c>
      <c r="W1" s="3">
        <v>2041</v>
      </c>
      <c r="X1" s="3">
        <v>2042</v>
      </c>
      <c r="Y1" s="3">
        <v>2043</v>
      </c>
      <c r="Z1" s="3">
        <v>2044</v>
      </c>
      <c r="AA1" s="3">
        <v>2045</v>
      </c>
      <c r="AB1" s="3">
        <v>2046</v>
      </c>
      <c r="AC1" s="3">
        <v>2047</v>
      </c>
      <c r="AD1" s="3">
        <v>2048</v>
      </c>
      <c r="AE1" s="3">
        <v>2049</v>
      </c>
      <c r="AF1" s="3">
        <v>2050</v>
      </c>
      <c r="AG1" s="3">
        <v>2051</v>
      </c>
      <c r="AH1" s="3">
        <v>2052</v>
      </c>
      <c r="AI1" s="3">
        <v>2053</v>
      </c>
      <c r="AJ1" s="3">
        <v>2054</v>
      </c>
      <c r="AK1" s="3">
        <v>2055</v>
      </c>
      <c r="AL1" s="3">
        <v>2056</v>
      </c>
      <c r="AM1" s="3">
        <v>2057</v>
      </c>
      <c r="AN1" s="3">
        <v>2058</v>
      </c>
      <c r="AO1" s="3">
        <v>2059</v>
      </c>
      <c r="AP1" s="3">
        <v>2060</v>
      </c>
    </row>
    <row r="2" spans="1:42">
      <c r="A2" s="1" t="s">
        <v>52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</row>
    <row r="3" spans="1:42">
      <c r="A3" s="1" t="s">
        <v>53</v>
      </c>
      <c r="B3" s="1">
        <v>0</v>
      </c>
      <c r="C3" s="1">
        <f>AVERAGEIF('Carbon Price'!$A:$A,BCTR!C1,'Carbon Price'!$L:$L)*'Exchange Rate'!B23</f>
        <v>5.97478228609684</v>
      </c>
      <c r="D3" s="1">
        <f>AVERAGEIF('Carbon Price'!$A:$A,BCTR!D1,'Carbon Price'!$L:$L)*'Exchange Rate'!B24</f>
        <v>7.38176058836122</v>
      </c>
      <c r="E3" s="1">
        <f>AVERAGEIF('Carbon Price'!$A:$A,BCTR!E1,'Carbon Price'!$L:$L)*'Exchange Rate'!B25</f>
        <v>7.72958101429028</v>
      </c>
      <c r="F3" s="1">
        <f>AVERAGEIF('Carbon Price'!$A:$A,BCTR!F1,'Carbon Price'!$L:$L)*'Exchange Rate'!B26</f>
        <v>11.1459474125061</v>
      </c>
      <c r="G3" s="1">
        <f>60*'Exchange Rate'!B27</f>
        <v>7.20446755423488</v>
      </c>
      <c r="H3" s="1">
        <f>$G$3</f>
        <v>7.20446755423488</v>
      </c>
      <c r="I3" s="1">
        <f t="shared" ref="I3:AP3" si="0">$G$3</f>
        <v>7.20446755423488</v>
      </c>
      <c r="J3" s="1">
        <f t="shared" si="0"/>
        <v>7.20446755423488</v>
      </c>
      <c r="K3" s="1">
        <f t="shared" si="0"/>
        <v>7.20446755423488</v>
      </c>
      <c r="L3" s="1">
        <f t="shared" si="0"/>
        <v>7.20446755423488</v>
      </c>
      <c r="M3" s="1">
        <f t="shared" si="0"/>
        <v>7.20446755423488</v>
      </c>
      <c r="N3" s="1">
        <f t="shared" si="0"/>
        <v>7.20446755423488</v>
      </c>
      <c r="O3" s="1">
        <f t="shared" si="0"/>
        <v>7.20446755423488</v>
      </c>
      <c r="P3" s="1">
        <f t="shared" si="0"/>
        <v>7.20446755423488</v>
      </c>
      <c r="Q3" s="1">
        <f t="shared" si="0"/>
        <v>7.20446755423488</v>
      </c>
      <c r="R3" s="1">
        <f t="shared" si="0"/>
        <v>7.20446755423488</v>
      </c>
      <c r="S3" s="1">
        <f t="shared" si="0"/>
        <v>7.20446755423488</v>
      </c>
      <c r="T3" s="1">
        <f t="shared" si="0"/>
        <v>7.20446755423488</v>
      </c>
      <c r="U3" s="1">
        <f t="shared" si="0"/>
        <v>7.20446755423488</v>
      </c>
      <c r="V3" s="1">
        <f t="shared" si="0"/>
        <v>7.20446755423488</v>
      </c>
      <c r="W3" s="1">
        <f t="shared" si="0"/>
        <v>7.20446755423488</v>
      </c>
      <c r="X3" s="1">
        <f t="shared" si="0"/>
        <v>7.20446755423488</v>
      </c>
      <c r="Y3" s="1">
        <f t="shared" si="0"/>
        <v>7.20446755423488</v>
      </c>
      <c r="Z3" s="1">
        <f t="shared" si="0"/>
        <v>7.20446755423488</v>
      </c>
      <c r="AA3" s="1">
        <f t="shared" si="0"/>
        <v>7.20446755423488</v>
      </c>
      <c r="AB3" s="1">
        <f t="shared" si="0"/>
        <v>7.20446755423488</v>
      </c>
      <c r="AC3" s="1">
        <f t="shared" si="0"/>
        <v>7.20446755423488</v>
      </c>
      <c r="AD3" s="1">
        <f t="shared" si="0"/>
        <v>7.20446755423488</v>
      </c>
      <c r="AE3" s="1">
        <f t="shared" si="0"/>
        <v>7.20446755423488</v>
      </c>
      <c r="AF3" s="1">
        <f t="shared" si="0"/>
        <v>7.20446755423488</v>
      </c>
      <c r="AG3" s="1">
        <f t="shared" si="0"/>
        <v>7.20446755423488</v>
      </c>
      <c r="AH3" s="1">
        <f t="shared" si="0"/>
        <v>7.20446755423488</v>
      </c>
      <c r="AI3" s="1">
        <f t="shared" si="0"/>
        <v>7.20446755423488</v>
      </c>
      <c r="AJ3" s="1">
        <f t="shared" si="0"/>
        <v>7.20446755423488</v>
      </c>
      <c r="AK3" s="1">
        <f t="shared" si="0"/>
        <v>7.20446755423488</v>
      </c>
      <c r="AL3" s="1">
        <f t="shared" si="0"/>
        <v>7.20446755423488</v>
      </c>
      <c r="AM3" s="1">
        <f t="shared" si="0"/>
        <v>7.20446755423488</v>
      </c>
      <c r="AN3" s="1">
        <f t="shared" si="0"/>
        <v>7.20446755423488</v>
      </c>
      <c r="AO3" s="1">
        <f t="shared" si="0"/>
        <v>7.20446755423488</v>
      </c>
      <c r="AP3" s="1">
        <f t="shared" si="0"/>
        <v>7.20446755423488</v>
      </c>
    </row>
    <row r="4" spans="1:42">
      <c r="A4" s="1" t="s">
        <v>54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</row>
    <row r="5" spans="1:42">
      <c r="A5" s="1" t="s">
        <v>55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</row>
    <row r="6" spans="1:42">
      <c r="A6" s="1" t="s">
        <v>56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</row>
    <row r="7" spans="1:42">
      <c r="A7" s="1" t="s">
        <v>57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</row>
    <row r="8" spans="1:42">
      <c r="A8" s="4" t="s">
        <v>58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</row>
    <row r="9" spans="1:42">
      <c r="A9" s="4" t="s">
        <v>59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About</vt:lpstr>
      <vt:lpstr>Carbon Market Price</vt:lpstr>
      <vt:lpstr>Expected Carbon Tax </vt:lpstr>
      <vt:lpstr>Exchange Rate</vt:lpstr>
      <vt:lpstr>Carbon Price</vt:lpstr>
      <vt:lpstr>BCTR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仰望星空✨✨</cp:lastModifiedBy>
  <dcterms:created xsi:type="dcterms:W3CDTF">2023-04-21T08:13:00Z</dcterms:created>
  <dcterms:modified xsi:type="dcterms:W3CDTF">2025-12-01T03:37:49Z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AB9AE981851048C585A171FBBC3E9687_12</vt:lpwstr>
  </property>
  <property fmtid="{D5CDD505-2E9C-101B-9397-08002B2CF9AE}" pid="3" name="KSOProductBuildVer">
    <vt:lpwstr>2052-12.1.0.23542</vt:lpwstr>
  </property>
</Properties>
</file>